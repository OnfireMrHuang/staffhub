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7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8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9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1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Tables/pivotTable10.xml" ContentType="application/vnd.openxmlformats-officedocument.spreadsheetml.pivotTable+xml"/>
  <Override PartName="/xl/pivotCache/pivotCacheDefinition10.xml" ContentType="application/vnd.openxmlformats-officedocument.spreadsheetml.pivotCacheDefinition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Tables/pivotTable11.xml" ContentType="application/vnd.openxmlformats-officedocument.spreadsheetml.pivotTable+xml"/>
  <Override PartName="/xl/pivotCache/pivotCacheDefinition11.xml" ContentType="application/vnd.openxmlformats-officedocument.spreadsheetml.pivotCacheDefinition+xml"/>
  <Override PartName="/xl/worksheets/sheet19.xml" ContentType="application/vnd.openxmlformats-officedocument.spreadsheetml.worksheet+xml"/>
  <Override PartName="/xl/pivotTables/pivotTable12.xml" ContentType="application/vnd.openxmlformats-officedocument.spreadsheetml.pivotTable+xml"/>
  <Override PartName="/xl/pivotCache/pivotCacheDefinition12.xml" ContentType="application/vnd.openxmlformats-officedocument.spreadsheetml.pivotCacheDefinition+xml"/>
  <Override PartName="/xl/pivotTables/pivotTable13.xml" ContentType="application/vnd.openxmlformats-officedocument.spreadsheetml.pivotTable+xml"/>
  <Override PartName="/xl/pivotCache/pivotCacheDefinition13.xml" ContentType="application/vnd.openxmlformats-officedocument.spreadsheetml.pivotCacheDefinition+xml"/>
  <Override PartName="/xl/worksheets/sheet20.xml" ContentType="application/vnd.openxmlformats-officedocument.spreadsheetml.worksheet+xml"/>
  <Override PartName="/xl/pivotTables/pivotTable14.xml" ContentType="application/vnd.openxmlformats-officedocument.spreadsheetml.pivotTable+xml"/>
  <Override PartName="/xl/pivotCache/pivotCacheDefinition14.xml" ContentType="application/vnd.openxmlformats-officedocument.spreadsheetml.pivotCacheDefinition+xml"/>
  <Override PartName="/xl/worksheets/sheet21.xml" ContentType="application/vnd.openxmlformats-officedocument.spreadsheetml.worksheet+xml"/>
  <Override PartName="/xl/pivotTables/pivotTable15.xml" ContentType="application/vnd.openxmlformats-officedocument.spreadsheetml.pivotTable+xml"/>
  <Override PartName="/xl/pivotCache/pivotCacheDefinition15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年10月" sheetId="2" r:id="rId5"/>
    <sheet name="2026年9月" sheetId="3" r:id="rId6"/>
    <sheet name="2026年8月" sheetId="4" r:id="rId8"/>
    <sheet name="2026年7月" sheetId="5" r:id="rId10"/>
    <sheet name="2026年6月" sheetId="6" r:id="rId12"/>
    <sheet name="2026年5月" sheetId="7" r:id="rId14"/>
    <sheet name="2026年4月" sheetId="8" r:id="rId16"/>
    <sheet name="2026年3月" sheetId="9" r:id="rId18"/>
    <sheet name="2026年2月" sheetId="10" r:id="rId20"/>
    <sheet name="2026年1月" sheetId="11" r:id="rId22"/>
    <sheet name="2025年12月" sheetId="12" r:id="rId24"/>
    <sheet name="2025年11月" sheetId="13" r:id="rId25"/>
    <sheet name="2025年10月" sheetId="14" r:id="rId27"/>
    <sheet name="2025年9月" sheetId="15" r:id="rId28"/>
    <sheet name="2025年8月" sheetId="16" r:id="rId29"/>
    <sheet name="25年7月" sheetId="17" r:id="rId30"/>
    <sheet name="Sheet17" sheetId="18" r:id="rId31"/>
    <sheet name="数据透视表" sheetId="19" r:id="rId33"/>
    <sheet name="Sheet19" sheetId="20" r:id="rId36"/>
    <sheet name="Sheet20" sheetId="21" r:id="rId38"/>
  </sheets>
  <calcPr calcMode="auto"/>
  <pivotCaches>
    <pivotCache cacheId="1" r:id="rId7"/>
    <pivotCache cacheId="2" r:id="rId9"/>
    <pivotCache cacheId="3" r:id="rId11"/>
    <pivotCache cacheId="4" r:id="rId13"/>
    <pivotCache cacheId="5" r:id="rId15"/>
    <pivotCache cacheId="6" r:id="rId17"/>
    <pivotCache cacheId="7" r:id="rId19"/>
    <pivotCache cacheId="8" r:id="rId21"/>
    <pivotCache cacheId="9" r:id="rId23"/>
    <pivotCache cacheId="10" r:id="rId26"/>
    <pivotCache cacheId="11" r:id="rId32"/>
    <pivotCache cacheId="12" r:id="rId34"/>
    <pivotCache cacheId="13" r:id="rId35"/>
    <pivotCache cacheId="14" r:id="rId37"/>
    <pivotCache cacheId="15" r:id="rId3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<sst xmlns="http://schemas.openxmlformats.org/spreadsheetml/2006/main" count="1441" uniqueCount="1441">
  <si>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</si>
  <si>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</si>
  <si>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</si>
  <si>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</si>
  <si>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</si>
  <si>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</si>
  <si>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</si>
  <si>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</si>
  <si>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</si>
  <si>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</si>
  <si>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</si>
  <si>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</si>
  <si>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</si>
  <si>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</si>
  <si>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</si>
  <si>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</si>
  <si>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</si>
  <si>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2026.10.1</t>
  </si>
  <si>
    <t xml:space="preserve">李娜</t>
  </si>
  <si>
    <t xml:space="preserve">06:00-10:00</t>
  </si>
  <si>
    <t xml:space="preserve">陈旭</t>
  </si>
  <si>
    <t xml:space="preserve">10:00-14:00</t>
  </si>
  <si>
    <t xml:space="preserve">贾占通早</t>
  </si>
  <si>
    <t xml:space="preserve">邓大攀</t>
  </si>
  <si>
    <t xml:space="preserve">王硕硕</t>
  </si>
  <si>
    <t xml:space="preserve">14:00-18:00</t>
  </si>
  <si>
    <t xml:space="preserve">刘杰宇</t>
  </si>
  <si>
    <t xml:space="preserve">18:00-22:00</t>
  </si>
  <si>
    <t xml:space="preserve">郝泽晗双</t>
  </si>
  <si>
    <t xml:space="preserve">孟冶君</t>
  </si>
  <si>
    <t xml:space="preserve">井欣阅</t>
  </si>
  <si>
    <t xml:space="preserve">22:00-02:00</t>
  </si>
  <si>
    <t xml:space="preserve">任子硕双</t>
  </si>
  <si>
    <t xml:space="preserve">总计</t>
  </si>
  <si>
    <t xml:space="preserve">2026.10.2</t>
  </si>
  <si>
    <t xml:space="preserve">2026.10.3</t>
  </si>
  <si>
    <t xml:space="preserve">06:00-11:00</t>
  </si>
  <si>
    <t xml:space="preserve">11:00-16:00</t>
  </si>
  <si>
    <t xml:space="preserve">16:00-21:00</t>
  </si>
  <si>
    <t xml:space="preserve">21:00-2:00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</si>
  <si>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</si>
  <si>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</si>
  <si>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</si>
  <si>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</si>
  <si>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</si>
  <si>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</si>
  <si>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</si>
  <si>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张嘉懿早</t>
  </si>
  <si>
    <t xml:space="preserve">贾占通</t>
  </si>
  <si>
    <t xml:space="preserve">2026.10.11</t>
  </si>
  <si>
    <t xml:space="preserve">贾占通晚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</si>
  <si>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</si>
  <si>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</si>
  <si>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</si>
  <si>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</si>
  <si>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郝泽晗早</t>
  </si>
  <si>
    <t xml:space="preserve">2026.10.16</t>
  </si>
  <si>
    <t xml:space="preserve">2026.10.17</t>
  </si>
  <si>
    <t xml:space="preserve">王悦暄双</t>
  </si>
  <si>
    <t xml:space="preserve">2026.10.18</t>
  </si>
  <si>
    <t xml:space="preserve">王悦暄</t>
  </si>
  <si>
    <t xml:space="preserve">董柯言晚</t>
  </si>
  <si>
    <t xml:space="preserve">2026.10.19</t>
  </si>
  <si>
    <t xml:space="preserve">王悦暄晚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</si>
  <si>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</si>
  <si>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</si>
  <si>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</si>
  <si>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</si>
  <si>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</si>
  <si>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</si>
  <si>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</si>
  <si>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</si>
  <si>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</si>
  <si>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</si>
  <si>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</si>
  <si>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</si>
  <si>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</si>
  <si>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</si>
  <si>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</si>
  <si>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</si>
  <si>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2026.9.1</t>
  </si>
  <si>
    <t xml:space="preserve">李娜</t>
  </si>
  <si>
    <t xml:space="preserve">00:00-01:00</t>
  </si>
  <si>
    <t xml:space="preserve">任子硕晚</t>
  </si>
  <si>
    <t xml:space="preserve">陈旭</t>
  </si>
  <si>
    <t xml:space="preserve">01:00-06:00</t>
  </si>
  <si>
    <t xml:space="preserve">郝泽晗双</t>
  </si>
  <si>
    <t xml:space="preserve">邓大攀</t>
  </si>
  <si>
    <t xml:space="preserve">刘杰宇</t>
  </si>
  <si>
    <t xml:space="preserve">06:00-11:00</t>
  </si>
  <si>
    <t xml:space="preserve">孟冶君</t>
  </si>
  <si>
    <t xml:space="preserve">李紫瑞</t>
  </si>
  <si>
    <t xml:space="preserve">11:00-16:00</t>
  </si>
  <si>
    <t xml:space="preserve">张嘉懿双</t>
  </si>
  <si>
    <t xml:space="preserve">16:00-21:00</t>
  </si>
  <si>
    <t xml:space="preserve">王硕硕</t>
  </si>
  <si>
    <t xml:space="preserve">21:00-24:00</t>
  </si>
  <si>
    <t xml:space="preserve">总计</t>
  </si>
  <si>
    <t xml:space="preserve">2026.9.2</t>
  </si>
  <si>
    <t xml:space="preserve">00:00-02:00</t>
  </si>
  <si>
    <t xml:space="preserve">井欣阅</t>
  </si>
  <si>
    <t xml:space="preserve">02:00-06:00</t>
  </si>
  <si>
    <t xml:space="preserve">2026.9.3</t>
  </si>
  <si>
    <t xml:space="preserve">栗敏纳</t>
  </si>
  <si>
    <t xml:space="preserve">2026.9.4</t>
  </si>
  <si>
    <t xml:space="preserve">郭斯元双</t>
  </si>
  <si>
    <t xml:space="preserve">2026.9.5</t>
  </si>
  <si>
    <t xml:space="preserve">2026.9.6</t>
  </si>
  <si>
    <t xml:space="preserve">2026.9.7</t>
  </si>
  <si>
    <t xml:space="preserve">2026.9.8</t>
  </si>
  <si>
    <t xml:space="preserve">16:00-19:00</t>
  </si>
  <si>
    <t xml:space="preserve">2026.9.9</t>
  </si>
  <si>
    <t xml:space="preserve">2026.9.10</t>
  </si>
  <si>
    <t xml:space="preserve">董柯言双</t>
  </si>
  <si>
    <t xml:space="preserve">董柯言</t>
  </si>
  <si>
    <t xml:space="preserve">2026.9.11</t>
  </si>
  <si>
    <t xml:space="preserve">郝泽晗</t>
  </si>
  <si>
    <t xml:space="preserve">2026.9.12</t>
  </si>
  <si>
    <t xml:space="preserve">2026.9.13</t>
  </si>
  <si>
    <t xml:space="preserve">2026.9.14</t>
  </si>
  <si>
    <t xml:space="preserve">2026.9.15</t>
  </si>
  <si>
    <t xml:space="preserve">11:00-13:00</t>
  </si>
  <si>
    <t xml:space="preserve">21:00-02:00</t>
  </si>
  <si>
    <t xml:space="preserve">2026.9.16</t>
  </si>
  <si>
    <t xml:space="preserve">2026.9.17</t>
  </si>
  <si>
    <t xml:space="preserve">王悦暄双</t>
  </si>
  <si>
    <t xml:space="preserve">2026.9.18</t>
  </si>
  <si>
    <t xml:space="preserve">2026.9.19</t>
  </si>
  <si>
    <t xml:space="preserve">任子硕早</t>
  </si>
  <si>
    <t xml:space="preserve">2026.9.20</t>
  </si>
  <si>
    <t xml:space="preserve">2026.9.21</t>
  </si>
  <si>
    <t xml:space="preserve">陈思钰早</t>
  </si>
  <si>
    <t xml:space="preserve">2026.9.22</t>
  </si>
  <si>
    <t xml:space="preserve">06:00-10:00</t>
  </si>
  <si>
    <t xml:space="preserve">10:00-14:00</t>
  </si>
  <si>
    <t xml:space="preserve">14:00-18:00</t>
  </si>
  <si>
    <t xml:space="preserve">18:00-22:00</t>
  </si>
  <si>
    <t xml:space="preserve">22:00-02:00</t>
  </si>
  <si>
    <t xml:space="preserve">2026.9.23</t>
  </si>
  <si>
    <t xml:space="preserve">郝泽晗早</t>
  </si>
  <si>
    <t xml:space="preserve">22:00-23:00</t>
  </si>
  <si>
    <t xml:space="preserve">2026.9.24</t>
  </si>
  <si>
    <t xml:space="preserve">2026.9.25</t>
  </si>
  <si>
    <t xml:space="preserve">王悦暄晚</t>
  </si>
  <si>
    <t xml:space="preserve">2026.9.26</t>
  </si>
  <si>
    <t xml:space="preserve">12:00-02:00</t>
  </si>
  <si>
    <t xml:space="preserve">2026.9.27</t>
  </si>
  <si>
    <t xml:space="preserve">2026.9.28</t>
  </si>
  <si>
    <t xml:space="preserve">张嘉懿早</t>
  </si>
  <si>
    <t xml:space="preserve">王悦暄</t>
  </si>
  <si>
    <t xml:space="preserve">2026.9.29</t>
  </si>
  <si>
    <t xml:space="preserve">11:00-14:00</t>
  </si>
  <si>
    <t xml:space="preserve">张嘉懿</t>
  </si>
  <si>
    <t xml:space="preserve">2026.9.30</t>
  </si>
  <si>
    <t xml:space="preserve">贾占通早</t>
  </si>
  <si>
    <t xml:space="preserve">求和项:助播时长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</si>
  <si>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</si>
  <si>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</si>
  <si>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</si>
  <si>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</si>
  <si>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</si>
  <si>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</si>
  <si>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</si>
  <si>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</si>
  <si>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</si>
  <si>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</si>
  <si>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</si>
  <si>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</si>
  <si>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</si>
  <si>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</si>
  <si>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</si>
  <si>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</si>
  <si>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2026.8.01</t>
  </si>
  <si>
    <t xml:space="preserve">李紫瑞</t>
  </si>
  <si>
    <t xml:space="preserve">00:00-01:00</t>
  </si>
  <si>
    <t xml:space="preserve">李娜</t>
  </si>
  <si>
    <t xml:space="preserve">01:00-06:00</t>
  </si>
  <si>
    <t xml:space="preserve">任子硕晚</t>
  </si>
  <si>
    <t xml:space="preserve">孟冶君</t>
  </si>
  <si>
    <t xml:space="preserve">刘杰宇</t>
  </si>
  <si>
    <t xml:space="preserve">06:00-11:00</t>
  </si>
  <si>
    <t xml:space="preserve">郝泽晗双</t>
  </si>
  <si>
    <t xml:space="preserve">邓大攀</t>
  </si>
  <si>
    <t xml:space="preserve">王硕硕</t>
  </si>
  <si>
    <t xml:space="preserve">11:00-15:00</t>
  </si>
  <si>
    <t xml:space="preserve">李寒玉双</t>
  </si>
  <si>
    <t xml:space="preserve">15:00-20:00</t>
  </si>
  <si>
    <t xml:space="preserve">郭斯元双</t>
  </si>
  <si>
    <t xml:space="preserve">栗敏纳</t>
  </si>
  <si>
    <t xml:space="preserve">20:00-22:00</t>
  </si>
  <si>
    <t xml:space="preserve">陈旭</t>
  </si>
  <si>
    <t xml:space="preserve">22:00-3:00</t>
  </si>
  <si>
    <t xml:space="preserve">总计</t>
  </si>
  <si>
    <t xml:space="preserve">2026.8.02</t>
  </si>
  <si>
    <t xml:space="preserve">井欣阅</t>
  </si>
  <si>
    <t xml:space="preserve">20:00-24:00</t>
  </si>
  <si>
    <t xml:space="preserve">2026.8.03</t>
  </si>
  <si>
    <t xml:space="preserve">2026.8.04</t>
  </si>
  <si>
    <t xml:space="preserve">2026.8.05</t>
  </si>
  <si>
    <t xml:space="preserve">01:00-03:30</t>
  </si>
  <si>
    <t xml:space="preserve">2026.8.06</t>
  </si>
  <si>
    <t xml:space="preserve">郭斯元</t>
  </si>
  <si>
    <t xml:space="preserve">魏迪双</t>
  </si>
  <si>
    <t xml:space="preserve">2026.8.07</t>
  </si>
  <si>
    <t xml:space="preserve">2026.8.08</t>
  </si>
  <si>
    <t xml:space="preserve">2026.8.09</t>
  </si>
  <si>
    <t xml:space="preserve">2026.8.10</t>
  </si>
  <si>
    <t xml:space="preserve">2026.8.11</t>
  </si>
  <si>
    <t xml:space="preserve">2026.8.12</t>
  </si>
  <si>
    <t xml:space="preserve">2026.8.13</t>
  </si>
  <si>
    <t xml:space="preserve">2026.8.14</t>
  </si>
  <si>
    <t xml:space="preserve">2026.8.15</t>
  </si>
  <si>
    <t xml:space="preserve">2026.8.16</t>
  </si>
  <si>
    <t xml:space="preserve">2026.8.17</t>
  </si>
  <si>
    <t xml:space="preserve">2026.8.18</t>
  </si>
  <si>
    <t xml:space="preserve">2026.8.19</t>
  </si>
  <si>
    <t xml:space="preserve">2026.8.20</t>
  </si>
  <si>
    <t xml:space="preserve">何彩樱双</t>
  </si>
  <si>
    <t xml:space="preserve">何彩樱</t>
  </si>
  <si>
    <t xml:space="preserve">2026.8.21</t>
  </si>
  <si>
    <t xml:space="preserve">2026.8.22</t>
  </si>
  <si>
    <t xml:space="preserve">2026.8.23</t>
  </si>
  <si>
    <t xml:space="preserve">15:30-20:00</t>
  </si>
  <si>
    <t xml:space="preserve">2026.8.24</t>
  </si>
  <si>
    <t xml:space="preserve">2026.8.25</t>
  </si>
  <si>
    <t xml:space="preserve">2026.8.26</t>
  </si>
  <si>
    <t xml:space="preserve">2026.8.27</t>
  </si>
  <si>
    <t xml:space="preserve">2026.8.28</t>
  </si>
  <si>
    <t xml:space="preserve">2026.8.29</t>
  </si>
  <si>
    <t xml:space="preserve">11:00-16:00</t>
  </si>
  <si>
    <t xml:space="preserve">2026.8.30</t>
  </si>
  <si>
    <t xml:space="preserve">2026.8.31</t>
  </si>
  <si>
    <t xml:space="preserve">张嘉懿双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</si>
  <si>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</si>
  <si>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</si>
  <si>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</si>
  <si>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</si>
  <si>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</si>
  <si>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</si>
  <si>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</si>
  <si>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</si>
  <si>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</si>
  <si>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</si>
  <si>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</si>
  <si>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</si>
  <si>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</si>
  <si>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</si>
  <si>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</si>
  <si>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</si>
  <si>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2026.7.1</t>
  </si>
  <si>
    <t xml:space="preserve">井欣阅</t>
  </si>
  <si>
    <t xml:space="preserve">00:00-01:00</t>
  </si>
  <si>
    <t xml:space="preserve">郭斯元</t>
  </si>
  <si>
    <t xml:space="preserve">陈旭</t>
  </si>
  <si>
    <t xml:space="preserve">01:00-06:00</t>
  </si>
  <si>
    <t xml:space="preserve">李寒玉双</t>
  </si>
  <si>
    <t xml:space="preserve">于慧</t>
  </si>
  <si>
    <t xml:space="preserve">06:00-11:00</t>
  </si>
  <si>
    <t xml:space="preserve">邓大攀</t>
  </si>
  <si>
    <t xml:space="preserve">李娜</t>
  </si>
  <si>
    <t xml:space="preserve">11:00-15:00</t>
  </si>
  <si>
    <t xml:space="preserve">郝泽晗双</t>
  </si>
  <si>
    <t xml:space="preserve">孟冶君</t>
  </si>
  <si>
    <t xml:space="preserve">15:00-19:00</t>
  </si>
  <si>
    <t xml:space="preserve">李紫瑞</t>
  </si>
  <si>
    <t xml:space="preserve">19:00-21:00</t>
  </si>
  <si>
    <t xml:space="preserve">刘杰宇</t>
  </si>
  <si>
    <t xml:space="preserve">21:00-24:00</t>
  </si>
  <si>
    <t xml:space="preserve">2026.7.2</t>
  </si>
  <si>
    <t xml:space="preserve">王硕硕</t>
  </si>
  <si>
    <t xml:space="preserve">11:00-13:00</t>
  </si>
  <si>
    <t xml:space="preserve">13:00-17:00</t>
  </si>
  <si>
    <t xml:space="preserve">17:00-22:00</t>
  </si>
  <si>
    <t xml:space="preserve">22:00-24:00</t>
  </si>
  <si>
    <t xml:space="preserve">2026.7.3</t>
  </si>
  <si>
    <t xml:space="preserve">00:00-02:00</t>
  </si>
  <si>
    <t xml:space="preserve">02:00-06:00</t>
  </si>
  <si>
    <t xml:space="preserve">06:00-10:00</t>
  </si>
  <si>
    <t xml:space="preserve">10:00-14:00</t>
  </si>
  <si>
    <t xml:space="preserve">14:00-18:00</t>
  </si>
  <si>
    <t xml:space="preserve">18:00-22:00</t>
  </si>
  <si>
    <t xml:space="preserve">2026.7.4</t>
  </si>
  <si>
    <t xml:space="preserve">11:00-16:00</t>
  </si>
  <si>
    <t xml:space="preserve">16:00-21:00</t>
  </si>
  <si>
    <t xml:space="preserve">2026.7.5</t>
  </si>
  <si>
    <t xml:space="preserve">2026.7.6</t>
  </si>
  <si>
    <t xml:space="preserve">2026.7.7</t>
  </si>
  <si>
    <t xml:space="preserve">李哲双</t>
  </si>
  <si>
    <t xml:space="preserve">2026.7.8</t>
  </si>
  <si>
    <t xml:space="preserve">郭斯元双</t>
  </si>
  <si>
    <t xml:space="preserve">2026.7.9</t>
  </si>
  <si>
    <t xml:space="preserve">15:00-20:00</t>
  </si>
  <si>
    <t xml:space="preserve">20:00-24:00</t>
  </si>
  <si>
    <t xml:space="preserve">2026.7.10</t>
  </si>
  <si>
    <t xml:space="preserve">2026.7.11</t>
  </si>
  <si>
    <t xml:space="preserve">2026.7.12</t>
  </si>
  <si>
    <t xml:space="preserve">2026.7.13</t>
  </si>
  <si>
    <t xml:space="preserve">2026.7.14</t>
  </si>
  <si>
    <t xml:space="preserve">2026.7.15</t>
  </si>
  <si>
    <t xml:space="preserve">2026.7.16</t>
  </si>
  <si>
    <t xml:space="preserve">任子硕晚</t>
  </si>
  <si>
    <t xml:space="preserve">2026.7.17</t>
  </si>
  <si>
    <t xml:space="preserve">2026.7.18</t>
  </si>
  <si>
    <t xml:space="preserve">2026.7.19</t>
  </si>
  <si>
    <t xml:space="preserve">2026.7.20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</si>
  <si>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</si>
  <si>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</si>
  <si>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</si>
  <si>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</si>
  <si>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</si>
  <si>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</si>
  <si>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2026.7.27</t>
  </si>
  <si>
    <t xml:space="preserve">11:00-14:00</t>
  </si>
  <si>
    <t xml:space="preserve">14:00-19:00</t>
  </si>
  <si>
    <t xml:space="preserve">19:00-24:00</t>
  </si>
  <si>
    <t xml:space="preserve">2026.7.28</t>
  </si>
  <si>
    <t xml:space="preserve">2026.7.29</t>
  </si>
  <si>
    <t xml:space="preserve">魏迪双</t>
  </si>
  <si>
    <t xml:space="preserve">2026.7.30</t>
  </si>
  <si>
    <t xml:space="preserve">董柯言双</t>
  </si>
  <si>
    <t xml:space="preserve">2026.7.31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</si>
  <si>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</si>
  <si>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</si>
  <si>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</si>
  <si>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</si>
  <si>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</si>
  <si>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</si>
  <si>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</si>
  <si>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</si>
  <si>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</si>
  <si>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</si>
  <si>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</si>
  <si>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</si>
  <si>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</si>
  <si>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</si>
  <si>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</si>
  <si>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</si>
  <si>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2026.6.1</t>
  </si>
  <si>
    <t xml:space="preserve">刘杰宇</t>
  </si>
  <si>
    <t xml:space="preserve">00:00-02:00</t>
  </si>
  <si>
    <t xml:space="preserve">郭斯元晚</t>
  </si>
  <si>
    <t xml:space="preserve">井欣阅</t>
  </si>
  <si>
    <t xml:space="preserve">02:00-07:00</t>
  </si>
  <si>
    <t xml:space="preserve">李寒玉</t>
  </si>
  <si>
    <t xml:space="preserve">于慧</t>
  </si>
  <si>
    <t xml:space="preserve">07:00-12:00</t>
  </si>
  <si>
    <t xml:space="preserve">郝泽晗双</t>
  </si>
  <si>
    <t xml:space="preserve">孟冶君</t>
  </si>
  <si>
    <t xml:space="preserve">陈旭</t>
  </si>
  <si>
    <t xml:space="preserve">12:00-16:00</t>
  </si>
  <si>
    <t xml:space="preserve">邓大攀</t>
  </si>
  <si>
    <t xml:space="preserve">16:00-21:00</t>
  </si>
  <si>
    <t xml:space="preserve">王硕硕</t>
  </si>
  <si>
    <t xml:space="preserve">21:00-24:00</t>
  </si>
  <si>
    <t xml:space="preserve">2026.6.2</t>
  </si>
  <si>
    <t xml:space="preserve">郝泽晗</t>
  </si>
  <si>
    <t xml:space="preserve">12:00-17:00</t>
  </si>
  <si>
    <t xml:space="preserve">17:00-22:00</t>
  </si>
  <si>
    <t xml:space="preserve">李娜</t>
  </si>
  <si>
    <t xml:space="preserve">22:00-24:00</t>
  </si>
  <si>
    <t xml:space="preserve">2026.6.3</t>
  </si>
  <si>
    <t xml:space="preserve">2026.6.4</t>
  </si>
  <si>
    <t xml:space="preserve">17:00-21:00</t>
  </si>
  <si>
    <t xml:space="preserve">2026.6.5</t>
  </si>
  <si>
    <t xml:space="preserve">2026.6.6</t>
  </si>
  <si>
    <t xml:space="preserve">2026.6.7</t>
  </si>
  <si>
    <t xml:space="preserve">郝泽晗晚</t>
  </si>
  <si>
    <t xml:space="preserve">郭斯元双</t>
  </si>
  <si>
    <t xml:space="preserve">2026.6.8</t>
  </si>
  <si>
    <t xml:space="preserve">2026.6.9</t>
  </si>
  <si>
    <t xml:space="preserve">李寒玉双</t>
  </si>
  <si>
    <t xml:space="preserve">17:00-20:00</t>
  </si>
  <si>
    <t xml:space="preserve">2026.6.10</t>
  </si>
  <si>
    <t xml:space="preserve">2026.6.11</t>
  </si>
  <si>
    <t xml:space="preserve">任子硕晚</t>
  </si>
  <si>
    <t xml:space="preserve">2026.6.12</t>
  </si>
  <si>
    <t xml:space="preserve">2026.6.13</t>
  </si>
  <si>
    <t xml:space="preserve">2026.6.14</t>
  </si>
  <si>
    <t xml:space="preserve">2026.6.15</t>
  </si>
  <si>
    <t xml:space="preserve">2026.6.16</t>
  </si>
  <si>
    <t xml:space="preserve">张嘉懿</t>
  </si>
  <si>
    <t xml:space="preserve">2026.6.17</t>
  </si>
  <si>
    <t xml:space="preserve">李子健双</t>
  </si>
  <si>
    <t xml:space="preserve">2026.6.18</t>
  </si>
  <si>
    <t xml:space="preserve">2026.6.19</t>
  </si>
  <si>
    <t xml:space="preserve">02:00-06:00</t>
  </si>
  <si>
    <t xml:space="preserve">06:00-11:00</t>
  </si>
  <si>
    <t xml:space="preserve">11:00-16:00</t>
  </si>
  <si>
    <t xml:space="preserve">16:00-20:00</t>
  </si>
  <si>
    <t xml:space="preserve">20:00-24:00</t>
  </si>
  <si>
    <t xml:space="preserve">2026.6.20</t>
  </si>
  <si>
    <t xml:space="preserve">00:00-01:00</t>
  </si>
  <si>
    <t xml:space="preserve">01:00-06:00</t>
  </si>
  <si>
    <t xml:space="preserve">2026.6.21</t>
  </si>
  <si>
    <t xml:space="preserve">2026.6.22</t>
  </si>
  <si>
    <t xml:space="preserve">2026.6.23</t>
  </si>
  <si>
    <t xml:space="preserve">2026.6.24</t>
  </si>
  <si>
    <t xml:space="preserve">郭斯元</t>
  </si>
  <si>
    <t xml:space="preserve">2026.6.25</t>
  </si>
  <si>
    <t xml:space="preserve">2026.6.26</t>
  </si>
  <si>
    <t xml:space="preserve">11:00-15:00</t>
  </si>
  <si>
    <t xml:space="preserve">15:00-19:00</t>
  </si>
  <si>
    <t xml:space="preserve">李紫瑞</t>
  </si>
  <si>
    <t xml:space="preserve">19:00-21:00</t>
  </si>
  <si>
    <t xml:space="preserve">2026.6.27</t>
  </si>
  <si>
    <t xml:space="preserve">2026.6.28</t>
  </si>
  <si>
    <t xml:space="preserve">张嘉懿双</t>
  </si>
  <si>
    <t xml:space="preserve">2026.6.29</t>
  </si>
  <si>
    <t xml:space="preserve">2026.6.30</t>
  </si>
  <si>
    <t xml:space="preserve">王悦暄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</si>
  <si>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</si>
  <si>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</si>
  <si>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</si>
  <si>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</si>
  <si>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</si>
  <si>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</si>
  <si>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</si>
  <si>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</si>
  <si>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</si>
  <si>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</si>
  <si>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</si>
  <si>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</si>
  <si>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</si>
  <si>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</si>
  <si>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</si>
  <si>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</si>
  <si>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2026.5.01</t>
  </si>
  <si>
    <t xml:space="preserve">陈旭</t>
  </si>
  <si>
    <t xml:space="preserve">00:00-02:00</t>
  </si>
  <si>
    <t xml:space="preserve">郭斯元晚</t>
  </si>
  <si>
    <t xml:space="preserve">孟冶君</t>
  </si>
  <si>
    <t xml:space="preserve">王硕硕</t>
  </si>
  <si>
    <t xml:space="preserve">02:00-07:00</t>
  </si>
  <si>
    <t xml:space="preserve">刘杰宇</t>
  </si>
  <si>
    <t xml:space="preserve">07:00-11:00</t>
  </si>
  <si>
    <t xml:space="preserve">井欣阅</t>
  </si>
  <si>
    <t xml:space="preserve">11:00-16:00</t>
  </si>
  <si>
    <t xml:space="preserve">郝泽晗双</t>
  </si>
  <si>
    <t xml:space="preserve">邓大攀</t>
  </si>
  <si>
    <t xml:space="preserve">16:00-21:00</t>
  </si>
  <si>
    <t xml:space="preserve">董柯言双</t>
  </si>
  <si>
    <t xml:space="preserve">21:00-24:00</t>
  </si>
  <si>
    <t xml:space="preserve">郭斯元</t>
  </si>
  <si>
    <t xml:space="preserve">2026.5.02</t>
  </si>
  <si>
    <t xml:space="preserve">刘梦</t>
  </si>
  <si>
    <t xml:space="preserve">07:00-12:00</t>
  </si>
  <si>
    <t xml:space="preserve">任子硕双</t>
  </si>
  <si>
    <t xml:space="preserve">田宇尚</t>
  </si>
  <si>
    <t xml:space="preserve">12:00-16:00</t>
  </si>
  <si>
    <t xml:space="preserve">任子硕</t>
  </si>
  <si>
    <t xml:space="preserve">2026.5.03</t>
  </si>
  <si>
    <t xml:space="preserve">12:00-17:00</t>
  </si>
  <si>
    <t xml:space="preserve">17:00-22:00</t>
  </si>
  <si>
    <t xml:space="preserve">2026.5.04</t>
  </si>
  <si>
    <t xml:space="preserve">魏迪</t>
  </si>
  <si>
    <t xml:space="preserve">11:00-15:00</t>
  </si>
  <si>
    <t xml:space="preserve">15:00-19:00</t>
  </si>
  <si>
    <t xml:space="preserve">19:00-23:00</t>
  </si>
  <si>
    <t xml:space="preserve">23:00-24:00</t>
  </si>
  <si>
    <t xml:space="preserve">2026.5.05</t>
  </si>
  <si>
    <t xml:space="preserve">00:00-3:00</t>
  </si>
  <si>
    <t xml:space="preserve">03:00-07:00</t>
  </si>
  <si>
    <t xml:space="preserve">2026.5.06</t>
  </si>
  <si>
    <t xml:space="preserve">2026.5.07</t>
  </si>
  <si>
    <t xml:space="preserve">2026.5.08</t>
  </si>
  <si>
    <t xml:space="preserve">2026.5.09</t>
  </si>
  <si>
    <t xml:space="preserve">葛鑫然双</t>
  </si>
  <si>
    <t xml:space="preserve">2026.5.10</t>
  </si>
  <si>
    <t xml:space="preserve">任子硕晚</t>
  </si>
  <si>
    <t xml:space="preserve">2026.5.11</t>
  </si>
  <si>
    <t xml:space="preserve">2026.5.12</t>
  </si>
  <si>
    <t xml:space="preserve">2026.5.13</t>
  </si>
  <si>
    <t xml:space="preserve">王蕊</t>
  </si>
  <si>
    <t xml:space="preserve">19:00-21:00</t>
  </si>
  <si>
    <t xml:space="preserve">2026.5.14</t>
  </si>
  <si>
    <t xml:space="preserve">16:00-20:00</t>
  </si>
  <si>
    <t xml:space="preserve">20:00-22:00</t>
  </si>
  <si>
    <t xml:space="preserve">22:00-24:00</t>
  </si>
  <si>
    <t xml:space="preserve">2026.5.15</t>
  </si>
  <si>
    <t xml:space="preserve">2026.5.16</t>
  </si>
  <si>
    <t xml:space="preserve">2026.5.17</t>
  </si>
  <si>
    <t xml:space="preserve">16:00-18:00</t>
  </si>
  <si>
    <t xml:space="preserve">18:00-22:00</t>
  </si>
  <si>
    <t xml:space="preserve">2026.5.18</t>
  </si>
  <si>
    <t xml:space="preserve">2026.5.19</t>
  </si>
  <si>
    <t xml:space="preserve">2026.5.20</t>
  </si>
  <si>
    <t xml:space="preserve">郝泽晗</t>
  </si>
  <si>
    <t xml:space="preserve">于慧</t>
  </si>
  <si>
    <t xml:space="preserve">2026.5.21</t>
  </si>
  <si>
    <t xml:space="preserve">19:00-22:00</t>
  </si>
  <si>
    <t xml:space="preserve">2026.5.22</t>
  </si>
  <si>
    <t xml:space="preserve">2026.5.23</t>
  </si>
  <si>
    <t xml:space="preserve">00:00-03:00</t>
  </si>
  <si>
    <t xml:space="preserve">郭斯元双</t>
  </si>
  <si>
    <t xml:space="preserve">2026.5.24</t>
  </si>
  <si>
    <t xml:space="preserve">董柯言</t>
  </si>
  <si>
    <t xml:space="preserve">2026.5.25</t>
  </si>
  <si>
    <t xml:space="preserve">2026.5.26</t>
  </si>
  <si>
    <t xml:space="preserve">贾占通</t>
  </si>
  <si>
    <t xml:space="preserve">2026.5.27</t>
  </si>
  <si>
    <t xml:space="preserve">2026.5.28</t>
  </si>
  <si>
    <t xml:space="preserve">2026.5.29</t>
  </si>
  <si>
    <t xml:space="preserve">李寒玉</t>
  </si>
  <si>
    <t xml:space="preserve">17:00-21:00</t>
  </si>
  <si>
    <t xml:space="preserve">2026.5.30</t>
  </si>
  <si>
    <t xml:space="preserve">2026.5.31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</si>
  <si>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</si>
  <si>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</si>
  <si>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</si>
  <si>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</si>
  <si>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</si>
  <si>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</si>
  <si>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</si>
  <si>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</si>
  <si>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</si>
  <si>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</si>
  <si>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</si>
  <si>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</si>
  <si>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</si>
  <si>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</si>
  <si>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</si>
  <si>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</si>
  <si>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2026.4.01</t>
  </si>
  <si>
    <t xml:space="preserve">刘梦</t>
  </si>
  <si>
    <t xml:space="preserve">06:00-11:00</t>
  </si>
  <si>
    <t xml:space="preserve">郭斯元早</t>
  </si>
  <si>
    <t xml:space="preserve">孟治君</t>
  </si>
  <si>
    <t xml:space="preserve">井欣阅</t>
  </si>
  <si>
    <t xml:space="preserve">11:00-16:00</t>
  </si>
  <si>
    <t xml:space="preserve">陈旭</t>
  </si>
  <si>
    <t xml:space="preserve">16:00-18:00</t>
  </si>
  <si>
    <t xml:space="preserve">王硕硕</t>
  </si>
  <si>
    <t xml:space="preserve">18:00-21:00</t>
  </si>
  <si>
    <t xml:space="preserve">刘杰宇</t>
  </si>
  <si>
    <t xml:space="preserve">21:00-2:00</t>
  </si>
  <si>
    <t xml:space="preserve">任子硕晚</t>
  </si>
  <si>
    <t xml:space="preserve">孟冶君</t>
  </si>
  <si>
    <t xml:space="preserve">2026.4.02</t>
  </si>
  <si>
    <t xml:space="preserve">郭子硕</t>
  </si>
  <si>
    <t xml:space="preserve">任子硕双</t>
  </si>
  <si>
    <t xml:space="preserve">2026.4.03</t>
  </si>
  <si>
    <t xml:space="preserve">18:00-22:00</t>
  </si>
  <si>
    <t xml:space="preserve">22:00-2:00</t>
  </si>
  <si>
    <t xml:space="preserve">2026.4.04</t>
  </si>
  <si>
    <t xml:space="preserve">邓大攀</t>
  </si>
  <si>
    <t xml:space="preserve">2026.4.05</t>
  </si>
  <si>
    <t xml:space="preserve">04:00-8:00</t>
  </si>
  <si>
    <t xml:space="preserve">8:00-13:00</t>
  </si>
  <si>
    <t xml:space="preserve">13:00-17:00</t>
  </si>
  <si>
    <t xml:space="preserve">17:00-21:00</t>
  </si>
  <si>
    <t xml:space="preserve">2026.4.06</t>
  </si>
  <si>
    <t xml:space="preserve">2026.4.07</t>
  </si>
  <si>
    <t xml:space="preserve">8:00-12:00</t>
  </si>
  <si>
    <t xml:space="preserve">12:00-17:00</t>
  </si>
  <si>
    <t xml:space="preserve">2026.4.08</t>
  </si>
  <si>
    <t xml:space="preserve">2026.4.09</t>
  </si>
  <si>
    <t xml:space="preserve">董柯言早</t>
  </si>
  <si>
    <t xml:space="preserve">2026.4.10</t>
  </si>
  <si>
    <t xml:space="preserve">2026.4.11</t>
  </si>
  <si>
    <t xml:space="preserve">04:00-9:00</t>
  </si>
  <si>
    <t xml:space="preserve">9:00-14:00</t>
  </si>
  <si>
    <t xml:space="preserve">14:00-18:00</t>
  </si>
  <si>
    <t xml:space="preserve">2026.4.12</t>
  </si>
  <si>
    <t xml:space="preserve">9:00-13:00</t>
  </si>
  <si>
    <t xml:space="preserve">13:00-18:00</t>
  </si>
  <si>
    <t xml:space="preserve">2026.4.13</t>
  </si>
  <si>
    <t xml:space="preserve">2026.4.14</t>
  </si>
  <si>
    <t xml:space="preserve">17:00-19:30</t>
  </si>
  <si>
    <t xml:space="preserve">21:30-2:00</t>
  </si>
  <si>
    <t xml:space="preserve">2026.4.15</t>
  </si>
  <si>
    <t xml:space="preserve">2026.4.16</t>
  </si>
  <si>
    <t xml:space="preserve">2026.4.17</t>
  </si>
  <si>
    <t xml:space="preserve">21:00-24:00</t>
  </si>
  <si>
    <t xml:space="preserve">任子硕</t>
  </si>
  <si>
    <t xml:space="preserve">2026.4.18</t>
  </si>
  <si>
    <t xml:space="preserve">2026.4.19</t>
  </si>
  <si>
    <t xml:space="preserve">2026.4.20</t>
  </si>
  <si>
    <t xml:space="preserve">郝泽晗早</t>
  </si>
  <si>
    <t xml:space="preserve">郭斯元晚</t>
  </si>
  <si>
    <t xml:space="preserve">2026.4.21</t>
  </si>
  <si>
    <t xml:space="preserve">任子硕早</t>
  </si>
  <si>
    <t xml:space="preserve">12:00-16:00</t>
  </si>
  <si>
    <t xml:space="preserve">16:00-16:36</t>
  </si>
  <si>
    <t xml:space="preserve">郭斯元双</t>
  </si>
  <si>
    <t xml:space="preserve">2026.4.24</t>
  </si>
  <si>
    <t xml:space="preserve">17:00-22:00</t>
  </si>
  <si>
    <t xml:space="preserve">22:00-24:00</t>
  </si>
  <si>
    <t xml:space="preserve">2026.4.25</t>
  </si>
  <si>
    <t xml:space="preserve">00:00-03:00</t>
  </si>
  <si>
    <t xml:space="preserve">03:00-07:00</t>
  </si>
  <si>
    <t xml:space="preserve">07:00-11:00</t>
  </si>
  <si>
    <t xml:space="preserve">11:00-15:00</t>
  </si>
  <si>
    <t xml:space="preserve">郭斯元</t>
  </si>
  <si>
    <t xml:space="preserve">田宇尚</t>
  </si>
  <si>
    <t xml:space="preserve">15:00-17:00</t>
  </si>
  <si>
    <t xml:space="preserve">2026.4.26</t>
  </si>
  <si>
    <t xml:space="preserve">00:00-02:00</t>
  </si>
  <si>
    <t xml:space="preserve">02:00-07:00</t>
  </si>
  <si>
    <t xml:space="preserve">2026.4.27</t>
  </si>
  <si>
    <t xml:space="preserve">2026.4.28</t>
  </si>
  <si>
    <t xml:space="preserve">2026.4.29</t>
  </si>
  <si>
    <t xml:space="preserve">王亚倩</t>
  </si>
  <si>
    <t xml:space="preserve">郝泽晗双</t>
  </si>
  <si>
    <t xml:space="preserve">高娟</t>
  </si>
  <si>
    <t xml:space="preserve">董柯言</t>
  </si>
  <si>
    <t xml:space="preserve">2026.4.30</t>
  </si>
  <si>
    <t xml:space="preserve">李哲</t>
  </si>
  <si>
    <t xml:space="preserve">董柯言双</t>
  </si>
  <si>
    <t xml:space="preserve">17:00-20:00</t>
  </si>
  <si>
    <t xml:space="preserve">21:30-24:00</t>
  </si>
  <si>
    <t xml:space="preserve">保单数</t>
  </si>
  <si>
    <t xml:space="preserve">年华保费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</si>
  <si>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</si>
  <si>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</si>
  <si>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</si>
  <si>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</si>
  <si>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</si>
  <si>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</si>
  <si>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</si>
  <si>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</si>
  <si>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</si>
  <si>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</si>
  <si>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</si>
  <si>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</si>
  <si>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</si>
  <si>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</si>
  <si>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</si>
  <si>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</si>
  <si>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</si>
  <si>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2026.3.1</t>
  </si>
  <si>
    <t xml:space="preserve">王硕硕</t>
  </si>
  <si>
    <t xml:space="preserve">06:00-11:00</t>
  </si>
  <si>
    <t xml:space="preserve">李寒玉早</t>
  </si>
  <si>
    <t xml:space="preserve">孟治君</t>
  </si>
  <si>
    <t xml:space="preserve">刘梦</t>
  </si>
  <si>
    <t xml:space="preserve">11:00-16:00</t>
  </si>
  <si>
    <t xml:space="preserve">刘杰宇</t>
  </si>
  <si>
    <t xml:space="preserve">16:00-21:00</t>
  </si>
  <si>
    <t xml:space="preserve">郭子硕</t>
  </si>
  <si>
    <t xml:space="preserve">21:00-24:00</t>
  </si>
  <si>
    <t xml:space="preserve">郝泽晗晚</t>
  </si>
  <si>
    <t xml:space="preserve">孟冶君</t>
  </si>
  <si>
    <t xml:space="preserve">2026.3.2</t>
  </si>
  <si>
    <t xml:space="preserve">21:00-2:00</t>
  </si>
  <si>
    <t xml:space="preserve">2026.3.3</t>
  </si>
  <si>
    <t xml:space="preserve">董柯言双</t>
  </si>
  <si>
    <t xml:space="preserve">郭斯元晚</t>
  </si>
  <si>
    <t xml:space="preserve">2026.3.4</t>
  </si>
  <si>
    <t xml:space="preserve">贾占通早</t>
  </si>
  <si>
    <t xml:space="preserve">2026.3.5</t>
  </si>
  <si>
    <t xml:space="preserve">2026.3.6</t>
  </si>
  <si>
    <t xml:space="preserve">郝泽晗早</t>
  </si>
  <si>
    <t xml:space="preserve">2026.3.7</t>
  </si>
  <si>
    <t xml:space="preserve">2026.3.8</t>
  </si>
  <si>
    <t xml:space="preserve">2026.3.9</t>
  </si>
  <si>
    <t xml:space="preserve">闫雪儒早</t>
  </si>
  <si>
    <t xml:space="preserve">2026.3.10</t>
  </si>
  <si>
    <t xml:space="preserve">2026.3.11</t>
  </si>
  <si>
    <t xml:space="preserve">郭斯元早</t>
  </si>
  <si>
    <t xml:space="preserve">2026.3.12</t>
  </si>
  <si>
    <t xml:space="preserve">16:00-20:00</t>
  </si>
  <si>
    <t xml:space="preserve">井欣阅</t>
  </si>
  <si>
    <t xml:space="preserve">20:00-22:00</t>
  </si>
  <si>
    <t xml:space="preserve">22:00-2:00</t>
  </si>
  <si>
    <t xml:space="preserve">2026.3.13</t>
  </si>
  <si>
    <t xml:space="preserve">2026.3.14</t>
  </si>
  <si>
    <t xml:space="preserve">06:00-12:00</t>
  </si>
  <si>
    <t xml:space="preserve">12:00-18:00</t>
  </si>
  <si>
    <t xml:space="preserve">18:00-21:00</t>
  </si>
  <si>
    <t xml:space="preserve">2026.3.15</t>
  </si>
  <si>
    <t xml:space="preserve">11:00-17:00</t>
  </si>
  <si>
    <t xml:space="preserve">17:00-20:00</t>
  </si>
  <si>
    <t xml:space="preserve">20:00-2:00</t>
  </si>
  <si>
    <t xml:space="preserve">2026.3.16</t>
  </si>
  <si>
    <t xml:space="preserve">2026.3.17</t>
  </si>
  <si>
    <t xml:space="preserve">2026.3.18</t>
  </si>
  <si>
    <t xml:space="preserve">2026.3.19</t>
  </si>
  <si>
    <t xml:space="preserve">22:00-23:00</t>
  </si>
  <si>
    <t xml:space="preserve">郝泽晗</t>
  </si>
  <si>
    <t xml:space="preserve">2026.3.20</t>
  </si>
  <si>
    <t xml:space="preserve">14:00-18:00</t>
  </si>
  <si>
    <t xml:space="preserve">18:00-22:00</t>
  </si>
  <si>
    <t xml:space="preserve"> 22:00-02:00</t>
  </si>
  <si>
    <t xml:space="preserve">2026.3.21</t>
  </si>
  <si>
    <t xml:space="preserve">06:00-10:00</t>
  </si>
  <si>
    <t xml:space="preserve">10:00-13:00</t>
  </si>
  <si>
    <t xml:space="preserve">13:00-17:00</t>
  </si>
  <si>
    <t xml:space="preserve">17:00-21:00</t>
  </si>
  <si>
    <t xml:space="preserve"> 21:00-02:00</t>
  </si>
  <si>
    <t xml:space="preserve">2026.3.22</t>
  </si>
  <si>
    <t xml:space="preserve">10:00-14:00</t>
  </si>
  <si>
    <t xml:space="preserve">2026.3.23</t>
  </si>
  <si>
    <t xml:space="preserve">2026.3.24</t>
  </si>
  <si>
    <t xml:space="preserve">何彩樱晚</t>
  </si>
  <si>
    <t xml:space="preserve">2026.3.25</t>
  </si>
  <si>
    <t xml:space="preserve">2026.3.26</t>
  </si>
  <si>
    <t xml:space="preserve">2026.3.27</t>
  </si>
  <si>
    <t xml:space="preserve">2026.3.28</t>
  </si>
  <si>
    <t xml:space="preserve">2026.3.29</t>
  </si>
  <si>
    <t xml:space="preserve">2026.3.30</t>
  </si>
  <si>
    <t xml:space="preserve">2026.3.31</t>
  </si>
  <si>
    <t xml:space="preserve">陈旭</t>
  </si>
  <si>
    <t xml:space="preserve">16:00-18:00</t>
  </si>
  <si>
    <t xml:space="preserve">微保2的3月份数据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</si>
  <si>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</si>
  <si>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</si>
  <si>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</si>
  <si>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</si>
  <si>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</si>
  <si>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</si>
  <si>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</si>
  <si>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</si>
  <si>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</si>
  <si>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</si>
  <si>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</si>
  <si>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</si>
  <si>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</si>
  <si>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</si>
  <si>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</si>
  <si>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</si>
  <si>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</si>
  <si>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2026.2.1</t>
  </si>
  <si>
    <t xml:space="preserve">刘杰宇</t>
  </si>
  <si>
    <t xml:space="preserve">16:00-20:00</t>
  </si>
  <si>
    <t xml:space="preserve">郭斯元双</t>
  </si>
  <si>
    <t xml:space="preserve">孟治君</t>
  </si>
  <si>
    <t xml:space="preserve">王硕硕</t>
  </si>
  <si>
    <t xml:space="preserve">20:00-24:00</t>
  </si>
  <si>
    <t xml:space="preserve">2026.2.2</t>
  </si>
  <si>
    <t xml:space="preserve">2026.2.3</t>
  </si>
  <si>
    <t xml:space="preserve">闫雪儒</t>
  </si>
  <si>
    <t xml:space="preserve">2026.2.4</t>
  </si>
  <si>
    <t xml:space="preserve">2026.2.5</t>
  </si>
  <si>
    <t xml:space="preserve">郝泽晗</t>
  </si>
  <si>
    <t xml:space="preserve">2026.2.6</t>
  </si>
  <si>
    <t xml:space="preserve">2026.2.7</t>
  </si>
  <si>
    <t xml:space="preserve">2026.2.8</t>
  </si>
  <si>
    <t xml:space="preserve">2026.2.9</t>
  </si>
  <si>
    <t xml:space="preserve">19:00-24:00</t>
  </si>
  <si>
    <t xml:space="preserve">2026.2.10</t>
  </si>
  <si>
    <t xml:space="preserve">2026.2.11</t>
  </si>
  <si>
    <t xml:space="preserve">2026.2.12</t>
  </si>
  <si>
    <t xml:space="preserve">08:30-12:00</t>
  </si>
  <si>
    <t xml:space="preserve">李哲双</t>
  </si>
  <si>
    <t xml:space="preserve">12:00-16:00</t>
  </si>
  <si>
    <t xml:space="preserve">刘梦</t>
  </si>
  <si>
    <t xml:space="preserve">郭子硕</t>
  </si>
  <si>
    <t xml:space="preserve">孟冶君</t>
  </si>
  <si>
    <t xml:space="preserve">2026.2.13</t>
  </si>
  <si>
    <t xml:space="preserve">08:00-12:00</t>
  </si>
  <si>
    <t xml:space="preserve">李子健</t>
  </si>
  <si>
    <t xml:space="preserve">2026.2.14</t>
  </si>
  <si>
    <t xml:space="preserve">董柯言双</t>
  </si>
  <si>
    <t xml:space="preserve">2026.2.15</t>
  </si>
  <si>
    <t xml:space="preserve">09:00-14:00</t>
  </si>
  <si>
    <t xml:space="preserve">王学伟双</t>
  </si>
  <si>
    <t xml:space="preserve">14:00-19:00</t>
  </si>
  <si>
    <t xml:space="preserve">郭斯元</t>
  </si>
  <si>
    <t xml:space="preserve">2026.2.16</t>
  </si>
  <si>
    <t xml:space="preserve">王学伟</t>
  </si>
  <si>
    <t xml:space="preserve">郝泽晗双</t>
  </si>
  <si>
    <t xml:space="preserve">2026.2.17</t>
  </si>
  <si>
    <t xml:space="preserve">2026.2.18</t>
  </si>
  <si>
    <t xml:space="preserve">2026.2.19</t>
  </si>
  <si>
    <t xml:space="preserve">高琎梅</t>
  </si>
  <si>
    <t xml:space="preserve">2026.2.20</t>
  </si>
  <si>
    <t xml:space="preserve">李寒玉双</t>
  </si>
  <si>
    <t xml:space="preserve">2026.2.21</t>
  </si>
  <si>
    <t xml:space="preserve">贾占通</t>
  </si>
  <si>
    <t xml:space="preserve">2026.2.22</t>
  </si>
  <si>
    <t xml:space="preserve">2026.2.23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</si>
  <si>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</si>
  <si>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</si>
  <si>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</si>
  <si>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</si>
  <si>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</si>
  <si>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</si>
  <si>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</si>
  <si>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</si>
  <si>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</si>
  <si>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</si>
  <si>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</si>
  <si>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</si>
  <si>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</si>
  <si>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</si>
  <si>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</si>
  <si>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</si>
  <si>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</si>
  <si>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</si>
  <si>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</si>
  <si>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</si>
  <si>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</si>
  <si>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</si>
  <si>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2026.1.1</t>
  </si>
  <si>
    <t xml:space="preserve">王硕硕</t>
  </si>
  <si>
    <t xml:space="preserve">06:00-11:00</t>
  </si>
  <si>
    <t xml:space="preserve">张滋怡早</t>
  </si>
  <si>
    <t xml:space="preserve">郝旭靓</t>
  </si>
  <si>
    <t xml:space="preserve">11:00-15:00</t>
  </si>
  <si>
    <t xml:space="preserve">孟冶君</t>
  </si>
  <si>
    <t xml:space="preserve">刘杰宇</t>
  </si>
  <si>
    <t xml:space="preserve">16:00-21:00</t>
  </si>
  <si>
    <t xml:space="preserve">郭子硕</t>
  </si>
  <si>
    <t xml:space="preserve">21:00-02:00</t>
  </si>
  <si>
    <t xml:space="preserve">贾占通晚</t>
  </si>
  <si>
    <t xml:space="preserve">叶有好</t>
  </si>
  <si>
    <t xml:space="preserve">2026.1.2</t>
  </si>
  <si>
    <t xml:space="preserve">11:00-16:00</t>
  </si>
  <si>
    <t xml:space="preserve">闫雪儒双</t>
  </si>
  <si>
    <t xml:space="preserve">2026.1.3</t>
  </si>
  <si>
    <t xml:space="preserve">2026.1.4</t>
  </si>
  <si>
    <t xml:space="preserve">魏迪早</t>
  </si>
  <si>
    <t xml:space="preserve">蒲奕西</t>
  </si>
  <si>
    <t xml:space="preserve">2026.1.5</t>
  </si>
  <si>
    <t xml:space="preserve">06:50-10:00</t>
  </si>
  <si>
    <t xml:space="preserve">魏迪</t>
  </si>
  <si>
    <t xml:space="preserve">2026.1.6</t>
  </si>
  <si>
    <t xml:space="preserve">8:00-12:00</t>
  </si>
  <si>
    <t xml:space="preserve">12:00-16:00</t>
  </si>
  <si>
    <t xml:space="preserve">2026.1.7</t>
  </si>
  <si>
    <t xml:space="preserve">2026.1.8</t>
  </si>
  <si>
    <t xml:space="preserve">08:00-12:00</t>
  </si>
  <si>
    <t xml:space="preserve">魏迪双</t>
  </si>
  <si>
    <t xml:space="preserve">孟治君</t>
  </si>
  <si>
    <t xml:space="preserve">2026.1.9</t>
  </si>
  <si>
    <t xml:space="preserve">08:00-13:00</t>
  </si>
  <si>
    <t xml:space="preserve">13:00-17:00</t>
  </si>
  <si>
    <t xml:space="preserve">17:00-21:00</t>
  </si>
  <si>
    <t xml:space="preserve">2026.1.10</t>
  </si>
  <si>
    <t xml:space="preserve">08:00-12:30</t>
  </si>
  <si>
    <t xml:space="preserve">15:30-17:00</t>
  </si>
  <si>
    <t xml:space="preserve">17:00-22:00</t>
  </si>
  <si>
    <t xml:space="preserve">22:00-02:00</t>
  </si>
  <si>
    <t xml:space="preserve">2026.1.11</t>
  </si>
  <si>
    <t xml:space="preserve">22:00-01:00</t>
  </si>
  <si>
    <t xml:space="preserve">贾占通</t>
  </si>
  <si>
    <t xml:space="preserve">2026.1.12</t>
  </si>
  <si>
    <t xml:space="preserve">13:00-18:00</t>
  </si>
  <si>
    <t xml:space="preserve">18:00-22:00</t>
  </si>
  <si>
    <t xml:space="preserve">郭斯元晚</t>
  </si>
  <si>
    <t xml:space="preserve">2026.1.13</t>
  </si>
  <si>
    <t xml:space="preserve">16:00-20:00</t>
  </si>
  <si>
    <t xml:space="preserve">22:00-24:00</t>
  </si>
  <si>
    <t xml:space="preserve">郭斯元双</t>
  </si>
  <si>
    <t xml:space="preserve">2026.1.14</t>
  </si>
  <si>
    <t xml:space="preserve">任子硕</t>
  </si>
  <si>
    <t xml:space="preserve">2026.1.15</t>
  </si>
  <si>
    <t xml:space="preserve">高娟</t>
  </si>
  <si>
    <t xml:space="preserve">20:00-24:00</t>
  </si>
  <si>
    <t xml:space="preserve">2026.1.16</t>
  </si>
  <si>
    <t xml:space="preserve">21:00-24:00</t>
  </si>
  <si>
    <t xml:space="preserve">2026.1.17</t>
  </si>
  <si>
    <t xml:space="preserve">郝泽晗</t>
  </si>
  <si>
    <t xml:space="preserve">2026.1.18</t>
  </si>
  <si>
    <t xml:space="preserve">2026.1.19</t>
  </si>
  <si>
    <t xml:space="preserve">2026.1.20</t>
  </si>
  <si>
    <t xml:space="preserve">20:00-22:00</t>
  </si>
  <si>
    <t xml:space="preserve">2026.1.21</t>
  </si>
  <si>
    <t xml:space="preserve">2026.1.22</t>
  </si>
  <si>
    <t xml:space="preserve">2026.1.23</t>
  </si>
  <si>
    <t xml:space="preserve">2026.1.24</t>
  </si>
  <si>
    <t xml:space="preserve">2026.1.25</t>
  </si>
  <si>
    <t xml:space="preserve">2026.1.26</t>
  </si>
  <si>
    <t xml:space="preserve">2026.1.27</t>
  </si>
  <si>
    <t xml:space="preserve">2026.1.28</t>
  </si>
  <si>
    <t xml:space="preserve">8:00-13:00</t>
  </si>
  <si>
    <t xml:space="preserve">2026.1.29</t>
  </si>
  <si>
    <t xml:space="preserve">2026.1.30</t>
  </si>
  <si>
    <t xml:space="preserve">2026.1.31</t>
  </si>
  <si>
    <t xml:space="preserve">董柯言双</t>
  </si>
  <si>
    <t xml:space="preserve">20:00-23:00</t>
  </si>
  <si>
    <t xml:space="preserve">何彩樱双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</si>
  <si>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</si>
  <si>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</si>
  <si>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</si>
  <si>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</si>
  <si>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</si>
  <si>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</si>
  <si>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</si>
  <si>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</si>
  <si>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</si>
  <si>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</si>
  <si>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</si>
  <si>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</si>
  <si>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</si>
  <si>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</si>
  <si>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</si>
  <si>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</si>
  <si>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2025.12.1</t>
  </si>
  <si>
    <t xml:space="preserve">郭子硕</t>
  </si>
  <si>
    <t xml:space="preserve">16:00-20:00</t>
  </si>
  <si>
    <t xml:space="preserve">王硕硕</t>
  </si>
  <si>
    <t xml:space="preserve">20:00-24:00</t>
  </si>
  <si>
    <t xml:space="preserve">何彩樱</t>
  </si>
  <si>
    <t xml:space="preserve">孟治君</t>
  </si>
  <si>
    <t xml:space="preserve">2025.12.2</t>
  </si>
  <si>
    <t xml:space="preserve">刘杰宇</t>
  </si>
  <si>
    <t xml:space="preserve">20:00-23:00</t>
  </si>
  <si>
    <t xml:space="preserve">2025.12.3</t>
  </si>
  <si>
    <t xml:space="preserve">16:00-19:00</t>
  </si>
  <si>
    <t xml:space="preserve">19:00-23:00</t>
  </si>
  <si>
    <t xml:space="preserve">2025.12.4</t>
  </si>
  <si>
    <t xml:space="preserve">8:00-12:00</t>
  </si>
  <si>
    <t xml:space="preserve">12:00-15:00</t>
  </si>
  <si>
    <t xml:space="preserve">陈思钰</t>
  </si>
  <si>
    <t xml:space="preserve">2025.12.5</t>
  </si>
  <si>
    <t xml:space="preserve">12:00-16:00</t>
  </si>
  <si>
    <t xml:space="preserve">2025.12.6</t>
  </si>
  <si>
    <t xml:space="preserve">2025.12.7</t>
  </si>
  <si>
    <t xml:space="preserve">2025.12.8</t>
  </si>
  <si>
    <t xml:space="preserve">2025.12.9</t>
  </si>
  <si>
    <t xml:space="preserve">16:00-18:00</t>
  </si>
  <si>
    <t xml:space="preserve">2025.12.10</t>
  </si>
  <si>
    <t xml:space="preserve">2025.12.11</t>
  </si>
  <si>
    <t xml:space="preserve">19:00-24:00</t>
  </si>
  <si>
    <t xml:space="preserve">2025.12.12</t>
  </si>
  <si>
    <t xml:space="preserve">2025.12.13</t>
  </si>
  <si>
    <t xml:space="preserve">2025.12.14</t>
  </si>
  <si>
    <t xml:space="preserve">2025.12.15</t>
  </si>
  <si>
    <t xml:space="preserve">2025.12.16</t>
  </si>
  <si>
    <t xml:space="preserve">2025.12.17</t>
  </si>
  <si>
    <t xml:space="preserve">2025.12.18</t>
  </si>
  <si>
    <t xml:space="preserve">2025.12.19</t>
  </si>
  <si>
    <t xml:space="preserve">2025.12.20</t>
  </si>
  <si>
    <t xml:space="preserve">2025.12.21</t>
  </si>
  <si>
    <t xml:space="preserve">2025.12.22</t>
  </si>
  <si>
    <t xml:space="preserve">2025.12.23</t>
  </si>
  <si>
    <t xml:space="preserve">任子硕双</t>
  </si>
  <si>
    <t xml:space="preserve">2025.12.24</t>
  </si>
  <si>
    <t xml:space="preserve">贾占通</t>
  </si>
  <si>
    <t xml:space="preserve">2025.12.25</t>
  </si>
  <si>
    <t xml:space="preserve">2025.12.26</t>
  </si>
  <si>
    <t xml:space="preserve">2025.12.27</t>
  </si>
  <si>
    <t xml:space="preserve">2025.12.28</t>
  </si>
  <si>
    <t xml:space="preserve">2025.12.29</t>
  </si>
  <si>
    <t xml:space="preserve">2025.12.30</t>
  </si>
  <si>
    <t xml:space="preserve">2025.12.31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</si>
  <si>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</si>
  <si>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</si>
  <si>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</si>
  <si>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</si>
  <si>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</si>
  <si>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</si>
  <si>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</si>
  <si>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</si>
  <si>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</si>
  <si>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</si>
  <si>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</si>
  <si>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</si>
  <si>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</si>
  <si>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</si>
  <si>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</si>
  <si>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</si>
  <si>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2025.11.01</t>
  </si>
  <si>
    <t xml:space="preserve">郝旭靓</t>
  </si>
  <si>
    <t xml:space="preserve">7:00-12:00</t>
  </si>
  <si>
    <t xml:space="preserve">任子硕</t>
  </si>
  <si>
    <t xml:space="preserve">王硕硕</t>
  </si>
  <si>
    <t xml:space="preserve">12:00-17:00</t>
  </si>
  <si>
    <t xml:space="preserve">刘杰宇</t>
  </si>
  <si>
    <t xml:space="preserve">17:00-21:00</t>
  </si>
  <si>
    <t xml:space="preserve">姜可心</t>
  </si>
  <si>
    <t xml:space="preserve">21:00-01:00</t>
  </si>
  <si>
    <t xml:space="preserve">郭斯元</t>
  </si>
  <si>
    <t xml:space="preserve">2025.11.02</t>
  </si>
  <si>
    <t xml:space="preserve">06:00-11:00</t>
  </si>
  <si>
    <t xml:space="preserve">任子硕早</t>
  </si>
  <si>
    <t xml:space="preserve">11:00-16:00</t>
  </si>
  <si>
    <t xml:space="preserve">16:00-21:00</t>
  </si>
  <si>
    <t xml:space="preserve">21:00-02:00</t>
  </si>
  <si>
    <t xml:space="preserve">郭斯元晚</t>
  </si>
  <si>
    <t xml:space="preserve">2025.11.03</t>
  </si>
  <si>
    <t xml:space="preserve">陈思钰早</t>
  </si>
  <si>
    <t xml:space="preserve">2025.11.04</t>
  </si>
  <si>
    <t xml:space="preserve">2025.11.05</t>
  </si>
  <si>
    <t xml:space="preserve">2025.11.06</t>
  </si>
  <si>
    <t xml:space="preserve">2025.11.07</t>
  </si>
  <si>
    <t xml:space="preserve">2025.11.08</t>
  </si>
  <si>
    <t xml:space="preserve">2025.11.09</t>
  </si>
  <si>
    <t xml:space="preserve">2025.11.10</t>
  </si>
  <si>
    <t xml:space="preserve">2025.11.11</t>
  </si>
  <si>
    <t xml:space="preserve">何彩樱</t>
  </si>
  <si>
    <t xml:space="preserve">2025.11.12</t>
  </si>
  <si>
    <t xml:space="preserve">2025.11.13</t>
  </si>
  <si>
    <t xml:space="preserve">06:00-10:00</t>
  </si>
  <si>
    <t xml:space="preserve">10:00-15:00</t>
  </si>
  <si>
    <t xml:space="preserve">15:00-20:00</t>
  </si>
  <si>
    <t xml:space="preserve">20:00-01:00</t>
  </si>
  <si>
    <t xml:space="preserve">2025.11.14</t>
  </si>
  <si>
    <t xml:space="preserve">蒲奕西</t>
  </si>
  <si>
    <t xml:space="preserve">15:00-19:30</t>
  </si>
  <si>
    <t xml:space="preserve">何彩樱晚</t>
  </si>
  <si>
    <t xml:space="preserve">2025.11.15</t>
  </si>
  <si>
    <t xml:space="preserve">2025.11.16</t>
  </si>
  <si>
    <t xml:space="preserve">2025.11.17</t>
  </si>
  <si>
    <t xml:space="preserve">2025.11.18</t>
  </si>
  <si>
    <t xml:space="preserve">2025.11.19</t>
  </si>
  <si>
    <t xml:space="preserve">2025.11.20</t>
  </si>
  <si>
    <t xml:space="preserve">06:00-11:00（8:00-8:30未开播）</t>
  </si>
  <si>
    <t xml:space="preserve">2025.11.21</t>
  </si>
  <si>
    <t xml:space="preserve">2025.11.22</t>
  </si>
  <si>
    <t xml:space="preserve">2025.11.23</t>
  </si>
  <si>
    <t xml:space="preserve">2025.11.24</t>
  </si>
  <si>
    <t xml:space="preserve">16:00-20:00</t>
  </si>
  <si>
    <t xml:space="preserve">20:00-24:00</t>
  </si>
  <si>
    <t xml:space="preserve">2025.11.25</t>
  </si>
  <si>
    <t xml:space="preserve">2025.11.26</t>
  </si>
  <si>
    <t xml:space="preserve">2025.11.27</t>
  </si>
  <si>
    <t xml:space="preserve">2025.11.28</t>
  </si>
  <si>
    <t xml:space="preserve">郭子硕</t>
  </si>
  <si>
    <t xml:space="preserve">2025.11.29</t>
  </si>
  <si>
    <t xml:space="preserve">2025.11.30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</si>
  <si>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</si>
  <si>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</si>
  <si>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</si>
  <si>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</si>
  <si>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</si>
  <si>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纯投放保单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</si>
  <si>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</si>
  <si>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</si>
  <si>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</si>
  <si>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</si>
  <si>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</si>
  <si>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</si>
  <si>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</si>
  <si>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</si>
  <si>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</si>
  <si>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助播2</t>
  </si>
  <si>
    <t xml:space="preserve">投手</t>
  </si>
  <si>
    <t xml:space="preserve">时长</t>
  </si>
  <si>
    <t xml:space="preserve">2025.10.1</t>
  </si>
  <si>
    <t xml:space="preserve">王硕硕</t>
  </si>
  <si>
    <t xml:space="preserve">08:00-13:00</t>
  </si>
  <si>
    <t xml:space="preserve">陈思钰双</t>
  </si>
  <si>
    <t xml:space="preserve">刘杰宇</t>
  </si>
  <si>
    <t xml:space="preserve">16:00-20:00</t>
  </si>
  <si>
    <t xml:space="preserve">刘慕涵</t>
  </si>
  <si>
    <t xml:space="preserve">20:00-24:00</t>
  </si>
  <si>
    <t xml:space="preserve">郭斯元</t>
  </si>
  <si>
    <t xml:space="preserve">2025.10.2</t>
  </si>
  <si>
    <t xml:space="preserve">郝旭靓</t>
  </si>
  <si>
    <t xml:space="preserve">08:00-12:00</t>
  </si>
  <si>
    <t xml:space="preserve">姜可心</t>
  </si>
  <si>
    <t xml:space="preserve">2025.10.3</t>
  </si>
  <si>
    <t xml:space="preserve">12:00-16:00</t>
  </si>
  <si>
    <t xml:space="preserve">16:00-19:00</t>
  </si>
  <si>
    <t xml:space="preserve">19:00-24:00</t>
  </si>
  <si>
    <t xml:space="preserve">2025.10.4</t>
  </si>
  <si>
    <t xml:space="preserve">11:00-15:00</t>
  </si>
  <si>
    <t xml:space="preserve">任子硕</t>
  </si>
  <si>
    <t xml:space="preserve">雷紫璇</t>
  </si>
  <si>
    <t xml:space="preserve">15:00-19:00</t>
  </si>
  <si>
    <t xml:space="preserve">闫雪儒双</t>
  </si>
  <si>
    <t xml:space="preserve">2025.10.5</t>
  </si>
  <si>
    <t xml:space="preserve">任子硕双</t>
  </si>
  <si>
    <t xml:space="preserve">2025.10.6</t>
  </si>
  <si>
    <t xml:space="preserve">2025.10.7</t>
  </si>
  <si>
    <t xml:space="preserve">11:00-16:00</t>
  </si>
  <si>
    <t xml:space="preserve">2025.10.8</t>
  </si>
  <si>
    <t xml:space="preserve">陈思钰</t>
  </si>
  <si>
    <t xml:space="preserve">2025.10.9</t>
  </si>
  <si>
    <t xml:space="preserve">2025.10.10</t>
  </si>
  <si>
    <t xml:space="preserve">11:00-16:30</t>
  </si>
  <si>
    <t xml:space="preserve">2025.10.11</t>
  </si>
  <si>
    <t xml:space="preserve">12:00-17:00</t>
  </si>
  <si>
    <t xml:space="preserve">17:00-20:00</t>
  </si>
  <si>
    <t xml:space="preserve">2025.10.12</t>
  </si>
  <si>
    <t xml:space="preserve">8:00-13:00</t>
  </si>
  <si>
    <t xml:space="preserve">13:00-17:00</t>
  </si>
  <si>
    <t xml:space="preserve">2025.10.13</t>
  </si>
  <si>
    <t xml:space="preserve">2025.10.14</t>
  </si>
  <si>
    <t xml:space="preserve">8:00-12:00</t>
  </si>
  <si>
    <t xml:space="preserve">17:00-21:00</t>
  </si>
  <si>
    <t xml:space="preserve">21:00-01:00</t>
  </si>
  <si>
    <t xml:space="preserve">2025.10.15</t>
  </si>
  <si>
    <t xml:space="preserve">2025.10.16</t>
  </si>
  <si>
    <t xml:space="preserve">13:00-16:00</t>
  </si>
  <si>
    <t xml:space="preserve">2025.10.17</t>
  </si>
  <si>
    <t xml:space="preserve">2025.10.18</t>
  </si>
  <si>
    <t xml:space="preserve">2025.10.19</t>
  </si>
  <si>
    <t xml:space="preserve">16:00-21:00</t>
  </si>
  <si>
    <t xml:space="preserve">2025.10.20</t>
  </si>
  <si>
    <t xml:space="preserve">2025.10.21</t>
  </si>
  <si>
    <t xml:space="preserve">2025.10.22</t>
  </si>
  <si>
    <t xml:space="preserve">2025.10.23</t>
  </si>
  <si>
    <t xml:space="preserve">2025.10.24</t>
  </si>
  <si>
    <t xml:space="preserve">7:00-12:00</t>
  </si>
  <si>
    <t xml:space="preserve">蒲亦西</t>
  </si>
  <si>
    <t xml:space="preserve">2025.10.25</t>
  </si>
  <si>
    <t xml:space="preserve">7:30-12:00</t>
  </si>
  <si>
    <t xml:space="preserve">21:00-01:30</t>
  </si>
  <si>
    <t xml:space="preserve">2025.10.26</t>
  </si>
  <si>
    <t xml:space="preserve">闫雪儒</t>
  </si>
  <si>
    <t xml:space="preserve">2025.10.27</t>
  </si>
  <si>
    <t xml:space="preserve">李哲</t>
  </si>
  <si>
    <t xml:space="preserve">2025.10.28</t>
  </si>
  <si>
    <t xml:space="preserve">7:00-10:00</t>
  </si>
  <si>
    <t xml:space="preserve">2025.10.31</t>
  </si>
  <si>
    <t xml:space="preserve">10:00-15:00</t>
  </si>
  <si>
    <t xml:space="preserve">15:00-20:00</t>
  </si>
  <si>
    <t xml:space="preserve">20:00-01:00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</si>
  <si>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</si>
  <si>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</si>
  <si>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</si>
  <si>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</si>
  <si>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</si>
  <si>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纯投放保单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</si>
  <si>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</si>
  <si>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</si>
  <si>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</si>
  <si>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</si>
  <si>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</si>
  <si>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</si>
  <si>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</si>
  <si>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</si>
  <si>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</si>
  <si>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助播2</t>
  </si>
  <si>
    <t xml:space="preserve">投手</t>
  </si>
  <si>
    <t xml:space="preserve">时长</t>
  </si>
  <si>
    <t xml:space="preserve">9.1</t>
  </si>
  <si>
    <t xml:space="preserve">刘杰宇</t>
  </si>
  <si>
    <t xml:space="preserve">12:00-16:00</t>
  </si>
  <si>
    <t xml:space="preserve">齐会霞</t>
  </si>
  <si>
    <t xml:space="preserve">16:00-20:00</t>
  </si>
  <si>
    <t xml:space="preserve">刘慕涵</t>
  </si>
  <si>
    <t xml:space="preserve">20:00-24:00</t>
  </si>
  <si>
    <t xml:space="preserve">邓云云</t>
  </si>
  <si>
    <t xml:space="preserve">9.2</t>
  </si>
  <si>
    <t xml:space="preserve">王硕硕</t>
  </si>
  <si>
    <t xml:space="preserve">14:00-18:00</t>
  </si>
  <si>
    <t xml:space="preserve">王学</t>
  </si>
  <si>
    <t xml:space="preserve">18:00-21:00</t>
  </si>
  <si>
    <t xml:space="preserve">21:00-01:00</t>
  </si>
  <si>
    <t xml:space="preserve">9.3</t>
  </si>
  <si>
    <t xml:space="preserve">12:00-17:00</t>
  </si>
  <si>
    <t xml:space="preserve">高琎梅双</t>
  </si>
  <si>
    <t xml:space="preserve">17:00-20:00</t>
  </si>
  <si>
    <t xml:space="preserve">9.4</t>
  </si>
  <si>
    <t xml:space="preserve">20:00-23:00</t>
  </si>
  <si>
    <t xml:space="preserve">任子硕</t>
  </si>
  <si>
    <t xml:space="preserve">9.5</t>
  </si>
  <si>
    <t xml:space="preserve">9.6</t>
  </si>
  <si>
    <t xml:space="preserve">蒲奕西</t>
  </si>
  <si>
    <t xml:space="preserve">18:00-22:00</t>
  </si>
  <si>
    <t xml:space="preserve">22:00-02:00</t>
  </si>
  <si>
    <t xml:space="preserve">任子硕晚</t>
  </si>
  <si>
    <t xml:space="preserve">9.8</t>
  </si>
  <si>
    <t xml:space="preserve">9.9</t>
  </si>
  <si>
    <t xml:space="preserve">9.10</t>
  </si>
  <si>
    <t xml:space="preserve">9.11</t>
  </si>
  <si>
    <t xml:space="preserve">9.12</t>
  </si>
  <si>
    <t xml:space="preserve">8:00-12:00</t>
  </si>
  <si>
    <t xml:space="preserve">陈思钰双</t>
  </si>
  <si>
    <t xml:space="preserve">9.13</t>
  </si>
  <si>
    <t xml:space="preserve">陈思钰</t>
  </si>
  <si>
    <t xml:space="preserve">9.14</t>
  </si>
  <si>
    <t xml:space="preserve">任子硕双</t>
  </si>
  <si>
    <t xml:space="preserve">闫雪儒</t>
  </si>
  <si>
    <t xml:space="preserve">9.15</t>
  </si>
  <si>
    <t xml:space="preserve">雷紫璇</t>
  </si>
  <si>
    <t xml:space="preserve">杨得草</t>
  </si>
  <si>
    <t xml:space="preserve">9.16</t>
  </si>
  <si>
    <t xml:space="preserve">8:00-13:00</t>
  </si>
  <si>
    <t xml:space="preserve">13:00-16:00</t>
  </si>
  <si>
    <t xml:space="preserve">杨博双</t>
  </si>
  <si>
    <t xml:space="preserve">9.17</t>
  </si>
  <si>
    <t xml:space="preserve">9.18</t>
  </si>
  <si>
    <t xml:space="preserve">13:00-17:00</t>
  </si>
  <si>
    <t xml:space="preserve">17:00-21:00</t>
  </si>
  <si>
    <t xml:space="preserve">9.19</t>
  </si>
  <si>
    <t xml:space="preserve">17:00-19:00</t>
  </si>
  <si>
    <t xml:space="preserve">9.20</t>
  </si>
  <si>
    <t xml:space="preserve">高琎梅</t>
  </si>
  <si>
    <t xml:space="preserve">9.21</t>
  </si>
  <si>
    <t xml:space="preserve">16:00-21:00</t>
  </si>
  <si>
    <t xml:space="preserve">9.22</t>
  </si>
  <si>
    <t xml:space="preserve">郝旭靓</t>
  </si>
  <si>
    <t xml:space="preserve">12:00-15:00</t>
  </si>
  <si>
    <t xml:space="preserve">15:00-18:30</t>
  </si>
  <si>
    <t xml:space="preserve">9.23</t>
  </si>
  <si>
    <t xml:space="preserve">16:00-19:00</t>
  </si>
  <si>
    <t xml:space="preserve">郭斯元</t>
  </si>
  <si>
    <t xml:space="preserve">9.24</t>
  </si>
  <si>
    <t xml:space="preserve">9.25</t>
  </si>
  <si>
    <t xml:space="preserve">08:00-12:00</t>
  </si>
  <si>
    <t xml:space="preserve">12:00-14:00，15-17</t>
  </si>
  <si>
    <t xml:space="preserve">17:00-22:00</t>
  </si>
  <si>
    <t xml:space="preserve">9.26</t>
  </si>
  <si>
    <t xml:space="preserve">08:00-13:00</t>
  </si>
  <si>
    <t xml:space="preserve">16:00-17:30
18:30-20:00</t>
  </si>
  <si>
    <t xml:space="preserve">9.27</t>
  </si>
  <si>
    <t xml:space="preserve">9.28</t>
  </si>
  <si>
    <t xml:space="preserve">12:00-14:30</t>
  </si>
  <si>
    <t xml:space="preserve">9.29</t>
  </si>
  <si>
    <t xml:space="preserve">19:00-24:00</t>
  </si>
  <si>
    <t xml:space="preserve">9.30</t>
  </si>
  <si>
    <t xml:space="preserve">08:00-11:00</t>
  </si>
  <si>
    <t xml:space="preserve">15:00-20:00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</si>
  <si>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</si>
  <si>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</si>
  <si>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</si>
  <si>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</si>
  <si>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</si>
  <si>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纯投放保单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</si>
  <si>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</si>
  <si>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</si>
  <si>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</si>
  <si>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</si>
  <si>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</si>
  <si>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</si>
  <si>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</si>
  <si>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</si>
  <si>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</si>
  <si>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助播2</t>
  </si>
  <si>
    <t xml:space="preserve">投手</t>
  </si>
  <si>
    <t xml:space="preserve">时长</t>
  </si>
  <si>
    <t xml:space="preserve">刘慕涵</t>
  </si>
  <si>
    <t xml:space="preserve">20:00-24:00</t>
  </si>
  <si>
    <t xml:space="preserve">任子硕</t>
  </si>
  <si>
    <t xml:space="preserve">18:00-21:00</t>
  </si>
  <si>
    <t xml:space="preserve">刘杰宇</t>
  </si>
  <si>
    <t xml:space="preserve">21:00-24:00</t>
  </si>
  <si>
    <t xml:space="preserve">8:00-11:00</t>
  </si>
  <si>
    <t xml:space="preserve">11:00-14:00</t>
  </si>
  <si>
    <t xml:space="preserve">高琎梅</t>
  </si>
  <si>
    <t xml:space="preserve">8:00-12:00</t>
  </si>
  <si>
    <t xml:space="preserve">邓云云</t>
  </si>
  <si>
    <t xml:space="preserve">王硕硕</t>
  </si>
  <si>
    <t xml:space="preserve">12:00-16:00</t>
  </si>
  <si>
    <t xml:space="preserve">8.10</t>
  </si>
  <si>
    <t xml:space="preserve">8.11</t>
  </si>
  <si>
    <t xml:space="preserve">12:00-15:00</t>
  </si>
  <si>
    <t xml:space="preserve">8.12</t>
  </si>
  <si>
    <t xml:space="preserve">17:00-21:00</t>
  </si>
  <si>
    <t xml:space="preserve">8.13</t>
  </si>
  <si>
    <t xml:space="preserve">8.14</t>
  </si>
  <si>
    <t xml:space="preserve">8.15</t>
  </si>
  <si>
    <t xml:space="preserve">16:00-20:00</t>
  </si>
  <si>
    <t xml:space="preserve">8.16</t>
  </si>
  <si>
    <t xml:space="preserve">8.17</t>
  </si>
  <si>
    <t xml:space="preserve">8.18</t>
  </si>
  <si>
    <t xml:space="preserve">8.19</t>
  </si>
  <si>
    <t xml:space="preserve">8.20</t>
  </si>
  <si>
    <t xml:space="preserve">8.21</t>
  </si>
  <si>
    <t xml:space="preserve">8.22</t>
  </si>
  <si>
    <t xml:space="preserve">8.23</t>
  </si>
  <si>
    <t xml:space="preserve">16:00-19:00</t>
  </si>
  <si>
    <t xml:space="preserve">8.24</t>
  </si>
  <si>
    <t xml:space="preserve">8.25</t>
  </si>
  <si>
    <t xml:space="preserve">8.26</t>
  </si>
  <si>
    <t xml:space="preserve">齐会霞</t>
  </si>
  <si>
    <t xml:space="preserve">8.27</t>
  </si>
  <si>
    <t xml:space="preserve">8.28</t>
  </si>
  <si>
    <t xml:space="preserve">8.29</t>
  </si>
  <si>
    <t xml:space="preserve">15:00-16:30</t>
  </si>
  <si>
    <t xml:space="preserve">8.30</t>
  </si>
  <si>
    <t xml:space="preserve">12:00-17:00</t>
  </si>
  <si>
    <t xml:space="preserve">王学</t>
  </si>
  <si>
    <t xml:space="preserve">17:00-20:00</t>
  </si>
  <si>
    <t xml:space="preserve">20:00-21:00</t>
  </si>
  <si>
    <t xml:space="preserve">8.31</t>
  </si>
  <si>
    <t xml:space="preserve">20:00-23:00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</si>
  <si>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</si>
  <si>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</si>
  <si>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</si>
  <si>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</si>
  <si>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</si>
  <si>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</si>
  <si>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</si>
  <si>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</si>
  <si>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</si>
  <si>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</si>
  <si>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</si>
  <si>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</si>
  <si>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</si>
  <si>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</si>
  <si>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助播2</t>
  </si>
  <si>
    <t xml:space="preserve">投手</t>
  </si>
  <si>
    <t xml:space="preserve">时长</t>
  </si>
  <si>
    <t xml:space="preserve">蒲奕西</t>
  </si>
  <si>
    <t xml:space="preserve">20:00-24:00</t>
  </si>
  <si>
    <t xml:space="preserve">高琎梅</t>
  </si>
  <si>
    <t xml:space="preserve">任子硕</t>
  </si>
  <si>
    <t xml:space="preserve">陈思钰</t>
  </si>
  <si>
    <t xml:space="preserve">闫雪儒</t>
  </si>
  <si>
    <t xml:space="preserve">刘慕涵</t>
  </si>
  <si>
    <t xml:space="preserve">18:00-21:00</t>
  </si>
  <si>
    <t xml:space="preserve">崔永行</t>
  </si>
  <si>
    <t xml:space="preserve">21:00-24:00</t>
  </si>
  <si>
    <t xml:space="preserve">21:00-23:00</t>
  </si>
  <si>
    <t xml:space="preserve">
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</si>
  <si>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</si>
  <si>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</si>
  <si>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</si>
  <si>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</si>
  <si>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</si>
  <si>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</si>
  <si>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</si>
  <si>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</si>
  <si>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</si>
  <si>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</si>
  <si>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</si>
  <si>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</si>
  <si>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2026.9.30</t>
  </si>
  <si>
    <t xml:space="preserve">李娜</t>
  </si>
  <si>
    <t xml:space="preserve">06:00-10:00</t>
  </si>
  <si>
    <t xml:space="preserve">陈旭</t>
  </si>
  <si>
    <t xml:space="preserve">10:00-14:00</t>
  </si>
  <si>
    <t xml:space="preserve">王硕硕</t>
  </si>
  <si>
    <t xml:space="preserve">14:00-18:00</t>
  </si>
  <si>
    <t xml:space="preserve">刘杰宇</t>
  </si>
  <si>
    <t xml:space="preserve">18:00-22:00</t>
  </si>
  <si>
    <t xml:space="preserve">井欣阅</t>
  </si>
  <si>
    <t xml:space="preserve">22:00-02:00</t>
  </si>
  <si>
    <t xml:space="preserve">总计</t>
  </si>
  <si>
    <t xml:space="preserve">2026.10.1</t>
  </si>
  <si>
    <t xml:space="preserve">2026.10.2</t>
  </si>
  <si>
    <t xml:space="preserve">2026.10.3</t>
  </si>
  <si>
    <t xml:space="preserve">06:00-11:00</t>
  </si>
  <si>
    <t xml:space="preserve">11:00-16:00</t>
  </si>
  <si>
    <t xml:space="preserve">16:00-21:00</t>
  </si>
  <si>
    <t xml:space="preserve">21:00-2:00</t>
  </si>
  <si>
    <t xml:space="preserve">2026.10.4</t>
  </si>
  <si>
    <t xml:space="preserve">2026.10.5</t>
  </si>
  <si>
    <t xml:space="preserve">2026.10.6</t>
  </si>
  <si>
    <t xml:space="preserve">roi</t>
  </si>
  <si>
    <t xml:space="preserve">时耗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</si>
  <si>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</si>
  <si>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</si>
  <si>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</si>
  <si>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</si>
  <si>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</si>
  <si>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</si>
  <si>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</si>
  <si>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</si>
  <si>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</si>
  <si>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</si>
  <si>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</si>
  <si>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</si>
  <si>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</si>
  <si>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</si>
  <si>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</si>
  <si>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</si>
  <si>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2026.10.1</t>
  </si>
  <si>
    <t xml:space="preserve">总计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</si>
  <si>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</si>
  <si>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</si>
  <si>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</si>
  <si>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</si>
  <si>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</si>
  <si>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</si>
  <si>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</si>
  <si>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</si>
  <si>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</si>
  <si>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</si>
  <si>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</si>
  <si>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</si>
  <si>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</si>
  <si>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</si>
  <si>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</si>
  <si>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</si>
  <si>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</si>
  <si>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</si>
  <si>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</si>
  <si>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</si>
  <si>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</si>
  <si>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</si>
  <si>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</si>
  <si>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</si>
  <si>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</si>
  <si>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2026.10.1</t>
  </si>
  <si>
    <t xml:space="preserve">李娜</t>
  </si>
  <si>
    <t xml:space="preserve">06:00-10:00</t>
  </si>
  <si>
    <t xml:space="preserve">陈旭</t>
  </si>
  <si>
    <t xml:space="preserve">10:00-14:00</t>
  </si>
  <si>
    <t xml:space="preserve">王硕硕</t>
  </si>
  <si>
    <t xml:space="preserve">14:00-18:00</t>
  </si>
  <si>
    <t xml:space="preserve">刘杰宇</t>
  </si>
  <si>
    <t xml:space="preserve">18:00-22:00</t>
  </si>
  <si>
    <t xml:space="preserve">井欣阅</t>
  </si>
  <si>
    <t xml:space="preserve">22:00-02:00</t>
  </si>
  <si>
    <t xml:space="preserve">总计</t>
  </si>
  <si>
    <t xml:space="preserve">2026.10.2</t>
  </si>
  <si>
    <t xml:space="preserve">2026.10.3</t>
  </si>
  <si>
    <t xml:space="preserve">06:00-11:00</t>
  </si>
  <si>
    <t xml:space="preserve">11:00-16:00</t>
  </si>
  <si>
    <t xml:space="preserve">16:00-21:00</t>
  </si>
  <si>
    <t xml:space="preserve">21:00-2:00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</si>
  <si>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</si>
  <si>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</si>
  <si>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</si>
  <si>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</si>
  <si>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</si>
  <si>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</si>
  <si>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微保二</t>
  </si>
  <si>
    <t xml:space="preserve">roi</t>
  </si>
  <si>
    <t xml:space="preserve">时耗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</si>
  <si>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</si>
  <si>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</si>
  <si>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</si>
  <si>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</si>
  <si>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</si>
  <si>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</si>
  <si>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</si>
  <si>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</si>
  <si>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</si>
  <si>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</si>
  <si>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</si>
  <si>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</si>
  <si>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2026.10.1</t>
  </si>
  <si>
    <t xml:space="preserve">李娜</t>
  </si>
  <si>
    <t xml:space="preserve">06:00-10:00</t>
  </si>
  <si>
    <t xml:space="preserve">陈旭</t>
  </si>
  <si>
    <t xml:space="preserve">10:00-14:00</t>
  </si>
  <si>
    <t xml:space="preserve">王硕硕</t>
  </si>
  <si>
    <t xml:space="preserve">14:00-18:00</t>
  </si>
  <si>
    <t xml:space="preserve">刘杰宇</t>
  </si>
  <si>
    <t xml:space="preserve">18:00-22:00</t>
  </si>
  <si>
    <t xml:space="preserve">井欣阅</t>
  </si>
  <si>
    <t xml:space="preserve">22:00-02:00</t>
  </si>
  <si>
    <t xml:space="preserve">总计</t>
  </si>
  <si>
    <t xml:space="preserve">2026.10.2</t>
  </si>
  <si>
    <t xml:space="preserve">2026.10.3</t>
  </si>
  <si>
    <t xml:space="preserve">06:00-11:00</t>
  </si>
  <si>
    <t xml:space="preserve">11:00-16:00</t>
  </si>
  <si>
    <t xml:space="preserve">16:00-21:00</t>
  </si>
  <si>
    <t xml:space="preserve">21:00-2:00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</si>
  <si>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</si>
  <si>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</si>
  <si>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</si>
  <si>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</si>
  <si>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</si>
  <si>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</si>
  <si>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</si>
  <si>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</si>
  <si>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</si>
  <si>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</si>
  <si>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</si>
  <si>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</si>
  <si>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roi</t>
  </si>
  <si>
    <t xml:space="preserve">时耗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</si>
</sst>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1">
    <numFmt numFmtId="164" formatCode="¥#,##0"/>
    <numFmt numFmtId="165" formatCode="General"/>
    <numFmt numFmtId="166" formatCode="0.00_);(0.00)"/>
    <numFmt numFmtId="167" formatCode="0.00_);[Red](0.00)"/>
    <numFmt numFmtId="168" formatCode="@"/>
    <numFmt numFmtId="169" formatCode="0.00"/>
    <numFmt numFmtId="170" formatCode="¥#,##0"/>
    <numFmt numFmtId="171" formatCode="General"/>
    <numFmt numFmtId="172" formatCode="0.00_);(0.00)"/>
    <numFmt numFmtId="173" formatCode="0.00_);[Red](0.00)"/>
    <numFmt numFmtId="174" formatCode="@"/>
    <numFmt numFmtId="175" formatCode="0.00"/>
    <numFmt numFmtId="176" formatCode="#,##0.00"/>
    <numFmt numFmtId="177" formatCode="¥#,##0"/>
    <numFmt numFmtId="178" formatCode="0.00_);(0.00)"/>
    <numFmt numFmtId="179" formatCode="0.00_);[Red](0.00)"/>
    <numFmt numFmtId="180" formatCode="@"/>
    <numFmt numFmtId="181" formatCode="0.00"/>
    <numFmt numFmtId="182" formatCode="0.000_);(0.000)"/>
    <numFmt numFmtId="183" formatCode="0.0000"/>
    <numFmt numFmtId="184" formatCode="0.00_);(0.00)"/>
    <numFmt numFmtId="185" formatCode="0.00_);[Red](0.00)"/>
    <numFmt numFmtId="186" formatCode="@"/>
    <numFmt numFmtId="187" formatCode="0.00"/>
    <numFmt numFmtId="188" formatCode="0.000"/>
    <numFmt numFmtId="189" formatCode="#,##0.00"/>
    <numFmt numFmtId="190" formatCode="0.000_);(0.000)"/>
    <numFmt numFmtId="191" formatCode="0.00_);(0.00)"/>
    <numFmt numFmtId="192" formatCode="0.00_);[Red](0.00)"/>
    <numFmt numFmtId="193" formatCode="@"/>
    <numFmt numFmtId="194" formatCode="0.00"/>
    <numFmt numFmtId="195" formatCode="0.00_);(0.00)"/>
    <numFmt numFmtId="196" formatCode="0.00_);[Red](0.00)"/>
    <numFmt numFmtId="197" formatCode="@"/>
    <numFmt numFmtId="198" formatCode="0.00"/>
    <numFmt numFmtId="199" formatCode="0.00_);[Red](0.00)"/>
    <numFmt numFmtId="200" formatCode="@"/>
    <numFmt numFmtId="201" formatCode="0.00"/>
    <numFmt numFmtId="202" formatCode="0.00_);(0.00)"/>
    <numFmt numFmtId="203" formatCode="0.00"/>
    <numFmt numFmtId="204" formatCode="0.00_);[Red](0.00)"/>
    <numFmt numFmtId="205" formatCode="@"/>
    <numFmt numFmtId="206" formatCode="General"/>
    <numFmt numFmtId="207" formatCode="0.00_);(0.00)"/>
    <numFmt numFmtId="208" formatCode="@"/>
    <numFmt numFmtId="209" formatCode="0.00_);[Red](0.00)"/>
    <numFmt numFmtId="210" formatCode="0.00"/>
    <numFmt numFmtId="211" formatCode="0.00_);(0.00)"/>
    <numFmt numFmtId="212" formatCode="@"/>
    <numFmt numFmtId="213" formatCode="0.00_);[Red](0.00)"/>
    <numFmt numFmtId="214" formatCode="0.00"/>
    <numFmt numFmtId="215" formatCode="@"/>
    <numFmt numFmtId="216" formatCode="0.00_);[Red](0.00)"/>
    <numFmt numFmtId="217" formatCode="0.00"/>
    <numFmt numFmtId="218" formatCode="@"/>
    <numFmt numFmtId="219" formatCode="0.00_);[Red](0.00)"/>
    <numFmt numFmtId="220" formatCode="0.00"/>
    <numFmt numFmtId="221" formatCode="0.00_);[Red](0.00)"/>
    <numFmt numFmtId="222" formatCode="@"/>
    <numFmt numFmtId="223" formatCode="0.00"/>
    <numFmt numFmtId="224" formatCode="0.00_);[Red](0.00)"/>
    <numFmt numFmtId="225" formatCode="@"/>
    <numFmt numFmtId="226" formatCode="0.00"/>
    <numFmt numFmtId="227" formatCode="General"/>
    <numFmt numFmtId="228" formatCode="0.00_);[Red](0.00)"/>
    <numFmt numFmtId="229" formatCode="General"/>
    <numFmt numFmtId="230" formatCode="0.00"/>
    <numFmt numFmtId="231" formatCode="@"/>
    <numFmt numFmtId="232" formatCode="0.00_);[Red](0.00)"/>
    <numFmt numFmtId="233" formatCode="General"/>
    <numFmt numFmtId="234" formatCode="0.00"/>
    <numFmt numFmtId="235" formatCode="¥#,##0"/>
    <numFmt numFmtId="236" formatCode="General"/>
    <numFmt numFmtId="237" formatCode="0.00_);(0.00)"/>
    <numFmt numFmtId="238" formatCode="0.00_);[Red](0.00)"/>
    <numFmt numFmtId="239" formatCode="@"/>
    <numFmt numFmtId="240" formatCode="0.00"/>
    <numFmt numFmtId="241" formatCode="0.00"/>
    <numFmt numFmtId="242" formatCode="0.000_);(0.000)"/>
    <numFmt numFmtId="243" formatCode="¥#,##0"/>
    <numFmt numFmtId="244" formatCode="General"/>
    <numFmt numFmtId="245" formatCode="0.00_);(0.00)"/>
    <numFmt numFmtId="246" formatCode="0.00_);[Red](0.00)"/>
    <numFmt numFmtId="247" formatCode="@"/>
    <numFmt numFmtId="248" formatCode="0.00"/>
    <numFmt numFmtId="249" formatCode="¥#,##0"/>
    <numFmt numFmtId="250" formatCode="General"/>
    <numFmt numFmtId="251" formatCode="0.00_);(0.00)"/>
    <numFmt numFmtId="252" formatCode="0.00_);[Red](0.00)"/>
    <numFmt numFmtId="253" formatCode="@"/>
    <numFmt numFmtId="254" formatCode="0.00"/>
  </numFmts>
  <fonts count="15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8F959E"/>
      <name val="Calibri"/>
      <family val="2"/>
      <scheme val="minor"/>
    </font>
    <font>
      <sz val="2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5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FFFFFF"/>
        <bgColor/>
      </patternFill>
    </fill>
    <fill>
      <patternFill patternType="solid">
        <fgColor rgb="FF99BEFF"/>
        <bgColor/>
      </patternFill>
    </fill>
    <fill>
      <patternFill patternType="solid">
        <fgColor rgb="FFF5F6F7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8F9FA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6B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5F6F7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D83931"/>
        <bgColor/>
      </patternFill>
    </fill>
    <fill>
      <patternFill patternType="solid">
        <fgColor rgb="FFF5F6F7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54A45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</fills>
  <borders count="1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8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7" xfId="0">
      <alignment horizontal="center" vertical="center"/>
    </xf>
    <xf applyAlignment="true" applyBorder="false" applyFill="false" applyFont="true" applyNumberFormat="true" applyProtection="false" borderId="2" fillId="0" fontId="2" numFmtId="168" xfId="0">
      <alignment horizontal="center" vertical="center"/>
    </xf>
    <xf applyAlignment="true" applyBorder="false" applyFill="false" applyFont="true" applyNumberFormat="true" applyProtection="false" borderId="3" fillId="0" fontId="2" numFmtId="166" xfId="0">
      <alignment horizontal="center" vertical="center"/>
    </xf>
    <xf applyAlignment="true" applyBorder="false" applyFill="false" applyFont="true" applyNumberFormat="true" applyProtection="false" borderId="4" fillId="0" fontId="2" numFmtId="166" xfId="0">
      <alignment horizontal="center" vertical="center"/>
    </xf>
    <xf applyAlignment="true" applyBorder="false" applyFill="false" applyFont="true" applyNumberFormat="true" applyProtection="false" borderId="4" fillId="0" fontId="2" numFmtId="165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horizontal="center" vertical="center"/>
    </xf>
    <xf applyAlignment="true" applyBorder="false" applyFill="false" applyFont="true" applyNumberFormat="true" applyProtection="false" borderId="2" fillId="0" fontId="2" numFmtId="166" xfId="0">
      <alignment horizontal="center" vertical="center"/>
    </xf>
    <xf applyAlignment="true" applyBorder="false" applyFill="false" applyFont="true" applyNumberFormat="true" applyProtection="false" borderId="2" fillId="0" fontId="2" numFmtId="169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6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true" applyFont="true" applyNumberFormat="false" applyProtection="false" borderId="2" fillId="3" fontId="4" numFmtId="0" xfId="0">
      <alignment horizontal="center" vertical="center"/>
    </xf>
    <xf applyAlignment="true" applyBorder="false" applyFill="true" applyFont="true" applyNumberFormat="true" applyProtection="false" borderId="2" fillId="3" fontId="5" numFmtId="166" xfId="0">
      <alignment horizontal="center" vertical="center"/>
    </xf>
    <xf applyAlignment="true" applyBorder="false" applyFill="true" applyFont="true" applyNumberFormat="true" applyProtection="false" borderId="2" fillId="3" fontId="6" numFmtId="165" xfId="0">
      <alignment horizontal="center" vertical="center"/>
    </xf>
    <xf applyAlignment="true" applyBorder="false" applyFill="true" applyFont="true" applyNumberFormat="true" applyProtection="false" borderId="2" fillId="3" fontId="6" numFmtId="169" xfId="0">
      <alignment horizontal="center" vertical="center"/>
    </xf>
    <xf applyAlignment="true" applyBorder="false" applyFill="true" applyFont="true" applyNumberFormat="false" applyProtection="false" borderId="4" fillId="3" fontId="5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true" applyFont="true" applyNumberFormat="false" applyProtection="false" borderId="12" fillId="3" fontId="5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true" applyFont="true" applyNumberFormat="true" applyProtection="false" borderId="13" fillId="3" fontId="6" numFmtId="165" xfId="0">
      <alignment horizontal="center" vertical="center"/>
    </xf>
    <xf applyAlignment="true" applyBorder="false" applyFill="true" applyFont="true" applyNumberFormat="false" applyProtection="false" borderId="7" fillId="3" fontId="5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7" fillId="4" fontId="1" numFmtId="170" xfId="0">
      <alignment horizontal="center" vertical="center"/>
    </xf>
    <xf applyAlignment="true" applyBorder="false" applyFill="true" applyFont="true" applyNumberFormat="false" applyProtection="false" borderId="17" fillId="4" fontId="1" numFmtId="0" xfId="0">
      <alignment horizontal="center" vertical="center"/>
    </xf>
    <xf applyAlignment="true" applyBorder="false" applyFill="true" applyFont="true" applyNumberFormat="true" applyProtection="false" borderId="17" fillId="4" fontId="1" numFmtId="171" xfId="0">
      <alignment horizontal="center" vertical="center"/>
    </xf>
    <xf applyAlignment="true" applyBorder="false" applyFill="true" applyFont="true" applyNumberFormat="true" applyProtection="false" borderId="17" fillId="4" fontId="1" numFmtId="172" xfId="0">
      <alignment horizontal="center" vertical="center"/>
    </xf>
    <xf applyAlignment="true" applyBorder="false" applyFill="true" applyFont="true" applyNumberFormat="true" applyProtection="false" borderId="17" fillId="4" fontId="1" numFmtId="173" xfId="0">
      <alignment horizontal="center" vertical="center"/>
    </xf>
    <xf applyAlignment="true" applyBorder="false" applyFill="false" applyFont="true" applyNumberFormat="true" applyProtection="false" borderId="18" fillId="0" fontId="2" numFmtId="174" xfId="0">
      <alignment horizontal="center" vertical="center"/>
    </xf>
    <xf applyAlignment="true" applyBorder="false" applyFill="false" applyFont="true" applyNumberFormat="true" applyProtection="false" borderId="19" fillId="0" fontId="2" numFmtId="172" xfId="0">
      <alignment horizontal="center" vertical="center"/>
    </xf>
    <xf applyAlignment="true" applyBorder="false" applyFill="false" applyFont="true" applyNumberFormat="true" applyProtection="false" borderId="20" fillId="0" fontId="2" numFmtId="172" xfId="0">
      <alignment horizontal="center" vertical="center"/>
    </xf>
    <xf applyAlignment="true" applyBorder="false" applyFill="false" applyFont="true" applyNumberFormat="true" applyProtection="false" borderId="20" fillId="0" fontId="2" numFmtId="171" xfId="0">
      <alignment horizontal="center" vertical="center"/>
    </xf>
    <xf applyAlignment="true" applyBorder="false" applyFill="false" applyFont="true" applyNumberFormat="true" applyProtection="false" borderId="18" fillId="0" fontId="2" numFmtId="171" xfId="0">
      <alignment horizontal="center" vertical="center"/>
    </xf>
    <xf applyAlignment="true" applyBorder="false" applyFill="false" applyFont="true" applyNumberFormat="true" applyProtection="false" borderId="18" fillId="0" fontId="2" numFmtId="172" xfId="0">
      <alignment horizontal="center" vertical="center"/>
    </xf>
    <xf applyAlignment="true" applyBorder="false" applyFill="false" applyFont="true" applyNumberFormat="true" applyProtection="false" borderId="18" fillId="0" fontId="2" numFmtId="175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true" applyProtection="false" borderId="20" fillId="0" fontId="2" numFmtId="172" xfId="0">
      <alignment horizontal="center" vertical="center"/>
    </xf>
    <xf applyAlignment="true" applyBorder="false" applyFill="false" applyFont="true" applyNumberFormat="true" applyProtection="false" borderId="20" fillId="0" fontId="2" numFmtId="171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8" fillId="0" fontId="2" numFmtId="0" xfId="0">
      <alignment horizontal="center" vertical="center"/>
    </xf>
    <xf applyAlignment="true" applyBorder="false" applyFill="false" applyFont="true" applyNumberFormat="true" applyProtection="false" borderId="18" fillId="0" fontId="2" numFmtId="172" xfId="0">
      <alignment horizontal="center" vertical="center"/>
    </xf>
    <xf applyAlignment="true" applyBorder="false" applyFill="true" applyFont="true" applyNumberFormat="false" applyProtection="false" borderId="18" fillId="5" fontId="4" numFmtId="0" xfId="0">
      <alignment horizontal="center" vertical="center"/>
    </xf>
    <xf applyAlignment="true" applyBorder="false" applyFill="true" applyFont="true" applyNumberFormat="true" applyProtection="false" borderId="18" fillId="5" fontId="5" numFmtId="172" xfId="0">
      <alignment horizontal="center" vertical="center"/>
    </xf>
    <xf applyAlignment="true" applyBorder="false" applyFill="true" applyFont="true" applyNumberFormat="true" applyProtection="false" borderId="18" fillId="5" fontId="6" numFmtId="171" xfId="0">
      <alignment horizontal="center" vertical="center"/>
    </xf>
    <xf applyAlignment="true" applyBorder="false" applyFill="true" applyFont="true" applyNumberFormat="true" applyProtection="false" borderId="18" fillId="5" fontId="6" numFmtId="172" xfId="0">
      <alignment horizontal="center" vertical="center"/>
    </xf>
    <xf applyAlignment="true" applyBorder="false" applyFill="true" applyFont="true" applyNumberFormat="true" applyProtection="false" borderId="18" fillId="5" fontId="6" numFmtId="175" xfId="0">
      <alignment horizontal="center" vertical="center"/>
    </xf>
    <xf applyAlignment="true" applyBorder="false" applyFill="true" applyFont="true" applyNumberFormat="false" applyProtection="false" borderId="18" fillId="5" fontId="6" numFmtId="0" xfId="0">
      <alignment horizontal="center" vertical="center"/>
    </xf>
    <xf applyAlignment="true" applyBorder="false" applyFill="true" applyFont="true" applyNumberFormat="false" applyProtection="false" borderId="20" fillId="5" fontId="5" numFmtId="0" xfId="0">
      <alignment horizontal="center" vertical="center"/>
    </xf>
    <xf applyAlignment="true" applyBorder="false" applyFill="true" applyFont="true" applyNumberFormat="false" applyProtection="false" borderId="22" fillId="5" fontId="6" numFmtId="0" xfId="0">
      <alignment horizontal="center" vertical="center"/>
    </xf>
    <xf applyAlignment="true" applyBorder="false" applyFill="false" applyFont="true" applyNumberFormat="true" applyProtection="false" borderId="29" fillId="0" fontId="2" numFmtId="171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vertical="center"/>
    </xf>
    <xf applyAlignment="true" applyBorder="false" applyFill="false" applyFont="true" applyNumberFormat="true" applyProtection="false" borderId="21" fillId="0" fontId="2" numFmtId="175" xfId="0">
      <alignment horizontal="center" vertical="center"/>
    </xf>
    <xf applyAlignment="true" applyBorder="false" applyFill="false" applyFont="true" applyNumberFormat="true" applyProtection="false" borderId="25" fillId="0" fontId="2" numFmtId="171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true" applyFont="true" applyNumberFormat="true" applyProtection="false" borderId="21" fillId="5" fontId="6" numFmtId="175" xfId="0">
      <alignment horizontal="center" vertical="center"/>
    </xf>
    <xf applyAlignment="true" applyBorder="false" applyFill="true" applyFont="true" applyNumberFormat="true" applyProtection="false" borderId="25" fillId="5" fontId="6" numFmtId="171" xfId="0">
      <alignment horizontal="center" vertical="center"/>
    </xf>
    <xf applyAlignment="true" applyBorder="false" applyFill="true" applyFont="true" applyNumberFormat="false" applyProtection="false" borderId="25" fillId="5" fontId="6" numFmtId="0" xfId="0">
      <alignment horizontal="center" vertical="center"/>
    </xf>
    <xf applyAlignment="true" applyBorder="false" applyFill="true" applyFont="true" applyNumberFormat="false" applyProtection="false" borderId="25" fillId="5" fontId="5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vertical="center"/>
    </xf>
    <xf applyAlignment="true" applyBorder="false" applyFill="false" applyFont="true" applyNumberFormat="true" applyProtection="false" borderId="20" fillId="0" fontId="4" numFmtId="171" xfId="0">
      <alignment horizontal="center" vertical="center"/>
    </xf>
    <xf applyAlignment="true" applyBorder="false" applyFill="false" applyFont="true" applyNumberFormat="true" applyProtection="false" borderId="20" fillId="0" fontId="2" numFmtId="172" xfId="0">
      <alignment horizontal="center" vertical="center" wrapText="true"/>
    </xf>
    <xf applyAlignment="true" applyBorder="false" applyFill="false" applyFont="true" applyNumberFormat="true" applyProtection="false" borderId="18" fillId="0" fontId="2" numFmtId="174" xfId="0">
      <alignment horizontal="center" vertical="center"/>
    </xf>
    <xf applyAlignment="true" applyBorder="false" applyFill="false" applyFont="true" applyNumberFormat="true" applyProtection="false" borderId="20" fillId="0" fontId="2" numFmtId="172" xfId="0">
      <alignment horizontal="center" vertical="center" wrapText="true"/>
    </xf>
    <xf applyAlignment="true" applyBorder="false" applyFill="false" applyFont="true" applyNumberFormat="true" applyProtection="false" borderId="0" fillId="0" fontId="3" numFmtId="171" xfId="0">
      <alignment vertical="center"/>
    </xf>
    <xf applyAlignment="true" applyBorder="false" applyFill="false" applyFont="true" applyNumberFormat="true" applyProtection="false" borderId="0" fillId="0" fontId="3" numFmtId="176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71" xfId="0">
      <alignment vertical="center"/>
    </xf>
    <xf applyAlignment="true" applyBorder="false" applyFill="false" applyFont="true" applyNumberFormat="true" applyProtection="false" borderId="0" fillId="0" fontId="3" numFmtId="175" xfId="0">
      <alignment vertical="center"/>
    </xf>
    <xf applyAlignment="true" applyBorder="false" applyFill="true" applyFont="true" applyNumberFormat="true" applyProtection="false" borderId="31" fillId="6" fontId="1" numFmtId="177" xfId="0">
      <alignment horizontal="center" vertical="center"/>
    </xf>
    <xf applyAlignment="true" applyBorder="false" applyFill="true" applyFont="true" applyNumberFormat="false" applyProtection="false" borderId="31" fillId="6" fontId="1" numFmtId="0" xfId="0">
      <alignment horizontal="center" vertical="center"/>
    </xf>
    <xf applyAlignment="true" applyBorder="false" applyFill="true" applyFont="true" applyNumberFormat="true" applyProtection="false" borderId="31" fillId="6" fontId="1" numFmtId="178" xfId="0">
      <alignment horizontal="center" vertical="center"/>
    </xf>
    <xf applyAlignment="true" applyBorder="false" applyFill="true" applyFont="true" applyNumberFormat="true" applyProtection="false" borderId="31" fillId="6" fontId="1" numFmtId="179" xfId="0">
      <alignment horizontal="center" vertical="center"/>
    </xf>
    <xf applyAlignment="true" applyBorder="false" applyFill="false" applyFont="true" applyNumberFormat="true" applyProtection="false" borderId="32" fillId="0" fontId="2" numFmtId="180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true" applyProtection="false" borderId="32" fillId="0" fontId="2" numFmtId="178" xfId="0">
      <alignment horizontal="center" vertical="center"/>
    </xf>
    <xf applyAlignment="true" applyBorder="false" applyFill="false" applyFont="true" applyNumberFormat="true" applyProtection="false" borderId="32" fillId="0" fontId="2" numFmtId="181" xfId="0">
      <alignment horizontal="center" vertical="center"/>
    </xf>
    <xf applyAlignment="true" applyBorder="false" applyFill="false" applyFont="true" applyNumberFormat="false" applyProtection="false" borderId="35" fillId="0" fontId="2" numFmtId="0" xfId="0">
      <alignment horizontal="center" vertical="center"/>
    </xf>
    <xf applyAlignment="true" applyBorder="false" applyFill="false" applyFont="true" applyNumberFormat="false" applyProtection="false" borderId="36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36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true" applyFont="true" applyNumberFormat="false" applyProtection="false" borderId="32" fillId="7" fontId="8" numFmtId="0" xfId="0">
      <alignment horizontal="center" vertical="center"/>
    </xf>
    <xf applyAlignment="true" applyBorder="false" applyFill="true" applyFont="true" applyNumberFormat="false" applyProtection="false" borderId="36" fillId="7" fontId="5" numFmtId="0" xfId="0">
      <alignment horizontal="center" vertical="center"/>
    </xf>
    <xf applyAlignment="true" applyBorder="false" applyFill="true" applyFont="true" applyNumberFormat="false" applyProtection="false" borderId="37" fillId="7" fontId="6" numFmtId="0" xfId="0">
      <alignment horizontal="center" vertical="center"/>
    </xf>
    <xf applyAlignment="true" applyBorder="false" applyFill="true" applyFont="true" applyNumberFormat="false" applyProtection="false" borderId="0" fillId="7" fontId="3" numFmtId="0" xfId="0">
      <alignment vertical="center"/>
    </xf>
    <xf applyAlignment="true" applyBorder="false" applyFill="true" applyFont="true" applyNumberFormat="false" applyProtection="false" borderId="32" fillId="8" fontId="4" numFmtId="0" xfId="0">
      <alignment horizontal="center" vertical="center"/>
    </xf>
    <xf applyAlignment="true" applyBorder="false" applyFill="true" applyFont="true" applyNumberFormat="false" applyProtection="false" borderId="32" fillId="8" fontId="5" numFmtId="0" xfId="0">
      <alignment horizontal="center" vertical="center"/>
    </xf>
    <xf applyAlignment="true" applyBorder="false" applyFill="true" applyFont="true" applyNumberFormat="false" applyProtection="false" borderId="32" fillId="8" fontId="5" numFmtId="0" xfId="0">
      <alignment horizontal="center" vertical="center"/>
    </xf>
    <xf applyAlignment="true" applyBorder="false" applyFill="true" applyFont="true" applyNumberFormat="false" applyProtection="false" borderId="32" fillId="8" fontId="6" numFmtId="0" xfId="0">
      <alignment horizontal="center" vertical="center"/>
    </xf>
    <xf applyAlignment="true" applyBorder="false" applyFill="true" applyFont="true" applyNumberFormat="true" applyProtection="false" borderId="32" fillId="8" fontId="6" numFmtId="181" xfId="0">
      <alignment horizontal="center" vertical="center"/>
    </xf>
    <xf applyAlignment="true" applyBorder="false" applyFill="true" applyFont="true" applyNumberFormat="false" applyProtection="false" borderId="36" fillId="8" fontId="5" numFmtId="0" xfId="0">
      <alignment horizontal="center" vertical="center"/>
    </xf>
    <xf applyAlignment="true" applyBorder="false" applyFill="true" applyFont="true" applyNumberFormat="false" applyProtection="false" borderId="37" fillId="8" fontId="6" numFmtId="0" xfId="0">
      <alignment horizontal="center" vertical="center"/>
    </xf>
    <xf applyAlignment="true" applyBorder="false" applyFill="false" applyFont="true" applyNumberFormat="true" applyProtection="false" borderId="32" fillId="0" fontId="2" numFmtId="180" xfId="0">
      <alignment horizontal="center" vertical="center"/>
    </xf>
    <xf applyAlignment="true" applyBorder="false" applyFill="false" applyFont="true" applyNumberFormat="true" applyProtection="false" borderId="33" fillId="0" fontId="2" numFmtId="178" xfId="0">
      <alignment horizontal="center" vertical="center"/>
    </xf>
    <xf applyAlignment="true" applyBorder="false" applyFill="false" applyFont="true" applyNumberFormat="true" applyProtection="false" borderId="34" fillId="0" fontId="2" numFmtId="178" xfId="0">
      <alignment horizontal="center" vertical="center"/>
    </xf>
    <xf applyAlignment="true" applyBorder="false" applyFill="false" applyFont="true" applyNumberFormat="true" applyProtection="false" borderId="32" fillId="0" fontId="2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true" applyFont="true" applyNumberFormat="false" applyProtection="false" borderId="32" fillId="8" fontId="4" numFmtId="0" xfId="0">
      <alignment horizontal="center" vertical="center"/>
    </xf>
    <xf applyAlignment="true" applyBorder="false" applyFill="true" applyFont="true" applyNumberFormat="true" applyProtection="false" borderId="32" fillId="8" fontId="5" numFmtId="178" xfId="0">
      <alignment horizontal="center" vertical="center"/>
    </xf>
    <xf applyAlignment="true" applyBorder="false" applyFill="true" applyFont="true" applyNumberFormat="true" applyProtection="false" borderId="32" fillId="8" fontId="6" numFmtId="178" xfId="0">
      <alignment horizontal="center" vertical="center"/>
    </xf>
    <xf applyAlignment="true" applyBorder="false" applyFill="true" applyFont="true" applyNumberFormat="false" applyProtection="false" borderId="34" fillId="8" fontId="5" numFmtId="0" xfId="0">
      <alignment horizontal="center" vertical="center"/>
    </xf>
    <xf applyAlignment="true" applyBorder="false" applyFill="true" applyFont="true" applyNumberFormat="false" applyProtection="false" borderId="38" fillId="8" fontId="6" numFmtId="0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178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/>
    </xf>
    <xf applyAlignment="true" applyBorder="false" applyFill="false" applyFont="true" applyNumberFormat="false" applyProtection="false" borderId="35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4" numFmtId="178" xfId="0">
      <alignment horizontal="center" vertical="center"/>
    </xf>
    <xf applyAlignment="true" applyBorder="false" applyFill="false" applyFont="true" applyNumberFormat="true" applyProtection="false" borderId="34" fillId="0" fontId="4" numFmtId="178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82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9" fontId="9" numFmtId="0" xfId="0">
      <alignment vertical="center"/>
    </xf>
    <xf applyAlignment="true" applyBorder="false" applyFill="false" applyFont="true" applyNumberFormat="true" applyProtection="false" borderId="32" fillId="0" fontId="2" numFmtId="183" xfId="0">
      <alignment horizontal="center" vertical="center"/>
    </xf>
    <xf applyAlignment="true" applyBorder="false" applyFill="true" applyFont="true" applyNumberFormat="false" applyProtection="false" borderId="44" fillId="10" fontId="1" numFmtId="0" xfId="0">
      <alignment horizontal="center" vertical="center"/>
    </xf>
    <xf applyAlignment="true" applyBorder="false" applyFill="true" applyFont="true" applyNumberFormat="true" applyProtection="false" borderId="44" fillId="10" fontId="1" numFmtId="184" xfId="0">
      <alignment horizontal="center" vertical="center"/>
    </xf>
    <xf applyAlignment="true" applyBorder="false" applyFill="true" applyFont="true" applyNumberFormat="true" applyProtection="false" borderId="44" fillId="10" fontId="1" numFmtId="185" xfId="0">
      <alignment horizontal="center" vertical="center"/>
    </xf>
    <xf applyAlignment="true" applyBorder="false" applyFill="false" applyFont="true" applyNumberFormat="true" applyProtection="false" borderId="45" fillId="0" fontId="2" numFmtId="186" xfId="0">
      <alignment horizontal="center" vertical="center"/>
    </xf>
    <xf applyAlignment="true" applyBorder="false" applyFill="false" applyFont="true" applyNumberFormat="false" applyProtection="false" borderId="46" fillId="0" fontId="2" numFmtId="0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false" applyFont="true" applyNumberFormat="true" applyProtection="false" borderId="45" fillId="0" fontId="2" numFmtId="184" xfId="0">
      <alignment horizontal="center" vertical="center"/>
    </xf>
    <xf applyAlignment="true" applyBorder="false" applyFill="false" applyFont="true" applyNumberFormat="true" applyProtection="false" borderId="45" fillId="0" fontId="2" numFmtId="187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3" numFmtId="0" xfId="0">
      <alignment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false" applyFont="true" applyNumberFormat="false" applyProtection="false" borderId="50" fillId="0" fontId="2" numFmtId="0" xfId="0">
      <alignment vertical="center"/>
    </xf>
    <xf applyAlignment="true" applyBorder="false" applyFill="false" applyFont="true" applyNumberFormat="false" applyProtection="false" borderId="51" fillId="0" fontId="2" numFmtId="0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false" applyProtection="false" borderId="52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true" applyProtection="false" borderId="52" fillId="0" fontId="2" numFmtId="184" xfId="0">
      <alignment horizontal="center" vertical="center"/>
    </xf>
    <xf applyAlignment="true" applyBorder="false" applyFill="false" applyFont="true" applyNumberFormat="false" applyProtection="false" borderId="52" fillId="0" fontId="2" numFmtId="0" xfId="0">
      <alignment horizontal="center" vertical="center"/>
    </xf>
    <xf applyAlignment="true" applyBorder="false" applyFill="false" applyFont="true" applyNumberFormat="true" applyProtection="false" borderId="48" fillId="0" fontId="2" numFmtId="184" xfId="0">
      <alignment horizontal="center" vertical="center"/>
    </xf>
    <xf applyAlignment="true" applyBorder="false" applyFill="false" applyFont="true" applyNumberFormat="true" applyProtection="false" borderId="53" fillId="0" fontId="2" numFmtId="187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false" applyFont="true" applyNumberFormat="false" applyProtection="false" borderId="54" fillId="0" fontId="2" numFmtId="0" xfId="0">
      <alignment horizontal="center" vertical="center"/>
    </xf>
    <xf applyAlignment="true" applyBorder="false" applyFill="true" applyFont="true" applyNumberFormat="false" applyProtection="false" borderId="45" fillId="11" fontId="4" numFmtId="0" xfId="0">
      <alignment horizontal="center" vertical="center"/>
    </xf>
    <xf applyAlignment="true" applyBorder="false" applyFill="true" applyFont="true" applyNumberFormat="false" applyProtection="false" borderId="45" fillId="11" fontId="5" numFmtId="0" xfId="0">
      <alignment horizontal="center" vertical="center"/>
    </xf>
    <xf applyAlignment="true" applyBorder="false" applyFill="true" applyFont="true" applyNumberFormat="false" applyProtection="false" borderId="45" fillId="11" fontId="6" numFmtId="0" xfId="0">
      <alignment horizontal="center" vertical="center"/>
    </xf>
    <xf applyAlignment="true" applyBorder="false" applyFill="true" applyFont="true" applyNumberFormat="true" applyProtection="false" borderId="45" fillId="11" fontId="6" numFmtId="184" xfId="0">
      <alignment horizontal="center" vertical="center"/>
    </xf>
    <xf applyAlignment="true" applyBorder="false" applyFill="true" applyFont="true" applyNumberFormat="true" applyProtection="false" borderId="45" fillId="11" fontId="6" numFmtId="187" xfId="0">
      <alignment horizontal="center" vertical="center"/>
    </xf>
    <xf applyAlignment="true" applyBorder="false" applyFill="true" applyFont="true" applyNumberFormat="false" applyProtection="false" borderId="52" fillId="11" fontId="5" numFmtId="0" xfId="0">
      <alignment horizontal="center" vertical="center"/>
    </xf>
    <xf applyAlignment="true" applyBorder="false" applyFill="true" applyFont="true" applyNumberFormat="false" applyProtection="false" borderId="52" fillId="11" fontId="6" numFmtId="0" xfId="0">
      <alignment horizontal="center" vertical="center"/>
    </xf>
    <xf applyAlignment="true" applyBorder="false" applyFill="false" applyFont="true" applyNumberFormat="false" applyProtection="false" borderId="55" fillId="0" fontId="2" numFmtId="0" xfId="0">
      <alignment horizontal="center" vertical="center"/>
    </xf>
    <xf applyAlignment="true" applyBorder="false" applyFill="false" applyFont="true" applyNumberFormat="false" applyProtection="false" borderId="55" fillId="0" fontId="2" numFmtId="0" xfId="0">
      <alignment horizontal="center" vertical="center"/>
    </xf>
    <xf applyAlignment="true" applyBorder="false" applyFill="false" applyFont="true" applyNumberFormat="false" applyProtection="false" borderId="55" fillId="0" fontId="2" numFmtId="0" xfId="0">
      <alignment horizontal="center" vertical="center"/>
    </xf>
    <xf applyAlignment="true" applyBorder="false" applyFill="true" applyFont="true" applyNumberFormat="true" applyProtection="false" borderId="48" fillId="11" fontId="6" numFmtId="187" xfId="0">
      <alignment horizontal="center" vertical="center"/>
    </xf>
    <xf applyAlignment="true" applyBorder="false" applyFill="true" applyFont="true" applyNumberFormat="false" applyProtection="false" borderId="49" fillId="11" fontId="5" numFmtId="0" xfId="0">
      <alignment horizontal="center" vertical="center"/>
    </xf>
    <xf applyAlignment="true" applyBorder="false" applyFill="true" applyFont="true" applyNumberFormat="false" applyProtection="false" borderId="55" fillId="11" fontId="6" numFmtId="0" xfId="0">
      <alignment horizontal="center" vertical="center"/>
    </xf>
    <xf applyAlignment="true" applyBorder="false" applyFill="true" applyFont="true" applyNumberFormat="false" applyProtection="false" borderId="49" fillId="11" fontId="6" numFmtId="0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88" xfId="0">
      <alignment vertical="center"/>
    </xf>
    <xf applyAlignment="true" applyBorder="false" applyFill="false" applyFont="true" applyNumberFormat="true" applyProtection="false" borderId="0" fillId="0" fontId="3" numFmtId="189" xfId="0">
      <alignment vertical="center"/>
    </xf>
    <xf applyAlignment="true" applyBorder="false" applyFill="false" applyFont="true" applyNumberFormat="true" applyProtection="false" borderId="0" fillId="0" fontId="3" numFmtId="189" xfId="0">
      <alignment horizontal="right" vertical="center"/>
    </xf>
    <xf applyAlignment="true" applyBorder="false" applyFill="false" applyFont="true" applyNumberFormat="true" applyProtection="false" borderId="0" fillId="0" fontId="2" numFmtId="18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3" numFmtId="190" xfId="0">
      <alignment vertical="center"/>
    </xf>
    <xf applyAlignment="true" applyBorder="false" applyFill="false" applyFont="true" applyNumberFormat="true" applyProtection="false" borderId="0" fillId="0" fontId="2" numFmtId="189" xfId="0">
      <alignment horizontal="center" vertical="center"/>
    </xf>
    <xf applyAlignment="true" applyBorder="false" applyFill="false" applyFont="true" applyNumberFormat="true" applyProtection="false" borderId="0" fillId="0" fontId="2" numFmtId="190" xfId="0">
      <alignment horizontal="center" vertical="center"/>
    </xf>
    <xf applyAlignment="true" applyBorder="false" applyFill="false" applyFont="true" applyNumberFormat="true" applyProtection="false" borderId="0" fillId="0" fontId="2" numFmtId="184" xfId="0">
      <alignment vertical="center"/>
    </xf>
    <xf applyAlignment="true" applyBorder="false" applyFill="true" applyFont="true" applyNumberFormat="false" applyProtection="false" borderId="56" fillId="12" fontId="1" numFmtId="0" xfId="0">
      <alignment horizontal="center" vertical="center"/>
    </xf>
    <xf applyAlignment="true" applyBorder="false" applyFill="true" applyFont="true" applyNumberFormat="true" applyProtection="false" borderId="56" fillId="12" fontId="1" numFmtId="191" xfId="0">
      <alignment horizontal="center" vertical="center"/>
    </xf>
    <xf applyAlignment="true" applyBorder="false" applyFill="true" applyFont="true" applyNumberFormat="true" applyProtection="false" borderId="56" fillId="12" fontId="1" numFmtId="192" xfId="0">
      <alignment horizontal="center" vertical="center"/>
    </xf>
    <xf applyAlignment="true" applyBorder="false" applyFill="false" applyFont="true" applyNumberFormat="true" applyProtection="false" borderId="57" fillId="0" fontId="2" numFmtId="193" xfId="0">
      <alignment horizontal="center" vertical="center"/>
    </xf>
    <xf applyAlignment="true" applyBorder="false" applyFill="false" applyFont="true" applyNumberFormat="false" applyProtection="false" borderId="58" fillId="0" fontId="2" numFmtId="0" xfId="0">
      <alignment horizontal="center" vertical="center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false" applyFont="true" applyNumberFormat="true" applyProtection="false" borderId="57" fillId="0" fontId="2" numFmtId="191" xfId="0">
      <alignment horizontal="center" vertical="center"/>
    </xf>
    <xf applyAlignment="true" applyBorder="false" applyFill="false" applyFont="true" applyNumberFormat="true" applyProtection="false" borderId="57" fillId="0" fontId="2" numFmtId="194" xfId="0">
      <alignment horizontal="center" vertical="center"/>
    </xf>
    <xf applyAlignment="true" applyBorder="false" applyFill="false" applyFont="true" applyNumberFormat="false" applyProtection="false" borderId="59" fillId="0" fontId="3" numFmtId="0" xfId="0">
      <alignment vertical="center"/>
    </xf>
    <xf applyAlignment="true" applyBorder="false" applyFill="false" applyFont="true" applyNumberFormat="false" applyProtection="false" borderId="60" fillId="0" fontId="2" numFmtId="0" xfId="0">
      <alignment vertical="center"/>
    </xf>
    <xf applyAlignment="true" applyBorder="false" applyFill="false" applyFont="true" applyNumberFormat="false" applyProtection="false" borderId="61" fillId="0" fontId="2" numFmtId="0" xfId="0">
      <alignment horizontal="center" vertical="center"/>
    </xf>
    <xf applyAlignment="true" applyBorder="false" applyFill="false" applyFont="true" applyNumberFormat="true" applyProtection="false" borderId="57" fillId="0" fontId="2" numFmtId="191" xfId="0">
      <alignment horizontal="center" vertical="center"/>
    </xf>
    <xf applyAlignment="true" applyBorder="false" applyFill="false" applyFont="true" applyNumberFormat="false" applyProtection="false" borderId="62" fillId="0" fontId="2" numFmtId="0" xfId="0">
      <alignment horizontal="center" vertical="center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63" fillId="0" fontId="2" numFmtId="0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true" applyFont="true" applyNumberFormat="false" applyProtection="false" borderId="57" fillId="13" fontId="4" numFmtId="0" xfId="0">
      <alignment horizontal="center" vertical="center"/>
    </xf>
    <xf applyAlignment="true" applyBorder="false" applyFill="true" applyFont="true" applyNumberFormat="false" applyProtection="false" borderId="57" fillId="13" fontId="5" numFmtId="0" xfId="0">
      <alignment horizontal="center" vertical="center"/>
    </xf>
    <xf applyAlignment="true" applyBorder="false" applyFill="true" applyFont="true" applyNumberFormat="false" applyProtection="false" borderId="57" fillId="13" fontId="6" numFmtId="0" xfId="0">
      <alignment horizontal="center" vertical="center"/>
    </xf>
    <xf applyAlignment="true" applyBorder="false" applyFill="true" applyFont="true" applyNumberFormat="true" applyProtection="false" borderId="57" fillId="13" fontId="6" numFmtId="191" xfId="0">
      <alignment horizontal="center" vertical="center"/>
    </xf>
    <xf applyAlignment="true" applyBorder="false" applyFill="true" applyFont="true" applyNumberFormat="true" applyProtection="false" borderId="57" fillId="13" fontId="6" numFmtId="194" xfId="0">
      <alignment horizontal="center" vertical="center"/>
    </xf>
    <xf applyAlignment="true" applyBorder="false" applyFill="true" applyFont="true" applyNumberFormat="false" applyProtection="false" borderId="62" fillId="13" fontId="5" numFmtId="0" xfId="0">
      <alignment horizontal="center" vertical="center"/>
    </xf>
    <xf applyAlignment="true" applyBorder="false" applyFill="true" applyFont="true" applyNumberFormat="false" applyProtection="false" borderId="62" fillId="13" fontId="6" numFmtId="0" xfId="0">
      <alignment horizontal="center" vertical="center"/>
    </xf>
    <xf applyAlignment="true" applyBorder="false" applyFill="false" applyFont="true" applyNumberFormat="false" applyProtection="false" borderId="65" fillId="0" fontId="2" numFmtId="0" xfId="0">
      <alignment horizontal="center" vertical="center"/>
    </xf>
    <xf applyAlignment="true" applyBorder="false" applyFill="false" applyFont="true" applyNumberFormat="false" applyProtection="false" borderId="62" fillId="0" fontId="2" numFmtId="0" xfId="0">
      <alignment horizontal="center" vertical="center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false" applyFont="true" applyNumberFormat="false" applyProtection="false" borderId="62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false" applyFont="true" applyNumberFormat="true" applyProtection="false" borderId="57" fillId="0" fontId="2" numFmtId="193" xfId="0">
      <alignment horizontal="center" vertical="center"/>
    </xf>
    <xf applyAlignment="true" applyBorder="false" applyFill="false" applyFont="true" applyNumberFormat="true" applyProtection="false" borderId="62" fillId="0" fontId="2" numFmtId="191" xfId="0">
      <alignment horizontal="center" vertical="center"/>
    </xf>
    <xf applyAlignment="true" applyBorder="false" applyFill="false" applyFont="true" applyNumberFormat="true" applyProtection="false" borderId="65" fillId="0" fontId="2" numFmtId="191" xfId="0">
      <alignment horizontal="center" vertical="center"/>
    </xf>
    <xf applyAlignment="true" applyBorder="false" applyFill="false" applyFont="true" applyNumberFormat="false" applyProtection="false" borderId="59" fillId="0" fontId="2" numFmtId="0" xfId="0">
      <alignment horizontal="center" vertical="center"/>
    </xf>
    <xf applyAlignment="true" applyBorder="false" applyFill="false" applyFont="true" applyNumberFormat="true" applyProtection="false" borderId="63" fillId="0" fontId="2" numFmtId="194" xfId="0">
      <alignment horizontal="center" vertical="center"/>
    </xf>
    <xf applyAlignment="true" applyBorder="false" applyFill="false" applyFont="true" applyNumberFormat="true" applyProtection="false" borderId="64" fillId="0" fontId="2" numFmtId="191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/>
    </xf>
    <xf applyAlignment="true" applyBorder="false" applyFill="false" applyFont="true" applyNumberFormat="false" applyProtection="false" borderId="59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94" xfId="0">
      <alignment vertical="center"/>
    </xf>
    <xf applyAlignment="true" applyBorder="false" applyFill="false" applyFont="true" applyNumberFormat="true" applyProtection="false" borderId="0" fillId="0" fontId="3" numFmtId="194" xfId="0">
      <alignment vertical="center"/>
    </xf>
    <xf applyAlignment="true" applyBorder="false" applyFill="true" applyFont="true" applyNumberFormat="false" applyProtection="false" borderId="67" fillId="14" fontId="1" numFmtId="0" xfId="0">
      <alignment horizontal="center" vertical="center"/>
    </xf>
    <xf applyAlignment="true" applyBorder="false" applyFill="true" applyFont="true" applyNumberFormat="true" applyProtection="false" borderId="67" fillId="14" fontId="1" numFmtId="195" xfId="0">
      <alignment horizontal="center" vertical="center"/>
    </xf>
    <xf applyAlignment="true" applyBorder="false" applyFill="true" applyFont="true" applyNumberFormat="true" applyProtection="false" borderId="67" fillId="14" fontId="1" numFmtId="196" xfId="0">
      <alignment horizontal="center" vertical="center"/>
    </xf>
    <xf applyAlignment="true" applyBorder="false" applyFill="false" applyFont="true" applyNumberFormat="true" applyProtection="false" borderId="67" fillId="0" fontId="2" numFmtId="197" xfId="0">
      <alignment horizontal="center" vertical="center"/>
    </xf>
    <xf applyAlignment="true" applyBorder="false" applyFill="false" applyFont="true" applyNumberFormat="false" applyProtection="false" borderId="68" fillId="0" fontId="2" numFmtId="0" xfId="0">
      <alignment horizontal="center" vertical="center"/>
    </xf>
    <xf applyAlignment="true" applyBorder="false" applyFill="false" applyFont="true" applyNumberFormat="false" applyProtection="false" borderId="67" fillId="0" fontId="2" numFmtId="0" xfId="0">
      <alignment horizontal="center" vertical="center"/>
    </xf>
    <xf applyAlignment="true" applyBorder="false" applyFill="false" applyFont="true" applyNumberFormat="true" applyProtection="false" borderId="67" fillId="0" fontId="2" numFmtId="195" xfId="0">
      <alignment horizontal="center" vertical="center"/>
    </xf>
    <xf applyAlignment="true" applyBorder="false" applyFill="false" applyFont="true" applyNumberFormat="true" applyProtection="false" borderId="67" fillId="0" fontId="2" numFmtId="198" xfId="0">
      <alignment horizontal="center" vertical="center"/>
    </xf>
    <xf applyAlignment="true" applyBorder="false" applyFill="false" applyFont="true" applyNumberFormat="false" applyProtection="false" borderId="69" fillId="0" fontId="2" numFmtId="0" xfId="0">
      <alignment horizontal="center" vertical="center"/>
    </xf>
    <xf applyAlignment="true" applyBorder="false" applyFill="false" applyFont="true" applyNumberFormat="false" applyProtection="false" borderId="67" fillId="0" fontId="2" numFmtId="0" xfId="0">
      <alignment horizontal="center" vertical="center"/>
    </xf>
    <xf applyAlignment="true" applyBorder="false" applyFill="false" applyFont="true" applyNumberFormat="false" applyProtection="false" borderId="70" fillId="0" fontId="2" numFmtId="0" xfId="0">
      <alignment horizontal="center" vertical="center"/>
    </xf>
    <xf applyAlignment="true" applyBorder="false" applyFill="false" applyFont="true" applyNumberFormat="false" applyProtection="false" borderId="71" fillId="0" fontId="2" numFmtId="0" xfId="0">
      <alignment vertical="center"/>
    </xf>
    <xf applyAlignment="true" applyBorder="false" applyFill="false" applyFont="true" applyNumberFormat="false" applyProtection="false" borderId="72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67" fillId="15" fontId="4" numFmtId="0" xfId="0">
      <alignment horizontal="center" vertical="center"/>
    </xf>
    <xf applyAlignment="true" applyBorder="false" applyFill="true" applyFont="true" applyNumberFormat="false" applyProtection="false" borderId="67" fillId="15" fontId="5" numFmtId="0" xfId="0">
      <alignment horizontal="center" vertical="center"/>
    </xf>
    <xf applyAlignment="true" applyBorder="false" applyFill="true" applyFont="true" applyNumberFormat="false" applyProtection="false" borderId="67" fillId="15" fontId="6" numFmtId="0" xfId="0">
      <alignment horizontal="center" vertical="center"/>
    </xf>
    <xf applyAlignment="true" applyBorder="false" applyFill="true" applyFont="true" applyNumberFormat="true" applyProtection="false" borderId="67" fillId="15" fontId="6" numFmtId="195" xfId="0">
      <alignment horizontal="center" vertical="center"/>
    </xf>
    <xf applyAlignment="true" applyBorder="false" applyFill="true" applyFont="true" applyNumberFormat="true" applyProtection="false" borderId="67" fillId="15" fontId="6" numFmtId="198" xfId="0">
      <alignment horizontal="center" vertical="center"/>
    </xf>
    <xf applyAlignment="true" applyBorder="false" applyFill="false" applyFont="true" applyNumberFormat="false" applyProtection="false" borderId="73" fillId="0" fontId="2" numFmtId="0" xfId="0">
      <alignment horizontal="center" vertical="center"/>
    </xf>
    <xf applyAlignment="true" applyBorder="false" applyFill="false" applyFont="true" applyNumberFormat="false" applyProtection="false" borderId="74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73" fillId="0" fontId="2" numFmtId="197" xfId="0">
      <alignment horizontal="center" vertical="center"/>
    </xf>
    <xf applyAlignment="true" applyBorder="false" applyFill="false" applyFont="true" applyNumberFormat="false" applyProtection="false" borderId="75" fillId="0" fontId="2" numFmtId="0" xfId="0">
      <alignment horizontal="center" vertical="center"/>
    </xf>
    <xf applyAlignment="true" applyBorder="false" applyFill="false" applyFont="true" applyNumberFormat="false" applyProtection="false" borderId="73" fillId="0" fontId="2" numFmtId="0" xfId="0">
      <alignment horizontal="center" vertical="center"/>
    </xf>
    <xf applyAlignment="true" applyBorder="false" applyFill="false" applyFont="true" applyNumberFormat="true" applyProtection="false" borderId="73" fillId="0" fontId="2" numFmtId="195" xfId="0">
      <alignment horizontal="center" vertical="center"/>
    </xf>
    <xf applyAlignment="true" applyBorder="false" applyFill="false" applyFont="true" applyNumberFormat="true" applyProtection="false" borderId="73" fillId="0" fontId="2" numFmtId="198" xfId="0">
      <alignment horizontal="center" vertical="center"/>
    </xf>
    <xf applyAlignment="true" applyBorder="false" applyFill="false" applyFont="true" applyNumberFormat="false" applyProtection="false" borderId="76" fillId="0" fontId="2" numFmtId="0" xfId="0">
      <alignment vertical="center"/>
    </xf>
    <xf applyAlignment="true" applyBorder="false" applyFill="false" applyFont="true" applyNumberFormat="false" applyProtection="false" borderId="77" fillId="0" fontId="2" numFmtId="0" xfId="0">
      <alignment horizontal="center" vertical="center"/>
    </xf>
    <xf applyAlignment="true" applyBorder="false" applyFill="false" applyFont="true" applyNumberFormat="false" applyProtection="false" borderId="78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73" fillId="0" fontId="2" numFmtId="195" xfId="0">
      <alignment horizontal="center" vertical="center"/>
    </xf>
    <xf applyAlignment="true" applyBorder="false" applyFill="false" applyFont="true" applyNumberFormat="false" applyProtection="false" borderId="79" fillId="0" fontId="2" numFmtId="0" xfId="0">
      <alignment horizontal="center" vertical="center"/>
    </xf>
    <xf applyAlignment="true" applyBorder="false" applyFill="true" applyFont="true" applyNumberFormat="false" applyProtection="false" borderId="73" fillId="15" fontId="4" numFmtId="0" xfId="0">
      <alignment horizontal="center" vertical="center"/>
    </xf>
    <xf applyAlignment="true" applyBorder="false" applyFill="true" applyFont="true" applyNumberFormat="false" applyProtection="false" borderId="73" fillId="15" fontId="5" numFmtId="0" xfId="0">
      <alignment horizontal="center" vertical="center"/>
    </xf>
    <xf applyAlignment="true" applyBorder="false" applyFill="true" applyFont="true" applyNumberFormat="false" applyProtection="false" borderId="73" fillId="15" fontId="6" numFmtId="0" xfId="0">
      <alignment horizontal="center" vertical="center"/>
    </xf>
    <xf applyAlignment="true" applyBorder="false" applyFill="true" applyFont="true" applyNumberFormat="true" applyProtection="false" borderId="73" fillId="15" fontId="6" numFmtId="195" xfId="0">
      <alignment horizontal="center" vertical="center"/>
    </xf>
    <xf applyAlignment="true" applyBorder="false" applyFill="true" applyFont="true" applyNumberFormat="true" applyProtection="false" borderId="73" fillId="15" fontId="6" numFmtId="198" xfId="0">
      <alignment horizontal="center" vertical="center"/>
    </xf>
    <xf applyAlignment="true" applyBorder="false" applyFill="false" applyFont="true" applyNumberFormat="true" applyProtection="false" borderId="73" fillId="0" fontId="2" numFmtId="197" xfId="0">
      <alignment horizontal="center" vertical="center"/>
    </xf>
    <xf applyAlignment="true" applyBorder="false" applyFill="true" applyFont="true" applyNumberFormat="false" applyProtection="false" borderId="73" fillId="15" fontId="4" numFmtId="0" xfId="0">
      <alignment horizontal="center" vertical="center"/>
    </xf>
    <xf applyAlignment="true" applyBorder="false" applyFill="false" applyFont="true" applyNumberFormat="false" applyProtection="false" borderId="7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3" numFmtId="195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true" applyFont="true" applyNumberFormat="false" applyProtection="false" borderId="0" fillId="16" fontId="8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true" applyFont="true" applyNumberFormat="false" applyProtection="false" borderId="80" fillId="17" fontId="1" numFmtId="0" xfId="0">
      <alignment horizontal="center" vertical="center"/>
    </xf>
    <xf applyAlignment="true" applyBorder="false" applyFill="true" applyFont="true" applyNumberFormat="true" applyProtection="false" borderId="80" fillId="17" fontId="1" numFmtId="199" xfId="0">
      <alignment horizontal="center" vertical="center"/>
    </xf>
    <xf applyAlignment="true" applyBorder="false" applyFill="false" applyFont="true" applyNumberFormat="true" applyProtection="false" borderId="80" fillId="0" fontId="2" numFmtId="200" xfId="0">
      <alignment horizontal="center" vertical="center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false" applyFont="true" applyNumberFormat="false" applyProtection="false" borderId="80" fillId="0" fontId="2" numFmtId="0" xfId="0">
      <alignment horizontal="center" vertical="center"/>
    </xf>
    <xf applyAlignment="true" applyBorder="false" applyFill="false" applyFont="true" applyNumberFormat="false" applyProtection="false" borderId="80" fillId="0" fontId="2" numFmtId="0" xfId="0">
      <alignment horizontal="center" vertical="center"/>
    </xf>
    <xf applyAlignment="true" applyBorder="false" applyFill="false" applyFont="true" applyNumberFormat="true" applyProtection="false" borderId="80" fillId="0" fontId="2" numFmtId="201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80" fillId="18" fontId="4" numFmtId="0" xfId="0">
      <alignment horizontal="center" vertical="center"/>
    </xf>
    <xf applyAlignment="true" applyBorder="false" applyFill="true" applyFont="true" applyNumberFormat="false" applyProtection="false" borderId="80" fillId="18" fontId="5" numFmtId="0" xfId="0">
      <alignment horizontal="center" vertical="center"/>
    </xf>
    <xf applyAlignment="true" applyBorder="false" applyFill="true" applyFont="true" applyNumberFormat="false" applyProtection="false" borderId="80" fillId="18" fontId="6" numFmtId="0" xfId="0">
      <alignment horizontal="center" vertical="center"/>
    </xf>
    <xf applyAlignment="true" applyBorder="false" applyFill="true" applyFont="true" applyNumberFormat="true" applyProtection="false" borderId="80" fillId="18" fontId="6" numFmtId="201" xfId="0">
      <alignment horizontal="center" vertical="center"/>
    </xf>
    <xf applyAlignment="true" applyBorder="false" applyFill="false" applyFont="true" applyNumberFormat="false" applyProtection="false" borderId="82" fillId="0" fontId="2" numFmtId="0" xfId="0">
      <alignment horizontal="center" vertical="center"/>
    </xf>
    <xf applyAlignment="true" applyBorder="false" applyFill="false" applyFont="true" applyNumberFormat="false" applyProtection="false" borderId="83" fillId="0" fontId="2" numFmtId="0" xfId="0">
      <alignment horizontal="center" vertical="center"/>
    </xf>
    <xf applyAlignment="true" applyBorder="false" applyFill="false" applyFont="true" applyNumberFormat="false" applyProtection="false" borderId="84" fillId="0" fontId="2" numFmtId="0" xfId="0">
      <alignment vertical="center"/>
    </xf>
    <xf applyAlignment="true" applyBorder="false" applyFill="false" applyFont="true" applyNumberFormat="false" applyProtection="false" borderId="85" fillId="0" fontId="2" numFmtId="0" xfId="0">
      <alignment horizontal="center" vertical="center"/>
    </xf>
    <xf applyAlignment="true" applyBorder="false" applyFill="false" applyFont="true" applyNumberFormat="false" applyProtection="false" borderId="80" fillId="0" fontId="4" numFmtId="0" xfId="0">
      <alignment horizontal="center" vertical="center"/>
    </xf>
    <xf applyAlignment="true" applyBorder="false" applyFill="false" applyFont="true" applyNumberFormat="true" applyProtection="false" borderId="80" fillId="0" fontId="2" numFmtId="20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true" applyProtection="false" borderId="0" fillId="0" fontId="3" numFmtId="202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0" fillId="19" fontId="3" numFmtId="203" xfId="0">
      <alignment horizontal="center" vertical="center"/>
    </xf>
    <xf applyAlignment="true" applyBorder="false" applyFill="true" applyFont="true" applyNumberFormat="false" applyProtection="false" borderId="86" fillId="20" fontId="1" numFmtId="0" xfId="0">
      <alignment horizontal="center" vertical="center"/>
    </xf>
    <xf applyAlignment="true" applyBorder="false" applyFill="true" applyFont="true" applyNumberFormat="true" applyProtection="false" borderId="86" fillId="20" fontId="1" numFmtId="204" xfId="0">
      <alignment horizontal="center" vertical="center"/>
    </xf>
    <xf applyAlignment="true" applyBorder="false" applyFill="false" applyFont="true" applyNumberFormat="true" applyProtection="false" borderId="86" fillId="0" fontId="2" numFmtId="205" xfId="0">
      <alignment horizontal="center" vertical="center"/>
    </xf>
    <xf applyAlignment="true" applyBorder="false" applyFill="false" applyFont="true" applyNumberFormat="false" applyProtection="false" borderId="87" fillId="0" fontId="2" numFmtId="0" xfId="0">
      <alignment horizontal="center" vertical="center"/>
    </xf>
    <xf applyAlignment="true" applyBorder="false" applyFill="false" applyFont="true" applyNumberFormat="false" applyProtection="false" borderId="86" fillId="0" fontId="2" numFmtId="0" xfId="0">
      <alignment horizontal="center" vertical="center"/>
    </xf>
    <xf applyAlignment="true" applyBorder="false" applyFill="false" applyFont="true" applyNumberFormat="true" applyProtection="false" borderId="86" fillId="0" fontId="2" numFmtId="203" xfId="0">
      <alignment horizontal="center" vertical="center"/>
    </xf>
    <xf applyAlignment="true" applyBorder="false" applyFill="false" applyFont="true" applyNumberFormat="false" applyProtection="false" borderId="86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3" numFmtId="203" xfId="0">
      <alignment horizontal="center" vertical="center"/>
    </xf>
    <xf applyAlignment="true" applyBorder="false" applyFill="false" applyFont="true" applyNumberFormat="true" applyProtection="false" borderId="0" fillId="0" fontId="3" numFmtId="20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86" fillId="21" fontId="4" numFmtId="0" xfId="0">
      <alignment horizontal="center" vertical="center"/>
    </xf>
    <xf applyAlignment="true" applyBorder="false" applyFill="true" applyFont="true" applyNumberFormat="false" applyProtection="false" borderId="86" fillId="21" fontId="5" numFmtId="0" xfId="0">
      <alignment horizontal="center" vertical="center"/>
    </xf>
    <xf applyAlignment="true" applyBorder="false" applyFill="true" applyFont="true" applyNumberFormat="false" applyProtection="false" borderId="86" fillId="21" fontId="6" numFmtId="0" xfId="0">
      <alignment horizontal="center" vertical="center"/>
    </xf>
    <xf applyAlignment="true" applyBorder="false" applyFill="true" applyFont="true" applyNumberFormat="true" applyProtection="false" borderId="86" fillId="21" fontId="6" numFmtId="203" xfId="0">
      <alignment horizontal="center" vertical="center"/>
    </xf>
    <xf applyAlignment="true" applyBorder="false" applyFill="false" applyFont="true" applyNumberFormat="false" applyProtection="false" borderId="87" fillId="0" fontId="2" numFmtId="0" xfId="0">
      <alignment horizontal="center" vertical="center"/>
    </xf>
    <xf applyAlignment="true" applyBorder="false" applyFill="false" applyFont="true" applyNumberFormat="true" applyProtection="false" borderId="86" fillId="0" fontId="2" numFmtId="205" xfId="0">
      <alignment horizontal="center" vertical="center"/>
    </xf>
    <xf applyAlignment="true" applyBorder="false" applyFill="true" applyFont="true" applyNumberFormat="false" applyProtection="false" borderId="86" fillId="21" fontId="4" numFmtId="0" xfId="0">
      <alignment horizontal="center" vertical="center"/>
    </xf>
    <xf applyAlignment="true" applyBorder="false" applyFill="false" applyFont="true" applyNumberFormat="false" applyProtection="false" borderId="88" fillId="0" fontId="2" numFmtId="0" xfId="0">
      <alignment horizontal="center" vertical="center"/>
    </xf>
    <xf applyAlignment="true" applyBorder="false" applyFill="false" applyFont="true" applyNumberFormat="false" applyProtection="false" borderId="89" fillId="0" fontId="2" numFmtId="0" xfId="0">
      <alignment horizontal="center" vertical="center"/>
    </xf>
    <xf applyAlignment="true" applyBorder="false" applyFill="false" applyFont="true" applyNumberFormat="false" applyProtection="false" borderId="90" fillId="0" fontId="3" numFmtId="0" xfId="0">
      <alignment vertical="center"/>
    </xf>
    <xf applyAlignment="true" applyBorder="false" applyFill="false" applyFont="true" applyNumberFormat="false" applyProtection="false" borderId="91" fillId="0" fontId="2" numFmtId="0" xfId="0">
      <alignment horizontal="center" vertical="center"/>
    </xf>
    <xf applyAlignment="true" applyBorder="false" applyFill="false" applyFont="true" applyNumberFormat="false" applyProtection="false" borderId="91" fillId="0" fontId="2" numFmtId="0" xfId="0">
      <alignment horizontal="center" vertical="center"/>
    </xf>
    <xf applyAlignment="true" applyBorder="false" applyFill="false" applyFont="true" applyNumberFormat="false" applyProtection="false" borderId="89" fillId="0" fontId="2" numFmtId="0" xfId="0">
      <alignment horizontal="center" vertical="center"/>
    </xf>
    <xf applyAlignment="true" applyBorder="false" applyFill="false" applyFont="true" applyNumberFormat="false" applyProtection="false" borderId="90" fillId="0" fontId="2" numFmtId="0" xfId="0">
      <alignment vertical="center"/>
    </xf>
    <xf applyAlignment="true" applyBorder="false" applyFill="false" applyFont="true" applyNumberFormat="false" applyProtection="false" borderId="92" fillId="0" fontId="2" numFmtId="0" xfId="0">
      <alignment horizontal="center" vertical="center"/>
    </xf>
    <xf applyAlignment="true" applyBorder="false" applyFill="false" applyFont="true" applyNumberFormat="false" applyProtection="false" borderId="93" fillId="0" fontId="3" numFmtId="0" xfId="0">
      <alignment vertical="center"/>
    </xf>
    <xf applyAlignment="true" applyBorder="false" applyFill="false" applyFont="true" applyNumberFormat="false" applyProtection="false" borderId="88" fillId="0" fontId="2" numFmtId="0" xfId="0">
      <alignment horizontal="center" vertical="center"/>
    </xf>
    <xf applyAlignment="true" applyBorder="false" applyFill="false" applyFont="true" applyNumberFormat="false" applyProtection="false" borderId="92" fillId="0" fontId="2" numFmtId="0" xfId="0">
      <alignment horizontal="center" vertical="center"/>
    </xf>
    <xf applyAlignment="true" applyBorder="false" applyFill="false" applyFont="true" applyNumberFormat="false" applyProtection="false" borderId="90" fillId="0" fontId="2" numFmtId="0" xfId="0">
      <alignment horizontal="center" vertical="center"/>
    </xf>
    <xf applyAlignment="true" applyBorder="false" applyFill="false" applyFont="true" applyNumberFormat="false" applyProtection="false" borderId="86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3" numFmtId="207" xfId="0">
      <alignment vertical="center"/>
    </xf>
    <xf applyAlignment="true" applyBorder="false" applyFill="true" applyFont="true" applyNumberFormat="false" applyProtection="false" borderId="0" fillId="22" fontId="9" numFmtId="0" xfId="0">
      <alignment vertical="center"/>
    </xf>
    <xf applyAlignment="true" applyBorder="false" applyFill="true" applyFont="true" applyNumberFormat="true" applyProtection="false" borderId="0" fillId="22" fontId="9" numFmtId="207" xfId="0">
      <alignment vertical="center"/>
    </xf>
    <xf applyAlignment="true" applyBorder="false" applyFill="true" applyFont="true" applyNumberFormat="false" applyProtection="false" borderId="0" fillId="22" fontId="9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07" xfId="0">
      <alignment vertical="center"/>
    </xf>
    <xf applyAlignment="true" applyBorder="false" applyFill="false" applyFont="true" applyNumberFormat="true" applyProtection="false" borderId="0" fillId="0" fontId="3" numFmtId="207" xfId="0">
      <alignment vertical="center"/>
    </xf>
    <xf applyAlignment="true" applyBorder="false" applyFill="true" applyFont="true" applyNumberFormat="true" applyProtection="false" borderId="94" fillId="23" fontId="1" numFmtId="208" xfId="0">
      <alignment horizontal="center" vertical="center"/>
    </xf>
    <xf applyAlignment="true" applyBorder="false" applyFill="true" applyFont="true" applyNumberFormat="false" applyProtection="false" borderId="94" fillId="23" fontId="1" numFmtId="0" xfId="0">
      <alignment horizontal="center" vertical="center"/>
    </xf>
    <xf applyAlignment="true" applyBorder="false" applyFill="true" applyFont="true" applyNumberFormat="true" applyProtection="false" borderId="94" fillId="23" fontId="1" numFmtId="209" xfId="0">
      <alignment horizontal="center" vertical="center"/>
    </xf>
    <xf applyAlignment="true" applyBorder="false" applyFill="false" applyFont="true" applyNumberFormat="true" applyProtection="false" borderId="94" fillId="0" fontId="2" numFmtId="208" xfId="0">
      <alignment horizontal="center" vertical="center"/>
    </xf>
    <xf applyAlignment="true" applyBorder="false" applyFill="false" applyFont="true" applyNumberFormat="false" applyProtection="false" borderId="95" fillId="0" fontId="2" numFmtId="0" xfId="0">
      <alignment horizontal="center" vertical="center"/>
    </xf>
    <xf applyAlignment="true" applyBorder="false" applyFill="false" applyFont="true" applyNumberFormat="false" applyProtection="false" borderId="94" fillId="0" fontId="2" numFmtId="0" xfId="0">
      <alignment horizontal="center" vertical="center"/>
    </xf>
    <xf applyAlignment="true" applyBorder="false" applyFill="false" applyFont="true" applyNumberFormat="true" applyProtection="false" borderId="94" fillId="0" fontId="2" numFmtId="210" xfId="0">
      <alignment horizontal="center" vertical="center"/>
    </xf>
    <xf applyAlignment="true" applyBorder="false" applyFill="false" applyFont="true" applyNumberFormat="false" applyProtection="false" borderId="94" fillId="0" fontId="2" numFmtId="0" xfId="0">
      <alignment horizontal="center" vertical="center"/>
    </xf>
    <xf applyAlignment="true" applyBorder="false" applyFill="true" applyFont="true" applyNumberFormat="false" applyProtection="false" borderId="94" fillId="24" fontId="4" numFmtId="0" xfId="0">
      <alignment horizontal="center" vertical="center"/>
    </xf>
    <xf applyAlignment="true" applyBorder="false" applyFill="true" applyFont="true" applyNumberFormat="false" applyProtection="false" borderId="94" fillId="24" fontId="5" numFmtId="0" xfId="0">
      <alignment horizontal="center" vertical="center"/>
    </xf>
    <xf applyAlignment="true" applyBorder="false" applyFill="true" applyFont="true" applyNumberFormat="false" applyProtection="false" borderId="94" fillId="24" fontId="6" numFmtId="0" xfId="0">
      <alignment horizontal="center" vertical="center"/>
    </xf>
    <xf applyAlignment="true" applyBorder="false" applyFill="true" applyFont="true" applyNumberFormat="true" applyProtection="false" borderId="94" fillId="24" fontId="6" numFmtId="21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94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11" xfId="0">
      <alignment vertical="center"/>
    </xf>
    <xf applyAlignment="true" applyBorder="false" applyFill="true" applyFont="true" applyNumberFormat="true" applyProtection="false" borderId="96" fillId="25" fontId="1" numFmtId="212" xfId="0">
      <alignment horizontal="center" vertical="center"/>
    </xf>
    <xf applyAlignment="true" applyBorder="false" applyFill="true" applyFont="true" applyNumberFormat="false" applyProtection="false" borderId="96" fillId="25" fontId="1" numFmtId="0" xfId="0">
      <alignment horizontal="center" vertical="center"/>
    </xf>
    <xf applyAlignment="true" applyBorder="false" applyFill="true" applyFont="true" applyNumberFormat="true" applyProtection="false" borderId="96" fillId="25" fontId="1" numFmtId="213" xfId="0">
      <alignment horizontal="center" vertical="center"/>
    </xf>
    <xf applyAlignment="true" applyBorder="false" applyFill="false" applyFont="true" applyNumberFormat="true" applyProtection="false" borderId="96" fillId="0" fontId="2" numFmtId="212" xfId="0">
      <alignment horizontal="center" vertical="center"/>
    </xf>
    <xf applyAlignment="true" applyBorder="false" applyFill="false" applyFont="true" applyNumberFormat="false" applyProtection="false" borderId="97" fillId="0" fontId="2" numFmtId="0" xfId="0">
      <alignment horizontal="center" vertical="center"/>
    </xf>
    <xf applyAlignment="true" applyBorder="false" applyFill="false" applyFont="true" applyNumberFormat="false" applyProtection="false" borderId="96" fillId="0" fontId="2" numFmtId="0" xfId="0">
      <alignment horizontal="center" vertical="center"/>
    </xf>
    <xf applyAlignment="true" applyBorder="false" applyFill="false" applyFont="true" applyNumberFormat="true" applyProtection="false" borderId="96" fillId="0" fontId="2" numFmtId="214" xfId="0">
      <alignment horizontal="center" vertical="center"/>
    </xf>
    <xf applyAlignment="true" applyBorder="false" applyFill="false" applyFont="true" applyNumberFormat="false" applyProtection="false" borderId="96" fillId="0" fontId="2" numFmtId="0" xfId="0">
      <alignment horizontal="center" vertical="center"/>
    </xf>
    <xf applyAlignment="true" applyBorder="false" applyFill="false" applyFont="true" applyNumberFormat="false" applyProtection="false" borderId="96" fillId="0" fontId="2" numFmtId="0" xfId="0">
      <alignment horizontal="center" vertical="center"/>
    </xf>
    <xf applyAlignment="true" applyBorder="false" applyFill="true" applyFont="true" applyNumberFormat="true" applyProtection="false" borderId="96" fillId="26" fontId="4" numFmtId="212" xfId="0">
      <alignment horizontal="center" vertical="center"/>
    </xf>
    <xf applyAlignment="true" applyBorder="false" applyFill="true" applyFont="true" applyNumberFormat="false" applyProtection="false" borderId="96" fillId="26" fontId="5" numFmtId="0" xfId="0">
      <alignment horizontal="center" vertical="center"/>
    </xf>
    <xf applyAlignment="true" applyBorder="false" applyFill="true" applyFont="true" applyNumberFormat="false" applyProtection="false" borderId="96" fillId="26" fontId="6" numFmtId="0" xfId="0">
      <alignment horizontal="center" vertical="center"/>
    </xf>
    <xf applyAlignment="true" applyBorder="false" applyFill="true" applyFont="true" applyNumberFormat="true" applyProtection="false" borderId="96" fillId="26" fontId="6" numFmtId="214" xfId="0">
      <alignment horizontal="center" vertical="center"/>
    </xf>
    <xf applyAlignment="true" applyBorder="false" applyFill="false" applyFont="true" applyNumberFormat="true" applyProtection="false" borderId="96" fillId="0" fontId="2" numFmtId="212" xfId="0">
      <alignment horizontal="center" vertical="center"/>
    </xf>
    <xf applyAlignment="true" applyBorder="false" applyFill="true" applyFont="true" applyNumberFormat="true" applyProtection="false" borderId="96" fillId="26" fontId="4" numFmtId="21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96" fillId="26" fontId="4" numFmtId="0" xfId="0">
      <alignment horizontal="center" vertical="center"/>
    </xf>
    <xf applyAlignment="true" applyBorder="false" applyFill="true" applyFont="true" applyNumberFormat="false" applyProtection="false" borderId="96" fillId="26" fontId="4" numFmtId="0" xfId="0">
      <alignment horizontal="center" vertical="center"/>
    </xf>
    <xf applyAlignment="true" applyBorder="false" applyFill="false" applyFont="true" applyNumberFormat="false" applyProtection="false" borderId="96" fillId="0" fontId="4" numFmtId="0" xfId="0">
      <alignment horizontal="center" vertical="center"/>
    </xf>
    <xf applyAlignment="true" applyBorder="false" applyFill="true" applyFont="true" applyNumberFormat="false" applyProtection="false" borderId="96" fillId="26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98" fillId="27" fontId="1" numFmtId="215" xfId="0">
      <alignment horizontal="center" vertical="center"/>
    </xf>
    <xf applyAlignment="true" applyBorder="false" applyFill="true" applyFont="true" applyNumberFormat="false" applyProtection="false" borderId="98" fillId="27" fontId="1" numFmtId="0" xfId="0">
      <alignment horizontal="center" vertical="center"/>
    </xf>
    <xf applyAlignment="true" applyBorder="false" applyFill="true" applyFont="true" applyNumberFormat="true" applyProtection="false" borderId="98" fillId="27" fontId="1" numFmtId="216" xfId="0">
      <alignment horizontal="center" vertical="center"/>
    </xf>
    <xf applyAlignment="true" applyBorder="false" applyFill="false" applyFont="true" applyNumberFormat="true" applyProtection="false" borderId="98" fillId="0" fontId="2" numFmtId="215" xfId="0">
      <alignment horizontal="center" vertical="center"/>
    </xf>
    <xf applyAlignment="true" applyBorder="false" applyFill="false" applyFont="true" applyNumberFormat="false" applyProtection="false" borderId="98" fillId="0" fontId="2" numFmtId="0" xfId="0">
      <alignment horizontal="center" vertical="center"/>
    </xf>
    <xf applyAlignment="true" applyBorder="false" applyFill="false" applyFont="true" applyNumberFormat="true" applyProtection="false" borderId="98" fillId="0" fontId="2" numFmtId="217" xfId="0">
      <alignment horizontal="center" vertical="center"/>
    </xf>
    <xf applyAlignment="true" applyBorder="false" applyFill="false" applyFont="true" applyNumberFormat="false" applyProtection="false" borderId="98" fillId="0" fontId="2" numFmtId="0" xfId="0">
      <alignment horizontal="center" vertical="center"/>
    </xf>
    <xf applyAlignment="true" applyBorder="false" applyFill="false" applyFont="true" applyNumberFormat="false" applyProtection="false" borderId="98" fillId="0" fontId="2" numFmtId="0" xfId="0">
      <alignment horizontal="center" vertical="center"/>
    </xf>
    <xf applyAlignment="true" applyBorder="false" applyFill="true" applyFont="true" applyNumberFormat="true" applyProtection="false" borderId="98" fillId="28" fontId="4" numFmtId="215" xfId="0">
      <alignment horizontal="center" vertical="center"/>
    </xf>
    <xf applyAlignment="true" applyBorder="false" applyFill="true" applyFont="true" applyNumberFormat="false" applyProtection="false" borderId="98" fillId="28" fontId="5" numFmtId="0" xfId="0">
      <alignment horizontal="center" vertical="center"/>
    </xf>
    <xf applyAlignment="true" applyBorder="false" applyFill="true" applyFont="true" applyNumberFormat="false" applyProtection="false" borderId="98" fillId="28" fontId="6" numFmtId="0" xfId="0">
      <alignment horizontal="center" vertical="center"/>
    </xf>
    <xf applyAlignment="true" applyBorder="false" applyFill="true" applyFont="true" applyNumberFormat="true" applyProtection="false" borderId="98" fillId="28" fontId="6" numFmtId="21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99" fillId="29" fontId="1" numFmtId="218" xfId="0">
      <alignment horizontal="center" vertical="center"/>
    </xf>
    <xf applyAlignment="true" applyBorder="false" applyFill="true" applyFont="true" applyNumberFormat="false" applyProtection="false" borderId="99" fillId="29" fontId="1" numFmtId="0" xfId="0">
      <alignment horizontal="center" vertical="center"/>
    </xf>
    <xf applyAlignment="true" applyBorder="false" applyFill="true" applyFont="true" applyNumberFormat="true" applyProtection="false" borderId="99" fillId="29" fontId="1" numFmtId="219" xfId="0">
      <alignment horizontal="center" vertical="center"/>
    </xf>
    <xf applyAlignment="true" applyBorder="false" applyFill="false" applyFont="true" applyNumberFormat="true" applyProtection="false" borderId="99" fillId="0" fontId="2" numFmtId="218" xfId="0">
      <alignment horizontal="center" vertical="center"/>
    </xf>
    <xf applyAlignment="true" applyBorder="false" applyFill="false" applyFont="true" applyNumberFormat="false" applyProtection="false" borderId="99" fillId="0" fontId="2" numFmtId="0" xfId="0">
      <alignment horizontal="center" vertical="center"/>
    </xf>
    <xf applyAlignment="true" applyBorder="false" applyFill="false" applyFont="true" applyNumberFormat="true" applyProtection="false" borderId="99" fillId="0" fontId="2" numFmtId="220" xfId="0">
      <alignment horizontal="center" vertical="center"/>
    </xf>
    <xf applyAlignment="true" applyBorder="false" applyFill="false" applyFont="true" applyNumberFormat="false" applyProtection="false" borderId="99" fillId="0" fontId="2" numFmtId="0" xfId="0">
      <alignment horizontal="center" vertical="center"/>
    </xf>
    <xf applyAlignment="true" applyBorder="false" applyFill="false" applyFont="true" applyNumberFormat="false" applyProtection="false" borderId="100" fillId="0" fontId="2" numFmtId="0" xfId="0">
      <alignment horizontal="center" vertical="center"/>
    </xf>
    <xf applyAlignment="true" applyBorder="false" applyFill="false" applyFont="true" applyNumberFormat="false" applyProtection="false" borderId="100" fillId="0" fontId="3" numFmtId="0" xfId="0">
      <alignment horizontal="center" vertical="center"/>
    </xf>
    <xf applyAlignment="true" applyBorder="false" applyFill="false" applyFont="true" applyNumberFormat="false" applyProtection="false" borderId="99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99" fillId="30" fontId="4" numFmtId="218" xfId="0">
      <alignment horizontal="center" vertical="center"/>
    </xf>
    <xf applyAlignment="true" applyBorder="false" applyFill="true" applyFont="true" applyNumberFormat="false" applyProtection="false" borderId="99" fillId="30" fontId="5" numFmtId="0" xfId="0">
      <alignment horizontal="center" vertical="center"/>
    </xf>
    <xf applyAlignment="true" applyBorder="false" applyFill="true" applyFont="true" applyNumberFormat="false" applyProtection="false" borderId="99" fillId="30" fontId="6" numFmtId="0" xfId="0">
      <alignment horizontal="center" vertical="center"/>
    </xf>
    <xf applyAlignment="true" applyBorder="false" applyFill="true" applyFont="true" applyNumberFormat="true" applyProtection="false" borderId="99" fillId="30" fontId="6" numFmtId="220" xfId="0">
      <alignment horizontal="center" vertical="center"/>
    </xf>
    <xf applyAlignment="true" applyBorder="false" applyFill="false" applyFont="true" applyNumberFormat="false" applyProtection="false" borderId="100" fillId="0" fontId="2" numFmtId="0" xfId="0">
      <alignment horizontal="center" vertical="center"/>
    </xf>
    <xf applyAlignment="true" applyBorder="false" applyFill="true" applyFont="true" applyNumberFormat="false" applyProtection="false" borderId="99" fillId="31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2" fontId="8" numFmtId="0" xfId="0">
      <alignment vertical="center"/>
    </xf>
    <xf applyAlignment="true" applyBorder="false" applyFill="true" applyFont="true" applyNumberFormat="false" applyProtection="false" borderId="101" fillId="33" fontId="1" numFmtId="0" xfId="0">
      <alignment horizontal="center" vertical="center"/>
    </xf>
    <xf applyAlignment="true" applyBorder="false" applyFill="true" applyFont="true" applyNumberFormat="true" applyProtection="false" borderId="101" fillId="33" fontId="1" numFmtId="221" xfId="0">
      <alignment horizontal="center" vertical="center"/>
    </xf>
    <xf applyAlignment="true" applyBorder="false" applyFill="true" applyFont="true" applyNumberFormat="true" applyProtection="false" borderId="101" fillId="33" fontId="1" numFmtId="221" xfId="0">
      <alignment horizontal="center" vertical="center"/>
    </xf>
    <xf applyAlignment="true" applyBorder="false" applyFill="false" applyFont="true" applyNumberFormat="true" applyProtection="false" borderId="101" fillId="0" fontId="2" numFmtId="222" xfId="0">
      <alignment horizontal="center" vertical="center"/>
    </xf>
    <xf applyAlignment="true" applyBorder="false" applyFill="false" applyFont="true" applyNumberFormat="false" applyProtection="false" borderId="101" fillId="0" fontId="2" numFmtId="0" xfId="0">
      <alignment horizontal="center" vertical="center"/>
    </xf>
    <xf applyAlignment="true" applyBorder="false" applyFill="false" applyFont="true" applyNumberFormat="true" applyProtection="false" borderId="101" fillId="0" fontId="2" numFmtId="223" xfId="0">
      <alignment horizontal="center" vertical="center"/>
    </xf>
    <xf applyAlignment="true" applyBorder="false" applyFill="false" applyFont="true" applyNumberFormat="false" applyProtection="false" borderId="101" fillId="0" fontId="2" numFmtId="0" xfId="0">
      <alignment horizontal="center" vertical="center"/>
    </xf>
    <xf applyAlignment="true" applyBorder="false" applyFill="false" applyFont="true" applyNumberFormat="false" applyProtection="false" borderId="102" fillId="0" fontId="3" numFmtId="0" xfId="0">
      <alignment horizontal="center" vertical="center"/>
    </xf>
    <xf applyAlignment="true" applyBorder="false" applyFill="true" applyFont="true" applyNumberFormat="true" applyProtection="false" borderId="101" fillId="34" fontId="4" numFmtId="222" xfId="0">
      <alignment horizontal="center" vertical="center"/>
    </xf>
    <xf applyAlignment="true" applyBorder="false" applyFill="true" applyFont="true" applyNumberFormat="false" applyProtection="false" borderId="101" fillId="34" fontId="5" numFmtId="0" xfId="0">
      <alignment horizontal="center" vertical="center"/>
    </xf>
    <xf applyAlignment="true" applyBorder="false" applyFill="true" applyFont="true" applyNumberFormat="false" applyProtection="false" borderId="101" fillId="34" fontId="6" numFmtId="0" xfId="0">
      <alignment horizontal="center" vertical="center"/>
    </xf>
    <xf applyAlignment="true" applyBorder="false" applyFill="true" applyFont="true" applyNumberFormat="false" applyProtection="false" borderId="101" fillId="34" fontId="6" numFmtId="0" xfId="0">
      <alignment horizontal="center" vertical="center"/>
    </xf>
    <xf applyAlignment="true" applyBorder="false" applyFill="true" applyFont="true" applyNumberFormat="true" applyProtection="false" borderId="101" fillId="34" fontId="6" numFmtId="22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01" fillId="0" fontId="2" numFmtId="0" xfId="0">
      <alignment horizontal="center" vertical="center"/>
    </xf>
    <xf applyAlignment="true" applyBorder="false" applyFill="false" applyFont="true" applyNumberFormat="false" applyProtection="false" borderId="102" fillId="0" fontId="2" numFmtId="0" xfId="0">
      <alignment horizontal="center" vertical="center"/>
    </xf>
    <xf applyAlignment="true" applyBorder="false" applyFill="false" applyFont="true" applyNumberFormat="false" applyProtection="false" borderId="102" fillId="0" fontId="2" numFmtId="0" xfId="0">
      <alignment horizontal="center" vertical="center"/>
    </xf>
    <xf applyAlignment="true" applyBorder="false" applyFill="true" applyFont="true" applyNumberFormat="false" applyProtection="false" borderId="101" fillId="35" fontId="2" numFmtId="0" xfId="0">
      <alignment horizontal="center" vertical="center"/>
    </xf>
    <xf applyAlignment="true" applyBorder="false" applyFill="false" applyFont="true" applyNumberFormat="false" applyProtection="false" borderId="103" fillId="0" fontId="2" numFmtId="0" xfId="0">
      <alignment horizontal="center" vertical="center"/>
    </xf>
    <xf applyAlignment="true" applyBorder="false" applyFill="false" applyFont="true" applyNumberFormat="false" applyProtection="false" borderId="104" fillId="0" fontId="2" numFmtId="0" xfId="0">
      <alignment horizontal="center" vertical="center"/>
    </xf>
    <xf applyAlignment="true" applyBorder="false" applyFill="false" applyFont="true" applyNumberFormat="false" applyProtection="false" borderId="105" fillId="0" fontId="2" numFmtId="0" xfId="0">
      <alignment horizontal="center" vertical="center"/>
    </xf>
    <xf applyAlignment="true" applyBorder="false" applyFill="false" applyFont="true" applyNumberFormat="false" applyProtection="false" borderId="105" fillId="0" fontId="2" numFmtId="0" xfId="0">
      <alignment horizontal="center" vertical="center"/>
    </xf>
    <xf applyAlignment="true" applyBorder="false" applyFill="true" applyFont="true" applyNumberFormat="true" applyProtection="false" borderId="101" fillId="34" fontId="4" numFmtId="222" xfId="0">
      <alignment horizontal="center" vertical="center"/>
    </xf>
    <xf applyAlignment="true" applyBorder="false" applyFill="true" applyFont="true" applyNumberFormat="false" applyProtection="false" borderId="106" fillId="34" fontId="5" numFmtId="0" xfId="0">
      <alignment horizontal="center" vertical="center"/>
    </xf>
    <xf applyAlignment="true" applyBorder="false" applyFill="true" applyFont="true" applyNumberFormat="false" applyProtection="false" borderId="0" fillId="36" fontId="9" numFmtId="0" xfId="0">
      <alignment vertical="center"/>
    </xf>
    <xf applyAlignment="true" applyBorder="false" applyFill="true" applyFont="true" applyNumberFormat="false" applyProtection="false" borderId="0" fillId="36" fontId="9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07" fillId="37" fontId="1" numFmtId="0" xfId="0">
      <alignment horizontal="center" vertical="center"/>
    </xf>
    <xf applyAlignment="true" applyBorder="false" applyFill="true" applyFont="true" applyNumberFormat="true" applyProtection="false" borderId="107" fillId="37" fontId="1" numFmtId="224" xfId="0">
      <alignment horizontal="center" vertical="center"/>
    </xf>
    <xf applyAlignment="true" applyBorder="false" applyFill="true" applyFont="true" applyNumberFormat="true" applyProtection="false" borderId="107" fillId="37" fontId="1" numFmtId="224" xfId="0">
      <alignment horizontal="center" vertical="center"/>
    </xf>
    <xf applyAlignment="true" applyBorder="false" applyFill="false" applyFont="true" applyNumberFormat="true" applyProtection="false" borderId="107" fillId="0" fontId="2" numFmtId="225" xfId="0">
      <alignment horizontal="center" vertical="center"/>
    </xf>
    <xf applyAlignment="true" applyBorder="false" applyFill="false" applyFont="true" applyNumberFormat="false" applyProtection="false" borderId="107" fillId="0" fontId="2" numFmtId="0" xfId="0">
      <alignment horizontal="center" vertical="center"/>
    </xf>
    <xf applyAlignment="true" applyBorder="false" applyFill="false" applyFont="true" applyNumberFormat="false" applyProtection="false" borderId="107" fillId="0" fontId="2" numFmtId="0" xfId="0">
      <alignment horizontal="center" vertical="center"/>
    </xf>
    <xf applyAlignment="true" applyBorder="false" applyFill="false" applyFont="true" applyNumberFormat="true" applyProtection="false" borderId="107" fillId="0" fontId="2" numFmtId="226" xfId="0">
      <alignment horizontal="center" vertical="center"/>
    </xf>
    <xf applyAlignment="true" applyBorder="false" applyFill="true" applyFont="true" applyNumberFormat="true" applyProtection="false" borderId="107" fillId="38" fontId="4" numFmtId="227" xfId="0">
      <alignment horizontal="center" vertical="center"/>
    </xf>
    <xf applyAlignment="true" applyBorder="false" applyFill="true" applyFont="true" applyNumberFormat="false" applyProtection="false" borderId="107" fillId="38" fontId="5" numFmtId="0" xfId="0">
      <alignment horizontal="center" vertical="center"/>
    </xf>
    <xf applyAlignment="true" applyBorder="false" applyFill="true" applyFont="true" applyNumberFormat="false" applyProtection="false" borderId="107" fillId="38" fontId="6" numFmtId="0" xfId="0">
      <alignment horizontal="center" vertical="center"/>
    </xf>
    <xf applyAlignment="true" applyBorder="false" applyFill="true" applyFont="true" applyNumberFormat="false" applyProtection="false" borderId="107" fillId="38" fontId="6" numFmtId="0" xfId="0">
      <alignment horizontal="center" vertical="center"/>
    </xf>
    <xf applyAlignment="true" applyBorder="false" applyFill="true" applyFont="true" applyNumberFormat="true" applyProtection="false" borderId="107" fillId="38" fontId="6" numFmtId="226" xfId="0">
      <alignment horizontal="center" vertical="center"/>
    </xf>
    <xf applyAlignment="true" applyBorder="false" applyFill="false" applyFont="true" applyNumberFormat="true" applyProtection="false" borderId="107" fillId="0" fontId="2" numFmtId="227" xfId="0">
      <alignment horizontal="center" vertical="center"/>
    </xf>
    <xf applyAlignment="true" applyBorder="false" applyFill="false" applyFont="true" applyNumberFormat="false" applyProtection="false" borderId="107" fillId="0" fontId="2" numFmtId="0" xfId="0">
      <alignment horizontal="center" vertical="center"/>
    </xf>
    <xf applyAlignment="true" applyBorder="false" applyFill="true" applyFont="true" applyNumberFormat="true" applyProtection="false" borderId="107" fillId="38" fontId="4" numFmtId="225" xfId="0">
      <alignment horizontal="center" vertical="center"/>
    </xf>
    <xf applyAlignment="true" applyBorder="false" applyFill="true" applyFont="true" applyNumberFormat="false" applyProtection="false" borderId="107" fillId="39" fontId="2" numFmtId="0" xfId="0">
      <alignment horizontal="center" vertical="center"/>
    </xf>
    <xf applyAlignment="true" applyBorder="false" applyFill="true" applyFont="true" applyNumberFormat="false" applyProtection="false" borderId="108" fillId="40" fontId="1" numFmtId="0" xfId="0">
      <alignment horizontal="center" vertical="center"/>
    </xf>
    <xf applyAlignment="true" applyBorder="false" applyFill="true" applyFont="true" applyNumberFormat="true" applyProtection="false" borderId="108" fillId="40" fontId="1" numFmtId="228" xfId="0">
      <alignment horizontal="center" vertical="center"/>
    </xf>
    <xf applyAlignment="true" applyBorder="false" applyFill="true" applyFont="true" applyNumberFormat="true" applyProtection="false" borderId="108" fillId="40" fontId="1" numFmtId="228" xfId="0">
      <alignment horizontal="center" vertical="center"/>
    </xf>
    <xf applyAlignment="true" applyBorder="false" applyFill="false" applyFont="true" applyNumberFormat="true" applyProtection="false" borderId="108" fillId="0" fontId="2" numFmtId="229" xfId="0">
      <alignment horizontal="center" vertical="center"/>
    </xf>
    <xf applyAlignment="true" applyBorder="false" applyFill="false" applyFont="true" applyNumberFormat="false" applyProtection="false" borderId="108" fillId="0" fontId="2" numFmtId="0" xfId="0">
      <alignment horizontal="center" vertical="center"/>
    </xf>
    <xf applyAlignment="true" applyBorder="false" applyFill="false" applyFont="true" applyNumberFormat="false" applyProtection="false" borderId="108" fillId="0" fontId="2" numFmtId="0" xfId="0">
      <alignment horizontal="center" vertical="center"/>
    </xf>
    <xf applyAlignment="true" applyBorder="false" applyFill="false" applyFont="true" applyNumberFormat="true" applyProtection="false" borderId="108" fillId="0" fontId="2" numFmtId="230" xfId="0">
      <alignment horizontal="center" vertical="center"/>
    </xf>
    <xf applyAlignment="true" applyBorder="false" applyFill="true" applyFont="true" applyNumberFormat="false" applyProtection="false" borderId="108" fillId="41" fontId="4" numFmtId="0" xfId="0">
      <alignment horizontal="center" vertical="center"/>
    </xf>
    <xf applyAlignment="true" applyBorder="false" applyFill="true" applyFont="true" applyNumberFormat="false" applyProtection="false" borderId="108" fillId="41" fontId="5" numFmtId="0" xfId="0">
      <alignment horizontal="center" vertical="center"/>
    </xf>
    <xf applyAlignment="true" applyBorder="false" applyFill="true" applyFont="true" applyNumberFormat="false" applyProtection="false" borderId="108" fillId="41" fontId="6" numFmtId="0" xfId="0">
      <alignment horizontal="center" vertical="center"/>
    </xf>
    <xf applyAlignment="true" applyBorder="false" applyFill="true" applyFont="true" applyNumberFormat="true" applyProtection="false" borderId="108" fillId="41" fontId="6" numFmtId="230" xfId="0">
      <alignment horizontal="center" vertical="center"/>
    </xf>
    <xf applyAlignment="true" applyBorder="false" applyFill="false" applyFont="true" applyNumberFormat="false" applyProtection="false" borderId="108" fillId="0" fontId="2" numFmtId="0" xfId="0">
      <alignment horizontal="center" vertical="center"/>
    </xf>
    <xf applyAlignment="true" applyBorder="false" applyFill="true" applyFont="true" applyNumberFormat="true" applyProtection="false" borderId="108" fillId="41" fontId="4" numFmtId="229" xfId="0">
      <alignment horizontal="center" vertical="center"/>
    </xf>
    <xf applyAlignment="true" applyBorder="false" applyFill="false" applyFont="true" applyNumberFormat="true" applyProtection="false" borderId="108" fillId="0" fontId="2" numFmtId="231" xfId="0">
      <alignment horizontal="center" vertical="center"/>
    </xf>
    <xf applyAlignment="true" applyBorder="false" applyFill="true" applyFont="true" applyNumberFormat="false" applyProtection="false" borderId="108" fillId="41" fontId="6" numFmtId="0" xfId="0">
      <alignment horizontal="center" vertical="center"/>
    </xf>
    <xf applyAlignment="true" applyBorder="false" applyFill="false" applyFont="true" applyNumberFormat="false" applyProtection="false" borderId="108" fillId="0" fontId="14" numFmtId="0" xfId="0">
      <alignment horizontal="center" vertical="center"/>
    </xf>
    <xf applyAlignment="true" applyBorder="false" applyFill="true" applyFont="true" applyNumberFormat="true" applyProtection="false" borderId="108" fillId="41" fontId="4" numFmtId="231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09" fillId="42" fontId="1" numFmtId="0" xfId="0">
      <alignment horizontal="center" vertical="center"/>
    </xf>
    <xf applyAlignment="true" applyBorder="false" applyFill="true" applyFont="true" applyNumberFormat="true" applyProtection="false" borderId="109" fillId="42" fontId="1" numFmtId="23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109" fillId="0" fontId="2" numFmtId="233" xfId="0">
      <alignment horizontal="center" vertical="center"/>
    </xf>
    <xf applyAlignment="true" applyBorder="false" applyFill="false" applyFont="true" applyNumberFormat="false" applyProtection="false" borderId="109" fillId="0" fontId="2" numFmtId="0" xfId="0">
      <alignment horizontal="center" vertical="center"/>
    </xf>
    <xf applyAlignment="true" applyBorder="false" applyFill="false" applyFont="true" applyNumberFormat="false" applyProtection="false" borderId="109" fillId="0" fontId="2" numFmtId="0" xfId="0">
      <alignment horizontal="center" vertical="center"/>
    </xf>
    <xf applyAlignment="true" applyBorder="false" applyFill="false" applyFont="true" applyNumberFormat="true" applyProtection="false" borderId="109" fillId="0" fontId="2" numFmtId="234" xfId="0">
      <alignment horizontal="center" vertical="center"/>
    </xf>
    <xf applyAlignment="true" applyBorder="false" applyFill="true" applyFont="true" applyNumberFormat="false" applyProtection="false" borderId="109" fillId="43" fontId="4" numFmtId="0" xfId="0">
      <alignment horizontal="center" vertical="center"/>
    </xf>
    <xf applyAlignment="true" applyBorder="false" applyFill="true" applyFont="true" applyNumberFormat="false" applyProtection="false" borderId="109" fillId="43" fontId="5" numFmtId="0" xfId="0">
      <alignment horizontal="center" vertical="center"/>
    </xf>
    <xf applyAlignment="true" applyBorder="false" applyFill="true" applyFont="true" applyNumberFormat="false" applyProtection="false" borderId="109" fillId="43" fontId="6" numFmtId="0" xfId="0">
      <alignment horizontal="center" vertical="center"/>
    </xf>
    <xf applyAlignment="true" applyBorder="false" applyFill="true" applyFont="true" applyNumberFormat="true" applyProtection="false" borderId="109" fillId="43" fontId="6" numFmtId="234" xfId="0">
      <alignment horizontal="center" vertical="center"/>
    </xf>
    <xf applyAlignment="true" applyBorder="false" applyFill="true" applyFont="true" applyNumberFormat="false" applyProtection="false" borderId="109" fillId="43" fontId="4" numFmtId="0" xfId="0">
      <alignment horizontal="center" vertical="center"/>
    </xf>
    <xf applyAlignment="true" applyBorder="false" applyFill="false" applyFont="true" applyNumberFormat="true" applyProtection="false" borderId="109" fillId="0" fontId="2" numFmtId="234" xfId="0">
      <alignment horizontal="center" vertical="center"/>
    </xf>
    <xf applyAlignment="true" applyBorder="false" applyFill="true" applyFont="true" applyNumberFormat="true" applyProtection="false" borderId="109" fillId="43" fontId="4" numFmtId="234" xfId="0">
      <alignment horizontal="center" vertical="center"/>
    </xf>
    <xf applyAlignment="true" applyBorder="false" applyFill="false" applyFont="true" applyNumberFormat="false" applyProtection="false" borderId="109" fillId="0" fontId="14" numFmtId="0" xfId="0">
      <alignment horizontal="center" vertical="center"/>
    </xf>
    <xf applyAlignment="true" applyBorder="false" applyFill="false" applyFont="true" applyNumberFormat="false" applyProtection="false" borderId="109" fillId="0" fontId="2" numFmtId="0" xfId="0">
      <alignment horizontal="center" vertical="center"/>
    </xf>
    <xf applyAlignment="true" applyBorder="false" applyFill="true" applyFont="true" applyNumberFormat="true" applyProtection="false" borderId="110" fillId="44" fontId="1" numFmtId="235" xfId="0">
      <alignment horizontal="center" vertical="center"/>
    </xf>
    <xf applyAlignment="true" applyBorder="false" applyFill="true" applyFont="true" applyNumberFormat="false" applyProtection="false" borderId="110" fillId="44" fontId="1" numFmtId="0" xfId="0">
      <alignment horizontal="center" vertical="center"/>
    </xf>
    <xf applyAlignment="true" applyBorder="false" applyFill="true" applyFont="true" applyNumberFormat="true" applyProtection="false" borderId="110" fillId="44" fontId="1" numFmtId="236" xfId="0">
      <alignment horizontal="center" vertical="center"/>
    </xf>
    <xf applyAlignment="true" applyBorder="false" applyFill="true" applyFont="true" applyNumberFormat="true" applyProtection="false" borderId="110" fillId="44" fontId="1" numFmtId="237" xfId="0">
      <alignment horizontal="center" vertical="center"/>
    </xf>
    <xf applyAlignment="true" applyBorder="false" applyFill="true" applyFont="true" applyNumberFormat="true" applyProtection="false" borderId="110" fillId="44" fontId="1" numFmtId="238" xfId="0">
      <alignment horizontal="center" vertical="center"/>
    </xf>
    <xf applyAlignment="true" applyBorder="false" applyFill="false" applyFont="true" applyNumberFormat="true" applyProtection="false" borderId="111" fillId="0" fontId="2" numFmtId="239" xfId="0">
      <alignment horizontal="center" vertical="center"/>
    </xf>
    <xf applyAlignment="true" applyBorder="false" applyFill="false" applyFont="true" applyNumberFormat="true" applyProtection="false" borderId="112" fillId="0" fontId="2" numFmtId="237" xfId="0">
      <alignment horizontal="center" vertical="center"/>
    </xf>
    <xf applyAlignment="true" applyBorder="false" applyFill="false" applyFont="true" applyNumberFormat="true" applyProtection="false" borderId="113" fillId="0" fontId="2" numFmtId="237" xfId="0">
      <alignment horizontal="center" vertical="center" wrapText="true"/>
    </xf>
    <xf applyAlignment="true" applyBorder="false" applyFill="false" applyFont="true" applyNumberFormat="true" applyProtection="false" borderId="113" fillId="0" fontId="4" numFmtId="236" xfId="0">
      <alignment horizontal="center" vertical="center"/>
    </xf>
    <xf applyAlignment="true" applyBorder="false" applyFill="false" applyFont="true" applyNumberFormat="true" applyProtection="false" borderId="111" fillId="0" fontId="2" numFmtId="236" xfId="0">
      <alignment horizontal="center" vertical="center"/>
    </xf>
    <xf applyAlignment="true" applyBorder="false" applyFill="false" applyFont="true" applyNumberFormat="true" applyProtection="false" borderId="111" fillId="0" fontId="2" numFmtId="237" xfId="0">
      <alignment horizontal="center" vertical="center"/>
    </xf>
    <xf applyAlignment="true" applyBorder="false" applyFill="false" applyFont="true" applyNumberFormat="true" applyProtection="false" borderId="111" fillId="0" fontId="2" numFmtId="240" xfId="0">
      <alignment horizontal="center" vertical="center"/>
    </xf>
    <xf applyAlignment="true" applyBorder="false" applyFill="false" applyFont="true" applyNumberFormat="true" applyProtection="false" borderId="114" fillId="0" fontId="2" numFmtId="240" xfId="0">
      <alignment horizontal="center" vertical="center"/>
    </xf>
    <xf applyAlignment="true" applyBorder="false" applyFill="false" applyFont="true" applyNumberFormat="true" applyProtection="false" borderId="115" fillId="0" fontId="2" numFmtId="236" xfId="0">
      <alignment horizontal="center" vertical="center"/>
    </xf>
    <xf applyAlignment="true" applyBorder="false" applyFill="false" applyFont="true" applyNumberFormat="false" applyProtection="false" borderId="115" fillId="0" fontId="2" numFmtId="0" xfId="0">
      <alignment horizontal="center" vertical="center"/>
    </xf>
    <xf applyAlignment="true" applyBorder="false" applyFill="false" applyFont="true" applyNumberFormat="true" applyProtection="false" borderId="113" fillId="0" fontId="2" numFmtId="236" xfId="0">
      <alignment horizontal="center" vertical="center"/>
    </xf>
    <xf applyAlignment="true" applyBorder="false" applyFill="false" applyFont="true" applyNumberFormat="true" applyProtection="false" borderId="113" fillId="0" fontId="2" numFmtId="237" xfId="0">
      <alignment horizontal="center" vertical="center"/>
    </xf>
    <xf applyAlignment="true" applyBorder="false" applyFill="true" applyFont="true" applyNumberFormat="false" applyProtection="false" borderId="111" fillId="45" fontId="4" numFmtId="0" xfId="0">
      <alignment horizontal="center" vertical="center"/>
    </xf>
    <xf applyAlignment="true" applyBorder="false" applyFill="true" applyFont="true" applyNumberFormat="true" applyProtection="false" borderId="111" fillId="45" fontId="5" numFmtId="237" xfId="0">
      <alignment horizontal="center" vertical="center"/>
    </xf>
    <xf applyAlignment="true" applyBorder="false" applyFill="true" applyFont="true" applyNumberFormat="true" applyProtection="false" borderId="111" fillId="45" fontId="6" numFmtId="236" xfId="0">
      <alignment horizontal="center" vertical="center"/>
    </xf>
    <xf applyAlignment="true" applyBorder="false" applyFill="true" applyFont="true" applyNumberFormat="true" applyProtection="false" borderId="111" fillId="45" fontId="6" numFmtId="240" xfId="0">
      <alignment horizontal="center" vertical="center"/>
    </xf>
    <xf applyAlignment="true" applyBorder="false" applyFill="true" applyFont="true" applyNumberFormat="true" applyProtection="false" borderId="114" fillId="45" fontId="6" numFmtId="240" xfId="0">
      <alignment horizontal="center" vertical="center"/>
    </xf>
    <xf applyAlignment="true" applyBorder="false" applyFill="false" applyFont="true" applyNumberFormat="false" applyProtection="false" borderId="114" fillId="0" fontId="2" numFmtId="0" xfId="0">
      <alignment horizontal="center" vertical="center"/>
    </xf>
    <xf applyAlignment="true" applyBorder="false" applyFill="false" applyFont="true" applyNumberFormat="true" applyProtection="false" borderId="111" fillId="0" fontId="2" numFmtId="23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40" xfId="0">
      <alignment vertical="center"/>
    </xf>
    <xf applyAlignment="true" applyBorder="false" applyFill="false" applyFont="true" applyNumberFormat="true" applyProtection="false" borderId="0" fillId="0" fontId="3" numFmtId="241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242" xfId="0">
      <alignment vertical="center"/>
    </xf>
    <xf applyAlignment="true" applyBorder="false" applyFill="true" applyFont="true" applyNumberFormat="true" applyProtection="false" borderId="116" fillId="46" fontId="1" numFmtId="243" xfId="0">
      <alignment horizontal="center" vertical="center"/>
    </xf>
    <xf applyAlignment="true" applyBorder="false" applyFill="true" applyFont="true" applyNumberFormat="false" applyProtection="false" borderId="116" fillId="46" fontId="1" numFmtId="0" xfId="0">
      <alignment horizontal="center" vertical="center"/>
    </xf>
    <xf applyAlignment="true" applyBorder="false" applyFill="true" applyFont="true" applyNumberFormat="true" applyProtection="false" borderId="116" fillId="46" fontId="1" numFmtId="244" xfId="0">
      <alignment horizontal="center" vertical="center"/>
    </xf>
    <xf applyAlignment="true" applyBorder="false" applyFill="true" applyFont="true" applyNumberFormat="true" applyProtection="false" borderId="116" fillId="46" fontId="1" numFmtId="245" xfId="0">
      <alignment horizontal="center" vertical="center"/>
    </xf>
    <xf applyAlignment="true" applyBorder="false" applyFill="true" applyFont="true" applyNumberFormat="true" applyProtection="false" borderId="116" fillId="46" fontId="1" numFmtId="246" xfId="0">
      <alignment horizontal="center" vertical="center"/>
    </xf>
    <xf applyAlignment="true" applyBorder="false" applyFill="false" applyFont="true" applyNumberFormat="true" applyProtection="false" borderId="117" fillId="0" fontId="2" numFmtId="247" xfId="0">
      <alignment horizontal="center" vertical="center"/>
    </xf>
    <xf applyAlignment="true" applyBorder="false" applyFill="false" applyFont="true" applyNumberFormat="true" applyProtection="false" borderId="118" fillId="0" fontId="2" numFmtId="245" xfId="0">
      <alignment horizontal="center" vertical="center"/>
    </xf>
    <xf applyAlignment="true" applyBorder="false" applyFill="false" applyFont="true" applyNumberFormat="true" applyProtection="false" borderId="119" fillId="0" fontId="2" numFmtId="245" xfId="0">
      <alignment horizontal="center" vertical="center"/>
    </xf>
    <xf applyAlignment="true" applyBorder="false" applyFill="false" applyFont="true" applyNumberFormat="true" applyProtection="false" borderId="119" fillId="0" fontId="2" numFmtId="244" xfId="0">
      <alignment horizontal="center" vertical="center"/>
    </xf>
    <xf applyAlignment="true" applyBorder="false" applyFill="false" applyFont="true" applyNumberFormat="true" applyProtection="false" borderId="117" fillId="0" fontId="2" numFmtId="244" xfId="0">
      <alignment horizontal="center" vertical="center"/>
    </xf>
    <xf applyAlignment="true" applyBorder="false" applyFill="false" applyFont="true" applyNumberFormat="true" applyProtection="false" borderId="117" fillId="0" fontId="2" numFmtId="245" xfId="0">
      <alignment horizontal="center" vertical="center"/>
    </xf>
    <xf applyAlignment="true" applyBorder="false" applyFill="false" applyFont="true" applyNumberFormat="true" applyProtection="false" borderId="117" fillId="0" fontId="2" numFmtId="248" xfId="0">
      <alignment horizontal="center" vertical="center"/>
    </xf>
    <xf applyAlignment="true" applyBorder="false" applyFill="false" applyFont="true" applyNumberFormat="true" applyProtection="false" borderId="117" fillId="0" fontId="2" numFmtId="245" xfId="0">
      <alignment horizontal="center" vertical="center"/>
    </xf>
    <xf applyAlignment="true" applyBorder="false" applyFill="true" applyFont="true" applyNumberFormat="false" applyProtection="false" borderId="117" fillId="47" fontId="4" numFmtId="0" xfId="0">
      <alignment horizontal="center" vertical="center"/>
    </xf>
    <xf applyAlignment="true" applyBorder="false" applyFill="true" applyFont="true" applyNumberFormat="true" applyProtection="false" borderId="117" fillId="47" fontId="5" numFmtId="245" xfId="0">
      <alignment horizontal="center" vertical="center"/>
    </xf>
    <xf applyAlignment="true" applyBorder="false" applyFill="true" applyFont="true" applyNumberFormat="true" applyProtection="false" borderId="117" fillId="47" fontId="6" numFmtId="244" xfId="0">
      <alignment horizontal="center" vertical="center"/>
    </xf>
    <xf applyAlignment="true" applyBorder="false" applyFill="true" applyFont="true" applyNumberFormat="true" applyProtection="false" borderId="117" fillId="47" fontId="6" numFmtId="248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48" xfId="0">
      <alignment vertical="center"/>
    </xf>
    <xf applyAlignment="true" applyBorder="false" applyFill="true" applyFont="true" applyNumberFormat="true" applyProtection="false" borderId="120" fillId="48" fontId="1" numFmtId="249" xfId="0">
      <alignment horizontal="center" vertical="center"/>
    </xf>
    <xf applyAlignment="true" applyBorder="false" applyFill="true" applyFont="true" applyNumberFormat="false" applyProtection="false" borderId="120" fillId="48" fontId="1" numFmtId="0" xfId="0">
      <alignment horizontal="center" vertical="center"/>
    </xf>
    <xf applyAlignment="true" applyBorder="false" applyFill="true" applyFont="true" applyNumberFormat="true" applyProtection="false" borderId="120" fillId="48" fontId="1" numFmtId="250" xfId="0">
      <alignment horizontal="center" vertical="center"/>
    </xf>
    <xf applyAlignment="true" applyBorder="false" applyFill="true" applyFont="true" applyNumberFormat="true" applyProtection="false" borderId="120" fillId="48" fontId="1" numFmtId="251" xfId="0">
      <alignment horizontal="center" vertical="center"/>
    </xf>
    <xf applyAlignment="true" applyBorder="false" applyFill="true" applyFont="true" applyNumberFormat="true" applyProtection="false" borderId="120" fillId="48" fontId="1" numFmtId="252" xfId="0">
      <alignment horizontal="center" vertical="center"/>
    </xf>
    <xf applyAlignment="true" applyBorder="false" applyFill="false" applyFont="true" applyNumberFormat="true" applyProtection="false" borderId="121" fillId="0" fontId="2" numFmtId="253" xfId="0">
      <alignment horizontal="center" vertical="center"/>
    </xf>
    <xf applyAlignment="true" applyBorder="false" applyFill="false" applyFont="true" applyNumberFormat="true" applyProtection="false" borderId="122" fillId="0" fontId="2" numFmtId="251" xfId="0">
      <alignment horizontal="center" vertical="center"/>
    </xf>
    <xf applyAlignment="true" applyBorder="false" applyFill="false" applyFont="true" applyNumberFormat="true" applyProtection="false" borderId="123" fillId="0" fontId="2" numFmtId="251" xfId="0">
      <alignment horizontal="center" vertical="center"/>
    </xf>
    <xf applyAlignment="true" applyBorder="false" applyFill="false" applyFont="true" applyNumberFormat="true" applyProtection="false" borderId="123" fillId="0" fontId="2" numFmtId="250" xfId="0">
      <alignment horizontal="center" vertical="center"/>
    </xf>
    <xf applyAlignment="true" applyBorder="false" applyFill="false" applyFont="true" applyNumberFormat="true" applyProtection="false" borderId="121" fillId="0" fontId="2" numFmtId="250" xfId="0">
      <alignment horizontal="center" vertical="center"/>
    </xf>
    <xf applyAlignment="true" applyBorder="false" applyFill="false" applyFont="true" applyNumberFormat="true" applyProtection="false" borderId="121" fillId="0" fontId="2" numFmtId="251" xfId="0">
      <alignment horizontal="center" vertical="center"/>
    </xf>
    <xf applyAlignment="true" applyBorder="false" applyFill="false" applyFont="true" applyNumberFormat="true" applyProtection="false" borderId="121" fillId="0" fontId="2" numFmtId="254" xfId="0">
      <alignment horizontal="center" vertical="center"/>
    </xf>
    <xf applyAlignment="true" applyBorder="false" applyFill="false" applyFont="true" applyNumberFormat="false" applyProtection="false" borderId="124" fillId="0" fontId="2" numFmtId="0" xfId="0">
      <alignment horizontal="center" vertical="center"/>
    </xf>
    <xf applyAlignment="true" applyBorder="false" applyFill="false" applyFont="true" applyNumberFormat="true" applyProtection="false" borderId="121" fillId="0" fontId="2" numFmtId="251" xfId="0">
      <alignment horizontal="center" vertical="center"/>
    </xf>
    <xf applyAlignment="true" applyBorder="false" applyFill="true" applyFont="true" applyNumberFormat="false" applyProtection="false" borderId="121" fillId="49" fontId="4" numFmtId="0" xfId="0">
      <alignment horizontal="center" vertical="center"/>
    </xf>
    <xf applyAlignment="true" applyBorder="false" applyFill="true" applyFont="true" applyNumberFormat="true" applyProtection="false" borderId="121" fillId="49" fontId="5" numFmtId="251" xfId="0">
      <alignment horizontal="center" vertical="center"/>
    </xf>
    <xf applyAlignment="true" applyBorder="false" applyFill="true" applyFont="true" applyNumberFormat="true" applyProtection="false" borderId="121" fillId="49" fontId="6" numFmtId="250" xfId="0">
      <alignment horizontal="center" vertical="center"/>
    </xf>
    <xf applyAlignment="true" applyBorder="false" applyFill="true" applyFont="true" applyNumberFormat="true" applyProtection="false" borderId="121" fillId="49" fontId="6" numFmtId="25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5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Relationship Id="rId14" Target="worksheets/sheet7.xml" Type="http://schemas.openxmlformats.org/officeDocument/2006/relationships/worksheet"></Relationship><Relationship Id="rId15" Target="/xl/pivotCache/pivotCacheDefinition5.xml" Type="http://schemas.openxmlformats.org/officeDocument/2006/relationships/pivotCacheDefinition"></Relationship><Relationship Id="rId16" Target="worksheets/sheet8.xml" Type="http://schemas.openxmlformats.org/officeDocument/2006/relationships/worksheet"></Relationship><Relationship Id="rId17" Target="/xl/pivotCache/pivotCacheDefinition6.xml" Type="http://schemas.openxmlformats.org/officeDocument/2006/relationships/pivotCacheDefinition"></Relationship><Relationship Id="rId18" Target="worksheets/sheet9.xml" Type="http://schemas.openxmlformats.org/officeDocument/2006/relationships/worksheet"></Relationship><Relationship Id="rId19" Target="/xl/pivotCache/pivotCacheDefinition7.xml" Type="http://schemas.openxmlformats.org/officeDocument/2006/relationships/pivotCacheDefinition"></Relationship><Relationship Id="rId20" Target="worksheets/sheet10.xml" Type="http://schemas.openxmlformats.org/officeDocument/2006/relationships/worksheet"></Relationship><Relationship Id="rId21" Target="/xl/pivotCache/pivotCacheDefinition8.xml" Type="http://schemas.openxmlformats.org/officeDocument/2006/relationships/pivotCacheDefinition"></Relationship><Relationship Id="rId22" Target="worksheets/sheet11.xml" Type="http://schemas.openxmlformats.org/officeDocument/2006/relationships/worksheet"></Relationship><Relationship Id="rId23" Target="/xl/pivotCache/pivotCacheDefinition9.xml" Type="http://schemas.openxmlformats.org/officeDocument/2006/relationships/pivotCacheDefinition"></Relationship><Relationship Id="rId24" Target="worksheets/sheet12.xml" Type="http://schemas.openxmlformats.org/officeDocument/2006/relationships/worksheet"></Relationship><Relationship Id="rId25" Target="worksheets/sheet13.xml" Type="http://schemas.openxmlformats.org/officeDocument/2006/relationships/worksheet"></Relationship><Relationship Id="rId26" Target="/xl/pivotCache/pivotCacheDefinition10.xml" Type="http://schemas.openxmlformats.org/officeDocument/2006/relationships/pivotCacheDefinition"></Relationship><Relationship Id="rId27" Target="worksheets/sheet14.xml" Type="http://schemas.openxmlformats.org/officeDocument/2006/relationships/worksheet"></Relationship><Relationship Id="rId28" Target="worksheets/sheet15.xml" Type="http://schemas.openxmlformats.org/officeDocument/2006/relationships/worksheet"></Relationship><Relationship Id="rId29" Target="worksheets/sheet16.xml" Type="http://schemas.openxmlformats.org/officeDocument/2006/relationships/worksheet"></Relationship><Relationship Id="rId30" Target="worksheets/sheet17.xml" Type="http://schemas.openxmlformats.org/officeDocument/2006/relationships/worksheet"></Relationship><Relationship Id="rId31" Target="worksheets/sheet18.xml" Type="http://schemas.openxmlformats.org/officeDocument/2006/relationships/worksheet"></Relationship><Relationship Id="rId32" Target="/xl/pivotCache/pivotCacheDefinition11.xml" Type="http://schemas.openxmlformats.org/officeDocument/2006/relationships/pivotCacheDefinition"></Relationship><Relationship Id="rId33" Target="worksheets/sheet19.xml" Type="http://schemas.openxmlformats.org/officeDocument/2006/relationships/worksheet"></Relationship><Relationship Id="rId34" Target="/xl/pivotCache/pivotCacheDefinition12.xml" Type="http://schemas.openxmlformats.org/officeDocument/2006/relationships/pivotCacheDefinition"></Relationship><Relationship Id="rId35" Target="/xl/pivotCache/pivotCacheDefinition13.xml" Type="http://schemas.openxmlformats.org/officeDocument/2006/relationships/pivotCacheDefinition"></Relationship><Relationship Id="rId36" Target="worksheets/sheet20.xml" Type="http://schemas.openxmlformats.org/officeDocument/2006/relationships/worksheet"></Relationship><Relationship Id="rId37" Target="/xl/pivotCache/pivotCacheDefinition14.xml" Type="http://schemas.openxmlformats.org/officeDocument/2006/relationships/pivotCacheDefinition"></Relationship><Relationship Id="rId38" Target="worksheets/sheet21.xml" Type="http://schemas.openxmlformats.org/officeDocument/2006/relationships/worksheet"></Relationship><Relationship Id="rId39" Target="/xl/pivotCache/pivotCacheDefinition15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87" sheet="2026年9月"/>
  </cacheSource>
  <cacheFields count="16">
    <cacheField name="日期" numFmtId="0">
      <sharedItems count="0"/>
    </cacheField>
    <cacheField name="主播" numFmtId="0">
      <sharedItems count="8">
        <s v="李娜"/>
        <s v="陈旭"/>
        <s v="刘杰宇"/>
        <s v="李紫瑞"/>
        <s v="王硕硕"/>
        <s v="总计"/>
        <s v="井欣阅"/>
        <s v="栗敏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4" count="15">
        <n v="1"/>
        <n v="5"/>
        <n v="3"/>
        <n v="24"/>
        <n v="2"/>
        <n v="4"/>
        <n v="22"/>
        <n v="23"/>
        <n v="19"/>
        <n v="20"/>
        <n v="17"/>
        <n v="18"/>
        <n v="2.5"/>
        <n v="2.75"/>
        <n v="12"/>
      </sharedItems>
    </cacheField>
    <cacheField name="总保单数量" numFmtId="0">
      <sharedItems containsSemiMixedTypes="false" containsString="false" containsNumber="true" containsInteger="true" minValue="0" maxValue="99" count="0"/>
    </cacheField>
    <cacheField name="年化保费" numFmtId="0">
      <sharedItems containsSemiMixedTypes="false" containsString="false" containsNumber="true" minValue="0" maxValue="109751.20000000001" count="186">
        <n v="3794.4"/>
        <n v="1311.6"/>
        <n v="5086.6"/>
        <n v="7539.6"/>
        <n v="8683.2"/>
        <n v="5056.799999999999"/>
        <n v="31472.2"/>
        <n v="3498"/>
        <n v="9764.4"/>
        <n v="14187.6"/>
        <n v="11460"/>
        <n v="6615.5999999999985"/>
        <n v="5159.4000000000015"/>
        <n v="50685"/>
        <n v="1663.2"/>
        <n v="9433.2"/>
        <n v="17869.8"/>
        <n v="19223.800000000007"/>
        <n v="7882.800000000003"/>
        <n v="1981.199999999997"/>
        <n v="58054.00000000001"/>
        <n v="5980"/>
        <n v="25048.48"/>
        <n v="7242.600000000001"/>
        <n v="14520"/>
        <n v="25360.59999999999"/>
        <n v="15506.160000000003"/>
        <n v="93657.84"/>
        <n v="3349.2"/>
        <n v="13340.2"/>
        <n v="15243.399999999998"/>
        <n v="21212.84"/>
        <n v="10488.599999999999"/>
        <n v="2169.5999999999985"/>
        <n v="65803.84"/>
        <n v="10005.4"/>
        <n v="8508.000000000002"/>
        <n v="12095.799999999996"/>
        <n v="8530.56"/>
        <n v="9501"/>
        <n v="14938.800000000003"/>
        <n v="63579.56"/>
        <n v="11941.2"/>
        <n v="10082.399999999998"/>
        <n v="21456.800000000003"/>
        <n v="16858.6"/>
        <n v="15297.6"/>
        <n v="6381.6"/>
        <n v="82018.20000000001"/>
        <n v="7245.4"/>
        <n v="5024.200000000001"/>
        <n v="5174.4"/>
        <n v="5554.2"/>
        <n v="1951.2"/>
        <n v="2398.2"/>
        <n v="27347.600000000002"/>
        <n v="5569.2"/>
        <n v="8575"/>
        <n v="20586.8"/>
        <n v="22604.4"/>
        <n v="10437.6"/>
        <n v="13144.8"/>
        <n v="80917.8"/>
        <n v="4797.2"/>
        <n v="4732.8"/>
        <n v="10773.599999999999"/>
        <n v="9784.600000000002"/>
        <n v="9169.2"/>
        <n v="1406.4000000000015"/>
        <n v="40663.8"/>
        <n v="4849.2"/>
        <n v="494.40000000000055"/>
        <n v="18933.4"/>
        <n v="7394.399999999998"/>
        <n v="2345.4000000000015"/>
        <n v="5060.399999999994"/>
        <n v="39077.2"/>
        <n v="182.4"/>
        <n v="12144.4"/>
        <n v="27604.8"/>
        <n v="9394.800000000003"/>
        <n v="9599.999999999993"/>
        <n v="8980.799999999996"/>
        <n v="67907.19999999998"/>
        <n v="4202.2"/>
        <n v="7586.2"/>
        <n v="9693.199999999997"/>
        <n v="13572"/>
        <n v="4848"/>
        <n v="16212.000000000007"/>
        <n v="56113.600000000006"/>
        <n v="6728.8"/>
        <n v="7520.999999999999"/>
        <n v="10239.400000000001"/>
        <n v="11391.600000000002"/>
        <n v="3800.399999999994"/>
        <n v="16411.200000000004"/>
        <n v="56092.4"/>
        <n v="1"/>
        <n v="5959.2"/>
        <n v="9638.400000000001"/>
        <n v="4893.5999999999985"/>
        <n v="8558.399999999998"/>
        <n v="9184.800000000003"/>
        <n v="38235.4"/>
        <n v="9106.8"/>
        <n v="14620.400000000001"/>
        <n v="21790.84"/>
        <n v="10795.440000000002"/>
        <n v="56313.48"/>
        <n v="2480.4"/>
        <n v="8230.8"/>
        <n v="14474.4"/>
        <n v="7578.2"/>
        <n v="32763.8"/>
        <n v="12713.2"/>
        <n v="10743.6"/>
        <n v="4420.6"/>
        <n v="16242"/>
        <n v="44119.4"/>
        <n v="15567.4"/>
        <n v="6305.8"/>
        <n v="2905.2"/>
        <n v="8077.2"/>
        <n v="32855.6"/>
        <n v="13871.8"/>
        <n v="9081.6"/>
        <n v="7030.8"/>
        <n v="19845.6"/>
        <n v="49829.8"/>
        <n v="8912.2"/>
        <n v="8976.8"/>
        <n v="6997.2"/>
        <n v="8271.84"/>
        <n v="33158.04"/>
        <n v="14588.2"/>
        <n v="2896.7999999999993"/>
        <n v="12477.6"/>
        <n v="12054.8"/>
        <n v="5877.6"/>
        <n v="47894.99999999999"/>
        <n v="2935"/>
        <n v="11227.2"/>
        <n v="2127.6"/>
        <n v="0"/>
        <n v="2467.2"/>
        <n v="18757"/>
        <n v="3309.6"/>
        <n v="4398.799999999999"/>
        <n v="7046.4"/>
        <n v="7568.4"/>
        <n v="7523.6"/>
        <n v="29846.799999999996"/>
        <n v="10620"/>
        <n v="12367.2"/>
        <n v="10386"/>
        <n v="9468"/>
        <n v="8332.4"/>
        <n v="51173.6"/>
        <n v="43498.4"/>
        <n v="23124.8"/>
        <n v="21260.4"/>
        <n v="21867.6"/>
        <n v="109751.20000000001"/>
        <n v="18944.2"/>
        <n v="9842.4"/>
        <n v="9046.8"/>
        <n v="21087"/>
        <n v="58920.399999999994"/>
        <n v="21572.4"/>
        <n v="16360.8"/>
        <n v="11778"/>
        <n v="10330.44"/>
        <n v="60041.64"/>
        <n v="1404"/>
        <n v="1696.8"/>
        <n v="6415.079999999999"/>
        <n v="1986"/>
        <n v="13722.000000000004"/>
        <n v="25223.880000000005"/>
        <n v="6646.8"/>
        <n v="4584"/>
        <n v="4534.400000000001"/>
        <n v="5913.5999999999985"/>
        <n v="10940"/>
        <n v="32618.8"/>
      </sharedItems>
    </cacheField>
    <cacheField name="投流消耗" numFmtId="0">
      <sharedItems containsSemiMixedTypes="false" containsString="false" containsNumber="true" minValue="679.89" maxValue="81374.58" count="186">
        <n v="2828.12"/>
        <n v="5066.599999999999"/>
        <n v="8098.37"/>
        <n v="9192.73"/>
        <n v="8161.500000000001"/>
        <n v="5186.12"/>
        <n v="38533.44"/>
        <n v="2705.37"/>
        <n v="7686.990000000001"/>
        <n v="14113.099999999999"/>
        <n v="13802.63"/>
        <n v="8637.5"/>
        <n v="4382.16"/>
        <n v="51327.75"/>
        <n v="3021.96"/>
        <n v="6413.4"/>
        <n v="11655.07"/>
        <n v="14074.61"/>
        <n v="7570.0599999999995"/>
        <n v="5318.3"/>
        <n v="48053.4"/>
        <n v="4681.839999999999"/>
        <n v="12825.17"/>
        <n v="15252.649999999998"/>
        <n v="13002.32"/>
        <n v="18268.729999999996"/>
        <n v="12546.240000000002"/>
        <n v="76576.95"/>
        <n v="3953.42"/>
        <n v="8892.68"/>
        <n v="13476.07"/>
        <n v="16060.6"/>
        <n v="10532.32"/>
        <n v="8559.630000000001"/>
        <n v="61474.72"/>
        <n v="6890.16"/>
        <n v="8582.73"/>
        <n v="15346.449999999999"/>
        <n v="13212.77"/>
        <n v="11846.49"/>
        <n v="13489.95"/>
        <n v="69368.55"/>
        <n v="5170.96"/>
        <n v="9334.699999999999"/>
        <n v="17529.710000000003"/>
        <n v="21189.96"/>
        <n v="18623.02"/>
        <n v="9526.23"/>
        <n v="81374.58"/>
        <n v="6615.8099999999995"/>
        <n v="10976.569999999998"/>
        <n v="10953.09"/>
        <n v="10580.12"/>
        <n v="2991.8100000000004"/>
        <n v="2998.54"/>
        <n v="45115.939999999995"/>
        <n v="4694.8099999999995"/>
        <n v="11504.600000000002"/>
        <n v="12645.100000000002"/>
        <n v="12250.58"/>
        <n v="12695.56"/>
        <n v="8427.47"/>
        <n v="62218.12"/>
        <n v="4141.93"/>
        <n v="6570.34"/>
        <n v="9696.059999999998"/>
        <n v="10658.57"/>
        <n v="7146.47"/>
        <n v="2875.2500000000005"/>
        <n v="41088.619999999995"/>
        <n v="3250.12"/>
        <n v="4573.44"/>
        <n v="10040.130000000001"/>
        <n v="7299.04"/>
        <n v="4981.92"/>
        <n v="2495.19"/>
        <n v="32639.84"/>
        <n v="2041.4"/>
        <n v="4200.62"/>
        <n v="12374.380000000001"/>
        <n v="8407.79"/>
        <n v="4660.6900000000005"/>
        <n v="4071.29"/>
        <n v="35756.170000000006"/>
        <n v="3176.33"/>
        <n v="6790.5199999999995"/>
        <n v="10622.23"/>
        <n v="11211.720000000001"/>
        <n v="6271.59"/>
        <n v="10539.37"/>
        <n v="48611.76"/>
        <n v="4070.67"/>
        <n v="8197.25"/>
        <n v="8291.4"/>
        <n v="11347.75"/>
        <n v="8239.48"/>
        <n v="9304.67"/>
        <n v="49451.22"/>
        <n v="2537.7400000000002"/>
        <n v="4014.0299999999997"/>
        <n v="12408.439999999999"/>
        <n v="4812.33"/>
        <n v="10920.710000000003"/>
        <n v="8023.76"/>
        <n v="42717.01"/>
        <n v="9672.349999999999"/>
        <n v="10905.39"/>
        <n v="12614.510000000002"/>
        <n v="14276.48"/>
        <n v="47468.729999999996"/>
        <n v="7183.67"/>
        <n v="9260.75"/>
        <n v="11183.84"/>
        <n v="10839.6"/>
        <n v="38467.86"/>
        <n v="15084.76"/>
        <n v="12767.1"/>
        <n v="8662.09"/>
        <n v="10009.68"/>
        <n v="46523.63"/>
        <n v="12884.040000000003"/>
        <n v="10357.75"/>
        <n v="7855.69"/>
        <n v="9138.26"/>
        <n v="40235.74"/>
        <n v="12887.67"/>
        <n v="9219.13"/>
        <n v="7225.23"/>
        <n v="11925.86"/>
        <n v="41257.89"/>
        <n v="13378.81"/>
        <n v="14850.95"/>
        <n v="11717.15"/>
        <n v="8837.93"/>
        <n v="48784.840000000004"/>
        <n v="8419.37"/>
        <n v="8706.3"/>
        <n v="7208.9"/>
        <n v="10213.44"/>
        <n v="7812.53"/>
        <n v="42360.54"/>
        <n v="5087.85"/>
        <n v="9323.68"/>
        <n v="9130.97"/>
        <n v="2883.97"/>
        <n v="679.89"/>
        <n v="27106.36"/>
        <n v="3787.74"/>
        <n v="7760.63"/>
        <n v="9524.02"/>
        <n v="13630"/>
        <n v="9377.05"/>
        <n v="44079.44"/>
        <n v="11884.56"/>
        <n v="14874.71"/>
        <n v="12086"/>
        <n v="15078.8"/>
        <n v="7778.69"/>
        <n v="61702.759999999995"/>
        <n v="20552.75"/>
        <n v="20928.03"/>
        <n v="21307.94"/>
        <n v="16577.83"/>
        <n v="79366.55"/>
        <n v="14083.39"/>
        <n v="12572.76"/>
        <n v="12598.77"/>
        <n v="16812.71"/>
        <n v="56067.63"/>
        <n v="18967.79"/>
        <n v="20378.4"/>
        <n v="13941.96"/>
        <n v="9191.86"/>
        <n v="62480.01"/>
        <n v="3162.42"/>
        <n v="6435.15"/>
        <n v="8028.710000000001"/>
        <n v="6069.01"/>
        <n v="10815.89"/>
        <n v="34511.18"/>
        <n v="13624.880000000001"/>
        <n v="8805.43"/>
        <n v="5486.44"/>
        <n v="9779.08"/>
        <n v="7895.41"/>
        <n v="45591.240000000005"/>
      </sharedItems>
    </cacheField>
    <cacheField name="ROI" numFmtId="0">
      <sharedItems containsSemiMixedTypes="false" containsString="false" containsNumber="true" minValue="0" maxValue="3.628822309491241" count="0"/>
    </cacheField>
    <cacheField name="单均" numFmtId="0">
      <sharedItems containsMixedTypes="true" containsNumber="true" minValue="1" maxValue="3941.4000000000015" count="0"/>
    </cacheField>
    <cacheField name="保单成本" numFmtId="0">
      <sharedItems containsMixedTypes="true" containsNumber="true" minValue="420.062" maxValue="4573.44" count="0"/>
    </cacheField>
    <cacheField name="T0脱退单数量" numFmtId="0">
      <sharedItems containsSemiMixedTypes="false" containsString="false" containsNumber="true" containsInteger="true" minValue="0" maxValue="33" count="0"/>
    </cacheField>
    <cacheField name="T0脱退保费" numFmtId="0">
      <sharedItems containsSemiMixedTypes="false" containsString="false" containsNumber="true" minValue="0" maxValue="29227.79999999999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4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7" maxValue="24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215" sheet="2026年8月"/>
  </cacheSource>
  <cacheFields count="16">
    <cacheField name="日期" numFmtId="0">
      <sharedItems count="0"/>
    </cacheField>
    <cacheField name="主播" numFmtId="0">
      <sharedItems count="8">
        <s v="李紫瑞"/>
        <s v="李娜"/>
        <s v="刘杰宇"/>
        <s v="王硕硕"/>
        <s v="栗敏纳"/>
        <s v="陈旭"/>
        <s v="总计"/>
        <s v="井欣阅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7" count="18">
        <n v="1"/>
        <n v="5"/>
        <n v="4"/>
        <n v="2"/>
        <n v="27"/>
        <n v="18"/>
        <n v="24"/>
        <n v="2.5"/>
        <n v="21.5"/>
        <n v="19"/>
        <n v="4.5"/>
        <n v="23.5"/>
        <n v="20"/>
        <n v="3.5"/>
        <n v="21"/>
        <n v="4.25"/>
        <n v="3"/>
        <n v="3.25"/>
      </sharedItems>
    </cacheField>
    <cacheField name="总保单数量" numFmtId="0">
      <sharedItems containsSemiMixedTypes="false" containsString="false" containsNumber="true" containsInteger="true" minValue="0" maxValue="147" count="0"/>
    </cacheField>
    <cacheField name="年化保费" numFmtId="0">
      <sharedItems containsSemiMixedTypes="false" containsString="false" containsNumber="true" minValue="0" maxValue="192625.40000000002" count="0"/>
    </cacheField>
    <cacheField name="投流消耗" numFmtId="0">
      <sharedItems containsSemiMixedTypes="false" containsString="false" containsNumber="true" minValue="1733.3400000000001" maxValue="118036.51000000001" count="0"/>
    </cacheField>
    <cacheField name="ROI" numFmtId="0">
      <sharedItems containsSemiMixedTypes="false" containsString="false" containsNumber="true" minValue="0" maxValue="4.8599671966054085" count="0"/>
    </cacheField>
    <cacheField name="单均" numFmtId="0">
      <sharedItems containsMixedTypes="true" containsNumber="true" minValue="299.59999999999997" maxValue="2161.2" count="0"/>
    </cacheField>
    <cacheField name="保单成本" numFmtId="0">
      <sharedItems containsMixedTypes="true" containsNumber="true" minValue="308.7263636363636" maxValue="4903.18" count="0"/>
    </cacheField>
    <cacheField name="T0脱退单数量" numFmtId="0">
      <sharedItems containsSemiMixedTypes="false" containsString="false" containsNumber="true" containsInteger="true" minValue="0" maxValue="40" count="0"/>
    </cacheField>
    <cacheField name="T0脱退保费" numFmtId="0">
      <sharedItems containsSemiMixedTypes="false" containsString="false" containsNumber="true" minValue="0" maxValue="44787.9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1" maxValue="27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4" maxValue="24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223" sheet="2026年7月"/>
  </cacheSource>
  <cacheFields count="16">
    <cacheField name="日期" numFmtId="0">
      <sharedItems count="0"/>
    </cacheField>
    <cacheField name="主播" numFmtId="0">
      <sharedItems containsBlank="true" count="8">
        <s v="井欣阅"/>
        <s v="陈旭"/>
        <s v="于慧"/>
        <s v="李娜"/>
        <s v="李紫瑞"/>
        <s v="刘杰宇"/>
        <m/>
        <s v="王硕硕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4" count="13">
        <n v="1"/>
        <n v="5"/>
        <n v="4"/>
        <n v="2"/>
        <n v="3"/>
        <n v="24"/>
        <n v="4.75"/>
        <n v="23.75"/>
        <n v="23"/>
        <n v="4.5"/>
        <n v="23.5"/>
        <n v="2.5"/>
        <n v="18"/>
      </sharedItems>
    </cacheField>
    <cacheField name="总保单数量" numFmtId="0">
      <sharedItems containsSemiMixedTypes="false" containsString="false" containsNumber="true" containsInteger="true" minValue="0" maxValue="135" count="0"/>
    </cacheField>
    <cacheField name="年化保费" numFmtId="0">
      <sharedItems containsSemiMixedTypes="false" containsString="false" containsNumber="true" minValue="0" maxValue="166670.39999999997" count="221">
        <n v="8748"/>
        <n v="38850"/>
        <n v="13836"/>
        <n v="19118.399999999998"/>
        <n v="30508.20000000001"/>
        <n v="9292.799999999988"/>
        <n v="21895"/>
        <n v="142248.4"/>
        <n v="5313.6"/>
        <n v="42601.2"/>
        <n v="29846.200000000004"/>
        <n v="12770.4"/>
        <n v="36141.59999999999"/>
        <n v="15948.399999999994"/>
        <n v="5118"/>
        <n v="147739.39999999997"/>
        <n v="20642.4"/>
        <n v="23656.2"/>
        <n v="27162"/>
        <n v="25686"/>
        <n v="20710.799999999985"/>
        <n v="29819.880000000005"/>
        <n v="8236.8"/>
        <n v="155914.08"/>
        <n v="12189.8"/>
        <n v="30375"/>
        <n v="51019.6"/>
        <n v="37791.600000000006"/>
        <n v="15562.8"/>
        <n v="17238"/>
        <n v="164176.8"/>
        <n v="17679.6"/>
        <n v="23680"/>
        <n v="48552.40000000001"/>
        <n v="35263.59999999999"/>
        <n v="24522"/>
        <n v="16972.8"/>
        <n v="166670.39999999997"/>
        <n v="23193.48"/>
        <n v="26983"/>
        <n v="24171.600000000002"/>
        <n v="18715.199999999997"/>
        <n v="25724.399999999994"/>
        <n v="7980.6"/>
        <n v="126768.28"/>
        <n v="8655.4"/>
        <n v="30036.6"/>
        <n v="8751.599999999999"/>
        <n v="34086.00000000002"/>
        <n v="20283.59999999999"/>
        <n v="4917.6"/>
        <n v="5545.2"/>
        <n v="112276.00000000001"/>
        <n v="6544.8"/>
        <n v="28614"/>
        <n v="14032"/>
        <n v="34387.200000000004"/>
        <n v="21971.999999999985"/>
        <n v="23394"/>
        <n v="13081.2"/>
        <n v="142025.19999999998"/>
        <n v="12410.52"/>
        <n v="17627.2"/>
        <n v="30558.24"/>
        <n v="33028.8"/>
        <n v="21509.999999999985"/>
        <n v="15337.9"/>
        <n v="130472.65999999999"/>
        <n v="9046.8"/>
        <n v="21883.199999999997"/>
        <n v="18619.2"/>
        <n v="25200.000000000007"/>
        <n v="32198.999999999985"/>
        <n v="10946.4"/>
        <n v="117894.59999999999"/>
        <n v="2383.2"/>
        <n v="9696"/>
        <n v="18407.8"/>
        <n v="21579.600000000006"/>
        <n v="29556"/>
        <n v="43870.79999999999"/>
        <n v="125493.4"/>
        <n v="7778.4"/>
        <n v="17688.28"/>
        <n v="34148.4"/>
        <n v="32211.40000000001"/>
        <n v="16147.199999999983"/>
        <n v="21490.8"/>
        <n v="129464.48"/>
        <n v="10876.8"/>
        <n v="32337.6"/>
        <n v="13426.999999999998"/>
        <n v="10301.999999999993"/>
        <n v="20545.2"/>
        <n v="11029.2"/>
        <n v="98517.79999999999"/>
        <n v="2439.6"/>
        <n v="10282.2"/>
        <n v="31911.600000000002"/>
        <n v="39398.499999999985"/>
        <n v="18657.600000000006"/>
        <n v="27910.600000000006"/>
        <n v="130600.1"/>
        <n v="4500.2"/>
        <n v="24956.4"/>
        <n v="20624.399999999998"/>
        <n v="21349.19999999999"/>
        <n v="12219.600000000006"/>
        <n v="5018.400000000009"/>
        <n v="88668.2"/>
        <n v="9948"/>
        <n v="31173.6"/>
        <n v="24570.000000000007"/>
        <n v="25751.399999999994"/>
        <n v="42890.399999999994"/>
        <n v="25526.399999999994"/>
        <n v="159859.8"/>
        <n v="6897.6"/>
        <n v="22992"/>
        <n v="26117.6"/>
        <n v="25421.800000000003"/>
        <n v="9024.199999999997"/>
        <n v="7070.400000000009"/>
        <n v="97523.6"/>
        <n v="4383.96"/>
        <n v="22806"/>
        <n v="20146.4"/>
        <n v="6889.199999999997"/>
        <n v="22552.800000000003"/>
        <n v="5961.600000000006"/>
        <n v="82739.96"/>
        <n v="3100.8"/>
        <n v="10432.8"/>
        <n v="8915.710000000003"/>
        <n v="18527.600000000002"/>
        <n v="28639.319999999992"/>
        <n v="14491.199999999997"/>
        <n v="84107.43"/>
        <n v="8745.6"/>
        <n v="15805.199999999999"/>
        <n v="11008.800000000003"/>
        <n v="18340"/>
        <n v="26180.000000000007"/>
        <n v="19279.199999999997"/>
        <n v="99358.8"/>
        <n v="11686.6"/>
        <n v="19040.4"/>
        <n v="20987.64"/>
        <n v="29420.399999999994"/>
        <n v="27727.999999999985"/>
        <n v="16330.800000000003"/>
        <n v="125193.83999999998"/>
        <n v="4022.4"/>
        <n v="19032"/>
        <n v="18621.6"/>
        <n v="16534.800000000003"/>
        <n v="26463.59999999999"/>
        <n v="33382.80000000002"/>
        <n v="118057.20000000001"/>
        <n v="7808.4"/>
        <n v="25989.4"/>
        <n v="26814"/>
        <n v="15457.199999999997"/>
        <n v="26587.199999999997"/>
        <n v="18177.60000000002"/>
        <n v="120833.80000000002"/>
        <n v="3432"/>
        <n v="7917.6"/>
        <n v="21060"/>
        <n v="26125.200000000004"/>
        <n v="42578.399999999994"/>
        <n v="17713.199999999997"/>
        <n v="118826.4"/>
        <n v="4166.4"/>
        <n v="38885.799999999996"/>
        <n v="22896"/>
        <n v="32168.979999999996"/>
        <n v="28887.40000000001"/>
        <n v="25606.199999999997"/>
        <n v="152610.78"/>
        <n v="3674.4"/>
        <n v="20233.199999999997"/>
        <n v="28911.6"/>
        <n v="10650"/>
        <n v="21792.600000000006"/>
        <n v="10699.399999999994"/>
        <n v="95961.2"/>
        <n v="11664"/>
        <n v="23359.199999999997"/>
        <n v="57373"/>
        <n v="22302.199999999997"/>
        <n v="27625.20000000001"/>
        <n v="22872.600000000006"/>
        <n v="165196.2"/>
        <n v="9769.2"/>
        <n v="20358.8"/>
        <n v="38235.399999999994"/>
        <n v="38269.51000000001"/>
        <n v="19335.399999999994"/>
        <n v="25651.20000000001"/>
        <n v="151619.51"/>
        <n v="3045.6"/>
        <n v="8786"/>
        <n v="16120.8"/>
        <n v="17332.8"/>
        <n v="2548.8"/>
        <n v="14568"/>
        <n v="62402"/>
        <n v="0"/>
        <n v="7680"/>
        <n v="20304"/>
        <n v="26804.4"/>
        <n v="16737.6"/>
        <n v="26063.999999999985"/>
        <n v="97589.99999999999"/>
        <n v="7454.4"/>
        <n v="13401.199999999999"/>
        <n v="24528.8"/>
        <n v="26390.4"/>
        <n v="18152"/>
        <n v="89926.79999999999"/>
      </sharedItems>
    </cacheField>
    <cacheField name="投流消耗" numFmtId="0">
      <sharedItems containsSemiMixedTypes="false" containsString="false" containsNumber="true" minValue="1576.17" maxValue="120151.31" count="222">
        <n v="8410.04"/>
        <n v="28535.440000000002"/>
        <n v="21418.5"/>
        <n v="19128.649999999998"/>
        <n v="18626.11"/>
        <n v="9061.86"/>
        <n v="14970.71"/>
        <n v="120151.31"/>
        <n v="3648.2799999999997"/>
        <n v="28374.489999999998"/>
        <n v="25546.68"/>
        <n v="10346.669999999998"/>
        <n v="20990.82"/>
        <n v="19498.769999999997"/>
        <n v="8094.83"/>
        <n v="116500.54"/>
        <n v="10244.46"/>
        <n v="17887.53"/>
        <n v="20968.12"/>
        <n v="17600.71"/>
        <n v="18212.69"/>
        <n v="17639.02"/>
        <n v="10436.72"/>
        <n v="112989.25000000001"/>
        <n v="7142.4"/>
        <n v="20220.2"/>
        <n v="26538.550000000003"/>
        <n v="28639.629999999997"/>
        <n v="20308.32"/>
        <n v="12432.97"/>
        <n v="115282.07"/>
        <n v="8755.67"/>
        <n v="16796.86"/>
        <n v="34612.7"/>
        <n v="28243.24"/>
        <n v="14794.38"/>
        <n v="13768.55"/>
        <n v="116971.40000000001"/>
        <n v="13407.35"/>
        <n v="14198.13"/>
        <n v="24038.100000000002"/>
        <n v="19365.27"/>
        <n v="14307.16"/>
        <n v="9203.86"/>
        <n v="94519.87000000001"/>
        <n v="9025.42"/>
        <n v="16669.26"/>
        <n v="13925.35"/>
        <n v="30467.69"/>
        <n v="18191.91"/>
        <n v="5186.58"/>
        <n v="5422.51"/>
        <n v="98888.72"/>
        <n v="7676.48"/>
        <n v="13607.429999999998"/>
        <n v="20731.46"/>
        <n v="20063.329999999998"/>
        <n v="21963.05"/>
        <n v="15319.89"/>
        <n v="10346.52"/>
        <n v="109708.16"/>
        <n v="7059.13"/>
        <n v="16245.79"/>
        <n v="22647.01"/>
        <n v="24991.01"/>
        <n v="15581.22"/>
        <n v="14945.71"/>
        <n v="101469.87"/>
        <n v="3177.92"/>
        <n v="15424.89"/>
        <n v="18427.38"/>
        <n v="18899.84"/>
        <n v="18824.28"/>
        <n v="11880.83"/>
        <n v="86635.14"/>
        <n v="6251.81"/>
        <n v="6642.500000000001"/>
        <n v="15573.34"/>
        <n v="9715.09"/>
        <n v="15845.76"/>
        <n v="20857.52"/>
        <n v="74886.02"/>
        <n v="4318.42"/>
        <n v="13911.87"/>
        <n v="24327.780000000002"/>
        <n v="25056.579999999998"/>
        <n v="17809.09"/>
        <n v="17901.4"/>
        <n v="103325.14000000001"/>
        <n v="3642.4"/>
        <n v="24766.85"/>
        <n v="20829.61"/>
        <n v="11424.830000000002"/>
        <n v="11576.28"/>
        <n v="13822.12"/>
        <n v="86062.09"/>
        <n v="3036.68"/>
        <n v="12911.669999999998"/>
        <n v="22658.84"/>
        <n v="22219.489999999998"/>
        <n v="18309.92"/>
        <n v="14317.310000000001"/>
        <n v="93453.91"/>
        <n v="3717.08"/>
        <n v="19447.77"/>
        <n v="20854.21"/>
        <n v="13991.219999999998"/>
        <n v="8714.31"/>
        <n v="7470.6900000000005"/>
        <n v="74195.28"/>
        <n v="5027.5199999999995"/>
        <n v="18326.760000000002"/>
        <n v="18218.079999999998"/>
        <n v="18666.95"/>
        <n v="21386.800000000003"/>
        <n v="18508.7"/>
        <n v="100134.81"/>
        <n v="3658.31"/>
        <n v="18172.66"/>
        <n v="19819.85"/>
        <n v="15659.900000000001"/>
        <n v="10607.08"/>
        <n v="11932.46"/>
        <n v="79850.26000000001"/>
        <n v="4005.8"/>
        <n v="17460.38"/>
        <n v="17700.089999999997"/>
        <n v="8846.43"/>
        <n v="11641.22"/>
        <n v="10922.99"/>
        <n v="70576.91"/>
        <n v="1576.17"/>
        <n v="12447.65"/>
        <n v="14688.669999999998"/>
        <n v="10531.33"/>
        <n v="18731.489999999998"/>
        <n v="15845.37"/>
        <n v="73820.68"/>
        <n v="3467.69"/>
        <n v="12371.400000000001"/>
        <n v="16652.1"/>
        <n v="13104.55"/>
        <n v="19715.399999999998"/>
        <n v="14785.3"/>
        <n v="80096.44"/>
        <n v="6465.759999999999"/>
        <n v="16870.2"/>
        <n v="20605.04"/>
        <n v="16563.86"/>
        <n v="17666.11"/>
        <n v="16361.07"/>
        <n v="94532.04000000001"/>
        <n v="3972.4199999999996"/>
        <n v="12888.060000000001"/>
        <n v="18272.06"/>
        <n v="17123.41"/>
        <n v="9806.559999999998"/>
        <n v="17974.44"/>
        <n v="80036.95"/>
        <n v="4056.6299999999997"/>
        <n v="17293.5"/>
        <n v="21290.62"/>
        <n v="10310.11"/>
        <n v="13496.32"/>
        <n v="13203.52"/>
        <n v="79650.7"/>
        <n v="3009.32"/>
        <n v="10097.820000000002"/>
        <n v="14473.23"/>
        <n v="21023.4"/>
        <n v="20758.04"/>
        <n v="21233.840000000004"/>
        <n v="90595.65"/>
        <n v="3319.27"/>
        <n v="22018.550000000003"/>
        <n v="18339.62"/>
        <n v="20725.03"/>
        <n v="19692.23"/>
        <n v="14826.84"/>
        <n v="98921.54"/>
        <n v="2968.88"/>
        <n v="12260.23"/>
        <n v="17012.14"/>
        <n v="9786.060000000001"/>
        <n v="15087.810000000001"/>
        <n v="12423.18"/>
        <n v="69538.29999999999"/>
        <n v="4142.19"/>
        <n v="14471.93"/>
        <n v="27884.76"/>
        <n v="19256.66"/>
        <n v="24370.71"/>
        <n v="15270.48"/>
        <n v="105396.73"/>
        <n v="4872.9"/>
        <n v="15709.87"/>
        <n v="24250.699999999997"/>
        <n v="23140.2"/>
        <n v="21772.739999999998"/>
        <n v="12852.43"/>
        <n v="102598.84"/>
        <n v="3007.41"/>
        <n v="10578.43"/>
        <n v="16004.43"/>
        <n v="12440.65"/>
        <n v="6957.72"/>
        <n v="8693.43"/>
        <n v="57682.07"/>
        <n v="2190.95"/>
        <n v="9453.57"/>
        <n v="18279.24"/>
        <n v="18393.61"/>
        <n v="16268.21"/>
        <n v="15227.3"/>
        <n v="79812.88"/>
        <n v="3470.38"/>
        <n v="11904.63"/>
        <n v="7645.95"/>
        <n v="13810.240000000002"/>
        <n v="13850.22"/>
        <n v="10889.789999999999"/>
        <n v="61571.21"/>
      </sharedItems>
    </cacheField>
    <cacheField name="ROI" numFmtId="0">
      <sharedItems containsSemiMixedTypes="false" containsString="false" containsNumber="true" minValue="0" maxValue="2.9861629694706786" count="0"/>
    </cacheField>
    <cacheField name="单均" numFmtId="0">
      <sharedItems containsMixedTypes="true" containsNumber="true" minValue="509.76000000000005" maxValue="2123.5636363636363" count="0"/>
    </cacheField>
    <cacheField name="保单成本" numFmtId="0">
      <sharedItems containsMixedTypes="true" containsNumber="true" minValue="353.1022222222222" maxValue="3125.905" count="0"/>
    </cacheField>
    <cacheField name="T0脱退单数量" numFmtId="0">
      <sharedItems containsSemiMixedTypes="false" containsString="false" containsNumber="true" containsInteger="true" minValue="0" maxValue="39" count="0"/>
    </cacheField>
    <cacheField name="T0脱退保费" numFmtId="0">
      <sharedItems containsSemiMixedTypes="false" containsString="false" containsNumber="true" minValue="0" maxValue="48701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7" maxValue="24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3" maxValue="24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214" sheet="2026年6月"/>
  </cacheSource>
  <cacheFields count="16">
    <cacheField name="日期" numFmtId="0">
      <sharedItems count="0"/>
    </cacheField>
    <cacheField name="主播" numFmtId="0">
      <sharedItems containsBlank="true" count="8">
        <s v="刘杰宇"/>
        <s v="井欣阅"/>
        <s v="于慧"/>
        <s v="陈旭"/>
        <s v="王硕硕"/>
        <m/>
        <s v="李娜"/>
        <s v="李紫瑞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4" count="11">
        <n v="2"/>
        <n v="5"/>
        <n v="4"/>
        <n v="3"/>
        <n v="24"/>
        <n v="20"/>
        <n v="22"/>
        <n v="23"/>
        <n v="1"/>
        <n v="2.5"/>
        <n v="19.5"/>
      </sharedItems>
    </cacheField>
    <cacheField name="总保单数量" numFmtId="0">
      <sharedItems containsSemiMixedTypes="false" containsString="false" containsNumber="true" containsInteger="true" minValue="0" maxValue="144" count="0"/>
    </cacheField>
    <cacheField name="年化保费" numFmtId="0">
      <sharedItems containsSemiMixedTypes="false" containsString="false" containsNumber="true" minValue="0" maxValue="201029.4" count="212">
        <n v="5070"/>
        <n v="16130.2"/>
        <n v="39945.6"/>
        <n v="21032"/>
        <n v="12550.8"/>
        <n v="115760.6"/>
        <n v="6659.8"/>
        <n v="16741.2"/>
        <n v="29270.2"/>
        <n v="20853.6"/>
        <n v="18160.800000000003"/>
        <n v="19809.6"/>
        <n v="111495.19999999998"/>
        <n v="16545.6"/>
        <n v="22020.800000000003"/>
        <n v="24250.2"/>
        <n v="28629.40000000001"/>
        <n v="11323.2"/>
        <n v="102769.20000000001"/>
        <n v="7075.2"/>
        <n v="24370.44"/>
        <n v="20288.399999999998"/>
        <n v="22291.200000000008"/>
        <n v="15444"/>
        <n v="42963.6"/>
        <n v="132432.84"/>
        <n v="17420.4"/>
        <n v="26770"/>
        <n v="23556.3"/>
        <n v="36870.00000000001"/>
        <n v="39519.59999999998"/>
        <n v="19617.6"/>
        <n v="163753.9"/>
        <n v="11978.4"/>
        <n v="36980.2"/>
        <n v="12245.4"/>
        <n v="3972.0000000000027"/>
        <n v="10458"/>
        <n v="31280.5"/>
        <n v="106914.5"/>
        <n v="5112"/>
        <n v="4610.4"/>
        <n v="17352.12"/>
        <n v="21714"/>
        <n v="36688.200000000004"/>
        <n v="28968"/>
        <n v="114444.72"/>
        <n v="9675.6"/>
        <n v="6990"/>
        <n v="11581"/>
        <n v="39115.20000000001"/>
        <n v="29526"/>
        <n v="7858.6"/>
        <n v="104746.40000000002"/>
        <n v="3103.2"/>
        <n v="31397"/>
        <n v="11295.6"/>
        <n v="17743.200000000004"/>
        <n v="0"/>
        <n v="13411.199999999997"/>
        <n v="76950.2"/>
        <n v="10015.2"/>
        <n v="12259"/>
        <n v="57920.200000000004"/>
        <n v="17974.4"/>
        <n v="12535.2"/>
        <n v="10504.8"/>
        <n v="121208.80000000002"/>
        <n v="11528.399999999998"/>
        <n v="30379.2"/>
        <n v="9637.2"/>
        <n v="25644.800000000017"/>
        <n v="29188.199999999997"/>
        <n v="38057.999999999985"/>
        <n v="144435.8"/>
        <n v="24955.2"/>
        <n v="27383.999999999996"/>
        <n v="51927.4"/>
        <n v="32120"/>
        <n v="52911.600000000006"/>
        <n v="11731.199999999983"/>
        <n v="201029.4"/>
        <n v="15117.6"/>
        <n v="18046"/>
        <n v="23390.4"/>
        <n v="20990.399999999994"/>
        <n v="15196.800000000003"/>
        <n v="12794.399999999994"/>
        <n v="105535.59999999999"/>
        <n v="12450"/>
        <n v="17323.2"/>
        <n v="12227.8"/>
        <n v="16470.300000000007"/>
        <n v="1411.199999999997"/>
        <n v="3475.199999999997"/>
        <n v="63357.7"/>
        <n v="5998.6"/>
        <n v="13360.6"/>
        <n v="31939.200000000004"/>
        <n v="22159.399999999998"/>
        <n v="7103.999999999985"/>
        <n v="6026.399999999994"/>
        <n v="86588.19999999998"/>
        <n v="13790.4"/>
        <n v="23028.68"/>
        <n v="12945.999999999996"/>
        <n v="28735.199999999997"/>
        <n v="15280.800000000003"/>
        <n v="7878"/>
        <n v="101659.08"/>
        <n v="6012"/>
        <n v="12380.4"/>
        <n v="22406.4"/>
        <n v="47511.6"/>
        <n v="18508.800000000003"/>
        <n v="11579.600000000006"/>
        <n v="118398.8"/>
        <n v="8054.4"/>
        <n v="13952.600000000002"/>
        <n v="13735.2"/>
        <n v="8981.999999999989"/>
        <n v="2272.80000000001"/>
        <n v="6747.599999999991"/>
        <n v="53744.599999999984"/>
        <n v="7434.4"/>
        <n v="28386.4"/>
        <n v="26511.199999999997"/>
        <n v="21666.000000000007"/>
        <n v="8010"/>
        <n v="23757.600000000006"/>
        <n v="115765.6"/>
        <n v="10970.4"/>
        <n v="41090.4"/>
        <n v="25189.6"/>
        <n v="33402"/>
        <n v="24940.800000000017"/>
        <n v="27709.199999999983"/>
        <n v="163302.4"/>
        <n v="2688"/>
        <n v="27384"/>
        <n v="49093.200000000004"/>
        <n v="9814.8"/>
        <n v="10408.8"/>
        <n v="7528.800000000003"/>
        <n v="106917.60000000002"/>
        <n v="5202"/>
        <n v="13160.400000000001"/>
        <n v="31252.92"/>
        <n v="34398"/>
        <n v="15069.6"/>
        <n v="20247.60000000001"/>
        <n v="119330.52000000002"/>
        <n v="9422.4"/>
        <n v="26965.6"/>
        <n v="38324.4"/>
        <n v="62596.8"/>
        <n v="20140.800000000003"/>
        <n v="22595.399999999994"/>
        <n v="180045.4"/>
        <n v="6105.6"/>
        <n v="19395.600000000002"/>
        <n v="48475.399999999994"/>
        <n v="37998"/>
        <n v="30909.960000000003"/>
        <n v="36560.60000000002"/>
        <n v="179445.16000000003"/>
        <n v="2932.8"/>
        <n v="45741"/>
        <n v="27491"/>
        <n v="25353.599999999995"/>
        <n v="20901"/>
        <n v="29022.399999999994"/>
        <n v="151441.8"/>
        <n v="5678.4"/>
        <n v="33052.799999999996"/>
        <n v="22070.160000000003"/>
        <n v="12670.08"/>
        <n v="19042.800000000003"/>
        <n v="10027.199999999997"/>
        <n v="23457.600000000006"/>
        <n v="125999.04000000001"/>
        <n v="8160"/>
        <n v="38753.6"/>
        <n v="31384.8"/>
        <n v="17260.8"/>
        <n v="31002.479999999996"/>
        <n v="8208"/>
        <n v="14303.200000000012"/>
        <n v="149072.88"/>
        <n v="7702.8"/>
        <n v="45572.399999999994"/>
        <n v="38732.8"/>
        <n v="15259.199999999999"/>
        <n v="28026.00000000001"/>
        <n v="9988.799999999988"/>
        <n v="20353.399999999994"/>
        <n v="165635.4"/>
        <n v="16910.4"/>
        <n v="25826.4"/>
        <n v="20414.4"/>
        <n v="18967.999999999993"/>
        <n v="17851.199999999997"/>
        <n v="25154.4"/>
        <n v="125124.79999999999"/>
        <n v="19357.2"/>
        <n v="21433.2"/>
        <n v="27870"/>
        <n v="20578.8"/>
        <n v="10154.4"/>
        <n v="374.4"/>
        <n v="15148.8"/>
        <n v="114916.79999999999"/>
      </sharedItems>
    </cacheField>
    <cacheField name="投流消耗" numFmtId="0">
      <sharedItems containsSemiMixedTypes="false" containsString="false" containsNumber="true" minValue="2761.41" maxValue="139225.8" count="212">
        <n v="7943.049999999999"/>
        <n v="14868.35"/>
        <n v="31614.670000000002"/>
        <n v="19655.85"/>
        <n v="15202.43"/>
        <n v="108940.20000000001"/>
        <n v="7261.16"/>
        <n v="13383.19"/>
        <n v="24220.86"/>
        <n v="22571.85"/>
        <n v="16484.45"/>
        <n v="13796.29"/>
        <n v="97717.79999999999"/>
        <n v="9940.93"/>
        <n v="17960.97"/>
        <n v="24146.27"/>
        <n v="18594.949999999997"/>
        <n v="12159.63"/>
        <n v="82802.75"/>
        <n v="5998.2"/>
        <n v="17362.09"/>
        <n v="19135.066"/>
        <n v="15618.14"/>
        <n v="13865.31"/>
        <n v="16945.93"/>
        <n v="88924.736"/>
        <n v="8956.57"/>
        <n v="18917.76"/>
        <n v="21493.57"/>
        <n v="21129.32"/>
        <n v="29429.52"/>
        <n v="9357.63"/>
        <n v="109284.37000000001"/>
        <n v="8323.46"/>
        <n v="17546.18"/>
        <n v="18887.88"/>
        <n v="9038.130000000001"/>
        <n v="7144.019999999999"/>
        <n v="14821.449999999999"/>
        <n v="75761.12000000001"/>
        <n v="6435.210000000001"/>
        <n v="7721.5599999999995"/>
        <n v="8889.91"/>
        <n v="11378.099999999999"/>
        <n v="18303.41"/>
        <n v="20532.48"/>
        <n v="73260.67"/>
        <n v="7870.61"/>
        <n v="10379.4"/>
        <n v="10089.720000000001"/>
        <n v="20873.3"/>
        <n v="21827.69"/>
        <n v="13656.54"/>
        <n v="84697.26000000001"/>
        <n v="4328.13"/>
        <n v="20869.110000000004"/>
        <n v="13908.269999999999"/>
        <n v="13970.560000000001"/>
        <n v="4246.08"/>
        <n v="6067.17"/>
        <n v="63389.32000000001"/>
        <n v="8106.9"/>
        <n v="13395.11"/>
        <n v="32638.7"/>
        <n v="16017.470000000001"/>
        <n v="10173.029999999999"/>
        <n v="15304.4"/>
        <n v="95635.61"/>
        <n v="8012.9"/>
        <n v="18561.76"/>
        <n v="10905.890000000001"/>
        <n v="18637.93"/>
        <n v="20470.4"/>
        <n v="24727.809999999998"/>
        <n v="101316.69"/>
        <n v="15585.99"/>
        <n v="20162.73"/>
        <n v="31553.039999999997"/>
        <n v="25503.53"/>
        <n v="32807.61"/>
        <n v="12471.14"/>
        <n v="138084.03999999998"/>
        <n v="9510.779999999999"/>
        <n v="14518.980000000001"/>
        <n v="19418.33"/>
        <n v="17481.59"/>
        <n v="9591.080000000002"/>
        <n v="8312.6"/>
        <n v="78833.36000000002"/>
        <n v="7365.84"/>
        <n v="14089.01"/>
        <n v="18118.41"/>
        <n v="13265.55"/>
        <n v="5881.47"/>
        <n v="5216.15"/>
        <n v="63936.43"/>
        <n v="5827.590000000001"/>
        <n v="14132.579999999998"/>
        <n v="13623.73"/>
        <n v="16966.09"/>
        <n v="18345.2"/>
        <n v="10072.08"/>
        <n v="78967.26999999999"/>
        <n v="5635"/>
        <n v="19457.89"/>
        <n v="13552.49"/>
        <n v="21858.2"/>
        <n v="22785.17"/>
        <n v="6866.74"/>
        <n v="90155.49"/>
        <n v="5276.35"/>
        <n v="14488.33"/>
        <n v="16031.96"/>
        <n v="28269.999999999996"/>
        <n v="22730.27"/>
        <n v="14559.95"/>
        <n v="101356.86"/>
        <n v="6259.7300000000005"/>
        <n v="15788.189999999999"/>
        <n v="14370.7"/>
        <n v="9744.12"/>
        <n v="4776.08"/>
        <n v="8820.57"/>
        <n v="59759.39"/>
        <n v="7498.35"/>
        <n v="15580.1"/>
        <n v="21654.600000000002"/>
        <n v="18186.6"/>
        <n v="9736.48"/>
        <n v="16626.06"/>
        <n v="89282.19"/>
        <n v="8936.2"/>
        <n v="26145.83"/>
        <n v="24079.02"/>
        <n v="19298.89"/>
        <n v="15999.74"/>
        <n v="20722.32"/>
        <n v="115182"/>
        <n v="3801.71"/>
        <n v="14689.44"/>
        <n v="32185.67"/>
        <n v="17005.99"/>
        <n v="11020.949999999999"/>
        <n v="10924.8"/>
        <n v="89628.56"/>
        <n v="2761.41"/>
        <n v="12178"/>
        <n v="25235.110000000004"/>
        <n v="27257.540000000005"/>
        <n v="15863.539999999999"/>
        <n v="16500.850000000002"/>
        <n v="99796.45000000001"/>
        <n v="5994.86"/>
        <n v="22490.489999999998"/>
        <n v="23222.06"/>
        <n v="31519.050000000003"/>
        <n v="24666.340000000004"/>
        <n v="23719.899999999998"/>
        <n v="131612.7"/>
        <n v="3794.54"/>
        <n v="12901.400000000001"/>
        <n v="33033.21"/>
        <n v="25982.92"/>
        <n v="20559.799999999996"/>
        <n v="26697.34"/>
        <n v="122969.20999999999"/>
        <n v="4049.29"/>
        <n v="27875.5"/>
        <n v="25618.68"/>
        <n v="28155.63"/>
        <n v="13538.949999999999"/>
        <n v="18767.239999999998"/>
        <n v="118005.29000000001"/>
        <n v="4885.24"/>
        <n v="20630.21"/>
        <n v="26516.29"/>
        <n v="15428.91"/>
        <n v="13007.97"/>
        <n v="7489.700000000001"/>
        <n v="14300.38"/>
        <n v="102258.7"/>
        <n v="4783.150000000001"/>
        <n v="23880.519999999997"/>
        <n v="25073.870000000003"/>
        <n v="13955.52"/>
        <n v="20820.92"/>
        <n v="9790.34"/>
        <n v="13452.849999999999"/>
        <n v="111757.16999999998"/>
        <n v="5862.85"/>
        <n v="26531.699999999997"/>
        <n v="34716.98"/>
        <n v="18626.09"/>
        <n v="25372.02"/>
        <n v="10719.380000000001"/>
        <n v="17396.78"/>
        <n v="139225.8"/>
        <n v="5932.95"/>
        <n v="23767.75"/>
        <n v="20601.340000000004"/>
        <n v="18145.2"/>
        <n v="12707.75"/>
        <n v="16777.75"/>
        <n v="97932.74"/>
        <n v="7585.87"/>
        <n v="24291.280000000002"/>
        <n v="20020.78"/>
        <n v="14235.67"/>
        <n v="14313.24"/>
        <n v="7545.79"/>
        <n v="11215.47"/>
        <n v="99208.1"/>
      </sharedItems>
    </cacheField>
    <cacheField name="ROI" numFmtId="0">
      <sharedItems containsSemiMixedTypes="false" containsString="false" containsNumber="true" minValue="0" maxValue="2.85025156119637" count="0"/>
    </cacheField>
    <cacheField name="单均" numFmtId="0">
      <sharedItems containsMixedTypes="true" containsNumber="true" minValue="374.4" maxValue="2043.3142857142873" count="0"/>
    </cacheField>
    <cacheField name="保单成本" numFmtId="0">
      <sharedItems containsMixedTypes="true" containsNumber="true" minValue="523.9896153846154" maxValue="7545.79" count="0"/>
    </cacheField>
    <cacheField name="T0脱退单数量" numFmtId="0">
      <sharedItems containsSemiMixedTypes="false" containsString="false" containsNumber="true" containsInteger="true" minValue="0" maxValue="39" count="0"/>
    </cacheField>
    <cacheField name="T0脱退保费" numFmtId="0">
      <sharedItems containsSemiMixedTypes="false" containsString="false" containsNumber="true" minValue="0" maxValue="46605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4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3" maxValue="24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232" sheet="2026年5月"/>
  </cacheSource>
  <cacheFields count="16">
    <cacheField name="日期" numFmtId="0">
      <sharedItems count="0"/>
    </cacheField>
    <cacheField name="主播" numFmtId="0">
      <sharedItems containsBlank="true" count="9">
        <s v="陈旭"/>
        <s v="王硕硕"/>
        <s v="刘杰宇"/>
        <s v="井欣阅"/>
        <m/>
        <s v="刘梦"/>
        <s v="田宇尚"/>
        <s v="王蕊"/>
        <s v="于慧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4" count="11">
        <n v="2"/>
        <n v="5"/>
        <n v="4"/>
        <n v="3"/>
        <n v="24"/>
        <n v="1"/>
        <n v="3.5"/>
        <n v="23.5"/>
        <n v="23"/>
        <n v="4.5"/>
        <n v="20"/>
      </sharedItems>
    </cacheField>
    <cacheField name="总保单数量" numFmtId="0">
      <sharedItems containsSemiMixedTypes="false" containsString="false" containsNumber="true" containsInteger="true" minValue="1" maxValue="198" count="0"/>
    </cacheField>
    <cacheField name="年化保费" numFmtId="0">
      <sharedItems containsSemiMixedTypes="false" containsString="false" containsNumber="true" minValue="2088" maxValue="250070" count="230">
        <n v="17926.8"/>
        <n v="27570.000000000007"/>
        <n v="17346"/>
        <n v="52780.6"/>
        <n v="66094.6"/>
        <n v="37168"/>
        <n v="218886"/>
        <n v="15488.4"/>
        <n v="41037"/>
        <n v="79562.4"/>
        <n v="32025"/>
        <n v="31978.4"/>
        <n v="49978.8"/>
        <n v="250070"/>
        <n v="13274.4"/>
        <n v="27132"/>
        <n v="58996.6"/>
        <n v="41770.70000000002"/>
        <n v="33660.8"/>
        <n v="18056.2"/>
        <n v="192890.7"/>
        <n v="12420"/>
        <n v="47431.8"/>
        <n v="32854.64"/>
        <n v="25303.199999999997"/>
        <n v="12586.8"/>
        <n v="9132"/>
        <n v="3318"/>
        <n v="143046.44"/>
        <n v="32907.84"/>
        <n v="49228.2"/>
        <n v="41028.8"/>
        <n v="29665.400000000012"/>
        <n v="50563.2"/>
        <n v="20759.4"/>
        <n v="224152.84"/>
        <n v="16774.4"/>
        <n v="45151.4"/>
        <n v="25364.4"/>
        <n v="13773.599999999999"/>
        <n v="17015.7"/>
        <n v="8794.2"/>
        <n v="126873.70000000001"/>
        <n v="14436"/>
        <n v="53116.8"/>
        <n v="44481.59999999999"/>
        <n v="36820.2"/>
        <n v="26363.8"/>
        <n v="33403.2"/>
        <n v="208621.59999999998"/>
        <n v="19365.6"/>
        <n v="26231.7"/>
        <n v="41158.80000000002"/>
        <n v="33053.2"/>
        <n v="33490.4"/>
        <n v="24538"/>
        <n v="177837.7"/>
        <n v="17596.8"/>
        <n v="10626"/>
        <n v="37859"/>
        <n v="24814.399999999994"/>
        <n v="25024.800000000003"/>
        <n v="52248"/>
        <n v="168169"/>
        <n v="28964.4"/>
        <n v="34070.4"/>
        <n v="30440.399999999994"/>
        <n v="19698.000000000015"/>
        <n v="42714"/>
        <n v="41772.79999999999"/>
        <n v="197660"/>
        <n v="21775"/>
        <n v="11293.199999999997"/>
        <n v="13341.600000000006"/>
        <n v="51913.59999999999"/>
        <n v="42972"/>
        <n v="20271.600000000006"/>
        <n v="161567"/>
        <n v="7618.8"/>
        <n v="21824.4"/>
        <n v="49361.4"/>
        <n v="50338.79999999999"/>
        <n v="20424.000000000015"/>
        <n v="20397.600000000006"/>
        <n v="169965.00000000003"/>
        <n v="13476"/>
        <n v="35225.6"/>
        <n v="45747.6"/>
        <n v="41064.4"/>
        <n v="33234.4"/>
        <n v="10620"/>
        <n v="49106.4"/>
        <n v="228474.4"/>
        <n v="22442.52"/>
        <n v="32295.600000000002"/>
        <n v="60367.6"/>
        <n v="43633.6"/>
        <n v="53338.2"/>
        <n v="15661.2"/>
        <n v="12687.199999999999"/>
        <n v="240425.92000000004"/>
        <n v="2088"/>
        <n v="34203.6"/>
        <n v="21838.800000000003"/>
        <n v="11378.799999999996"/>
        <n v="22902"/>
        <n v="2162.4"/>
        <n v="28390.8"/>
        <n v="122964.4"/>
        <n v="22488"/>
        <n v="26532"/>
        <n v="28712.399999999994"/>
        <n v="37661.20000000001"/>
        <n v="32978.4"/>
        <n v="15543.6"/>
        <n v="12736.8"/>
        <n v="176652.4"/>
        <n v="12466"/>
        <n v="26287.199999999997"/>
        <n v="40517.2"/>
        <n v="37528.8"/>
        <n v="21046.8"/>
        <n v="21998.72"/>
        <n v="11127.6"/>
        <n v="170972.32"/>
        <n v="37272"/>
        <n v="39267.2"/>
        <n v="47268.40000000001"/>
        <n v="26461.6"/>
        <n v="6011.8"/>
        <n v="15380.4"/>
        <n v="18500.4"/>
        <n v="190161.8"/>
        <n v="4070.4"/>
        <n v="15324.000000000002"/>
        <n v="43209.6"/>
        <n v="62565"/>
        <n v="15811.2"/>
        <n v="36372.2"/>
        <n v="19550.4"/>
        <n v="196902.80000000002"/>
        <n v="25335.4"/>
        <n v="48896.200000000004"/>
        <n v="28943.600000000006"/>
        <n v="26857.2"/>
        <n v="5467.2"/>
        <n v="38716.4"/>
        <n v="24688.4"/>
        <n v="198904.4"/>
        <n v="16544.1"/>
        <n v="11080.800000000003"/>
        <n v="7401.5999999999985"/>
        <n v="46862.600000000006"/>
        <n v="16968.2"/>
        <n v="17730"/>
        <n v="21598"/>
        <n v="138185.3"/>
        <n v="18187"/>
        <n v="16408.6"/>
        <n v="46064.00000000001"/>
        <n v="52044.19999999998"/>
        <n v="31014"/>
        <n v="41878"/>
        <n v="14869.2"/>
        <n v="220465"/>
        <n v="5278.8"/>
        <n v="9856.8"/>
        <n v="35091.8"/>
        <n v="34484.59999999999"/>
        <n v="38651.6"/>
        <n v="26742.6"/>
        <n v="5742"/>
        <n v="155848.2"/>
        <n v="29794.8"/>
        <n v="19826.399999999998"/>
        <n v="28403.199999999997"/>
        <n v="42792"/>
        <n v="29372.4"/>
        <n v="9584.4"/>
        <n v="5837.4"/>
        <n v="165610.59999999998"/>
        <n v="24220.2"/>
        <n v="27129.999999999996"/>
        <n v="29127.600000000006"/>
        <n v="27835.2"/>
        <n v="15007.199999999997"/>
        <n v="37507.2"/>
        <n v="10173.6"/>
        <n v="171001"/>
        <n v="11419.8"/>
        <n v="26186.4"/>
        <n v="35434.69999999999"/>
        <n v="19178.40000000001"/>
        <n v="38420.399999999994"/>
        <n v="43843.800000000025"/>
        <n v="174483.50000000003"/>
        <n v="7951.2"/>
        <n v="32305.200000000004"/>
        <n v="47352.4"/>
        <n v="18482.399999999994"/>
        <n v="31030.800000000003"/>
        <n v="24008.4"/>
        <n v="161130.4"/>
        <n v="5073.6"/>
        <n v="10299.6"/>
        <n v="66042"/>
        <n v="46688.499999999985"/>
        <n v="55562.2"/>
        <n v="16489.2"/>
        <n v="200155.09999999998"/>
        <n v="10683.6"/>
        <n v="11863.2"/>
        <n v="30066"/>
        <n v="18384.600000000002"/>
        <n v="19803.59999999999"/>
        <n v="24075.4"/>
        <n v="114876.4"/>
        <n v="23024.4"/>
        <n v="30057.2"/>
        <n v="34251.600000000006"/>
        <n v="44301.4"/>
        <n v="41839.79999999999"/>
        <n v="17074.24"/>
        <n v="190548.63999999998"/>
        <n v="8478.8"/>
        <n v="28252.4"/>
        <n v="12061.2"/>
        <n v="28538.399999999994"/>
        <n v="16134"/>
        <n v="116489.2"/>
      </sharedItems>
    </cacheField>
    <cacheField name="投流消耗" numFmtId="0">
      <sharedItems containsSemiMixedTypes="false" containsString="false" containsNumber="true" minValue="3284.1600000000003" maxValue="183456.19" count="231">
        <n v="10001.67"/>
        <n v="17653.289999999997"/>
        <n v="12109.4"/>
        <n v="24675.160000000003"/>
        <n v="42822.96"/>
        <n v="33939.62"/>
        <n v="141202.1"/>
        <n v="12327.97"/>
        <n v="23343.800000000003"/>
        <n v="53913.59"/>
        <n v="30249.12"/>
        <n v="32549.74"/>
        <n v="31071.97"/>
        <n v="183456.19"/>
        <n v="14073.72"/>
        <n v="18740.79"/>
        <n v="38178.97"/>
        <n v="36654.44"/>
        <n v="22578.22"/>
        <n v="13647.99"/>
        <n v="143874.13"/>
        <n v="10676.61"/>
        <n v="20644.03"/>
        <n v="27643.35"/>
        <n v="23573.09"/>
        <n v="9254.31"/>
        <n v="8466.99"/>
        <n v="4930.4"/>
        <n v="105188.78"/>
        <n v="17182.53"/>
        <n v="19670.379999999997"/>
        <n v="36548.55"/>
        <n v="27315.43"/>
        <n v="31678.140000000003"/>
        <n v="21091.78"/>
        <n v="153486.81"/>
        <n v="13005.54"/>
        <n v="26838.140000000003"/>
        <n v="29980.4"/>
        <n v="18187.67"/>
        <n v="13131.129999999997"/>
        <n v="9841.64"/>
        <n v="110984.52"/>
        <n v="9846.73"/>
        <n v="30711.95"/>
        <n v="35218.76"/>
        <n v="31502.28"/>
        <n v="24937.120000000003"/>
        <n v="25299.11"/>
        <n v="157515.95"/>
        <n v="10974.960000000001"/>
        <n v="21906.16"/>
        <n v="27736.63"/>
        <n v="29587.969999999998"/>
        <n v="25850.4"/>
        <n v="20625.059999999998"/>
        <n v="136681.18"/>
        <n v="11664"/>
        <n v="17664.84"/>
        <n v="28527.199999999997"/>
        <n v="21650.739999999998"/>
        <n v="19859.61"/>
        <n v="30735.44"/>
        <n v="130101.83"/>
        <n v="14798.02"/>
        <n v="21451.16"/>
        <n v="25456.010000000002"/>
        <n v="24325.219999999998"/>
        <n v="27242.59"/>
        <n v="30914.149999999998"/>
        <n v="144187.15"/>
        <n v="14050.630000000001"/>
        <n v="16176.7"/>
        <n v="13050.5"/>
        <n v="34718.399999999994"/>
        <n v="28451.239999999998"/>
        <n v="20418.21"/>
        <n v="126865.68"/>
        <n v="8359.769999999999"/>
        <n v="15618.309999999998"/>
        <n v="30568.940000000002"/>
        <n v="30501.640000000003"/>
        <n v="15947.89"/>
        <n v="16816.61"/>
        <n v="117813.16"/>
        <n v="9594.99"/>
        <n v="22733.44"/>
        <n v="27093.68"/>
        <n v="32310.17"/>
        <n v="27523.16"/>
        <n v="7645.56"/>
        <n v="29609.46"/>
        <n v="156510.46"/>
        <n v="12311.82"/>
        <n v="25071.43"/>
        <n v="39239.490000000005"/>
        <n v="31954.27"/>
        <n v="30277.54"/>
        <n v="12253.97"/>
        <n v="13260.39"/>
        <n v="164368.91000000003"/>
        <n v="3284.1600000000003"/>
        <n v="16491.57"/>
        <n v="18633.5"/>
        <n v="16550.170000000002"/>
        <n v="20116.77"/>
        <n v="5618.28"/>
        <n v="19855.11"/>
        <n v="100549.56"/>
        <n v="10857.48"/>
        <n v="19046.629999999997"/>
        <n v="29345.46"/>
        <n v="29422.37"/>
        <n v="29232.18"/>
        <n v="14294.24"/>
        <n v="17941.09"/>
        <n v="150139.44999999998"/>
        <n v="10008.86"/>
        <n v="19498.350000000002"/>
        <n v="31110.74"/>
        <n v="21549.24"/>
        <n v="11337.77"/>
        <n v="26135.58"/>
        <n v="11607.230000000001"/>
        <n v="131247.77000000002"/>
        <n v="19964.13"/>
        <n v="28709.109999999997"/>
        <n v="35151.71"/>
        <n v="18422.14"/>
        <n v="7850.24"/>
        <n v="12455.53"/>
        <n v="10182.87"/>
        <n v="132735.73"/>
        <n v="5209.579999999999"/>
        <n v="11531.45"/>
        <n v="28883.54"/>
        <n v="40106.84"/>
        <n v="14234.51"/>
        <n v="29247.41"/>
        <n v="15208.739999999998"/>
        <n v="144422.07"/>
        <n v="15677.77"/>
        <n v="33725.99999999999"/>
        <n v="28371.21"/>
        <n v="21387.06"/>
        <n v="5733.59"/>
        <n v="20358.27"/>
        <n v="20660.42"/>
        <n v="145914.31999999998"/>
        <n v="11110.1"/>
        <n v="13119.67"/>
        <n v="14147.19"/>
        <n v="26730.38"/>
        <n v="17954.45"/>
        <n v="13902.95"/>
        <n v="14007.7"/>
        <n v="110972.43999999999"/>
        <n v="9959.24"/>
        <n v="19511.24"/>
        <n v="30575.85"/>
        <n v="34666.380000000005"/>
        <n v="24699.66"/>
        <n v="31229.13"/>
        <n v="10216.17"/>
        <n v="160857.67"/>
        <n v="12085.65"/>
        <n v="9225.279999999999"/>
        <n v="27318.18"/>
        <n v="26745.08"/>
        <n v="27372.73"/>
        <n v="22403.21"/>
        <n v="4684.91"/>
        <n v="129835.04000000001"/>
        <n v="18350.2"/>
        <n v="16556.28"/>
        <n v="22940.559999999998"/>
        <n v="25366.13"/>
        <n v="23435.74"/>
        <n v="9786.42"/>
        <n v="4303.71"/>
        <n v="120739.04000000001"/>
        <n v="14167.860000000002"/>
        <n v="21197.41"/>
        <n v="22530.58"/>
        <n v="20687.17"/>
        <n v="17033.75"/>
        <n v="19441.71"/>
        <n v="7594.91"/>
        <n v="122653.39000000001"/>
        <n v="12589.15"/>
        <n v="14731.79"/>
        <n v="35408.340000000004"/>
        <n v="15577.92"/>
        <n v="22761.91"/>
        <n v="26060.05"/>
        <n v="127129.16000000002"/>
        <n v="7321.719999999999"/>
        <n v="20015.489999999998"/>
        <n v="31241.690000000002"/>
        <n v="19861.39"/>
        <n v="19012.739999999998"/>
        <n v="23357.26"/>
        <n v="120810.29"/>
        <n v="8690.34"/>
        <n v="12613.98"/>
        <n v="38248.05"/>
        <n v="38175.44"/>
        <n v="28043.21"/>
        <n v="15725.75"/>
        <n v="141496.77"/>
        <n v="8142.22"/>
        <n v="12596.4"/>
        <n v="21498.93"/>
        <n v="17577.58"/>
        <n v="16825.44"/>
        <n v="23445.97"/>
        <n v="100086.54000000001"/>
        <n v="10567.650000000001"/>
        <n v="24785.94"/>
        <n v="33588.42"/>
        <n v="29445.690000000002"/>
        <n v="32024.13"/>
        <n v="16575.87"/>
        <n v="146987.7"/>
        <n v="8960.67"/>
        <n v="11472.89"/>
        <n v="24140.129999999997"/>
        <n v="11141.769999999999"/>
        <n v="16925.71"/>
        <n v="14623"/>
        <n v="87264.16999999998"/>
      </sharedItems>
    </cacheField>
    <cacheField name="ROI" numFmtId="0">
      <sharedItems containsSemiMixedTypes="false" containsString="false" containsNumber="true" minValue="0.38488647771204004" maxValue="2.5694953613959672" count="0"/>
    </cacheField>
    <cacheField name="单均" numFmtId="0">
      <sharedItems containsSemiMixedTypes="false" containsString="false" containsNumber="true" minValue="432.48" maxValue="2302.44" count="0"/>
    </cacheField>
    <cacheField name="保单成本" numFmtId="0">
      <sharedItems containsSemiMixedTypes="false" containsString="false" containsNumber="true" minValue="546.3994444444444" maxValue="3284.1600000000003" count="0"/>
    </cacheField>
    <cacheField name="T0脱退单数量" numFmtId="0">
      <sharedItems containsSemiMixedTypes="false" containsString="false" containsNumber="true" containsInteger="true" minValue="0" maxValue="54" count="0"/>
    </cacheField>
    <cacheField name="T0脱退保费" numFmtId="0">
      <sharedItems containsSemiMixedTypes="false" containsString="false" containsNumber="true" minValue="0" maxValue="60853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4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24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75" sheet="2026年4月"/>
  </cacheSource>
  <cacheFields count="16">
    <cacheField name="日期" numFmtId="0">
      <sharedItems count="0"/>
    </cacheField>
    <cacheField name="主播" numFmtId="0">
      <sharedItems containsBlank="true" count="10">
        <s v="刘梦"/>
        <s v="井欣阅"/>
        <s v="陈旭"/>
        <s v="王硕硕"/>
        <s v="刘杰宇"/>
        <m/>
        <s v="郭子硕"/>
        <s v="田宇尚"/>
        <s v="王亚倩"/>
        <s v="高娟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0.5" maxValue="24" count="16">
        <n v="5"/>
        <n v="2"/>
        <n v="3"/>
        <n v="20"/>
        <n v="15"/>
        <n v="4"/>
        <n v="22"/>
        <n v="4.5"/>
        <n v="19.5"/>
        <n v="0.5"/>
        <n v="12.5"/>
        <n v="7"/>
        <n v="24"/>
        <n v="3.5"/>
        <n v="22.5"/>
        <n v="1"/>
      </sharedItems>
    </cacheField>
    <cacheField name="总保单数量" numFmtId="0">
      <sharedItems containsSemiMixedTypes="false" containsString="false" containsNumber="true" containsInteger="true" minValue="1" maxValue="199" count="0"/>
    </cacheField>
    <cacheField name="年化保费" numFmtId="0">
      <sharedItems containsSemiMixedTypes="false" containsString="false" containsNumber="true" minValue="360" maxValue="248688.19999999998" count="174">
        <n v="13885.8"/>
        <n v="43545.6"/>
        <n v="768.0000000000073"/>
        <n v="7040.199999999997"/>
        <n v="26139.79999999998"/>
        <n v="91379.39999999998"/>
        <n v="26174.96"/>
        <n v="15482.4"/>
        <n v="30943.399999999987"/>
        <n v="72600.75999999998"/>
        <n v="44603.8"/>
        <n v="22056"/>
        <n v="9163.800000000017"/>
        <n v="10312"/>
        <n v="22255.199999999997"/>
        <n v="108390.80000000002"/>
        <n v="21703.2"/>
        <n v="35266.8"/>
        <n v="9552.199999999997"/>
        <n v="33101.40000000001"/>
        <n v="19928.899999999994"/>
        <n v="119552.5"/>
        <n v="28473"/>
        <n v="29558.16"/>
        <n v="20220"/>
        <n v="7602"/>
        <n v="29386.199999999997"/>
        <n v="115239.36"/>
        <n v="21408"/>
        <n v="31364.4"/>
        <n v="15961.200000000003"/>
        <n v="32697.600000000006"/>
        <n v="60383.519999999975"/>
        <n v="161814.71999999997"/>
        <n v="39837.6"/>
        <n v="14697.96"/>
        <n v="5013.600000000004"/>
        <n v="8517.119999999995"/>
        <n v="19793.199999999997"/>
        <n v="87859.48"/>
        <n v="24225.6"/>
        <n v="28524.2"/>
        <n v="5083.799999999996"/>
        <n v="8877.600000000006"/>
        <n v="35272.38999999999"/>
        <n v="101983.59"/>
        <n v="10339.08"/>
        <n v="31105.199999999997"/>
        <n v="13003.200000000004"/>
        <n v="16275.999999999993"/>
        <n v="18776.400000000023"/>
        <n v="89499.88000000002"/>
        <n v="30520.4"/>
        <n v="9592.400000000001"/>
        <n v="8346.399999999994"/>
        <n v="12357.600000000006"/>
        <n v="45686.2"/>
        <n v="106503"/>
        <n v="35534.4"/>
        <n v="22026"/>
        <n v="22187.279999999984"/>
        <n v="39316.200000000026"/>
        <n v="54676.60000000002"/>
        <n v="173740.48000000004"/>
        <n v="33440.2"/>
        <n v="9326"/>
        <n v="11653.200000000003"/>
        <n v="3205.199999999997"/>
        <n v="32762.400000000016"/>
        <n v="90387.00000000001"/>
        <n v="41594.4"/>
        <n v="24796.6"/>
        <n v="31374.000000000004"/>
        <n v="21758.600000000006"/>
        <n v="29523.600000000006"/>
        <n v="149047.2"/>
        <n v="18680.8"/>
        <n v="15433.2"/>
        <n v="38229.6"/>
        <n v="5262.000000000015"/>
        <n v="20314.39999999998"/>
        <n v="97920"/>
        <n v="13573.2"/>
        <n v="19841.199999999997"/>
        <n v="6885.600000000009"/>
        <n v="27624"/>
        <n v="30156.600000000006"/>
        <n v="98080.6"/>
        <n v="17655.6"/>
        <n v="23854.8"/>
        <n v="15025.2"/>
        <n v="14902.799999999988"/>
        <n v="23569.48000000001"/>
        <n v="95007.87999999999"/>
        <n v="14903.4"/>
        <n v="18980.2"/>
        <n v="6538.99999999999"/>
        <n v="8076.000000000007"/>
        <n v="372"/>
        <n v="48870.6"/>
        <n v="58996.6"/>
        <n v="37423.200000000004"/>
        <n v="29017.2"/>
        <n v="75254.79999999996"/>
        <n v="47996.40000000002"/>
        <n v="248688.19999999998"/>
        <n v="39484.8"/>
        <n v="36877.2"/>
        <n v="20265.800000000003"/>
        <n v="15794.399999999994"/>
        <n v="31984.800000000003"/>
        <n v="144407"/>
        <n v="37694"/>
        <n v="19787.4"/>
        <n v="23742.8"/>
        <n v="20827.2"/>
        <n v="41139.8"/>
        <n v="143191.2"/>
        <n v="25894.8"/>
        <n v="13830.000000000004"/>
        <n v="9416.4"/>
        <n v="3780"/>
        <n v="52921.200000000004"/>
        <n v="24159.8"/>
        <n v="12784.8"/>
        <n v="36944.6"/>
        <n v="20826"/>
        <n v="13106.400000000001"/>
        <n v="13412.6"/>
        <n v="13876.8"/>
        <n v="360"/>
        <n v="14238.799999999997"/>
        <n v="16196.599999999991"/>
        <n v="92017.2"/>
        <n v="17767.2"/>
        <n v="36699.6"/>
        <n v="10364.4"/>
        <n v="19569.6"/>
        <n v="9076.8"/>
        <n v="14975.799999999994"/>
        <n v="17826.240000000005"/>
        <n v="126279.64"/>
        <n v="4460.4"/>
        <n v="13447.199999999999"/>
        <n v="16303.6"/>
        <n v="36801.6"/>
        <n v="18018"/>
        <n v="23490"/>
        <n v="33025.8"/>
        <n v="145546.59999999998"/>
        <n v="9103"/>
        <n v="22588.8"/>
        <n v="14578.8"/>
        <n v="12398.4"/>
        <n v="18100.8"/>
        <n v="38846.399999999994"/>
        <n v="61984.2"/>
        <n v="177600.4"/>
        <n v="9620.4"/>
        <n v="31041.000000000004"/>
        <n v="28549.399999999994"/>
        <n v="34697.80000000001"/>
        <n v="5156"/>
        <n v="19490.4"/>
        <n v="19705.2"/>
        <n v="148260.2"/>
        <n v="7371.6"/>
        <n v="20531.800000000003"/>
        <n v="21692.199999999997"/>
        <n v="36170.20000000001"/>
        <n v="18334.8"/>
        <n v="15168"/>
        <n v="22063.44"/>
        <n v="141332.04"/>
      </sharedItems>
    </cacheField>
    <cacheField name="投流消耗" numFmtId="0">
      <sharedItems containsSemiMixedTypes="false" containsString="false" containsNumber="true" minValue="857.6" maxValue="161227.05" count="174">
        <n v="16461.84"/>
        <n v="23024.23"/>
        <n v="4468.37"/>
        <n v="6168.97"/>
        <n v="24413.59"/>
        <n v="74537"/>
        <n v="23144.8"/>
        <n v="10296.09"/>
        <n v="22627.25"/>
        <n v="56068.14"/>
        <n v="32813.07"/>
        <n v="20021.12"/>
        <n v="8390.84"/>
        <n v="12913.09"/>
        <n v="14863.130000000001"/>
        <n v="89001.25"/>
        <n v="17757.660000000003"/>
        <n v="15869.240000000003"/>
        <n v="10839.8"/>
        <n v="18284.579999999998"/>
        <n v="19876.36"/>
        <n v="82627.64000000001"/>
        <n v="16877.03"/>
        <n v="26129.93"/>
        <n v="13781.899999999998"/>
        <n v="9822.490000000002"/>
        <n v="20660.329999999998"/>
        <n v="87271.68000000001"/>
        <n v="18919.39"/>
        <n v="27958.34"/>
        <n v="13256.849999999999"/>
        <n v="10620.28"/>
        <n v="31950.99"/>
        <n v="102705.85"/>
        <n v="23776.77"/>
        <n v="12531.98"/>
        <n v="8943.83"/>
        <n v="7209.889999999999"/>
        <n v="17575.62"/>
        <n v="70038.09"/>
        <n v="17555.22"/>
        <n v="18092.82"/>
        <n v="10948.72"/>
        <n v="11636.960000000001"/>
        <n v="25994.99"/>
        <n v="84228.71"/>
        <n v="14530.09"/>
        <n v="19539.53"/>
        <n v="12105.91"/>
        <n v="16390.620000000003"/>
        <n v="14455.55"/>
        <n v="77021.7"/>
        <n v="17807.920000000002"/>
        <n v="10510.819999999998"/>
        <n v="8729.59"/>
        <n v="8217.589999999998"/>
        <n v="18758.839999999997"/>
        <n v="64024.759999999995"/>
        <n v="37353.45"/>
        <n v="19184.67"/>
        <n v="10385.13"/>
        <n v="22855.269999999997"/>
        <n v="26789.24"/>
        <n v="116567.76"/>
        <n v="25278.710000000003"/>
        <n v="11895.550000000001"/>
        <n v="10810.380000000001"/>
        <n v="6888.43"/>
        <n v="13093.980000000001"/>
        <n v="67967.05"/>
        <n v="30393.65"/>
        <n v="19177.04"/>
        <n v="21476.710000000003"/>
        <n v="13491.12"/>
        <n v="16389.62"/>
        <n v="100928.14"/>
        <n v="18229.63"/>
        <n v="10842.66"/>
        <n v="20287.260000000002"/>
        <n v="6608.639999999999"/>
        <n v="11709.119999999999"/>
        <n v="67677.31"/>
        <n v="11373.41"/>
        <n v="15023.25"/>
        <n v="9890.93"/>
        <n v="15757.130000000001"/>
        <n v="17726.809999999998"/>
        <n v="69771.53"/>
        <n v="18413.88"/>
        <n v="16684.25"/>
        <n v="9139.88"/>
        <n v="13727.019999999999"/>
        <n v="14294"/>
        <n v="72259.03"/>
        <n v="18960.89"/>
        <n v="10501.87"/>
        <n v="12127.13"/>
        <n v="5594.39"/>
        <n v="3353.7900000000004"/>
        <n v="50538.07"/>
        <n v="35543.35"/>
        <n v="28333.779999999995"/>
        <n v="24062.809999999998"/>
        <n v="38075.47"/>
        <n v="35211.64"/>
        <n v="161227.05"/>
        <n v="29704.05"/>
        <n v="25789.96"/>
        <n v="14790.73"/>
        <n v="17712.999999999996"/>
        <n v="16474.07"/>
        <n v="104471.81"/>
        <n v="26192.469999999998"/>
        <n v="26287.22"/>
        <n v="22385.94"/>
        <n v="17386.98"/>
        <n v="25183.930000000004"/>
        <n v="117436.54000000001"/>
        <n v="16685.1"/>
        <n v="18324.52"/>
        <n v="14020.69"/>
        <n v="857.6"/>
        <n v="49887.909999999996"/>
        <n v="12825.4"/>
        <n v="7229.96"/>
        <n v="20055.36"/>
        <n v="10897.4"/>
        <n v="9606.61"/>
        <n v="14257.47"/>
        <n v="7181.48"/>
        <n v="3780.43"/>
        <n v="13372.79"/>
        <n v="10435.16"/>
        <n v="69531.34000000001"/>
        <n v="7113.570000000001"/>
        <n v="25805.2"/>
        <n v="16223.74"/>
        <n v="16344.56"/>
        <n v="7160.02"/>
        <n v="15810.969999999998"/>
        <n v="17408.4"/>
        <n v="105866.45999999999"/>
        <n v="5887.67"/>
        <n v="16170.68"/>
        <n v="16142.28"/>
        <n v="20343.26"/>
        <n v="12271.410000000002"/>
        <n v="27430.33"/>
        <n v="23234.380000000005"/>
        <n v="121480.01000000001"/>
        <n v="9487.36"/>
        <n v="10561.31"/>
        <n v="16882.82"/>
        <n v="14967.86"/>
        <n v="11446.09"/>
        <n v="27703.079999999998"/>
        <n v="32514.09"/>
        <n v="123562.61"/>
        <n v="12562.779999999999"/>
        <n v="23336.989999999998"/>
        <n v="21433.25"/>
        <n v="22833.53"/>
        <n v="8048.25"/>
        <n v="15934.99"/>
        <n v="12677.74"/>
        <n v="116827.53"/>
        <n v="8397.21"/>
        <n v="18042.75"/>
        <n v="17116.190000000002"/>
        <n v="21311.619999999995"/>
        <n v="9361.02"/>
        <n v="13835.6"/>
        <n v="17684.51"/>
        <n v="105748.9"/>
      </sharedItems>
    </cacheField>
    <cacheField name="ROI" numFmtId="0">
      <sharedItems containsSemiMixedTypes="false" containsString="false" containsNumber="true" minValue="0.09522726250717511" maxValue="4.407649253731343" count="0"/>
    </cacheField>
    <cacheField name="单均" numFmtId="0">
      <sharedItems containsSemiMixedTypes="false" containsString="false" containsNumber="true" minValue="360" maxValue="1890" count="0"/>
    </cacheField>
    <cacheField name="保单成本" numFmtId="0">
      <sharedItems containsSemiMixedTypes="false" containsString="false" containsNumber="true" minValue="428.8" maxValue="3780.43" count="0"/>
    </cacheField>
    <cacheField name="T0脱退单数量" numFmtId="0">
      <sharedItems containsSemiMixedTypes="false" containsString="false" containsNumber="true" containsInteger="true" minValue="0" maxValue="37" count="0"/>
    </cacheField>
    <cacheField name="T0脱退保费" numFmtId="0">
      <sharedItems containsSemiMixedTypes="false" containsString="false" containsNumber="true" minValue="0" maxValue="44273.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5" maxValue="24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24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5" sheet="2026年3月"/>
  </cacheSource>
  <cacheFields count="16">
    <cacheField name="日期" numFmtId="0">
      <sharedItems count="0"/>
    </cacheField>
    <cacheField name="主播" numFmtId="0">
      <sharedItems containsBlank="true" count="7">
        <s v="王硕硕"/>
        <s v="刘梦"/>
        <s v="刘杰宇"/>
        <s v="郭子硕"/>
        <m/>
        <s v="井欣阅"/>
        <s v="陈旭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0" count="12">
        <n v="5"/>
        <n v="3"/>
        <n v="18"/>
        <n v="20"/>
        <n v="4"/>
        <n v="2"/>
        <n v="6"/>
        <n v="1"/>
        <n v="17"/>
        <n v="12"/>
        <n v="19"/>
        <n v="4.5"/>
      </sharedItems>
    </cacheField>
    <cacheField name="总保单数量" numFmtId="0">
      <sharedItems containsSemiMixedTypes="false" containsString="false" containsNumber="true" containsInteger="true" minValue="4" maxValue="229" count="78">
        <n v="53"/>
        <n v="38"/>
        <n v="41"/>
        <n v="30"/>
        <n v="162"/>
        <n v="39"/>
        <n v="67"/>
        <n v="62"/>
        <n v="61"/>
        <n v="229"/>
        <n v="24"/>
        <n v="20"/>
        <n v="16"/>
        <n v="15"/>
        <n v="75"/>
        <n v="18"/>
        <n v="46"/>
        <n v="127"/>
        <n v="29"/>
        <n v="10"/>
        <n v="14"/>
        <n v="36"/>
        <n v="89"/>
        <n v="25"/>
        <n v="37"/>
        <n v="31"/>
        <n v="118"/>
        <n v="23"/>
        <n v="7"/>
        <n v="28"/>
        <n v="72"/>
        <n v="9"/>
        <n v="26"/>
        <n v="21"/>
        <n v="94"/>
        <n v="43"/>
        <n v="27"/>
        <n v="116"/>
        <n v="42"/>
        <n v="55"/>
        <n v="161"/>
        <n v="54"/>
        <n v="134"/>
        <n v="34"/>
        <n v="124"/>
        <n v="12"/>
        <n v="113"/>
        <n v="22"/>
        <n v="40"/>
        <n v="19"/>
        <n v="105"/>
        <n v="4"/>
        <n v="70"/>
        <n v="48"/>
        <n v="209"/>
        <n v="44"/>
        <n v="32"/>
        <n v="45"/>
        <n v="150"/>
        <n v="59"/>
        <n v="193"/>
        <n v="49"/>
        <n v="121"/>
        <n v="8"/>
        <n v="5"/>
        <n v="6"/>
        <n v="47"/>
        <n v="11"/>
        <n v="109"/>
        <n v="71"/>
        <n v="84"/>
        <n v="57"/>
        <n v="17"/>
        <n v="56"/>
        <n v="13"/>
        <n v="73"/>
        <n v="64"/>
        <n v="104"/>
      </sharedItems>
    </cacheField>
    <cacheField name="年化保费" numFmtId="0">
      <sharedItems containsSemiMixedTypes="false" containsString="false" containsNumber="true" minValue="3576.2" maxValue="153624.8" count="164">
        <n v="33214"/>
        <n v="24510.2"/>
        <n v="26051.800000000003"/>
        <n v="22392.399999999994"/>
        <n v="106168.4"/>
        <n v="21379.2"/>
        <n v="49991.19999999999"/>
        <n v="34914.28"/>
        <n v="43719.20000000001"/>
        <n v="150003.88"/>
        <n v="21176.4"/>
        <n v="18002.99"/>
        <n v="13241.6"/>
        <n v="11768.4"/>
        <n v="64189.39"/>
        <n v="12547.4"/>
        <n v="14496.4"/>
        <n v="31084.22"/>
        <n v="32758.6"/>
        <n v="90886.62"/>
        <n v="22339.6"/>
        <n v="5689"/>
        <n v="10586.4"/>
        <n v="22371.4"/>
        <n v="60986.4"/>
        <n v="19497.8"/>
        <n v="20550.4"/>
        <n v="27495.2"/>
        <n v="23724.4"/>
        <n v="91267.79999999999"/>
        <n v="14218"/>
        <n v="7082.4"/>
        <n v="7870.8"/>
        <n v="14128.8"/>
        <n v="43300"/>
        <n v="3576.2"/>
        <n v="17581.6"/>
        <n v="15248.2"/>
        <n v="27057.2"/>
        <n v="63463.2"/>
        <n v="30758.6"/>
        <n v="16770.4"/>
        <n v="20675.089999999997"/>
        <n v="14480.600000000006"/>
        <n v="82684.69"/>
        <n v="26262.6"/>
        <n v="38315.8"/>
        <n v="27358.799999999996"/>
        <n v="20294.800000000003"/>
        <n v="112232"/>
        <n v="39376.58"/>
        <n v="19108.400000000005"/>
        <n v="23569.999999999993"/>
        <n v="21120.040000000008"/>
        <n v="103175.02000000002"/>
        <n v="9554"/>
        <n v="15220.399999999998"/>
        <n v="17012.589999999997"/>
        <n v="24712.799999999996"/>
        <n v="27123.800000000003"/>
        <n v="93623.58999999998"/>
        <n v="18421.4"/>
        <n v="18245.72"/>
        <n v="9886.799999999996"/>
        <n v="10500.599999999999"/>
        <n v="12546.200000000004"/>
        <n v="69600.72"/>
        <n v="15390.2"/>
        <n v="28430.399999999998"/>
        <n v="12524.600000000006"/>
        <n v="23671.40000000001"/>
        <n v="80016.6"/>
        <n v="16703.69"/>
        <n v="20732.2"/>
        <n v="3903.5999999999985"/>
        <n v="17494.799999999996"/>
        <n v="58834.28999999999"/>
        <n v="9459.4"/>
        <n v="44025.380000000005"/>
        <n v="26068.999999999993"/>
        <n v="24919.800000000003"/>
        <n v="38620.59999999999"/>
        <n v="143094.18"/>
        <n v="31266.4"/>
        <n v="22318.999999999996"/>
        <n v="5624.600000000006"/>
        <n v="10718.999999999993"/>
        <n v="28498.08"/>
        <n v="98427.08"/>
        <n v="35408.8"/>
        <n v="24125.6"/>
        <n v="28239.200000000004"/>
        <n v="17516.399999999994"/>
        <n v="48334.8"/>
        <n v="153624.8"/>
        <n v="38430"/>
        <n v="14926.999999999996"/>
        <n v="8335.800000000003"/>
        <n v="12823.599999999991"/>
        <n v="8715"/>
        <n v="83231.4"/>
        <n v="9156"/>
        <n v="9373.2"/>
        <n v="5191.200000000001"/>
        <n v="23720.4"/>
        <n v="6526.6"/>
        <n v="8162.4"/>
        <n v="6940.799999999998"/>
        <n v="5897.799999999999"/>
        <n v="26950.6"/>
        <n v="54478.2"/>
        <n v="21654"/>
        <n v="37528.8"/>
        <n v="28736.800000000003"/>
        <n v="8186.399999999994"/>
        <n v="39811.399999999994"/>
        <n v="135917.4"/>
        <n v="11150.4"/>
        <n v="19354.6"/>
        <n v="9445.800000000005"/>
        <n v="29806.800000000003"/>
        <n v="26252"/>
        <n v="96009.6"/>
        <n v="39645.6"/>
        <n v="25245.6"/>
        <n v="10358"/>
        <n v="25187.2"/>
        <n v="100436.4"/>
        <n v="18912.2"/>
        <n v="33606.799999999996"/>
        <n v="6703.199999999997"/>
        <n v="14463.6"/>
        <n v="73685.8"/>
        <n v="20316"/>
        <n v="11134.8"/>
        <n v="19690.8"/>
        <n v="21562.8"/>
        <n v="72704.4"/>
        <n v="26769.6"/>
        <n v="7864.800000000001"/>
        <n v="18164.4"/>
        <n v="24783"/>
        <n v="77581.8"/>
        <n v="48800"/>
        <n v="12236.199999999997"/>
        <n v="17842.40000000001"/>
        <n v="14870.399999999994"/>
        <n v="93749"/>
        <n v="30456"/>
        <n v="23024.6"/>
        <n v="6274.800000000003"/>
        <n v="24993.6"/>
        <n v="84749"/>
        <n v="36830.4"/>
        <n v="23246.71"/>
        <n v="11666.199999999997"/>
        <n v="28402.800000000003"/>
        <n v="100146.11"/>
        <n v="39240"/>
        <n v="29864.2"/>
        <n v="27783.600000000006"/>
        <n v="25287.59999999999"/>
        <n v="12123.200000000012"/>
        <n v="134298.6"/>
      </sharedItems>
    </cacheField>
    <cacheField name="投流消耗" numFmtId="0">
      <sharedItems containsSemiMixedTypes="false" containsString="false" containsNumber="true" minValue="3011.82" maxValue="130849.56" count="164">
        <n v="34465.18"/>
        <n v="17068.71"/>
        <n v="23364.55"/>
        <n v="14452.6"/>
        <n v="89351.04000000001"/>
        <n v="25750.14"/>
        <n v="42987.34"/>
        <n v="28306.12"/>
        <n v="33805.96"/>
        <n v="130849.56"/>
        <n v="20805.05"/>
        <n v="12660.43"/>
        <n v="10650.26"/>
        <n v="10251.11"/>
        <n v="54366.85"/>
        <n v="16409.24"/>
        <n v="13778.15"/>
        <n v="22066.57"/>
        <n v="24557.23"/>
        <n v="76811.19"/>
        <n v="23481.51"/>
        <n v="10907.65"/>
        <n v="9637.91"/>
        <n v="21342.58"/>
        <n v="65369.649999999994"/>
        <n v="15637.039999999999"/>
        <n v="13223.25"/>
        <n v="11637.96"/>
        <n v="15261.35"/>
        <n v="55759.6"/>
        <n v="13313.349999999999"/>
        <n v="10672.12"/>
        <n v="7876.62"/>
        <n v="10634.26"/>
        <n v="42496.35"/>
        <n v="15219.5"/>
        <n v="12709.65"/>
        <n v="10111.22"/>
        <n v="19427.15"/>
        <n v="57467.520000000004"/>
        <n v="35697.61"/>
        <n v="15316.35"/>
        <n v="9164.12"/>
        <n v="16969.62"/>
        <n v="77147.7"/>
        <n v="27410.980000000003"/>
        <n v="31646.77"/>
        <n v="16487.88"/>
        <n v="20499.670000000002"/>
        <n v="96045.3"/>
        <n v="29234.86"/>
        <n v="23658.839999999997"/>
        <n v="14030.279999999999"/>
        <n v="18005.33"/>
        <n v="84929.31"/>
        <n v="10349.91"/>
        <n v="13344.7"/>
        <n v="9845.04"/>
        <n v="10995.04"/>
        <n v="15711.26"/>
        <n v="60245.950000000004"/>
        <n v="16776.57"/>
        <n v="20918.13"/>
        <n v="10255.14"/>
        <n v="9955.260000000002"/>
        <n v="12431.9"/>
        <n v="70337"/>
        <n v="21144.28"/>
        <n v="24115.57"/>
        <n v="11458.189999999999"/>
        <n v="14194.619999999999"/>
        <n v="70912.65999999999"/>
        <n v="16061.16"/>
        <n v="16557.760000000002"/>
        <n v="4251.89"/>
        <n v="14230.710000000001"/>
        <n v="51101.520000000004"/>
        <n v="11624.62"/>
        <n v="34572.47"/>
        <n v="22854.98"/>
        <n v="20216.75"/>
        <n v="32660.219999999998"/>
        <n v="121929.04000000001"/>
        <n v="22768.96"/>
        <n v="24827.949999999997"/>
        <n v="11110.920000000002"/>
        <n v="10927.07"/>
        <n v="20630.32"/>
        <n v="90265.22"/>
        <n v="30495.79"/>
        <n v="23310.359999999997"/>
        <n v="17952.210000000003"/>
        <n v="11481.92"/>
        <n v="26850.460000000003"/>
        <n v="110090.74"/>
        <n v="34929.28"/>
        <n v="13911.7"/>
        <n v="9289.369999999999"/>
        <n v="11392.240000000002"/>
        <n v="4119.5"/>
        <n v="73642.09"/>
        <n v="6683.95"/>
        <n v="9126.79"/>
        <n v="7131.84"/>
        <n v="22942.58"/>
        <n v="5018.28"/>
        <n v="3011.82"/>
        <n v="5961.58"/>
        <n v="6942.87"/>
        <n v="18264.923000000003"/>
        <n v="39199.473"/>
        <n v="10420.91"/>
        <n v="25845.01"/>
        <n v="12445.18"/>
        <n v="13272.41"/>
        <n v="20244.14"/>
        <n v="82227.65"/>
        <n v="8489.02"/>
        <n v="13766.38"/>
        <n v="8902.21"/>
        <n v="13147.34"/>
        <n v="18228.859999999997"/>
        <n v="62533.81"/>
        <n v="30913.07"/>
        <n v="17140.469999999998"/>
        <n v="14944.74"/>
        <n v="23053.86"/>
        <n v="86052.13999999998"/>
        <n v="13529.07"/>
        <n v="17010.68"/>
        <n v="6513.639999999999"/>
        <n v="16623.9"/>
        <n v="53677.29"/>
        <n v="13799.76"/>
        <n v="11724.52"/>
        <n v="11499.51"/>
        <n v="18652.23"/>
        <n v="55676.020000000004"/>
        <n v="23500.11"/>
        <n v="13169.44"/>
        <n v="7989.620000000001"/>
        <n v="15584.63"/>
        <n v="60243.8"/>
        <n v="32155.22"/>
        <n v="14153.36"/>
        <n v="9018.93"/>
        <n v="12125.02"/>
        <n v="67452.53"/>
        <n v="19911.05"/>
        <n v="9670.060000000001"/>
        <n v="6158.4400000000005"/>
        <n v="13550.31"/>
        <n v="49289.86"/>
        <n v="10424.36"/>
        <n v="12477.1"/>
        <n v="13461.560000000001"/>
        <n v="22121.38"/>
        <n v="58484.40000000001"/>
        <n v="33254.11"/>
        <n v="20793.030000000002"/>
        <n v="8173.3"/>
        <n v="18596.61"/>
        <n v="11721.62"/>
        <n v="92538.67"/>
      </sharedItems>
    </cacheField>
    <cacheField name="ROI" numFmtId="0">
      <sharedItems containsSemiMixedTypes="false" containsString="false" containsNumber="true" minValue="0.23497486776832352" maxValue="3.5331089870265417" count="0"/>
    </cacheField>
    <cacheField name="单均" numFmtId="0">
      <sharedItems containsSemiMixedTypes="false" containsString="false" containsNumber="true" minValue="397.35555555555555" maxValue="2455.36" count="0"/>
    </cacheField>
    <cacheField name="保单成本" numFmtId="0">
      <sharedItems containsSemiMixedTypes="false" containsString="false" containsNumber="true" minValue="161.45305555555558" maxValue="3215.522" count="0"/>
    </cacheField>
    <cacheField name="T0脱退单数量" numFmtId="0">
      <sharedItems containsSemiMixedTypes="false" containsString="false" containsNumber="true" containsInteger="true" minValue="0" maxValue="42" count="0"/>
    </cacheField>
    <cacheField name="T0脱退保费" numFmtId="0">
      <sharedItems containsSemiMixedTypes="false" containsString="false" containsNumber="true" minValue="0" maxValue="30869.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20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03" sheet="2026年2月"/>
  </cacheSource>
  <cacheFields count="16">
    <cacheField name="日期" numFmtId="0">
      <sharedItems count="0"/>
    </cacheField>
    <cacheField name="主播" numFmtId="0">
      <sharedItems containsBlank="true" count="5">
        <s v="刘杰宇"/>
        <s v="王硕硕"/>
        <m/>
        <s v="刘梦"/>
        <s v="郭子硕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.5" maxValue="16" count="8">
        <n v="4"/>
        <n v="8"/>
        <n v="5"/>
        <n v="3.5"/>
        <n v="15.5"/>
        <n v="16"/>
        <n v="15"/>
        <n v="10"/>
      </sharedItems>
    </cacheField>
    <cacheField name="总保单数量" numFmtId="0">
      <sharedItems containsSemiMixedTypes="false" containsString="false" containsNumber="true" containsInteger="true" minValue="4" maxValue="295" count="58">
        <n v="21"/>
        <n v="42"/>
        <n v="20"/>
        <n v="27"/>
        <n v="47"/>
        <n v="28"/>
        <n v="9"/>
        <n v="37"/>
        <n v="12"/>
        <n v="22"/>
        <n v="34"/>
        <n v="26"/>
        <n v="38"/>
        <n v="64"/>
        <n v="18"/>
        <n v="45"/>
        <n v="15"/>
        <n v="23"/>
        <n v="11"/>
        <n v="16"/>
        <n v="4"/>
        <n v="13"/>
        <n v="48"/>
        <n v="14"/>
        <n v="43"/>
        <n v="77"/>
        <n v="31"/>
        <n v="85"/>
        <n v="19"/>
        <n v="7"/>
        <n v="57"/>
        <n v="35"/>
        <n v="61"/>
        <n v="143"/>
        <n v="40"/>
        <n v="30"/>
        <n v="70"/>
        <n v="71"/>
        <n v="90"/>
        <n v="50"/>
        <n v="49"/>
        <n v="99"/>
        <n v="82"/>
        <n v="86"/>
        <n v="25"/>
        <n v="46"/>
        <n v="17"/>
        <n v="32"/>
        <n v="98"/>
        <n v="54"/>
        <n v="78"/>
        <n v="106"/>
        <n v="295"/>
        <n v="151"/>
        <n v="33"/>
        <n v="87"/>
        <n v="53"/>
        <n v="203"/>
      </sharedItems>
    </cacheField>
    <cacheField name="年化保费" numFmtId="0">
      <sharedItems containsSemiMixedTypes="false" containsString="false" containsNumber="true" minValue="2369.4000000000005" maxValue="187573.86" count="101">
        <n v="15279.2"/>
        <n v="13296"/>
        <n v="28575.2"/>
        <n v="17449.2"/>
        <n v="20271.8"/>
        <n v="37721"/>
        <n v="18883.2"/>
        <n v="5626.799999999999"/>
        <n v="24510"/>
        <n v="9657.8"/>
        <n v="13961.400000000001"/>
        <n v="23619.2"/>
        <n v="29720.4"/>
        <n v="19035.6"/>
        <n v="48756"/>
        <n v="11769"/>
        <n v="12217.880000000001"/>
        <n v="23986.88"/>
        <n v="12904.2"/>
        <n v="18374.6"/>
        <n v="31278.8"/>
        <n v="5684.2"/>
        <n v="19212.8"/>
        <n v="24897"/>
        <n v="10335.8"/>
        <n v="5167.4"/>
        <n v="2369.4000000000005"/>
        <n v="7536.8"/>
        <n v="18219.6"/>
        <n v="12644.400000000001"/>
        <n v="30864"/>
        <n v="7895.2"/>
        <n v="9346.2"/>
        <n v="8788.599999999999"/>
        <n v="36376.80000000001"/>
        <n v="62406.80000000001"/>
        <n v="9850.2"/>
        <n v="14779.399999999998"/>
        <n v="8332.200000000004"/>
        <n v="18811.199999999997"/>
        <n v="51773"/>
        <n v="10849.24"/>
        <n v="15633.000000000002"/>
        <n v="3400.0000000000036"/>
        <n v="10698.599999999995"/>
        <n v="40580.84"/>
        <n v="23963.4"/>
        <n v="22660.8"/>
        <n v="34290"/>
        <n v="80914.2"/>
        <n v="22008"/>
        <n v="18967.199999999997"/>
        <n v="40975.2"/>
        <n v="12818.2"/>
        <n v="51531.200000000004"/>
        <n v="64349.40000000001"/>
        <n v="41498.8"/>
        <n v="30918.399999999994"/>
        <n v="72417.2"/>
        <n v="28382"/>
        <n v="5586.199999999997"/>
        <n v="25446.200000000004"/>
        <n v="59414.4"/>
        <n v="18940.399999999998"/>
        <n v="9354.400000000001"/>
        <n v="34737.600000000006"/>
        <n v="63032.40000000001"/>
        <n v="13186"/>
        <n v="26318.6"/>
        <n v="39504.6"/>
        <n v="11832.92"/>
        <n v="12015.4"/>
        <n v="23848.32"/>
        <n v="7783.4"/>
        <n v="35344.4"/>
        <n v="43127.8"/>
        <n v="6723.6"/>
        <n v="9729.6"/>
        <n v="11124.6"/>
        <n v="40680.8"/>
        <n v="68258.6"/>
        <n v="35865.8"/>
        <n v="38056.03999999999"/>
        <n v="49163.2"/>
        <n v="64488.81999999999"/>
        <n v="187573.86"/>
        <n v="16219.4"/>
        <n v="28931.199999999997"/>
        <n v="15696.400000000001"/>
        <n v="44707.56000000001"/>
        <n v="105554.56000000001"/>
        <n v="17064.2"/>
        <n v="11405.16"/>
        <n v="5022.5999999999985"/>
        <n v="18398.800000000003"/>
        <n v="51890.76"/>
        <n v="34788.2"/>
        <n v="31629.320000000007"/>
        <n v="25913"/>
        <n v="53682.40000000001"/>
        <n v="146012.92"/>
      </sharedItems>
    </cacheField>
    <cacheField name="投流消耗" numFmtId="0">
      <sharedItems containsSemiMixedTypes="false" containsString="false" containsNumber="true" minValue="5790.18" maxValue="159296.32" count="101">
        <n v="11860.45"/>
        <n v="14872.79"/>
        <n v="26733.24"/>
        <n v="11840.95"/>
        <n v="15587.48"/>
        <n v="27428.43"/>
        <n v="15577.570000000002"/>
        <n v="13278.98"/>
        <n v="28856.550000000003"/>
        <n v="9903.09"/>
        <n v="12288.1"/>
        <n v="22191.190000000002"/>
        <n v="15433.789999999999"/>
        <n v="14742.12"/>
        <n v="30175.91"/>
        <n v="14478.779999999999"/>
        <n v="12360.43"/>
        <n v="26839.21"/>
        <n v="11487.93"/>
        <n v="11857.689999999999"/>
        <n v="23345.62"/>
        <n v="10603.400000000001"/>
        <n v="15046.43"/>
        <n v="25649.83"/>
        <n v="11292.749999999998"/>
        <n v="15159.219999999998"/>
        <n v="8068.070000000001"/>
        <n v="23227.289999999997"/>
        <n v="11836.460000000001"/>
        <n v="13382.349999999999"/>
        <n v="25218.809999999998"/>
        <n v="7539.420000000001"/>
        <n v="6398.35"/>
        <n v="8019.62"/>
        <n v="20865.899999999998"/>
        <n v="42823.28999999999"/>
        <n v="15391.64"/>
        <n v="7350.77"/>
        <n v="6424.74"/>
        <n v="16532.9"/>
        <n v="45700.05"/>
        <n v="10861.48"/>
        <n v="8030.460000000001"/>
        <n v="6288.96"/>
        <n v="11428.529999999999"/>
        <n v="36609.43"/>
        <n v="18806.83"/>
        <n v="20146.1"/>
        <n v="24409.63"/>
        <n v="63362.56"/>
        <n v="22475.65"/>
        <n v="13779.45"/>
        <n v="36255.100000000006"/>
        <n v="10152.6"/>
        <n v="30839.879999999997"/>
        <n v="40992.479999999996"/>
        <n v="21942.07"/>
        <n v="24627.539999999997"/>
        <n v="46569.61"/>
        <n v="21738.55"/>
        <n v="12093.79"/>
        <n v="12830.859999999997"/>
        <n v="46663.2"/>
        <n v="14246.51"/>
        <n v="8196.740000000002"/>
        <n v="22969.63"/>
        <n v="45412.880000000005"/>
        <n v="12315.189999999999"/>
        <n v="13640.420000000002"/>
        <n v="25955.61"/>
        <n v="8254.53"/>
        <n v="11690.08"/>
        <n v="19944.61"/>
        <n v="10955.79"/>
        <n v="20763.16"/>
        <n v="31718.95"/>
        <n v="8156.67"/>
        <n v="5790.18"/>
        <n v="8782.49"/>
        <n v="20636.15"/>
        <n v="43365.490000000005"/>
        <n v="30442.97"/>
        <n v="32858.12"/>
        <n v="37571.26"/>
        <n v="58423.969999999994"/>
        <n v="159296.32"/>
        <n v="20728.97"/>
        <n v="15569.48"/>
        <n v="14882.33"/>
        <n v="28301.98"/>
        <n v="79482.76"/>
        <n v="21197.59"/>
        <n v="10826.16"/>
        <n v="9294.27"/>
        <n v="17385.340000000004"/>
        <n v="58703.36000000001"/>
        <n v="30190.57"/>
        <n v="30180.950000000004"/>
        <n v="19044.87"/>
        <n v="28670.6"/>
        <n v="108086.98999999999"/>
      </sharedItems>
    </cacheField>
    <cacheField name="ROI" numFmtId="0">
      <sharedItems containsSemiMixedTypes="false" containsString="false" containsNumber="true" minValue="0.29367618277977264" maxValue="2.0105920876316357" count="0"/>
    </cacheField>
    <cacheField name="单均" numFmtId="0">
      <sharedItems containsSemiMixedTypes="false" containsString="false" containsNumber="true" minValue="372.4133333333331" maxValue="1143.0923076923077" count="0"/>
    </cacheField>
    <cacheField name="保单成本" numFmtId="0">
      <sharedItems containsSemiMixedTypes="false" containsString="false" containsNumber="true" minValue="142.9943661971831" maxValue="2017.0175000000002" count="0"/>
    </cacheField>
    <cacheField name="T0脱退单数量" numFmtId="0">
      <sharedItems containsSemiMixedTypes="false" containsString="false" containsNumber="true" containsInteger="true" minValue="0" maxValue="42" count="0"/>
    </cacheField>
    <cacheField name="T0脱退保费" numFmtId="0">
      <sharedItems containsSemiMixedTypes="false" containsString="false" containsNumber="true" minValue="0" maxValue="34457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8" maxValue="16" count="0"/>
    </cacheField>
    <cacheField name="投手" numFmtId="0">
      <sharedItems containsBlank="true" count="0"/>
    </cacheField>
    <cacheField name="时长" numFmtId="0">
      <sharedItems containsString="false" containsBlank="true" containsNumber="true" minValue="5" maxValue="16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43" sheet="2026年1月"/>
  </cacheSource>
  <cacheFields count="16">
    <cacheField name="日期" numFmtId="0">
      <sharedItems count="0"/>
    </cacheField>
    <cacheField name="主播" numFmtId="0">
      <sharedItems containsBlank="true" count="7">
        <s v="王硕硕"/>
        <s v="郝旭靓"/>
        <s v="刘杰宇"/>
        <s v="郭子硕"/>
        <m/>
        <s v="蒲奕西"/>
        <s v="高娟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20" count="16">
        <n v="5"/>
        <n v="4"/>
        <n v="19"/>
        <n v="20"/>
        <n v="3"/>
        <n v="18"/>
        <n v="4.5"/>
        <n v="1.5"/>
        <n v="15"/>
        <n v="17"/>
        <n v="16"/>
        <n v="2"/>
        <n v="14"/>
        <n v="8"/>
        <n v="3.5"/>
        <n v="6.5"/>
      </sharedItems>
    </cacheField>
    <cacheField name="总保单数量" numFmtId="0">
      <sharedItems containsSemiMixedTypes="false" containsString="false" containsNumber="true" containsInteger="true" minValue="2" maxValue="125" count="0"/>
    </cacheField>
    <cacheField name="年化保费" numFmtId="0">
      <sharedItems containsSemiMixedTypes="false" containsString="false" containsNumber="true" minValue="1159.2000000000007" maxValue="74803" count="141">
        <n v="6998.26"/>
        <n v="3166.8"/>
        <n v="14589"/>
        <n v="6385"/>
        <n v="31139.06"/>
        <n v="14003.2"/>
        <n v="7107.6"/>
        <n v="13885.2"/>
        <n v="10563.4"/>
        <n v="45559.4"/>
        <n v="8335.4"/>
        <n v="18327"/>
        <n v="19403.2"/>
        <n v="7426.199999999997"/>
        <n v="53491.8"/>
        <n v="5983.2"/>
        <n v="11350.200000000003"/>
        <n v="14431.8"/>
        <n v="21899.2"/>
        <n v="53664.4"/>
        <n v="5124"/>
        <n v="5211.799999999999"/>
        <n v="15855"/>
        <n v="17685.399999999998"/>
        <n v="43876.2"/>
        <n v="11813.8"/>
        <n v="16294.2"/>
        <n v="8854.000000000002"/>
        <n v="20281.4"/>
        <n v="57243.4"/>
        <n v="11148.6"/>
        <n v="7355.6"/>
        <n v="13411.4"/>
        <n v="13685.599999999997"/>
        <n v="45601.2"/>
        <n v="4351.2"/>
        <n v="4584.599999999999"/>
        <n v="10291.199999999999"/>
        <n v="10834.8"/>
        <n v="30061.8"/>
        <n v="11737.2"/>
        <n v="7712.2"/>
        <n v="7138.5999999999985"/>
        <n v="13314"/>
        <n v="39902"/>
        <n v="7572.4"/>
        <n v="1159.2000000000007"/>
        <n v="14108.999999999998"/>
        <n v="6180.200000000004"/>
        <n v="29020.800000000003"/>
        <n v="12211.4"/>
        <n v="4880.4"/>
        <n v="8648.400000000001"/>
        <n v="3371.7999999999993"/>
        <n v="29112"/>
        <n v="11312.7"/>
        <n v="16749.88"/>
        <n v="18573.6"/>
        <n v="4583.8"/>
        <n v="51219.98"/>
        <n v="9612.2"/>
        <n v="7117.28"/>
        <n v="4202.4"/>
        <n v="13298.6"/>
        <n v="34230.479999999996"/>
        <n v="8323.6"/>
        <n v="10019.6"/>
        <n v="9880.599999999999"/>
        <n v="5622.200000000004"/>
        <n v="33846"/>
        <n v="13844.9"/>
        <n v="8331.6"/>
        <n v="13687"/>
        <n v="22865.6"/>
        <n v="58729.1"/>
        <n v="5956.799999999999"/>
        <n v="5425.800000000001"/>
        <n v="14046.800000000001"/>
        <n v="8505.799999999996"/>
        <n v="33935.2"/>
        <n v="7224"/>
        <n v="10596.599999999999"/>
        <n v="7896.800000000003"/>
        <n v="7369.5999999999985"/>
        <n v="33087"/>
        <n v="9614.3"/>
        <n v="5203.6"/>
        <n v="7363.199999999999"/>
        <n v="10794"/>
        <n v="32975.1"/>
        <n v="9982.8"/>
        <n v="5494.200000000001"/>
        <n v="6247"/>
        <n v="8862.400000000001"/>
        <n v="30586.4"/>
        <n v="3843.8"/>
        <n v="4568.599999999999"/>
        <n v="4573.800000000001"/>
        <n v="2905.199999999999"/>
        <n v="15891.4"/>
        <n v="4488"/>
        <n v="1839.1999999999998"/>
        <n v="7870.400000000001"/>
        <n v="9622.4"/>
        <n v="23820"/>
        <n v="27337.2"/>
        <n v="15381.2"/>
        <n v="19881.199999999997"/>
        <n v="12203.400000000009"/>
        <n v="74803"/>
        <n v="22561"/>
        <n v="13867.199999999997"/>
        <n v="17902.200000000004"/>
        <n v="14963.799999999996"/>
        <n v="69294.2"/>
        <n v="12554.6"/>
        <n v="4180.999999999998"/>
        <n v="8276.800000000003"/>
        <n v="20722"/>
        <n v="45734.4"/>
        <n v="3580.6"/>
        <n v="4672.6"/>
        <n v="4340.4"/>
        <n v="5363.999999999998"/>
        <n v="17957.6"/>
        <n v="11595.8"/>
        <n v="15704.600000000002"/>
        <n v="27300.4"/>
        <n v="16962.2"/>
        <n v="26370.999999999996"/>
        <n v="43333.2"/>
        <n v="11410"/>
        <n v="3339.6"/>
        <n v="11580.8"/>
        <n v="14920.4"/>
        <n v="8602.6"/>
        <n v="18377.199999999997"/>
        <n v="26979.799999999996"/>
        <n v="4450.8"/>
        <n v="4160.2"/>
        <n v="8611"/>
      </sharedItems>
    </cacheField>
    <cacheField name="投流消耗" numFmtId="0">
      <sharedItems containsSemiMixedTypes="false" containsString="false" containsNumber="true" minValue="3802.27" maxValue="65755.62999999999" count="141">
        <n v="12571.92"/>
        <n v="9939.21"/>
        <n v="14050.099999999999"/>
        <n v="13482.84"/>
        <n v="50044.06999999999"/>
        <n v="14251.75"/>
        <n v="10838.38"/>
        <n v="11169.9"/>
        <n v="11783.84"/>
        <n v="48043.869999999995"/>
        <n v="13393.52"/>
        <n v="14950.51"/>
        <n v="16067.09"/>
        <n v="14816.9"/>
        <n v="59228.02"/>
        <n v="11709.009999999998"/>
        <n v="11657.460000000001"/>
        <n v="14124.52"/>
        <n v="11671.259999999998"/>
        <n v="49162.25"/>
        <n v="8178.95"/>
        <n v="12477.34"/>
        <n v="14805.78"/>
        <n v="13225.410000000002"/>
        <n v="48687.48"/>
        <n v="11651.35"/>
        <n v="11908.4"/>
        <n v="14766.97"/>
        <n v="11777.24"/>
        <n v="50103.96"/>
        <n v="11344.96"/>
        <n v="11365.99"/>
        <n v="13419.390000000001"/>
        <n v="14020.17"/>
        <n v="50150.509999999995"/>
        <n v="11377.48"/>
        <n v="10341.92"/>
        <n v="8487.48"/>
        <n v="10052"/>
        <n v="40258.880000000005"/>
        <n v="13619.3"/>
        <n v="8935.029999999999"/>
        <n v="6399.9400000000005"/>
        <n v="10010.85"/>
        <n v="38965.119999999995"/>
        <n v="10162.63"/>
        <n v="3802.27"/>
        <n v="12559.390000000001"/>
        <n v="8377.17"/>
        <n v="34901.46"/>
        <n v="13359.760000000002"/>
        <n v="9284.63"/>
        <n v="10409.23"/>
        <n v="8120.32"/>
        <n v="41173.939999999995"/>
        <n v="10456.68"/>
        <n v="13575.05"/>
        <n v="10402.38"/>
        <n v="9011.67"/>
        <n v="43445.78"/>
        <n v="8859.88"/>
        <n v="9442.92"/>
        <n v="9717.83"/>
        <n v="9628.63"/>
        <n v="37649.259999999995"/>
        <n v="11194.31"/>
        <n v="9633.67"/>
        <n v="10381.239999999998"/>
        <n v="8357.919999999998"/>
        <n v="39567.14"/>
        <n v="12137.46"/>
        <n v="10625.34"/>
        <n v="12020.15"/>
        <n v="11525.13"/>
        <n v="46308.079999999994"/>
        <n v="9977.96"/>
        <n v="9144.839999999998"/>
        <n v="11699.32"/>
        <n v="7869.1"/>
        <n v="38691.219999999994"/>
        <n v="9107.27"/>
        <n v="10361.580000000002"/>
        <n v="8628.17"/>
        <n v="10684.71"/>
        <n v="38781.73"/>
        <n v="12927.34"/>
        <n v="10227.9"/>
        <n v="7945.4400000000005"/>
        <n v="9623.91"/>
        <n v="40724.59"/>
        <n v="9634.720000000001"/>
        <n v="9569.87"/>
        <n v="11051.43"/>
        <n v="9203.2"/>
        <n v="39459.22"/>
        <n v="9738.130000000001"/>
        <n v="6385.21"/>
        <n v="10004.25"/>
        <n v="3810.2799999999997"/>
        <n v="29937.87"/>
        <n v="8370.52"/>
        <n v="7457.04"/>
        <n v="7845.4"/>
        <n v="9978.16"/>
        <n v="33651.119999999995"/>
        <n v="17285.89"/>
        <n v="18895.86"/>
        <n v="16654.399999999998"/>
        <n v="12919.48"/>
        <n v="65755.62999999999"/>
        <n v="16304.91"/>
        <n v="13463.25"/>
        <n v="13137.73"/>
        <n v="13263.73"/>
        <n v="56169.619999999995"/>
        <n v="10362.02"/>
        <n v="6814.980000000001"/>
        <n v="9626.84"/>
        <n v="13226.94"/>
        <n v="40030.78"/>
        <n v="8248.689999999999"/>
        <n v="5142.860000000001"/>
        <n v="5142.280000000001"/>
        <n v="7572.46"/>
        <n v="26106.29"/>
        <n v="10614.39"/>
        <n v="14678.69"/>
        <n v="25293.08"/>
        <n v="12819.8"/>
        <n v="13487.08"/>
        <n v="26306.879999999997"/>
        <n v="11381.56"/>
        <n v="7415.85"/>
        <n v="10380.9"/>
        <n v="17796.75"/>
        <n v="9002.43"/>
        <n v="13525.18"/>
        <n v="22527.61"/>
        <n v="9054.26"/>
        <n v="7012.26"/>
        <n v="16066.52"/>
      </sharedItems>
    </cacheField>
    <cacheField name="ROI" numFmtId="0">
      <sharedItems containsSemiMixedTypes="false" containsString="false" containsNumber="true" minValue="0.246639417248667" maxValue="1.9839776210767255" count="0"/>
    </cacheField>
    <cacheField name="单均" numFmtId="0">
      <sharedItems containsSemiMixedTypes="false" containsString="false" containsNumber="true" minValue="404.6181818181818" maxValue="1393.575" count="0"/>
    </cacheField>
    <cacheField name="保单成本" numFmtId="0">
      <sharedItems containsSemiMixedTypes="false" containsString="false" containsNumber="true" minValue="397.4182758620689" maxValue="5081.315" count="0"/>
    </cacheField>
    <cacheField name="T0脱退单数量" numFmtId="0">
      <sharedItems containsSemiMixedTypes="false" containsString="false" containsNumber="true" containsInteger="true" minValue="0" maxValue="21" count="0"/>
    </cacheField>
    <cacheField name="T0脱退保费" numFmtId="0">
      <sharedItems containsSemiMixedTypes="false" containsString="false" containsNumber="true" minValue="0" maxValue="12866.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4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18" count="0"/>
    </cacheField>
  </cacheFields>
</pivotCacheDefinition>
</file>

<file path=xl/pivotCache/pivotCacheDefinition10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7" sheet="2025年11月"/>
  </cacheSource>
  <cacheFields count="16">
    <cacheField name="日期" numFmtId="0">
      <sharedItems count="0"/>
    </cacheField>
    <cacheField name="主播" numFmtId="0">
      <sharedItems containsBlank="true" count="7">
        <s v="郝旭靓"/>
        <s v="王硕硕"/>
        <s v="刘杰宇"/>
        <s v="姜可心"/>
        <m/>
        <s v="蒲奕西"/>
        <s v="郭子硕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5">
        <n v="5"/>
        <n v="4"/>
        <n v="18"/>
        <n v="20"/>
        <n v="19"/>
        <n v="3.5"/>
        <n v="18.5"/>
        <n v="4.5"/>
        <n v="19.5"/>
        <n v="3"/>
        <n v="16.5"/>
        <n v="7.5"/>
        <n v="8"/>
        <n v="2"/>
        <n v="6"/>
      </sharedItems>
    </cacheField>
    <cacheField name="总保单数量" numFmtId="0">
      <sharedItems containsSemiMixedTypes="false" containsString="false" containsNumber="true" containsInteger="true" minValue="2" maxValue="171" count="0"/>
    </cacheField>
    <cacheField name="年化保费" numFmtId="0">
      <sharedItems containsSemiMixedTypes="false" containsString="false" containsNumber="true" minValue="1423.8" maxValue="131915.2" count="136">
        <n v="12983.4"/>
        <n v="10321"/>
        <n v="4911.6"/>
        <n v="16174.4"/>
        <n v="44390.4"/>
        <n v="11755"/>
        <n v="14986.2"/>
        <n v="41392"/>
        <n v="51642"/>
        <n v="119775.2"/>
        <n v="15152"/>
        <n v="31465.4"/>
        <n v="29759.6"/>
        <n v="55538.2"/>
        <n v="131915.2"/>
        <n v="12244.6"/>
        <n v="26868.800000000003"/>
        <n v="31478.8"/>
        <n v="37237.4"/>
        <n v="107829.6"/>
        <n v="25653.2"/>
        <n v="29647.4"/>
        <n v="22531.8"/>
        <n v="16694.4"/>
        <n v="94526.80000000002"/>
        <n v="12269.2"/>
        <n v="14384.4"/>
        <n v="37008.6"/>
        <n v="34416.4"/>
        <n v="98078.6"/>
        <n v="15804.6"/>
        <n v="9199.4"/>
        <n v="11945.4"/>
        <n v="3928.4"/>
        <n v="40877.8"/>
        <n v="10441"/>
        <n v="10807.4"/>
        <n v="12510"/>
        <n v="22860.2"/>
        <n v="56618.600000000006"/>
        <n v="15096.2"/>
        <n v="7240.8"/>
        <n v="11160.6"/>
        <n v="31374.8"/>
        <n v="64872.399999999994"/>
        <n v="11026.8"/>
        <n v="13358.4"/>
        <n v="12257.8"/>
        <n v="15401.2"/>
        <n v="52044.2"/>
        <n v="11260.8"/>
        <n v="10792.8"/>
        <n v="15349.2"/>
        <n v="6131.8"/>
        <n v="43534.600000000006"/>
        <n v="13146.2"/>
        <n v="16735.8"/>
        <n v="22044.24"/>
        <n v="28663.68"/>
        <n v="80589.92000000001"/>
        <n v="2738.4"/>
        <n v="26910.8"/>
        <n v="21349"/>
        <n v="7762.200000000006"/>
        <n v="58760.4"/>
        <n v="9289"/>
        <n v="9298"/>
        <n v="2054.4"/>
        <n v="14675.6"/>
        <n v="35317"/>
        <n v="18907.8"/>
        <n v="6695.4"/>
        <n v="11615.6"/>
        <n v="8655.8"/>
        <n v="45874.59999999999"/>
        <n v="11282.4"/>
        <n v="12328.8"/>
        <n v="9909.8"/>
        <n v="14069.8"/>
        <n v="47590.8"/>
        <n v="6628.6"/>
        <n v="12317.4"/>
        <n v="8443"/>
        <n v="9089.4"/>
        <n v="36478.4"/>
        <n v="5776"/>
        <n v="12828"/>
        <n v="18448.2"/>
        <n v="9188.8"/>
        <n v="46241"/>
        <n v="8236.8"/>
        <n v="10668.2"/>
        <n v="13632.4"/>
        <n v="22723.6"/>
        <n v="55261"/>
        <n v="2287.2"/>
        <n v="8293.8"/>
        <n v="9158.4"/>
        <n v="18950.6"/>
        <n v="38690"/>
        <n v="19651"/>
        <n v="27751.6"/>
        <n v="29507.76"/>
        <n v="34623.6"/>
        <n v="111533.95999999999"/>
        <n v="33456"/>
        <n v="23415.8"/>
        <n v="11476.2"/>
        <n v="9208.4"/>
        <n v="77556.4"/>
        <n v="20755"/>
        <n v="7289.000000000001"/>
        <n v="6284.4"/>
        <n v="5016.6"/>
        <n v="39345"/>
        <n v="9064.6"/>
        <n v="13069.6"/>
        <n v="22134.2"/>
        <n v="8450.6"/>
        <n v="6199.4"/>
        <n v="14650"/>
        <n v="10544.4"/>
        <n v="13420.8"/>
        <n v="23965.199999999997"/>
        <n v="6453"/>
        <n v="9327.27"/>
        <n v="15780.27"/>
        <n v="1423.8"/>
        <n v="9357.6"/>
        <n v="10781.4"/>
        <n v="9470.2"/>
        <n v="10655.8"/>
        <n v="20126"/>
        <n v="13646"/>
        <n v="26005.6"/>
        <n v="39651.6"/>
      </sharedItems>
    </cacheField>
    <cacheField name="投流消耗" numFmtId="0">
      <sharedItems containsSemiMixedTypes="false" containsString="false" containsNumber="true" minValue="4576.37" maxValue="109822.97" count="136">
        <n v="15440.64"/>
        <n v="9754.82"/>
        <n v="5415.47"/>
        <n v="9737.56"/>
        <n v="40348.49"/>
        <n v="11562.150000000001"/>
        <n v="12621.55"/>
        <n v="24437.02"/>
        <n v="25686.82"/>
        <n v="74307.54000000001"/>
        <n v="12686.38"/>
        <n v="19860.86"/>
        <n v="23528.27"/>
        <n v="30643.17"/>
        <n v="86718.68"/>
        <n v="17518.260000000002"/>
        <n v="18438.81"/>
        <n v="21679.62"/>
        <n v="22189.49"/>
        <n v="79826.18000000001"/>
        <n v="22813.899999999998"/>
        <n v="27766.59"/>
        <n v="27577.95"/>
        <n v="19589.55"/>
        <n v="97747.99"/>
        <n v="17291.059999999998"/>
        <n v="13172.78"/>
        <n v="28578.55"/>
        <n v="19921.02"/>
        <n v="78963.41"/>
        <n v="13704.650000000001"/>
        <n v="14209.830000000002"/>
        <n v="10631.78"/>
        <n v="7882.67"/>
        <n v="46428.93"/>
        <n v="11238.980000000001"/>
        <n v="8726.42"/>
        <n v="7086.71"/>
        <n v="14797.5"/>
        <n v="41849.61"/>
        <n v="12006.62"/>
        <n v="7990.62"/>
        <n v="8488.72"/>
        <n v="16107.96"/>
        <n v="44593.92"/>
        <n v="8229.710000000001"/>
        <n v="14310.63"/>
        <n v="8951.69"/>
        <n v="11028.44"/>
        <n v="42520.47"/>
        <n v="10897.34"/>
        <n v="7689.33"/>
        <n v="10678.25"/>
        <n v="14498.14"/>
        <n v="43763.06"/>
        <n v="12584.130000000001"/>
        <n v="16757.1"/>
        <n v="15025.31"/>
        <n v="26128.08"/>
        <n v="70494.62"/>
        <n v="8899.63"/>
        <n v="14222.58"/>
        <n v="15515.560000000003"/>
        <n v="10422.759999999998"/>
        <n v="49060.53"/>
        <n v="8197.27"/>
        <n v="12350.12"/>
        <n v="4576.37"/>
        <n v="10458.31"/>
        <n v="35582.07"/>
        <n v="7939.870000000001"/>
        <n v="10625.55"/>
        <n v="8416.55"/>
        <n v="6264.44"/>
        <n v="33246.409999999996"/>
        <n v="10499.58"/>
        <n v="9149.81"/>
        <n v="8960.96"/>
        <n v="11016.95"/>
        <n v="39627.3"/>
        <n v="9645.99"/>
        <n v="10008.73"/>
        <n v="7768.53"/>
        <n v="10679.7"/>
        <n v="38102.95"/>
        <n v="8225.579999999998"/>
        <n v="9681.84"/>
        <n v="12198.1"/>
        <n v="13339.94"/>
        <n v="43445.46"/>
        <n v="6559.720000000001"/>
        <n v="11947.15"/>
        <n v="14413.85"/>
        <n v="15758.53"/>
        <n v="48679.25"/>
        <n v="6460.71"/>
        <n v="9115.41"/>
        <n v="10380.46"/>
        <n v="11015.89"/>
        <n v="36972.47"/>
        <n v="14212.869999999999"/>
        <n v="21086.8"/>
        <n v="27456.68"/>
        <n v="47066.62"/>
        <n v="109822.97"/>
        <n v="24804.78"/>
        <n v="22850.42"/>
        <n v="19488.29"/>
        <n v="11551.63"/>
        <n v="78695.12"/>
        <n v="19489.510000000002"/>
        <n v="9922.27"/>
        <n v="11292.75"/>
        <n v="5863.67"/>
        <n v="46568.2"/>
        <n v="6865.67"/>
        <n v="7482.78"/>
        <n v="14348.45"/>
        <n v="7464.69"/>
        <n v="6018.35"/>
        <n v="13483.04"/>
        <n v="6906.62"/>
        <n v="7807.94"/>
        <n v="14714.56"/>
        <n v="7407.97"/>
        <n v="7684.02"/>
        <n v="15091.990000000002"/>
        <n v="5427.24"/>
        <n v="8715.35"/>
        <n v="14142.59"/>
        <n v="6259.09"/>
        <n v="5318.18"/>
        <n v="11577.27"/>
        <n v="6002.16"/>
        <n v="6775.33"/>
        <n v="12777.49"/>
      </sharedItems>
    </cacheField>
    <cacheField name="ROI" numFmtId="0">
      <sharedItems containsSemiMixedTypes="false" containsString="false" containsNumber="true" minValue="0.2623432905123046" maxValue="3.838277987935643" count="0"/>
    </cacheField>
    <cacheField name="单均" numFmtId="0">
      <sharedItems containsSemiMixedTypes="false" containsString="false" containsNumber="true" minValue="342.40000000000003" maxValue="1364.6" count="0"/>
    </cacheField>
    <cacheField name="保单成本" numFmtId="0">
      <sharedItems containsSemiMixedTypes="false" containsString="false" containsNumber="true" minValue="260.5896153846154" maxValue="3230.355" count="0"/>
    </cacheField>
    <cacheField name="T0脱退单数量" numFmtId="0">
      <sharedItems containsSemiMixedTypes="false" containsString="false" containsNumber="true" containsInteger="true" minValue="0" maxValue="30" count="0"/>
    </cacheField>
    <cacheField name="T0脱退保费" numFmtId="0">
      <sharedItems containsSemiMixedTypes="false" containsString="false" containsNumber="true" minValue="0" maxValue="21264.199999999997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1" maxValue="20" count="0"/>
    </cacheField>
    <cacheField name="投手" numFmtId="0">
      <sharedItems containsString="false" containsBlank="true" count="0"/>
    </cacheField>
    <cacheField name="时长" numFmtId="0">
      <sharedItems containsString="false" containsBlank="true" count="0"/>
    </cacheField>
  </cacheFields>
</pivotCacheDefinition>
</file>

<file path=xl/pivotCache/pivotCacheDefinition1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41" sheet="Sheet17"/>
  </cacheSource>
  <cacheFields count="12">
    <cacheField name="日期" numFmtId="0">
      <sharedItems count="0"/>
    </cacheField>
    <cacheField name="主播" numFmtId="0">
      <sharedItems count="6">
        <s v="李娜"/>
        <s v="陈旭"/>
        <s v="王硕硕"/>
        <s v="刘杰宇"/>
        <s v="井欣阅"/>
        <s v="总计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20" count="8">
        <n v="2.5"/>
        <n v="2.75"/>
        <n v="1"/>
        <n v="3"/>
        <n v="12"/>
        <n v="4"/>
        <n v="20"/>
        <n v="5"/>
      </sharedItems>
    </cacheField>
    <cacheField name="总保单数量" numFmtId="0">
      <sharedItems containsSemiMixedTypes="false" containsString="false" containsNumber="true" containsInteger="true" minValue="4" maxValue="63" count="22">
        <n v="8"/>
        <n v="5"/>
        <n v="4"/>
        <n v="9"/>
        <n v="12"/>
        <n v="38"/>
        <n v="16"/>
        <n v="15"/>
        <n v="11"/>
        <n v="62"/>
        <n v="10"/>
        <n v="6"/>
        <n v="13"/>
        <n v="17"/>
        <n v="14"/>
        <n v="60"/>
        <n v="34"/>
        <n v="7"/>
        <n v="18"/>
        <n v="58"/>
        <n v="63"/>
        <n v="40"/>
      </sharedItems>
    </cacheField>
    <cacheField name="年化保费" numFmtId="0">
      <sharedItems containsSemiMixedTypes="false" containsString="false" containsNumber="true" minValue="4534.400000000001" maxValue="65110" count="40">
        <n v="6646.8"/>
        <n v="4584"/>
        <n v="4534.400000000001"/>
        <n v="5913.5999999999985"/>
        <n v="10940"/>
        <n v="32618.8"/>
        <n v="8064"/>
        <n v="15481"/>
        <n v="8047.200000000002"/>
        <n v="6724.799999999999"/>
        <n v="8484"/>
        <n v="46801"/>
        <n v="17925.6"/>
        <n v="6488.4"/>
        <n v="14785.199999999997"/>
        <n v="15257.200000000004"/>
        <n v="10653.599999999999"/>
        <n v="65110"/>
        <n v="9504"/>
        <n v="8247.599999999999"/>
        <n v="5350.800000000003"/>
        <n v="9183"/>
        <n v="32285.4"/>
        <n v="8593"/>
        <n v="6960.8"/>
        <n v="19593.4"/>
        <n v="8279.799999999996"/>
        <n v="20482.6"/>
        <n v="63909.59999999999"/>
        <n v="15172.399999999998"/>
        <n v="13225.199999999999"/>
        <n v="14123.800000000003"/>
        <n v="5749.200000000004"/>
        <n v="15213.599999999991"/>
        <n v="63484.2"/>
        <n v="9321.2"/>
        <n v="12526.599999999999"/>
        <n v="5722.4000000000015"/>
        <n v="19644.399999999998"/>
        <n v="47214.6"/>
      </sharedItems>
    </cacheField>
    <cacheField name="投流消耗" numFmtId="0">
      <sharedItems containsSemiMixedTypes="false" containsString="false" containsNumber="true" minValue="4699.67" maxValue="67687.08" count="40">
        <n v="13624.880000000001"/>
        <n v="8805.43"/>
        <n v="5486.44"/>
        <n v="9779.08"/>
        <n v="7895.41"/>
        <n v="45591.240000000005"/>
        <n v="11482.749999999998"/>
        <n v="15030.669999999998"/>
        <n v="15366.98"/>
        <n v="13934.05"/>
        <n v="8730.210000000001"/>
        <n v="64544.659999999996"/>
        <n v="11504.720000000001"/>
        <n v="11443.2"/>
        <n v="10114.02"/>
        <n v="10575.38"/>
        <n v="15838.51"/>
        <n v="59475.83"/>
        <n v="16297.199999999999"/>
        <n v="11740.54"/>
        <n v="7610.78"/>
        <n v="7101.44"/>
        <n v="42749.96"/>
        <n v="5861.820000000001"/>
        <n v="9782.410000000002"/>
        <n v="12531.670000000002"/>
        <n v="10919.37"/>
        <n v="10275.67"/>
        <n v="49370.94"/>
        <n v="11733.01"/>
        <n v="13346.02"/>
        <n v="15876.57"/>
        <n v="14648.52"/>
        <n v="12082.960000000001"/>
        <n v="67687.08"/>
        <n v="10034.380000000001"/>
        <n v="9290.819999999998"/>
        <n v="4699.67"/>
        <n v="15441.099999999999"/>
        <n v="39465.969999999994"/>
      </sharedItems>
    </cacheField>
    <cacheField name="ROI" numFmtId="0">
      <sharedItems containsSemiMixedTypes="false" containsString="false" containsNumber="true" minValue="0.39247650957229835" maxValue="1.9933104118758191" count="0"/>
    </cacheField>
    <cacheField name="单均" numFmtId="0">
      <sharedItems containsSemiMixedTypes="false" containsString="false" containsNumber="true" minValue="504" maxValue="1792.56" count="0"/>
    </cacheField>
    <cacheField name="保单成本" numFmtId="0">
      <sharedItems containsSemiMixedTypes="false" containsString="false" containsNumber="true" minValue="622.0811764705882" maxValue="1907.2" count="0"/>
    </cacheField>
    <cacheField name="T0脱退单数量" numFmtId="0">
      <sharedItems containsSemiMixedTypes="false" containsString="false" containsNumber="true" containsInteger="true" minValue="0" maxValue="16" count="15">
        <n v="4"/>
        <n v="2"/>
        <n v="0"/>
        <n v="8"/>
        <n v="7"/>
        <n v="3"/>
        <n v="16"/>
        <n v="1"/>
        <n v="11"/>
        <n v="9"/>
        <n v="5"/>
        <n v="15"/>
        <n v="6"/>
        <n v="13"/>
        <n v="10"/>
      </sharedItems>
    </cacheField>
    <cacheField name="T0脱退保费" numFmtId="0">
      <sharedItems containsSemiMixedTypes="false" containsString="false" containsNumber="true" minValue="0" maxValue="14397.4" count="37">
        <n v="2002.8000000000002"/>
        <n v="792"/>
        <n v="0"/>
        <n v="2250"/>
        <n v="5044.8"/>
        <n v="4054.7999999999993"/>
        <n v="1731.6"/>
        <n v="810"/>
        <n v="1483.2000000000007"/>
        <n v="8079.6"/>
        <n v="2467.2"/>
        <n v="1136.4"/>
        <n v="2730"/>
        <n v="2778"/>
        <n v="11578.8"/>
        <n v="4658.4"/>
        <n v="3036"/>
        <n v="2143.2000000000007"/>
        <n v="1200"/>
        <n v="11037.6"/>
        <n v="3327.4"/>
        <n v="1973"/>
        <n v="4534.6"/>
        <n v="420"/>
        <n v="4142.4"/>
        <n v="14397.4"/>
        <n v="2971.2"/>
        <n v="4000.8000000000006"/>
        <n v="1888.7999999999995"/>
        <n v="560.4000000000015"/>
        <n v="4538.399999999998"/>
        <n v="13959.599999999999"/>
        <n v="3354"/>
        <n v="2574"/>
        <n v="2370"/>
        <n v="1867.2000000000007"/>
        <n v="10165.2"/>
      </sharedItems>
    </cacheField>
  </cacheFields>
</pivotCacheDefinition>
</file>

<file path=xl/pivotCache/pivotCacheDefinition1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60" sheet="2026年10月"/>
  </cacheSource>
  <cacheFields count="15">
    <cacheField name="日期" numFmtId="0">
      <sharedItems count="0"/>
    </cacheField>
    <cacheField name="主播" numFmtId="0">
      <sharedItems count="6">
        <s v="李娜"/>
        <s v="陈旭"/>
        <s v="王硕硕"/>
        <s v="刘杰宇"/>
        <s v="井欣阅"/>
        <s v="总计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20" count="5">
        <n v="4"/>
        <n v="20"/>
        <n v="5"/>
        <n v="16"/>
        <n v="15"/>
      </sharedItems>
    </cacheField>
    <cacheField name="总保单数量" numFmtId="0">
      <sharedItems containsSemiMixedTypes="false" containsString="false" containsNumber="true" containsInteger="true" minValue="1" maxValue="63" count="27">
        <n v="16"/>
        <n v="15"/>
        <n v="11"/>
        <n v="9"/>
        <n v="62"/>
        <n v="10"/>
        <n v="6"/>
        <n v="13"/>
        <n v="17"/>
        <n v="14"/>
        <n v="60"/>
        <n v="5"/>
        <n v="34"/>
        <n v="7"/>
        <n v="18"/>
        <n v="58"/>
        <n v="63"/>
        <n v="8"/>
        <n v="40"/>
        <n v="3"/>
        <n v="1"/>
        <n v="21"/>
        <n v="35"/>
        <n v="49"/>
        <n v="36"/>
        <n v="2"/>
        <n v="32"/>
      </sharedItems>
    </cacheField>
    <cacheField name="年化保费" numFmtId="0">
      <sharedItems containsSemiMixedTypes="false" containsString="false" containsNumber="true" minValue="396" maxValue="65110" count="59">
        <n v="8064"/>
        <n v="15481"/>
        <n v="8047.200000000002"/>
        <n v="6724.799999999999"/>
        <n v="8484"/>
        <n v="46801"/>
        <n v="17925.6"/>
        <n v="6488.4"/>
        <n v="14785.199999999997"/>
        <n v="15257.200000000004"/>
        <n v="10653.599999999999"/>
        <n v="65110"/>
        <n v="9504"/>
        <n v="8247.599999999999"/>
        <n v="5350.800000000003"/>
        <n v="9183"/>
        <n v="32285.4"/>
        <n v="8593"/>
        <n v="6960.8"/>
        <n v="19593.4"/>
        <n v="8279.799999999996"/>
        <n v="20482.6"/>
        <n v="63909.59999999999"/>
        <n v="15172.399999999998"/>
        <n v="13225.199999999999"/>
        <n v="14123.800000000003"/>
        <n v="5749.200000000004"/>
        <n v="15213.599999999991"/>
        <n v="63484.2"/>
        <n v="9321.2"/>
        <n v="12526.599999999999"/>
        <n v="5722.4000000000015"/>
        <n v="19644.399999999998"/>
        <n v="47214.6"/>
        <n v="7853.4"/>
        <n v="5778"/>
        <n v="2241.6000000000004"/>
        <n v="396"/>
        <n v="16269"/>
        <n v="2745.2"/>
        <n v="5587.000000000001"/>
        <n v="14295.2"/>
        <n v="7569.5999999999985"/>
        <n v="3475.199999999997"/>
        <n v="33672.2"/>
        <n v="22773.8"/>
        <n v="11091.600000000004"/>
        <n v="16387.199999999997"/>
        <n v="4492.599999999991"/>
        <n v="54745.19999999999"/>
        <n v="2160"/>
        <n v="10467.400000000001"/>
        <n v="9189.6"/>
        <n v="21817"/>
        <n v="4198.8"/>
        <n v="7231.2"/>
        <n v="1252.8000000000002"/>
        <n v="11999.4"/>
        <n v="24682.199999999997"/>
      </sharedItems>
    </cacheField>
    <cacheField name="投流消耗" numFmtId="0">
      <sharedItems containsSemiMixedTypes="false" containsString="false" containsNumber="true" minValue="3202.11" maxValue="67742.70999999999" count="59">
        <n v="11482.749999999998"/>
        <n v="15030.669999999998"/>
        <n v="15366.98"/>
        <n v="13934.05"/>
        <n v="8745.64"/>
        <n v="64560.09"/>
        <n v="11504.720000000001"/>
        <n v="11443.2"/>
        <n v="10114.02"/>
        <n v="10575.38"/>
        <n v="15838.51"/>
        <n v="59475.83"/>
        <n v="16297.199999999999"/>
        <n v="11740.54"/>
        <n v="7610.78"/>
        <n v="7101.44"/>
        <n v="42749.96"/>
        <n v="5861.820000000001"/>
        <n v="9782.410000000002"/>
        <n v="12531.670000000002"/>
        <n v="10919.37"/>
        <n v="10275.67"/>
        <n v="49370.94"/>
        <n v="11733.01"/>
        <n v="13346.02"/>
        <n v="15876.57"/>
        <n v="14648.52"/>
        <n v="12138.59"/>
        <n v="67742.70999999999"/>
        <n v="10034.380000000001"/>
        <n v="9290.819999999998"/>
        <n v="4699.67"/>
        <n v="15568.98"/>
        <n v="39593.84999999999"/>
        <n v="8867.05"/>
        <n v="11738.5"/>
        <n v="8862.3"/>
        <n v="3202.11"/>
        <n v="32669.96"/>
        <n v="6107.900000000001"/>
        <n v="5860.41"/>
        <n v="12750.169999999998"/>
        <n v="4820.64"/>
        <n v="5551.25"/>
        <n v="35090.369999999995"/>
        <n v="15608.71"/>
        <n v="14327.43"/>
        <n v="15804.869999999999"/>
        <n v="11139.949999999999"/>
        <n v="56880.95999999999"/>
        <n v="6994.14"/>
        <n v="13873.190000000002"/>
        <n v="15824.859999999999"/>
        <n v="36692.19"/>
        <n v="12271.529999999999"/>
        <n v="9446.43"/>
        <n v="4738.21"/>
        <n v="9595.92"/>
        <n v="36052.09"/>
      </sharedItems>
    </cacheField>
    <cacheField name="ROI" numFmtId="0">
      <sharedItems containsSemiMixedTypes="false" containsString="false" containsNumber="true" minValue="0.12366845611175131" maxValue="1.9933104118758191" count="0"/>
    </cacheField>
    <cacheField name="单均" numFmtId="0">
      <sharedItems containsSemiMixedTypes="false" containsString="false" containsNumber="true" minValue="360" maxValue="1792.56" count="0"/>
    </cacheField>
    <cacheField name="保单成本" numFmtId="0">
      <sharedItems containsSemiMixedTypes="false" containsString="false" containsNumber="true" minValue="622.0811764705882" maxValue="3202.11" count="0"/>
    </cacheField>
    <cacheField name="T0脱退单数量" numFmtId="0">
      <sharedItems containsSemiMixedTypes="false" containsString="false" containsNumber="true" containsInteger="true" minValue="0" maxValue="16" count="0"/>
    </cacheField>
    <cacheField name="T0脱退保费" numFmtId="0">
      <sharedItems containsSemiMixedTypes="false" containsString="false" containsNumber="true" minValue="0" maxValue="14397.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0" count="0"/>
    </cacheField>
    <cacheField name="投手" numFmtId="0">
      <sharedItems containsBlank="true" count="0"/>
    </cacheField>
  </cacheFields>
</pivotCacheDefinition>
</file>

<file path=xl/pivotCache/pivotCacheDefinition1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D$13:$S$28" sheet="数据透视表"/>
  </cacheSource>
  <cacheFields count="16">
    <cacheField name="日期" numFmtId="0">
      <sharedItems count="15">
        <s v="2026.10.1"/>
        <s v="2026.10.2"/>
        <s v="2026.10.3"/>
        <s v="2026.10.4"/>
        <s v="2026.10.5"/>
        <s v="2026.10.6"/>
        <s v="2026.10.7"/>
        <s v="2026.10.8"/>
        <s v="2026.10.9"/>
        <s v="2026.10.10"/>
        <s v="2026.10.11"/>
        <s v="2026.10.12"/>
        <s v="2026.10.13"/>
        <s v="2026.10.14"/>
        <s v="2026.10.15"/>
      </sharedItems>
    </cacheField>
    <cacheField name="主播" numFmtId="0">
      <sharedItems count="0"/>
    </cacheField>
    <cacheField name="直播时段" numFmtId="0">
      <sharedItems containsString="false" containsBlank="true" count="0"/>
    </cacheField>
    <cacheField name="直播时长" numFmtId="0">
      <sharedItems containsSemiMixedTypes="false" containsString="false" containsNumber="true" containsInteger="true" minValue="15" maxValue="20" count="3">
        <n v="20"/>
        <n v="16"/>
        <n v="15"/>
      </sharedItems>
    </cacheField>
    <cacheField name="总保单数量" numFmtId="0">
      <sharedItems containsSemiMixedTypes="false" containsString="false" containsNumber="true" containsInteger="true" minValue="21" maxValue="63" count="0"/>
    </cacheField>
    <cacheField name="年化保费" numFmtId="0">
      <sharedItems containsSemiMixedTypes="false" containsString="false" containsNumber="true" minValue="16269" maxValue="65110" count="15">
        <n v="46801"/>
        <n v="65110"/>
        <n v="32285.4"/>
        <n v="63909.59999999999"/>
        <n v="63484.2"/>
        <n v="47214.6"/>
        <n v="16269"/>
        <n v="33672.2"/>
        <n v="54745.19999999999"/>
        <n v="21817"/>
        <n v="24682.199999999997"/>
        <n v="48877.2"/>
        <n v="22193.6"/>
        <n v="45004.159999999996"/>
        <n v="30679.4"/>
      </sharedItems>
    </cacheField>
    <cacheField name="投流消耗" numFmtId="0">
      <sharedItems containsSemiMixedTypes="false" containsString="false" containsNumber="true" minValue="32669.96" maxValue="67742.70999999999" count="15">
        <n v="64560.09"/>
        <n v="59475.83"/>
        <n v="42749.96"/>
        <n v="49370.94"/>
        <n v="67742.70999999999"/>
        <n v="39593.84999999999"/>
        <n v="32669.96"/>
        <n v="35090.369999999995"/>
        <n v="56880.95999999999"/>
        <n v="36692.19"/>
        <n v="36052.09"/>
        <n v="53268.91"/>
        <n v="35452.61"/>
        <n v="52597.3"/>
        <n v="46220.119999999995"/>
      </sharedItems>
    </cacheField>
    <cacheField name="ROI" numFmtId="0">
      <sharedItems containsSemiMixedTypes="false" containsString="false" containsNumber="true" minValue="0.4979804076895105" maxValue="1.2944780877171873" count="0"/>
    </cacheField>
    <cacheField name="单均" numFmtId="0">
      <sharedItems containsSemiMixedTypes="false" containsString="false" containsNumber="true" minValue="606.0277777777778" maxValue="1192.1268292682926" count="0"/>
    </cacheField>
    <cacheField name="保单成本" numFmtId="0">
      <sharedItems containsSemiMixedTypes="false" containsString="false" containsNumber="true" minValue="851.2231034482759" maxValue="1555.712380952381" count="0"/>
    </cacheField>
    <cacheField name="T0脱退单数量" numFmtId="0">
      <sharedItems containsSemiMixedTypes="false" containsString="false" containsNumber="true" containsInteger="true" minValue="2" maxValue="16" count="0"/>
    </cacheField>
    <cacheField name="T0脱退保费" numFmtId="0">
      <sharedItems containsSemiMixedTypes="false" containsString="false" containsNumber="true" minValue="3812" maxValue="14397.4" count="0"/>
    </cacheField>
    <cacheField name="助播" numFmtId="0">
      <sharedItems containsString="false" containsBlank="true" count="0"/>
    </cacheField>
    <cacheField name="助播时长" numFmtId="0">
      <sharedItems containsSemiMixedTypes="false" containsString="false" containsNumber="true" containsInteger="true" minValue="15" maxValue="20" count="0"/>
    </cacheField>
    <cacheField name="投手" numFmtId="0">
      <sharedItems containsString="false" containsBlank="true" count="0"/>
    </cacheField>
    <cacheField name="时长" numFmtId="0">
      <sharedItems containsSemiMixedTypes="false" containsString="false" containsNumber="true" containsInteger="true" minValue="15" maxValue="20" count="0"/>
    </cacheField>
  </cacheFields>
</pivotCacheDefinition>
</file>

<file path=xl/pivotCache/pivotCacheDefinition1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J$51" sheet="Sheet19"/>
  </cacheSource>
  <cacheFields count="10">
    <cacheField name="日期" numFmtId="0">
      <sharedItems count="0"/>
    </cacheField>
    <cacheField name="主播" numFmtId="0">
      <sharedItems count="6">
        <s v="李娜"/>
        <s v="陈旭"/>
        <s v="王硕硕"/>
        <s v="刘杰宇"/>
        <s v="井欣阅"/>
        <s v="总计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20" count="4">
        <n v="4"/>
        <n v="20"/>
        <n v="5"/>
        <n v="16"/>
      </sharedItems>
    </cacheField>
    <cacheField name="总保单数量" numFmtId="0">
      <sharedItems containsSemiMixedTypes="false" containsString="false" containsNumber="true" containsInteger="true" minValue="1" maxValue="63" count="24">
        <n v="16"/>
        <n v="15"/>
        <n v="11"/>
        <n v="9"/>
        <n v="62"/>
        <n v="10"/>
        <n v="6"/>
        <n v="13"/>
        <n v="17"/>
        <n v="14"/>
        <n v="60"/>
        <n v="5"/>
        <n v="34"/>
        <n v="7"/>
        <n v="18"/>
        <n v="58"/>
        <n v="63"/>
        <n v="8"/>
        <n v="40"/>
        <n v="3"/>
        <n v="1"/>
        <n v="21"/>
        <n v="35"/>
        <n v="49"/>
      </sharedItems>
    </cacheField>
    <cacheField name="年化保费" numFmtId="0">
      <sharedItems containsSemiMixedTypes="false" containsString="false" containsNumber="true" minValue="396" maxValue="65110" count="50">
        <n v="8064"/>
        <n v="15481"/>
        <n v="8047.200000000002"/>
        <n v="6724.799999999999"/>
        <n v="8484"/>
        <n v="46801"/>
        <n v="17925.6"/>
        <n v="6488.4"/>
        <n v="14785.199999999997"/>
        <n v="15257.200000000004"/>
        <n v="10653.599999999999"/>
        <n v="65110"/>
        <n v="9504"/>
        <n v="8247.599999999999"/>
        <n v="5350.800000000003"/>
        <n v="9183"/>
        <n v="32285.4"/>
        <n v="8593"/>
        <n v="6960.8"/>
        <n v="19593.4"/>
        <n v="8279.799999999996"/>
        <n v="20482.6"/>
        <n v="63909.59999999999"/>
        <n v="15172.399999999998"/>
        <n v="13225.199999999999"/>
        <n v="14123.800000000003"/>
        <n v="5749.200000000004"/>
        <n v="15213.599999999991"/>
        <n v="63484.2"/>
        <n v="9321.2"/>
        <n v="12526.599999999999"/>
        <n v="5722.4000000000015"/>
        <n v="19644.399999999998"/>
        <n v="47214.6"/>
        <n v="7853.4"/>
        <n v="5778"/>
        <n v="2241.6000000000004"/>
        <n v="396"/>
        <n v="16269"/>
        <n v="2745.2"/>
        <n v="5587.000000000001"/>
        <n v="14295.2"/>
        <n v="7569.5999999999985"/>
        <n v="3475.199999999997"/>
        <n v="33672.2"/>
        <n v="22773.8"/>
        <n v="11091.600000000004"/>
        <n v="16387.199999999997"/>
        <n v="4492.599999999991"/>
        <n v="54745.19999999999"/>
      </sharedItems>
    </cacheField>
    <cacheField name="投流消耗" numFmtId="0">
      <sharedItems containsSemiMixedTypes="false" containsString="false" containsNumber="true" minValue="3148.75" maxValue="67742.70999999999" count="50">
        <n v="11482.749999999998"/>
        <n v="15030.669999999998"/>
        <n v="15366.98"/>
        <n v="13934.05"/>
        <n v="8730.210000000001"/>
        <n v="64544.659999999996"/>
        <n v="11504.720000000001"/>
        <n v="11443.2"/>
        <n v="10114.02"/>
        <n v="10575.38"/>
        <n v="15838.51"/>
        <n v="59475.83"/>
        <n v="16297.199999999999"/>
        <n v="11740.54"/>
        <n v="7610.78"/>
        <n v="7101.44"/>
        <n v="42749.96"/>
        <n v="5861.820000000001"/>
        <n v="9782.410000000002"/>
        <n v="12531.670000000002"/>
        <n v="10919.37"/>
        <n v="10275.67"/>
        <n v="49370.94"/>
        <n v="11733.01"/>
        <n v="13346.02"/>
        <n v="15876.57"/>
        <n v="14648.52"/>
        <n v="12138.59"/>
        <n v="67742.70999999999"/>
        <n v="10034.380000000001"/>
        <n v="9290.819999999998"/>
        <n v="4699.67"/>
        <n v="15568.98"/>
        <n v="39593.84999999999"/>
        <n v="8867.05"/>
        <n v="11738.5"/>
        <n v="8862.3"/>
        <n v="3148.75"/>
        <n v="32616.6"/>
        <n v="6107.900000000001"/>
        <n v="5860.41"/>
        <n v="12750.169999999998"/>
        <n v="4820.64"/>
        <n v="5551.25"/>
        <n v="35090.369999999995"/>
        <n v="15608.71"/>
        <n v="14327.43"/>
        <n v="15480.08"/>
        <n v="11001.05"/>
        <n v="56417.270000000004"/>
      </sharedItems>
    </cacheField>
    <cacheField name="ROI" numFmtId="0">
      <sharedItems containsSemiMixedTypes="false" containsString="false" containsNumber="true" minValue="0.125764192139738" maxValue="1.9933104118758191" count="0"/>
    </cacheField>
    <cacheField name="单均" numFmtId="0">
      <sharedItems containsSemiMixedTypes="false" containsString="false" containsNumber="true" minValue="396" maxValue="1792.56" count="0"/>
    </cacheField>
    <cacheField name="保单成本" numFmtId="0">
      <sharedItems containsSemiMixedTypes="false" containsString="false" containsNumber="true" minValue="622.0811764705882" maxValue="3148.75" count="0"/>
    </cacheField>
  </cacheFields>
</pivotCacheDefinition>
</file>

<file path=xl/pivotCache/pivotCacheDefinition1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83" sheet="Sheet20"/>
  </cacheSource>
  <cacheFields count="12">
    <cacheField name="日期" numFmtId="0">
      <sharedItems count="0"/>
    </cacheField>
    <cacheField name="主播" numFmtId="0">
      <sharedItems count="6">
        <s v="李娜"/>
        <s v="陈旭"/>
        <s v="王硕硕"/>
        <s v="刘杰宇"/>
        <s v="井欣阅"/>
        <s v="总计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20" count="5">
        <n v="4"/>
        <n v="20"/>
        <n v="5"/>
        <n v="16"/>
        <n v="15"/>
      </sharedItems>
    </cacheField>
    <cacheField name="总保单数量" numFmtId="0">
      <sharedItems containsSemiMixedTypes="false" containsString="false" containsNumber="true" containsInteger="true" minValue="0" maxValue="63" count="32">
        <n v="16"/>
        <n v="15"/>
        <n v="11"/>
        <n v="9"/>
        <n v="62"/>
        <n v="10"/>
        <n v="6"/>
        <n v="13"/>
        <n v="17"/>
        <n v="14"/>
        <n v="60"/>
        <n v="5"/>
        <n v="34"/>
        <n v="7"/>
        <n v="18"/>
        <n v="58"/>
        <n v="63"/>
        <n v="8"/>
        <n v="40"/>
        <n v="3"/>
        <n v="1"/>
        <n v="21"/>
        <n v="35"/>
        <n v="49"/>
        <n v="36"/>
        <n v="2"/>
        <n v="32"/>
        <n v="41"/>
        <n v="4"/>
        <n v="0"/>
        <n v="12"/>
        <n v="29"/>
      </sharedItems>
    </cacheField>
    <cacheField name="年化保费" numFmtId="0">
      <sharedItems containsSemiMixedTypes="false" containsString="false" containsNumber="true" minValue="0" maxValue="65110" count="82">
        <n v="8064"/>
        <n v="15481"/>
        <n v="8047.200000000002"/>
        <n v="6724.799999999999"/>
        <n v="8484"/>
        <n v="46801"/>
        <n v="17925.6"/>
        <n v="6488.4"/>
        <n v="14785.199999999997"/>
        <n v="15257.200000000004"/>
        <n v="10653.599999999999"/>
        <n v="65110"/>
        <n v="9504"/>
        <n v="8247.599999999999"/>
        <n v="5350.800000000003"/>
        <n v="9183"/>
        <n v="32285.4"/>
        <n v="8593"/>
        <n v="6960.8"/>
        <n v="19593.4"/>
        <n v="8279.799999999996"/>
        <n v="20482.6"/>
        <n v="63909.59999999999"/>
        <n v="15172.399999999998"/>
        <n v="13225.199999999999"/>
        <n v="14123.800000000003"/>
        <n v="5749.200000000004"/>
        <n v="15213.599999999991"/>
        <n v="63484.2"/>
        <n v="9321.2"/>
        <n v="12526.599999999999"/>
        <n v="5722.4000000000015"/>
        <n v="19644.399999999998"/>
        <n v="47214.6"/>
        <n v="7853.4"/>
        <n v="5778"/>
        <n v="2241.6000000000004"/>
        <n v="396"/>
        <n v="16269"/>
        <n v="2745.2"/>
        <n v="5587.000000000001"/>
        <n v="14295.2"/>
        <n v="7569.5999999999985"/>
        <n v="3475.199999999997"/>
        <n v="33672.2"/>
        <n v="22773.8"/>
        <n v="11091.600000000004"/>
        <n v="16387.199999999997"/>
        <n v="4492.599999999991"/>
        <n v="54745.19999999999"/>
        <n v="2160"/>
        <n v="10467.400000000001"/>
        <n v="9189.6"/>
        <n v="21817"/>
        <n v="4198.8"/>
        <n v="7231.2"/>
        <n v="1252.8000000000002"/>
        <n v="11999.4"/>
        <n v="24682.199999999997"/>
        <n v="20189.4"/>
        <n v="8282.399999999998"/>
        <n v="8428.4"/>
        <n v="11977"/>
        <n v="48877.2"/>
        <n v="5102.4"/>
        <n v="6256.6"/>
        <n v="0"/>
        <n v="4828.8"/>
        <n v="6005.8"/>
        <n v="22193.6"/>
        <n v="415.2"/>
        <n v="5972.2"/>
        <n v="7425.4"/>
        <n v="17743.2"/>
        <n v="13448.159999999998"/>
        <n v="45004.159999999996"/>
        <n v="9580.8"/>
        <n v="3415.2000000000007"/>
        <n v="442.80000000000035"/>
        <n v="5812.8"/>
        <n v="11427.8"/>
        <n v="30679.4"/>
      </sharedItems>
    </cacheField>
    <cacheField name="投流消耗" numFmtId="0">
      <sharedItems containsSemiMixedTypes="false" containsString="false" containsNumber="true" minValue="3202.11" maxValue="67742.70999999999" count="82">
        <n v="11482.749999999998"/>
        <n v="15030.669999999998"/>
        <n v="15366.98"/>
        <n v="13934.05"/>
        <n v="8745.64"/>
        <n v="64560.09"/>
        <n v="11504.720000000001"/>
        <n v="11443.2"/>
        <n v="10114.02"/>
        <n v="10575.38"/>
        <n v="15838.51"/>
        <n v="59475.83"/>
        <n v="16297.199999999999"/>
        <n v="11740.54"/>
        <n v="7610.78"/>
        <n v="7101.44"/>
        <n v="42749.96"/>
        <n v="5861.820000000001"/>
        <n v="9782.410000000002"/>
        <n v="12531.670000000002"/>
        <n v="10919.37"/>
        <n v="10275.67"/>
        <n v="49370.94"/>
        <n v="11733.01"/>
        <n v="13346.02"/>
        <n v="15876.57"/>
        <n v="14648.52"/>
        <n v="12138.59"/>
        <n v="67742.70999999999"/>
        <n v="10034.380000000001"/>
        <n v="9290.819999999998"/>
        <n v="4699.67"/>
        <n v="15568.98"/>
        <n v="39593.84999999999"/>
        <n v="8867.05"/>
        <n v="11738.5"/>
        <n v="8862.3"/>
        <n v="3202.11"/>
        <n v="32669.96"/>
        <n v="6107.900000000001"/>
        <n v="5860.41"/>
        <n v="12750.169999999998"/>
        <n v="4820.64"/>
        <n v="5551.25"/>
        <n v="35090.369999999995"/>
        <n v="15608.71"/>
        <n v="14327.43"/>
        <n v="15804.869999999999"/>
        <n v="11139.949999999999"/>
        <n v="56880.95999999999"/>
        <n v="6994.14"/>
        <n v="13873.190000000002"/>
        <n v="15824.859999999999"/>
        <n v="36692.19"/>
        <n v="12271.529999999999"/>
        <n v="9446.43"/>
        <n v="4738.21"/>
        <n v="9595.92"/>
        <n v="36052.09"/>
        <n v="18669.11"/>
        <n v="10248.480000000001"/>
        <n v="11018.62"/>
        <n v="13332.699999999999"/>
        <n v="53268.91"/>
        <n v="5531.12"/>
        <n v="7077.74"/>
        <n v="3516.28"/>
        <n v="7520.69"/>
        <n v="11806.78"/>
        <n v="35452.61"/>
        <n v="4435.1"/>
        <n v="3214.4799999999996"/>
        <n v="13011.859999999999"/>
        <n v="13925.02"/>
        <n v="18010.84"/>
        <n v="52597.3"/>
        <n v="11485.28"/>
        <n v="7494.25"/>
        <n v="5339.05"/>
        <n v="10364.12"/>
        <n v="11537.42"/>
        <n v="46220.119999999995"/>
      </sharedItems>
    </cacheField>
    <cacheField name="ROI" numFmtId="0">
      <sharedItems containsSemiMixedTypes="false" containsString="false" containsNumber="true" minValue="0" maxValue="1.9933104118758191" count="0"/>
    </cacheField>
    <cacheField name="单均" numFmtId="0">
      <sharedItems containsMixedTypes="true" containsNumber="true" minValue="221.40000000000018" maxValue="1792.56" count="0"/>
    </cacheField>
    <cacheField name="保单成本" numFmtId="0">
      <sharedItems containsMixedTypes="true" containsNumber="true" minValue="622.0811764705882" maxValue="4435.1" count="0"/>
    </cacheField>
    <cacheField name="T0脱退单数量" numFmtId="0">
      <sharedItems containsSemiMixedTypes="false" containsString="false" containsNumber="true" containsInteger="true" minValue="0" maxValue="16" count="0"/>
    </cacheField>
    <cacheField name="T0脱退保费" numFmtId="0">
      <sharedItems containsSemiMixedTypes="false" containsString="false" containsNumber="true" minValue="0" maxValue="14397.4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_rels/pivotTable10.xml.rels><?xml version="1.0" encoding="UTF-8" standalone="yes"?>
<Relationships xmlns="http://schemas.openxmlformats.org/package/2006/relationships"><Relationship Id="rId1" Target="../pivotCache/pivotCacheDefinition10.xml" Type="http://schemas.openxmlformats.org/officeDocument/2006/relationships/pivotCacheDefinition"></Relationship></Relationships>
</file>

<file path=xl/pivotTables/_rels/pivotTable11.xml.rels><?xml version="1.0" encoding="UTF-8" standalone="yes"?>
<Relationships xmlns="http://schemas.openxmlformats.org/package/2006/relationships"><Relationship Id="rId1" Target="../pivotCache/pivotCacheDefinition11.xml" Type="http://schemas.openxmlformats.org/officeDocument/2006/relationships/pivotCacheDefinition"></Relationship></Relationships>
</file>

<file path=xl/pivotTables/_rels/pivotTable12.xml.rels><?xml version="1.0" encoding="UTF-8" standalone="yes"?>
<Relationships xmlns="http://schemas.openxmlformats.org/package/2006/relationships"><Relationship Id="rId1" Target="../pivotCache/pivotCacheDefinition12.xml" Type="http://schemas.openxmlformats.org/officeDocument/2006/relationships/pivotCacheDefinition"></Relationship></Relationships>
</file>

<file path=xl/pivotTables/_rels/pivotTable13.xml.rels><?xml version="1.0" encoding="UTF-8" standalone="yes"?>
<Relationships xmlns="http://schemas.openxmlformats.org/package/2006/relationships"><Relationship Id="rId1" Target="../pivotCache/pivotCacheDefinition13.xml" Type="http://schemas.openxmlformats.org/officeDocument/2006/relationships/pivotCacheDefinition"></Relationship></Relationships>
</file>

<file path=xl/pivotTables/_rels/pivotTable14.xml.rels><?xml version="1.0" encoding="UTF-8" standalone="yes"?>
<Relationships xmlns="http://schemas.openxmlformats.org/package/2006/relationships"><Relationship Id="rId1" Target="../pivotCache/pivotCacheDefinition14.xml" Type="http://schemas.openxmlformats.org/officeDocument/2006/relationships/pivotCacheDefinition"></Relationship></Relationships>
</file>

<file path=xl/pivotTables/_rels/pivotTable15.xml.rels><?xml version="1.0" encoding="UTF-8" standalone="yes"?>
<Relationships xmlns="http://schemas.openxmlformats.org/package/2006/relationships"><Relationship Id="rId1" Target="../pivotCache/pivotCacheDefinition15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92:$F$200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dataField="true" compact="false" outline="false" showAll="false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dataField="true" compact="false" outline="false" showAll="false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220:$E$228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x="5"/>
        <item h="true" x="6"/>
        <item x="7"/>
        <item t="default"/>
      </items>
    </pivotField>
    <pivotField compact="false" outline="false" showAll="false"/>
    <pivotField dataField="true" compact="false" outline="false" showAll="false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230:$F$238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x="5"/>
        <item h="true" x="6"/>
        <item x="7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dataField="true" compact="false" outline="false" showAll="false">
      <items count="2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dataField="true" compact="false" outline="false" showAll="false">
      <items count="2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219:$F$227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dataField="true" compact="false" outline="false" showAll="false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E$239:$H$248" firstHeaderRow="1" firstDataRow="1" firstDataCol="1"/>
  <pivotFields count="16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dataField="true" compact="false" outline="false" showAll="false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E$185:$H$195" firstHeaderRow="1" firstDataRow="1" firstDataCol="1"/>
  <pivotFields count="16">
    <pivotField compact="false" outline="false" showAll="false"/>
    <pivotField axis="axisRow" compact="false" outline="false" showAll="false">
      <items count="11">
        <item x="0"/>
        <item x="1"/>
        <item x="2"/>
        <item x="3"/>
        <item x="4"/>
        <item h="true"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dataField="true" compact="false" outline="false" showAll="false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dataField="true" compact="false" outline="false" showAll="false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D$170:$H$177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true" compact="false" outline="false" showAll="false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true" compact="false" outline="false" showAll="false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dataField="true" compact="false" outline="false" showAll="false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D$109:$H$114" firstHeaderRow="1" firstDataRow="1" firstDataCol="1"/>
  <pivotFields count="16">
    <pivotField compact="false" outline="false" showAll="false"/>
    <pivotField axis="axisRow" compact="false" outline="false" showAll="false">
      <items count="6">
        <item x="0"/>
        <item x="1"/>
        <item h="true"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true" compact="false" outline="false" showAll="false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true" compact="false" outline="false" showAll="false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C$147:$F$154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 Table10" cacheId="10" dataCaption="值" updatedVersion="3" minRefreshableVersion="3" useAutoFormatting="true" createdVersion="3" compact="false" compactData="false">
  <location ref="$D$140:$G$147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dataField="true" compact="false" outline="false" showAll="false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true" compact="false" outline="false" showAll="false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 Table11" cacheId="11" dataCaption="值" updatedVersion="3" minRefreshableVersion="3" useAutoFormatting="true" createdVersion="3" compact="false" compactData="false">
  <location ref="$F$50:$L$56" firstHeaderRow="1" firstDataRow="1" firstDataCol="1"/>
  <pivotFields count="12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h="true" x="5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true" compact="false" outline="false" showAll="false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true" compact="false" outline="false" showAll="false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true" compact="false" outline="false" showAll="false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 count="1">
    <field x="1"/>
  </rowFields>
  <colFields count="1">
    <field x="-2"/>
  </colFields>
  <dataFields count="6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  <dataField name="求和项:T0脱退单数量" fld="10" subtotal="sum"/>
    <dataField name="求和项:T0脱退保费" fld="11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 Table12" cacheId="12" dataCaption="值" updatedVersion="3" minRefreshableVersion="3" useAutoFormatting="true" createdVersion="3" compact="false" compactData="false">
  <location ref="$A$1:$E$8" firstHeaderRow="1" firstDataRow="1" firstDataCol="1"/>
  <pivotFields count="15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true" compact="false" outline="false" showAll="false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dataField="true" compact="false" outline="false" showAll="false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 Table13" cacheId="13" dataCaption="值" updatedVersion="3" minRefreshableVersion="3" useAutoFormatting="true" createdVersion="3" compact="false" compactData="false">
  <location ref="$E$37:$H$53" firstHeaderRow="1" firstDataRow="1" firstDataCol="1"/>
  <pivotFields count="16">
    <pivotField axis="axisRow" compact="false" outline="false" showAll="false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0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ivot Table14" cacheId="14" dataCaption="值" updatedVersion="3" minRefreshableVersion="3" useAutoFormatting="true" createdVersion="3" compact="false" compactData="false">
  <location ref="$C$62:$G$68" firstHeaderRow="1" firstDataRow="1" firstDataCol="1"/>
  <pivotFields count="10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h="true" x="5"/>
        <item t="default"/>
      </items>
    </pivotField>
    <pivotField compact="false" outline="false" showAll="false"/>
    <pivotField dataField="true" compact="false" outline="false" showAll="false">
      <items count="5">
        <item x="0"/>
        <item x="1"/>
        <item x="2"/>
        <item x="3"/>
        <item t="default"/>
      </items>
    </pivotField>
    <pivotField dataField="true" compact="false" outline="false" showAll="false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true" compact="false" outline="false" showAll="false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true" compact="false" outline="false" showAll="false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Pivot Table15" cacheId="15" dataCaption="值" updatedVersion="3" minRefreshableVersion="3" useAutoFormatting="true" createdVersion="3" compact="false" compactData="false">
  <location ref="$E$95:$I$101" firstHeaderRow="1" firstDataRow="1" firstDataCol="1"/>
  <pivotFields count="12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h="true" x="5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true" compact="false" outline="false" showAll="false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true" compact="false" outline="false" showAll="false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7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_rels/sheet11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_rels/sheet13.xml.rels><?xml version="1.0" encoding="UTF-8" standalone="yes"?>
<Relationships xmlns="http://schemas.openxmlformats.org/package/2006/relationships"><Relationship Id="rId1" Target="../pivotTables/pivotTable10.xml" Type="http://schemas.openxmlformats.org/officeDocument/2006/relationships/pivotTable"></Relationship></Relationships>
</file>

<file path=xl/worksheets/_rels/sheet18.xml.rels><?xml version="1.0" encoding="UTF-8" standalone="yes"?>
<Relationships xmlns="http://schemas.openxmlformats.org/package/2006/relationships"><Relationship Id="rId1" Target="../pivotTables/pivotTable11.xml" Type="http://schemas.openxmlformats.org/officeDocument/2006/relationships/pivotTable"></Relationship></Relationships>
</file>

<file path=xl/worksheets/_rels/sheet19.xml.rels><?xml version="1.0" encoding="UTF-8" standalone="yes"?>
<Relationships xmlns="http://schemas.openxmlformats.org/package/2006/relationships"><Relationship Id="rId1" Target="../pivotTables/pivotTable12.xml" Type="http://schemas.openxmlformats.org/officeDocument/2006/relationships/pivotTable"></Relationship><Relationship Id="rId2" Target="../pivotTables/pivotTable13.xml" Type="http://schemas.openxmlformats.org/officeDocument/2006/relationships/pivotTable"></Relationship></Relationships>
</file>

<file path=xl/worksheets/_rels/sheet20.xml.rels><?xml version="1.0" encoding="UTF-8" standalone="yes"?>
<Relationships xmlns="http://schemas.openxmlformats.org/package/2006/relationships"><Relationship Id="rId1" Target="../pivotTables/pivotTable14.xml" Type="http://schemas.openxmlformats.org/officeDocument/2006/relationships/pivotTable"></Relationship></Relationships>
</file>

<file path=xl/worksheets/_rels/sheet21.xml.rels><?xml version="1.0" encoding="UTF-8" standalone="yes"?>
<Relationships xmlns="http://schemas.openxmlformats.org/package/2006/relationships"><Relationship Id="rId1" Target="../pivotTables/pivotTable15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13" min="13" style="0" width="12.64480633802817"/>
    <col collapsed="false" customWidth="true" hidden="false" max="1" min="1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2" min="2" style="0" width="11.211267605633802"/>
  </cols>
  <sheetData>
    <row customHeight="true" ht="19.279101087565543" r="1">
      <c r="A1" s="1" t="s">
        <v>1</v>
      </c>
      <c r="B1" s="2" t="s">
        <v>2</v>
      </c>
      <c r="C1" s="2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5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>
      <c r="A2" s="6" t="s">
        <v>17</v>
      </c>
      <c r="B2" s="7" t="s">
        <v>18</v>
      </c>
      <c r="C2" s="8" t="s">
        <v>19</v>
      </c>
      <c r="D2" s="9">
        <v>4</v>
      </c>
      <c r="E2" s="10">
        <v>16</v>
      </c>
      <c r="F2" s="11">
        <v>8064</v>
      </c>
      <c r="G2" s="11">
        <v>11482.749999999998</v>
      </c>
      <c r="H2" s="12">
        <f t="shared" ref="H2:H104" si="0">F2/G2</f>
      </c>
      <c r="I2" s="12">
        <f t="shared" ref="I2:I104" si="1">F2/E2</f>
      </c>
      <c r="J2" s="12">
        <f t="shared" ref="J2:J104" si="2">G2/E2</f>
      </c>
      <c r="K2" s="10">
        <v>7</v>
      </c>
      <c r="L2" s="13">
        <v>4054.7999999999993</v>
      </c>
      <c r="M2" s="14"/>
      <c r="N2" s="14"/>
      <c r="O2" s="15"/>
      <c r="P2" s="15"/>
    </row>
    <row r="3">
      <c r="A3" s="6" t="s">
        <v>17</v>
      </c>
      <c r="B3" s="7" t="s">
        <v>20</v>
      </c>
      <c r="C3" s="8" t="s">
        <v>21</v>
      </c>
      <c r="D3" s="9">
        <v>4</v>
      </c>
      <c r="E3" s="10">
        <v>15</v>
      </c>
      <c r="F3" s="11">
        <v>15481</v>
      </c>
      <c r="G3" s="8">
        <v>15030.669999999998</v>
      </c>
      <c r="H3" s="12">
        <f t="shared" si="0"/>
      </c>
      <c r="I3" s="12">
        <f t="shared" si="1"/>
      </c>
      <c r="J3" s="12">
        <f t="shared" si="2"/>
      </c>
      <c r="K3" s="10">
        <v>4</v>
      </c>
      <c r="L3" s="13">
        <v>1731.6</v>
      </c>
      <c r="M3" s="16" t="s">
        <v>22</v>
      </c>
      <c r="N3" s="17">
        <v>10</v>
      </c>
      <c r="O3" s="18" t="s">
        <v>23</v>
      </c>
      <c r="P3" s="18">
        <v>10</v>
      </c>
    </row>
    <row r="4">
      <c r="A4" s="6" t="s">
        <v>17</v>
      </c>
      <c r="B4" s="7" t="s">
        <v>24</v>
      </c>
      <c r="C4" s="8" t="s">
        <v>25</v>
      </c>
      <c r="D4" s="9">
        <v>4</v>
      </c>
      <c r="E4" s="10">
        <v>11</v>
      </c>
      <c r="F4" s="11">
        <v>8047.200000000002</v>
      </c>
      <c r="G4" s="11">
        <v>15366.98</v>
      </c>
      <c r="H4" s="12">
        <f t="shared" si="0"/>
      </c>
      <c r="I4" s="12">
        <f t="shared" si="1"/>
      </c>
      <c r="J4" s="12">
        <f t="shared" si="2"/>
      </c>
      <c r="K4" s="10">
        <v>0</v>
      </c>
      <c r="L4" s="13">
        <v>0</v>
      </c>
      <c r="M4" s="19"/>
      <c r="N4" s="20"/>
      <c r="O4" s="21"/>
      <c r="P4" s="15"/>
    </row>
    <row r="5">
      <c r="A5" s="6" t="s">
        <v>17</v>
      </c>
      <c r="B5" s="7" t="s">
        <v>26</v>
      </c>
      <c r="C5" s="8" t="s">
        <v>27</v>
      </c>
      <c r="D5" s="9">
        <v>4</v>
      </c>
      <c r="E5" s="10">
        <v>9</v>
      </c>
      <c r="F5" s="22">
        <v>6724.799999999999</v>
      </c>
      <c r="G5" s="22">
        <v>13934.05</v>
      </c>
      <c r="H5" s="12">
        <f t="shared" si="0"/>
      </c>
      <c r="I5" s="12">
        <f t="shared" si="1"/>
      </c>
      <c r="J5" s="12">
        <f t="shared" si="2"/>
      </c>
      <c r="K5" s="10">
        <v>2</v>
      </c>
      <c r="L5" s="13">
        <v>810</v>
      </c>
      <c r="M5" s="18" t="s">
        <v>28</v>
      </c>
      <c r="N5" s="23">
        <v>8</v>
      </c>
      <c r="O5" s="15" t="s">
        <v>29</v>
      </c>
      <c r="P5" s="18">
        <v>10</v>
      </c>
    </row>
    <row customHeight="true" ht="16.071428571428573" r="6">
      <c r="A6" s="6" t="s">
        <v>17</v>
      </c>
      <c r="B6" s="7" t="s">
        <v>30</v>
      </c>
      <c r="C6" s="8" t="s">
        <v>31</v>
      </c>
      <c r="D6" s="9">
        <v>4</v>
      </c>
      <c r="E6" s="10">
        <v>11</v>
      </c>
      <c r="F6" s="22">
        <v>8484</v>
      </c>
      <c r="G6" s="22">
        <v>8745.64</v>
      </c>
      <c r="H6" s="12">
        <f t="shared" si="0"/>
      </c>
      <c r="I6" s="12">
        <f t="shared" si="1"/>
      </c>
      <c r="J6" s="12">
        <f t="shared" si="2"/>
      </c>
      <c r="K6" s="10">
        <v>3</v>
      </c>
      <c r="L6" s="13">
        <v>1483.2000000000007</v>
      </c>
      <c r="M6" s="18" t="s">
        <v>32</v>
      </c>
      <c r="N6" s="24">
        <v>2</v>
      </c>
      <c r="O6" s="15"/>
      <c r="P6" s="15"/>
    </row>
    <row r="7">
      <c r="A7" s="25" t="s">
        <v>17</v>
      </c>
      <c r="B7" s="26" t="s">
        <v>33</v>
      </c>
      <c r="C7" s="26"/>
      <c r="D7" s="27">
        <f>SUM(D2:D6)</f>
      </c>
      <c r="E7" s="27">
        <f>SUM(E2:E6)</f>
      </c>
      <c r="F7" s="27">
        <f>SUM(F2:F6)</f>
      </c>
      <c r="G7" s="27">
        <f>SUM(G2:G6)</f>
      </c>
      <c r="H7" s="28">
        <f t="shared" si="0"/>
      </c>
      <c r="I7" s="28">
        <f t="shared" si="1"/>
      </c>
      <c r="J7" s="28">
        <f t="shared" si="2"/>
      </c>
      <c r="K7" s="27">
        <f>SUM(K2:K6)</f>
      </c>
      <c r="L7" s="27">
        <f>SUM(L2:L6)</f>
      </c>
      <c r="M7" s="29"/>
      <c r="N7" s="27">
        <f>SUM(N2:N6)</f>
      </c>
      <c r="O7" s="29"/>
      <c r="P7" s="27">
        <f>SUM(P2:P6)</f>
      </c>
      <c r="Q7" s="30"/>
      <c r="R7" s="30"/>
      <c r="S7" s="30"/>
      <c r="T7" s="30"/>
    </row>
    <row r="8">
      <c r="A8" s="6" t="s">
        <v>34</v>
      </c>
      <c r="B8" s="7" t="s">
        <v>20</v>
      </c>
      <c r="C8" s="8" t="s">
        <v>19</v>
      </c>
      <c r="D8" s="9">
        <v>4</v>
      </c>
      <c r="E8" s="10">
        <v>10</v>
      </c>
      <c r="F8" s="11">
        <v>17925.6</v>
      </c>
      <c r="G8" s="11">
        <v>11504.720000000001</v>
      </c>
      <c r="H8" s="12">
        <f t="shared" si="0"/>
      </c>
      <c r="I8" s="12">
        <f t="shared" si="1"/>
      </c>
      <c r="J8" s="12">
        <f t="shared" si="2"/>
      </c>
      <c r="K8" s="10">
        <v>1</v>
      </c>
      <c r="L8" s="13">
        <v>2467.2</v>
      </c>
      <c r="M8" s="14"/>
      <c r="N8" s="14"/>
      <c r="O8" s="15"/>
      <c r="P8" s="15"/>
    </row>
    <row r="9">
      <c r="A9" s="6" t="s">
        <v>34</v>
      </c>
      <c r="B9" s="7" t="s">
        <v>24</v>
      </c>
      <c r="C9" s="8" t="s">
        <v>21</v>
      </c>
      <c r="D9" s="9">
        <v>4</v>
      </c>
      <c r="E9" s="10">
        <v>6</v>
      </c>
      <c r="F9" s="11">
        <v>6488.4</v>
      </c>
      <c r="G9" s="8">
        <v>11443.2</v>
      </c>
      <c r="H9" s="12">
        <f t="shared" si="0"/>
      </c>
      <c r="I9" s="12">
        <f t="shared" si="1"/>
      </c>
      <c r="J9" s="12">
        <f t="shared" si="2"/>
      </c>
      <c r="K9" s="10">
        <v>1</v>
      </c>
      <c r="L9" s="13">
        <v>2467.2</v>
      </c>
      <c r="M9" s="16" t="s">
        <v>22</v>
      </c>
      <c r="N9" s="17">
        <v>10</v>
      </c>
      <c r="O9" s="18" t="s">
        <v>23</v>
      </c>
      <c r="P9" s="18">
        <v>10</v>
      </c>
    </row>
    <row r="10">
      <c r="A10" s="6" t="s">
        <v>34</v>
      </c>
      <c r="B10" s="7" t="s">
        <v>26</v>
      </c>
      <c r="C10" s="8" t="s">
        <v>25</v>
      </c>
      <c r="D10" s="9">
        <v>4</v>
      </c>
      <c r="E10" s="10">
        <v>13</v>
      </c>
      <c r="F10" s="11">
        <v>14785.199999999997</v>
      </c>
      <c r="G10" s="11">
        <v>10114.02</v>
      </c>
      <c r="H10" s="12">
        <f t="shared" si="0"/>
      </c>
      <c r="I10" s="12">
        <f t="shared" si="1"/>
      </c>
      <c r="J10" s="12">
        <f t="shared" si="2"/>
      </c>
      <c r="K10" s="10">
        <v>2</v>
      </c>
      <c r="L10" s="13">
        <v>1136.4</v>
      </c>
      <c r="M10" s="19"/>
      <c r="N10" s="20"/>
      <c r="O10" s="21"/>
      <c r="P10" s="15"/>
    </row>
    <row r="11">
      <c r="A11" s="6" t="s">
        <v>34</v>
      </c>
      <c r="B11" s="7" t="s">
        <v>30</v>
      </c>
      <c r="C11" s="8" t="s">
        <v>27</v>
      </c>
      <c r="D11" s="9">
        <v>4</v>
      </c>
      <c r="E11" s="10">
        <v>17</v>
      </c>
      <c r="F11" s="22">
        <v>15257.200000000004</v>
      </c>
      <c r="G11" s="22">
        <v>10575.38</v>
      </c>
      <c r="H11" s="12">
        <f t="shared" si="0"/>
      </c>
      <c r="I11" s="12">
        <f t="shared" si="1"/>
      </c>
      <c r="J11" s="12">
        <f t="shared" si="2"/>
      </c>
      <c r="K11" s="10">
        <v>3</v>
      </c>
      <c r="L11" s="13">
        <v>2730</v>
      </c>
      <c r="M11" s="18" t="s">
        <v>28</v>
      </c>
      <c r="N11" s="23">
        <v>8</v>
      </c>
      <c r="O11" s="15" t="s">
        <v>29</v>
      </c>
      <c r="P11" s="18">
        <v>10</v>
      </c>
    </row>
    <row r="12">
      <c r="A12" s="6" t="s">
        <v>34</v>
      </c>
      <c r="B12" s="7" t="s">
        <v>18</v>
      </c>
      <c r="C12" s="8" t="s">
        <v>31</v>
      </c>
      <c r="D12" s="9">
        <v>4</v>
      </c>
      <c r="E12" s="10">
        <v>14</v>
      </c>
      <c r="F12" s="22">
        <v>10653.599999999999</v>
      </c>
      <c r="G12" s="22">
        <v>15838.51</v>
      </c>
      <c r="H12" s="12">
        <f t="shared" si="0"/>
      </c>
      <c r="I12" s="12">
        <f t="shared" si="1"/>
      </c>
      <c r="J12" s="12">
        <f t="shared" si="2"/>
      </c>
      <c r="K12" s="10">
        <v>4</v>
      </c>
      <c r="L12" s="13">
        <v>2778</v>
      </c>
      <c r="M12" s="18" t="s">
        <v>32</v>
      </c>
      <c r="N12" s="24">
        <v>2</v>
      </c>
      <c r="O12" s="15"/>
      <c r="P12" s="15"/>
    </row>
    <row r="13">
      <c r="A13" s="25" t="s">
        <v>34</v>
      </c>
      <c r="B13" s="26" t="s">
        <v>33</v>
      </c>
      <c r="C13" s="26"/>
      <c r="D13" s="27">
        <f>SUM(D8:D12)</f>
      </c>
      <c r="E13" s="27">
        <f>SUM(E8:E12)</f>
      </c>
      <c r="F13" s="27">
        <f>SUM(F8:F12)</f>
      </c>
      <c r="G13" s="27">
        <f>SUM(G8:G12)</f>
      </c>
      <c r="H13" s="28">
        <f t="shared" si="0"/>
      </c>
      <c r="I13" s="28">
        <f t="shared" si="1"/>
      </c>
      <c r="J13" s="28">
        <f t="shared" si="2"/>
      </c>
      <c r="K13" s="27">
        <f>SUM(K8:K12)</f>
      </c>
      <c r="L13" s="27">
        <f>SUM(L8:L12)</f>
      </c>
      <c r="M13" s="29"/>
      <c r="N13" s="27">
        <f>SUM(N8:N12)</f>
      </c>
      <c r="O13" s="29"/>
      <c r="P13" s="27">
        <f>SUM(P8:P12)</f>
      </c>
    </row>
    <row r="14">
      <c r="A14" s="6" t="s">
        <v>35</v>
      </c>
      <c r="B14" s="7" t="s">
        <v>24</v>
      </c>
      <c r="C14" s="8" t="s">
        <v>36</v>
      </c>
      <c r="D14" s="9">
        <v>5</v>
      </c>
      <c r="E14" s="10">
        <v>10</v>
      </c>
      <c r="F14" s="11">
        <v>9504</v>
      </c>
      <c r="G14" s="11">
        <v>16297.199999999999</v>
      </c>
      <c r="H14" s="12">
        <f t="shared" si="0"/>
      </c>
      <c r="I14" s="12">
        <f t="shared" si="1"/>
      </c>
      <c r="J14" s="12">
        <f t="shared" si="2"/>
      </c>
      <c r="K14" s="10">
        <v>3</v>
      </c>
      <c r="L14" s="13">
        <v>4658.4</v>
      </c>
      <c r="M14" s="16" t="s">
        <v>22</v>
      </c>
      <c r="N14" s="23">
        <v>10</v>
      </c>
      <c r="O14" s="15"/>
      <c r="P14" s="15"/>
    </row>
    <row r="15">
      <c r="A15" s="6" t="s">
        <v>35</v>
      </c>
      <c r="B15" s="7" t="s">
        <v>30</v>
      </c>
      <c r="C15" s="8" t="s">
        <v>37</v>
      </c>
      <c r="D15" s="9">
        <v>5</v>
      </c>
      <c r="E15" s="10">
        <v>10</v>
      </c>
      <c r="F15" s="11">
        <v>8247.599999999999</v>
      </c>
      <c r="G15" s="8">
        <v>11740.54</v>
      </c>
      <c r="H15" s="12">
        <f t="shared" si="0"/>
      </c>
      <c r="I15" s="12">
        <f t="shared" si="1"/>
      </c>
      <c r="J15" s="12">
        <f t="shared" si="2"/>
      </c>
      <c r="K15" s="10">
        <v>2</v>
      </c>
      <c r="L15" s="13">
        <v>3036</v>
      </c>
      <c r="M15" s="16" t="s">
        <v>28</v>
      </c>
      <c r="N15" s="17">
        <v>8</v>
      </c>
      <c r="O15" s="18" t="s">
        <v>23</v>
      </c>
      <c r="P15" s="18">
        <v>10</v>
      </c>
    </row>
    <row r="16">
      <c r="A16" s="6" t="s">
        <v>35</v>
      </c>
      <c r="B16" s="7" t="s">
        <v>18</v>
      </c>
      <c r="C16" s="8" t="s">
        <v>38</v>
      </c>
      <c r="D16" s="9">
        <v>5</v>
      </c>
      <c r="E16" s="10">
        <v>5</v>
      </c>
      <c r="F16" s="11">
        <v>5350.800000000003</v>
      </c>
      <c r="G16" s="11">
        <v>7610.78</v>
      </c>
      <c r="H16" s="12">
        <f t="shared" si="0"/>
      </c>
      <c r="I16" s="12">
        <f t="shared" si="1"/>
      </c>
      <c r="J16" s="12">
        <f t="shared" si="2"/>
      </c>
      <c r="K16" s="10">
        <v>2</v>
      </c>
      <c r="L16" s="13">
        <v>2143.2000000000007</v>
      </c>
      <c r="M16" s="19" t="s">
        <v>32</v>
      </c>
      <c r="N16" s="20">
        <v>2</v>
      </c>
      <c r="O16" s="21"/>
      <c r="P16" s="15"/>
    </row>
    <row r="17">
      <c r="A17" s="6" t="s">
        <v>35</v>
      </c>
      <c r="B17" s="7" t="s">
        <v>20</v>
      </c>
      <c r="C17" s="8" t="s">
        <v>39</v>
      </c>
      <c r="D17" s="9">
        <v>5</v>
      </c>
      <c r="E17" s="10">
        <v>9</v>
      </c>
      <c r="F17" s="22">
        <v>9183</v>
      </c>
      <c r="G17" s="22">
        <v>7101.44</v>
      </c>
      <c r="H17" s="12">
        <f t="shared" si="0"/>
      </c>
      <c r="I17" s="12">
        <f t="shared" si="1"/>
      </c>
      <c r="J17" s="12">
        <f t="shared" si="2"/>
      </c>
      <c r="K17" s="10">
        <v>2</v>
      </c>
      <c r="L17" s="13">
        <v>1200</v>
      </c>
      <c r="M17" s="18"/>
      <c r="N17" s="23"/>
      <c r="O17" s="15" t="s">
        <v>29</v>
      </c>
      <c r="P17" s="18">
        <v>10</v>
      </c>
    </row>
    <row r="18">
      <c r="A18" s="25" t="s">
        <v>35</v>
      </c>
      <c r="B18" s="26" t="s">
        <v>33</v>
      </c>
      <c r="C18" s="26"/>
      <c r="D18" s="27">
        <f>SUM(D14:D17)</f>
      </c>
      <c r="E18" s="27">
        <f>SUM(E14:E17)</f>
      </c>
      <c r="F18" s="27">
        <f>SUM(F14:F17)</f>
      </c>
      <c r="G18" s="27">
        <f>SUM(G14:G17)</f>
      </c>
      <c r="H18" s="28">
        <f t="shared" si="0"/>
      </c>
      <c r="I18" s="28">
        <f t="shared" si="1"/>
      </c>
      <c r="J18" s="28">
        <f t="shared" si="2"/>
      </c>
      <c r="K18" s="27">
        <f>SUM(K14:K17)</f>
      </c>
      <c r="L18" s="27">
        <f>SUM(L14:L17)</f>
      </c>
      <c r="M18" s="29"/>
      <c r="N18" s="27">
        <f>SUM(N14:N17)</f>
      </c>
      <c r="O18" s="29"/>
      <c r="P18" s="27">
        <f>SUM(P14:P17)</f>
      </c>
    </row>
    <row r="19">
      <c r="A19" s="6" t="s">
        <v>40</v>
      </c>
      <c r="B19" s="7" t="s">
        <v>24</v>
      </c>
      <c r="C19" s="8" t="s">
        <v>19</v>
      </c>
      <c r="D19" s="9">
        <v>4</v>
      </c>
      <c r="E19" s="10">
        <v>7</v>
      </c>
      <c r="F19" s="11">
        <v>8593</v>
      </c>
      <c r="G19" s="11">
        <v>5861.820000000001</v>
      </c>
      <c r="H19" s="12">
        <f t="shared" si="0"/>
      </c>
      <c r="I19" s="12">
        <f t="shared" si="1"/>
      </c>
      <c r="J19" s="12">
        <f t="shared" si="2"/>
      </c>
      <c r="K19" s="10">
        <v>3</v>
      </c>
      <c r="L19" s="13">
        <v>3327.4</v>
      </c>
      <c r="M19" s="14"/>
      <c r="N19" s="14"/>
      <c r="O19" s="15"/>
      <c r="P19" s="15"/>
    </row>
    <row r="20">
      <c r="A20" s="6" t="s">
        <v>40</v>
      </c>
      <c r="B20" s="7" t="s">
        <v>26</v>
      </c>
      <c r="C20" s="8" t="s">
        <v>21</v>
      </c>
      <c r="D20" s="9">
        <v>4</v>
      </c>
      <c r="E20" s="10">
        <v>10</v>
      </c>
      <c r="F20" s="11">
        <v>6960.8</v>
      </c>
      <c r="G20" s="8">
        <v>9782.410000000002</v>
      </c>
      <c r="H20" s="12">
        <f t="shared" si="0"/>
      </c>
      <c r="I20" s="12">
        <f t="shared" si="1"/>
      </c>
      <c r="J20" s="12">
        <f t="shared" si="2"/>
      </c>
      <c r="K20" s="10">
        <v>2</v>
      </c>
      <c r="L20" s="13">
        <v>1973</v>
      </c>
      <c r="M20" s="16" t="s">
        <v>22</v>
      </c>
      <c r="N20" s="17">
        <v>10</v>
      </c>
      <c r="O20" s="18" t="s">
        <v>23</v>
      </c>
      <c r="P20" s="18">
        <v>10</v>
      </c>
    </row>
    <row r="21">
      <c r="A21" s="6" t="s">
        <v>40</v>
      </c>
      <c r="B21" s="7" t="s">
        <v>30</v>
      </c>
      <c r="C21" s="8" t="s">
        <v>25</v>
      </c>
      <c r="D21" s="9">
        <v>4</v>
      </c>
      <c r="E21" s="10">
        <v>18</v>
      </c>
      <c r="F21" s="11">
        <v>19593.4</v>
      </c>
      <c r="G21" s="11">
        <v>12531.670000000002</v>
      </c>
      <c r="H21" s="12">
        <f t="shared" si="0"/>
      </c>
      <c r="I21" s="12">
        <f t="shared" si="1"/>
      </c>
      <c r="J21" s="12">
        <f t="shared" si="2"/>
      </c>
      <c r="K21" s="10">
        <v>5</v>
      </c>
      <c r="L21" s="13">
        <v>4534.6</v>
      </c>
      <c r="M21" s="19"/>
      <c r="N21" s="20"/>
      <c r="O21" s="21"/>
      <c r="P21" s="15"/>
    </row>
    <row r="22">
      <c r="A22" s="6" t="s">
        <v>40</v>
      </c>
      <c r="B22" s="7" t="s">
        <v>20</v>
      </c>
      <c r="C22" s="8" t="s">
        <v>27</v>
      </c>
      <c r="D22" s="9">
        <v>4</v>
      </c>
      <c r="E22" s="10">
        <v>9</v>
      </c>
      <c r="F22" s="22">
        <v>8279.799999999996</v>
      </c>
      <c r="G22" s="22">
        <v>10919.37</v>
      </c>
      <c r="H22" s="12">
        <f t="shared" si="0"/>
      </c>
      <c r="I22" s="12">
        <f t="shared" si="1"/>
      </c>
      <c r="J22" s="12">
        <f t="shared" si="2"/>
      </c>
      <c r="K22" s="10">
        <v>1</v>
      </c>
      <c r="L22" s="13">
        <v>420</v>
      </c>
      <c r="M22" s="18" t="s">
        <v>28</v>
      </c>
      <c r="N22" s="23">
        <v>10</v>
      </c>
      <c r="O22" s="15" t="s">
        <v>29</v>
      </c>
      <c r="P22" s="18">
        <v>10</v>
      </c>
    </row>
    <row r="23">
      <c r="A23" s="6" t="s">
        <v>40</v>
      </c>
      <c r="B23" s="7" t="s">
        <v>18</v>
      </c>
      <c r="C23" s="8" t="s">
        <v>31</v>
      </c>
      <c r="D23" s="9">
        <v>4</v>
      </c>
      <c r="E23" s="10">
        <v>14</v>
      </c>
      <c r="F23" s="22">
        <v>20482.6</v>
      </c>
      <c r="G23" s="22">
        <v>10275.67</v>
      </c>
      <c r="H23" s="12">
        <f t="shared" si="0"/>
      </c>
      <c r="I23" s="12">
        <f t="shared" si="1"/>
      </c>
      <c r="J23" s="12">
        <f t="shared" si="2"/>
      </c>
      <c r="K23" s="10">
        <v>4</v>
      </c>
      <c r="L23" s="13">
        <v>4142.4</v>
      </c>
      <c r="M23" s="18"/>
      <c r="N23" s="24"/>
      <c r="O23" s="15"/>
      <c r="P23" s="15"/>
    </row>
    <row r="24">
      <c r="A24" s="25" t="s">
        <v>40</v>
      </c>
      <c r="B24" s="26" t="s">
        <v>33</v>
      </c>
      <c r="C24" s="26"/>
      <c r="D24" s="27">
        <f>SUM(D19:D23)</f>
      </c>
      <c r="E24" s="27">
        <f>SUM(E19:E23)</f>
      </c>
      <c r="F24" s="27">
        <f>SUM(F19:F23)</f>
      </c>
      <c r="G24" s="27">
        <f>SUM(G19:G23)</f>
      </c>
      <c r="H24" s="28">
        <f t="shared" si="0"/>
      </c>
      <c r="I24" s="28">
        <f t="shared" si="1"/>
      </c>
      <c r="J24" s="28">
        <f t="shared" si="2"/>
      </c>
      <c r="K24" s="27">
        <f>SUM(K19:K23)</f>
      </c>
      <c r="L24" s="27">
        <f>SUM(L19:L23)</f>
      </c>
      <c r="M24" s="29"/>
      <c r="N24" s="27">
        <f>SUM(N19:N23)</f>
      </c>
      <c r="O24" s="29"/>
      <c r="P24" s="27">
        <f>SUM(P19:P23)</f>
      </c>
    </row>
    <row r="25">
      <c r="A25" s="6" t="s">
        <v>41</v>
      </c>
      <c r="B25" s="7" t="s">
        <v>24</v>
      </c>
      <c r="C25" s="8" t="s">
        <v>19</v>
      </c>
      <c r="D25" s="9">
        <v>4</v>
      </c>
      <c r="E25" s="10">
        <v>11</v>
      </c>
      <c r="F25" s="11">
        <v>15172.399999999998</v>
      </c>
      <c r="G25" s="11">
        <v>11733.01</v>
      </c>
      <c r="H25" s="12">
        <f t="shared" si="0"/>
      </c>
      <c r="I25" s="12">
        <f t="shared" si="1"/>
      </c>
      <c r="J25" s="12">
        <f t="shared" si="2"/>
      </c>
      <c r="K25" s="10">
        <v>1</v>
      </c>
      <c r="L25" s="13">
        <v>2971.2</v>
      </c>
      <c r="M25" s="14"/>
      <c r="N25" s="14"/>
      <c r="O25" s="15"/>
      <c r="P25" s="15"/>
    </row>
    <row r="26">
      <c r="A26" s="6" t="s">
        <v>41</v>
      </c>
      <c r="B26" s="7" t="s">
        <v>26</v>
      </c>
      <c r="C26" s="8" t="s">
        <v>21</v>
      </c>
      <c r="D26" s="9">
        <v>4</v>
      </c>
      <c r="E26" s="10">
        <v>15</v>
      </c>
      <c r="F26" s="11">
        <v>13225.199999999999</v>
      </c>
      <c r="G26" s="8">
        <v>13346.02</v>
      </c>
      <c r="H26" s="12">
        <f t="shared" si="0"/>
      </c>
      <c r="I26" s="12">
        <f t="shared" si="1"/>
      </c>
      <c r="J26" s="12">
        <f t="shared" si="2"/>
      </c>
      <c r="K26" s="10">
        <v>6</v>
      </c>
      <c r="L26" s="13">
        <v>4000.8000000000006</v>
      </c>
      <c r="M26" s="16" t="s">
        <v>22</v>
      </c>
      <c r="N26" s="17">
        <v>10</v>
      </c>
      <c r="O26" s="31" t="s">
        <v>23</v>
      </c>
      <c r="P26" s="18">
        <v>10</v>
      </c>
    </row>
    <row r="27">
      <c r="A27" s="6" t="s">
        <v>41</v>
      </c>
      <c r="B27" s="7" t="s">
        <v>30</v>
      </c>
      <c r="C27" s="8" t="s">
        <v>25</v>
      </c>
      <c r="D27" s="9">
        <v>4</v>
      </c>
      <c r="E27" s="10">
        <v>17</v>
      </c>
      <c r="F27" s="11">
        <v>14123.800000000003</v>
      </c>
      <c r="G27" s="11">
        <v>15876.57</v>
      </c>
      <c r="H27" s="12">
        <f t="shared" si="0"/>
      </c>
      <c r="I27" s="12">
        <f t="shared" si="1"/>
      </c>
      <c r="J27" s="12">
        <f t="shared" si="2"/>
      </c>
      <c r="K27" s="10">
        <v>3</v>
      </c>
      <c r="L27" s="13">
        <v>1888.7999999999995</v>
      </c>
      <c r="M27" s="19"/>
      <c r="N27" s="20"/>
      <c r="O27" s="20"/>
      <c r="P27" s="21"/>
    </row>
    <row r="28">
      <c r="A28" s="6" t="s">
        <v>41</v>
      </c>
      <c r="B28" s="7" t="s">
        <v>18</v>
      </c>
      <c r="C28" s="8" t="s">
        <v>27</v>
      </c>
      <c r="D28" s="9">
        <v>4</v>
      </c>
      <c r="E28" s="10">
        <v>9</v>
      </c>
      <c r="F28" s="22">
        <v>5749.200000000004</v>
      </c>
      <c r="G28" s="22">
        <v>14648.52</v>
      </c>
      <c r="H28" s="12">
        <f t="shared" si="0"/>
      </c>
      <c r="I28" s="12">
        <f t="shared" si="1"/>
      </c>
      <c r="J28" s="12">
        <f t="shared" si="2"/>
      </c>
      <c r="K28" s="10">
        <v>1</v>
      </c>
      <c r="L28" s="13">
        <v>560.4000000000015</v>
      </c>
      <c r="M28" s="18" t="s">
        <v>28</v>
      </c>
      <c r="N28" s="23">
        <v>10</v>
      </c>
      <c r="O28" s="32" t="s">
        <v>29</v>
      </c>
      <c r="P28" s="18">
        <v>10</v>
      </c>
    </row>
    <row r="29">
      <c r="A29" s="6" t="s">
        <v>41</v>
      </c>
      <c r="B29" s="7" t="s">
        <v>20</v>
      </c>
      <c r="C29" s="8" t="s">
        <v>31</v>
      </c>
      <c r="D29" s="9">
        <v>4</v>
      </c>
      <c r="E29" s="10">
        <v>11</v>
      </c>
      <c r="F29" s="22">
        <v>15213.599999999991</v>
      </c>
      <c r="G29" s="22">
        <v>12138.59</v>
      </c>
      <c r="H29" s="12">
        <f t="shared" si="0"/>
      </c>
      <c r="I29" s="12">
        <f t="shared" si="1"/>
      </c>
      <c r="J29" s="12">
        <f t="shared" si="2"/>
      </c>
      <c r="K29" s="10">
        <v>2</v>
      </c>
      <c r="L29" s="13">
        <v>4538.399999999998</v>
      </c>
      <c r="M29" s="18"/>
      <c r="N29" s="24"/>
      <c r="O29" s="15"/>
      <c r="P29" s="15"/>
    </row>
    <row r="30">
      <c r="A30" s="25" t="s">
        <v>41</v>
      </c>
      <c r="B30" s="26" t="s">
        <v>33</v>
      </c>
      <c r="C30" s="26"/>
      <c r="D30" s="27">
        <f>SUM(D25:D29)</f>
      </c>
      <c r="E30" s="27">
        <f>SUM(E25:E29)</f>
      </c>
      <c r="F30" s="27">
        <f>SUM(F25:F29)</f>
      </c>
      <c r="G30" s="27">
        <f>SUM(G25:G29)</f>
      </c>
      <c r="H30" s="28">
        <f t="shared" si="0"/>
      </c>
      <c r="I30" s="28">
        <f t="shared" si="1"/>
      </c>
      <c r="J30" s="28">
        <f t="shared" si="2"/>
      </c>
      <c r="K30" s="27">
        <f>SUM(K25:K29)</f>
      </c>
      <c r="L30" s="27">
        <f>SUM(L25:L29)</f>
      </c>
      <c r="M30" s="29"/>
      <c r="N30" s="27">
        <f>SUM(N25:N29)</f>
      </c>
      <c r="O30" s="29"/>
      <c r="P30" s="27">
        <f>SUM(P25:P29)</f>
      </c>
    </row>
    <row r="31">
      <c r="A31" s="6" t="s">
        <v>42</v>
      </c>
      <c r="B31" s="7" t="s">
        <v>26</v>
      </c>
      <c r="C31" s="8" t="s">
        <v>36</v>
      </c>
      <c r="D31" s="9">
        <v>5</v>
      </c>
      <c r="E31" s="10">
        <v>10</v>
      </c>
      <c r="F31" s="11">
        <v>9321.2</v>
      </c>
      <c r="G31" s="11">
        <v>10034.380000000001</v>
      </c>
      <c r="H31" s="12">
        <f t="shared" si="0"/>
      </c>
      <c r="I31" s="12">
        <f t="shared" si="1"/>
      </c>
      <c r="J31" s="12">
        <f t="shared" si="2"/>
      </c>
      <c r="K31" s="10">
        <v>4</v>
      </c>
      <c r="L31" s="13">
        <v>3354</v>
      </c>
      <c r="M31" s="16" t="s">
        <v>22</v>
      </c>
      <c r="N31" s="23">
        <v>10</v>
      </c>
      <c r="O31" s="15"/>
      <c r="P31" s="15"/>
    </row>
    <row r="32">
      <c r="A32" s="6" t="s">
        <v>42</v>
      </c>
      <c r="B32" s="7" t="s">
        <v>30</v>
      </c>
      <c r="C32" s="8" t="s">
        <v>37</v>
      </c>
      <c r="D32" s="9">
        <v>5</v>
      </c>
      <c r="E32" s="10">
        <v>8</v>
      </c>
      <c r="F32" s="11">
        <v>12526.599999999999</v>
      </c>
      <c r="G32" s="8">
        <v>9290.819999999998</v>
      </c>
      <c r="H32" s="12">
        <f t="shared" si="0"/>
      </c>
      <c r="I32" s="12">
        <f t="shared" si="1"/>
      </c>
      <c r="J32" s="12">
        <f t="shared" si="2"/>
      </c>
      <c r="K32" s="10">
        <v>2</v>
      </c>
      <c r="L32" s="13">
        <v>2574</v>
      </c>
      <c r="M32" s="16" t="s">
        <v>28</v>
      </c>
      <c r="N32" s="17">
        <v>10</v>
      </c>
      <c r="O32" s="31" t="s">
        <v>23</v>
      </c>
      <c r="P32" s="18">
        <v>10</v>
      </c>
    </row>
    <row r="33">
      <c r="A33" s="6" t="s">
        <v>42</v>
      </c>
      <c r="B33" s="7" t="s">
        <v>18</v>
      </c>
      <c r="C33" s="8" t="s">
        <v>38</v>
      </c>
      <c r="D33" s="9">
        <v>5</v>
      </c>
      <c r="E33" s="10">
        <v>7</v>
      </c>
      <c r="F33" s="11">
        <v>5722.4000000000015</v>
      </c>
      <c r="G33" s="11">
        <v>4699.67</v>
      </c>
      <c r="H33" s="12">
        <f t="shared" si="0"/>
      </c>
      <c r="I33" s="12">
        <f t="shared" si="1"/>
      </c>
      <c r="J33" s="12">
        <f t="shared" si="2"/>
      </c>
      <c r="K33" s="10">
        <v>2</v>
      </c>
      <c r="L33" s="13">
        <v>2370</v>
      </c>
      <c r="M33" s="19"/>
      <c r="N33" s="20"/>
      <c r="O33" s="20"/>
      <c r="P33" s="21"/>
    </row>
    <row r="34">
      <c r="A34" s="6" t="s">
        <v>42</v>
      </c>
      <c r="B34" s="7" t="s">
        <v>20</v>
      </c>
      <c r="C34" s="8" t="s">
        <v>39</v>
      </c>
      <c r="D34" s="9">
        <v>5</v>
      </c>
      <c r="E34" s="10">
        <v>15</v>
      </c>
      <c r="F34" s="22">
        <v>19644.399999999998</v>
      </c>
      <c r="G34" s="22">
        <v>15568.98</v>
      </c>
      <c r="H34" s="12">
        <f t="shared" si="0"/>
      </c>
      <c r="I34" s="12">
        <f t="shared" si="1"/>
      </c>
      <c r="J34" s="12">
        <f t="shared" si="2"/>
      </c>
      <c r="K34" s="10">
        <v>2</v>
      </c>
      <c r="L34" s="13">
        <v>1867.2000000000007</v>
      </c>
      <c r="M34" s="18"/>
      <c r="N34" s="23"/>
      <c r="O34" s="32" t="s">
        <v>29</v>
      </c>
      <c r="P34" s="18">
        <v>10</v>
      </c>
    </row>
    <row r="35">
      <c r="A35" s="25" t="s">
        <v>42</v>
      </c>
      <c r="B35" s="26" t="s">
        <v>33</v>
      </c>
      <c r="C35" s="26"/>
      <c r="D35" s="27">
        <f>SUM(D31:D34)</f>
      </c>
      <c r="E35" s="27">
        <f>SUM(E31:E34)</f>
      </c>
      <c r="F35" s="27">
        <f>SUM(F31:F34)</f>
      </c>
      <c r="G35" s="27">
        <f>SUM(G31:G34)</f>
      </c>
      <c r="H35" s="28">
        <f t="shared" si="0"/>
      </c>
      <c r="I35" s="28">
        <f t="shared" si="1"/>
      </c>
      <c r="J35" s="28">
        <f t="shared" si="2"/>
      </c>
      <c r="K35" s="27">
        <f>SUM(K31:K34)</f>
      </c>
      <c r="L35" s="27">
        <f>SUM(L31:L34)</f>
      </c>
      <c r="M35" s="29"/>
      <c r="N35" s="27">
        <f>SUM(N31:N34)</f>
      </c>
      <c r="O35" s="29"/>
      <c r="P35" s="27">
        <f>SUM(P31:P34)</f>
      </c>
    </row>
    <row r="36">
      <c r="A36" s="6" t="s">
        <v>43</v>
      </c>
      <c r="B36" s="7" t="s">
        <v>26</v>
      </c>
      <c r="C36" s="8" t="s">
        <v>19</v>
      </c>
      <c r="D36" s="9">
        <v>4</v>
      </c>
      <c r="E36" s="10">
        <v>11</v>
      </c>
      <c r="F36" s="11">
        <v>7853.4</v>
      </c>
      <c r="G36" s="11">
        <v>8867.05</v>
      </c>
      <c r="H36" s="12">
        <f t="shared" si="0"/>
      </c>
      <c r="I36" s="12">
        <f t="shared" si="1"/>
      </c>
      <c r="J36" s="12">
        <f t="shared" si="2"/>
      </c>
      <c r="K36" s="10">
        <v>2</v>
      </c>
      <c r="L36" s="13">
        <v>3812</v>
      </c>
      <c r="M36" s="14"/>
      <c r="N36" s="14"/>
      <c r="O36" s="15"/>
      <c r="P36" s="15"/>
    </row>
    <row r="37">
      <c r="A37" s="6" t="s">
        <v>43</v>
      </c>
      <c r="B37" s="7" t="s">
        <v>30</v>
      </c>
      <c r="C37" s="8" t="s">
        <v>21</v>
      </c>
      <c r="D37" s="9">
        <v>4</v>
      </c>
      <c r="E37" s="10">
        <v>6</v>
      </c>
      <c r="F37" s="11">
        <v>5778</v>
      </c>
      <c r="G37" s="8">
        <v>11738.5</v>
      </c>
      <c r="H37" s="12">
        <f t="shared" si="0"/>
      </c>
      <c r="I37" s="12">
        <f t="shared" si="1"/>
      </c>
      <c r="J37" s="12">
        <f t="shared" si="2"/>
      </c>
      <c r="K37" s="10">
        <v>0</v>
      </c>
      <c r="L37" s="13">
        <v>0</v>
      </c>
      <c r="M37" s="16" t="s">
        <v>22</v>
      </c>
      <c r="N37" s="17">
        <v>10</v>
      </c>
      <c r="O37" s="31" t="s">
        <v>23</v>
      </c>
      <c r="P37" s="18">
        <v>10</v>
      </c>
    </row>
    <row r="38">
      <c r="A38" s="6" t="s">
        <v>43</v>
      </c>
      <c r="B38" s="7" t="s">
        <v>18</v>
      </c>
      <c r="C38" s="8" t="s">
        <v>25</v>
      </c>
      <c r="D38" s="9">
        <v>4</v>
      </c>
      <c r="E38" s="10">
        <v>3</v>
      </c>
      <c r="F38" s="11">
        <v>2241.6000000000004</v>
      </c>
      <c r="G38" s="11">
        <v>8862.3</v>
      </c>
      <c r="H38" s="12">
        <f t="shared" si="0"/>
      </c>
      <c r="I38" s="12">
        <f t="shared" si="1"/>
      </c>
      <c r="J38" s="12">
        <f t="shared" si="2"/>
      </c>
      <c r="K38" s="10">
        <v>0</v>
      </c>
      <c r="L38" s="13">
        <v>0</v>
      </c>
      <c r="M38" s="19"/>
      <c r="N38" s="20"/>
      <c r="O38" s="20"/>
      <c r="P38" s="21"/>
    </row>
    <row r="39">
      <c r="A39" s="6" t="s">
        <v>43</v>
      </c>
      <c r="B39" s="7" t="s">
        <v>20</v>
      </c>
      <c r="C39" s="8" t="s">
        <v>27</v>
      </c>
      <c r="D39" s="9">
        <v>4</v>
      </c>
      <c r="E39" s="10">
        <v>1</v>
      </c>
      <c r="F39" s="22">
        <v>396</v>
      </c>
      <c r="G39" s="22">
        <v>3202.11</v>
      </c>
      <c r="H39" s="12">
        <f t="shared" si="0"/>
      </c>
      <c r="I39" s="12">
        <f t="shared" si="1"/>
      </c>
      <c r="J39" s="12">
        <f t="shared" si="2"/>
      </c>
      <c r="K39" s="10">
        <v>0</v>
      </c>
      <c r="L39" s="13">
        <v>0</v>
      </c>
      <c r="M39" s="18" t="s">
        <v>28</v>
      </c>
      <c r="N39" s="23">
        <v>6</v>
      </c>
      <c r="O39" s="32" t="s">
        <v>29</v>
      </c>
      <c r="P39" s="18">
        <v>6</v>
      </c>
    </row>
    <row r="40">
      <c r="A40" s="25" t="s">
        <v>43</v>
      </c>
      <c r="B40" s="26" t="s">
        <v>33</v>
      </c>
      <c r="C40" s="26"/>
      <c r="D40" s="27">
        <f>SUM(D36:D39)</f>
      </c>
      <c r="E40" s="27">
        <f>SUM(E36:E39)</f>
      </c>
      <c r="F40" s="27">
        <f>SUM(F36:F39)</f>
      </c>
      <c r="G40" s="27">
        <f>SUM(G36:G39)</f>
      </c>
      <c r="H40" s="28">
        <f t="shared" si="0"/>
      </c>
      <c r="I40" s="28">
        <f t="shared" si="1"/>
      </c>
      <c r="J40" s="28">
        <f t="shared" si="2"/>
      </c>
      <c r="K40" s="27">
        <f>SUM(K36:K39)</f>
      </c>
      <c r="L40" s="27">
        <f>SUM(L36:L39)</f>
      </c>
      <c r="M40" s="29"/>
      <c r="N40" s="27">
        <f>SUM(N36:N39)</f>
      </c>
      <c r="O40" s="29"/>
      <c r="P40" s="27">
        <f>SUM(P36:P39)</f>
      </c>
    </row>
    <row r="41">
      <c r="A41" s="6" t="s">
        <v>44</v>
      </c>
      <c r="B41" s="7" t="s">
        <v>30</v>
      </c>
      <c r="C41" s="8" t="s">
        <v>19</v>
      </c>
      <c r="D41" s="9">
        <v>4</v>
      </c>
      <c r="E41" s="10">
        <v>5</v>
      </c>
      <c r="F41" s="11">
        <v>2745.2</v>
      </c>
      <c r="G41" s="11">
        <v>6107.900000000001</v>
      </c>
      <c r="H41" s="12">
        <f t="shared" si="0"/>
      </c>
      <c r="I41" s="12">
        <f t="shared" si="1"/>
      </c>
      <c r="J41" s="12">
        <f t="shared" si="2"/>
      </c>
      <c r="K41" s="10">
        <v>1</v>
      </c>
      <c r="L41" s="13">
        <v>396</v>
      </c>
      <c r="M41" s="14"/>
      <c r="N41" s="14"/>
      <c r="O41" s="15"/>
      <c r="P41" s="15"/>
    </row>
    <row r="42">
      <c r="A42" s="6" t="s">
        <v>44</v>
      </c>
      <c r="B42" s="7" t="s">
        <v>18</v>
      </c>
      <c r="C42" s="8" t="s">
        <v>21</v>
      </c>
      <c r="D42" s="9">
        <v>4</v>
      </c>
      <c r="E42" s="10">
        <v>6</v>
      </c>
      <c r="F42" s="11">
        <v>5587.000000000001</v>
      </c>
      <c r="G42" s="8">
        <v>5860.41</v>
      </c>
      <c r="H42" s="12">
        <f t="shared" si="0"/>
      </c>
      <c r="I42" s="12">
        <f t="shared" si="1"/>
      </c>
      <c r="J42" s="12">
        <f t="shared" si="2"/>
      </c>
      <c r="K42" s="10">
        <v>1</v>
      </c>
      <c r="L42" s="13">
        <v>560.4</v>
      </c>
      <c r="M42" s="16" t="s">
        <v>22</v>
      </c>
      <c r="N42" s="17">
        <v>10</v>
      </c>
      <c r="O42" s="31" t="s">
        <v>23</v>
      </c>
      <c r="P42" s="18">
        <v>10</v>
      </c>
    </row>
    <row r="43">
      <c r="A43" s="6" t="s">
        <v>44</v>
      </c>
      <c r="B43" s="7" t="s">
        <v>20</v>
      </c>
      <c r="C43" s="8" t="s">
        <v>25</v>
      </c>
      <c r="D43" s="9">
        <v>4</v>
      </c>
      <c r="E43" s="10">
        <v>13</v>
      </c>
      <c r="F43" s="11">
        <v>14295.2</v>
      </c>
      <c r="G43" s="11">
        <v>12750.169999999998</v>
      </c>
      <c r="H43" s="12">
        <f t="shared" si="0"/>
      </c>
      <c r="I43" s="12">
        <f t="shared" si="1"/>
      </c>
      <c r="J43" s="12">
        <f t="shared" si="2"/>
      </c>
      <c r="K43" s="10">
        <v>4</v>
      </c>
      <c r="L43" s="13">
        <v>6569.6</v>
      </c>
      <c r="M43" s="19"/>
      <c r="N43" s="20"/>
      <c r="O43" s="20"/>
      <c r="P43" s="21"/>
    </row>
    <row r="44">
      <c r="A44" s="6" t="s">
        <v>44</v>
      </c>
      <c r="B44" s="7" t="s">
        <v>24</v>
      </c>
      <c r="C44" s="8" t="s">
        <v>27</v>
      </c>
      <c r="D44" s="9">
        <v>4</v>
      </c>
      <c r="E44" s="10">
        <v>6</v>
      </c>
      <c r="F44" s="22">
        <v>7569.5999999999985</v>
      </c>
      <c r="G44" s="22">
        <v>4820.64</v>
      </c>
      <c r="H44" s="12">
        <f t="shared" si="0"/>
      </c>
      <c r="I44" s="12">
        <f t="shared" si="1"/>
      </c>
      <c r="J44" s="12">
        <f t="shared" si="2"/>
      </c>
      <c r="K44" s="10">
        <v>0</v>
      </c>
      <c r="L44" s="13">
        <v>0</v>
      </c>
      <c r="M44" s="18" t="s">
        <v>28</v>
      </c>
      <c r="N44" s="23">
        <v>10</v>
      </c>
      <c r="O44" s="32" t="s">
        <v>29</v>
      </c>
      <c r="P44" s="18">
        <v>10</v>
      </c>
    </row>
    <row r="45">
      <c r="A45" s="6" t="s">
        <v>44</v>
      </c>
      <c r="B45" s="7" t="s">
        <v>26</v>
      </c>
      <c r="C45" s="8" t="s">
        <v>31</v>
      </c>
      <c r="D45" s="9">
        <v>4</v>
      </c>
      <c r="E45" s="10">
        <v>5</v>
      </c>
      <c r="F45" s="22">
        <v>3475.199999999997</v>
      </c>
      <c r="G45" s="22">
        <v>5551.25</v>
      </c>
      <c r="H45" s="12">
        <f t="shared" si="0"/>
      </c>
      <c r="I45" s="12">
        <f t="shared" si="1"/>
      </c>
      <c r="J45" s="12">
        <f t="shared" si="2"/>
      </c>
      <c r="K45" s="10">
        <v>1</v>
      </c>
      <c r="L45" s="13">
        <v>715.2000000000007</v>
      </c>
      <c r="M45" s="18"/>
      <c r="N45" s="24"/>
      <c r="O45" s="15"/>
      <c r="P45" s="15"/>
    </row>
    <row r="46">
      <c r="A46" s="25" t="s">
        <v>44</v>
      </c>
      <c r="B46" s="26" t="s">
        <v>33</v>
      </c>
      <c r="C46" s="26"/>
      <c r="D46" s="27">
        <f>SUM(D41:D45)</f>
      </c>
      <c r="E46" s="27">
        <f>SUM(E41:E45)</f>
      </c>
      <c r="F46" s="27">
        <f>SUM(F41:F45)</f>
      </c>
      <c r="G46" s="27">
        <f>SUM(G41:G45)</f>
      </c>
      <c r="H46" s="28">
        <f t="shared" si="0"/>
      </c>
      <c r="I46" s="28">
        <f t="shared" si="1"/>
      </c>
      <c r="J46" s="28">
        <f t="shared" si="2"/>
      </c>
      <c r="K46" s="27">
        <f>SUM(K41:K45)</f>
      </c>
      <c r="L46" s="27">
        <f>SUM(L41:L45)</f>
      </c>
      <c r="M46" s="33"/>
      <c r="N46" s="27">
        <f>SUM(N41:N45)</f>
      </c>
      <c r="O46" s="29"/>
      <c r="P46" s="27">
        <f>SUM(P41:P45)</f>
      </c>
    </row>
    <row r="47">
      <c r="A47" s="6" t="s">
        <v>45</v>
      </c>
      <c r="B47" s="7" t="s">
        <v>30</v>
      </c>
      <c r="C47" s="8" t="s">
        <v>36</v>
      </c>
      <c r="D47" s="9">
        <v>5</v>
      </c>
      <c r="E47" s="10">
        <v>15</v>
      </c>
      <c r="F47" s="11">
        <v>22773.8</v>
      </c>
      <c r="G47" s="11">
        <v>15608.71</v>
      </c>
      <c r="H47" s="12">
        <f t="shared" si="0"/>
      </c>
      <c r="I47" s="12">
        <f t="shared" si="1"/>
      </c>
      <c r="J47" s="12">
        <f t="shared" si="2"/>
      </c>
      <c r="K47" s="10">
        <v>2</v>
      </c>
      <c r="L47" s="13">
        <v>3021</v>
      </c>
      <c r="M47" s="34"/>
      <c r="N47" s="35"/>
      <c r="O47" s="15"/>
      <c r="P47" s="15"/>
    </row>
    <row r="48">
      <c r="A48" s="6" t="s">
        <v>45</v>
      </c>
      <c r="B48" s="7" t="s">
        <v>20</v>
      </c>
      <c r="C48" s="8" t="s">
        <v>37</v>
      </c>
      <c r="D48" s="9">
        <v>5</v>
      </c>
      <c r="E48" s="10">
        <v>11</v>
      </c>
      <c r="F48" s="11">
        <v>11091.600000000004</v>
      </c>
      <c r="G48" s="8">
        <v>14327.43</v>
      </c>
      <c r="H48" s="12">
        <f t="shared" si="0"/>
      </c>
      <c r="I48" s="12">
        <f t="shared" si="1"/>
      </c>
      <c r="J48" s="12">
        <f t="shared" si="2"/>
      </c>
      <c r="K48" s="10">
        <v>4</v>
      </c>
      <c r="L48" s="13">
        <v>2058</v>
      </c>
      <c r="M48" s="16" t="s">
        <v>22</v>
      </c>
      <c r="N48" s="17">
        <v>10</v>
      </c>
      <c r="O48" s="31" t="s">
        <v>23</v>
      </c>
      <c r="P48" s="18">
        <v>10</v>
      </c>
    </row>
    <row r="49">
      <c r="A49" s="6" t="s">
        <v>45</v>
      </c>
      <c r="B49" s="7" t="s">
        <v>24</v>
      </c>
      <c r="C49" s="8" t="s">
        <v>38</v>
      </c>
      <c r="D49" s="9">
        <v>5</v>
      </c>
      <c r="E49" s="10">
        <v>14</v>
      </c>
      <c r="F49" s="11">
        <v>16387.199999999997</v>
      </c>
      <c r="G49" s="11">
        <v>15804.869999999999</v>
      </c>
      <c r="H49" s="12">
        <f t="shared" si="0"/>
      </c>
      <c r="I49" s="12">
        <f t="shared" si="1"/>
      </c>
      <c r="J49" s="12">
        <f t="shared" si="2"/>
      </c>
      <c r="K49" s="10">
        <v>5</v>
      </c>
      <c r="L49" s="13">
        <v>5406</v>
      </c>
      <c r="M49" s="19"/>
      <c r="N49" s="20"/>
      <c r="O49" s="20"/>
      <c r="P49" s="21"/>
    </row>
    <row r="50">
      <c r="A50" s="6" t="s">
        <v>45</v>
      </c>
      <c r="B50" s="7" t="s">
        <v>26</v>
      </c>
      <c r="C50" s="8" t="s">
        <v>39</v>
      </c>
      <c r="D50" s="9">
        <v>5</v>
      </c>
      <c r="E50" s="10">
        <v>9</v>
      </c>
      <c r="F50" s="22">
        <v>4492.599999999991</v>
      </c>
      <c r="G50" s="22">
        <v>11139.949999999999</v>
      </c>
      <c r="H50" s="12">
        <f t="shared" si="0"/>
      </c>
      <c r="I50" s="12">
        <f t="shared" si="1"/>
      </c>
      <c r="J50" s="12">
        <f t="shared" si="2"/>
      </c>
      <c r="K50" s="10">
        <v>0</v>
      </c>
      <c r="L50" s="13">
        <v>0</v>
      </c>
      <c r="M50" s="16" t="s">
        <v>28</v>
      </c>
      <c r="N50" s="23">
        <v>10</v>
      </c>
      <c r="O50" s="32" t="s">
        <v>29</v>
      </c>
      <c r="P50" s="18">
        <v>10</v>
      </c>
    </row>
    <row r="51">
      <c r="A51" s="25" t="s">
        <v>45</v>
      </c>
      <c r="B51" s="26" t="s">
        <v>33</v>
      </c>
      <c r="C51" s="26"/>
      <c r="D51" s="27">
        <f>SUM(D47:D50)</f>
      </c>
      <c r="E51" s="27">
        <f>SUM(E47:E50)</f>
      </c>
      <c r="F51" s="27">
        <f>SUM(F47:F50)</f>
      </c>
      <c r="G51" s="27">
        <f>SUM(G47:G50)</f>
      </c>
      <c r="H51" s="28">
        <f t="shared" si="0"/>
      </c>
      <c r="I51" s="28">
        <f t="shared" si="1"/>
      </c>
      <c r="J51" s="28">
        <f t="shared" si="2"/>
      </c>
      <c r="K51" s="27">
        <f>SUM(K47:K50)</f>
      </c>
      <c r="L51" s="27">
        <f>SUM(L47:L50)</f>
      </c>
      <c r="M51" s="29"/>
      <c r="N51" s="27">
        <f>SUM(N47:N50)</f>
      </c>
      <c r="O51" s="29"/>
      <c r="P51" s="27">
        <f>SUM(P47:P50)</f>
      </c>
    </row>
    <row r="52">
      <c r="A52" s="6" t="s">
        <v>46</v>
      </c>
      <c r="B52" s="7" t="s">
        <v>20</v>
      </c>
      <c r="C52" s="8" t="s">
        <v>36</v>
      </c>
      <c r="D52" s="9">
        <v>5</v>
      </c>
      <c r="E52" s="10">
        <v>6</v>
      </c>
      <c r="F52" s="11">
        <v>2160</v>
      </c>
      <c r="G52" s="11">
        <v>6994.14</v>
      </c>
      <c r="H52" s="12">
        <f t="shared" si="0"/>
      </c>
      <c r="I52" s="12">
        <f t="shared" si="1"/>
      </c>
      <c r="J52" s="12">
        <f t="shared" si="2"/>
      </c>
      <c r="K52" s="10">
        <v>1</v>
      </c>
      <c r="L52" s="13">
        <v>187.2</v>
      </c>
      <c r="M52" s="16" t="s">
        <v>47</v>
      </c>
      <c r="N52" s="23">
        <v>10</v>
      </c>
      <c r="O52" s="15"/>
      <c r="P52" s="15"/>
    </row>
    <row r="53">
      <c r="A53" s="6" t="s">
        <v>46</v>
      </c>
      <c r="B53" s="7" t="s">
        <v>24</v>
      </c>
      <c r="C53" s="8" t="s">
        <v>37</v>
      </c>
      <c r="D53" s="9">
        <v>5</v>
      </c>
      <c r="E53" s="10">
        <v>17</v>
      </c>
      <c r="F53" s="11">
        <v>10467.400000000001</v>
      </c>
      <c r="G53" s="8">
        <v>13873.190000000002</v>
      </c>
      <c r="H53" s="12">
        <f t="shared" si="0"/>
      </c>
      <c r="I53" s="12">
        <f t="shared" si="1"/>
      </c>
      <c r="J53" s="12">
        <f t="shared" si="2"/>
      </c>
      <c r="K53" s="10">
        <v>8</v>
      </c>
      <c r="L53" s="13">
        <v>5078.4</v>
      </c>
      <c r="M53" s="16" t="s">
        <v>48</v>
      </c>
      <c r="N53" s="17">
        <v>5</v>
      </c>
      <c r="O53" s="31" t="s">
        <v>23</v>
      </c>
      <c r="P53" s="18">
        <v>10</v>
      </c>
    </row>
    <row r="54">
      <c r="A54" s="6" t="s">
        <v>46</v>
      </c>
      <c r="B54" s="7" t="s">
        <v>26</v>
      </c>
      <c r="C54" s="8" t="s">
        <v>38</v>
      </c>
      <c r="D54" s="9">
        <v>5</v>
      </c>
      <c r="E54" s="10">
        <v>13</v>
      </c>
      <c r="F54" s="11">
        <v>9189.6</v>
      </c>
      <c r="G54" s="11">
        <v>15824.859999999999</v>
      </c>
      <c r="H54" s="12">
        <f t="shared" si="0"/>
      </c>
      <c r="I54" s="12">
        <f t="shared" si="1"/>
      </c>
      <c r="J54" s="12">
        <f t="shared" si="2"/>
      </c>
      <c r="K54" s="10">
        <v>3</v>
      </c>
      <c r="L54" s="13">
        <v>2235.6</v>
      </c>
      <c r="M54" s="19"/>
      <c r="N54" s="20"/>
      <c r="O54" s="32" t="s">
        <v>29</v>
      </c>
      <c r="P54" s="36">
        <v>5</v>
      </c>
    </row>
    <row r="55">
      <c r="A55" s="25" t="s">
        <v>46</v>
      </c>
      <c r="B55" s="26" t="s">
        <v>33</v>
      </c>
      <c r="C55" s="26"/>
      <c r="D55" s="27">
        <f>SUM(D52:D54)</f>
      </c>
      <c r="E55" s="27">
        <f>SUM(E52:E54)</f>
      </c>
      <c r="F55" s="27">
        <f>SUM(F52:F54)</f>
      </c>
      <c r="G55" s="27">
        <f>SUM(G52:G54)</f>
      </c>
      <c r="H55" s="28">
        <f t="shared" si="0"/>
      </c>
      <c r="I55" s="28">
        <f t="shared" si="1"/>
      </c>
      <c r="J55" s="28">
        <f t="shared" si="2"/>
      </c>
      <c r="K55" s="27">
        <f>SUM(K52:K54)</f>
      </c>
      <c r="L55" s="27">
        <f>SUM(L52:L54)</f>
      </c>
      <c r="M55" s="29"/>
      <c r="N55" s="37">
        <f>SUM(N52:N54)</f>
      </c>
      <c r="O55" s="38"/>
      <c r="P55" s="27">
        <f>SUM(P52:P54)</f>
      </c>
    </row>
    <row r="56">
      <c r="A56" s="6" t="s">
        <v>49</v>
      </c>
      <c r="B56" s="7" t="s">
        <v>18</v>
      </c>
      <c r="C56" s="8" t="s">
        <v>36</v>
      </c>
      <c r="D56" s="9">
        <v>5</v>
      </c>
      <c r="E56" s="10">
        <v>5</v>
      </c>
      <c r="F56" s="11">
        <v>4198.8</v>
      </c>
      <c r="G56" s="11">
        <v>12271.529999999999</v>
      </c>
      <c r="H56" s="12">
        <f t="shared" si="0"/>
      </c>
      <c r="I56" s="12">
        <f t="shared" si="1"/>
      </c>
      <c r="J56" s="12">
        <f t="shared" si="2"/>
      </c>
      <c r="K56" s="10">
        <v>2</v>
      </c>
      <c r="L56" s="13">
        <v>2774.3999999999996</v>
      </c>
      <c r="M56" s="16"/>
      <c r="N56" s="23"/>
      <c r="O56" s="15"/>
      <c r="P56" s="15"/>
    </row>
    <row r="57">
      <c r="A57" s="6" t="s">
        <v>49</v>
      </c>
      <c r="B57" s="7" t="s">
        <v>26</v>
      </c>
      <c r="C57" s="8" t="s">
        <v>37</v>
      </c>
      <c r="D57" s="9">
        <v>5</v>
      </c>
      <c r="E57" s="10">
        <v>14</v>
      </c>
      <c r="F57" s="11">
        <v>7231.2</v>
      </c>
      <c r="G57" s="8">
        <v>9446.43</v>
      </c>
      <c r="H57" s="12">
        <f t="shared" si="0"/>
      </c>
      <c r="I57" s="12">
        <f t="shared" si="1"/>
      </c>
      <c r="J57" s="12">
        <f t="shared" si="2"/>
      </c>
      <c r="K57" s="10">
        <v>5</v>
      </c>
      <c r="L57" s="13">
        <v>1984.8000000000004</v>
      </c>
      <c r="M57" s="16" t="s">
        <v>28</v>
      </c>
      <c r="N57" s="17">
        <v>10</v>
      </c>
      <c r="O57" s="31" t="s">
        <v>23</v>
      </c>
      <c r="P57" s="18">
        <v>10</v>
      </c>
    </row>
    <row r="58">
      <c r="A58" s="6" t="s">
        <v>49</v>
      </c>
      <c r="B58" s="7" t="s">
        <v>24</v>
      </c>
      <c r="C58" s="8" t="s">
        <v>38</v>
      </c>
      <c r="D58" s="9">
        <v>5</v>
      </c>
      <c r="E58" s="10">
        <v>2</v>
      </c>
      <c r="F58" s="11">
        <v>1252.8000000000002</v>
      </c>
      <c r="G58" s="11">
        <v>4738.21</v>
      </c>
      <c r="H58" s="12">
        <f t="shared" si="0"/>
      </c>
      <c r="I58" s="12">
        <f t="shared" si="1"/>
      </c>
      <c r="J58" s="12">
        <f t="shared" si="2"/>
      </c>
      <c r="K58" s="10">
        <v>0</v>
      </c>
      <c r="L58" s="13">
        <v>0</v>
      </c>
      <c r="M58" s="19"/>
      <c r="N58" s="20"/>
      <c r="O58" s="20"/>
      <c r="P58" s="21"/>
    </row>
    <row r="59">
      <c r="A59" s="6" t="s">
        <v>49</v>
      </c>
      <c r="B59" s="7" t="s">
        <v>30</v>
      </c>
      <c r="C59" s="8" t="s">
        <v>39</v>
      </c>
      <c r="D59" s="9">
        <v>5</v>
      </c>
      <c r="E59" s="10">
        <v>11</v>
      </c>
      <c r="F59" s="22">
        <v>11999.4</v>
      </c>
      <c r="G59" s="22">
        <v>9595.92</v>
      </c>
      <c r="H59" s="12">
        <f t="shared" si="0"/>
      </c>
      <c r="I59" s="12">
        <f t="shared" si="1"/>
      </c>
      <c r="J59" s="12">
        <f t="shared" si="2"/>
      </c>
      <c r="K59" s="10">
        <v>2</v>
      </c>
      <c r="L59" s="13">
        <v>1431.9</v>
      </c>
      <c r="M59" s="18" t="s">
        <v>50</v>
      </c>
      <c r="N59" s="23">
        <v>10</v>
      </c>
      <c r="O59" s="32" t="s">
        <v>29</v>
      </c>
      <c r="P59" s="18">
        <v>10</v>
      </c>
    </row>
    <row r="60">
      <c r="A60" s="25" t="s">
        <v>49</v>
      </c>
      <c r="B60" s="26" t="s">
        <v>33</v>
      </c>
      <c r="C60" s="26"/>
      <c r="D60" s="27">
        <f>SUM(D56:D59)</f>
      </c>
      <c r="E60" s="27">
        <f>SUM(E56:E59)</f>
      </c>
      <c r="F60" s="27">
        <f>SUM(F56:F59)</f>
      </c>
      <c r="G60" s="27">
        <f>SUM(G56:G59)</f>
      </c>
      <c r="H60" s="28">
        <f t="shared" si="0"/>
      </c>
      <c r="I60" s="28">
        <f t="shared" si="1"/>
      </c>
      <c r="J60" s="28">
        <f t="shared" si="2"/>
      </c>
      <c r="K60" s="27">
        <f>SUM(K56:K59)</f>
      </c>
      <c r="L60" s="27">
        <f>SUM(L56:L59)</f>
      </c>
      <c r="M60" s="29"/>
      <c r="N60" s="27">
        <f>SUM(N56:N59)</f>
      </c>
      <c r="O60" s="29"/>
      <c r="P60" s="27">
        <f>SUM(P56:P59)</f>
      </c>
    </row>
    <row r="61">
      <c r="A61" s="6" t="s">
        <v>51</v>
      </c>
      <c r="B61" s="7" t="s">
        <v>18</v>
      </c>
      <c r="C61" s="8" t="s">
        <v>36</v>
      </c>
      <c r="D61" s="9">
        <v>5</v>
      </c>
      <c r="E61" s="10">
        <v>16</v>
      </c>
      <c r="F61" s="11">
        <v>20189.4</v>
      </c>
      <c r="G61" s="11">
        <v>18669.11</v>
      </c>
      <c r="H61" s="12">
        <f t="shared" si="0"/>
      </c>
      <c r="I61" s="12">
        <f t="shared" si="1"/>
      </c>
      <c r="J61" s="12">
        <f t="shared" si="2"/>
      </c>
      <c r="K61" s="10">
        <v>3</v>
      </c>
      <c r="L61" s="13">
        <v>3145.2</v>
      </c>
      <c r="M61" s="16"/>
      <c r="N61" s="23"/>
      <c r="O61" s="15"/>
      <c r="P61" s="15"/>
    </row>
    <row r="62">
      <c r="A62" s="6" t="s">
        <v>51</v>
      </c>
      <c r="B62" s="7" t="s">
        <v>24</v>
      </c>
      <c r="C62" s="8" t="s">
        <v>37</v>
      </c>
      <c r="D62" s="9">
        <v>5</v>
      </c>
      <c r="E62" s="10">
        <v>7</v>
      </c>
      <c r="F62" s="11">
        <v>8282.399999999998</v>
      </c>
      <c r="G62" s="8">
        <v>10248.480000000001</v>
      </c>
      <c r="H62" s="12">
        <f t="shared" si="0"/>
      </c>
      <c r="I62" s="12">
        <f t="shared" si="1"/>
      </c>
      <c r="J62" s="12">
        <f t="shared" si="2"/>
      </c>
      <c r="K62" s="10">
        <v>3</v>
      </c>
      <c r="L62" s="13">
        <v>1780.8</v>
      </c>
      <c r="M62" s="16" t="s">
        <v>28</v>
      </c>
      <c r="N62" s="17">
        <v>10</v>
      </c>
      <c r="O62" s="31" t="s">
        <v>23</v>
      </c>
      <c r="P62" s="18">
        <v>10</v>
      </c>
    </row>
    <row r="63">
      <c r="A63" s="6" t="s">
        <v>51</v>
      </c>
      <c r="B63" s="7" t="s">
        <v>26</v>
      </c>
      <c r="C63" s="8" t="s">
        <v>38</v>
      </c>
      <c r="D63" s="9">
        <v>5</v>
      </c>
      <c r="E63" s="10">
        <v>8</v>
      </c>
      <c r="F63" s="11">
        <v>8428.4</v>
      </c>
      <c r="G63" s="11">
        <v>11018.62</v>
      </c>
      <c r="H63" s="12">
        <f t="shared" si="0"/>
      </c>
      <c r="I63" s="12">
        <f t="shared" si="1"/>
      </c>
      <c r="J63" s="12">
        <f t="shared" si="2"/>
      </c>
      <c r="K63" s="10">
        <v>2</v>
      </c>
      <c r="L63" s="13">
        <v>1728</v>
      </c>
      <c r="M63" s="19"/>
      <c r="N63" s="20"/>
      <c r="O63" s="20"/>
      <c r="P63" s="21"/>
    </row>
    <row r="64">
      <c r="A64" s="6" t="s">
        <v>51</v>
      </c>
      <c r="B64" s="7" t="s">
        <v>30</v>
      </c>
      <c r="C64" s="8" t="s">
        <v>39</v>
      </c>
      <c r="D64" s="9">
        <v>5</v>
      </c>
      <c r="E64" s="10">
        <v>10</v>
      </c>
      <c r="F64" s="22">
        <v>11977</v>
      </c>
      <c r="G64" s="22">
        <v>13332.699999999999</v>
      </c>
      <c r="H64" s="12">
        <f t="shared" si="0"/>
      </c>
      <c r="I64" s="12">
        <f t="shared" si="1"/>
      </c>
      <c r="J64" s="12">
        <f t="shared" si="2"/>
      </c>
      <c r="K64" s="10">
        <v>4</v>
      </c>
      <c r="L64" s="13">
        <v>5701</v>
      </c>
      <c r="M64" s="18" t="s">
        <v>50</v>
      </c>
      <c r="N64" s="23">
        <v>10</v>
      </c>
      <c r="O64" s="32" t="s">
        <v>29</v>
      </c>
      <c r="P64" s="18">
        <v>10</v>
      </c>
    </row>
    <row r="65">
      <c r="A65" s="25" t="s">
        <v>51</v>
      </c>
      <c r="B65" s="26" t="s">
        <v>33</v>
      </c>
      <c r="C65" s="26"/>
      <c r="D65" s="27">
        <f>SUM(D61:D64)</f>
      </c>
      <c r="E65" s="27">
        <f>SUM(E61:E64)</f>
      </c>
      <c r="F65" s="27">
        <f>SUM(F61:F64)</f>
      </c>
      <c r="G65" s="27">
        <f>SUM(G61:G64)</f>
      </c>
      <c r="H65" s="28">
        <f t="shared" si="0"/>
      </c>
      <c r="I65" s="28">
        <f t="shared" si="1"/>
      </c>
      <c r="J65" s="28">
        <f t="shared" si="2"/>
      </c>
      <c r="K65" s="27">
        <f>SUM(K61:K64)</f>
      </c>
      <c r="L65" s="27">
        <f>SUM(L61:L64)</f>
      </c>
      <c r="M65" s="29"/>
      <c r="N65" s="27">
        <f>SUM(N61:N64)</f>
      </c>
      <c r="O65" s="29"/>
      <c r="P65" s="27">
        <f>SUM(P61:P64)</f>
      </c>
    </row>
    <row r="66">
      <c r="A66" s="6" t="s">
        <v>52</v>
      </c>
      <c r="B66" s="7" t="s">
        <v>24</v>
      </c>
      <c r="C66" s="8" t="s">
        <v>19</v>
      </c>
      <c r="D66" s="9">
        <v>4</v>
      </c>
      <c r="E66" s="10">
        <v>4</v>
      </c>
      <c r="F66" s="11">
        <v>5102.4</v>
      </c>
      <c r="G66" s="11">
        <v>5531.12</v>
      </c>
      <c r="H66" s="12">
        <f t="shared" si="0"/>
      </c>
      <c r="I66" s="12">
        <f t="shared" si="1"/>
      </c>
      <c r="J66" s="12">
        <f t="shared" si="2"/>
      </c>
      <c r="K66" s="10">
        <v>1</v>
      </c>
      <c r="L66" s="13">
        <v>468</v>
      </c>
      <c r="M66" s="14"/>
      <c r="N66" s="14"/>
      <c r="O66" s="15"/>
      <c r="P66" s="15"/>
    </row>
    <row r="67">
      <c r="A67" s="6" t="s">
        <v>52</v>
      </c>
      <c r="B67" s="7" t="s">
        <v>26</v>
      </c>
      <c r="C67" s="8" t="s">
        <v>21</v>
      </c>
      <c r="D67" s="9">
        <v>4</v>
      </c>
      <c r="E67" s="10">
        <v>6</v>
      </c>
      <c r="F67" s="11">
        <v>6256.6</v>
      </c>
      <c r="G67" s="8">
        <v>7077.74</v>
      </c>
      <c r="H67" s="12">
        <f t="shared" si="0"/>
      </c>
      <c r="I67" s="12">
        <f t="shared" si="1"/>
      </c>
      <c r="J67" s="12">
        <f t="shared" si="2"/>
      </c>
      <c r="K67" s="10">
        <v>4</v>
      </c>
      <c r="L67" s="13">
        <v>4754.2</v>
      </c>
      <c r="M67" s="18" t="s">
        <v>28</v>
      </c>
      <c r="N67" s="23">
        <v>10</v>
      </c>
      <c r="O67" s="31" t="s">
        <v>23</v>
      </c>
      <c r="P67" s="18">
        <v>10</v>
      </c>
    </row>
    <row r="68">
      <c r="A68" s="6" t="s">
        <v>52</v>
      </c>
      <c r="B68" s="7" t="s">
        <v>30</v>
      </c>
      <c r="C68" s="8" t="s">
        <v>25</v>
      </c>
      <c r="D68" s="9">
        <v>4</v>
      </c>
      <c r="E68" s="10">
        <v>0</v>
      </c>
      <c r="F68" s="11">
        <v>0</v>
      </c>
      <c r="G68" s="11">
        <v>3516.28</v>
      </c>
      <c r="H68" s="12">
        <f t="shared" si="0"/>
      </c>
      <c r="I68" s="12">
        <f t="shared" si="1"/>
      </c>
      <c r="J68" s="12">
        <f t="shared" si="2"/>
      </c>
      <c r="K68" s="10">
        <v>0</v>
      </c>
      <c r="L68" s="13">
        <v>0</v>
      </c>
      <c r="M68" s="39"/>
      <c r="N68" s="40"/>
      <c r="O68" s="20"/>
      <c r="P68" s="21"/>
    </row>
    <row r="69">
      <c r="A69" s="6" t="s">
        <v>52</v>
      </c>
      <c r="B69" s="7" t="s">
        <v>20</v>
      </c>
      <c r="C69" s="8" t="s">
        <v>27</v>
      </c>
      <c r="D69" s="9">
        <v>4</v>
      </c>
      <c r="E69" s="10">
        <v>7</v>
      </c>
      <c r="F69" s="22">
        <v>4828.8</v>
      </c>
      <c r="G69" s="22">
        <v>7520.69</v>
      </c>
      <c r="H69" s="12">
        <f t="shared" si="0"/>
      </c>
      <c r="I69" s="12">
        <f t="shared" si="1"/>
      </c>
      <c r="J69" s="12">
        <f t="shared" si="2"/>
      </c>
      <c r="K69" s="10">
        <v>1</v>
      </c>
      <c r="L69" s="13">
        <v>396</v>
      </c>
      <c r="M69" s="34"/>
      <c r="N69" s="34"/>
      <c r="O69" s="41" t="s">
        <v>29</v>
      </c>
      <c r="P69" s="18">
        <v>10</v>
      </c>
    </row>
    <row r="70">
      <c r="A70" s="6" t="s">
        <v>52</v>
      </c>
      <c r="B70" s="7" t="s">
        <v>18</v>
      </c>
      <c r="C70" s="8" t="s">
        <v>31</v>
      </c>
      <c r="D70" s="9">
        <v>4</v>
      </c>
      <c r="E70" s="10">
        <v>12</v>
      </c>
      <c r="F70" s="22">
        <v>6005.8</v>
      </c>
      <c r="G70" s="22">
        <v>11806.78</v>
      </c>
      <c r="H70" s="12">
        <f t="shared" si="0"/>
      </c>
      <c r="I70" s="12">
        <f t="shared" si="1"/>
      </c>
      <c r="J70" s="12">
        <f t="shared" si="2"/>
      </c>
      <c r="K70" s="10">
        <v>2</v>
      </c>
      <c r="L70" s="13">
        <v>1226.4</v>
      </c>
      <c r="M70" s="16" t="s">
        <v>50</v>
      </c>
      <c r="N70" s="17">
        <v>10</v>
      </c>
      <c r="O70" s="15"/>
      <c r="P70" s="15"/>
    </row>
    <row r="71">
      <c r="A71" s="25" t="s">
        <v>52</v>
      </c>
      <c r="B71" s="26" t="s">
        <v>33</v>
      </c>
      <c r="C71" s="26"/>
      <c r="D71" s="27">
        <f>SUM(D66:D70)</f>
      </c>
      <c r="E71" s="27">
        <f>SUM(E66:E70)</f>
      </c>
      <c r="F71" s="27">
        <f>SUM(F66:F70)</f>
      </c>
      <c r="G71" s="27">
        <f>SUM(G66:G70)</f>
      </c>
      <c r="H71" s="28">
        <f t="shared" si="0"/>
      </c>
      <c r="I71" s="28">
        <f t="shared" si="1"/>
      </c>
      <c r="J71" s="28">
        <f t="shared" si="2"/>
      </c>
      <c r="K71" s="27">
        <f>SUM(K66:K70)</f>
      </c>
      <c r="L71" s="27">
        <f>SUM(L66:L70)</f>
      </c>
      <c r="M71" s="33"/>
      <c r="N71" s="27">
        <f>SUM(N66:N70)</f>
      </c>
      <c r="O71" s="29"/>
      <c r="P71" s="27">
        <f>SUM(P66:P70)</f>
      </c>
    </row>
    <row r="72">
      <c r="A72" s="6" t="s">
        <v>53</v>
      </c>
      <c r="B72" s="7" t="s">
        <v>24</v>
      </c>
      <c r="C72" s="8" t="s">
        <v>19</v>
      </c>
      <c r="D72" s="9">
        <v>4</v>
      </c>
      <c r="E72" s="10">
        <v>1</v>
      </c>
      <c r="F72" s="11">
        <v>415.2</v>
      </c>
      <c r="G72" s="11">
        <v>4435.1</v>
      </c>
      <c r="H72" s="12">
        <f t="shared" si="0"/>
      </c>
      <c r="I72" s="12">
        <f t="shared" si="1"/>
      </c>
      <c r="J72" s="12">
        <f t="shared" si="2"/>
      </c>
      <c r="K72" s="10">
        <v>0</v>
      </c>
      <c r="L72" s="13">
        <v>0</v>
      </c>
      <c r="M72" s="14"/>
      <c r="N72" s="14"/>
      <c r="O72" s="15"/>
      <c r="P72" s="15"/>
    </row>
    <row r="73">
      <c r="A73" s="6" t="s">
        <v>53</v>
      </c>
      <c r="B73" s="7" t="s">
        <v>26</v>
      </c>
      <c r="C73" s="8" t="s">
        <v>21</v>
      </c>
      <c r="D73" s="9">
        <v>4</v>
      </c>
      <c r="E73" s="10">
        <v>4</v>
      </c>
      <c r="F73" s="11">
        <v>5972.2</v>
      </c>
      <c r="G73" s="8">
        <v>3214.4799999999996</v>
      </c>
      <c r="H73" s="12">
        <f t="shared" si="0"/>
      </c>
      <c r="I73" s="12">
        <f t="shared" si="1"/>
      </c>
      <c r="J73" s="12">
        <f t="shared" si="2"/>
      </c>
      <c r="K73" s="10">
        <v>1</v>
      </c>
      <c r="L73" s="13">
        <v>2148</v>
      </c>
      <c r="M73" s="18" t="s">
        <v>28</v>
      </c>
      <c r="N73" s="23">
        <v>10</v>
      </c>
      <c r="O73" s="31" t="s">
        <v>23</v>
      </c>
      <c r="P73" s="18">
        <v>10</v>
      </c>
    </row>
    <row r="74">
      <c r="A74" s="6" t="s">
        <v>53</v>
      </c>
      <c r="B74" s="7" t="s">
        <v>30</v>
      </c>
      <c r="C74" s="8" t="s">
        <v>25</v>
      </c>
      <c r="D74" s="9">
        <v>4</v>
      </c>
      <c r="E74" s="10">
        <v>9</v>
      </c>
      <c r="F74" s="11">
        <v>7425.4</v>
      </c>
      <c r="G74" s="11">
        <v>13011.859999999999</v>
      </c>
      <c r="H74" s="12">
        <f t="shared" si="0"/>
      </c>
      <c r="I74" s="12">
        <f t="shared" si="1"/>
      </c>
      <c r="J74" s="12">
        <f t="shared" si="2"/>
      </c>
      <c r="K74" s="10">
        <v>3</v>
      </c>
      <c r="L74" s="13">
        <v>2850</v>
      </c>
      <c r="M74" s="39"/>
      <c r="N74" s="40"/>
      <c r="O74" s="20"/>
      <c r="P74" s="21"/>
    </row>
    <row r="75">
      <c r="A75" s="6" t="s">
        <v>53</v>
      </c>
      <c r="B75" s="7" t="s">
        <v>20</v>
      </c>
      <c r="C75" s="8" t="s">
        <v>27</v>
      </c>
      <c r="D75" s="9">
        <v>4</v>
      </c>
      <c r="E75" s="10">
        <v>15</v>
      </c>
      <c r="F75" s="22">
        <v>17743.2</v>
      </c>
      <c r="G75" s="22">
        <v>13925.02</v>
      </c>
      <c r="H75" s="12">
        <f t="shared" si="0"/>
      </c>
      <c r="I75" s="12">
        <f t="shared" si="1"/>
      </c>
      <c r="J75" s="12">
        <f t="shared" si="2"/>
      </c>
      <c r="K75" s="10">
        <v>2</v>
      </c>
      <c r="L75" s="13">
        <v>1436.4</v>
      </c>
      <c r="M75" s="34"/>
      <c r="N75" s="34"/>
      <c r="O75" s="41" t="s">
        <v>29</v>
      </c>
      <c r="P75" s="18">
        <v>10</v>
      </c>
    </row>
    <row r="76">
      <c r="A76" s="6" t="s">
        <v>53</v>
      </c>
      <c r="B76" s="7" t="s">
        <v>18</v>
      </c>
      <c r="C76" s="8" t="s">
        <v>31</v>
      </c>
      <c r="D76" s="9">
        <v>4</v>
      </c>
      <c r="E76" s="10">
        <v>12</v>
      </c>
      <c r="F76" s="22">
        <v>13448.159999999998</v>
      </c>
      <c r="G76" s="22">
        <v>18010.84</v>
      </c>
      <c r="H76" s="12">
        <f t="shared" si="0"/>
      </c>
      <c r="I76" s="12">
        <f t="shared" si="1"/>
      </c>
      <c r="J76" s="12">
        <f t="shared" si="2"/>
      </c>
      <c r="K76" s="10">
        <v>4</v>
      </c>
      <c r="L76" s="13">
        <v>5457.599999999999</v>
      </c>
      <c r="M76" s="16" t="s">
        <v>50</v>
      </c>
      <c r="N76" s="17">
        <v>10</v>
      </c>
      <c r="O76" s="15"/>
      <c r="P76" s="15"/>
    </row>
    <row r="77">
      <c r="A77" s="25" t="s">
        <v>53</v>
      </c>
      <c r="B77" s="26" t="s">
        <v>33</v>
      </c>
      <c r="C77" s="26"/>
      <c r="D77" s="27">
        <f>SUM(D72:D76)</f>
      </c>
      <c r="E77" s="27">
        <f>SUM(E72:E76)</f>
      </c>
      <c r="F77" s="27">
        <f>SUM(F72:F76)</f>
      </c>
      <c r="G77" s="27">
        <f>SUM(G72:G76)</f>
      </c>
      <c r="H77" s="28">
        <f t="shared" si="0"/>
      </c>
      <c r="I77" s="28">
        <f t="shared" si="1"/>
      </c>
      <c r="J77" s="28">
        <f t="shared" si="2"/>
      </c>
      <c r="K77" s="27">
        <f>SUM(K72:K76)</f>
      </c>
      <c r="L77" s="27">
        <f>SUM(L72:L76)</f>
      </c>
      <c r="M77" s="33"/>
      <c r="N77" s="27">
        <f>SUM(N72:N76)</f>
      </c>
      <c r="O77" s="29"/>
      <c r="P77" s="27">
        <f>SUM(P72:P76)</f>
      </c>
    </row>
    <row r="78">
      <c r="A78" s="6" t="s">
        <v>54</v>
      </c>
      <c r="B78" s="7" t="s">
        <v>26</v>
      </c>
      <c r="C78" s="8" t="s">
        <v>19</v>
      </c>
      <c r="D78" s="9">
        <v>4</v>
      </c>
      <c r="E78" s="10">
        <v>9</v>
      </c>
      <c r="F78" s="11">
        <v>9580.8</v>
      </c>
      <c r="G78" s="11">
        <v>11485.28</v>
      </c>
      <c r="H78" s="12">
        <f t="shared" si="0"/>
      </c>
      <c r="I78" s="12">
        <f t="shared" si="1"/>
      </c>
      <c r="J78" s="12">
        <f t="shared" si="2"/>
      </c>
      <c r="K78" s="10">
        <v>2</v>
      </c>
      <c r="L78" s="13">
        <v>2691.6</v>
      </c>
      <c r="M78" s="14"/>
      <c r="N78" s="14"/>
      <c r="O78" s="15"/>
      <c r="P78" s="15"/>
    </row>
    <row r="79">
      <c r="A79" s="6" t="s">
        <v>54</v>
      </c>
      <c r="B79" s="7" t="s">
        <v>30</v>
      </c>
      <c r="C79" s="8" t="s">
        <v>21</v>
      </c>
      <c r="D79" s="9">
        <v>4</v>
      </c>
      <c r="E79" s="10">
        <v>3</v>
      </c>
      <c r="F79" s="11">
        <v>3415.2000000000007</v>
      </c>
      <c r="G79" s="8">
        <v>7494.25</v>
      </c>
      <c r="H79" s="12">
        <f t="shared" si="0"/>
      </c>
      <c r="I79" s="12">
        <f t="shared" si="1"/>
      </c>
      <c r="J79" s="12">
        <f t="shared" si="2"/>
      </c>
      <c r="K79" s="10">
        <v>0</v>
      </c>
      <c r="L79" s="13">
        <v>0</v>
      </c>
      <c r="M79" s="18" t="s">
        <v>55</v>
      </c>
      <c r="N79" s="23">
        <v>10</v>
      </c>
      <c r="O79" s="31" t="s">
        <v>23</v>
      </c>
      <c r="P79" s="18">
        <v>10</v>
      </c>
    </row>
    <row r="80">
      <c r="A80" s="6" t="s">
        <v>54</v>
      </c>
      <c r="B80" s="7" t="s">
        <v>20</v>
      </c>
      <c r="C80" s="8" t="s">
        <v>25</v>
      </c>
      <c r="D80" s="9">
        <v>4</v>
      </c>
      <c r="E80" s="10">
        <v>2</v>
      </c>
      <c r="F80" s="11">
        <v>442.80000000000035</v>
      </c>
      <c r="G80" s="11">
        <v>5339.05</v>
      </c>
      <c r="H80" s="12">
        <f t="shared" si="0"/>
      </c>
      <c r="I80" s="12">
        <f t="shared" si="1"/>
      </c>
      <c r="J80" s="12">
        <f t="shared" si="2"/>
      </c>
      <c r="K80" s="10">
        <v>1</v>
      </c>
      <c r="L80" s="13">
        <v>243.6</v>
      </c>
      <c r="M80" s="39"/>
      <c r="N80" s="40"/>
      <c r="O80" s="20"/>
      <c r="P80" s="21"/>
    </row>
    <row r="81">
      <c r="A81" s="6" t="s">
        <v>54</v>
      </c>
      <c r="B81" s="7" t="s">
        <v>18</v>
      </c>
      <c r="C81" s="8" t="s">
        <v>27</v>
      </c>
      <c r="D81" s="9">
        <v>4</v>
      </c>
      <c r="E81" s="10">
        <v>7</v>
      </c>
      <c r="F81" s="22">
        <v>5812.8</v>
      </c>
      <c r="G81" s="22">
        <v>10364.12</v>
      </c>
      <c r="H81" s="12">
        <f t="shared" si="0"/>
      </c>
      <c r="I81" s="12">
        <f t="shared" si="1"/>
      </c>
      <c r="J81" s="12">
        <f t="shared" si="2"/>
      </c>
      <c r="K81" s="10">
        <v>1</v>
      </c>
      <c r="L81" s="13">
        <v>202.8</v>
      </c>
      <c r="M81" s="34"/>
      <c r="N81" s="34"/>
      <c r="O81" s="41" t="s">
        <v>29</v>
      </c>
      <c r="P81" s="18">
        <v>10</v>
      </c>
    </row>
    <row r="82">
      <c r="A82" s="6" t="s">
        <v>54</v>
      </c>
      <c r="B82" s="7" t="s">
        <v>24</v>
      </c>
      <c r="C82" s="8" t="s">
        <v>31</v>
      </c>
      <c r="D82" s="9">
        <v>4</v>
      </c>
      <c r="E82" s="10">
        <v>11</v>
      </c>
      <c r="F82" s="22">
        <v>11427.8</v>
      </c>
      <c r="G82" s="22">
        <v>11537.42</v>
      </c>
      <c r="H82" s="12">
        <f t="shared" si="0"/>
      </c>
      <c r="I82" s="12">
        <f t="shared" si="1"/>
      </c>
      <c r="J82" s="12">
        <f t="shared" si="2"/>
      </c>
      <c r="K82" s="10">
        <v>3</v>
      </c>
      <c r="L82" s="13">
        <v>2311.2</v>
      </c>
      <c r="M82" s="16" t="s">
        <v>50</v>
      </c>
      <c r="N82" s="17">
        <v>10</v>
      </c>
      <c r="O82" s="15"/>
      <c r="P82" s="15"/>
    </row>
    <row r="83">
      <c r="A83" s="25" t="s">
        <v>54</v>
      </c>
      <c r="B83" s="26" t="s">
        <v>33</v>
      </c>
      <c r="C83" s="26"/>
      <c r="D83" s="27">
        <f>SUM(D78:D82)</f>
      </c>
      <c r="E83" s="27">
        <f>SUM(E78:E82)</f>
      </c>
      <c r="F83" s="27">
        <f>SUM(F78:F82)</f>
      </c>
      <c r="G83" s="27">
        <f>SUM(G78:G82)</f>
      </c>
      <c r="H83" s="28">
        <f t="shared" si="0"/>
      </c>
      <c r="I83" s="28">
        <f t="shared" si="1"/>
      </c>
      <c r="J83" s="28">
        <f t="shared" si="2"/>
      </c>
      <c r="K83" s="27">
        <f>SUM(K78:K82)</f>
      </c>
      <c r="L83" s="27">
        <f>SUM(L78:L82)</f>
      </c>
      <c r="M83" s="33"/>
      <c r="N83" s="27">
        <f>SUM(N78:N82)</f>
      </c>
      <c r="O83" s="29"/>
      <c r="P83" s="27">
        <f>SUM(P78:P82)</f>
      </c>
    </row>
    <row r="84">
      <c r="A84" s="6" t="s">
        <v>56</v>
      </c>
      <c r="B84" s="7" t="s">
        <v>30</v>
      </c>
      <c r="C84" s="8" t="s">
        <v>19</v>
      </c>
      <c r="D84" s="9">
        <v>4</v>
      </c>
      <c r="E84" s="10">
        <v>6</v>
      </c>
      <c r="F84" s="11">
        <v>5116.8</v>
      </c>
      <c r="G84" s="11">
        <v>11694.65</v>
      </c>
      <c r="H84" s="12">
        <f t="shared" si="0"/>
      </c>
      <c r="I84" s="12">
        <f t="shared" si="1"/>
      </c>
      <c r="J84" s="12">
        <f t="shared" si="2"/>
      </c>
      <c r="K84" s="10">
        <v>2</v>
      </c>
      <c r="L84" s="13">
        <v>750</v>
      </c>
      <c r="M84" s="14"/>
      <c r="N84" s="14"/>
      <c r="O84" s="15"/>
      <c r="P84" s="15"/>
    </row>
    <row r="85">
      <c r="A85" s="6" t="s">
        <v>56</v>
      </c>
      <c r="B85" s="7" t="s">
        <v>20</v>
      </c>
      <c r="C85" s="8" t="s">
        <v>21</v>
      </c>
      <c r="D85" s="9">
        <v>4</v>
      </c>
      <c r="E85" s="10">
        <v>8</v>
      </c>
      <c r="F85" s="11">
        <v>8065.2</v>
      </c>
      <c r="G85" s="8">
        <v>7800.52</v>
      </c>
      <c r="H85" s="12">
        <f t="shared" si="0"/>
      </c>
      <c r="I85" s="12">
        <f t="shared" si="1"/>
      </c>
      <c r="J85" s="12">
        <f t="shared" si="2"/>
      </c>
      <c r="K85" s="10">
        <v>0</v>
      </c>
      <c r="L85" s="13">
        <v>0</v>
      </c>
      <c r="M85" s="18" t="s">
        <v>55</v>
      </c>
      <c r="N85" s="23">
        <v>10</v>
      </c>
      <c r="O85" s="31" t="s">
        <v>23</v>
      </c>
      <c r="P85" s="18">
        <v>10</v>
      </c>
    </row>
    <row r="86">
      <c r="A86" s="6" t="s">
        <v>56</v>
      </c>
      <c r="B86" s="7" t="s">
        <v>18</v>
      </c>
      <c r="C86" s="8" t="s">
        <v>25</v>
      </c>
      <c r="D86" s="9">
        <v>4</v>
      </c>
      <c r="E86" s="10">
        <v>3</v>
      </c>
      <c r="F86" s="11">
        <v>3420</v>
      </c>
      <c r="G86" s="11">
        <v>6972.94</v>
      </c>
      <c r="H86" s="12">
        <f t="shared" si="0"/>
      </c>
      <c r="I86" s="12">
        <f t="shared" si="1"/>
      </c>
      <c r="J86" s="12">
        <f t="shared" si="2"/>
      </c>
      <c r="K86" s="10">
        <v>1</v>
      </c>
      <c r="L86" s="13">
        <v>420</v>
      </c>
      <c r="M86" s="39"/>
      <c r="N86" s="40"/>
      <c r="O86" s="20"/>
      <c r="P86" s="21"/>
    </row>
    <row r="87">
      <c r="A87" s="6" t="s">
        <v>56</v>
      </c>
      <c r="B87" s="7" t="s">
        <v>24</v>
      </c>
      <c r="C87" s="8" t="s">
        <v>27</v>
      </c>
      <c r="D87" s="9">
        <v>4</v>
      </c>
      <c r="E87" s="10">
        <v>2</v>
      </c>
      <c r="F87" s="11">
        <v>1950</v>
      </c>
      <c r="G87" s="11">
        <v>4843.51</v>
      </c>
      <c r="H87" s="12">
        <f t="shared" si="0"/>
      </c>
      <c r="I87" s="12">
        <f t="shared" si="1"/>
      </c>
      <c r="J87" s="12">
        <f t="shared" si="2"/>
      </c>
      <c r="K87" s="10">
        <v>0</v>
      </c>
      <c r="L87" s="13">
        <v>0</v>
      </c>
      <c r="M87" s="14" t="s">
        <v>48</v>
      </c>
      <c r="N87" s="14">
        <v>6</v>
      </c>
      <c r="O87" s="41" t="s">
        <v>29</v>
      </c>
      <c r="P87" s="18">
        <v>10</v>
      </c>
    </row>
    <row r="88">
      <c r="A88" s="25" t="s">
        <v>56</v>
      </c>
      <c r="B88" s="26" t="s">
        <v>33</v>
      </c>
      <c r="C88" s="26"/>
      <c r="D88" s="27">
        <f>SUM(D84:D87)</f>
      </c>
      <c r="E88" s="27">
        <f>SUM(E84:E87)</f>
      </c>
      <c r="F88" s="27">
        <f>SUM(F84:F87)</f>
      </c>
      <c r="G88" s="27">
        <f>SUM(G84:G87)</f>
      </c>
      <c r="H88" s="28">
        <f t="shared" si="0"/>
      </c>
      <c r="I88" s="28">
        <f t="shared" si="1"/>
      </c>
      <c r="J88" s="28">
        <f t="shared" si="2"/>
      </c>
      <c r="K88" s="27">
        <f>SUM(K84:K87)</f>
      </c>
      <c r="L88" s="27">
        <f>SUM(L84:L87)</f>
      </c>
      <c r="M88" s="33"/>
      <c r="N88" s="27">
        <f>SUM(N84:N87)</f>
      </c>
      <c r="O88" s="29"/>
      <c r="P88" s="27">
        <f>SUM(P84:P87)</f>
      </c>
    </row>
    <row r="89">
      <c r="A89" s="6" t="s">
        <v>57</v>
      </c>
      <c r="B89" s="7" t="s">
        <v>30</v>
      </c>
      <c r="C89" s="8" t="s">
        <v>36</v>
      </c>
      <c r="D89" s="9">
        <v>5</v>
      </c>
      <c r="E89" s="10">
        <v>3</v>
      </c>
      <c r="F89" s="11">
        <v>3760.8</v>
      </c>
      <c r="G89" s="11">
        <v>4995.98</v>
      </c>
      <c r="H89" s="12">
        <f t="shared" si="0"/>
      </c>
      <c r="I89" s="12">
        <f t="shared" si="1"/>
      </c>
      <c r="J89" s="12">
        <f t="shared" si="2"/>
      </c>
      <c r="K89" s="10">
        <v>1</v>
      </c>
      <c r="L89" s="13">
        <v>633.6</v>
      </c>
      <c r="M89" s="14"/>
      <c r="N89" s="14"/>
      <c r="O89" s="15"/>
      <c r="P89" s="15"/>
    </row>
    <row r="90">
      <c r="A90" s="6" t="s">
        <v>57</v>
      </c>
      <c r="B90" s="7" t="s">
        <v>20</v>
      </c>
      <c r="C90" s="8" t="s">
        <v>37</v>
      </c>
      <c r="D90" s="9">
        <v>5</v>
      </c>
      <c r="E90" s="10">
        <v>4</v>
      </c>
      <c r="F90" s="11">
        <v>2240.3999999999996</v>
      </c>
      <c r="G90" s="8">
        <v>9392.47</v>
      </c>
      <c r="H90" s="12">
        <f t="shared" si="0"/>
      </c>
      <c r="I90" s="12">
        <f t="shared" si="1"/>
      </c>
      <c r="J90" s="12">
        <f t="shared" si="2"/>
      </c>
      <c r="K90" s="10">
        <v>1</v>
      </c>
      <c r="L90" s="13">
        <v>190.8</v>
      </c>
      <c r="M90" s="18" t="s">
        <v>58</v>
      </c>
      <c r="N90" s="23">
        <v>10</v>
      </c>
      <c r="O90" s="31" t="s">
        <v>23</v>
      </c>
      <c r="P90" s="18">
        <v>10</v>
      </c>
    </row>
    <row r="91">
      <c r="A91" s="6" t="s">
        <v>57</v>
      </c>
      <c r="B91" s="7" t="s">
        <v>26</v>
      </c>
      <c r="C91" s="8" t="s">
        <v>38</v>
      </c>
      <c r="D91" s="9">
        <v>5</v>
      </c>
      <c r="E91" s="10">
        <v>20</v>
      </c>
      <c r="F91" s="11">
        <v>14865.6</v>
      </c>
      <c r="G91" s="11">
        <v>14723.33</v>
      </c>
      <c r="H91" s="12">
        <f t="shared" si="0"/>
      </c>
      <c r="I91" s="12">
        <f t="shared" si="1"/>
      </c>
      <c r="J91" s="12">
        <f t="shared" si="2"/>
      </c>
      <c r="K91" s="10">
        <v>3</v>
      </c>
      <c r="L91" s="13">
        <v>1742.4</v>
      </c>
      <c r="M91" s="39"/>
      <c r="N91" s="40"/>
      <c r="O91" s="20"/>
      <c r="P91" s="21"/>
    </row>
    <row r="92">
      <c r="A92" s="6" t="s">
        <v>57</v>
      </c>
      <c r="B92" s="7" t="s">
        <v>24</v>
      </c>
      <c r="C92" s="8" t="s">
        <v>39</v>
      </c>
      <c r="D92" s="9">
        <v>5</v>
      </c>
      <c r="E92" s="10">
        <v>4</v>
      </c>
      <c r="F92" s="11">
        <v>5637.6</v>
      </c>
      <c r="G92" s="11">
        <v>11602.869999999999</v>
      </c>
      <c r="H92" s="12">
        <f t="shared" si="0"/>
      </c>
      <c r="I92" s="12">
        <f t="shared" si="1"/>
      </c>
      <c r="J92" s="12">
        <f t="shared" si="2"/>
      </c>
      <c r="K92" s="10">
        <v>0</v>
      </c>
      <c r="L92" s="13">
        <v>0</v>
      </c>
      <c r="M92" s="14" t="s">
        <v>50</v>
      </c>
      <c r="N92" s="14">
        <v>10</v>
      </c>
      <c r="O92" s="41" t="s">
        <v>29</v>
      </c>
      <c r="P92" s="18">
        <v>10</v>
      </c>
    </row>
    <row r="93">
      <c r="A93" s="25" t="s">
        <v>57</v>
      </c>
      <c r="B93" s="26" t="s">
        <v>33</v>
      </c>
      <c r="C93" s="26"/>
      <c r="D93" s="27">
        <f>SUM(D89:D92)</f>
      </c>
      <c r="E93" s="27">
        <f>SUM(E89:E92)</f>
      </c>
      <c r="F93" s="27">
        <f>SUM(F89:F92)</f>
      </c>
      <c r="G93" s="27">
        <f>SUM(G89:G92)</f>
      </c>
      <c r="H93" s="28">
        <f t="shared" si="0"/>
      </c>
      <c r="I93" s="28">
        <f t="shared" si="1"/>
      </c>
      <c r="J93" s="28">
        <f t="shared" si="2"/>
      </c>
      <c r="K93" s="27">
        <f>SUM(K89:K92)</f>
      </c>
      <c r="L93" s="27">
        <f>SUM(L89:L92)</f>
      </c>
      <c r="M93" s="33"/>
      <c r="N93" s="27">
        <f>SUM(N89:N92)</f>
      </c>
      <c r="O93" s="29"/>
      <c r="P93" s="27">
        <f>SUM(P89:P92)</f>
      </c>
    </row>
    <row r="94">
      <c r="A94" s="6" t="s">
        <v>59</v>
      </c>
      <c r="B94" s="7" t="s">
        <v>30</v>
      </c>
      <c r="C94" s="8" t="s">
        <v>36</v>
      </c>
      <c r="D94" s="9">
        <v>5</v>
      </c>
      <c r="E94" s="10">
        <v>4</v>
      </c>
      <c r="F94" s="11">
        <v>6770.4</v>
      </c>
      <c r="G94" s="11">
        <v>2291.93</v>
      </c>
      <c r="H94" s="12">
        <f t="shared" si="0"/>
      </c>
      <c r="I94" s="12">
        <f t="shared" si="1"/>
      </c>
      <c r="J94" s="12">
        <f t="shared" si="2"/>
      </c>
      <c r="K94" s="10">
        <v>1</v>
      </c>
      <c r="L94" s="13">
        <v>2019.6</v>
      </c>
      <c r="M94" s="14" t="s">
        <v>58</v>
      </c>
      <c r="N94" s="14">
        <v>5</v>
      </c>
      <c r="O94" s="15"/>
      <c r="P94" s="15"/>
    </row>
    <row r="95">
      <c r="A95" s="6" t="s">
        <v>59</v>
      </c>
      <c r="B95" s="7" t="s">
        <v>20</v>
      </c>
      <c r="C95" s="8" t="s">
        <v>37</v>
      </c>
      <c r="D95" s="9">
        <v>5</v>
      </c>
      <c r="E95" s="10">
        <v>5</v>
      </c>
      <c r="F95" s="11">
        <v>7431.6</v>
      </c>
      <c r="G95" s="8">
        <v>7609.379999999999</v>
      </c>
      <c r="H95" s="12">
        <f t="shared" si="0"/>
      </c>
      <c r="I95" s="12">
        <f t="shared" si="1"/>
      </c>
      <c r="J95" s="12">
        <f t="shared" si="2"/>
      </c>
      <c r="K95" s="10">
        <v>0</v>
      </c>
      <c r="L95" s="13">
        <v>0</v>
      </c>
      <c r="M95" s="18" t="s">
        <v>60</v>
      </c>
      <c r="N95" s="23">
        <v>5</v>
      </c>
      <c r="O95" s="31" t="s">
        <v>23</v>
      </c>
      <c r="P95" s="18">
        <v>10</v>
      </c>
    </row>
    <row r="96">
      <c r="A96" s="6" t="s">
        <v>59</v>
      </c>
      <c r="B96" s="7" t="s">
        <v>24</v>
      </c>
      <c r="C96" s="8" t="s">
        <v>38</v>
      </c>
      <c r="D96" s="9">
        <v>5</v>
      </c>
      <c r="E96" s="10">
        <v>3</v>
      </c>
      <c r="F96" s="11">
        <v>3357.5999999999985</v>
      </c>
      <c r="G96" s="11">
        <v>4932.869999999999</v>
      </c>
      <c r="H96" s="12">
        <f t="shared" si="0"/>
      </c>
      <c r="I96" s="12">
        <f t="shared" si="1"/>
      </c>
      <c r="J96" s="12">
        <f t="shared" si="2"/>
      </c>
      <c r="K96" s="10">
        <v>1</v>
      </c>
      <c r="L96" s="13">
        <v>715.2000000000003</v>
      </c>
      <c r="M96" s="39"/>
      <c r="N96" s="40"/>
      <c r="O96" s="20"/>
      <c r="P96" s="21"/>
    </row>
    <row r="97">
      <c r="A97" s="6" t="s">
        <v>59</v>
      </c>
      <c r="B97" s="7" t="s">
        <v>26</v>
      </c>
      <c r="C97" s="8" t="s">
        <v>39</v>
      </c>
      <c r="D97" s="9">
        <v>5</v>
      </c>
      <c r="E97" s="10">
        <v>20</v>
      </c>
      <c r="F97" s="11">
        <v>25212.6</v>
      </c>
      <c r="G97" s="11">
        <v>17982.880000000005</v>
      </c>
      <c r="H97" s="12">
        <f t="shared" si="0"/>
      </c>
      <c r="I97" s="12">
        <f t="shared" si="1"/>
      </c>
      <c r="J97" s="12">
        <f t="shared" si="2"/>
      </c>
      <c r="K97" s="10">
        <v>7</v>
      </c>
      <c r="L97" s="13">
        <v>6077.8</v>
      </c>
      <c r="M97" s="14" t="s">
        <v>61</v>
      </c>
      <c r="N97" s="14">
        <v>10</v>
      </c>
      <c r="O97" s="41" t="s">
        <v>29</v>
      </c>
      <c r="P97" s="18">
        <v>10</v>
      </c>
    </row>
    <row r="98">
      <c r="A98" s="25" t="s">
        <v>59</v>
      </c>
      <c r="B98" s="26" t="s">
        <v>33</v>
      </c>
      <c r="C98" s="26"/>
      <c r="D98" s="27">
        <f>SUM(D94:D97)</f>
      </c>
      <c r="E98" s="27">
        <f>SUM(E94:E97)</f>
      </c>
      <c r="F98" s="27">
        <f>SUM(F94:F97)</f>
      </c>
      <c r="G98" s="27">
        <f>SUM(G94:G97)</f>
      </c>
      <c r="H98" s="28">
        <f t="shared" si="0"/>
      </c>
      <c r="I98" s="28">
        <f t="shared" si="1"/>
      </c>
      <c r="J98" s="28">
        <f t="shared" si="2"/>
      </c>
      <c r="K98" s="27">
        <f>SUM(K94:K97)</f>
      </c>
      <c r="L98" s="27">
        <f>SUM(L94:L97)</f>
      </c>
      <c r="M98" s="33"/>
      <c r="N98" s="27">
        <f>SUM(N94:N97)</f>
      </c>
      <c r="O98" s="29"/>
      <c r="P98" s="27">
        <f>SUM(P94:P97)</f>
      </c>
    </row>
    <row r="99">
      <c r="A99" s="6" t="s">
        <v>62</v>
      </c>
      <c r="B99" s="7" t="s">
        <v>30</v>
      </c>
      <c r="C99" s="8" t="s">
        <v>36</v>
      </c>
      <c r="D99" s="9">
        <v>4</v>
      </c>
      <c r="E99" s="10"/>
      <c r="F99" s="11"/>
      <c r="G99" s="11"/>
      <c r="H99" s="12">
        <f t="shared" si="0"/>
      </c>
      <c r="I99" s="12">
        <f t="shared" si="1"/>
      </c>
      <c r="J99" s="12">
        <f t="shared" si="2"/>
      </c>
      <c r="K99" s="10"/>
      <c r="L99" s="13"/>
      <c r="M99" s="14" t="s">
        <v>47</v>
      </c>
      <c r="N99" s="14">
        <v>10</v>
      </c>
      <c r="O99" s="15"/>
      <c r="P99" s="15"/>
    </row>
    <row r="100">
      <c r="A100" s="6" t="s">
        <v>62</v>
      </c>
      <c r="B100" s="7" t="s">
        <v>24</v>
      </c>
      <c r="C100" s="8" t="s">
        <v>37</v>
      </c>
      <c r="D100" s="9">
        <v>4</v>
      </c>
      <c r="E100" s="10"/>
      <c r="F100" s="11"/>
      <c r="G100" s="8"/>
      <c r="H100" s="12">
        <f t="shared" si="0"/>
      </c>
      <c r="I100" s="12">
        <f t="shared" si="1"/>
      </c>
      <c r="J100" s="12">
        <f t="shared" si="2"/>
      </c>
      <c r="K100" s="10"/>
      <c r="L100" s="13"/>
      <c r="M100" s="18"/>
      <c r="N100" s="23"/>
      <c r="O100" s="31" t="s">
        <v>23</v>
      </c>
      <c r="P100" s="18">
        <v>10</v>
      </c>
    </row>
    <row r="101">
      <c r="A101" s="6" t="s">
        <v>62</v>
      </c>
      <c r="B101" s="7" t="s">
        <v>26</v>
      </c>
      <c r="C101" s="8" t="s">
        <v>38</v>
      </c>
      <c r="D101" s="9">
        <v>4</v>
      </c>
      <c r="E101" s="10"/>
      <c r="F101" s="11"/>
      <c r="G101" s="11"/>
      <c r="H101" s="12">
        <f t="shared" si="0"/>
      </c>
      <c r="I101" s="12">
        <f t="shared" si="1"/>
      </c>
      <c r="J101" s="12">
        <f t="shared" si="2"/>
      </c>
      <c r="K101" s="10"/>
      <c r="L101" s="13"/>
      <c r="M101" s="39"/>
      <c r="N101" s="40"/>
      <c r="O101" s="20"/>
      <c r="P101" s="21"/>
    </row>
    <row r="102">
      <c r="A102" s="6" t="s">
        <v>62</v>
      </c>
      <c r="B102" s="7" t="s">
        <v>20</v>
      </c>
      <c r="C102" s="8" t="s">
        <v>39</v>
      </c>
      <c r="D102" s="9">
        <v>4</v>
      </c>
      <c r="E102" s="10"/>
      <c r="F102" s="11"/>
      <c r="G102" s="11"/>
      <c r="H102" s="12">
        <f t="shared" si="0"/>
      </c>
      <c r="I102" s="12">
        <f t="shared" si="1"/>
      </c>
      <c r="J102" s="12">
        <f t="shared" si="2"/>
      </c>
      <c r="K102" s="10"/>
      <c r="L102" s="13"/>
      <c r="M102" s="18" t="s">
        <v>63</v>
      </c>
      <c r="N102" s="14">
        <v>10</v>
      </c>
      <c r="O102" s="41" t="s">
        <v>29</v>
      </c>
      <c r="P102" s="18">
        <v>10</v>
      </c>
    </row>
    <row customHeight="true" ht="16.071428571428573" r="103">
      <c r="A103" s="6" t="s">
        <v>62</v>
      </c>
      <c r="B103" s="7" t="s">
        <v>18</v>
      </c>
      <c r="C103" s="8" t="s">
        <v>39</v>
      </c>
      <c r="D103" s="9">
        <v>4</v>
      </c>
      <c r="E103" s="10"/>
      <c r="F103" s="11"/>
      <c r="G103" s="11"/>
      <c r="H103" s="12">
        <f t="shared" si="0"/>
      </c>
      <c r="I103" s="12">
        <f t="shared" si="1"/>
      </c>
      <c r="J103" s="12">
        <f t="shared" si="2"/>
      </c>
      <c r="K103" s="10"/>
      <c r="L103" s="13"/>
      <c r="M103" s="14"/>
      <c r="N103" s="14"/>
      <c r="O103" s="41"/>
      <c r="P103" s="18"/>
    </row>
    <row r="104">
      <c r="A104" s="25" t="s">
        <v>62</v>
      </c>
      <c r="B104" s="26" t="s">
        <v>33</v>
      </c>
      <c r="C104" s="26"/>
      <c r="D104" s="27">
        <f>SUM(D99:D103)</f>
      </c>
      <c r="E104" s="27">
        <f>SUM(E99:E103)</f>
      </c>
      <c r="F104" s="27">
        <f>SUM(F99:F103)</f>
      </c>
      <c r="G104" s="27">
        <f>SUM(G99:G103)</f>
      </c>
      <c r="H104" s="28">
        <f t="shared" si="0"/>
      </c>
      <c r="I104" s="28">
        <f t="shared" si="1"/>
      </c>
      <c r="J104" s="28">
        <f t="shared" si="2"/>
      </c>
      <c r="K104" s="27">
        <f>SUM(K99:K103)</f>
      </c>
      <c r="L104" s="27">
        <f>SUM(L99:L103)</f>
      </c>
      <c r="M104" s="33"/>
      <c r="N104" s="27">
        <f>SUM(N99:N102)</f>
      </c>
      <c r="O104" s="29"/>
      <c r="P104" s="27">
        <f>SUM(P99:P102)</f>
      </c>
    </row>
    <row r="105"/>
    <row r="106"/>
    <row r="107"/>
    <row r="108">
      <c r="D108" s="42"/>
    </row>
    <row r="109">
      <c r="D109" s="42"/>
    </row>
    <row r="110">
      <c r="D110" s="42"/>
    </row>
    <row r="111">
      <c r="D111" s="42"/>
    </row>
    <row r="112">
      <c r="D112" s="42"/>
    </row>
    <row r="113">
      <c r="D113" s="42"/>
    </row>
    <row r="114">
      <c r="D114" s="42"/>
    </row>
    <row r="115">
      <c r="D115" s="42"/>
    </row>
    <row r="116">
      <c r="D116" s="42"/>
    </row>
    <row r="117">
      <c r="D117" s="42"/>
    </row>
    <row r="118">
      <c r="D118" s="42"/>
    </row>
    <row r="119">
      <c r="D119" s="42"/>
    </row>
    <row r="120">
      <c r="D120" s="42"/>
    </row>
    <row r="121">
      <c r="D121" s="42"/>
    </row>
    <row r="122">
      <c r="D122" s="42"/>
    </row>
    <row r="123">
      <c r="D123" s="42"/>
    </row>
    <row r="124">
      <c r="D124" s="42"/>
    </row>
    <row r="125">
      <c r="D125" s="42"/>
    </row>
    <row r="126">
      <c r="D126" s="42"/>
    </row>
    <row r="127">
      <c r="D127" s="42"/>
    </row>
    <row r="128">
      <c r="D128" s="42"/>
    </row>
    <row r="129">
      <c r="D129" s="42"/>
    </row>
    <row r="130">
      <c r="D130" s="42"/>
    </row>
    <row r="131">
      <c r="D131" s="42"/>
    </row>
    <row r="132">
      <c r="D132" s="42"/>
    </row>
    <row r="133">
      <c r="D133" s="42"/>
    </row>
    <row r="134">
      <c r="D134" s="42"/>
    </row>
  </sheetData>
  <autoFilter ref="A1:P104"/>
  <dataValidations count="1">
    <dataValidation allowBlank="true" errorStyle="stop" showErrorMessage="true" sqref="B2:B6 B8:B12 B14:B17 B19:B23 B25:B29 B31:B34 B36:B39 B41:B45 B47:B50 B52:B54 B56:B59 B61:B64 B66:B70 B72:B76 B78:B82 B84:B87 B89:B92 B94:B97 B99:B103" type="list">
      <formula1>"王硕硕,李紫瑞,刘杰宇,井欣阅,陈旭,于慧,李娜,栗敏纳"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7" min="7" style="0" width="14.34132922535211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8" min="8" style="0" width="12.876540492957746"/>
    <col collapsed="false" customWidth="true" hidden="false" max="12" min="12" style="0" width="11.211267605633802"/>
    <col collapsed="false" customWidth="true" hidden="false" max="16" min="16" style="0" width="12.64480633802817"/>
    <col collapsed="false" customWidth="true" hidden="false" max="4" min="4" style="0" width="11.211267605633802"/>
    <col collapsed="false" customWidth="true" hidden="false" max="9" min="9" style="0" width="12.64480633802817"/>
    <col collapsed="false" customWidth="true" hidden="false" max="13" min="13" style="0" width="12.64480633802817"/>
    <col collapsed="false" customWidth="true" hidden="false" max="5" min="5" style="0" width="11.211267605633802"/>
  </cols>
  <sheetData>
    <row r="1">
      <c r="A1" s="43" t="s">
        <v>64</v>
      </c>
      <c r="B1" s="44" t="s">
        <v>65</v>
      </c>
      <c r="C1" s="44" t="s">
        <v>66</v>
      </c>
      <c r="D1" s="45" t="s">
        <v>67</v>
      </c>
      <c r="E1" s="45" t="s">
        <v>68</v>
      </c>
      <c r="F1" s="46" t="s">
        <v>69</v>
      </c>
      <c r="G1" s="46" t="s">
        <v>70</v>
      </c>
      <c r="H1" s="47" t="s">
        <v>71</v>
      </c>
      <c r="I1" s="47" t="s">
        <v>72</v>
      </c>
      <c r="J1" s="47" t="s">
        <v>73</v>
      </c>
      <c r="K1" s="45" t="s">
        <v>74</v>
      </c>
      <c r="L1" s="44" t="s">
        <v>75</v>
      </c>
      <c r="M1" s="44" t="s">
        <v>76</v>
      </c>
      <c r="N1" s="44" t="s">
        <v>77</v>
      </c>
      <c r="O1" s="44" t="s">
        <v>78</v>
      </c>
      <c r="P1" s="44" t="s">
        <v>79</v>
      </c>
    </row>
    <row r="2">
      <c r="A2" s="48" t="s">
        <v>80</v>
      </c>
      <c r="B2" s="49" t="s">
        <v>81</v>
      </c>
      <c r="C2" s="50" t="s">
        <v>82</v>
      </c>
      <c r="D2" s="51">
        <v>1</v>
      </c>
      <c r="E2" s="52">
        <v>3</v>
      </c>
      <c r="F2" s="53">
        <v>3794.4</v>
      </c>
      <c r="G2" s="53">
        <v>2828.12</v>
      </c>
      <c r="H2" s="54">
        <f t="shared" ref="H2:H187" si="1">F2/G2</f>
      </c>
      <c r="I2" s="54">
        <f t="shared" ref="I2:I187" si="3">F2/E2</f>
      </c>
      <c r="J2" s="54">
        <f t="shared" ref="J2:J187" si="2">G2/E2</f>
      </c>
      <c r="K2" s="52">
        <v>0</v>
      </c>
      <c r="L2" s="55">
        <v>0</v>
      </c>
      <c r="M2" s="56" t="s">
        <v>83</v>
      </c>
      <c r="N2" s="57">
        <v>7</v>
      </c>
      <c r="O2" s="58"/>
      <c r="P2" s="58"/>
    </row>
    <row r="3">
      <c r="A3" s="48" t="s">
        <v>80</v>
      </c>
      <c r="B3" s="49" t="s">
        <v>84</v>
      </c>
      <c r="C3" s="50" t="s">
        <v>85</v>
      </c>
      <c r="D3" s="51">
        <v>5</v>
      </c>
      <c r="E3" s="52">
        <v>2</v>
      </c>
      <c r="F3" s="53">
        <v>1311.6</v>
      </c>
      <c r="G3" s="53">
        <v>5066.599999999999</v>
      </c>
      <c r="H3" s="54">
        <f t="shared" si="1"/>
      </c>
      <c r="I3" s="54">
        <f t="shared" si="3"/>
      </c>
      <c r="J3" s="54">
        <f t="shared" si="2"/>
      </c>
      <c r="K3" s="52">
        <v>0</v>
      </c>
      <c r="L3" s="55">
        <v>0</v>
      </c>
      <c r="M3" s="59" t="s">
        <v>86</v>
      </c>
      <c r="N3" s="60">
        <v>9</v>
      </c>
      <c r="O3" s="61" t="s">
        <v>87</v>
      </c>
      <c r="P3" s="56">
        <v>12</v>
      </c>
    </row>
    <row r="4">
      <c r="A4" s="48" t="s">
        <v>80</v>
      </c>
      <c r="B4" s="49" t="s">
        <v>88</v>
      </c>
      <c r="C4" s="50" t="s">
        <v>89</v>
      </c>
      <c r="D4" s="51">
        <v>5</v>
      </c>
      <c r="E4" s="52">
        <v>8</v>
      </c>
      <c r="F4" s="53">
        <v>5086.6</v>
      </c>
      <c r="G4" s="53">
        <v>8098.37</v>
      </c>
      <c r="H4" s="54">
        <f t="shared" si="1"/>
      </c>
      <c r="I4" s="54">
        <f t="shared" si="3"/>
      </c>
      <c r="J4" s="54">
        <f t="shared" si="2"/>
      </c>
      <c r="K4" s="52">
        <v>4</v>
      </c>
      <c r="L4" s="55">
        <v>2082</v>
      </c>
      <c r="M4" s="62"/>
      <c r="N4" s="62"/>
      <c r="O4" s="63" t="s">
        <v>90</v>
      </c>
      <c r="P4" s="63">
        <v>12</v>
      </c>
    </row>
    <row r="5">
      <c r="A5" s="48" t="s">
        <v>80</v>
      </c>
      <c r="B5" s="49" t="s">
        <v>91</v>
      </c>
      <c r="C5" s="64" t="s">
        <v>92</v>
      </c>
      <c r="D5" s="65">
        <v>5</v>
      </c>
      <c r="E5" s="52">
        <v>11</v>
      </c>
      <c r="F5" s="53">
        <v>7539.6</v>
      </c>
      <c r="G5" s="64">
        <v>9192.73</v>
      </c>
      <c r="H5" s="54">
        <f t="shared" si="1"/>
      </c>
      <c r="I5" s="54">
        <f t="shared" si="3"/>
      </c>
      <c r="J5" s="54">
        <f t="shared" si="2"/>
      </c>
      <c r="K5" s="52">
        <v>1</v>
      </c>
      <c r="L5" s="55">
        <v>715.2</v>
      </c>
      <c r="M5" s="66" t="s">
        <v>93</v>
      </c>
      <c r="N5" s="67">
        <v>8</v>
      </c>
      <c r="O5" s="63"/>
      <c r="P5" s="63"/>
    </row>
    <row r="6">
      <c r="A6" s="48" t="s">
        <v>80</v>
      </c>
      <c r="B6" s="49" t="s">
        <v>81</v>
      </c>
      <c r="C6" s="64" t="s">
        <v>94</v>
      </c>
      <c r="D6" s="65">
        <v>5</v>
      </c>
      <c r="E6" s="52">
        <v>6</v>
      </c>
      <c r="F6" s="53">
        <v>8683.2</v>
      </c>
      <c r="G6" s="53">
        <v>8161.500000000001</v>
      </c>
      <c r="H6" s="54">
        <f t="shared" si="1"/>
      </c>
      <c r="I6" s="54">
        <f t="shared" si="3"/>
      </c>
      <c r="J6" s="54">
        <f t="shared" si="2"/>
      </c>
      <c r="K6" s="52">
        <v>1</v>
      </c>
      <c r="L6" s="55">
        <v>2088</v>
      </c>
      <c r="M6" s="63"/>
      <c r="N6" s="68"/>
      <c r="O6" s="69"/>
      <c r="P6" s="63"/>
    </row>
    <row r="7">
      <c r="A7" s="48" t="s">
        <v>80</v>
      </c>
      <c r="B7" s="49" t="s">
        <v>95</v>
      </c>
      <c r="C7" s="64" t="s">
        <v>96</v>
      </c>
      <c r="D7" s="65">
        <v>3</v>
      </c>
      <c r="E7" s="52">
        <v>4</v>
      </c>
      <c r="F7" s="70">
        <v>5056.799999999999</v>
      </c>
      <c r="G7" s="70">
        <v>5186.12</v>
      </c>
      <c r="H7" s="54">
        <f t="shared" si="1"/>
      </c>
      <c r="I7" s="54">
        <f t="shared" si="3"/>
      </c>
      <c r="J7" s="54">
        <f t="shared" si="2"/>
      </c>
      <c r="K7" s="52">
        <v>0</v>
      </c>
      <c r="L7" s="55">
        <v>0</v>
      </c>
      <c r="M7" s="63"/>
      <c r="N7" s="68"/>
      <c r="O7" s="63"/>
      <c r="P7" s="63"/>
    </row>
    <row r="8">
      <c r="A8" s="71" t="s">
        <v>80</v>
      </c>
      <c r="B8" s="72" t="s">
        <v>97</v>
      </c>
      <c r="C8" s="72"/>
      <c r="D8" s="73">
        <f>SUM(D2:D7)</f>
      </c>
      <c r="E8" s="73">
        <f>SUM(E2:E7)</f>
      </c>
      <c r="F8" s="74">
        <f>SUM(F2:F7)</f>
      </c>
      <c r="G8" s="74">
        <f>SUM(G2:G7)</f>
      </c>
      <c r="H8" s="75">
        <f t="shared" si="1"/>
      </c>
      <c r="I8" s="75">
        <f t="shared" si="3"/>
      </c>
      <c r="J8" s="75">
        <f t="shared" si="2"/>
      </c>
      <c r="K8" s="73">
        <f>SUM(K2:K7)</f>
      </c>
      <c r="L8" s="76">
        <f>SUM(L2:L7)</f>
      </c>
      <c r="M8" s="77"/>
      <c r="N8" s="78">
        <f>SUM(N2:N7)</f>
      </c>
      <c r="O8" s="77"/>
      <c r="P8" s="78">
        <f>SUM(P3:P7)</f>
      </c>
    </row>
    <row r="9">
      <c r="A9" s="48" t="s">
        <v>98</v>
      </c>
      <c r="B9" s="49" t="s">
        <v>95</v>
      </c>
      <c r="C9" s="64" t="s">
        <v>99</v>
      </c>
      <c r="D9" s="65">
        <v>2</v>
      </c>
      <c r="E9" s="52">
        <v>2</v>
      </c>
      <c r="F9" s="53">
        <v>3498</v>
      </c>
      <c r="G9" s="53">
        <v>2705.37</v>
      </c>
      <c r="H9" s="54">
        <f t="shared" si="1"/>
      </c>
      <c r="I9" s="54">
        <f t="shared" si="3"/>
      </c>
      <c r="J9" s="54">
        <f t="shared" si="2"/>
      </c>
      <c r="K9" s="52">
        <v>2</v>
      </c>
      <c r="L9" s="55">
        <v>3498</v>
      </c>
      <c r="M9" s="56" t="s">
        <v>83</v>
      </c>
      <c r="N9" s="57">
        <v>7</v>
      </c>
      <c r="O9" s="58"/>
      <c r="P9" s="58"/>
    </row>
    <row r="10">
      <c r="A10" s="48" t="s">
        <v>98</v>
      </c>
      <c r="B10" s="49" t="s">
        <v>100</v>
      </c>
      <c r="C10" s="64" t="s">
        <v>101</v>
      </c>
      <c r="D10" s="65">
        <v>4</v>
      </c>
      <c r="E10" s="52">
        <v>10</v>
      </c>
      <c r="F10" s="53">
        <v>9764.4</v>
      </c>
      <c r="G10" s="53">
        <v>7686.990000000001</v>
      </c>
      <c r="H10" s="54">
        <f t="shared" si="1"/>
      </c>
      <c r="I10" s="54">
        <f t="shared" si="3"/>
      </c>
      <c r="J10" s="54">
        <f t="shared" si="2"/>
      </c>
      <c r="K10" s="52">
        <v>3</v>
      </c>
      <c r="L10" s="55">
        <v>2923.2</v>
      </c>
      <c r="M10" s="59" t="s">
        <v>86</v>
      </c>
      <c r="N10" s="60">
        <v>9</v>
      </c>
      <c r="O10" s="56"/>
      <c r="P10" s="63"/>
    </row>
    <row r="11">
      <c r="A11" s="48" t="s">
        <v>98</v>
      </c>
      <c r="B11" s="49" t="s">
        <v>88</v>
      </c>
      <c r="C11" s="50" t="s">
        <v>89</v>
      </c>
      <c r="D11" s="51">
        <v>5</v>
      </c>
      <c r="E11" s="52">
        <v>15</v>
      </c>
      <c r="F11" s="53">
        <v>14187.6</v>
      </c>
      <c r="G11" s="53">
        <v>14113.099999999999</v>
      </c>
      <c r="H11" s="54">
        <f t="shared" si="1"/>
      </c>
      <c r="I11" s="54">
        <f t="shared" si="3"/>
      </c>
      <c r="J11" s="54">
        <f t="shared" si="2"/>
      </c>
      <c r="K11" s="52">
        <v>5</v>
      </c>
      <c r="L11" s="55">
        <v>3457.2000000000007</v>
      </c>
      <c r="M11" s="62"/>
      <c r="N11" s="62"/>
      <c r="O11" s="63" t="s">
        <v>90</v>
      </c>
      <c r="P11" s="63">
        <v>12</v>
      </c>
    </row>
    <row r="12">
      <c r="A12" s="48" t="s">
        <v>98</v>
      </c>
      <c r="B12" s="49" t="s">
        <v>91</v>
      </c>
      <c r="C12" s="64" t="s">
        <v>92</v>
      </c>
      <c r="D12" s="65">
        <v>5</v>
      </c>
      <c r="E12" s="52">
        <v>14</v>
      </c>
      <c r="F12" s="53">
        <v>11460</v>
      </c>
      <c r="G12" s="64">
        <v>13802.63</v>
      </c>
      <c r="H12" s="54">
        <f t="shared" si="1"/>
      </c>
      <c r="I12" s="54">
        <f t="shared" si="3"/>
      </c>
      <c r="J12" s="54">
        <f t="shared" si="2"/>
      </c>
      <c r="K12" s="52">
        <v>1</v>
      </c>
      <c r="L12" s="55">
        <v>1507.2</v>
      </c>
      <c r="M12" s="66" t="s">
        <v>93</v>
      </c>
      <c r="N12" s="67">
        <v>8</v>
      </c>
      <c r="O12" s="63"/>
      <c r="P12" s="63"/>
    </row>
    <row r="13">
      <c r="A13" s="48" t="s">
        <v>98</v>
      </c>
      <c r="B13" s="49" t="s">
        <v>81</v>
      </c>
      <c r="C13" s="64" t="s">
        <v>94</v>
      </c>
      <c r="D13" s="65">
        <v>5</v>
      </c>
      <c r="E13" s="52">
        <v>6</v>
      </c>
      <c r="F13" s="53">
        <v>6615.5999999999985</v>
      </c>
      <c r="G13" s="53">
        <v>8637.5</v>
      </c>
      <c r="H13" s="54">
        <f t="shared" si="1"/>
      </c>
      <c r="I13" s="54">
        <f t="shared" si="3"/>
      </c>
      <c r="J13" s="54">
        <f t="shared" si="2"/>
      </c>
      <c r="K13" s="52">
        <v>2</v>
      </c>
      <c r="L13" s="55">
        <v>2198.4</v>
      </c>
      <c r="M13" s="63"/>
      <c r="N13" s="68"/>
      <c r="O13" s="69" t="s">
        <v>87</v>
      </c>
      <c r="P13" s="56">
        <v>12</v>
      </c>
    </row>
    <row r="14">
      <c r="A14" s="48" t="s">
        <v>98</v>
      </c>
      <c r="B14" s="49" t="s">
        <v>95</v>
      </c>
      <c r="C14" s="64" t="s">
        <v>96</v>
      </c>
      <c r="D14" s="65">
        <v>3</v>
      </c>
      <c r="E14" s="52">
        <v>4</v>
      </c>
      <c r="F14" s="70">
        <v>5159.4000000000015</v>
      </c>
      <c r="G14" s="70">
        <v>4382.16</v>
      </c>
      <c r="H14" s="54">
        <f t="shared" si="1"/>
      </c>
      <c r="I14" s="54">
        <f t="shared" si="3"/>
      </c>
      <c r="J14" s="54">
        <f t="shared" si="2"/>
      </c>
      <c r="K14" s="52">
        <v>1</v>
      </c>
      <c r="L14" s="55">
        <v>396</v>
      </c>
      <c r="M14" s="63"/>
      <c r="N14" s="68"/>
      <c r="O14" s="63"/>
      <c r="P14" s="63"/>
    </row>
    <row r="15">
      <c r="A15" s="71" t="s">
        <v>98</v>
      </c>
      <c r="B15" s="72" t="s">
        <v>97</v>
      </c>
      <c r="C15" s="72"/>
      <c r="D15" s="73">
        <f>SUM(D9:D14)</f>
      </c>
      <c r="E15" s="73">
        <f>SUM(E9:E14)</f>
      </c>
      <c r="F15" s="74">
        <f>SUM(F9:F14)</f>
      </c>
      <c r="G15" s="74">
        <f>SUM(G9:G14)</f>
      </c>
      <c r="H15" s="75">
        <f t="shared" si="1"/>
      </c>
      <c r="I15" s="75">
        <f t="shared" si="3"/>
      </c>
      <c r="J15" s="75">
        <f t="shared" si="2"/>
      </c>
      <c r="K15" s="73">
        <f>SUM(K9:K14)</f>
      </c>
      <c r="L15" s="76">
        <f>SUM(L9:L14)</f>
      </c>
      <c r="M15" s="77"/>
      <c r="N15" s="78">
        <f>SUM(N9:N14)</f>
      </c>
      <c r="O15" s="77"/>
      <c r="P15" s="78">
        <f>SUM(P10:P14)</f>
      </c>
    </row>
    <row r="16">
      <c r="A16" s="48" t="s">
        <v>102</v>
      </c>
      <c r="B16" s="49" t="s">
        <v>95</v>
      </c>
      <c r="C16" s="64" t="s">
        <v>99</v>
      </c>
      <c r="D16" s="65">
        <v>2</v>
      </c>
      <c r="E16" s="52">
        <v>1</v>
      </c>
      <c r="F16" s="53">
        <v>1663.2</v>
      </c>
      <c r="G16" s="53">
        <v>3021.96</v>
      </c>
      <c r="H16" s="54">
        <f t="shared" si="1"/>
      </c>
      <c r="I16" s="54">
        <f t="shared" si="3"/>
      </c>
      <c r="J16" s="54">
        <f t="shared" si="2"/>
      </c>
      <c r="K16" s="52">
        <v>0</v>
      </c>
      <c r="L16" s="55">
        <v>0</v>
      </c>
      <c r="M16" s="56" t="s">
        <v>83</v>
      </c>
      <c r="N16" s="57">
        <v>7</v>
      </c>
      <c r="O16" s="58"/>
      <c r="P16" s="58"/>
    </row>
    <row r="17">
      <c r="A17" s="48" t="s">
        <v>102</v>
      </c>
      <c r="B17" s="49" t="s">
        <v>100</v>
      </c>
      <c r="C17" s="64" t="s">
        <v>101</v>
      </c>
      <c r="D17" s="65">
        <v>4</v>
      </c>
      <c r="E17" s="52">
        <v>6</v>
      </c>
      <c r="F17" s="53">
        <v>9433.2</v>
      </c>
      <c r="G17" s="53">
        <v>6413.4</v>
      </c>
      <c r="H17" s="54">
        <f t="shared" si="1"/>
      </c>
      <c r="I17" s="54">
        <f t="shared" si="3"/>
      </c>
      <c r="J17" s="54">
        <f t="shared" si="2"/>
      </c>
      <c r="K17" s="52">
        <v>0</v>
      </c>
      <c r="L17" s="55">
        <v>0</v>
      </c>
      <c r="M17" s="59" t="s">
        <v>86</v>
      </c>
      <c r="N17" s="60">
        <v>9</v>
      </c>
      <c r="O17" s="56"/>
      <c r="P17" s="63"/>
    </row>
    <row r="18">
      <c r="A18" s="48" t="s">
        <v>102</v>
      </c>
      <c r="B18" s="49" t="s">
        <v>91</v>
      </c>
      <c r="C18" s="50" t="s">
        <v>89</v>
      </c>
      <c r="D18" s="51">
        <v>5</v>
      </c>
      <c r="E18" s="52">
        <v>20</v>
      </c>
      <c r="F18" s="53">
        <v>17869.8</v>
      </c>
      <c r="G18" s="53">
        <v>11655.07</v>
      </c>
      <c r="H18" s="54">
        <f t="shared" si="1"/>
      </c>
      <c r="I18" s="54">
        <f t="shared" si="3"/>
      </c>
      <c r="J18" s="54">
        <f t="shared" si="2"/>
      </c>
      <c r="K18" s="52">
        <v>6</v>
      </c>
      <c r="L18" s="55">
        <v>4561.200000000001</v>
      </c>
      <c r="M18" s="62"/>
      <c r="N18" s="62"/>
      <c r="O18" s="63" t="s">
        <v>90</v>
      </c>
      <c r="P18" s="63">
        <v>12</v>
      </c>
    </row>
    <row r="19">
      <c r="A19" s="48" t="s">
        <v>102</v>
      </c>
      <c r="B19" s="49" t="s">
        <v>81</v>
      </c>
      <c r="C19" s="64" t="s">
        <v>92</v>
      </c>
      <c r="D19" s="65">
        <v>5</v>
      </c>
      <c r="E19" s="52">
        <v>16</v>
      </c>
      <c r="F19" s="53">
        <v>19223.800000000007</v>
      </c>
      <c r="G19" s="64">
        <v>14074.61</v>
      </c>
      <c r="H19" s="54">
        <f t="shared" si="1"/>
      </c>
      <c r="I19" s="54">
        <f t="shared" si="3"/>
      </c>
      <c r="J19" s="54">
        <f t="shared" si="2"/>
      </c>
      <c r="K19" s="52">
        <v>4</v>
      </c>
      <c r="L19" s="55">
        <v>5208</v>
      </c>
      <c r="M19" s="66" t="s">
        <v>93</v>
      </c>
      <c r="N19" s="67">
        <v>8</v>
      </c>
      <c r="O19" s="63"/>
      <c r="P19" s="63"/>
    </row>
    <row r="20">
      <c r="A20" s="48" t="s">
        <v>102</v>
      </c>
      <c r="B20" s="49" t="s">
        <v>95</v>
      </c>
      <c r="C20" s="64" t="s">
        <v>94</v>
      </c>
      <c r="D20" s="65">
        <v>5</v>
      </c>
      <c r="E20" s="52">
        <v>2</v>
      </c>
      <c r="F20" s="53">
        <v>7882.800000000003</v>
      </c>
      <c r="G20" s="53">
        <v>7570.0599999999995</v>
      </c>
      <c r="H20" s="54">
        <f t="shared" si="1"/>
      </c>
      <c r="I20" s="54">
        <f t="shared" si="3"/>
      </c>
      <c r="J20" s="54">
        <f t="shared" si="2"/>
      </c>
      <c r="K20" s="52">
        <v>1</v>
      </c>
      <c r="L20" s="55">
        <v>208.8</v>
      </c>
      <c r="M20" s="63"/>
      <c r="N20" s="68"/>
      <c r="O20" s="69" t="s">
        <v>87</v>
      </c>
      <c r="P20" s="56">
        <v>12</v>
      </c>
    </row>
    <row r="21">
      <c r="A21" s="48" t="s">
        <v>102</v>
      </c>
      <c r="B21" s="49" t="s">
        <v>103</v>
      </c>
      <c r="C21" s="64" t="s">
        <v>96</v>
      </c>
      <c r="D21" s="65">
        <v>3</v>
      </c>
      <c r="E21" s="52">
        <v>4</v>
      </c>
      <c r="F21" s="70">
        <v>1981.199999999997</v>
      </c>
      <c r="G21" s="70">
        <v>5318.3</v>
      </c>
      <c r="H21" s="54">
        <f t="shared" si="1"/>
      </c>
      <c r="I21" s="54">
        <f t="shared" si="3"/>
      </c>
      <c r="J21" s="54">
        <f t="shared" si="2"/>
      </c>
      <c r="K21" s="52">
        <v>1</v>
      </c>
      <c r="L21" s="55">
        <v>715.2</v>
      </c>
      <c r="M21" s="63"/>
      <c r="N21" s="68"/>
      <c r="O21" s="63"/>
      <c r="P21" s="63"/>
    </row>
    <row r="22">
      <c r="A22" s="71" t="s">
        <v>102</v>
      </c>
      <c r="B22" s="72" t="s">
        <v>97</v>
      </c>
      <c r="C22" s="72"/>
      <c r="D22" s="73">
        <f>SUM(D16:D21)</f>
      </c>
      <c r="E22" s="73">
        <f>SUM(E16:E21)</f>
      </c>
      <c r="F22" s="74">
        <f>SUM(F16:F21)</f>
      </c>
      <c r="G22" s="74">
        <f>SUM(G16:G21)</f>
      </c>
      <c r="H22" s="75">
        <f t="shared" si="1"/>
      </c>
      <c r="I22" s="75">
        <f t="shared" si="3"/>
      </c>
      <c r="J22" s="75">
        <f t="shared" si="2"/>
      </c>
      <c r="K22" s="73">
        <f>SUM(K16:K21)</f>
      </c>
      <c r="L22" s="76">
        <f>SUM(L16:L21)</f>
      </c>
      <c r="M22" s="77"/>
      <c r="N22" s="78">
        <f>SUM(N16:N21)</f>
      </c>
      <c r="O22" s="77"/>
      <c r="P22" s="78">
        <f>SUM(P17:P21)</f>
      </c>
    </row>
    <row r="23">
      <c r="A23" s="48" t="s">
        <v>104</v>
      </c>
      <c r="B23" s="49" t="s">
        <v>103</v>
      </c>
      <c r="C23" s="64" t="s">
        <v>99</v>
      </c>
      <c r="D23" s="65">
        <v>2</v>
      </c>
      <c r="E23" s="52">
        <v>10</v>
      </c>
      <c r="F23" s="53">
        <v>5980</v>
      </c>
      <c r="G23" s="53">
        <v>4681.839999999999</v>
      </c>
      <c r="H23" s="54">
        <f t="shared" si="1"/>
      </c>
      <c r="I23" s="54">
        <f t="shared" si="3"/>
      </c>
      <c r="J23" s="54">
        <f t="shared" si="2"/>
      </c>
      <c r="K23" s="52">
        <v>2</v>
      </c>
      <c r="L23" s="55">
        <v>2023.2</v>
      </c>
      <c r="M23" s="56" t="s">
        <v>83</v>
      </c>
      <c r="N23" s="57">
        <v>7</v>
      </c>
      <c r="O23" s="58"/>
      <c r="P23" s="58"/>
    </row>
    <row r="24">
      <c r="A24" s="48" t="s">
        <v>104</v>
      </c>
      <c r="B24" s="49" t="s">
        <v>88</v>
      </c>
      <c r="C24" s="64" t="s">
        <v>101</v>
      </c>
      <c r="D24" s="65">
        <v>4</v>
      </c>
      <c r="E24" s="52">
        <v>22</v>
      </c>
      <c r="F24" s="53">
        <v>25048.48</v>
      </c>
      <c r="G24" s="53">
        <v>12825.17</v>
      </c>
      <c r="H24" s="54">
        <f t="shared" si="1"/>
      </c>
      <c r="I24" s="54">
        <f t="shared" si="3"/>
      </c>
      <c r="J24" s="54">
        <f t="shared" si="2"/>
      </c>
      <c r="K24" s="52">
        <v>7</v>
      </c>
      <c r="L24" s="55">
        <v>8414.4</v>
      </c>
      <c r="M24" s="59" t="s">
        <v>105</v>
      </c>
      <c r="N24" s="60">
        <v>9</v>
      </c>
      <c r="O24" s="56"/>
      <c r="P24" s="63"/>
    </row>
    <row r="25">
      <c r="A25" s="48" t="s">
        <v>104</v>
      </c>
      <c r="B25" s="49" t="s">
        <v>91</v>
      </c>
      <c r="C25" s="50" t="s">
        <v>89</v>
      </c>
      <c r="D25" s="51">
        <v>5</v>
      </c>
      <c r="E25" s="52">
        <v>8</v>
      </c>
      <c r="F25" s="53">
        <v>7242.600000000001</v>
      </c>
      <c r="G25" s="53">
        <v>15252.649999999998</v>
      </c>
      <c r="H25" s="54">
        <f t="shared" si="1"/>
      </c>
      <c r="I25" s="54">
        <f t="shared" si="3"/>
      </c>
      <c r="J25" s="54">
        <f t="shared" si="2"/>
      </c>
      <c r="K25" s="52">
        <v>1</v>
      </c>
      <c r="L25" s="55">
        <v>291</v>
      </c>
      <c r="M25" s="62"/>
      <c r="N25" s="62"/>
      <c r="O25" s="63" t="s">
        <v>90</v>
      </c>
      <c r="P25" s="63">
        <v>12</v>
      </c>
    </row>
    <row r="26">
      <c r="A26" s="48" t="s">
        <v>104</v>
      </c>
      <c r="B26" s="49" t="s">
        <v>81</v>
      </c>
      <c r="C26" s="64" t="s">
        <v>92</v>
      </c>
      <c r="D26" s="65">
        <v>5</v>
      </c>
      <c r="E26" s="52">
        <v>13</v>
      </c>
      <c r="F26" s="53">
        <v>14520</v>
      </c>
      <c r="G26" s="64">
        <v>13002.32</v>
      </c>
      <c r="H26" s="54">
        <f t="shared" si="1"/>
      </c>
      <c r="I26" s="54">
        <f t="shared" si="3"/>
      </c>
      <c r="J26" s="54">
        <f t="shared" si="2"/>
      </c>
      <c r="K26" s="52">
        <v>4</v>
      </c>
      <c r="L26" s="55">
        <v>2335.2</v>
      </c>
      <c r="M26" s="66" t="s">
        <v>93</v>
      </c>
      <c r="N26" s="67">
        <v>8</v>
      </c>
      <c r="O26" s="63"/>
      <c r="P26" s="63"/>
    </row>
    <row r="27">
      <c r="A27" s="48" t="s">
        <v>104</v>
      </c>
      <c r="B27" s="49" t="s">
        <v>95</v>
      </c>
      <c r="C27" s="64" t="s">
        <v>94</v>
      </c>
      <c r="D27" s="65">
        <v>5</v>
      </c>
      <c r="E27" s="52">
        <v>20</v>
      </c>
      <c r="F27" s="53">
        <v>25360.59999999999</v>
      </c>
      <c r="G27" s="53">
        <v>18268.729999999996</v>
      </c>
      <c r="H27" s="54">
        <f t="shared" si="1"/>
      </c>
      <c r="I27" s="54">
        <f t="shared" si="3"/>
      </c>
      <c r="J27" s="54">
        <f t="shared" si="2"/>
      </c>
      <c r="K27" s="52">
        <v>5</v>
      </c>
      <c r="L27" s="55">
        <v>6314.4</v>
      </c>
      <c r="M27" s="63"/>
      <c r="N27" s="68"/>
      <c r="O27" s="69" t="s">
        <v>87</v>
      </c>
      <c r="P27" s="56">
        <v>12</v>
      </c>
    </row>
    <row r="28">
      <c r="A28" s="48" t="s">
        <v>104</v>
      </c>
      <c r="B28" s="49" t="s">
        <v>103</v>
      </c>
      <c r="C28" s="64" t="s">
        <v>96</v>
      </c>
      <c r="D28" s="65">
        <v>3</v>
      </c>
      <c r="E28" s="52">
        <v>17</v>
      </c>
      <c r="F28" s="70">
        <v>15506.160000000003</v>
      </c>
      <c r="G28" s="70">
        <v>12546.240000000002</v>
      </c>
      <c r="H28" s="54">
        <f t="shared" si="1"/>
      </c>
      <c r="I28" s="54">
        <f t="shared" si="3"/>
      </c>
      <c r="J28" s="54">
        <f t="shared" si="2"/>
      </c>
      <c r="K28" s="52">
        <v>4</v>
      </c>
      <c r="L28" s="55">
        <v>1807.2</v>
      </c>
      <c r="M28" s="63"/>
      <c r="N28" s="68"/>
      <c r="O28" s="63"/>
      <c r="P28" s="63"/>
    </row>
    <row r="29">
      <c r="A29" s="71" t="s">
        <v>104</v>
      </c>
      <c r="B29" s="72" t="s">
        <v>97</v>
      </c>
      <c r="C29" s="72"/>
      <c r="D29" s="73">
        <f>SUM(D23:D28)</f>
      </c>
      <c r="E29" s="73">
        <f>SUM(E23:E28)</f>
      </c>
      <c r="F29" s="74">
        <f>SUM(F23:F28)</f>
      </c>
      <c r="G29" s="74">
        <f>SUM(G23:G28)</f>
      </c>
      <c r="H29" s="75">
        <f t="shared" si="1"/>
      </c>
      <c r="I29" s="75">
        <f t="shared" si="3"/>
      </c>
      <c r="J29" s="75">
        <f t="shared" si="2"/>
      </c>
      <c r="K29" s="73">
        <f>SUM(K23:K28)</f>
      </c>
      <c r="L29" s="76">
        <f>SUM(L23:L28)</f>
      </c>
      <c r="M29" s="77"/>
      <c r="N29" s="78">
        <f>SUM(N23:N28)</f>
      </c>
      <c r="O29" s="77"/>
      <c r="P29" s="78">
        <f>SUM(P24:P28)</f>
      </c>
    </row>
    <row r="30">
      <c r="A30" s="48" t="s">
        <v>106</v>
      </c>
      <c r="B30" s="49" t="s">
        <v>103</v>
      </c>
      <c r="C30" s="64" t="s">
        <v>99</v>
      </c>
      <c r="D30" s="65">
        <v>2</v>
      </c>
      <c r="E30" s="52">
        <v>4</v>
      </c>
      <c r="F30" s="53">
        <v>3349.2</v>
      </c>
      <c r="G30" s="53">
        <v>3953.42</v>
      </c>
      <c r="H30" s="54">
        <f t="shared" si="1"/>
      </c>
      <c r="I30" s="54">
        <f t="shared" si="3"/>
      </c>
      <c r="J30" s="54">
        <f t="shared" si="2"/>
      </c>
      <c r="K30" s="52">
        <v>2</v>
      </c>
      <c r="L30" s="55">
        <v>739.2000000000002</v>
      </c>
      <c r="M30" s="56" t="s">
        <v>83</v>
      </c>
      <c r="N30" s="57">
        <v>7</v>
      </c>
      <c r="O30" s="58"/>
      <c r="P30" s="58"/>
    </row>
    <row r="31">
      <c r="A31" s="48" t="s">
        <v>106</v>
      </c>
      <c r="B31" s="49" t="s">
        <v>88</v>
      </c>
      <c r="C31" s="64" t="s">
        <v>101</v>
      </c>
      <c r="D31" s="65">
        <v>4</v>
      </c>
      <c r="E31" s="52">
        <v>11</v>
      </c>
      <c r="F31" s="53">
        <v>13340.2</v>
      </c>
      <c r="G31" s="53">
        <v>8892.68</v>
      </c>
      <c r="H31" s="54">
        <f t="shared" si="1"/>
      </c>
      <c r="I31" s="54">
        <f t="shared" si="3"/>
      </c>
      <c r="J31" s="54">
        <f t="shared" si="2"/>
      </c>
      <c r="K31" s="52">
        <v>3</v>
      </c>
      <c r="L31" s="55">
        <v>4904.4</v>
      </c>
      <c r="M31" s="59" t="s">
        <v>86</v>
      </c>
      <c r="N31" s="60">
        <v>9</v>
      </c>
      <c r="O31" s="56"/>
      <c r="P31" s="63"/>
    </row>
    <row r="32">
      <c r="A32" s="48" t="s">
        <v>106</v>
      </c>
      <c r="B32" s="49" t="s">
        <v>81</v>
      </c>
      <c r="C32" s="50" t="s">
        <v>89</v>
      </c>
      <c r="D32" s="51">
        <v>5</v>
      </c>
      <c r="E32" s="52">
        <v>13</v>
      </c>
      <c r="F32" s="53">
        <v>15243.399999999998</v>
      </c>
      <c r="G32" s="53">
        <v>13476.07</v>
      </c>
      <c r="H32" s="54">
        <f t="shared" si="1"/>
      </c>
      <c r="I32" s="54">
        <f t="shared" si="3"/>
      </c>
      <c r="J32" s="54">
        <f t="shared" si="2"/>
      </c>
      <c r="K32" s="52">
        <v>3</v>
      </c>
      <c r="L32" s="55">
        <v>1820.3999999999999</v>
      </c>
      <c r="M32" s="62"/>
      <c r="N32" s="62"/>
      <c r="O32" s="63" t="s">
        <v>90</v>
      </c>
      <c r="P32" s="63">
        <v>12</v>
      </c>
    </row>
    <row r="33">
      <c r="A33" s="48" t="s">
        <v>106</v>
      </c>
      <c r="B33" s="49" t="s">
        <v>100</v>
      </c>
      <c r="C33" s="64" t="s">
        <v>92</v>
      </c>
      <c r="D33" s="65">
        <v>5</v>
      </c>
      <c r="E33" s="52">
        <v>22</v>
      </c>
      <c r="F33" s="53">
        <v>21212.84</v>
      </c>
      <c r="G33" s="64">
        <v>16060.6</v>
      </c>
      <c r="H33" s="54">
        <f t="shared" si="1"/>
      </c>
      <c r="I33" s="54">
        <f t="shared" si="3"/>
      </c>
      <c r="J33" s="54">
        <f t="shared" si="2"/>
      </c>
      <c r="K33" s="52">
        <v>13</v>
      </c>
      <c r="L33" s="55">
        <v>12557.04</v>
      </c>
      <c r="M33" s="66" t="s">
        <v>93</v>
      </c>
      <c r="N33" s="67">
        <v>8</v>
      </c>
      <c r="O33" s="63"/>
      <c r="P33" s="63"/>
    </row>
    <row r="34">
      <c r="A34" s="48" t="s">
        <v>106</v>
      </c>
      <c r="B34" s="49" t="s">
        <v>103</v>
      </c>
      <c r="C34" s="64" t="s">
        <v>94</v>
      </c>
      <c r="D34" s="65">
        <v>5</v>
      </c>
      <c r="E34" s="52">
        <v>14</v>
      </c>
      <c r="F34" s="53">
        <v>10488.599999999999</v>
      </c>
      <c r="G34" s="53">
        <v>10532.32</v>
      </c>
      <c r="H34" s="54">
        <f t="shared" si="1"/>
      </c>
      <c r="I34" s="54">
        <f t="shared" si="3"/>
      </c>
      <c r="J34" s="54">
        <f t="shared" si="2"/>
      </c>
      <c r="K34" s="52">
        <v>9</v>
      </c>
      <c r="L34" s="55">
        <v>5839.8</v>
      </c>
      <c r="M34" s="63"/>
      <c r="N34" s="68"/>
      <c r="O34" s="69" t="s">
        <v>87</v>
      </c>
      <c r="P34" s="56">
        <v>12</v>
      </c>
    </row>
    <row r="35">
      <c r="A35" s="48" t="s">
        <v>106</v>
      </c>
      <c r="B35" s="49" t="s">
        <v>95</v>
      </c>
      <c r="C35" s="64" t="s">
        <v>96</v>
      </c>
      <c r="D35" s="65">
        <v>3</v>
      </c>
      <c r="E35" s="52">
        <v>5</v>
      </c>
      <c r="F35" s="70">
        <v>2169.5999999999985</v>
      </c>
      <c r="G35" s="70">
        <v>8559.630000000001</v>
      </c>
      <c r="H35" s="54">
        <f t="shared" si="1"/>
      </c>
      <c r="I35" s="54">
        <f t="shared" si="3"/>
      </c>
      <c r="J35" s="54">
        <f t="shared" si="2"/>
      </c>
      <c r="K35" s="52">
        <v>2</v>
      </c>
      <c r="L35" s="55">
        <v>1281.6</v>
      </c>
      <c r="M35" s="63"/>
      <c r="N35" s="68"/>
      <c r="O35" s="63"/>
      <c r="P35" s="63"/>
    </row>
    <row r="36">
      <c r="A36" s="71" t="s">
        <v>106</v>
      </c>
      <c r="B36" s="72" t="s">
        <v>97</v>
      </c>
      <c r="C36" s="72"/>
      <c r="D36" s="73">
        <f>SUM(D30:D35)</f>
      </c>
      <c r="E36" s="73">
        <f>SUM(E30:E35)</f>
      </c>
      <c r="F36" s="74">
        <f>SUM(F30:F35)</f>
      </c>
      <c r="G36" s="74">
        <f>SUM(G30:G35)</f>
      </c>
      <c r="H36" s="75">
        <f t="shared" si="1"/>
      </c>
      <c r="I36" s="75">
        <f t="shared" si="3"/>
      </c>
      <c r="J36" s="75">
        <f t="shared" si="2"/>
      </c>
      <c r="K36" s="73">
        <f>SUM(K30:K35)</f>
      </c>
      <c r="L36" s="76">
        <f>SUM(L30:L35)</f>
      </c>
      <c r="M36" s="77"/>
      <c r="N36" s="78">
        <f>SUM(N30:N35)</f>
      </c>
      <c r="O36" s="77"/>
      <c r="P36" s="78">
        <f>SUM(P31:P35)</f>
      </c>
    </row>
    <row r="37">
      <c r="A37" s="48" t="s">
        <v>107</v>
      </c>
      <c r="B37" s="49" t="s">
        <v>95</v>
      </c>
      <c r="C37" s="64" t="s">
        <v>99</v>
      </c>
      <c r="D37" s="65">
        <v>2</v>
      </c>
      <c r="E37" s="52">
        <v>11</v>
      </c>
      <c r="F37" s="53">
        <v>10005.4</v>
      </c>
      <c r="G37" s="53">
        <v>6890.16</v>
      </c>
      <c r="H37" s="54">
        <f t="shared" si="1"/>
      </c>
      <c r="I37" s="54">
        <f t="shared" si="3"/>
      </c>
      <c r="J37" s="54">
        <f t="shared" si="2"/>
      </c>
      <c r="K37" s="52">
        <v>1</v>
      </c>
      <c r="L37" s="55">
        <v>517.2</v>
      </c>
      <c r="M37" s="56" t="s">
        <v>83</v>
      </c>
      <c r="N37" s="57">
        <v>7</v>
      </c>
      <c r="O37" s="58"/>
      <c r="P37" s="58"/>
    </row>
    <row r="38">
      <c r="A38" s="48" t="s">
        <v>107</v>
      </c>
      <c r="B38" s="49" t="s">
        <v>91</v>
      </c>
      <c r="C38" s="64" t="s">
        <v>101</v>
      </c>
      <c r="D38" s="65">
        <v>4</v>
      </c>
      <c r="E38" s="52">
        <v>9</v>
      </c>
      <c r="F38" s="53">
        <v>8508.000000000002</v>
      </c>
      <c r="G38" s="53">
        <v>8582.73</v>
      </c>
      <c r="H38" s="54">
        <f t="shared" si="1"/>
      </c>
      <c r="I38" s="54">
        <f t="shared" si="3"/>
      </c>
      <c r="J38" s="54">
        <f t="shared" si="2"/>
      </c>
      <c r="K38" s="52">
        <v>3</v>
      </c>
      <c r="L38" s="55">
        <v>3547.2</v>
      </c>
      <c r="M38" s="59" t="s">
        <v>86</v>
      </c>
      <c r="N38" s="60">
        <v>9</v>
      </c>
      <c r="O38" s="56"/>
      <c r="P38" s="63"/>
    </row>
    <row r="39">
      <c r="A39" s="48" t="s">
        <v>107</v>
      </c>
      <c r="B39" s="49" t="s">
        <v>81</v>
      </c>
      <c r="C39" s="50" t="s">
        <v>89</v>
      </c>
      <c r="D39" s="51">
        <v>5</v>
      </c>
      <c r="E39" s="52">
        <v>13</v>
      </c>
      <c r="F39" s="53">
        <v>12095.799999999996</v>
      </c>
      <c r="G39" s="53">
        <v>15346.449999999999</v>
      </c>
      <c r="H39" s="54">
        <f t="shared" si="1"/>
      </c>
      <c r="I39" s="54">
        <f t="shared" si="3"/>
      </c>
      <c r="J39" s="54">
        <f t="shared" si="2"/>
      </c>
      <c r="K39" s="52">
        <v>3</v>
      </c>
      <c r="L39" s="55">
        <v>3260.4</v>
      </c>
      <c r="M39" s="62"/>
      <c r="N39" s="62"/>
      <c r="O39" s="63" t="s">
        <v>90</v>
      </c>
      <c r="P39" s="63">
        <v>12</v>
      </c>
    </row>
    <row r="40">
      <c r="A40" s="48" t="s">
        <v>107</v>
      </c>
      <c r="B40" s="49" t="s">
        <v>103</v>
      </c>
      <c r="C40" s="64" t="s">
        <v>92</v>
      </c>
      <c r="D40" s="65">
        <v>5</v>
      </c>
      <c r="E40" s="52">
        <v>13</v>
      </c>
      <c r="F40" s="53">
        <v>8530.56</v>
      </c>
      <c r="G40" s="64">
        <v>13212.77</v>
      </c>
      <c r="H40" s="54">
        <f t="shared" si="1"/>
      </c>
      <c r="I40" s="54">
        <f t="shared" si="3"/>
      </c>
      <c r="J40" s="54">
        <f t="shared" si="2"/>
      </c>
      <c r="K40" s="52">
        <v>0</v>
      </c>
      <c r="L40" s="55">
        <v>0</v>
      </c>
      <c r="M40" s="66" t="s">
        <v>105</v>
      </c>
      <c r="N40" s="67">
        <v>8</v>
      </c>
      <c r="O40" s="63"/>
      <c r="P40" s="63"/>
    </row>
    <row r="41">
      <c r="A41" s="48" t="s">
        <v>107</v>
      </c>
      <c r="B41" s="49" t="s">
        <v>95</v>
      </c>
      <c r="C41" s="64" t="s">
        <v>94</v>
      </c>
      <c r="D41" s="65">
        <v>5</v>
      </c>
      <c r="E41" s="52">
        <v>12</v>
      </c>
      <c r="F41" s="53">
        <v>9501</v>
      </c>
      <c r="G41" s="53">
        <v>11846.49</v>
      </c>
      <c r="H41" s="54">
        <f t="shared" si="1"/>
      </c>
      <c r="I41" s="54">
        <f t="shared" si="3"/>
      </c>
      <c r="J41" s="54">
        <f t="shared" si="2"/>
      </c>
      <c r="K41" s="52">
        <v>2</v>
      </c>
      <c r="L41" s="55">
        <v>991.2</v>
      </c>
      <c r="M41" s="63"/>
      <c r="N41" s="68"/>
      <c r="O41" s="69" t="s">
        <v>87</v>
      </c>
      <c r="P41" s="56">
        <v>12</v>
      </c>
    </row>
    <row r="42">
      <c r="A42" s="48" t="s">
        <v>107</v>
      </c>
      <c r="B42" s="49" t="s">
        <v>100</v>
      </c>
      <c r="C42" s="64" t="s">
        <v>96</v>
      </c>
      <c r="D42" s="65">
        <v>3</v>
      </c>
      <c r="E42" s="52">
        <v>19</v>
      </c>
      <c r="F42" s="70">
        <v>14938.800000000003</v>
      </c>
      <c r="G42" s="70">
        <v>13489.95</v>
      </c>
      <c r="H42" s="54">
        <f t="shared" si="1"/>
      </c>
      <c r="I42" s="54">
        <f t="shared" si="3"/>
      </c>
      <c r="J42" s="54">
        <f t="shared" si="2"/>
      </c>
      <c r="K42" s="52">
        <v>0</v>
      </c>
      <c r="L42" s="55">
        <v>0</v>
      </c>
      <c r="M42" s="63"/>
      <c r="N42" s="68"/>
      <c r="O42" s="63"/>
      <c r="P42" s="63"/>
    </row>
    <row r="43">
      <c r="A43" s="71" t="s">
        <v>107</v>
      </c>
      <c r="B43" s="72" t="s">
        <v>97</v>
      </c>
      <c r="C43" s="72"/>
      <c r="D43" s="73">
        <f>SUM(D37:D42)</f>
      </c>
      <c r="E43" s="73">
        <f>SUM(E37:E42)</f>
      </c>
      <c r="F43" s="74">
        <f>SUM(F37:F42)</f>
      </c>
      <c r="G43" s="74">
        <f>SUM(G37:G42)</f>
      </c>
      <c r="H43" s="75">
        <f t="shared" si="1"/>
      </c>
      <c r="I43" s="75">
        <f t="shared" si="3"/>
      </c>
      <c r="J43" s="75">
        <f t="shared" si="2"/>
      </c>
      <c r="K43" s="73">
        <f>SUM(K37:K42)</f>
      </c>
      <c r="L43" s="76">
        <f>SUM(L37:L42)</f>
      </c>
      <c r="M43" s="77"/>
      <c r="N43" s="78">
        <f>SUM(N37:N42)</f>
      </c>
      <c r="O43" s="77"/>
      <c r="P43" s="78">
        <f>SUM(P38:P42)</f>
      </c>
    </row>
    <row r="44">
      <c r="A44" s="48" t="s">
        <v>108</v>
      </c>
      <c r="B44" s="49" t="s">
        <v>100</v>
      </c>
      <c r="C44" s="64" t="s">
        <v>99</v>
      </c>
      <c r="D44" s="65">
        <v>2</v>
      </c>
      <c r="E44" s="52">
        <v>8</v>
      </c>
      <c r="F44" s="53">
        <v>11941.2</v>
      </c>
      <c r="G44" s="53">
        <v>5170.96</v>
      </c>
      <c r="H44" s="54">
        <f t="shared" si="1"/>
      </c>
      <c r="I44" s="54">
        <f t="shared" si="3"/>
      </c>
      <c r="J44" s="54">
        <f t="shared" si="2"/>
      </c>
      <c r="K44" s="52">
        <v>4</v>
      </c>
      <c r="L44" s="55">
        <v>4090.8</v>
      </c>
      <c r="M44" s="56" t="s">
        <v>83</v>
      </c>
      <c r="N44" s="57">
        <v>7</v>
      </c>
      <c r="O44" s="58"/>
      <c r="P44" s="58"/>
    </row>
    <row r="45">
      <c r="A45" s="48" t="s">
        <v>108</v>
      </c>
      <c r="B45" s="49" t="s">
        <v>91</v>
      </c>
      <c r="C45" s="64" t="s">
        <v>101</v>
      </c>
      <c r="D45" s="65">
        <v>4</v>
      </c>
      <c r="E45" s="52">
        <v>10</v>
      </c>
      <c r="F45" s="53">
        <v>10082.399999999998</v>
      </c>
      <c r="G45" s="53">
        <v>9334.699999999999</v>
      </c>
      <c r="H45" s="54">
        <f t="shared" si="1"/>
      </c>
      <c r="I45" s="54">
        <f t="shared" si="3"/>
      </c>
      <c r="J45" s="54">
        <f t="shared" si="2"/>
      </c>
      <c r="K45" s="52">
        <v>5</v>
      </c>
      <c r="L45" s="55">
        <v>6352.8</v>
      </c>
      <c r="M45" s="59" t="s">
        <v>86</v>
      </c>
      <c r="N45" s="60">
        <v>9</v>
      </c>
      <c r="O45" s="56"/>
      <c r="P45" s="63"/>
    </row>
    <row r="46">
      <c r="A46" s="48" t="s">
        <v>108</v>
      </c>
      <c r="B46" s="49" t="s">
        <v>103</v>
      </c>
      <c r="C46" s="50" t="s">
        <v>89</v>
      </c>
      <c r="D46" s="51">
        <v>5</v>
      </c>
      <c r="E46" s="52">
        <v>29</v>
      </c>
      <c r="F46" s="53">
        <v>21456.800000000003</v>
      </c>
      <c r="G46" s="53">
        <v>17529.710000000003</v>
      </c>
      <c r="H46" s="54">
        <f t="shared" si="1"/>
      </c>
      <c r="I46" s="54">
        <f t="shared" si="3"/>
      </c>
      <c r="J46" s="54">
        <f t="shared" si="2"/>
      </c>
      <c r="K46" s="52">
        <v>7</v>
      </c>
      <c r="L46" s="55">
        <v>5065.2</v>
      </c>
      <c r="M46" s="62"/>
      <c r="N46" s="62"/>
      <c r="O46" s="63" t="s">
        <v>90</v>
      </c>
      <c r="P46" s="63">
        <v>12</v>
      </c>
    </row>
    <row r="47">
      <c r="A47" s="48" t="s">
        <v>108</v>
      </c>
      <c r="B47" s="49" t="s">
        <v>95</v>
      </c>
      <c r="C47" s="64" t="s">
        <v>92</v>
      </c>
      <c r="D47" s="65">
        <v>5</v>
      </c>
      <c r="E47" s="52">
        <v>20</v>
      </c>
      <c r="F47" s="53">
        <v>16858.6</v>
      </c>
      <c r="G47" s="64">
        <v>21189.96</v>
      </c>
      <c r="H47" s="54">
        <f t="shared" si="1"/>
      </c>
      <c r="I47" s="54">
        <f t="shared" si="3"/>
      </c>
      <c r="J47" s="54">
        <f t="shared" si="2"/>
      </c>
      <c r="K47" s="52">
        <v>9</v>
      </c>
      <c r="L47" s="55">
        <v>8433.6</v>
      </c>
      <c r="M47" s="66" t="s">
        <v>105</v>
      </c>
      <c r="N47" s="67">
        <v>8</v>
      </c>
      <c r="O47" s="63"/>
      <c r="P47" s="63"/>
    </row>
    <row r="48">
      <c r="A48" s="48" t="s">
        <v>108</v>
      </c>
      <c r="B48" s="49" t="s">
        <v>100</v>
      </c>
      <c r="C48" s="64" t="s">
        <v>94</v>
      </c>
      <c r="D48" s="65">
        <v>5</v>
      </c>
      <c r="E48" s="52">
        <v>22</v>
      </c>
      <c r="F48" s="53">
        <v>15297.6</v>
      </c>
      <c r="G48" s="53">
        <v>18623.02</v>
      </c>
      <c r="H48" s="54">
        <f t="shared" si="1"/>
      </c>
      <c r="I48" s="54">
        <f t="shared" si="3"/>
      </c>
      <c r="J48" s="54">
        <f t="shared" si="2"/>
      </c>
      <c r="K48" s="52">
        <v>6</v>
      </c>
      <c r="L48" s="55">
        <v>2262</v>
      </c>
      <c r="M48" s="63"/>
      <c r="N48" s="68"/>
      <c r="O48" s="69" t="s">
        <v>87</v>
      </c>
      <c r="P48" s="56">
        <v>12</v>
      </c>
    </row>
    <row r="49">
      <c r="A49" s="48" t="s">
        <v>108</v>
      </c>
      <c r="B49" s="49" t="s">
        <v>91</v>
      </c>
      <c r="C49" s="64" t="s">
        <v>96</v>
      </c>
      <c r="D49" s="65">
        <v>3</v>
      </c>
      <c r="E49" s="52">
        <v>10</v>
      </c>
      <c r="F49" s="70">
        <v>6381.6</v>
      </c>
      <c r="G49" s="70">
        <v>9526.23</v>
      </c>
      <c r="H49" s="54">
        <f t="shared" si="1"/>
      </c>
      <c r="I49" s="54">
        <f t="shared" si="3"/>
      </c>
      <c r="J49" s="54">
        <f t="shared" si="2"/>
      </c>
      <c r="K49" s="52">
        <v>2</v>
      </c>
      <c r="L49" s="55">
        <v>618</v>
      </c>
      <c r="M49" s="63"/>
      <c r="N49" s="68"/>
      <c r="O49" s="63"/>
      <c r="P49" s="63"/>
    </row>
    <row r="50">
      <c r="A50" s="71" t="s">
        <v>108</v>
      </c>
      <c r="B50" s="72" t="s">
        <v>97</v>
      </c>
      <c r="C50" s="72"/>
      <c r="D50" s="73">
        <f>SUM(D44:D49)</f>
      </c>
      <c r="E50" s="73">
        <f>SUM(E44:E49)</f>
      </c>
      <c r="F50" s="74">
        <f>SUM(F44:F49)</f>
      </c>
      <c r="G50" s="74">
        <f>SUM(G44:G49)</f>
      </c>
      <c r="H50" s="75">
        <f t="shared" si="1"/>
      </c>
      <c r="I50" s="75">
        <f t="shared" si="3"/>
      </c>
      <c r="J50" s="75">
        <f t="shared" si="2"/>
      </c>
      <c r="K50" s="73">
        <f>SUM(K44:K49)</f>
      </c>
      <c r="L50" s="76">
        <f>SUM(L44:L49)</f>
      </c>
      <c r="M50" s="77"/>
      <c r="N50" s="78">
        <f>SUM(N44:N49)</f>
      </c>
      <c r="O50" s="77"/>
      <c r="P50" s="78">
        <f>SUM(P45:P49)</f>
      </c>
    </row>
    <row r="51">
      <c r="A51" s="48" t="s">
        <v>109</v>
      </c>
      <c r="B51" s="49" t="s">
        <v>91</v>
      </c>
      <c r="C51" s="64" t="s">
        <v>99</v>
      </c>
      <c r="D51" s="65">
        <v>2</v>
      </c>
      <c r="E51" s="52">
        <v>11</v>
      </c>
      <c r="F51" s="53">
        <v>7245.4</v>
      </c>
      <c r="G51" s="53">
        <v>6615.8099999999995</v>
      </c>
      <c r="H51" s="54">
        <f t="shared" si="1"/>
      </c>
      <c r="I51" s="54">
        <f t="shared" si="3"/>
      </c>
      <c r="J51" s="54">
        <f t="shared" si="2"/>
      </c>
      <c r="K51" s="79">
        <v>5</v>
      </c>
      <c r="L51" s="80">
        <v>2551</v>
      </c>
      <c r="M51" s="59" t="s">
        <v>83</v>
      </c>
      <c r="N51" s="60">
        <v>7</v>
      </c>
      <c r="O51" s="81"/>
      <c r="P51" s="81"/>
    </row>
    <row r="52">
      <c r="A52" s="48" t="s">
        <v>109</v>
      </c>
      <c r="B52" s="49" t="s">
        <v>81</v>
      </c>
      <c r="C52" s="64" t="s">
        <v>101</v>
      </c>
      <c r="D52" s="65">
        <v>4</v>
      </c>
      <c r="E52" s="52">
        <v>7</v>
      </c>
      <c r="F52" s="53">
        <v>5024.200000000001</v>
      </c>
      <c r="G52" s="53">
        <v>10976.569999999998</v>
      </c>
      <c r="H52" s="54">
        <f t="shared" si="1"/>
      </c>
      <c r="I52" s="54">
        <f t="shared" si="3"/>
      </c>
      <c r="J52" s="82">
        <f t="shared" si="2"/>
      </c>
      <c r="K52" s="83">
        <v>3</v>
      </c>
      <c r="L52" s="84">
        <v>2598</v>
      </c>
      <c r="M52" s="84" t="s">
        <v>86</v>
      </c>
      <c r="N52" s="84">
        <v>9</v>
      </c>
      <c r="O52" s="84"/>
      <c r="P52" s="61"/>
    </row>
    <row r="53">
      <c r="A53" s="48" t="s">
        <v>109</v>
      </c>
      <c r="B53" s="49" t="s">
        <v>103</v>
      </c>
      <c r="C53" s="50" t="s">
        <v>89</v>
      </c>
      <c r="D53" s="51">
        <v>5</v>
      </c>
      <c r="E53" s="52">
        <v>4</v>
      </c>
      <c r="F53" s="53">
        <v>5174.4</v>
      </c>
      <c r="G53" s="53">
        <v>10953.09</v>
      </c>
      <c r="H53" s="54">
        <f t="shared" si="1"/>
      </c>
      <c r="I53" s="54">
        <f t="shared" si="3"/>
      </c>
      <c r="J53" s="82">
        <f t="shared" si="2"/>
      </c>
      <c r="K53" s="83">
        <v>3</v>
      </c>
      <c r="L53" s="84">
        <v>3122.4</v>
      </c>
      <c r="M53" s="62"/>
      <c r="N53" s="62"/>
      <c r="O53" s="61" t="s">
        <v>90</v>
      </c>
      <c r="P53" s="61">
        <v>12</v>
      </c>
    </row>
    <row r="54">
      <c r="A54" s="48" t="s">
        <v>109</v>
      </c>
      <c r="B54" s="49" t="s">
        <v>88</v>
      </c>
      <c r="C54" s="64" t="s">
        <v>92</v>
      </c>
      <c r="D54" s="65">
        <v>5</v>
      </c>
      <c r="E54" s="52">
        <v>13</v>
      </c>
      <c r="F54" s="53">
        <v>5554.2</v>
      </c>
      <c r="G54" s="64">
        <v>10580.12</v>
      </c>
      <c r="H54" s="54">
        <f t="shared" si="1"/>
      </c>
      <c r="I54" s="54">
        <f t="shared" si="3"/>
      </c>
      <c r="J54" s="82">
        <f t="shared" si="2"/>
      </c>
      <c r="K54" s="83">
        <v>4</v>
      </c>
      <c r="L54" s="84">
        <v>3036</v>
      </c>
      <c r="M54" s="84" t="s">
        <v>105</v>
      </c>
      <c r="N54" s="84">
        <v>6</v>
      </c>
      <c r="O54" s="61"/>
      <c r="P54" s="61"/>
    </row>
    <row r="55">
      <c r="A55" s="48" t="s">
        <v>109</v>
      </c>
      <c r="B55" s="49" t="s">
        <v>100</v>
      </c>
      <c r="C55" s="64" t="s">
        <v>110</v>
      </c>
      <c r="D55" s="65">
        <v>3</v>
      </c>
      <c r="E55" s="52">
        <v>2</v>
      </c>
      <c r="F55" s="53">
        <v>1951.2</v>
      </c>
      <c r="G55" s="53">
        <v>2991.8100000000004</v>
      </c>
      <c r="H55" s="54">
        <f t="shared" si="1"/>
      </c>
      <c r="I55" s="54">
        <f t="shared" si="3"/>
      </c>
      <c r="J55" s="82">
        <f t="shared" si="2"/>
      </c>
      <c r="K55" s="83">
        <v>0</v>
      </c>
      <c r="L55" s="84">
        <v>0</v>
      </c>
      <c r="M55" s="61"/>
      <c r="N55" s="61"/>
      <c r="O55" s="61" t="s">
        <v>87</v>
      </c>
      <c r="P55" s="84">
        <v>12</v>
      </c>
    </row>
    <row r="56">
      <c r="A56" s="48" t="s">
        <v>109</v>
      </c>
      <c r="B56" s="49" t="s">
        <v>91</v>
      </c>
      <c r="C56" s="64" t="s">
        <v>96</v>
      </c>
      <c r="D56" s="65">
        <v>3</v>
      </c>
      <c r="E56" s="52">
        <v>3</v>
      </c>
      <c r="F56" s="53">
        <v>2398.2</v>
      </c>
      <c r="G56" s="53">
        <v>2998.54</v>
      </c>
      <c r="H56" s="54">
        <f t="shared" si="1"/>
      </c>
      <c r="I56" s="54">
        <f t="shared" si="3"/>
      </c>
      <c r="J56" s="82">
        <f t="shared" si="2"/>
      </c>
      <c r="K56" s="83">
        <v>0</v>
      </c>
      <c r="L56" s="84">
        <v>0</v>
      </c>
      <c r="M56" s="61"/>
      <c r="N56" s="61"/>
      <c r="O56" s="61"/>
      <c r="P56" s="61"/>
    </row>
    <row r="57">
      <c r="A57" s="71" t="s">
        <v>109</v>
      </c>
      <c r="B57" s="72" t="s">
        <v>97</v>
      </c>
      <c r="C57" s="72"/>
      <c r="D57" s="73">
        <f>SUM(D51:D56)</f>
      </c>
      <c r="E57" s="73">
        <f>SUM(E51:E56)</f>
      </c>
      <c r="F57" s="74">
        <f>SUM(F51:F56)</f>
      </c>
      <c r="G57" s="74">
        <f>SUM(G51:G56)</f>
      </c>
      <c r="H57" s="75">
        <f t="shared" si="1"/>
      </c>
      <c r="I57" s="75">
        <f t="shared" si="3"/>
      </c>
      <c r="J57" s="85">
        <f t="shared" si="2"/>
      </c>
      <c r="K57" s="86">
        <f>SUM(K51:K56)</f>
      </c>
      <c r="L57" s="87">
        <f>SUM(L51:L56)</f>
      </c>
      <c r="M57" s="88"/>
      <c r="N57" s="87">
        <f>SUM(N51:N56)</f>
      </c>
      <c r="O57" s="88"/>
      <c r="P57" s="87">
        <f>SUM(P52:P56)</f>
      </c>
    </row>
    <row r="58">
      <c r="A58" s="48" t="s">
        <v>111</v>
      </c>
      <c r="B58" s="49" t="s">
        <v>91</v>
      </c>
      <c r="C58" s="64" t="s">
        <v>99</v>
      </c>
      <c r="D58" s="65">
        <v>2</v>
      </c>
      <c r="E58" s="52">
        <v>9</v>
      </c>
      <c r="F58" s="53">
        <v>5569.2</v>
      </c>
      <c r="G58" s="53">
        <v>4694.8099999999995</v>
      </c>
      <c r="H58" s="54">
        <f t="shared" si="1"/>
      </c>
      <c r="I58" s="54">
        <f t="shared" si="3"/>
      </c>
      <c r="J58" s="82">
        <f t="shared" si="2"/>
      </c>
      <c r="K58" s="83">
        <v>2</v>
      </c>
      <c r="L58" s="84">
        <v>1872</v>
      </c>
      <c r="M58" s="84" t="s">
        <v>83</v>
      </c>
      <c r="N58" s="84">
        <v>7</v>
      </c>
      <c r="O58" s="89"/>
      <c r="P58" s="89"/>
    </row>
    <row r="59">
      <c r="A59" s="48" t="s">
        <v>111</v>
      </c>
      <c r="B59" s="49" t="s">
        <v>81</v>
      </c>
      <c r="C59" s="64" t="s">
        <v>101</v>
      </c>
      <c r="D59" s="65">
        <v>4</v>
      </c>
      <c r="E59" s="52">
        <v>11</v>
      </c>
      <c r="F59" s="53">
        <v>8575</v>
      </c>
      <c r="G59" s="53">
        <v>11504.600000000002</v>
      </c>
      <c r="H59" s="54">
        <f t="shared" si="1"/>
      </c>
      <c r="I59" s="54">
        <f t="shared" si="3"/>
      </c>
      <c r="J59" s="82">
        <f t="shared" si="2"/>
      </c>
      <c r="K59" s="83">
        <v>2</v>
      </c>
      <c r="L59" s="84">
        <v>3283.2</v>
      </c>
      <c r="M59" s="84" t="s">
        <v>86</v>
      </c>
      <c r="N59" s="84">
        <v>9</v>
      </c>
      <c r="O59" s="84"/>
      <c r="P59" s="61"/>
    </row>
    <row r="60">
      <c r="A60" s="48" t="s">
        <v>111</v>
      </c>
      <c r="B60" s="49" t="s">
        <v>95</v>
      </c>
      <c r="C60" s="50" t="s">
        <v>89</v>
      </c>
      <c r="D60" s="51">
        <v>5</v>
      </c>
      <c r="E60" s="52">
        <v>19</v>
      </c>
      <c r="F60" s="53">
        <v>20586.8</v>
      </c>
      <c r="G60" s="53">
        <v>12645.100000000002</v>
      </c>
      <c r="H60" s="54">
        <f t="shared" si="1"/>
      </c>
      <c r="I60" s="54">
        <f t="shared" si="3"/>
      </c>
      <c r="J60" s="82">
        <f t="shared" si="2"/>
      </c>
      <c r="K60" s="83">
        <v>4</v>
      </c>
      <c r="L60" s="84">
        <v>3309.6</v>
      </c>
      <c r="M60" s="62"/>
      <c r="N60" s="62"/>
      <c r="O60" s="61" t="s">
        <v>90</v>
      </c>
      <c r="P60" s="61">
        <v>12</v>
      </c>
    </row>
    <row r="61">
      <c r="A61" s="48" t="s">
        <v>111</v>
      </c>
      <c r="B61" s="49" t="s">
        <v>100</v>
      </c>
      <c r="C61" s="64" t="s">
        <v>92</v>
      </c>
      <c r="D61" s="65">
        <v>5</v>
      </c>
      <c r="E61" s="52">
        <v>22</v>
      </c>
      <c r="F61" s="53">
        <v>22604.4</v>
      </c>
      <c r="G61" s="64">
        <v>12250.58</v>
      </c>
      <c r="H61" s="54">
        <f t="shared" si="1"/>
      </c>
      <c r="I61" s="54">
        <f t="shared" si="3"/>
      </c>
      <c r="J61" s="82">
        <f t="shared" si="2"/>
      </c>
      <c r="K61" s="83">
        <v>8</v>
      </c>
      <c r="L61" s="84">
        <v>5584.6</v>
      </c>
      <c r="M61" s="84" t="s">
        <v>105</v>
      </c>
      <c r="N61" s="84">
        <v>8</v>
      </c>
      <c r="O61" s="61"/>
      <c r="P61" s="61"/>
    </row>
    <row r="62">
      <c r="A62" s="48" t="s">
        <v>111</v>
      </c>
      <c r="B62" s="49" t="s">
        <v>91</v>
      </c>
      <c r="C62" s="64" t="s">
        <v>94</v>
      </c>
      <c r="D62" s="65">
        <v>5</v>
      </c>
      <c r="E62" s="52">
        <v>7</v>
      </c>
      <c r="F62" s="53">
        <v>10437.6</v>
      </c>
      <c r="G62" s="53">
        <v>12695.56</v>
      </c>
      <c r="H62" s="54">
        <f t="shared" si="1"/>
      </c>
      <c r="I62" s="54">
        <f t="shared" si="3"/>
      </c>
      <c r="J62" s="82">
        <f t="shared" si="2"/>
      </c>
      <c r="K62" s="83">
        <v>1</v>
      </c>
      <c r="L62" s="84">
        <v>2407.2</v>
      </c>
      <c r="M62" s="61"/>
      <c r="N62" s="61"/>
      <c r="O62" s="61" t="s">
        <v>87</v>
      </c>
      <c r="P62" s="84">
        <v>12</v>
      </c>
    </row>
    <row r="63">
      <c r="A63" s="48" t="s">
        <v>111</v>
      </c>
      <c r="B63" s="49" t="s">
        <v>88</v>
      </c>
      <c r="C63" s="64" t="s">
        <v>96</v>
      </c>
      <c r="D63" s="65">
        <v>3</v>
      </c>
      <c r="E63" s="52">
        <v>11</v>
      </c>
      <c r="F63" s="70">
        <v>13144.8</v>
      </c>
      <c r="G63" s="70">
        <v>8427.47</v>
      </c>
      <c r="H63" s="54">
        <f t="shared" si="1"/>
      </c>
      <c r="I63" s="54">
        <f t="shared" si="3"/>
      </c>
      <c r="J63" s="82">
        <f t="shared" si="2"/>
      </c>
      <c r="K63" s="83">
        <v>3</v>
      </c>
      <c r="L63" s="84">
        <v>5456.4</v>
      </c>
      <c r="M63" s="61"/>
      <c r="N63" s="61"/>
      <c r="O63" s="61"/>
      <c r="P63" s="61"/>
    </row>
    <row r="64">
      <c r="A64" s="71" t="s">
        <v>111</v>
      </c>
      <c r="B64" s="72" t="s">
        <v>97</v>
      </c>
      <c r="C64" s="72"/>
      <c r="D64" s="73">
        <f>SUM(D58:D63)</f>
      </c>
      <c r="E64" s="73">
        <f>SUM(E58:E63)</f>
      </c>
      <c r="F64" s="74">
        <f>SUM(F58:F63)</f>
      </c>
      <c r="G64" s="74">
        <f>SUM(G58:G63)</f>
      </c>
      <c r="H64" s="75">
        <f t="shared" si="1"/>
      </c>
      <c r="I64" s="75">
        <f t="shared" si="3"/>
      </c>
      <c r="J64" s="85">
        <f t="shared" si="2"/>
      </c>
      <c r="K64" s="86">
        <f>SUM(K58:K63)</f>
      </c>
      <c r="L64" s="87">
        <f>SUM(L58:L63)</f>
      </c>
      <c r="M64" s="88"/>
      <c r="N64" s="87">
        <f>SUM(N58:N63)</f>
      </c>
      <c r="O64" s="88"/>
      <c r="P64" s="87">
        <f>SUM(P59:P63)</f>
      </c>
    </row>
    <row r="65">
      <c r="A65" s="48" t="s">
        <v>112</v>
      </c>
      <c r="B65" s="49" t="s">
        <v>88</v>
      </c>
      <c r="C65" s="64" t="s">
        <v>99</v>
      </c>
      <c r="D65" s="65">
        <v>2</v>
      </c>
      <c r="E65" s="52">
        <v>5</v>
      </c>
      <c r="F65" s="53">
        <v>4797.2</v>
      </c>
      <c r="G65" s="53">
        <v>4141.93</v>
      </c>
      <c r="H65" s="54">
        <f t="shared" si="1"/>
      </c>
      <c r="I65" s="54">
        <f t="shared" si="3"/>
      </c>
      <c r="J65" s="82">
        <f t="shared" si="2"/>
      </c>
      <c r="K65" s="83">
        <v>0</v>
      </c>
      <c r="L65" s="84">
        <v>0</v>
      </c>
      <c r="M65" s="84" t="s">
        <v>83</v>
      </c>
      <c r="N65" s="84">
        <v>7</v>
      </c>
      <c r="O65" s="89"/>
      <c r="P65" s="89"/>
    </row>
    <row r="66">
      <c r="A66" s="48" t="s">
        <v>112</v>
      </c>
      <c r="B66" s="49" t="s">
        <v>103</v>
      </c>
      <c r="C66" s="64" t="s">
        <v>101</v>
      </c>
      <c r="D66" s="65">
        <v>4</v>
      </c>
      <c r="E66" s="52">
        <v>7</v>
      </c>
      <c r="F66" s="53">
        <v>4732.8</v>
      </c>
      <c r="G66" s="53">
        <v>6570.34</v>
      </c>
      <c r="H66" s="54">
        <f t="shared" si="1"/>
      </c>
      <c r="I66" s="54">
        <f t="shared" si="3"/>
      </c>
      <c r="J66" s="82">
        <f t="shared" si="2"/>
      </c>
      <c r="K66" s="83">
        <v>2</v>
      </c>
      <c r="L66" s="84">
        <v>1860</v>
      </c>
      <c r="M66" s="84" t="s">
        <v>86</v>
      </c>
      <c r="N66" s="84">
        <v>9</v>
      </c>
      <c r="O66" s="84"/>
      <c r="P66" s="61"/>
    </row>
    <row r="67">
      <c r="A67" s="48" t="s">
        <v>112</v>
      </c>
      <c r="B67" s="49" t="s">
        <v>95</v>
      </c>
      <c r="C67" s="50" t="s">
        <v>89</v>
      </c>
      <c r="D67" s="51">
        <v>5</v>
      </c>
      <c r="E67" s="52">
        <v>10</v>
      </c>
      <c r="F67" s="53">
        <v>10773.599999999999</v>
      </c>
      <c r="G67" s="53">
        <v>9696.059999999998</v>
      </c>
      <c r="H67" s="54">
        <f t="shared" si="1"/>
      </c>
      <c r="I67" s="54">
        <f t="shared" si="3"/>
      </c>
      <c r="J67" s="82">
        <f t="shared" si="2"/>
      </c>
      <c r="K67" s="83">
        <v>2</v>
      </c>
      <c r="L67" s="84">
        <v>786</v>
      </c>
      <c r="M67" s="63" t="s">
        <v>113</v>
      </c>
      <c r="N67" s="63">
        <v>3</v>
      </c>
      <c r="O67" s="61" t="s">
        <v>90</v>
      </c>
      <c r="P67" s="61">
        <v>12</v>
      </c>
    </row>
    <row customHeight="true" ht="16.071428571428573" r="68">
      <c r="A68" s="48" t="s">
        <v>112</v>
      </c>
      <c r="B68" s="49" t="s">
        <v>100</v>
      </c>
      <c r="C68" s="64" t="s">
        <v>92</v>
      </c>
      <c r="D68" s="65">
        <v>5</v>
      </c>
      <c r="E68" s="52">
        <v>15</v>
      </c>
      <c r="F68" s="53">
        <v>9784.600000000002</v>
      </c>
      <c r="G68" s="64">
        <v>10658.57</v>
      </c>
      <c r="H68" s="54">
        <f t="shared" si="1"/>
      </c>
      <c r="I68" s="54">
        <f t="shared" si="3"/>
      </c>
      <c r="J68" s="82">
        <f t="shared" si="2"/>
      </c>
      <c r="K68" s="83">
        <v>3</v>
      </c>
      <c r="L68" s="84">
        <v>1549.1999999999998</v>
      </c>
      <c r="M68" s="63" t="s">
        <v>114</v>
      </c>
      <c r="N68" s="63">
        <v>5</v>
      </c>
      <c r="O68" s="61"/>
      <c r="P68" s="61"/>
    </row>
    <row customHeight="true" ht="16.071428571428573" r="69">
      <c r="A69" s="48" t="s">
        <v>112</v>
      </c>
      <c r="B69" s="49" t="s">
        <v>91</v>
      </c>
      <c r="C69" s="64" t="s">
        <v>94</v>
      </c>
      <c r="D69" s="65">
        <v>5</v>
      </c>
      <c r="E69" s="52">
        <v>9</v>
      </c>
      <c r="F69" s="53">
        <v>9169.2</v>
      </c>
      <c r="G69" s="53">
        <v>7146.47</v>
      </c>
      <c r="H69" s="54">
        <f t="shared" si="1"/>
      </c>
      <c r="I69" s="54">
        <f t="shared" si="3"/>
      </c>
      <c r="J69" s="82">
        <f t="shared" si="2"/>
      </c>
      <c r="K69" s="83">
        <v>2</v>
      </c>
      <c r="L69" s="84">
        <v>2126.4000000000005</v>
      </c>
      <c r="M69" s="84"/>
      <c r="N69" s="62"/>
      <c r="O69" s="61" t="s">
        <v>87</v>
      </c>
      <c r="P69" s="84">
        <v>12</v>
      </c>
    </row>
    <row customHeight="true" ht="16.071428571428573" r="70">
      <c r="A70" s="48" t="s">
        <v>112</v>
      </c>
      <c r="B70" s="49" t="s">
        <v>88</v>
      </c>
      <c r="C70" s="64" t="s">
        <v>96</v>
      </c>
      <c r="D70" s="65">
        <v>3</v>
      </c>
      <c r="E70" s="52">
        <v>2</v>
      </c>
      <c r="F70" s="70">
        <v>1406.4000000000015</v>
      </c>
      <c r="G70" s="70">
        <v>2875.2500000000005</v>
      </c>
      <c r="H70" s="54">
        <f t="shared" si="1"/>
      </c>
      <c r="I70" s="54">
        <f t="shared" si="3"/>
      </c>
      <c r="J70" s="82">
        <f t="shared" si="2"/>
      </c>
      <c r="K70" s="83">
        <v>0</v>
      </c>
      <c r="L70" s="84">
        <v>0</v>
      </c>
      <c r="M70" s="61"/>
      <c r="N70" s="61"/>
      <c r="O70" s="61"/>
      <c r="P70" s="61"/>
    </row>
    <row customHeight="true" ht="16.071428571428573" r="71">
      <c r="A71" s="71" t="s">
        <v>112</v>
      </c>
      <c r="B71" s="72" t="s">
        <v>97</v>
      </c>
      <c r="C71" s="72"/>
      <c r="D71" s="73">
        <f>SUM(D65:D70)</f>
      </c>
      <c r="E71" s="73">
        <f>SUM(E65:E70)</f>
      </c>
      <c r="F71" s="74">
        <f>SUM(F65:F70)</f>
      </c>
      <c r="G71" s="74">
        <f>SUM(G65:G70)</f>
      </c>
      <c r="H71" s="75">
        <f t="shared" si="1"/>
      </c>
      <c r="I71" s="75">
        <f t="shared" si="3"/>
      </c>
      <c r="J71" s="85">
        <f t="shared" si="2"/>
      </c>
      <c r="K71" s="86">
        <f>SUM(K65:K70)</f>
      </c>
      <c r="L71" s="87">
        <f>SUM(L65:L70)</f>
      </c>
      <c r="M71" s="88"/>
      <c r="N71" s="87">
        <f>SUM(N65:N70)</f>
      </c>
      <c r="O71" s="88"/>
      <c r="P71" s="87">
        <f>SUM(P66:P70)</f>
      </c>
    </row>
    <row customHeight="true" ht="16.071428571428573" r="72">
      <c r="A72" s="48" t="s">
        <v>115</v>
      </c>
      <c r="B72" s="49" t="s">
        <v>88</v>
      </c>
      <c r="C72" s="64" t="s">
        <v>99</v>
      </c>
      <c r="D72" s="65">
        <v>2</v>
      </c>
      <c r="E72" s="52">
        <v>4</v>
      </c>
      <c r="F72" s="53">
        <v>4849.2</v>
      </c>
      <c r="G72" s="53">
        <v>3250.12</v>
      </c>
      <c r="H72" s="54">
        <f t="shared" si="1"/>
      </c>
      <c r="I72" s="54">
        <f t="shared" si="3"/>
      </c>
      <c r="J72" s="82">
        <f t="shared" si="2"/>
      </c>
      <c r="K72" s="83">
        <v>2</v>
      </c>
      <c r="L72" s="84">
        <v>2803.2</v>
      </c>
      <c r="M72" s="84" t="s">
        <v>83</v>
      </c>
      <c r="N72" s="84">
        <v>7</v>
      </c>
      <c r="O72" s="89"/>
      <c r="P72" s="89"/>
    </row>
    <row r="73">
      <c r="A73" s="48" t="s">
        <v>115</v>
      </c>
      <c r="B73" s="49" t="s">
        <v>103</v>
      </c>
      <c r="C73" s="64" t="s">
        <v>101</v>
      </c>
      <c r="D73" s="90">
        <f>4-1</f>
      </c>
      <c r="E73" s="52">
        <v>1</v>
      </c>
      <c r="F73" s="53">
        <v>494.40000000000055</v>
      </c>
      <c r="G73" s="53">
        <v>4573.44</v>
      </c>
      <c r="H73" s="54">
        <f t="shared" si="1"/>
      </c>
      <c r="I73" s="54">
        <f t="shared" si="3"/>
      </c>
      <c r="J73" s="82">
        <f t="shared" si="2"/>
      </c>
      <c r="K73" s="83">
        <v>0</v>
      </c>
      <c r="L73" s="84">
        <v>0</v>
      </c>
      <c r="M73" s="84" t="s">
        <v>116</v>
      </c>
      <c r="N73" s="84">
        <v>9</v>
      </c>
      <c r="O73" s="84"/>
      <c r="P73" s="61"/>
    </row>
    <row r="74">
      <c r="A74" s="48" t="s">
        <v>115</v>
      </c>
      <c r="B74" s="49" t="s">
        <v>100</v>
      </c>
      <c r="C74" s="50" t="s">
        <v>89</v>
      </c>
      <c r="D74" s="51">
        <v>5</v>
      </c>
      <c r="E74" s="52">
        <v>17</v>
      </c>
      <c r="F74" s="53">
        <v>18933.4</v>
      </c>
      <c r="G74" s="53">
        <v>10040.130000000001</v>
      </c>
      <c r="H74" s="54">
        <f t="shared" si="1"/>
      </c>
      <c r="I74" s="54">
        <f t="shared" si="3"/>
      </c>
      <c r="J74" s="82">
        <f t="shared" si="2"/>
      </c>
      <c r="K74" s="83">
        <v>1</v>
      </c>
      <c r="L74" s="84">
        <v>2592</v>
      </c>
      <c r="M74" s="84"/>
      <c r="N74" s="56"/>
      <c r="O74" s="61" t="s">
        <v>90</v>
      </c>
      <c r="P74" s="61">
        <v>12</v>
      </c>
    </row>
    <row r="75">
      <c r="A75" s="48" t="s">
        <v>115</v>
      </c>
      <c r="B75" s="49" t="s">
        <v>91</v>
      </c>
      <c r="C75" s="64" t="s">
        <v>92</v>
      </c>
      <c r="D75" s="65">
        <v>5</v>
      </c>
      <c r="E75" s="52">
        <v>6</v>
      </c>
      <c r="F75" s="53">
        <v>7394.399999999998</v>
      </c>
      <c r="G75" s="64">
        <v>7299.04</v>
      </c>
      <c r="H75" s="54">
        <f t="shared" si="1"/>
      </c>
      <c r="I75" s="54">
        <f t="shared" si="3"/>
      </c>
      <c r="J75" s="82">
        <f t="shared" si="2"/>
      </c>
      <c r="K75" s="83">
        <v>1</v>
      </c>
      <c r="L75" s="84">
        <v>1584</v>
      </c>
      <c r="M75" s="63"/>
      <c r="N75" s="63"/>
      <c r="O75" s="61"/>
      <c r="P75" s="61"/>
    </row>
    <row r="76">
      <c r="A76" s="48" t="s">
        <v>115</v>
      </c>
      <c r="B76" s="49" t="s">
        <v>88</v>
      </c>
      <c r="C76" s="64" t="s">
        <v>94</v>
      </c>
      <c r="D76" s="65">
        <v>5</v>
      </c>
      <c r="E76" s="52">
        <v>2</v>
      </c>
      <c r="F76" s="53">
        <v>2345.4000000000015</v>
      </c>
      <c r="G76" s="53">
        <v>4981.92</v>
      </c>
      <c r="H76" s="54">
        <f t="shared" si="1"/>
      </c>
      <c r="I76" s="54">
        <f t="shared" si="3"/>
      </c>
      <c r="J76" s="82">
        <f t="shared" si="2"/>
      </c>
      <c r="K76" s="83">
        <v>1</v>
      </c>
      <c r="L76" s="84">
        <v>1582.1999999999998</v>
      </c>
      <c r="M76" s="56" t="s">
        <v>114</v>
      </c>
      <c r="N76" s="56">
        <v>8</v>
      </c>
      <c r="O76" s="61" t="s">
        <v>87</v>
      </c>
      <c r="P76" s="84">
        <v>12</v>
      </c>
    </row>
    <row r="77">
      <c r="A77" s="48" t="s">
        <v>115</v>
      </c>
      <c r="B77" s="49" t="s">
        <v>81</v>
      </c>
      <c r="C77" s="64" t="s">
        <v>96</v>
      </c>
      <c r="D77" s="65">
        <v>3</v>
      </c>
      <c r="E77" s="52">
        <v>4</v>
      </c>
      <c r="F77" s="70">
        <v>5060.399999999994</v>
      </c>
      <c r="G77" s="70">
        <v>2495.19</v>
      </c>
      <c r="H77" s="54">
        <f t="shared" si="1"/>
      </c>
      <c r="I77" s="54">
        <f t="shared" si="3"/>
      </c>
      <c r="J77" s="82">
        <f t="shared" si="2"/>
      </c>
      <c r="K77" s="83">
        <v>0</v>
      </c>
      <c r="L77" s="84">
        <v>0</v>
      </c>
      <c r="M77" s="61"/>
      <c r="N77" s="61"/>
      <c r="O77" s="61"/>
      <c r="P77" s="61"/>
    </row>
    <row r="78">
      <c r="A78" s="71" t="s">
        <v>115</v>
      </c>
      <c r="B78" s="72" t="s">
        <v>97</v>
      </c>
      <c r="C78" s="72"/>
      <c r="D78" s="73">
        <f>SUM(D72:D77)</f>
      </c>
      <c r="E78" s="73">
        <f>SUM(E72:E77)</f>
      </c>
      <c r="F78" s="74">
        <f>SUM(F72:F77)</f>
      </c>
      <c r="G78" s="74">
        <f>SUM(G72:G77)</f>
      </c>
      <c r="H78" s="75">
        <f t="shared" si="1"/>
      </c>
      <c r="I78" s="75">
        <f t="shared" si="3"/>
      </c>
      <c r="J78" s="85">
        <f t="shared" si="2"/>
      </c>
      <c r="K78" s="86">
        <f>SUM(K72:K77)</f>
      </c>
      <c r="L78" s="87">
        <f>SUM(L72:L77)</f>
      </c>
      <c r="M78" s="88"/>
      <c r="N78" s="87">
        <f>SUM(N72:N77)</f>
      </c>
      <c r="O78" s="88"/>
      <c r="P78" s="87">
        <f>SUM(P73:P77)</f>
      </c>
    </row>
    <row r="79">
      <c r="A79" s="48" t="s">
        <v>117</v>
      </c>
      <c r="B79" s="49" t="s">
        <v>81</v>
      </c>
      <c r="C79" s="64" t="s">
        <v>99</v>
      </c>
      <c r="D79" s="65">
        <v>2</v>
      </c>
      <c r="E79" s="52">
        <v>1</v>
      </c>
      <c r="F79" s="53">
        <v>182.4</v>
      </c>
      <c r="G79" s="53">
        <v>2041.4</v>
      </c>
      <c r="H79" s="54">
        <f t="shared" si="1"/>
      </c>
      <c r="I79" s="54">
        <f t="shared" si="3"/>
      </c>
      <c r="J79" s="82">
        <f t="shared" si="2"/>
      </c>
      <c r="K79" s="83">
        <v>0</v>
      </c>
      <c r="L79" s="84">
        <v>0</v>
      </c>
      <c r="M79" s="84" t="s">
        <v>83</v>
      </c>
      <c r="N79" s="84">
        <v>7</v>
      </c>
      <c r="O79" s="89"/>
      <c r="P79" s="89"/>
    </row>
    <row r="80">
      <c r="A80" s="48" t="s">
        <v>117</v>
      </c>
      <c r="B80" s="49" t="s">
        <v>95</v>
      </c>
      <c r="C80" s="64" t="s">
        <v>101</v>
      </c>
      <c r="D80" s="65">
        <v>4</v>
      </c>
      <c r="E80" s="52">
        <v>10</v>
      </c>
      <c r="F80" s="53">
        <v>12144.4</v>
      </c>
      <c r="G80" s="53">
        <v>4200.62</v>
      </c>
      <c r="H80" s="54">
        <f t="shared" si="1"/>
      </c>
      <c r="I80" s="54">
        <f t="shared" si="3"/>
      </c>
      <c r="J80" s="82">
        <f t="shared" si="2"/>
      </c>
      <c r="K80" s="83">
        <v>3</v>
      </c>
      <c r="L80" s="84">
        <v>3567.6</v>
      </c>
      <c r="M80" s="84" t="s">
        <v>86</v>
      </c>
      <c r="N80" s="84">
        <v>9</v>
      </c>
      <c r="O80" s="84"/>
      <c r="P80" s="61"/>
    </row>
    <row r="81">
      <c r="A81" s="48" t="s">
        <v>117</v>
      </c>
      <c r="B81" s="49" t="s">
        <v>100</v>
      </c>
      <c r="C81" s="50" t="s">
        <v>89</v>
      </c>
      <c r="D81" s="51">
        <v>5</v>
      </c>
      <c r="E81" s="52">
        <v>20</v>
      </c>
      <c r="F81" s="53">
        <v>27604.8</v>
      </c>
      <c r="G81" s="53">
        <v>12374.380000000001</v>
      </c>
      <c r="H81" s="54">
        <f t="shared" si="1"/>
      </c>
      <c r="I81" s="54">
        <f t="shared" si="3"/>
      </c>
      <c r="J81" s="82">
        <f t="shared" si="2"/>
      </c>
      <c r="K81" s="83">
        <v>6</v>
      </c>
      <c r="L81" s="84">
        <v>8781.599999999999</v>
      </c>
      <c r="M81" s="84"/>
      <c r="N81" s="56"/>
      <c r="O81" s="61" t="s">
        <v>90</v>
      </c>
      <c r="P81" s="61">
        <v>12</v>
      </c>
    </row>
    <row r="82">
      <c r="A82" s="48" t="s">
        <v>117</v>
      </c>
      <c r="B82" s="49" t="s">
        <v>91</v>
      </c>
      <c r="C82" s="64" t="s">
        <v>92</v>
      </c>
      <c r="D82" s="65">
        <v>5</v>
      </c>
      <c r="E82" s="52">
        <v>6</v>
      </c>
      <c r="F82" s="53">
        <v>9394.800000000003</v>
      </c>
      <c r="G82" s="64">
        <v>8407.79</v>
      </c>
      <c r="H82" s="54">
        <f t="shared" si="1"/>
      </c>
      <c r="I82" s="54">
        <f t="shared" si="3"/>
      </c>
      <c r="J82" s="82">
        <f t="shared" si="2"/>
      </c>
      <c r="K82" s="83">
        <v>1</v>
      </c>
      <c r="L82" s="84">
        <v>2592</v>
      </c>
      <c r="M82" s="63"/>
      <c r="N82" s="63"/>
      <c r="O82" s="61"/>
      <c r="P82" s="61"/>
    </row>
    <row r="83">
      <c r="A83" s="48" t="s">
        <v>117</v>
      </c>
      <c r="B83" s="49" t="s">
        <v>88</v>
      </c>
      <c r="C83" s="64" t="s">
        <v>94</v>
      </c>
      <c r="D83" s="65">
        <v>5</v>
      </c>
      <c r="E83" s="52">
        <v>7</v>
      </c>
      <c r="F83" s="53">
        <v>9599.999999999993</v>
      </c>
      <c r="G83" s="53">
        <v>4660.6900000000005</v>
      </c>
      <c r="H83" s="54">
        <f t="shared" si="1"/>
      </c>
      <c r="I83" s="54">
        <f t="shared" si="3"/>
      </c>
      <c r="J83" s="82">
        <f t="shared" si="2"/>
      </c>
      <c r="K83" s="83">
        <v>1</v>
      </c>
      <c r="L83" s="84">
        <v>208.8</v>
      </c>
      <c r="M83" s="56" t="s">
        <v>93</v>
      </c>
      <c r="N83" s="56">
        <v>8</v>
      </c>
      <c r="O83" s="61" t="s">
        <v>87</v>
      </c>
      <c r="P83" s="84">
        <v>12</v>
      </c>
    </row>
    <row r="84">
      <c r="A84" s="48" t="s">
        <v>117</v>
      </c>
      <c r="B84" s="49" t="s">
        <v>81</v>
      </c>
      <c r="C84" s="64" t="s">
        <v>96</v>
      </c>
      <c r="D84" s="65">
        <v>3</v>
      </c>
      <c r="E84" s="52">
        <v>7</v>
      </c>
      <c r="F84" s="70">
        <v>8980.799999999996</v>
      </c>
      <c r="G84" s="70">
        <v>4071.29</v>
      </c>
      <c r="H84" s="54">
        <f t="shared" si="1"/>
      </c>
      <c r="I84" s="54">
        <f t="shared" si="3"/>
      </c>
      <c r="J84" s="82">
        <f t="shared" si="2"/>
      </c>
      <c r="K84" s="83">
        <v>1</v>
      </c>
      <c r="L84" s="84">
        <v>480</v>
      </c>
      <c r="M84" s="61"/>
      <c r="N84" s="61"/>
      <c r="O84" s="61"/>
      <c r="P84" s="61"/>
    </row>
    <row r="85">
      <c r="A85" s="71" t="s">
        <v>117</v>
      </c>
      <c r="B85" s="72" t="s">
        <v>97</v>
      </c>
      <c r="C85" s="72"/>
      <c r="D85" s="73">
        <f>SUM(D79:D84)</f>
      </c>
      <c r="E85" s="73">
        <f>SUM(E79:E84)</f>
      </c>
      <c r="F85" s="74">
        <f>SUM(F79:F84)</f>
      </c>
      <c r="G85" s="74">
        <f>SUM(G79:G84)</f>
      </c>
      <c r="H85" s="75">
        <f t="shared" si="1"/>
      </c>
      <c r="I85" s="75">
        <f t="shared" si="3"/>
      </c>
      <c r="J85" s="85">
        <f t="shared" si="2"/>
      </c>
      <c r="K85" s="86">
        <f>SUM(K79:K84)</f>
      </c>
      <c r="L85" s="87">
        <f>SUM(L79:L84)</f>
      </c>
      <c r="M85" s="88"/>
      <c r="N85" s="87">
        <f>SUM(N79:N84)</f>
      </c>
      <c r="O85" s="88"/>
      <c r="P85" s="87">
        <f>SUM(P80:P84)</f>
      </c>
    </row>
    <row r="86">
      <c r="A86" s="48" t="s">
        <v>118</v>
      </c>
      <c r="B86" s="49" t="s">
        <v>81</v>
      </c>
      <c r="C86" s="64" t="s">
        <v>99</v>
      </c>
      <c r="D86" s="65">
        <v>2</v>
      </c>
      <c r="E86" s="52">
        <v>4</v>
      </c>
      <c r="F86" s="53">
        <v>4202.2</v>
      </c>
      <c r="G86" s="53">
        <v>3176.33</v>
      </c>
      <c r="H86" s="54">
        <f t="shared" si="1"/>
      </c>
      <c r="I86" s="54">
        <f t="shared" si="3"/>
      </c>
      <c r="J86" s="82">
        <f t="shared" si="2"/>
      </c>
      <c r="K86" s="83">
        <v>2</v>
      </c>
      <c r="L86" s="84">
        <v>2190</v>
      </c>
      <c r="M86" s="84" t="s">
        <v>83</v>
      </c>
      <c r="N86" s="84">
        <v>7</v>
      </c>
      <c r="O86" s="89"/>
      <c r="P86" s="89"/>
    </row>
    <row r="87">
      <c r="A87" s="48" t="s">
        <v>118</v>
      </c>
      <c r="B87" s="49" t="s">
        <v>95</v>
      </c>
      <c r="C87" s="64" t="s">
        <v>101</v>
      </c>
      <c r="D87" s="65">
        <v>4</v>
      </c>
      <c r="E87" s="52">
        <v>9</v>
      </c>
      <c r="F87" s="53">
        <v>7586.2</v>
      </c>
      <c r="G87" s="53">
        <v>6790.5199999999995</v>
      </c>
      <c r="H87" s="54">
        <f t="shared" si="1"/>
      </c>
      <c r="I87" s="54">
        <f t="shared" si="3"/>
      </c>
      <c r="J87" s="82">
        <f t="shared" si="2"/>
      </c>
      <c r="K87" s="83">
        <v>1</v>
      </c>
      <c r="L87" s="84">
        <v>178.79999999999995</v>
      </c>
      <c r="M87" s="84" t="s">
        <v>86</v>
      </c>
      <c r="N87" s="84">
        <v>9</v>
      </c>
      <c r="O87" s="84"/>
      <c r="P87" s="61"/>
    </row>
    <row r="88">
      <c r="A88" s="48" t="s">
        <v>118</v>
      </c>
      <c r="B88" s="49" t="s">
        <v>91</v>
      </c>
      <c r="C88" s="50" t="s">
        <v>89</v>
      </c>
      <c r="D88" s="51">
        <v>5</v>
      </c>
      <c r="E88" s="52">
        <v>12</v>
      </c>
      <c r="F88" s="53">
        <v>9693.199999999997</v>
      </c>
      <c r="G88" s="53">
        <v>10622.23</v>
      </c>
      <c r="H88" s="54">
        <f t="shared" si="1"/>
      </c>
      <c r="I88" s="54">
        <f t="shared" si="3"/>
      </c>
      <c r="J88" s="82">
        <f t="shared" si="2"/>
      </c>
      <c r="K88" s="83">
        <v>2</v>
      </c>
      <c r="L88" s="84">
        <v>4255.2</v>
      </c>
      <c r="M88" s="84"/>
      <c r="N88" s="56"/>
      <c r="O88" s="61" t="s">
        <v>90</v>
      </c>
      <c r="P88" s="61">
        <v>12</v>
      </c>
    </row>
    <row r="89">
      <c r="A89" s="48" t="s">
        <v>118</v>
      </c>
      <c r="B89" s="49" t="s">
        <v>88</v>
      </c>
      <c r="C89" s="64" t="s">
        <v>92</v>
      </c>
      <c r="D89" s="65">
        <v>5</v>
      </c>
      <c r="E89" s="52">
        <v>9</v>
      </c>
      <c r="F89" s="53">
        <v>13572</v>
      </c>
      <c r="G89" s="64">
        <v>11211.720000000001</v>
      </c>
      <c r="H89" s="54">
        <f t="shared" si="1"/>
      </c>
      <c r="I89" s="54">
        <f t="shared" si="3"/>
      </c>
      <c r="J89" s="82">
        <f t="shared" si="2"/>
      </c>
      <c r="K89" s="83">
        <v>1</v>
      </c>
      <c r="L89" s="84">
        <v>396</v>
      </c>
      <c r="M89" s="63"/>
      <c r="N89" s="63"/>
      <c r="O89" s="61"/>
      <c r="P89" s="61"/>
    </row>
    <row r="90">
      <c r="A90" s="48" t="s">
        <v>118</v>
      </c>
      <c r="B90" s="49" t="s">
        <v>81</v>
      </c>
      <c r="C90" s="64" t="s">
        <v>94</v>
      </c>
      <c r="D90" s="65">
        <v>5</v>
      </c>
      <c r="E90" s="52">
        <v>7</v>
      </c>
      <c r="F90" s="53">
        <v>4848</v>
      </c>
      <c r="G90" s="53">
        <v>6271.59</v>
      </c>
      <c r="H90" s="54">
        <f t="shared" si="1"/>
      </c>
      <c r="I90" s="54">
        <f t="shared" si="3"/>
      </c>
      <c r="J90" s="82">
        <f t="shared" si="2"/>
      </c>
      <c r="K90" s="83">
        <v>1</v>
      </c>
      <c r="L90" s="84">
        <v>1692</v>
      </c>
      <c r="M90" s="56" t="s">
        <v>93</v>
      </c>
      <c r="N90" s="56">
        <v>8</v>
      </c>
      <c r="O90" s="61" t="s">
        <v>87</v>
      </c>
      <c r="P90" s="84">
        <v>12</v>
      </c>
    </row>
    <row r="91">
      <c r="A91" s="48" t="s">
        <v>118</v>
      </c>
      <c r="B91" s="49" t="s">
        <v>84</v>
      </c>
      <c r="C91" s="64" t="s">
        <v>96</v>
      </c>
      <c r="D91" s="65">
        <v>3</v>
      </c>
      <c r="E91" s="52">
        <v>16</v>
      </c>
      <c r="F91" s="70">
        <v>16212.000000000007</v>
      </c>
      <c r="G91" s="70">
        <v>10539.37</v>
      </c>
      <c r="H91" s="54">
        <f t="shared" si="1"/>
      </c>
      <c r="I91" s="54">
        <f t="shared" si="3"/>
      </c>
      <c r="J91" s="82">
        <f t="shared" si="2"/>
      </c>
      <c r="K91" s="83">
        <v>2</v>
      </c>
      <c r="L91" s="84">
        <v>2187.6</v>
      </c>
      <c r="M91" s="61"/>
      <c r="N91" s="61"/>
      <c r="O91" s="61"/>
      <c r="P91" s="61"/>
    </row>
    <row r="92">
      <c r="A92" s="71" t="s">
        <v>118</v>
      </c>
      <c r="B92" s="72" t="s">
        <v>97</v>
      </c>
      <c r="C92" s="72"/>
      <c r="D92" s="73">
        <f>SUM(D86:D91)</f>
      </c>
      <c r="E92" s="73">
        <f>SUM(E86:E91)</f>
      </c>
      <c r="F92" s="74">
        <f>SUM(F86:F91)</f>
      </c>
      <c r="G92" s="74">
        <f>SUM(G86:G91)</f>
      </c>
      <c r="H92" s="75">
        <f t="shared" si="1"/>
      </c>
      <c r="I92" s="75">
        <f t="shared" si="3"/>
      </c>
      <c r="J92" s="85">
        <f t="shared" si="2"/>
      </c>
      <c r="K92" s="86">
        <f>SUM(K86:K91)</f>
      </c>
      <c r="L92" s="87">
        <f>SUM(L86:L91)</f>
      </c>
      <c r="M92" s="88"/>
      <c r="N92" s="87">
        <f>SUM(N86:N91)</f>
      </c>
      <c r="O92" s="88"/>
      <c r="P92" s="87">
        <f>SUM(P87:P91)</f>
      </c>
    </row>
    <row r="93">
      <c r="A93" s="48" t="s">
        <v>119</v>
      </c>
      <c r="B93" s="49" t="s">
        <v>84</v>
      </c>
      <c r="C93" s="64" t="s">
        <v>99</v>
      </c>
      <c r="D93" s="65">
        <v>2</v>
      </c>
      <c r="E93" s="52">
        <v>6</v>
      </c>
      <c r="F93" s="53">
        <v>6728.8</v>
      </c>
      <c r="G93" s="53">
        <v>4070.67</v>
      </c>
      <c r="H93" s="54">
        <f t="shared" si="1"/>
      </c>
      <c r="I93" s="54">
        <f t="shared" si="3"/>
      </c>
      <c r="J93" s="82">
        <f t="shared" si="2"/>
      </c>
      <c r="K93" s="83">
        <v>1</v>
      </c>
      <c r="L93" s="84">
        <v>679.2</v>
      </c>
      <c r="M93" s="84" t="s">
        <v>83</v>
      </c>
      <c r="N93" s="84">
        <v>7</v>
      </c>
      <c r="O93" s="89"/>
      <c r="P93" s="89"/>
    </row>
    <row r="94">
      <c r="A94" s="48" t="s">
        <v>119</v>
      </c>
      <c r="B94" s="49" t="s">
        <v>100</v>
      </c>
      <c r="C94" s="64" t="s">
        <v>101</v>
      </c>
      <c r="D94" s="65">
        <v>4</v>
      </c>
      <c r="E94" s="52">
        <v>8</v>
      </c>
      <c r="F94" s="53">
        <v>7520.999999999999</v>
      </c>
      <c r="G94" s="53">
        <v>8197.25</v>
      </c>
      <c r="H94" s="54">
        <f t="shared" si="1"/>
      </c>
      <c r="I94" s="54">
        <f t="shared" si="3"/>
      </c>
      <c r="J94" s="82">
        <f t="shared" si="2"/>
      </c>
      <c r="K94" s="83">
        <v>3</v>
      </c>
      <c r="L94" s="84">
        <v>2115.2</v>
      </c>
      <c r="M94" s="84" t="s">
        <v>86</v>
      </c>
      <c r="N94" s="84">
        <v>9</v>
      </c>
      <c r="O94" s="84"/>
      <c r="P94" s="61"/>
    </row>
    <row r="95">
      <c r="A95" s="48" t="s">
        <v>119</v>
      </c>
      <c r="B95" s="49" t="s">
        <v>91</v>
      </c>
      <c r="C95" s="50" t="s">
        <v>89</v>
      </c>
      <c r="D95" s="51">
        <v>5</v>
      </c>
      <c r="E95" s="52">
        <v>14</v>
      </c>
      <c r="F95" s="53">
        <v>10239.400000000001</v>
      </c>
      <c r="G95" s="53">
        <v>8291.4</v>
      </c>
      <c r="H95" s="54">
        <f t="shared" si="1"/>
      </c>
      <c r="I95" s="54">
        <f t="shared" si="3"/>
      </c>
      <c r="J95" s="82">
        <f t="shared" si="2"/>
      </c>
      <c r="K95" s="83">
        <v>7</v>
      </c>
      <c r="L95" s="84">
        <v>5444.200000000001</v>
      </c>
      <c r="M95" s="84"/>
      <c r="N95" s="56"/>
      <c r="O95" s="61" t="s">
        <v>90</v>
      </c>
      <c r="P95" s="61">
        <v>12</v>
      </c>
    </row>
    <row r="96">
      <c r="A96" s="48" t="s">
        <v>119</v>
      </c>
      <c r="B96" s="49" t="s">
        <v>88</v>
      </c>
      <c r="C96" s="64" t="s">
        <v>92</v>
      </c>
      <c r="D96" s="65">
        <v>5</v>
      </c>
      <c r="E96" s="52">
        <v>11</v>
      </c>
      <c r="F96" s="53">
        <v>11391.600000000002</v>
      </c>
      <c r="G96" s="64">
        <v>11347.75</v>
      </c>
      <c r="H96" s="54">
        <f t="shared" si="1"/>
      </c>
      <c r="I96" s="54">
        <f t="shared" si="3"/>
      </c>
      <c r="J96" s="82">
        <f t="shared" si="2"/>
      </c>
      <c r="K96" s="83">
        <v>2</v>
      </c>
      <c r="L96" s="84">
        <v>2383.199999999998</v>
      </c>
      <c r="M96" s="63"/>
      <c r="N96" s="63"/>
      <c r="O96" s="61"/>
      <c r="P96" s="61"/>
    </row>
    <row r="97">
      <c r="A97" s="48" t="s">
        <v>119</v>
      </c>
      <c r="B97" s="49" t="s">
        <v>81</v>
      </c>
      <c r="C97" s="64" t="s">
        <v>94</v>
      </c>
      <c r="D97" s="65">
        <v>5</v>
      </c>
      <c r="E97" s="52">
        <v>5</v>
      </c>
      <c r="F97" s="53">
        <v>3800.399999999994</v>
      </c>
      <c r="G97" s="53">
        <v>8239.48</v>
      </c>
      <c r="H97" s="54">
        <f t="shared" si="1"/>
      </c>
      <c r="I97" s="54">
        <f t="shared" si="3"/>
      </c>
      <c r="J97" s="82">
        <f t="shared" si="2"/>
      </c>
      <c r="K97" s="83">
        <v>1</v>
      </c>
      <c r="L97" s="84">
        <v>805.2</v>
      </c>
      <c r="M97" s="56" t="s">
        <v>93</v>
      </c>
      <c r="N97" s="56">
        <v>8</v>
      </c>
      <c r="O97" s="61" t="s">
        <v>87</v>
      </c>
      <c r="P97" s="84">
        <v>12</v>
      </c>
    </row>
    <row r="98">
      <c r="A98" s="48" t="s">
        <v>119</v>
      </c>
      <c r="B98" s="49" t="s">
        <v>84</v>
      </c>
      <c r="C98" s="64" t="s">
        <v>96</v>
      </c>
      <c r="D98" s="65">
        <v>3</v>
      </c>
      <c r="E98" s="52">
        <v>11</v>
      </c>
      <c r="F98" s="70">
        <v>16411.200000000004</v>
      </c>
      <c r="G98" s="70">
        <v>9304.67</v>
      </c>
      <c r="H98" s="54">
        <f t="shared" si="1"/>
      </c>
      <c r="I98" s="54">
        <f t="shared" si="3"/>
      </c>
      <c r="J98" s="82">
        <f t="shared" si="2"/>
      </c>
      <c r="K98" s="83">
        <v>0</v>
      </c>
      <c r="L98" s="84">
        <v>0</v>
      </c>
      <c r="M98" s="61"/>
      <c r="N98" s="61"/>
      <c r="O98" s="61"/>
      <c r="P98" s="61"/>
    </row>
    <row r="99">
      <c r="A99" s="71" t="s">
        <v>119</v>
      </c>
      <c r="B99" s="72" t="s">
        <v>97</v>
      </c>
      <c r="C99" s="72"/>
      <c r="D99" s="73">
        <f>SUM(D93:D98)</f>
      </c>
      <c r="E99" s="73">
        <f>SUM(E93:E98)</f>
      </c>
      <c r="F99" s="74">
        <f>SUM(F93:F98)</f>
      </c>
      <c r="G99" s="74">
        <f>SUM(G93:G98)</f>
      </c>
      <c r="H99" s="75">
        <f t="shared" si="1"/>
      </c>
      <c r="I99" s="75">
        <f t="shared" si="3"/>
      </c>
      <c r="J99" s="85">
        <f t="shared" si="2"/>
      </c>
      <c r="K99" s="86">
        <f>SUM(K93:K98)</f>
      </c>
      <c r="L99" s="87">
        <f>SUM(L93:L98)</f>
      </c>
      <c r="M99" s="88"/>
      <c r="N99" s="87">
        <f>SUM(N93:N98)</f>
      </c>
      <c r="O99" s="88"/>
      <c r="P99" s="87">
        <f>SUM(P94:P98)</f>
      </c>
    </row>
    <row r="100">
      <c r="A100" s="48" t="s">
        <v>120</v>
      </c>
      <c r="B100" s="49" t="s">
        <v>84</v>
      </c>
      <c r="C100" s="64" t="s">
        <v>99</v>
      </c>
      <c r="D100" s="65">
        <v>2</v>
      </c>
      <c r="E100" s="52">
        <v>1</v>
      </c>
      <c r="F100" s="53">
        <v>1</v>
      </c>
      <c r="G100" s="53">
        <v>2537.7400000000002</v>
      </c>
      <c r="H100" s="54">
        <f t="shared" si="1"/>
      </c>
      <c r="I100" s="54">
        <f t="shared" si="3"/>
      </c>
      <c r="J100" s="82">
        <f t="shared" si="2"/>
      </c>
      <c r="K100" s="83">
        <v>0</v>
      </c>
      <c r="L100" s="84">
        <v>0</v>
      </c>
      <c r="M100" s="84" t="s">
        <v>83</v>
      </c>
      <c r="N100" s="84">
        <v>7</v>
      </c>
      <c r="O100" s="89"/>
      <c r="P100" s="89"/>
    </row>
    <row r="101">
      <c r="A101" s="48" t="s">
        <v>120</v>
      </c>
      <c r="B101" s="49" t="s">
        <v>100</v>
      </c>
      <c r="C101" s="64" t="s">
        <v>101</v>
      </c>
      <c r="D101" s="65">
        <v>4</v>
      </c>
      <c r="E101" s="52">
        <v>6</v>
      </c>
      <c r="F101" s="53">
        <v>5959.2</v>
      </c>
      <c r="G101" s="53">
        <v>4014.0299999999997</v>
      </c>
      <c r="H101" s="54">
        <f t="shared" si="1"/>
      </c>
      <c r="I101" s="54">
        <f t="shared" si="3"/>
      </c>
      <c r="J101" s="82">
        <f t="shared" si="2"/>
      </c>
      <c r="K101" s="83">
        <v>0</v>
      </c>
      <c r="L101" s="84">
        <v>0</v>
      </c>
      <c r="M101" s="84" t="s">
        <v>86</v>
      </c>
      <c r="N101" s="84">
        <v>6</v>
      </c>
      <c r="O101" s="84"/>
      <c r="P101" s="61"/>
    </row>
    <row r="102">
      <c r="A102" s="48" t="s">
        <v>120</v>
      </c>
      <c r="B102" s="49" t="s">
        <v>91</v>
      </c>
      <c r="C102" s="50" t="s">
        <v>89</v>
      </c>
      <c r="D102" s="51">
        <v>5</v>
      </c>
      <c r="E102" s="52">
        <v>11</v>
      </c>
      <c r="F102" s="53">
        <v>9638.400000000001</v>
      </c>
      <c r="G102" s="53">
        <v>12408.439999999999</v>
      </c>
      <c r="H102" s="54">
        <f t="shared" si="1"/>
      </c>
      <c r="I102" s="54">
        <f t="shared" si="3"/>
      </c>
      <c r="J102" s="82">
        <f t="shared" si="2"/>
      </c>
      <c r="K102" s="83">
        <v>4</v>
      </c>
      <c r="L102" s="84">
        <v>4741.2</v>
      </c>
      <c r="M102" s="84"/>
      <c r="N102" s="56"/>
      <c r="O102" s="61" t="s">
        <v>90</v>
      </c>
      <c r="P102" s="84">
        <v>9</v>
      </c>
    </row>
    <row r="103">
      <c r="A103" s="48" t="s">
        <v>120</v>
      </c>
      <c r="B103" s="49" t="s">
        <v>81</v>
      </c>
      <c r="C103" s="64" t="s">
        <v>121</v>
      </c>
      <c r="D103" s="65">
        <v>2</v>
      </c>
      <c r="E103" s="52">
        <v>7</v>
      </c>
      <c r="F103" s="53">
        <v>4893.5999999999985</v>
      </c>
      <c r="G103" s="64">
        <v>4812.33</v>
      </c>
      <c r="H103" s="54">
        <f t="shared" si="1"/>
      </c>
      <c r="I103" s="54">
        <f t="shared" si="3"/>
      </c>
      <c r="J103" s="82">
        <f t="shared" si="2"/>
      </c>
      <c r="K103" s="83">
        <v>1</v>
      </c>
      <c r="L103" s="84">
        <v>208.80000000000018</v>
      </c>
      <c r="M103" s="63"/>
      <c r="N103" s="63"/>
      <c r="O103" s="61"/>
      <c r="P103" s="61"/>
    </row>
    <row r="104">
      <c r="A104" s="48" t="s">
        <v>120</v>
      </c>
      <c r="B104" s="49" t="s">
        <v>84</v>
      </c>
      <c r="C104" s="64" t="s">
        <v>94</v>
      </c>
      <c r="D104" s="65">
        <v>5</v>
      </c>
      <c r="E104" s="52">
        <v>12</v>
      </c>
      <c r="F104" s="53">
        <v>8558.399999999998</v>
      </c>
      <c r="G104" s="53">
        <v>10920.710000000003</v>
      </c>
      <c r="H104" s="54">
        <f t="shared" si="1"/>
      </c>
      <c r="I104" s="54">
        <f t="shared" si="3"/>
      </c>
      <c r="J104" s="82">
        <f t="shared" si="2"/>
      </c>
      <c r="K104" s="83">
        <v>1</v>
      </c>
      <c r="L104" s="84">
        <v>182.4</v>
      </c>
      <c r="M104" s="56" t="s">
        <v>93</v>
      </c>
      <c r="N104" s="56">
        <v>10</v>
      </c>
      <c r="O104" s="61" t="s">
        <v>87</v>
      </c>
      <c r="P104" s="84">
        <v>14</v>
      </c>
    </row>
    <row r="105">
      <c r="A105" s="48" t="s">
        <v>120</v>
      </c>
      <c r="B105" s="49" t="s">
        <v>95</v>
      </c>
      <c r="C105" s="64" t="s">
        <v>122</v>
      </c>
      <c r="D105" s="65">
        <v>5</v>
      </c>
      <c r="E105" s="52">
        <v>6</v>
      </c>
      <c r="F105" s="70">
        <v>9184.800000000003</v>
      </c>
      <c r="G105" s="70">
        <v>8023.76</v>
      </c>
      <c r="H105" s="54">
        <f t="shared" si="1"/>
      </c>
      <c r="I105" s="54">
        <f t="shared" si="3"/>
      </c>
      <c r="J105" s="82">
        <f t="shared" si="2"/>
      </c>
      <c r="K105" s="83">
        <v>1</v>
      </c>
      <c r="L105" s="84">
        <v>2011.2</v>
      </c>
      <c r="M105" s="61"/>
      <c r="N105" s="61"/>
      <c r="O105" s="61"/>
      <c r="P105" s="84"/>
    </row>
    <row r="106">
      <c r="A106" s="71" t="s">
        <v>120</v>
      </c>
      <c r="B106" s="72" t="s">
        <v>97</v>
      </c>
      <c r="C106" s="72"/>
      <c r="D106" s="73">
        <f>SUM(D100:D105)</f>
      </c>
      <c r="E106" s="73">
        <f>SUM(E100:E105)</f>
      </c>
      <c r="F106" s="74">
        <f>SUM(F100:F105)</f>
      </c>
      <c r="G106" s="74">
        <f>SUM(G100:G105)</f>
      </c>
      <c r="H106" s="75">
        <f t="shared" si="1"/>
      </c>
      <c r="I106" s="75">
        <f t="shared" si="3"/>
      </c>
      <c r="J106" s="85">
        <f t="shared" si="2"/>
      </c>
      <c r="K106" s="86">
        <f>SUM(K100:K105)</f>
      </c>
      <c r="L106" s="87">
        <f>SUM(L100:L105)</f>
      </c>
      <c r="M106" s="88"/>
      <c r="N106" s="87">
        <f>SUM(N100:N105)</f>
      </c>
      <c r="O106" s="88"/>
      <c r="P106" s="87">
        <f>SUM(P101:P105)</f>
      </c>
    </row>
    <row r="107">
      <c r="A107" s="48" t="s">
        <v>123</v>
      </c>
      <c r="B107" s="49" t="s">
        <v>100</v>
      </c>
      <c r="C107" s="91" t="s">
        <v>89</v>
      </c>
      <c r="D107" s="65">
        <v>5</v>
      </c>
      <c r="E107" s="52">
        <v>10</v>
      </c>
      <c r="F107" s="53">
        <v>9106.8</v>
      </c>
      <c r="G107" s="53">
        <v>9672.349999999999</v>
      </c>
      <c r="H107" s="54">
        <f t="shared" si="1"/>
      </c>
      <c r="I107" s="54">
        <f t="shared" si="3"/>
      </c>
      <c r="J107" s="82">
        <f t="shared" si="2"/>
      </c>
      <c r="K107" s="83">
        <v>3</v>
      </c>
      <c r="L107" s="84">
        <v>2491.2</v>
      </c>
      <c r="M107" s="84" t="s">
        <v>86</v>
      </c>
      <c r="N107" s="84">
        <v>10</v>
      </c>
      <c r="O107" s="84"/>
      <c r="P107" s="61"/>
    </row>
    <row r="108">
      <c r="A108" s="48" t="s">
        <v>123</v>
      </c>
      <c r="B108" s="49" t="s">
        <v>84</v>
      </c>
      <c r="C108" s="91" t="s">
        <v>92</v>
      </c>
      <c r="D108" s="51">
        <v>5</v>
      </c>
      <c r="E108" s="52">
        <v>15</v>
      </c>
      <c r="F108" s="53">
        <v>14620.400000000001</v>
      </c>
      <c r="G108" s="53">
        <v>10905.39</v>
      </c>
      <c r="H108" s="54">
        <f t="shared" si="1"/>
      </c>
      <c r="I108" s="54">
        <f t="shared" si="3"/>
      </c>
      <c r="J108" s="82">
        <f t="shared" si="2"/>
      </c>
      <c r="K108" s="83">
        <v>4</v>
      </c>
      <c r="L108" s="84">
        <v>4610.400000000001</v>
      </c>
      <c r="M108" s="84"/>
      <c r="N108" s="56"/>
      <c r="O108" s="61" t="s">
        <v>90</v>
      </c>
      <c r="P108" s="84">
        <v>10</v>
      </c>
    </row>
    <row r="109">
      <c r="A109" s="48" t="s">
        <v>123</v>
      </c>
      <c r="B109" s="49" t="s">
        <v>91</v>
      </c>
      <c r="C109" s="91" t="s">
        <v>94</v>
      </c>
      <c r="D109" s="90">
        <f>5-1</f>
      </c>
      <c r="E109" s="52">
        <v>21</v>
      </c>
      <c r="F109" s="53">
        <v>21790.84</v>
      </c>
      <c r="G109" s="64">
        <v>12614.510000000002</v>
      </c>
      <c r="H109" s="54">
        <f t="shared" si="1"/>
      </c>
      <c r="I109" s="54">
        <f t="shared" si="3"/>
      </c>
      <c r="J109" s="82">
        <f t="shared" si="2"/>
      </c>
      <c r="K109" s="83">
        <v>3</v>
      </c>
      <c r="L109" s="84">
        <v>3051.4</v>
      </c>
      <c r="M109" s="63"/>
      <c r="N109" s="63"/>
      <c r="O109" s="61"/>
      <c r="P109" s="61"/>
    </row>
    <row r="110">
      <c r="A110" s="48" t="s">
        <v>123</v>
      </c>
      <c r="B110" s="49" t="s">
        <v>95</v>
      </c>
      <c r="C110" s="91" t="s">
        <v>122</v>
      </c>
      <c r="D110" s="65">
        <v>5</v>
      </c>
      <c r="E110" s="52">
        <v>13</v>
      </c>
      <c r="F110" s="53">
        <v>10795.440000000002</v>
      </c>
      <c r="G110" s="53">
        <v>14276.48</v>
      </c>
      <c r="H110" s="54">
        <f t="shared" si="1"/>
      </c>
      <c r="I110" s="54">
        <f t="shared" si="3"/>
      </c>
      <c r="J110" s="82">
        <f t="shared" si="2"/>
      </c>
      <c r="K110" s="83">
        <v>1</v>
      </c>
      <c r="L110" s="84">
        <v>94.8</v>
      </c>
      <c r="M110" s="56" t="s">
        <v>93</v>
      </c>
      <c r="N110" s="56">
        <v>10</v>
      </c>
      <c r="O110" s="61" t="s">
        <v>87</v>
      </c>
      <c r="P110" s="84">
        <v>10</v>
      </c>
    </row>
    <row r="111">
      <c r="A111" s="71" t="s">
        <v>123</v>
      </c>
      <c r="B111" s="72" t="s">
        <v>97</v>
      </c>
      <c r="C111" s="72"/>
      <c r="D111" s="73">
        <f>SUM(D107:D110)</f>
      </c>
      <c r="E111" s="73">
        <f>SUM(E107:E110)</f>
      </c>
      <c r="F111" s="74">
        <f>SUM(F107:F110)</f>
      </c>
      <c r="G111" s="74">
        <f>SUM(G107:G110)</f>
      </c>
      <c r="H111" s="75">
        <f t="shared" si="1"/>
      </c>
      <c r="I111" s="75">
        <f t="shared" si="3"/>
      </c>
      <c r="J111" s="85">
        <f t="shared" si="2"/>
      </c>
      <c r="K111" s="86">
        <f>SUM(K107:K110)</f>
      </c>
      <c r="L111" s="87">
        <f>SUM(L107:L110)</f>
      </c>
      <c r="M111" s="88"/>
      <c r="N111" s="87">
        <f>SUM(N107:N110)</f>
      </c>
      <c r="O111" s="88"/>
      <c r="P111" s="87">
        <f>SUM(P107:P110)</f>
      </c>
    </row>
    <row r="112">
      <c r="A112" s="48" t="s">
        <v>124</v>
      </c>
      <c r="B112" s="49" t="s">
        <v>100</v>
      </c>
      <c r="C112" s="91" t="s">
        <v>89</v>
      </c>
      <c r="D112" s="65">
        <v>5</v>
      </c>
      <c r="E112" s="52">
        <v>3</v>
      </c>
      <c r="F112" s="53">
        <v>2480.4</v>
      </c>
      <c r="G112" s="53">
        <v>7183.67</v>
      </c>
      <c r="H112" s="54">
        <f t="shared" si="1"/>
      </c>
      <c r="I112" s="54">
        <f t="shared" si="3"/>
      </c>
      <c r="J112" s="82">
        <f t="shared" si="2"/>
      </c>
      <c r="K112" s="83">
        <v>1</v>
      </c>
      <c r="L112" s="84">
        <v>691.2</v>
      </c>
      <c r="M112" s="84" t="s">
        <v>86</v>
      </c>
      <c r="N112" s="84">
        <v>10</v>
      </c>
      <c r="O112" s="84"/>
      <c r="P112" s="61"/>
    </row>
    <row r="113">
      <c r="A113" s="48" t="s">
        <v>124</v>
      </c>
      <c r="B113" s="49" t="s">
        <v>84</v>
      </c>
      <c r="C113" s="91" t="s">
        <v>92</v>
      </c>
      <c r="D113" s="51">
        <v>5</v>
      </c>
      <c r="E113" s="52">
        <v>12</v>
      </c>
      <c r="F113" s="53">
        <v>8230.8</v>
      </c>
      <c r="G113" s="53">
        <v>9260.75</v>
      </c>
      <c r="H113" s="54">
        <f t="shared" si="1"/>
      </c>
      <c r="I113" s="54">
        <f t="shared" si="3"/>
      </c>
      <c r="J113" s="82">
        <f t="shared" si="2"/>
      </c>
      <c r="K113" s="83">
        <v>4</v>
      </c>
      <c r="L113" s="84">
        <v>2281.2</v>
      </c>
      <c r="M113" s="84"/>
      <c r="N113" s="56"/>
      <c r="O113" s="61" t="s">
        <v>90</v>
      </c>
      <c r="P113" s="84">
        <v>10</v>
      </c>
    </row>
    <row r="114">
      <c r="A114" s="48" t="s">
        <v>124</v>
      </c>
      <c r="B114" s="49" t="s">
        <v>95</v>
      </c>
      <c r="C114" s="91" t="s">
        <v>94</v>
      </c>
      <c r="D114" s="65">
        <v>5</v>
      </c>
      <c r="E114" s="52">
        <v>14</v>
      </c>
      <c r="F114" s="53">
        <v>14474.4</v>
      </c>
      <c r="G114" s="64">
        <v>11183.84</v>
      </c>
      <c r="H114" s="54">
        <f t="shared" si="1"/>
      </c>
      <c r="I114" s="54">
        <f t="shared" si="3"/>
      </c>
      <c r="J114" s="82">
        <f t="shared" si="2"/>
      </c>
      <c r="K114" s="83">
        <v>1</v>
      </c>
      <c r="L114" s="84">
        <v>169.2</v>
      </c>
      <c r="M114" s="63"/>
      <c r="N114" s="63"/>
      <c r="O114" s="61"/>
      <c r="P114" s="61"/>
    </row>
    <row r="115">
      <c r="A115" s="48" t="s">
        <v>124</v>
      </c>
      <c r="B115" s="49" t="s">
        <v>88</v>
      </c>
      <c r="C115" s="91" t="s">
        <v>122</v>
      </c>
      <c r="D115" s="65">
        <v>5</v>
      </c>
      <c r="E115" s="52">
        <v>9</v>
      </c>
      <c r="F115" s="53">
        <v>7578.2</v>
      </c>
      <c r="G115" s="53">
        <v>10839.6</v>
      </c>
      <c r="H115" s="54">
        <f t="shared" si="1"/>
      </c>
      <c r="I115" s="54">
        <f t="shared" si="3"/>
      </c>
      <c r="J115" s="82">
        <f t="shared" si="2"/>
      </c>
      <c r="K115" s="83">
        <v>3</v>
      </c>
      <c r="L115" s="84">
        <v>2515.2</v>
      </c>
      <c r="M115" s="56" t="s">
        <v>125</v>
      </c>
      <c r="N115" s="56">
        <v>10</v>
      </c>
      <c r="O115" s="61" t="s">
        <v>87</v>
      </c>
      <c r="P115" s="84">
        <v>10</v>
      </c>
    </row>
    <row r="116">
      <c r="A116" s="71" t="s">
        <v>124</v>
      </c>
      <c r="B116" s="72" t="s">
        <v>97</v>
      </c>
      <c r="C116" s="72"/>
      <c r="D116" s="73">
        <f>SUM(D112:D115)</f>
      </c>
      <c r="E116" s="73">
        <f>SUM(E112:E115)</f>
      </c>
      <c r="F116" s="74">
        <f>SUM(F112:F115)</f>
      </c>
      <c r="G116" s="74">
        <f>SUM(G112:G115)</f>
      </c>
      <c r="H116" s="75">
        <f t="shared" si="1"/>
      </c>
      <c r="I116" s="75">
        <f t="shared" si="3"/>
      </c>
      <c r="J116" s="85">
        <f t="shared" si="2"/>
      </c>
      <c r="K116" s="86">
        <f>SUM(K112:K115)</f>
      </c>
      <c r="L116" s="87">
        <f>SUM(L112:L115)</f>
      </c>
      <c r="M116" s="88"/>
      <c r="N116" s="87">
        <f>SUM(N112:N115)</f>
      </c>
      <c r="O116" s="88"/>
      <c r="P116" s="87">
        <f>SUM(P112:P115)</f>
      </c>
    </row>
    <row r="117">
      <c r="A117" s="48" t="s">
        <v>126</v>
      </c>
      <c r="B117" s="49" t="s">
        <v>100</v>
      </c>
      <c r="C117" s="91" t="s">
        <v>89</v>
      </c>
      <c r="D117" s="65">
        <v>5</v>
      </c>
      <c r="E117" s="52">
        <v>17</v>
      </c>
      <c r="F117" s="53">
        <v>12713.2</v>
      </c>
      <c r="G117" s="53">
        <v>15084.76</v>
      </c>
      <c r="H117" s="54">
        <f t="shared" si="1"/>
      </c>
      <c r="I117" s="54">
        <f t="shared" si="3"/>
      </c>
      <c r="J117" s="82">
        <f t="shared" si="2"/>
      </c>
      <c r="K117" s="83">
        <v>7</v>
      </c>
      <c r="L117" s="84">
        <v>6356.4</v>
      </c>
      <c r="M117" s="84" t="s">
        <v>86</v>
      </c>
      <c r="N117" s="84">
        <v>10</v>
      </c>
      <c r="O117" s="84"/>
      <c r="P117" s="61"/>
    </row>
    <row r="118">
      <c r="A118" s="48" t="s">
        <v>126</v>
      </c>
      <c r="B118" s="49" t="s">
        <v>84</v>
      </c>
      <c r="C118" s="91" t="s">
        <v>92</v>
      </c>
      <c r="D118" s="51">
        <v>5</v>
      </c>
      <c r="E118" s="52">
        <v>13</v>
      </c>
      <c r="F118" s="53">
        <v>10743.6</v>
      </c>
      <c r="G118" s="53">
        <v>12767.1</v>
      </c>
      <c r="H118" s="54">
        <f t="shared" si="1"/>
      </c>
      <c r="I118" s="54">
        <f t="shared" si="3"/>
      </c>
      <c r="J118" s="82">
        <f t="shared" si="2"/>
      </c>
      <c r="K118" s="83">
        <v>2</v>
      </c>
      <c r="L118" s="84">
        <v>1321.2</v>
      </c>
      <c r="M118" s="84"/>
      <c r="N118" s="56"/>
      <c r="O118" s="61" t="s">
        <v>90</v>
      </c>
      <c r="P118" s="84">
        <v>10</v>
      </c>
    </row>
    <row r="119">
      <c r="A119" s="48" t="s">
        <v>126</v>
      </c>
      <c r="B119" s="49" t="s">
        <v>95</v>
      </c>
      <c r="C119" s="91" t="s">
        <v>94</v>
      </c>
      <c r="D119" s="65">
        <v>5</v>
      </c>
      <c r="E119" s="52">
        <v>9</v>
      </c>
      <c r="F119" s="53">
        <v>4420.6</v>
      </c>
      <c r="G119" s="64">
        <v>8662.09</v>
      </c>
      <c r="H119" s="54">
        <f t="shared" si="1"/>
      </c>
      <c r="I119" s="54">
        <f t="shared" si="3"/>
      </c>
      <c r="J119" s="82">
        <f t="shared" si="2"/>
      </c>
      <c r="K119" s="83">
        <v>1</v>
      </c>
      <c r="L119" s="84">
        <v>396</v>
      </c>
      <c r="M119" s="63"/>
      <c r="N119" s="63"/>
      <c r="O119" s="61"/>
      <c r="P119" s="61"/>
    </row>
    <row r="120">
      <c r="A120" s="48" t="s">
        <v>126</v>
      </c>
      <c r="B120" s="49" t="s">
        <v>88</v>
      </c>
      <c r="C120" s="91" t="s">
        <v>122</v>
      </c>
      <c r="D120" s="65">
        <v>5</v>
      </c>
      <c r="E120" s="52">
        <v>15</v>
      </c>
      <c r="F120" s="53">
        <v>16242</v>
      </c>
      <c r="G120" s="53">
        <v>10009.68</v>
      </c>
      <c r="H120" s="54">
        <f t="shared" si="1"/>
      </c>
      <c r="I120" s="54">
        <f t="shared" si="3"/>
      </c>
      <c r="J120" s="82">
        <f t="shared" si="2"/>
      </c>
      <c r="K120" s="83">
        <v>3</v>
      </c>
      <c r="L120" s="84">
        <v>5623.2</v>
      </c>
      <c r="M120" s="56" t="s">
        <v>125</v>
      </c>
      <c r="N120" s="56">
        <v>10</v>
      </c>
      <c r="O120" s="61" t="s">
        <v>87</v>
      </c>
      <c r="P120" s="84">
        <v>10</v>
      </c>
    </row>
    <row r="121">
      <c r="A121" s="71" t="s">
        <v>126</v>
      </c>
      <c r="B121" s="72" t="s">
        <v>97</v>
      </c>
      <c r="C121" s="72"/>
      <c r="D121" s="73">
        <f>SUM(D117:D120)</f>
      </c>
      <c r="E121" s="73">
        <f>SUM(E117:E120)</f>
      </c>
      <c r="F121" s="74">
        <f>SUM(F117:F120)</f>
      </c>
      <c r="G121" s="74">
        <f>SUM(G117:G120)</f>
      </c>
      <c r="H121" s="75">
        <f t="shared" si="1"/>
      </c>
      <c r="I121" s="75">
        <f t="shared" si="3"/>
      </c>
      <c r="J121" s="85">
        <f t="shared" si="2"/>
      </c>
      <c r="K121" s="86">
        <f>SUM(K117:K120)</f>
      </c>
      <c r="L121" s="87">
        <f>SUM(L117:L120)</f>
      </c>
      <c r="M121" s="88"/>
      <c r="N121" s="87">
        <f>SUM(N117:N120)</f>
      </c>
      <c r="O121" s="88"/>
      <c r="P121" s="87">
        <f>SUM(P117:P120)</f>
      </c>
    </row>
    <row r="122">
      <c r="A122" s="48" t="s">
        <v>127</v>
      </c>
      <c r="B122" s="49" t="s">
        <v>100</v>
      </c>
      <c r="C122" s="91" t="s">
        <v>89</v>
      </c>
      <c r="D122" s="65">
        <v>5</v>
      </c>
      <c r="E122" s="52">
        <v>15</v>
      </c>
      <c r="F122" s="53">
        <v>15567.4</v>
      </c>
      <c r="G122" s="53">
        <v>12884.040000000003</v>
      </c>
      <c r="H122" s="54">
        <f t="shared" si="1"/>
      </c>
      <c r="I122" s="54">
        <f t="shared" si="3"/>
      </c>
      <c r="J122" s="82">
        <f t="shared" si="2"/>
      </c>
      <c r="K122" s="83">
        <v>4</v>
      </c>
      <c r="L122" s="84">
        <v>1531.2</v>
      </c>
      <c r="M122" s="84" t="s">
        <v>128</v>
      </c>
      <c r="N122" s="84">
        <v>10</v>
      </c>
      <c r="O122" s="84"/>
      <c r="P122" s="61"/>
    </row>
    <row r="123">
      <c r="A123" s="48" t="s">
        <v>127</v>
      </c>
      <c r="B123" s="49" t="s">
        <v>81</v>
      </c>
      <c r="C123" s="91" t="s">
        <v>92</v>
      </c>
      <c r="D123" s="51">
        <v>5</v>
      </c>
      <c r="E123" s="52">
        <v>8</v>
      </c>
      <c r="F123" s="53">
        <v>6305.8</v>
      </c>
      <c r="G123" s="53">
        <v>10357.75</v>
      </c>
      <c r="H123" s="54">
        <f t="shared" si="1"/>
      </c>
      <c r="I123" s="54">
        <f t="shared" si="3"/>
      </c>
      <c r="J123" s="82">
        <f t="shared" si="2"/>
      </c>
      <c r="K123" s="83">
        <v>2</v>
      </c>
      <c r="L123" s="84">
        <v>976.8</v>
      </c>
      <c r="M123" s="84"/>
      <c r="N123" s="56"/>
      <c r="O123" s="61" t="s">
        <v>90</v>
      </c>
      <c r="P123" s="84">
        <v>10</v>
      </c>
    </row>
    <row r="124">
      <c r="A124" s="48" t="s">
        <v>127</v>
      </c>
      <c r="B124" s="49" t="s">
        <v>95</v>
      </c>
      <c r="C124" s="91" t="s">
        <v>94</v>
      </c>
      <c r="D124" s="65">
        <v>5</v>
      </c>
      <c r="E124" s="52">
        <v>6</v>
      </c>
      <c r="F124" s="53">
        <v>2905.2</v>
      </c>
      <c r="G124" s="64">
        <v>7855.69</v>
      </c>
      <c r="H124" s="54">
        <f t="shared" si="1"/>
      </c>
      <c r="I124" s="54">
        <f t="shared" si="3"/>
      </c>
      <c r="J124" s="82">
        <f t="shared" si="2"/>
      </c>
      <c r="K124" s="83">
        <v>2</v>
      </c>
      <c r="L124" s="84">
        <v>1322.4</v>
      </c>
      <c r="M124" s="63"/>
      <c r="N124" s="63"/>
      <c r="O124" s="61"/>
      <c r="P124" s="61"/>
    </row>
    <row r="125">
      <c r="A125" s="48" t="s">
        <v>127</v>
      </c>
      <c r="B125" s="49" t="s">
        <v>88</v>
      </c>
      <c r="C125" s="91" t="s">
        <v>122</v>
      </c>
      <c r="D125" s="65">
        <v>5</v>
      </c>
      <c r="E125" s="52">
        <v>9</v>
      </c>
      <c r="F125" s="53">
        <v>8077.2</v>
      </c>
      <c r="G125" s="53">
        <v>9138.26</v>
      </c>
      <c r="H125" s="54">
        <f t="shared" si="1"/>
      </c>
      <c r="I125" s="54">
        <f t="shared" si="3"/>
      </c>
      <c r="J125" s="82">
        <f t="shared" si="2"/>
      </c>
      <c r="K125" s="83">
        <v>0</v>
      </c>
      <c r="L125" s="84">
        <v>0</v>
      </c>
      <c r="M125" s="56" t="s">
        <v>125</v>
      </c>
      <c r="N125" s="56">
        <v>10</v>
      </c>
      <c r="O125" s="61" t="s">
        <v>87</v>
      </c>
      <c r="P125" s="84">
        <v>10</v>
      </c>
    </row>
    <row r="126">
      <c r="A126" s="71" t="s">
        <v>127</v>
      </c>
      <c r="B126" s="72" t="s">
        <v>97</v>
      </c>
      <c r="C126" s="72"/>
      <c r="D126" s="73">
        <f>SUM(D122:D125)</f>
      </c>
      <c r="E126" s="73">
        <f>SUM(E122:E125)</f>
      </c>
      <c r="F126" s="74">
        <f>SUM(F122:F125)</f>
      </c>
      <c r="G126" s="74">
        <f>SUM(G122:G125)</f>
      </c>
      <c r="H126" s="75">
        <f t="shared" si="1"/>
      </c>
      <c r="I126" s="75">
        <f t="shared" si="3"/>
      </c>
      <c r="J126" s="85">
        <f t="shared" si="2"/>
      </c>
      <c r="K126" s="86">
        <f>SUM(K122:K125)</f>
      </c>
      <c r="L126" s="87">
        <f>SUM(L122:L125)</f>
      </c>
      <c r="M126" s="88"/>
      <c r="N126" s="87">
        <f>SUM(N122:N125)</f>
      </c>
      <c r="O126" s="88"/>
      <c r="P126" s="87">
        <f>SUM(P122:P125)</f>
      </c>
    </row>
    <row r="127">
      <c r="A127" s="48" t="s">
        <v>129</v>
      </c>
      <c r="B127" s="49" t="s">
        <v>100</v>
      </c>
      <c r="C127" s="91" t="s">
        <v>89</v>
      </c>
      <c r="D127" s="65">
        <v>5</v>
      </c>
      <c r="E127" s="52">
        <v>17</v>
      </c>
      <c r="F127" s="53">
        <v>13871.8</v>
      </c>
      <c r="G127" s="53">
        <v>12887.67</v>
      </c>
      <c r="H127" s="54">
        <f t="shared" si="1"/>
      </c>
      <c r="I127" s="54">
        <f t="shared" si="3"/>
      </c>
      <c r="J127" s="82">
        <f t="shared" si="2"/>
      </c>
      <c r="K127" s="83">
        <v>5</v>
      </c>
      <c r="L127" s="84">
        <v>3789.6</v>
      </c>
      <c r="M127" s="84" t="s">
        <v>128</v>
      </c>
      <c r="N127" s="84">
        <v>10</v>
      </c>
      <c r="O127" s="84"/>
      <c r="P127" s="61"/>
    </row>
    <row r="128">
      <c r="A128" s="48" t="s">
        <v>129</v>
      </c>
      <c r="B128" s="49" t="s">
        <v>95</v>
      </c>
      <c r="C128" s="91" t="s">
        <v>92</v>
      </c>
      <c r="D128" s="51">
        <v>5</v>
      </c>
      <c r="E128" s="52">
        <v>9</v>
      </c>
      <c r="F128" s="53">
        <v>9081.6</v>
      </c>
      <c r="G128" s="53">
        <v>9219.13</v>
      </c>
      <c r="H128" s="54">
        <f t="shared" si="1"/>
      </c>
      <c r="I128" s="54">
        <f t="shared" si="3"/>
      </c>
      <c r="J128" s="82">
        <f t="shared" si="2"/>
      </c>
      <c r="K128" s="83">
        <v>1</v>
      </c>
      <c r="L128" s="84">
        <v>2071.2</v>
      </c>
      <c r="M128" s="84"/>
      <c r="N128" s="56"/>
      <c r="O128" s="61" t="s">
        <v>90</v>
      </c>
      <c r="P128" s="84">
        <v>10</v>
      </c>
    </row>
    <row r="129">
      <c r="A129" s="92" t="s">
        <v>129</v>
      </c>
      <c r="B129" s="49" t="s">
        <v>84</v>
      </c>
      <c r="C129" s="91" t="s">
        <v>94</v>
      </c>
      <c r="D129" s="65">
        <v>5</v>
      </c>
      <c r="E129" s="52">
        <v>10</v>
      </c>
      <c r="F129" s="53">
        <v>7030.8</v>
      </c>
      <c r="G129" s="64">
        <v>7225.23</v>
      </c>
      <c r="H129" s="54">
        <f t="shared" si="1"/>
      </c>
      <c r="I129" s="54">
        <f t="shared" si="3"/>
      </c>
      <c r="J129" s="82">
        <f t="shared" si="2"/>
      </c>
      <c r="K129" s="83">
        <v>2</v>
      </c>
      <c r="L129" s="84">
        <v>789.6</v>
      </c>
      <c r="M129" s="63"/>
      <c r="N129" s="63"/>
      <c r="O129" s="61"/>
      <c r="P129" s="61"/>
    </row>
    <row r="130">
      <c r="A130" s="92" t="s">
        <v>129</v>
      </c>
      <c r="B130" s="49" t="s">
        <v>81</v>
      </c>
      <c r="C130" s="91" t="s">
        <v>122</v>
      </c>
      <c r="D130" s="65">
        <v>5</v>
      </c>
      <c r="E130" s="52">
        <v>22</v>
      </c>
      <c r="F130" s="53">
        <v>19845.6</v>
      </c>
      <c r="G130" s="53">
        <v>11925.86</v>
      </c>
      <c r="H130" s="54">
        <f t="shared" si="1"/>
      </c>
      <c r="I130" s="54">
        <f t="shared" si="3"/>
      </c>
      <c r="J130" s="82">
        <f t="shared" si="2"/>
      </c>
      <c r="K130" s="83">
        <v>1</v>
      </c>
      <c r="L130" s="84">
        <v>799.2</v>
      </c>
      <c r="M130" s="56" t="s">
        <v>125</v>
      </c>
      <c r="N130" s="56">
        <v>10</v>
      </c>
      <c r="O130" s="61" t="s">
        <v>87</v>
      </c>
      <c r="P130" s="84">
        <v>10</v>
      </c>
    </row>
    <row r="131">
      <c r="A131" s="71" t="s">
        <v>129</v>
      </c>
      <c r="B131" s="72" t="s">
        <v>97</v>
      </c>
      <c r="C131" s="72"/>
      <c r="D131" s="73">
        <f>SUM(D127:D130)</f>
      </c>
      <c r="E131" s="73">
        <f>SUM(E127:E130)</f>
      </c>
      <c r="F131" s="74">
        <f>SUM(F127:F130)</f>
      </c>
      <c r="G131" s="74">
        <f>SUM(G127:G130)</f>
      </c>
      <c r="H131" s="75">
        <f t="shared" si="1"/>
      </c>
      <c r="I131" s="75">
        <f t="shared" si="3"/>
      </c>
      <c r="J131" s="85">
        <f t="shared" si="2"/>
      </c>
      <c r="K131" s="86">
        <f>SUM(K127:K130)</f>
      </c>
      <c r="L131" s="87">
        <f>SUM(L127:L130)</f>
      </c>
      <c r="M131" s="88"/>
      <c r="N131" s="87">
        <f>SUM(N127:N130)</f>
      </c>
      <c r="O131" s="88"/>
      <c r="P131" s="87">
        <f>SUM(P127:P130)</f>
      </c>
    </row>
    <row r="132">
      <c r="A132" s="48" t="s">
        <v>130</v>
      </c>
      <c r="B132" s="49" t="s">
        <v>95</v>
      </c>
      <c r="C132" s="91" t="s">
        <v>89</v>
      </c>
      <c r="D132" s="65">
        <v>5</v>
      </c>
      <c r="E132" s="52">
        <v>12</v>
      </c>
      <c r="F132" s="53">
        <v>8912.2</v>
      </c>
      <c r="G132" s="53">
        <v>13378.81</v>
      </c>
      <c r="H132" s="54">
        <f t="shared" si="1"/>
      </c>
      <c r="I132" s="54">
        <f t="shared" si="3"/>
      </c>
      <c r="J132" s="82">
        <f t="shared" si="2"/>
      </c>
      <c r="K132" s="83">
        <v>0</v>
      </c>
      <c r="L132" s="84">
        <v>0</v>
      </c>
      <c r="M132" s="84" t="s">
        <v>131</v>
      </c>
      <c r="N132" s="84">
        <v>10</v>
      </c>
      <c r="O132" s="84"/>
      <c r="P132" s="61"/>
    </row>
    <row r="133">
      <c r="A133" s="48" t="s">
        <v>130</v>
      </c>
      <c r="B133" s="49" t="s">
        <v>84</v>
      </c>
      <c r="C133" s="91" t="s">
        <v>92</v>
      </c>
      <c r="D133" s="51">
        <v>5</v>
      </c>
      <c r="E133" s="52">
        <v>16</v>
      </c>
      <c r="F133" s="53">
        <v>8976.8</v>
      </c>
      <c r="G133" s="53">
        <v>14850.95</v>
      </c>
      <c r="H133" s="54">
        <f t="shared" si="1"/>
      </c>
      <c r="I133" s="54">
        <f t="shared" si="3"/>
      </c>
      <c r="J133" s="82">
        <f t="shared" si="2"/>
      </c>
      <c r="K133" s="83">
        <v>5</v>
      </c>
      <c r="L133" s="84">
        <v>4697.6</v>
      </c>
      <c r="M133" s="84"/>
      <c r="N133" s="56"/>
      <c r="O133" s="61" t="s">
        <v>90</v>
      </c>
      <c r="P133" s="84">
        <v>10</v>
      </c>
    </row>
    <row r="134">
      <c r="A134" s="48" t="s">
        <v>130</v>
      </c>
      <c r="B134" s="49" t="s">
        <v>81</v>
      </c>
      <c r="C134" s="91" t="s">
        <v>94</v>
      </c>
      <c r="D134" s="65">
        <v>5</v>
      </c>
      <c r="E134" s="52">
        <v>12</v>
      </c>
      <c r="F134" s="53">
        <v>6997.2</v>
      </c>
      <c r="G134" s="64">
        <v>11717.15</v>
      </c>
      <c r="H134" s="54">
        <f t="shared" si="1"/>
      </c>
      <c r="I134" s="54">
        <f t="shared" si="3"/>
      </c>
      <c r="J134" s="82">
        <f t="shared" si="2"/>
      </c>
      <c r="K134" s="83">
        <v>2</v>
      </c>
      <c r="L134" s="84">
        <v>1622.4</v>
      </c>
      <c r="M134" s="63"/>
      <c r="N134" s="63"/>
      <c r="O134" s="61"/>
      <c r="P134" s="61"/>
    </row>
    <row r="135">
      <c r="A135" s="48" t="s">
        <v>130</v>
      </c>
      <c r="B135" s="49" t="s">
        <v>88</v>
      </c>
      <c r="C135" s="91" t="s">
        <v>122</v>
      </c>
      <c r="D135" s="65">
        <v>5</v>
      </c>
      <c r="E135" s="52">
        <v>13</v>
      </c>
      <c r="F135" s="53">
        <v>8271.84</v>
      </c>
      <c r="G135" s="53">
        <v>8837.93</v>
      </c>
      <c r="H135" s="54">
        <f t="shared" si="1"/>
      </c>
      <c r="I135" s="54">
        <f t="shared" si="3"/>
      </c>
      <c r="J135" s="82">
        <f t="shared" si="2"/>
      </c>
      <c r="K135" s="83">
        <v>4</v>
      </c>
      <c r="L135" s="84">
        <v>3974.4</v>
      </c>
      <c r="M135" s="56" t="s">
        <v>125</v>
      </c>
      <c r="N135" s="56">
        <v>10</v>
      </c>
      <c r="O135" s="61" t="s">
        <v>87</v>
      </c>
      <c r="P135" s="84">
        <v>10</v>
      </c>
    </row>
    <row r="136">
      <c r="A136" s="71" t="s">
        <v>130</v>
      </c>
      <c r="B136" s="72" t="s">
        <v>97</v>
      </c>
      <c r="C136" s="72"/>
      <c r="D136" s="73">
        <f>SUM(D132:D135)</f>
      </c>
      <c r="E136" s="73">
        <f>SUM(E132:E135)</f>
      </c>
      <c r="F136" s="74">
        <f>SUM(F132:F135)</f>
      </c>
      <c r="G136" s="74">
        <f>SUM(G132:G135)</f>
      </c>
      <c r="H136" s="75">
        <f t="shared" si="1"/>
      </c>
      <c r="I136" s="75">
        <f t="shared" si="3"/>
      </c>
      <c r="J136" s="85">
        <f t="shared" si="2"/>
      </c>
      <c r="K136" s="86">
        <f>SUM(K132:K135)</f>
      </c>
      <c r="L136" s="87">
        <f>SUM(L132:L135)</f>
      </c>
      <c r="M136" s="88"/>
      <c r="N136" s="87">
        <f>SUM(N132:N135)</f>
      </c>
      <c r="O136" s="88"/>
      <c r="P136" s="87">
        <f>SUM(P132:P135)</f>
      </c>
    </row>
    <row r="137">
      <c r="A137" s="48" t="s">
        <v>132</v>
      </c>
      <c r="B137" s="49" t="s">
        <v>95</v>
      </c>
      <c r="C137" s="93" t="s">
        <v>133</v>
      </c>
      <c r="D137" s="65">
        <v>4</v>
      </c>
      <c r="E137" s="52">
        <v>9</v>
      </c>
      <c r="F137" s="53">
        <v>14588.2</v>
      </c>
      <c r="G137" s="53">
        <v>8419.37</v>
      </c>
      <c r="H137" s="54">
        <f t="shared" si="1"/>
      </c>
      <c r="I137" s="54">
        <f t="shared" si="3"/>
      </c>
      <c r="J137" s="82">
        <f t="shared" si="2"/>
      </c>
      <c r="K137" s="83">
        <v>3</v>
      </c>
      <c r="L137" s="84">
        <v>4762.799999999999</v>
      </c>
      <c r="M137" s="84" t="s">
        <v>131</v>
      </c>
      <c r="N137" s="84">
        <v>10</v>
      </c>
      <c r="O137" s="84"/>
      <c r="P137" s="61"/>
    </row>
    <row r="138">
      <c r="A138" s="48" t="s">
        <v>132</v>
      </c>
      <c r="B138" s="49" t="s">
        <v>84</v>
      </c>
      <c r="C138" s="93" t="s">
        <v>134</v>
      </c>
      <c r="D138" s="65">
        <v>4</v>
      </c>
      <c r="E138" s="52">
        <v>7</v>
      </c>
      <c r="F138" s="53">
        <v>2896.7999999999993</v>
      </c>
      <c r="G138" s="53">
        <v>8706.3</v>
      </c>
      <c r="H138" s="54">
        <f t="shared" si="1"/>
      </c>
      <c r="I138" s="54">
        <f t="shared" si="3"/>
      </c>
      <c r="J138" s="82">
        <f t="shared" si="2"/>
      </c>
      <c r="K138" s="83">
        <v>3</v>
      </c>
      <c r="L138" s="84">
        <v>769.2</v>
      </c>
      <c r="M138" s="84"/>
      <c r="N138" s="56"/>
      <c r="O138" s="61" t="s">
        <v>90</v>
      </c>
      <c r="P138" s="84">
        <v>10</v>
      </c>
    </row>
    <row r="139">
      <c r="A139" s="48" t="s">
        <v>132</v>
      </c>
      <c r="B139" s="49" t="s">
        <v>88</v>
      </c>
      <c r="C139" s="93" t="s">
        <v>135</v>
      </c>
      <c r="D139" s="65">
        <v>4</v>
      </c>
      <c r="E139" s="52">
        <v>8</v>
      </c>
      <c r="F139" s="53">
        <v>12477.6</v>
      </c>
      <c r="G139" s="53">
        <v>7208.9</v>
      </c>
      <c r="H139" s="54">
        <f t="shared" si="1"/>
      </c>
      <c r="I139" s="54">
        <f t="shared" si="3"/>
      </c>
      <c r="J139" s="82">
        <f t="shared" si="2"/>
      </c>
      <c r="K139" s="83">
        <v>3</v>
      </c>
      <c r="L139" s="84">
        <v>5665.2</v>
      </c>
      <c r="M139" s="63"/>
      <c r="N139" s="63"/>
      <c r="O139" s="61"/>
      <c r="P139" s="61"/>
    </row>
    <row customHeight="true" ht="16.071428571428573" r="140">
      <c r="A140" s="48" t="s">
        <v>132</v>
      </c>
      <c r="B140" s="49" t="s">
        <v>100</v>
      </c>
      <c r="C140" s="93" t="s">
        <v>136</v>
      </c>
      <c r="D140" s="65">
        <v>4</v>
      </c>
      <c r="E140" s="52">
        <v>9</v>
      </c>
      <c r="F140" s="53">
        <v>12054.8</v>
      </c>
      <c r="G140" s="64">
        <v>10213.44</v>
      </c>
      <c r="H140" s="54">
        <f t="shared" si="1"/>
      </c>
      <c r="I140" s="54">
        <f t="shared" si="3"/>
      </c>
      <c r="J140" s="82">
        <f t="shared" si="2"/>
      </c>
      <c r="K140" s="83">
        <v>2</v>
      </c>
      <c r="L140" s="84">
        <v>1836</v>
      </c>
      <c r="M140" s="63"/>
      <c r="N140" s="63"/>
      <c r="O140" s="61"/>
      <c r="P140" s="61"/>
    </row>
    <row r="141">
      <c r="A141" s="48" t="s">
        <v>132</v>
      </c>
      <c r="B141" s="49" t="s">
        <v>81</v>
      </c>
      <c r="C141" s="93" t="s">
        <v>137</v>
      </c>
      <c r="D141" s="65">
        <v>4</v>
      </c>
      <c r="E141" s="52">
        <v>10</v>
      </c>
      <c r="F141" s="53">
        <v>5877.6</v>
      </c>
      <c r="G141" s="53">
        <v>7812.53</v>
      </c>
      <c r="H141" s="54">
        <f t="shared" si="1"/>
      </c>
      <c r="I141" s="54">
        <f t="shared" si="3"/>
      </c>
      <c r="J141" s="82">
        <f t="shared" si="2"/>
      </c>
      <c r="K141" s="83">
        <v>1</v>
      </c>
      <c r="L141" s="84">
        <v>384</v>
      </c>
      <c r="M141" s="56" t="s">
        <v>125</v>
      </c>
      <c r="N141" s="56">
        <v>10</v>
      </c>
      <c r="O141" s="61" t="s">
        <v>87</v>
      </c>
      <c r="P141" s="84">
        <v>10</v>
      </c>
    </row>
    <row r="142">
      <c r="A142" s="71" t="s">
        <v>132</v>
      </c>
      <c r="B142" s="72" t="s">
        <v>97</v>
      </c>
      <c r="C142" s="72"/>
      <c r="D142" s="73">
        <f>SUM(D137:D141)</f>
      </c>
      <c r="E142" s="73">
        <f>SUM(E137:E141)</f>
      </c>
      <c r="F142" s="74">
        <f>SUM(F137:F141)</f>
      </c>
      <c r="G142" s="74">
        <f>SUM(G137:G141)</f>
      </c>
      <c r="H142" s="75">
        <f t="shared" si="1"/>
      </c>
      <c r="I142" s="75">
        <f t="shared" si="3"/>
      </c>
      <c r="J142" s="85">
        <f t="shared" si="2"/>
      </c>
      <c r="K142" s="86">
        <f>SUM(K137:K141)</f>
      </c>
      <c r="L142" s="87">
        <f>SUM(L137:L141)</f>
      </c>
      <c r="M142" s="88"/>
      <c r="N142" s="87">
        <f>SUM(N137:N141)</f>
      </c>
      <c r="O142" s="88"/>
      <c r="P142" s="87">
        <f>SUM(P137:P141)</f>
      </c>
    </row>
    <row r="143">
      <c r="A143" s="48" t="s">
        <v>138</v>
      </c>
      <c r="B143" s="49" t="s">
        <v>84</v>
      </c>
      <c r="C143" s="93" t="s">
        <v>133</v>
      </c>
      <c r="D143" s="65">
        <v>4</v>
      </c>
      <c r="E143" s="52">
        <v>4</v>
      </c>
      <c r="F143" s="53">
        <v>2935</v>
      </c>
      <c r="G143" s="53">
        <v>5087.85</v>
      </c>
      <c r="H143" s="54">
        <f t="shared" si="1"/>
      </c>
      <c r="I143" s="54">
        <f t="shared" si="3"/>
      </c>
      <c r="J143" s="82">
        <f t="shared" si="2"/>
      </c>
      <c r="K143" s="83">
        <v>1</v>
      </c>
      <c r="L143" s="84">
        <v>480</v>
      </c>
      <c r="M143" s="84" t="s">
        <v>139</v>
      </c>
      <c r="N143" s="84">
        <v>10</v>
      </c>
      <c r="O143" s="84"/>
      <c r="P143" s="61"/>
    </row>
    <row r="144">
      <c r="A144" s="48" t="s">
        <v>138</v>
      </c>
      <c r="B144" s="49" t="s">
        <v>88</v>
      </c>
      <c r="C144" s="93" t="s">
        <v>134</v>
      </c>
      <c r="D144" s="65">
        <v>4</v>
      </c>
      <c r="E144" s="52">
        <v>10</v>
      </c>
      <c r="F144" s="53">
        <v>11227.2</v>
      </c>
      <c r="G144" s="53">
        <v>9323.68</v>
      </c>
      <c r="H144" s="54">
        <f t="shared" si="1"/>
      </c>
      <c r="I144" s="54">
        <f t="shared" si="3"/>
      </c>
      <c r="J144" s="82">
        <f t="shared" si="2"/>
      </c>
      <c r="K144" s="83">
        <v>1</v>
      </c>
      <c r="L144" s="84">
        <v>384</v>
      </c>
      <c r="M144" s="84"/>
      <c r="N144" s="56"/>
      <c r="O144" s="61" t="s">
        <v>90</v>
      </c>
      <c r="P144" s="84">
        <v>10</v>
      </c>
    </row>
    <row r="145">
      <c r="A145" s="48" t="s">
        <v>138</v>
      </c>
      <c r="B145" s="49" t="s">
        <v>100</v>
      </c>
      <c r="C145" s="93" t="s">
        <v>135</v>
      </c>
      <c r="D145" s="65">
        <v>4</v>
      </c>
      <c r="E145" s="52">
        <v>6</v>
      </c>
      <c r="F145" s="53">
        <v>2127.6</v>
      </c>
      <c r="G145" s="53">
        <v>9130.97</v>
      </c>
      <c r="H145" s="54">
        <f t="shared" si="1"/>
      </c>
      <c r="I145" s="54">
        <f t="shared" si="3"/>
      </c>
      <c r="J145" s="82">
        <f t="shared" si="2"/>
      </c>
      <c r="K145" s="83">
        <v>0</v>
      </c>
      <c r="L145" s="84">
        <v>0</v>
      </c>
      <c r="M145" s="63"/>
      <c r="N145" s="63"/>
      <c r="O145" s="61"/>
      <c r="P145" s="61"/>
    </row>
    <row r="146">
      <c r="A146" s="48" t="s">
        <v>138</v>
      </c>
      <c r="B146" s="49" t="s">
        <v>95</v>
      </c>
      <c r="C146" s="93" t="s">
        <v>136</v>
      </c>
      <c r="D146" s="65">
        <v>4</v>
      </c>
      <c r="E146" s="52">
        <v>0</v>
      </c>
      <c r="F146" s="53">
        <v>0</v>
      </c>
      <c r="G146" s="64">
        <v>2883.97</v>
      </c>
      <c r="H146" s="54">
        <f t="shared" si="1"/>
      </c>
      <c r="I146" s="54">
        <f t="shared" si="3"/>
      </c>
      <c r="J146" s="82">
        <f t="shared" si="2"/>
      </c>
      <c r="K146" s="83">
        <v>0</v>
      </c>
      <c r="L146" s="84">
        <v>0</v>
      </c>
      <c r="M146" s="63"/>
      <c r="N146" s="63"/>
      <c r="O146" s="61"/>
      <c r="P146" s="61"/>
    </row>
    <row r="147">
      <c r="A147" s="48" t="s">
        <v>138</v>
      </c>
      <c r="B147" s="49" t="s">
        <v>81</v>
      </c>
      <c r="C147" s="93" t="s">
        <v>140</v>
      </c>
      <c r="D147" s="65">
        <v>1</v>
      </c>
      <c r="E147" s="52">
        <v>1</v>
      </c>
      <c r="F147" s="53">
        <v>2467.2</v>
      </c>
      <c r="G147" s="53">
        <v>679.89</v>
      </c>
      <c r="H147" s="54">
        <f t="shared" si="1"/>
      </c>
      <c r="I147" s="54">
        <f t="shared" si="3"/>
      </c>
      <c r="J147" s="82">
        <f t="shared" si="2"/>
      </c>
      <c r="K147" s="83">
        <v>0</v>
      </c>
      <c r="L147" s="84">
        <v>0</v>
      </c>
      <c r="M147" s="56" t="s">
        <v>125</v>
      </c>
      <c r="N147" s="56">
        <v>7</v>
      </c>
      <c r="O147" s="61" t="s">
        <v>87</v>
      </c>
      <c r="P147" s="84">
        <v>7</v>
      </c>
    </row>
    <row r="148">
      <c r="A148" s="71" t="s">
        <v>138</v>
      </c>
      <c r="B148" s="72" t="s">
        <v>97</v>
      </c>
      <c r="C148" s="72"/>
      <c r="D148" s="73">
        <f>SUM(D143:D147)</f>
      </c>
      <c r="E148" s="73">
        <f>SUM(E143:E147)</f>
      </c>
      <c r="F148" s="74">
        <f>SUM(F143:F147)</f>
      </c>
      <c r="G148" s="74">
        <f>SUM(G143:G147)</f>
      </c>
      <c r="H148" s="75">
        <f t="shared" si="1"/>
      </c>
      <c r="I148" s="75">
        <f t="shared" si="3"/>
      </c>
      <c r="J148" s="85">
        <f t="shared" si="2"/>
      </c>
      <c r="K148" s="86">
        <f>SUM(K143:K147)</f>
      </c>
      <c r="L148" s="87">
        <f>SUM(L143:L147)</f>
      </c>
      <c r="M148" s="88"/>
      <c r="N148" s="87">
        <f>SUM(N143:N147)</f>
      </c>
      <c r="O148" s="88"/>
      <c r="P148" s="87">
        <f>SUM(P143:P147)</f>
      </c>
    </row>
    <row r="149">
      <c r="A149" s="48" t="s">
        <v>141</v>
      </c>
      <c r="B149" s="49" t="s">
        <v>84</v>
      </c>
      <c r="C149" s="93" t="s">
        <v>133</v>
      </c>
      <c r="D149" s="65">
        <v>4</v>
      </c>
      <c r="E149" s="52">
        <v>4</v>
      </c>
      <c r="F149" s="53">
        <v>3309.6</v>
      </c>
      <c r="G149" s="53">
        <v>3787.74</v>
      </c>
      <c r="H149" s="54">
        <f t="shared" si="1"/>
      </c>
      <c r="I149" s="54">
        <f t="shared" si="3"/>
      </c>
      <c r="J149" s="82">
        <f t="shared" si="2"/>
      </c>
      <c r="K149" s="83">
        <v>0</v>
      </c>
      <c r="L149" s="84">
        <v>0</v>
      </c>
      <c r="M149" s="84" t="s">
        <v>86</v>
      </c>
      <c r="N149" s="84">
        <v>10</v>
      </c>
      <c r="O149" s="84"/>
      <c r="P149" s="61"/>
    </row>
    <row r="150">
      <c r="A150" s="48" t="s">
        <v>141</v>
      </c>
      <c r="B150" s="49" t="s">
        <v>88</v>
      </c>
      <c r="C150" s="93" t="s">
        <v>134</v>
      </c>
      <c r="D150" s="65">
        <v>4</v>
      </c>
      <c r="E150" s="52">
        <v>6</v>
      </c>
      <c r="F150" s="53">
        <v>4398.799999999999</v>
      </c>
      <c r="G150" s="53">
        <v>7760.63</v>
      </c>
      <c r="H150" s="54">
        <f t="shared" si="1"/>
      </c>
      <c r="I150" s="54">
        <f t="shared" si="3"/>
      </c>
      <c r="J150" s="82">
        <f t="shared" si="2"/>
      </c>
      <c r="K150" s="83">
        <v>2</v>
      </c>
      <c r="L150" s="84">
        <v>1616</v>
      </c>
      <c r="M150" s="84"/>
      <c r="N150" s="56"/>
      <c r="O150" s="61" t="s">
        <v>90</v>
      </c>
      <c r="P150" s="84">
        <v>10</v>
      </c>
    </row>
    <row r="151">
      <c r="A151" s="48" t="s">
        <v>141</v>
      </c>
      <c r="B151" s="49" t="s">
        <v>100</v>
      </c>
      <c r="C151" s="93" t="s">
        <v>135</v>
      </c>
      <c r="D151" s="65">
        <v>4</v>
      </c>
      <c r="E151" s="52">
        <v>10</v>
      </c>
      <c r="F151" s="53">
        <v>7046.4</v>
      </c>
      <c r="G151" s="53">
        <v>9524.02</v>
      </c>
      <c r="H151" s="54">
        <f t="shared" si="1"/>
      </c>
      <c r="I151" s="54">
        <f t="shared" si="3"/>
      </c>
      <c r="J151" s="82">
        <f t="shared" si="2"/>
      </c>
      <c r="K151" s="83">
        <v>3</v>
      </c>
      <c r="L151" s="84">
        <v>2016</v>
      </c>
      <c r="M151" s="63"/>
      <c r="N151" s="63"/>
      <c r="O151" s="61"/>
      <c r="P151" s="61"/>
    </row>
    <row r="152">
      <c r="A152" s="48" t="s">
        <v>141</v>
      </c>
      <c r="B152" s="49" t="s">
        <v>95</v>
      </c>
      <c r="C152" s="93" t="s">
        <v>136</v>
      </c>
      <c r="D152" s="65">
        <v>4</v>
      </c>
      <c r="E152" s="52">
        <v>10</v>
      </c>
      <c r="F152" s="53">
        <v>7568.4</v>
      </c>
      <c r="G152" s="64">
        <v>13630</v>
      </c>
      <c r="H152" s="54">
        <f t="shared" si="1"/>
      </c>
      <c r="I152" s="54">
        <f t="shared" si="3"/>
      </c>
      <c r="J152" s="82">
        <f t="shared" si="2"/>
      </c>
      <c r="K152" s="83">
        <v>1</v>
      </c>
      <c r="L152" s="84">
        <v>2011.2</v>
      </c>
      <c r="M152" s="63"/>
      <c r="N152" s="63"/>
      <c r="O152" s="61"/>
      <c r="P152" s="61"/>
    </row>
    <row r="153">
      <c r="A153" s="48" t="s">
        <v>141</v>
      </c>
      <c r="B153" s="49" t="s">
        <v>81</v>
      </c>
      <c r="C153" s="93" t="s">
        <v>137</v>
      </c>
      <c r="D153" s="65">
        <v>4</v>
      </c>
      <c r="E153" s="52">
        <v>11</v>
      </c>
      <c r="F153" s="53">
        <v>7523.6</v>
      </c>
      <c r="G153" s="53">
        <v>9377.05</v>
      </c>
      <c r="H153" s="54">
        <f t="shared" si="1"/>
      </c>
      <c r="I153" s="54">
        <f t="shared" si="3"/>
      </c>
      <c r="J153" s="82">
        <f t="shared" si="2"/>
      </c>
      <c r="K153" s="83">
        <v>1</v>
      </c>
      <c r="L153" s="84">
        <v>183.6</v>
      </c>
      <c r="M153" s="56" t="s">
        <v>125</v>
      </c>
      <c r="N153" s="56">
        <v>10</v>
      </c>
      <c r="O153" s="61" t="s">
        <v>87</v>
      </c>
      <c r="P153" s="84">
        <v>7</v>
      </c>
    </row>
    <row r="154">
      <c r="A154" s="71" t="s">
        <v>141</v>
      </c>
      <c r="B154" s="72" t="s">
        <v>97</v>
      </c>
      <c r="C154" s="72"/>
      <c r="D154" s="73">
        <f>SUM(D149:D153)</f>
      </c>
      <c r="E154" s="73">
        <f>SUM(E149:E153)</f>
      </c>
      <c r="F154" s="74">
        <f>SUM(F149:F153)</f>
      </c>
      <c r="G154" s="74">
        <f>SUM(G149:G153)</f>
      </c>
      <c r="H154" s="75">
        <f t="shared" si="1"/>
      </c>
      <c r="I154" s="75">
        <f t="shared" si="3"/>
      </c>
      <c r="J154" s="85">
        <f t="shared" si="2"/>
      </c>
      <c r="K154" s="86">
        <f>SUM(K149:K153)</f>
      </c>
      <c r="L154" s="87">
        <f>SUM(L149:L153)</f>
      </c>
      <c r="M154" s="88"/>
      <c r="N154" s="87">
        <f>SUM(N149:N153)</f>
      </c>
      <c r="O154" s="88"/>
      <c r="P154" s="87">
        <f>SUM(P149:P153)</f>
      </c>
    </row>
    <row r="155">
      <c r="A155" s="48" t="s">
        <v>142</v>
      </c>
      <c r="B155" s="49" t="s">
        <v>84</v>
      </c>
      <c r="C155" s="93" t="s">
        <v>133</v>
      </c>
      <c r="D155" s="65">
        <v>4</v>
      </c>
      <c r="E155" s="52">
        <v>14</v>
      </c>
      <c r="F155" s="53">
        <v>10620</v>
      </c>
      <c r="G155" s="53">
        <v>11884.56</v>
      </c>
      <c r="H155" s="54">
        <f t="shared" si="1"/>
      </c>
      <c r="I155" s="54">
        <f t="shared" si="3"/>
      </c>
      <c r="J155" s="82">
        <f t="shared" si="2"/>
      </c>
      <c r="K155" s="83">
        <v>7</v>
      </c>
      <c r="L155" s="84">
        <v>4399.2</v>
      </c>
      <c r="M155" s="84" t="s">
        <v>86</v>
      </c>
      <c r="N155" s="84">
        <v>10</v>
      </c>
      <c r="O155" s="84"/>
      <c r="P155" s="61"/>
    </row>
    <row r="156">
      <c r="A156" s="48" t="s">
        <v>142</v>
      </c>
      <c r="B156" s="49" t="s">
        <v>88</v>
      </c>
      <c r="C156" s="93" t="s">
        <v>134</v>
      </c>
      <c r="D156" s="65">
        <v>4</v>
      </c>
      <c r="E156" s="52">
        <v>18</v>
      </c>
      <c r="F156" s="53">
        <v>12367.2</v>
      </c>
      <c r="G156" s="53">
        <v>14874.71</v>
      </c>
      <c r="H156" s="54">
        <f t="shared" si="1"/>
      </c>
      <c r="I156" s="54">
        <f t="shared" si="3"/>
      </c>
      <c r="J156" s="82">
        <f t="shared" si="2"/>
      </c>
      <c r="K156" s="83">
        <v>5</v>
      </c>
      <c r="L156" s="84">
        <v>2360.4</v>
      </c>
      <c r="M156" s="84"/>
      <c r="N156" s="56"/>
      <c r="O156" s="61" t="s">
        <v>90</v>
      </c>
      <c r="P156" s="84">
        <v>10</v>
      </c>
    </row>
    <row r="157">
      <c r="A157" s="48" t="s">
        <v>142</v>
      </c>
      <c r="B157" s="49" t="s">
        <v>100</v>
      </c>
      <c r="C157" s="93" t="s">
        <v>135</v>
      </c>
      <c r="D157" s="65">
        <v>4</v>
      </c>
      <c r="E157" s="52">
        <v>8</v>
      </c>
      <c r="F157" s="53">
        <v>10386</v>
      </c>
      <c r="G157" s="53">
        <v>12086</v>
      </c>
      <c r="H157" s="54">
        <f t="shared" si="1"/>
      </c>
      <c r="I157" s="54">
        <f t="shared" si="3"/>
      </c>
      <c r="J157" s="82">
        <f t="shared" si="2"/>
      </c>
      <c r="K157" s="83">
        <v>2</v>
      </c>
      <c r="L157" s="84">
        <v>1417.2</v>
      </c>
      <c r="M157" s="63"/>
      <c r="N157" s="63"/>
      <c r="O157" s="61"/>
      <c r="P157" s="61"/>
    </row>
    <row r="158">
      <c r="A158" s="48" t="s">
        <v>142</v>
      </c>
      <c r="B158" s="49" t="s">
        <v>81</v>
      </c>
      <c r="C158" s="93" t="s">
        <v>136</v>
      </c>
      <c r="D158" s="65">
        <v>4</v>
      </c>
      <c r="E158" s="52">
        <v>14</v>
      </c>
      <c r="F158" s="53">
        <v>9468</v>
      </c>
      <c r="G158" s="64">
        <v>15078.8</v>
      </c>
      <c r="H158" s="54">
        <f t="shared" si="1"/>
      </c>
      <c r="I158" s="54">
        <f t="shared" si="3"/>
      </c>
      <c r="J158" s="82">
        <f t="shared" si="2"/>
      </c>
      <c r="K158" s="83">
        <v>1</v>
      </c>
      <c r="L158" s="84">
        <v>919.2</v>
      </c>
      <c r="M158" s="63"/>
      <c r="N158" s="63"/>
      <c r="O158" s="61"/>
      <c r="P158" s="61"/>
    </row>
    <row r="159">
      <c r="A159" s="48" t="s">
        <v>142</v>
      </c>
      <c r="B159" s="49" t="s">
        <v>95</v>
      </c>
      <c r="C159" s="93" t="s">
        <v>137</v>
      </c>
      <c r="D159" s="65">
        <v>4</v>
      </c>
      <c r="E159" s="52">
        <v>5</v>
      </c>
      <c r="F159" s="53">
        <v>8332.4</v>
      </c>
      <c r="G159" s="53">
        <v>7778.69</v>
      </c>
      <c r="H159" s="54">
        <f t="shared" si="1"/>
      </c>
      <c r="I159" s="54">
        <f t="shared" si="3"/>
      </c>
      <c r="J159" s="82">
        <f t="shared" si="2"/>
      </c>
      <c r="K159" s="83">
        <v>0</v>
      </c>
      <c r="L159" s="84">
        <v>0</v>
      </c>
      <c r="M159" s="56" t="s">
        <v>143</v>
      </c>
      <c r="N159" s="56">
        <v>10</v>
      </c>
      <c r="O159" s="61" t="s">
        <v>87</v>
      </c>
      <c r="P159" s="84">
        <v>7</v>
      </c>
    </row>
    <row r="160">
      <c r="A160" s="71" t="s">
        <v>142</v>
      </c>
      <c r="B160" s="72" t="s">
        <v>97</v>
      </c>
      <c r="C160" s="72"/>
      <c r="D160" s="73">
        <f>SUM(D155:D159)</f>
      </c>
      <c r="E160" s="73">
        <f>SUM(E155:E159)</f>
      </c>
      <c r="F160" s="74">
        <f>SUM(F155:F159)</f>
      </c>
      <c r="G160" s="74">
        <f>SUM(G155:G159)</f>
      </c>
      <c r="H160" s="75">
        <f t="shared" si="1"/>
      </c>
      <c r="I160" s="75">
        <f t="shared" si="3"/>
      </c>
      <c r="J160" s="85">
        <f t="shared" si="2"/>
      </c>
      <c r="K160" s="86">
        <f>SUM(K155:K159)</f>
      </c>
      <c r="L160" s="87">
        <f>SUM(L155:L159)</f>
      </c>
      <c r="M160" s="88"/>
      <c r="N160" s="87">
        <f>SUM(N155:N159)</f>
      </c>
      <c r="O160" s="88"/>
      <c r="P160" s="87">
        <f>SUM(P155:P159)</f>
      </c>
    </row>
    <row r="161">
      <c r="A161" s="48" t="s">
        <v>144</v>
      </c>
      <c r="B161" s="49" t="s">
        <v>100</v>
      </c>
      <c r="C161" s="93" t="s">
        <v>89</v>
      </c>
      <c r="D161" s="65">
        <v>5</v>
      </c>
      <c r="E161" s="52">
        <v>30</v>
      </c>
      <c r="F161" s="53">
        <v>43498.4</v>
      </c>
      <c r="G161" s="53">
        <v>20552.75</v>
      </c>
      <c r="H161" s="54">
        <f t="shared" si="1"/>
      </c>
      <c r="I161" s="54">
        <f t="shared" si="3"/>
      </c>
      <c r="J161" s="82">
        <f t="shared" si="2"/>
      </c>
      <c r="K161" s="83">
        <v>8</v>
      </c>
      <c r="L161" s="84">
        <v>12834.6</v>
      </c>
      <c r="M161" s="84" t="s">
        <v>86</v>
      </c>
      <c r="N161" s="84">
        <v>10</v>
      </c>
      <c r="O161" s="84"/>
      <c r="P161" s="61"/>
    </row>
    <row r="162">
      <c r="A162" s="48" t="s">
        <v>144</v>
      </c>
      <c r="B162" s="49" t="s">
        <v>81</v>
      </c>
      <c r="C162" s="93" t="s">
        <v>92</v>
      </c>
      <c r="D162" s="65">
        <v>5</v>
      </c>
      <c r="E162" s="52">
        <v>28</v>
      </c>
      <c r="F162" s="53">
        <v>23124.8</v>
      </c>
      <c r="G162" s="53">
        <v>20928.03</v>
      </c>
      <c r="H162" s="54">
        <f t="shared" si="1"/>
      </c>
      <c r="I162" s="54">
        <f t="shared" si="3"/>
      </c>
      <c r="J162" s="82">
        <f t="shared" si="2"/>
      </c>
      <c r="K162" s="83">
        <v>12</v>
      </c>
      <c r="L162" s="84">
        <v>8592</v>
      </c>
      <c r="M162" s="84"/>
      <c r="N162" s="56"/>
      <c r="O162" s="61" t="s">
        <v>90</v>
      </c>
      <c r="P162" s="84">
        <v>10</v>
      </c>
    </row>
    <row r="163">
      <c r="A163" s="48" t="s">
        <v>144</v>
      </c>
      <c r="B163" s="49" t="s">
        <v>88</v>
      </c>
      <c r="C163" s="93" t="s">
        <v>94</v>
      </c>
      <c r="D163" s="65">
        <v>5</v>
      </c>
      <c r="E163" s="52">
        <v>18</v>
      </c>
      <c r="F163" s="53">
        <v>21260.4</v>
      </c>
      <c r="G163" s="53">
        <v>21307.94</v>
      </c>
      <c r="H163" s="54">
        <f t="shared" si="1"/>
      </c>
      <c r="I163" s="54">
        <f t="shared" si="3"/>
      </c>
      <c r="J163" s="82">
        <f t="shared" si="2"/>
      </c>
      <c r="K163" s="83">
        <v>4</v>
      </c>
      <c r="L163" s="84">
        <v>4659.6</v>
      </c>
      <c r="M163" s="63"/>
      <c r="N163" s="63"/>
      <c r="O163" s="61"/>
      <c r="P163" s="61"/>
    </row>
    <row r="164">
      <c r="A164" s="48" t="s">
        <v>144</v>
      </c>
      <c r="B164" s="49" t="s">
        <v>84</v>
      </c>
      <c r="C164" s="93" t="s">
        <v>145</v>
      </c>
      <c r="D164" s="65">
        <v>5</v>
      </c>
      <c r="E164" s="52">
        <v>19</v>
      </c>
      <c r="F164" s="53">
        <v>21867.6</v>
      </c>
      <c r="G164" s="64">
        <v>16577.83</v>
      </c>
      <c r="H164" s="54">
        <f t="shared" si="1"/>
      </c>
      <c r="I164" s="54">
        <f t="shared" si="3"/>
      </c>
      <c r="J164" s="82">
        <f t="shared" si="2"/>
      </c>
      <c r="K164" s="83">
        <v>3</v>
      </c>
      <c r="L164" s="84">
        <v>3141.6</v>
      </c>
      <c r="M164" s="56" t="s">
        <v>143</v>
      </c>
      <c r="N164" s="56">
        <v>10</v>
      </c>
      <c r="O164" s="61"/>
      <c r="P164" s="61"/>
    </row>
    <row r="165">
      <c r="A165" s="71" t="s">
        <v>144</v>
      </c>
      <c r="B165" s="72" t="s">
        <v>97</v>
      </c>
      <c r="C165" s="72"/>
      <c r="D165" s="73">
        <f>SUM(D161:D164)</f>
      </c>
      <c r="E165" s="73">
        <f>SUM(E161:E164)</f>
      </c>
      <c r="F165" s="74">
        <f>SUM(F161:F164)</f>
      </c>
      <c r="G165" s="74">
        <f>SUM(G161:G164)</f>
      </c>
      <c r="H165" s="75">
        <f t="shared" si="1"/>
      </c>
      <c r="I165" s="75">
        <f t="shared" si="3"/>
      </c>
      <c r="J165" s="85">
        <f t="shared" si="2"/>
      </c>
      <c r="K165" s="86">
        <f>SUM(K161:K164)</f>
      </c>
      <c r="L165" s="87">
        <f>SUM(L161:L164)</f>
      </c>
      <c r="M165" s="88"/>
      <c r="N165" s="87">
        <f>SUM(N161:N164)</f>
      </c>
      <c r="O165" s="88"/>
      <c r="P165" s="87">
        <f>SUM(P161:P164)</f>
      </c>
    </row>
    <row r="166">
      <c r="A166" s="48" t="s">
        <v>146</v>
      </c>
      <c r="B166" s="49" t="s">
        <v>88</v>
      </c>
      <c r="C166" s="93" t="s">
        <v>89</v>
      </c>
      <c r="D166" s="65">
        <v>5</v>
      </c>
      <c r="E166" s="52">
        <v>12</v>
      </c>
      <c r="F166" s="53">
        <v>18944.2</v>
      </c>
      <c r="G166" s="53">
        <v>14083.39</v>
      </c>
      <c r="H166" s="54">
        <f t="shared" si="1"/>
      </c>
      <c r="I166" s="54">
        <f t="shared" si="3"/>
      </c>
      <c r="J166" s="82">
        <f t="shared" si="2"/>
      </c>
      <c r="K166" s="83">
        <v>2</v>
      </c>
      <c r="L166" s="84">
        <v>4219.2</v>
      </c>
      <c r="M166" s="84" t="s">
        <v>86</v>
      </c>
      <c r="N166" s="84">
        <v>10</v>
      </c>
      <c r="O166" s="84"/>
      <c r="P166" s="61"/>
    </row>
    <row r="167">
      <c r="A167" s="48" t="s">
        <v>146</v>
      </c>
      <c r="B167" s="49" t="s">
        <v>81</v>
      </c>
      <c r="C167" s="93" t="s">
        <v>92</v>
      </c>
      <c r="D167" s="65">
        <v>5</v>
      </c>
      <c r="E167" s="52">
        <v>10</v>
      </c>
      <c r="F167" s="53">
        <v>9842.4</v>
      </c>
      <c r="G167" s="53">
        <v>12572.76</v>
      </c>
      <c r="H167" s="54">
        <f t="shared" si="1"/>
      </c>
      <c r="I167" s="54">
        <f t="shared" si="3"/>
      </c>
      <c r="J167" s="82">
        <f t="shared" si="2"/>
      </c>
      <c r="K167" s="83">
        <v>3</v>
      </c>
      <c r="L167" s="84">
        <v>2822.4</v>
      </c>
      <c r="M167" s="84"/>
      <c r="N167" s="56"/>
      <c r="O167" s="61" t="s">
        <v>90</v>
      </c>
      <c r="P167" s="84">
        <v>10</v>
      </c>
    </row>
    <row r="168">
      <c r="A168" s="48" t="s">
        <v>146</v>
      </c>
      <c r="B168" s="49" t="s">
        <v>84</v>
      </c>
      <c r="C168" s="93" t="s">
        <v>94</v>
      </c>
      <c r="D168" s="65">
        <v>5</v>
      </c>
      <c r="E168" s="52">
        <v>10</v>
      </c>
      <c r="F168" s="53">
        <v>9046.8</v>
      </c>
      <c r="G168" s="53">
        <v>12598.77</v>
      </c>
      <c r="H168" s="54">
        <f t="shared" si="1"/>
      </c>
      <c r="I168" s="54">
        <f t="shared" si="3"/>
      </c>
      <c r="J168" s="82">
        <f t="shared" si="2"/>
      </c>
      <c r="K168" s="83">
        <v>0</v>
      </c>
      <c r="L168" s="84">
        <v>0</v>
      </c>
      <c r="M168" s="63"/>
      <c r="N168" s="63"/>
      <c r="O168" s="61"/>
      <c r="P168" s="61"/>
    </row>
    <row r="169">
      <c r="A169" s="48" t="s">
        <v>146</v>
      </c>
      <c r="B169" s="49" t="s">
        <v>95</v>
      </c>
      <c r="C169" s="93" t="s">
        <v>145</v>
      </c>
      <c r="D169" s="65">
        <v>5</v>
      </c>
      <c r="E169" s="52">
        <v>19</v>
      </c>
      <c r="F169" s="53">
        <v>21087</v>
      </c>
      <c r="G169" s="64">
        <v>16812.71</v>
      </c>
      <c r="H169" s="54">
        <f t="shared" si="1"/>
      </c>
      <c r="I169" s="54">
        <f t="shared" si="3"/>
      </c>
      <c r="J169" s="82">
        <f t="shared" si="2"/>
      </c>
      <c r="K169" s="83">
        <v>5</v>
      </c>
      <c r="L169" s="84">
        <v>2056.8</v>
      </c>
      <c r="M169" s="56" t="s">
        <v>143</v>
      </c>
      <c r="N169" s="56">
        <v>10</v>
      </c>
      <c r="O169" s="61"/>
      <c r="P169" s="61"/>
    </row>
    <row r="170">
      <c r="A170" s="71" t="s">
        <v>146</v>
      </c>
      <c r="B170" s="72" t="s">
        <v>97</v>
      </c>
      <c r="C170" s="72"/>
      <c r="D170" s="73">
        <f>SUM(D166:D169)</f>
      </c>
      <c r="E170" s="73">
        <f>SUM(E166:E169)</f>
      </c>
      <c r="F170" s="74">
        <f>SUM(F166:F169)</f>
      </c>
      <c r="G170" s="74">
        <f>SUM(G166:G169)</f>
      </c>
      <c r="H170" s="75">
        <f t="shared" si="1"/>
      </c>
      <c r="I170" s="75">
        <f t="shared" si="3"/>
      </c>
      <c r="J170" s="85">
        <f t="shared" si="2"/>
      </c>
      <c r="K170" s="86">
        <f>SUM(K166:K169)</f>
      </c>
      <c r="L170" s="87">
        <f>SUM(L166:L169)</f>
      </c>
      <c r="M170" s="88"/>
      <c r="N170" s="87">
        <f>SUM(N166:N169)</f>
      </c>
      <c r="O170" s="88"/>
      <c r="P170" s="87">
        <f>SUM(P166:P169)</f>
      </c>
    </row>
    <row r="171">
      <c r="A171" s="48" t="s">
        <v>147</v>
      </c>
      <c r="B171" s="49" t="s">
        <v>100</v>
      </c>
      <c r="C171" s="93" t="s">
        <v>89</v>
      </c>
      <c r="D171" s="65">
        <v>5</v>
      </c>
      <c r="E171" s="52">
        <v>18</v>
      </c>
      <c r="F171" s="53">
        <v>21572.4</v>
      </c>
      <c r="G171" s="53">
        <v>18967.79</v>
      </c>
      <c r="H171" s="54">
        <f t="shared" si="1"/>
      </c>
      <c r="I171" s="54">
        <f t="shared" si="3"/>
      </c>
      <c r="J171" s="82">
        <f t="shared" si="2"/>
      </c>
      <c r="K171" s="83">
        <v>7</v>
      </c>
      <c r="L171" s="84">
        <v>12487.2</v>
      </c>
      <c r="M171" s="84" t="s">
        <v>148</v>
      </c>
      <c r="N171" s="84">
        <v>10</v>
      </c>
      <c r="O171" s="84"/>
      <c r="P171" s="61"/>
    </row>
    <row r="172">
      <c r="A172" s="48" t="s">
        <v>147</v>
      </c>
      <c r="B172" s="49" t="s">
        <v>81</v>
      </c>
      <c r="C172" s="93" t="s">
        <v>92</v>
      </c>
      <c r="D172" s="65">
        <v>5</v>
      </c>
      <c r="E172" s="52">
        <v>22</v>
      </c>
      <c r="F172" s="53">
        <v>16360.8</v>
      </c>
      <c r="G172" s="53">
        <v>20378.4</v>
      </c>
      <c r="H172" s="54">
        <f t="shared" si="1"/>
      </c>
      <c r="I172" s="54">
        <f t="shared" si="3"/>
      </c>
      <c r="J172" s="82">
        <f t="shared" si="2"/>
      </c>
      <c r="K172" s="83">
        <v>8</v>
      </c>
      <c r="L172" s="84">
        <v>4996.9</v>
      </c>
      <c r="M172" s="84"/>
      <c r="N172" s="56"/>
      <c r="O172" s="61" t="s">
        <v>90</v>
      </c>
      <c r="P172" s="84">
        <v>10</v>
      </c>
    </row>
    <row r="173">
      <c r="A173" s="48" t="s">
        <v>147</v>
      </c>
      <c r="B173" s="49" t="s">
        <v>84</v>
      </c>
      <c r="C173" s="93" t="s">
        <v>94</v>
      </c>
      <c r="D173" s="65">
        <v>5</v>
      </c>
      <c r="E173" s="52">
        <v>10</v>
      </c>
      <c r="F173" s="53">
        <v>11778</v>
      </c>
      <c r="G173" s="53">
        <v>13941.96</v>
      </c>
      <c r="H173" s="54">
        <f t="shared" si="1"/>
      </c>
      <c r="I173" s="54">
        <f t="shared" si="3"/>
      </c>
      <c r="J173" s="82">
        <f t="shared" si="2"/>
      </c>
      <c r="K173" s="83">
        <v>2</v>
      </c>
      <c r="L173" s="84">
        <v>2858.4</v>
      </c>
      <c r="M173" s="63"/>
      <c r="N173" s="63"/>
      <c r="O173" s="61"/>
      <c r="P173" s="61"/>
    </row>
    <row r="174">
      <c r="A174" s="48" t="s">
        <v>147</v>
      </c>
      <c r="B174" s="49" t="s">
        <v>95</v>
      </c>
      <c r="C174" s="93" t="s">
        <v>96</v>
      </c>
      <c r="D174" s="65">
        <v>3</v>
      </c>
      <c r="E174" s="52">
        <v>10</v>
      </c>
      <c r="F174" s="53">
        <v>10330.44</v>
      </c>
      <c r="G174" s="64">
        <v>9191.86</v>
      </c>
      <c r="H174" s="54">
        <f t="shared" si="1"/>
      </c>
      <c r="I174" s="54">
        <f t="shared" si="3"/>
      </c>
      <c r="J174" s="82">
        <f t="shared" si="2"/>
      </c>
      <c r="K174" s="83">
        <v>0</v>
      </c>
      <c r="L174" s="84">
        <v>0</v>
      </c>
      <c r="M174" s="56" t="s">
        <v>149</v>
      </c>
      <c r="N174" s="56">
        <v>8</v>
      </c>
      <c r="O174" s="61"/>
      <c r="P174" s="61"/>
    </row>
    <row r="175">
      <c r="A175" s="71" t="s">
        <v>147</v>
      </c>
      <c r="B175" s="72" t="s">
        <v>97</v>
      </c>
      <c r="C175" s="72"/>
      <c r="D175" s="73">
        <f>SUM(D171:D174)</f>
      </c>
      <c r="E175" s="73">
        <f>SUM(E171:E174)</f>
      </c>
      <c r="F175" s="74">
        <f>SUM(F171:F174)</f>
      </c>
      <c r="G175" s="74">
        <f>SUM(G171:G174)</f>
      </c>
      <c r="H175" s="75">
        <f t="shared" si="1"/>
      </c>
      <c r="I175" s="75">
        <f t="shared" si="3"/>
      </c>
      <c r="J175" s="85">
        <f t="shared" si="2"/>
      </c>
      <c r="K175" s="86">
        <f>SUM(K171:K174)</f>
      </c>
      <c r="L175" s="87">
        <f>SUM(L171:L174)</f>
      </c>
      <c r="M175" s="88"/>
      <c r="N175" s="87">
        <f>SUM(N171:N174)</f>
      </c>
      <c r="O175" s="88"/>
      <c r="P175" s="87">
        <f>SUM(P171:P174)</f>
      </c>
    </row>
    <row customHeight="true" ht="16.071428571428573" r="176">
      <c r="A176" s="48" t="s">
        <v>150</v>
      </c>
      <c r="B176" s="49" t="s">
        <v>95</v>
      </c>
      <c r="C176" s="93" t="s">
        <v>99</v>
      </c>
      <c r="D176" s="65">
        <v>2</v>
      </c>
      <c r="E176" s="52">
        <v>1</v>
      </c>
      <c r="F176" s="53">
        <v>1404</v>
      </c>
      <c r="G176" s="53">
        <v>3162.42</v>
      </c>
      <c r="H176" s="54">
        <f t="shared" si="1"/>
      </c>
      <c r="I176" s="54">
        <f t="shared" si="3"/>
      </c>
      <c r="J176" s="82">
        <f t="shared" si="2"/>
      </c>
      <c r="K176" s="83">
        <v>0</v>
      </c>
      <c r="L176" s="84">
        <v>0</v>
      </c>
      <c r="M176" s="84"/>
      <c r="N176" s="84"/>
      <c r="O176" s="84"/>
      <c r="P176" s="61"/>
    </row>
    <row r="177">
      <c r="A177" s="48" t="s">
        <v>150</v>
      </c>
      <c r="B177" s="49" t="s">
        <v>88</v>
      </c>
      <c r="C177" s="93" t="s">
        <v>101</v>
      </c>
      <c r="D177" s="65">
        <v>4</v>
      </c>
      <c r="E177" s="65">
        <v>4</v>
      </c>
      <c r="F177" s="53">
        <v>1696.8</v>
      </c>
      <c r="G177" s="53">
        <v>6435.15</v>
      </c>
      <c r="H177" s="54">
        <f t="shared" si="1"/>
      </c>
      <c r="I177" s="54">
        <f t="shared" si="3"/>
      </c>
      <c r="J177" s="82">
        <f t="shared" si="2"/>
      </c>
      <c r="K177" s="83">
        <v>1</v>
      </c>
      <c r="L177" s="84">
        <v>114</v>
      </c>
      <c r="M177" s="84" t="s">
        <v>105</v>
      </c>
      <c r="N177" s="84">
        <v>7</v>
      </c>
      <c r="O177" s="84" t="s">
        <v>87</v>
      </c>
      <c r="P177" s="84">
        <v>12</v>
      </c>
    </row>
    <row customHeight="true" ht="16.071428571428573" r="178">
      <c r="A178" s="48" t="s">
        <v>150</v>
      </c>
      <c r="B178" s="49" t="s">
        <v>100</v>
      </c>
      <c r="C178" s="93" t="s">
        <v>89</v>
      </c>
      <c r="D178" s="65">
        <v>5</v>
      </c>
      <c r="E178" s="52">
        <v>7</v>
      </c>
      <c r="F178" s="53">
        <v>6415.079999999999</v>
      </c>
      <c r="G178" s="53">
        <v>8028.710000000001</v>
      </c>
      <c r="H178" s="54">
        <f t="shared" si="1"/>
      </c>
      <c r="I178" s="54">
        <f t="shared" si="3"/>
      </c>
      <c r="J178" s="82">
        <f t="shared" si="2"/>
      </c>
      <c r="K178" s="83">
        <v>2</v>
      </c>
      <c r="L178" s="84">
        <v>1198.8</v>
      </c>
      <c r="M178" s="84"/>
      <c r="N178" s="84"/>
      <c r="O178" s="84"/>
      <c r="P178" s="61"/>
    </row>
    <row customHeight="true" ht="16.071428571428573" r="179">
      <c r="A179" s="48" t="s">
        <v>150</v>
      </c>
      <c r="B179" s="49" t="s">
        <v>81</v>
      </c>
      <c r="C179" s="93" t="s">
        <v>151</v>
      </c>
      <c r="D179" s="65">
        <v>3</v>
      </c>
      <c r="E179" s="52">
        <v>6</v>
      </c>
      <c r="F179" s="53">
        <v>1986</v>
      </c>
      <c r="G179" s="53">
        <v>6069.01</v>
      </c>
      <c r="H179" s="54">
        <f t="shared" si="1"/>
      </c>
      <c r="I179" s="54">
        <f t="shared" si="3"/>
      </c>
      <c r="J179" s="82">
        <f t="shared" si="2"/>
      </c>
      <c r="K179" s="83">
        <v>1</v>
      </c>
      <c r="L179" s="84">
        <v>403.20000000000005</v>
      </c>
      <c r="M179" s="84" t="s">
        <v>152</v>
      </c>
      <c r="N179" s="56">
        <v>7</v>
      </c>
      <c r="O179" s="61" t="s">
        <v>90</v>
      </c>
      <c r="P179" s="84">
        <v>12</v>
      </c>
    </row>
    <row customHeight="true" ht="16.071428571428573" r="180">
      <c r="A180" s="48" t="s">
        <v>150</v>
      </c>
      <c r="B180" s="49" t="s">
        <v>95</v>
      </c>
      <c r="C180" s="93" t="s">
        <v>122</v>
      </c>
      <c r="D180" s="65">
        <v>5</v>
      </c>
      <c r="E180" s="52">
        <v>10</v>
      </c>
      <c r="F180" s="53">
        <v>13722.000000000004</v>
      </c>
      <c r="G180" s="64">
        <v>10815.89</v>
      </c>
      <c r="H180" s="54">
        <f t="shared" si="1"/>
      </c>
      <c r="I180" s="54">
        <f t="shared" si="3"/>
      </c>
      <c r="J180" s="82">
        <f t="shared" si="2"/>
      </c>
      <c r="K180" s="83">
        <v>0</v>
      </c>
      <c r="L180" s="84">
        <v>0</v>
      </c>
      <c r="M180" s="56" t="s">
        <v>86</v>
      </c>
      <c r="N180" s="56">
        <v>5</v>
      </c>
      <c r="O180" s="61"/>
      <c r="P180" s="61"/>
    </row>
    <row customHeight="true" ht="16.071428571428573" r="181">
      <c r="A181" s="71" t="s">
        <v>150</v>
      </c>
      <c r="B181" s="72" t="s">
        <v>97</v>
      </c>
      <c r="C181" s="72"/>
      <c r="D181" s="73">
        <f>SUM(D176:D180)</f>
      </c>
      <c r="E181" s="73">
        <f>SUM(E176:E180)</f>
      </c>
      <c r="F181" s="73">
        <f>SUM(F176:F180)</f>
      </c>
      <c r="G181" s="73">
        <f>SUM(G176:G180)</f>
      </c>
      <c r="H181" s="75">
        <f t="shared" si="1"/>
      </c>
      <c r="I181" s="75">
        <f t="shared" si="3"/>
      </c>
      <c r="J181" s="85">
        <f t="shared" si="2"/>
      </c>
      <c r="K181" s="73">
        <f>SUM(K176:K180)</f>
      </c>
      <c r="L181" s="73">
        <f>SUM(L176:L180)</f>
      </c>
      <c r="M181" s="88"/>
      <c r="N181" s="73">
        <f>SUM(N176:N180)</f>
      </c>
      <c r="O181" s="88"/>
      <c r="P181" s="73">
        <f>SUM(P176:P180)</f>
      </c>
    </row>
    <row customHeight="true" ht="16.071428571428573" r="182">
      <c r="A182" s="48" t="s">
        <v>153</v>
      </c>
      <c r="B182" s="49" t="s">
        <v>81</v>
      </c>
      <c r="C182" s="93" t="s">
        <v>133</v>
      </c>
      <c r="D182" s="90">
        <f>4-1.5</f>
      </c>
      <c r="E182" s="52">
        <v>8</v>
      </c>
      <c r="F182" s="53">
        <v>6646.8</v>
      </c>
      <c r="G182" s="53">
        <v>13624.880000000001</v>
      </c>
      <c r="H182" s="54">
        <f t="shared" si="1"/>
      </c>
      <c r="I182" s="54">
        <f t="shared" si="3"/>
      </c>
      <c r="J182" s="82">
        <f t="shared" si="2"/>
      </c>
      <c r="K182" s="83">
        <v>4</v>
      </c>
      <c r="L182" s="84">
        <v>2002.8000000000002</v>
      </c>
      <c r="M182" s="84"/>
      <c r="N182" s="84"/>
      <c r="O182" s="84"/>
      <c r="P182" s="61"/>
    </row>
    <row customHeight="true" ht="16.071428571428573" r="183">
      <c r="A183" s="48" t="s">
        <v>153</v>
      </c>
      <c r="B183" s="49" t="s">
        <v>84</v>
      </c>
      <c r="C183" s="93" t="s">
        <v>134</v>
      </c>
      <c r="D183" s="90">
        <f>4-1.25</f>
      </c>
      <c r="E183" s="65">
        <v>5</v>
      </c>
      <c r="F183" s="53">
        <v>4584</v>
      </c>
      <c r="G183" s="53">
        <v>8805.43</v>
      </c>
      <c r="H183" s="54">
        <f t="shared" si="1"/>
      </c>
      <c r="I183" s="54">
        <f t="shared" si="3"/>
      </c>
      <c r="J183" s="82">
        <f t="shared" si="2"/>
      </c>
      <c r="K183" s="83">
        <v>2</v>
      </c>
      <c r="L183" s="84">
        <v>792</v>
      </c>
      <c r="M183" s="84" t="s">
        <v>154</v>
      </c>
      <c r="N183" s="84">
        <v>10</v>
      </c>
      <c r="O183" s="84" t="s">
        <v>87</v>
      </c>
      <c r="P183" s="84">
        <v>12</v>
      </c>
    </row>
    <row customHeight="true" ht="16.071428571428573" r="184">
      <c r="A184" s="48" t="s">
        <v>153</v>
      </c>
      <c r="B184" s="49" t="s">
        <v>95</v>
      </c>
      <c r="C184" s="93" t="s">
        <v>135</v>
      </c>
      <c r="D184" s="90">
        <f>4-3</f>
      </c>
      <c r="E184" s="52">
        <v>4</v>
      </c>
      <c r="F184" s="53">
        <v>4534.400000000001</v>
      </c>
      <c r="G184" s="53">
        <v>5486.44</v>
      </c>
      <c r="H184" s="54">
        <f t="shared" si="1"/>
      </c>
      <c r="I184" s="54">
        <f t="shared" si="3"/>
      </c>
      <c r="J184" s="82">
        <f t="shared" si="2"/>
      </c>
      <c r="K184" s="83">
        <v>0</v>
      </c>
      <c r="L184" s="84">
        <v>0</v>
      </c>
      <c r="M184" s="84"/>
      <c r="N184" s="84"/>
      <c r="O184" s="84"/>
      <c r="P184" s="61"/>
    </row>
    <row r="185">
      <c r="A185" s="48" t="s">
        <v>153</v>
      </c>
      <c r="B185" s="49" t="s">
        <v>88</v>
      </c>
      <c r="C185" s="93" t="s">
        <v>136</v>
      </c>
      <c r="D185" s="90">
        <f>4-1.25</f>
      </c>
      <c r="E185" s="52">
        <v>9</v>
      </c>
      <c r="F185" s="53">
        <v>5913.5999999999985</v>
      </c>
      <c r="G185" s="53">
        <v>9779.08</v>
      </c>
      <c r="H185" s="54">
        <f t="shared" si="1"/>
      </c>
      <c r="I185" s="54">
        <f t="shared" si="3"/>
      </c>
      <c r="J185" s="82">
        <f t="shared" si="2"/>
      </c>
      <c r="K185" s="83">
        <v>0</v>
      </c>
      <c r="L185" s="84">
        <v>0</v>
      </c>
      <c r="M185" s="84" t="s">
        <v>105</v>
      </c>
      <c r="N185" s="56">
        <v>2</v>
      </c>
      <c r="O185" s="61" t="s">
        <v>90</v>
      </c>
      <c r="P185" s="84">
        <v>12</v>
      </c>
    </row>
    <row r="186">
      <c r="A186" s="48" t="s">
        <v>153</v>
      </c>
      <c r="B186" s="49" t="s">
        <v>100</v>
      </c>
      <c r="C186" s="93" t="s">
        <v>137</v>
      </c>
      <c r="D186" s="90">
        <f>4-1</f>
      </c>
      <c r="E186" s="52">
        <v>12</v>
      </c>
      <c r="F186" s="53">
        <v>10940</v>
      </c>
      <c r="G186" s="64">
        <v>7895.41</v>
      </c>
      <c r="H186" s="54">
        <f t="shared" si="1"/>
      </c>
      <c r="I186" s="54">
        <f t="shared" si="3"/>
      </c>
      <c r="J186" s="82">
        <f t="shared" si="2"/>
      </c>
      <c r="K186" s="83">
        <v>2</v>
      </c>
      <c r="L186" s="84">
        <v>2250</v>
      </c>
      <c r="M186" s="56" t="s">
        <v>86</v>
      </c>
      <c r="N186" s="56">
        <v>8</v>
      </c>
      <c r="O186" s="61"/>
      <c r="P186" s="61"/>
    </row>
    <row r="187">
      <c r="A187" s="71" t="s">
        <v>153</v>
      </c>
      <c r="B187" s="72" t="s">
        <v>97</v>
      </c>
      <c r="C187" s="72"/>
      <c r="D187" s="73">
        <f>SUM(D182:D186)</f>
      </c>
      <c r="E187" s="73">
        <f>SUM(E182:E186)</f>
      </c>
      <c r="F187" s="73">
        <f>SUM(F182:F186)</f>
      </c>
      <c r="G187" s="73">
        <f>SUM(G182:G186)</f>
      </c>
      <c r="H187" s="75">
        <f t="shared" si="1"/>
      </c>
      <c r="I187" s="75">
        <f t="shared" si="3"/>
      </c>
      <c r="J187" s="85">
        <f t="shared" si="2"/>
      </c>
      <c r="K187" s="73">
        <f>SUM(K182:K186)</f>
      </c>
      <c r="L187" s="73">
        <f>SUM(L182:L186)</f>
      </c>
      <c r="M187" s="88"/>
      <c r="N187" s="73">
        <f>SUM(N182:N186)</f>
      </c>
      <c r="O187" s="88"/>
      <c r="P187" s="73">
        <f>SUM(P182:P186)</f>
      </c>
    </row>
    <row r="188">
      <c r="D188" s="94"/>
      <c r="E188" s="94"/>
      <c r="K188" s="94"/>
    </row>
    <row r="189">
      <c r="C189" s="95"/>
      <c r="D189" s="96"/>
      <c r="E189" s="96"/>
      <c r="G189" s="97"/>
      <c r="H189" s="96"/>
      <c r="I189" s="96"/>
      <c r="K189" s="94"/>
    </row>
    <row r="190">
      <c r="A190" s="96"/>
      <c r="D190" s="96"/>
      <c r="E190" s="96"/>
      <c r="G190" s="94"/>
      <c r="H190" s="96"/>
      <c r="I190" s="96"/>
      <c r="J190" s="96"/>
      <c r="K190" s="94"/>
    </row>
    <row r="191">
      <c r="B191" s="96"/>
      <c r="D191" s="96"/>
      <c r="E191" s="96"/>
      <c r="H191" s="96"/>
      <c r="I191" s="96"/>
      <c r="J191" s="98"/>
      <c r="K191" s="94"/>
    </row>
    <row r="192">
      <c r="D192" s="94"/>
      <c r="G192" s="94"/>
      <c r="I192" s="98"/>
      <c r="J192" s="98" t="s">
        <v>76</v>
      </c>
      <c r="K192" s="94" t="s">
        <v>155</v>
      </c>
    </row>
    <row r="193">
      <c r="C193" s="96"/>
      <c r="D193" s="94"/>
      <c r="E193" s="94"/>
      <c r="G193" s="98">
        <f t="shared" ref="G193:G199" si="0">E193/F193</f>
      </c>
      <c r="I193" s="98"/>
      <c r="J193" s="98" t="s">
        <v>131</v>
      </c>
      <c r="K193" s="94">
        <v>20</v>
      </c>
      <c r="L193">
        <v>2</v>
      </c>
    </row>
    <row customHeight="true" ht="16.071428571428573" r="194">
      <c r="D194" s="94"/>
      <c r="E194" s="94"/>
      <c r="G194" s="98">
        <f t="shared" si="0"/>
      </c>
      <c r="I194" s="98"/>
      <c r="J194" s="98" t="s">
        <v>114</v>
      </c>
      <c r="K194" s="94">
        <v>13</v>
      </c>
    </row>
    <row r="195">
      <c r="D195" s="94"/>
      <c r="E195" s="94"/>
      <c r="G195" s="98">
        <f t="shared" si="0"/>
      </c>
      <c r="I195" s="98"/>
      <c r="J195" s="98" t="s">
        <v>113</v>
      </c>
      <c r="K195" s="94">
        <v>3</v>
      </c>
    </row>
    <row r="196">
      <c r="D196" s="94"/>
      <c r="E196" s="94"/>
      <c r="G196" s="98">
        <f t="shared" si="0"/>
      </c>
      <c r="I196" s="98"/>
      <c r="J196" s="98" t="s">
        <v>105</v>
      </c>
      <c r="K196" s="94">
        <v>48</v>
      </c>
    </row>
    <row r="197">
      <c r="D197" s="94"/>
      <c r="E197" s="94"/>
      <c r="G197" s="98">
        <f t="shared" si="0"/>
      </c>
      <c r="I197" s="98"/>
      <c r="J197" s="98" t="s">
        <v>154</v>
      </c>
      <c r="K197" s="94">
        <v>10</v>
      </c>
      <c r="L197">
        <v>1</v>
      </c>
    </row>
    <row r="198">
      <c r="D198" s="94"/>
      <c r="E198" s="94"/>
      <c r="G198" s="98">
        <f t="shared" si="0"/>
      </c>
      <c r="I198" s="98"/>
      <c r="J198" s="98" t="s">
        <v>116</v>
      </c>
      <c r="K198" s="94">
        <v>9</v>
      </c>
    </row>
    <row r="199">
      <c r="D199" s="94"/>
      <c r="E199" s="94"/>
      <c r="G199" s="98">
        <f t="shared" si="0"/>
      </c>
      <c r="I199" s="98"/>
      <c r="J199" s="98" t="s">
        <v>86</v>
      </c>
      <c r="K199" s="94">
        <v>197</v>
      </c>
    </row>
    <row r="200">
      <c r="D200" s="94"/>
      <c r="E200" s="94"/>
      <c r="I200" s="98"/>
      <c r="J200" s="98" t="s">
        <v>139</v>
      </c>
      <c r="K200" s="94">
        <v>10</v>
      </c>
      <c r="L200">
        <v>1</v>
      </c>
    </row>
    <row r="201">
      <c r="D201" s="94"/>
      <c r="E201" s="94"/>
      <c r="J201" t="s">
        <v>83</v>
      </c>
      <c r="K201" s="94">
        <v>105</v>
      </c>
      <c r="L201">
        <v>15</v>
      </c>
    </row>
    <row r="202">
      <c r="D202" s="94"/>
      <c r="E202" s="94"/>
      <c r="J202" t="s">
        <v>128</v>
      </c>
      <c r="K202" s="94">
        <v>20</v>
      </c>
      <c r="L202">
        <v>2</v>
      </c>
    </row>
    <row r="203">
      <c r="D203" s="94"/>
      <c r="E203" s="94"/>
      <c r="J203" t="s">
        <v>149</v>
      </c>
      <c r="K203" s="94">
        <v>8</v>
      </c>
    </row>
    <row r="204">
      <c r="D204" s="94"/>
      <c r="E204" s="94"/>
      <c r="J204" t="s">
        <v>125</v>
      </c>
      <c r="K204" s="94">
        <v>77</v>
      </c>
    </row>
    <row r="205">
      <c r="D205" s="97"/>
      <c r="E205" s="97"/>
      <c r="G205" s="96"/>
      <c r="H205" s="96"/>
      <c r="J205" t="s">
        <v>143</v>
      </c>
      <c r="K205" s="94">
        <v>30</v>
      </c>
      <c r="L205">
        <v>3</v>
      </c>
    </row>
    <row r="206">
      <c r="D206" s="94"/>
      <c r="E206" s="97"/>
      <c r="H206" s="96"/>
      <c r="J206" t="s">
        <v>152</v>
      </c>
      <c r="K206" s="94">
        <v>7</v>
      </c>
    </row>
    <row r="207">
      <c r="D207" s="94"/>
      <c r="E207" s="97"/>
      <c r="H207" s="96"/>
      <c r="J207" t="s">
        <v>93</v>
      </c>
      <c r="K207" s="94">
        <v>84</v>
      </c>
    </row>
    <row r="208">
      <c r="D208" s="94"/>
      <c r="E208" s="94"/>
      <c r="J208" t="s">
        <v>148</v>
      </c>
      <c r="K208" s="94">
        <v>10</v>
      </c>
      <c r="L208">
        <v>1</v>
      </c>
    </row>
    <row r="209">
      <c r="D209" s="94"/>
      <c r="E209" s="94"/>
      <c r="J209" t="s">
        <v>97</v>
      </c>
      <c r="K209" s="94">
        <v>651</v>
      </c>
      <c r="L209">
        <f>SUM(L193:L208)</f>
      </c>
    </row>
    <row r="210">
      <c r="D210" s="94"/>
      <c r="E210" s="94"/>
      <c r="K210" s="94"/>
    </row>
    <row r="211">
      <c r="D211" s="94"/>
      <c r="E211" s="94"/>
      <c r="K211" s="94"/>
    </row>
    <row r="212">
      <c r="D212" s="94"/>
      <c r="E212" s="94"/>
      <c r="K212" s="94"/>
    </row>
    <row r="213">
      <c r="D213" s="94"/>
      <c r="E213" s="94"/>
      <c r="K213" s="94"/>
    </row>
    <row r="214">
      <c r="D214" s="94"/>
      <c r="E214" s="94"/>
      <c r="K214" s="94"/>
    </row>
    <row r="215">
      <c r="D215" s="94"/>
      <c r="E215" s="94"/>
      <c r="K215" s="94"/>
    </row>
    <row r="216">
      <c r="D216" s="94"/>
      <c r="E216" s="94"/>
      <c r="K216" s="94"/>
    </row>
    <row r="217">
      <c r="D217" s="94"/>
      <c r="E217" s="94"/>
      <c r="K217" s="94"/>
    </row>
    <row r="218">
      <c r="D218" s="94"/>
      <c r="E218" s="94"/>
      <c r="K218" s="94"/>
    </row>
    <row r="219">
      <c r="D219" s="94"/>
      <c r="E219" s="94"/>
      <c r="K219" s="94"/>
    </row>
    <row r="220">
      <c r="D220" s="94"/>
      <c r="E220" s="94"/>
      <c r="K220" s="94"/>
    </row>
    <row r="221">
      <c r="D221" s="94"/>
      <c r="E221" s="94"/>
      <c r="K221" s="94"/>
    </row>
    <row r="222">
      <c r="D222" s="94"/>
      <c r="E222" s="94"/>
      <c r="K222" s="94"/>
    </row>
    <row r="223">
      <c r="D223" s="94"/>
      <c r="E223" s="94"/>
      <c r="K223" s="94"/>
    </row>
    <row r="224">
      <c r="D224" s="94"/>
      <c r="E224" s="94"/>
      <c r="K224" s="94"/>
    </row>
    <row r="225">
      <c r="D225" s="94"/>
      <c r="E225" s="94"/>
      <c r="K225" s="94"/>
    </row>
    <row r="226">
      <c r="D226" s="94"/>
      <c r="E226" s="94"/>
      <c r="K226" s="94"/>
    </row>
    <row r="227">
      <c r="D227" s="94"/>
      <c r="E227" s="94"/>
      <c r="K227" s="94"/>
    </row>
    <row r="228">
      <c r="D228" s="94"/>
      <c r="E228" s="94"/>
      <c r="K228" s="94"/>
    </row>
    <row r="229">
      <c r="D229" s="94"/>
      <c r="E229" s="94"/>
      <c r="K229" s="94"/>
    </row>
    <row r="230">
      <c r="D230" s="94"/>
      <c r="E230" s="94"/>
      <c r="K230" s="94"/>
    </row>
    <row r="231">
      <c r="D231" s="94"/>
      <c r="E231" s="94"/>
      <c r="K231" s="94"/>
    </row>
    <row r="232">
      <c r="D232" s="94"/>
      <c r="E232" s="94"/>
      <c r="K232" s="94"/>
    </row>
    <row r="233">
      <c r="D233" s="94"/>
      <c r="E233" s="94"/>
      <c r="K233" s="94"/>
    </row>
    <row r="234">
      <c r="D234" s="94"/>
      <c r="E234" s="94"/>
      <c r="K234" s="94"/>
    </row>
    <row r="235">
      <c r="D235" s="94"/>
      <c r="E235" s="94"/>
      <c r="K235" s="94"/>
    </row>
    <row r="236">
      <c r="D236" s="94"/>
      <c r="E236" s="94"/>
      <c r="K236" s="94"/>
    </row>
    <row r="237">
      <c r="D237" s="94"/>
      <c r="E237" s="94"/>
      <c r="K237" s="94"/>
    </row>
    <row r="238">
      <c r="D238" s="94"/>
      <c r="E238" s="94"/>
      <c r="K238" s="94"/>
    </row>
    <row r="239">
      <c r="D239" s="94"/>
      <c r="E239" s="94"/>
      <c r="K239" s="94"/>
    </row>
    <row r="240">
      <c r="D240" s="94"/>
      <c r="E240" s="94"/>
      <c r="K240" s="94"/>
    </row>
    <row r="241">
      <c r="D241" s="94"/>
      <c r="E241" s="94"/>
      <c r="K241" s="94"/>
    </row>
    <row r="242">
      <c r="D242" s="94"/>
      <c r="E242" s="94"/>
      <c r="K242" s="94"/>
    </row>
    <row r="243">
      <c r="D243" s="94"/>
      <c r="E243" s="94"/>
      <c r="K243" s="94"/>
    </row>
    <row r="244">
      <c r="D244" s="94"/>
      <c r="E244" s="94"/>
      <c r="K244" s="94"/>
    </row>
    <row r="245">
      <c r="D245" s="94"/>
      <c r="E245" s="94"/>
      <c r="K245" s="94"/>
    </row>
    <row r="246">
      <c r="D246" s="94"/>
      <c r="E246" s="94"/>
      <c r="K246" s="94"/>
    </row>
    <row r="247">
      <c r="D247" s="94"/>
      <c r="E247" s="94"/>
      <c r="K247" s="94"/>
    </row>
    <row r="248">
      <c r="D248" s="94"/>
      <c r="E248" s="94"/>
      <c r="K248" s="94"/>
    </row>
    <row r="249">
      <c r="D249" s="94"/>
      <c r="E249" s="94"/>
      <c r="K249" s="94"/>
    </row>
    <row r="250">
      <c r="D250" s="94"/>
      <c r="E250" s="94"/>
      <c r="K250" s="94"/>
    </row>
    <row r="251">
      <c r="D251" s="94"/>
      <c r="E251" s="94"/>
      <c r="K251" s="94"/>
    </row>
    <row r="252">
      <c r="D252" s="94"/>
      <c r="E252" s="94"/>
      <c r="K252" s="94"/>
    </row>
    <row r="253">
      <c r="D253" s="94"/>
      <c r="E253" s="94"/>
      <c r="K253" s="94"/>
    </row>
    <row r="254">
      <c r="D254" s="94"/>
      <c r="E254" s="94"/>
      <c r="K254" s="94"/>
    </row>
    <row r="255">
      <c r="D255" s="94"/>
      <c r="E255" s="94"/>
      <c r="K255" s="94"/>
    </row>
    <row r="256">
      <c r="D256" s="94"/>
      <c r="E256" s="94"/>
      <c r="K256" s="94"/>
    </row>
    <row r="257">
      <c r="D257" s="94"/>
      <c r="E257" s="94"/>
      <c r="K257" s="94"/>
    </row>
    <row r="258">
      <c r="D258" s="94"/>
      <c r="E258" s="94"/>
      <c r="K258" s="94"/>
    </row>
    <row r="259">
      <c r="D259" s="94"/>
      <c r="E259" s="94"/>
      <c r="K259" s="94"/>
    </row>
    <row r="260">
      <c r="D260" s="94"/>
      <c r="E260" s="94"/>
      <c r="K260" s="94"/>
    </row>
    <row r="261">
      <c r="D261" s="94"/>
      <c r="E261" s="94"/>
      <c r="K261" s="94"/>
    </row>
    <row r="262">
      <c r="D262" s="94"/>
      <c r="E262" s="94"/>
      <c r="K262" s="94"/>
    </row>
    <row r="263">
      <c r="D263" s="94"/>
      <c r="E263" s="94"/>
      <c r="K263" s="94"/>
    </row>
    <row r="264">
      <c r="D264" s="94"/>
      <c r="E264" s="94"/>
      <c r="K264" s="94"/>
    </row>
    <row r="265">
      <c r="D265" s="94"/>
      <c r="E265" s="94"/>
      <c r="K265" s="94"/>
    </row>
    <row r="266">
      <c r="D266" s="94"/>
      <c r="E266" s="94"/>
      <c r="K266" s="94"/>
    </row>
    <row r="267">
      <c r="D267" s="94"/>
      <c r="E267" s="94"/>
      <c r="K267" s="94"/>
    </row>
    <row r="268">
      <c r="D268" s="94"/>
      <c r="E268" s="94"/>
      <c r="K268" s="94"/>
    </row>
    <row r="269">
      <c r="D269" s="94"/>
      <c r="E269" s="94"/>
      <c r="K269" s="94"/>
    </row>
    <row r="270">
      <c r="D270" s="94"/>
      <c r="E270" s="94"/>
      <c r="K270" s="94"/>
    </row>
    <row r="271">
      <c r="D271" s="94"/>
      <c r="E271" s="94"/>
      <c r="K271" s="94"/>
    </row>
    <row r="272">
      <c r="D272" s="94"/>
      <c r="E272" s="94"/>
      <c r="K272" s="94"/>
    </row>
    <row r="273">
      <c r="D273" s="94"/>
      <c r="E273" s="94"/>
      <c r="K273" s="94"/>
    </row>
    <row r="274">
      <c r="D274" s="94"/>
      <c r="E274" s="94"/>
      <c r="K274" s="94"/>
    </row>
    <row r="275">
      <c r="D275" s="94"/>
      <c r="E275" s="94"/>
      <c r="K275" s="94"/>
    </row>
    <row r="276">
      <c r="D276" s="94"/>
      <c r="E276" s="94"/>
      <c r="K276" s="94"/>
    </row>
    <row r="277">
      <c r="D277" s="94"/>
      <c r="E277" s="94"/>
      <c r="K277" s="94"/>
    </row>
    <row r="278">
      <c r="D278" s="94"/>
      <c r="E278" s="94"/>
      <c r="K278" s="94"/>
    </row>
    <row r="279">
      <c r="D279" s="94"/>
      <c r="E279" s="94"/>
      <c r="K279" s="94"/>
    </row>
    <row r="280">
      <c r="D280" s="94"/>
      <c r="E280" s="94"/>
      <c r="K280" s="94"/>
    </row>
    <row r="281">
      <c r="D281" s="94"/>
      <c r="E281" s="94"/>
      <c r="K281" s="94"/>
    </row>
    <row r="282">
      <c r="D282" s="94"/>
      <c r="E282" s="94"/>
      <c r="K282" s="94"/>
    </row>
    <row r="283">
      <c r="D283" s="94"/>
      <c r="E283" s="94"/>
      <c r="K283" s="94"/>
    </row>
    <row r="284">
      <c r="D284" s="94"/>
      <c r="E284" s="94"/>
      <c r="K284" s="94"/>
    </row>
    <row r="285">
      <c r="D285" s="94"/>
      <c r="E285" s="94"/>
      <c r="K285" s="94"/>
    </row>
    <row r="286">
      <c r="D286" s="94"/>
      <c r="E286" s="94"/>
      <c r="K286" s="94"/>
    </row>
    <row r="287">
      <c r="D287" s="94"/>
      <c r="E287" s="94"/>
      <c r="K287" s="94"/>
    </row>
    <row r="288">
      <c r="D288" s="94"/>
      <c r="E288" s="94"/>
      <c r="K288" s="94"/>
    </row>
    <row r="289">
      <c r="D289" s="94"/>
      <c r="E289" s="94"/>
      <c r="K289" s="94"/>
    </row>
    <row r="290">
      <c r="D290" s="94"/>
      <c r="E290" s="94"/>
      <c r="K290" s="94"/>
    </row>
    <row r="291">
      <c r="D291" s="94"/>
      <c r="E291" s="94"/>
      <c r="K291" s="94"/>
    </row>
    <row r="292">
      <c r="D292" s="94"/>
      <c r="E292" s="94"/>
      <c r="K292" s="94"/>
    </row>
    <row r="293">
      <c r="D293" s="94"/>
      <c r="E293" s="94"/>
      <c r="K293" s="94"/>
    </row>
    <row r="294">
      <c r="D294" s="94"/>
      <c r="E294" s="94"/>
      <c r="K294" s="94"/>
    </row>
    <row r="295">
      <c r="D295" s="94"/>
      <c r="E295" s="94"/>
      <c r="K295" s="94"/>
    </row>
    <row r="296">
      <c r="D296" s="94"/>
      <c r="E296" s="94"/>
      <c r="K296" s="94"/>
    </row>
    <row r="297">
      <c r="D297" s="94"/>
      <c r="E297" s="94"/>
      <c r="K297" s="94"/>
    </row>
    <row r="298">
      <c r="D298" s="94"/>
      <c r="E298" s="94"/>
      <c r="K298" s="94"/>
    </row>
    <row r="299">
      <c r="D299" s="94"/>
      <c r="E299" s="94"/>
      <c r="K299" s="94"/>
    </row>
    <row r="300">
      <c r="D300" s="94"/>
      <c r="E300" s="94"/>
      <c r="K300" s="94"/>
    </row>
    <row r="301">
      <c r="D301" s="94"/>
      <c r="E301" s="94"/>
      <c r="K301" s="94"/>
    </row>
    <row r="302">
      <c r="D302" s="94"/>
      <c r="E302" s="94"/>
      <c r="K302" s="94"/>
    </row>
    <row r="303">
      <c r="D303" s="94"/>
      <c r="E303" s="94"/>
      <c r="K303" s="94"/>
    </row>
    <row r="304">
      <c r="D304" s="94"/>
      <c r="E304" s="94"/>
      <c r="K304" s="94"/>
    </row>
    <row r="305">
      <c r="D305" s="94"/>
      <c r="E305" s="94"/>
      <c r="K305" s="94"/>
    </row>
    <row r="306">
      <c r="D306" s="94"/>
      <c r="E306" s="94"/>
      <c r="K306" s="94"/>
    </row>
    <row r="307">
      <c r="D307" s="94"/>
      <c r="E307" s="94"/>
      <c r="K307" s="94"/>
    </row>
    <row r="308">
      <c r="D308" s="94"/>
      <c r="E308" s="94"/>
      <c r="K308" s="94"/>
    </row>
    <row r="309">
      <c r="D309" s="94"/>
      <c r="E309" s="94"/>
      <c r="K309" s="94"/>
    </row>
    <row r="310">
      <c r="D310" s="94"/>
      <c r="E310" s="94"/>
      <c r="K310" s="94"/>
    </row>
    <row r="311">
      <c r="D311" s="94"/>
      <c r="E311" s="94"/>
      <c r="K311" s="94"/>
    </row>
    <row r="312">
      <c r="D312" s="94"/>
      <c r="E312" s="94"/>
      <c r="K312" s="94"/>
    </row>
    <row r="313">
      <c r="D313" s="94"/>
      <c r="E313" s="94"/>
      <c r="K313" s="94"/>
    </row>
    <row r="314">
      <c r="D314" s="94"/>
      <c r="E314" s="94"/>
      <c r="K314" s="94"/>
    </row>
    <row r="315">
      <c r="D315" s="94"/>
      <c r="E315" s="94"/>
      <c r="K315" s="94"/>
    </row>
    <row r="316">
      <c r="D316" s="94"/>
      <c r="E316" s="94"/>
      <c r="K316" s="94"/>
    </row>
    <row r="317">
      <c r="D317" s="94"/>
      <c r="E317" s="94"/>
      <c r="K317" s="94"/>
    </row>
    <row r="318">
      <c r="D318" s="94"/>
      <c r="E318" s="94"/>
      <c r="K318" s="94"/>
    </row>
    <row r="319">
      <c r="D319" s="94"/>
      <c r="E319" s="94"/>
      <c r="K319" s="94"/>
    </row>
    <row r="320">
      <c r="D320" s="94"/>
      <c r="E320" s="94"/>
      <c r="K320" s="94"/>
    </row>
    <row r="321">
      <c r="D321" s="94"/>
      <c r="E321" s="94"/>
      <c r="K321" s="94"/>
    </row>
    <row r="322">
      <c r="D322" s="94"/>
      <c r="E322" s="94"/>
      <c r="K322" s="94"/>
    </row>
    <row r="323">
      <c r="D323" s="94"/>
      <c r="E323" s="94"/>
      <c r="K323" s="94"/>
    </row>
    <row r="324">
      <c r="D324" s="94"/>
      <c r="E324" s="94"/>
      <c r="K324" s="94"/>
    </row>
    <row r="325">
      <c r="D325" s="94"/>
      <c r="E325" s="94"/>
      <c r="K325" s="94"/>
    </row>
    <row r="326">
      <c r="D326" s="94"/>
      <c r="E326" s="94"/>
      <c r="K326" s="94"/>
    </row>
    <row r="327">
      <c r="D327" s="94"/>
      <c r="E327" s="94"/>
      <c r="K327" s="94"/>
    </row>
    <row r="328">
      <c r="D328" s="94"/>
      <c r="E328" s="94"/>
      <c r="K328" s="94"/>
    </row>
    <row r="329">
      <c r="D329" s="94"/>
      <c r="E329" s="94"/>
      <c r="K329" s="94"/>
    </row>
    <row r="330">
      <c r="D330" s="94"/>
      <c r="E330" s="94"/>
      <c r="K330" s="94"/>
    </row>
    <row r="331">
      <c r="D331" s="94"/>
      <c r="E331" s="94"/>
      <c r="K331" s="94"/>
    </row>
    <row r="332">
      <c r="D332" s="94"/>
      <c r="E332" s="94"/>
      <c r="K332" s="94"/>
    </row>
    <row r="333">
      <c r="D333" s="94"/>
      <c r="E333" s="94"/>
      <c r="K333" s="94"/>
    </row>
    <row r="334">
      <c r="D334" s="94"/>
      <c r="E334" s="94"/>
      <c r="K334" s="94"/>
    </row>
    <row r="335">
      <c r="D335" s="94"/>
      <c r="E335" s="94"/>
      <c r="K335" s="94"/>
    </row>
    <row r="336">
      <c r="D336" s="94"/>
      <c r="E336" s="94"/>
      <c r="K336" s="94"/>
    </row>
    <row r="337">
      <c r="D337" s="94"/>
      <c r="E337" s="94"/>
      <c r="K337" s="94"/>
    </row>
    <row r="338">
      <c r="D338" s="94"/>
      <c r="E338" s="94"/>
      <c r="K338" s="94"/>
    </row>
    <row r="339">
      <c r="D339" s="94"/>
      <c r="E339" s="94"/>
      <c r="K339" s="94"/>
    </row>
    <row r="340">
      <c r="D340" s="94"/>
      <c r="E340" s="94"/>
      <c r="K340" s="94"/>
    </row>
    <row r="341">
      <c r="D341" s="94"/>
      <c r="E341" s="94"/>
      <c r="K341" s="94"/>
    </row>
    <row r="342">
      <c r="D342" s="94"/>
      <c r="E342" s="94"/>
      <c r="K342" s="94"/>
    </row>
    <row r="343">
      <c r="D343" s="94"/>
      <c r="E343" s="94"/>
      <c r="K343" s="94"/>
    </row>
    <row r="344">
      <c r="D344" s="94"/>
      <c r="E344" s="94"/>
      <c r="K344" s="94"/>
    </row>
    <row r="345">
      <c r="D345" s="94"/>
      <c r="E345" s="94"/>
      <c r="K345" s="94"/>
    </row>
    <row r="346">
      <c r="D346" s="94"/>
      <c r="E346" s="94"/>
      <c r="K346" s="94"/>
    </row>
    <row r="347">
      <c r="D347" s="94"/>
      <c r="E347" s="94"/>
      <c r="K347" s="94"/>
    </row>
    <row r="348">
      <c r="D348" s="94"/>
      <c r="E348" s="94"/>
      <c r="K348" s="94"/>
    </row>
    <row r="349">
      <c r="D349" s="94"/>
      <c r="E349" s="94"/>
      <c r="K349" s="94"/>
    </row>
    <row r="350">
      <c r="D350" s="94"/>
      <c r="E350" s="94"/>
      <c r="K350" s="94"/>
    </row>
    <row r="351">
      <c r="D351" s="94"/>
      <c r="E351" s="94"/>
      <c r="K351" s="94"/>
    </row>
    <row r="352">
      <c r="D352" s="94"/>
      <c r="E352" s="94"/>
      <c r="K352" s="94"/>
    </row>
    <row r="353">
      <c r="D353" s="94"/>
      <c r="E353" s="94"/>
      <c r="K353" s="94"/>
    </row>
    <row r="354">
      <c r="D354" s="94"/>
      <c r="E354" s="94"/>
      <c r="K354" s="94"/>
    </row>
    <row r="355">
      <c r="D355" s="94"/>
      <c r="E355" s="94"/>
      <c r="K355" s="94"/>
    </row>
    <row r="356">
      <c r="D356" s="94"/>
      <c r="E356" s="94"/>
      <c r="K356" s="94"/>
    </row>
    <row r="357">
      <c r="D357" s="94"/>
      <c r="E357" s="94"/>
      <c r="K357" s="94"/>
    </row>
    <row r="358">
      <c r="D358" s="94"/>
      <c r="E358" s="94"/>
      <c r="K358" s="94"/>
    </row>
    <row r="359">
      <c r="D359" s="94"/>
      <c r="E359" s="94"/>
      <c r="K359" s="94"/>
    </row>
    <row r="360">
      <c r="D360" s="94"/>
      <c r="E360" s="94"/>
      <c r="K360" s="94"/>
    </row>
    <row r="361">
      <c r="D361" s="94"/>
      <c r="E361" s="94"/>
      <c r="K361" s="94"/>
    </row>
    <row r="362">
      <c r="D362" s="94"/>
      <c r="E362" s="94"/>
      <c r="K362" s="94"/>
    </row>
    <row r="363">
      <c r="D363" s="94"/>
      <c r="E363" s="94"/>
      <c r="K363" s="94"/>
    </row>
    <row r="364">
      <c r="D364" s="94"/>
      <c r="E364" s="94"/>
      <c r="K364" s="94"/>
    </row>
    <row r="365">
      <c r="D365" s="94"/>
      <c r="E365" s="94"/>
      <c r="K365" s="94"/>
    </row>
    <row r="366">
      <c r="D366" s="94"/>
      <c r="E366" s="94"/>
      <c r="K366" s="94"/>
    </row>
    <row r="367">
      <c r="D367" s="94"/>
      <c r="E367" s="94"/>
      <c r="K367" s="94"/>
    </row>
    <row r="368">
      <c r="D368" s="94"/>
      <c r="E368" s="94"/>
      <c r="K368" s="94"/>
    </row>
    <row r="369">
      <c r="D369" s="94"/>
      <c r="E369" s="94"/>
      <c r="K369" s="94"/>
    </row>
    <row r="370">
      <c r="D370" s="94"/>
      <c r="E370" s="94"/>
      <c r="K370" s="94"/>
    </row>
    <row r="371">
      <c r="D371" s="94"/>
      <c r="E371" s="94"/>
      <c r="K371" s="94"/>
    </row>
    <row r="372">
      <c r="D372" s="94"/>
      <c r="E372" s="94"/>
      <c r="K372" s="94"/>
    </row>
    <row r="373">
      <c r="D373" s="94"/>
      <c r="E373" s="94"/>
      <c r="K373" s="94"/>
    </row>
    <row r="374">
      <c r="D374" s="94"/>
      <c r="E374" s="94"/>
      <c r="K374" s="94"/>
    </row>
    <row r="375">
      <c r="D375" s="94"/>
      <c r="E375" s="94"/>
      <c r="K375" s="94"/>
    </row>
    <row r="376">
      <c r="D376" s="94"/>
      <c r="E376" s="94"/>
      <c r="K376" s="94"/>
    </row>
    <row r="377">
      <c r="D377" s="94"/>
      <c r="E377" s="94"/>
      <c r="K377" s="94"/>
    </row>
    <row r="378">
      <c r="D378" s="94"/>
      <c r="E378" s="94"/>
      <c r="K378" s="94"/>
    </row>
    <row r="379">
      <c r="D379" s="94"/>
      <c r="E379" s="94"/>
      <c r="K379" s="94"/>
    </row>
    <row r="380">
      <c r="D380" s="94"/>
      <c r="E380" s="94"/>
      <c r="K380" s="94"/>
    </row>
    <row r="381">
      <c r="D381" s="94"/>
      <c r="E381" s="94"/>
      <c r="K381" s="94"/>
    </row>
    <row r="382">
      <c r="D382" s="94"/>
      <c r="E382" s="94"/>
      <c r="K382" s="94"/>
    </row>
    <row r="383">
      <c r="D383" s="94"/>
      <c r="E383" s="94"/>
      <c r="K383" s="94"/>
    </row>
    <row r="384">
      <c r="D384" s="94"/>
      <c r="E384" s="94"/>
      <c r="K384" s="94"/>
    </row>
    <row r="385">
      <c r="D385" s="94"/>
      <c r="E385" s="94"/>
      <c r="K385" s="94"/>
    </row>
    <row r="386">
      <c r="D386" s="94"/>
      <c r="E386" s="94"/>
      <c r="K386" s="94"/>
    </row>
    <row r="387">
      <c r="D387" s="94"/>
      <c r="E387" s="94"/>
      <c r="K387" s="94"/>
    </row>
    <row r="388">
      <c r="D388" s="94"/>
      <c r="E388" s="94"/>
      <c r="K388" s="94"/>
    </row>
    <row r="389">
      <c r="D389" s="94"/>
      <c r="E389" s="94"/>
      <c r="K389" s="94"/>
    </row>
  </sheetData>
  <autoFilter ref="A1:P187"/>
  <dataValidations count="1">
    <dataValidation allowBlank="true" errorStyle="stop" showErrorMessage="true" sqref="B2:B7 B9:B14 B16:B21 B23:B28 B30:B35 B37:B42 B44:B49 B51:B56 B58:B63 B65:B70 B72:B77 B79:B84 B86:B91 B93:B98 B100:B105 B107:B110 B112:B115 B117:B120 B122:B125 B127:B130 B132:B135 B137:B141 B143:B147 B149:B153 B155:B159 B161:B164 B166:B169 B171:B174 B176:B180 B182:B186" type="list">
      <formula1>"王硕硕,李紫瑞,刘杰宇,井欣阅,陈旭,于慧,李娜,栗敏纳"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99" t="s">
        <v>156</v>
      </c>
      <c r="B1" s="100" t="s">
        <v>157</v>
      </c>
      <c r="C1" s="100" t="s">
        <v>158</v>
      </c>
      <c r="D1" s="100" t="s">
        <v>159</v>
      </c>
      <c r="E1" s="100" t="s">
        <v>160</v>
      </c>
      <c r="F1" s="101" t="s">
        <v>161</v>
      </c>
      <c r="G1" s="101" t="s">
        <v>162</v>
      </c>
      <c r="H1" s="102" t="s">
        <v>163</v>
      </c>
      <c r="I1" s="102" t="s">
        <v>164</v>
      </c>
      <c r="J1" s="102" t="s">
        <v>165</v>
      </c>
      <c r="K1" s="100" t="s">
        <v>166</v>
      </c>
      <c r="L1" s="100" t="s">
        <v>167</v>
      </c>
      <c r="M1" s="100" t="s">
        <v>168</v>
      </c>
      <c r="N1" s="100" t="s">
        <v>169</v>
      </c>
      <c r="O1" s="100" t="s">
        <v>170</v>
      </c>
      <c r="P1" s="100" t="s">
        <v>171</v>
      </c>
    </row>
    <row r="2">
      <c r="A2" s="103" t="s">
        <v>172</v>
      </c>
      <c r="B2" s="104" t="s">
        <v>173</v>
      </c>
      <c r="C2" s="105" t="s">
        <v>174</v>
      </c>
      <c r="D2" s="105">
        <v>1</v>
      </c>
      <c r="E2" s="106">
        <v>3</v>
      </c>
      <c r="F2" s="106">
        <v>4118.4</v>
      </c>
      <c r="G2" s="107">
        <v>3513.38</v>
      </c>
      <c r="H2" s="108">
        <f t="shared" ref="H2:H215" si="1">F2/G2</f>
      </c>
      <c r="I2" s="108">
        <f t="shared" ref="I2:I215" si="0">F2/E2</f>
      </c>
      <c r="J2" s="108">
        <f t="shared" ref="J2:J215" si="2">G2/E2</f>
      </c>
      <c r="K2" s="106">
        <v>1</v>
      </c>
      <c r="L2" s="109">
        <v>763.2</v>
      </c>
      <c r="M2" s="110"/>
      <c r="N2" s="111"/>
      <c r="O2" s="112"/>
      <c r="P2" s="112"/>
    </row>
    <row r="3">
      <c r="A3" s="103" t="s">
        <v>172</v>
      </c>
      <c r="B3" s="104" t="s">
        <v>175</v>
      </c>
      <c r="C3" s="105" t="s">
        <v>176</v>
      </c>
      <c r="D3" s="105">
        <v>5</v>
      </c>
      <c r="E3" s="106">
        <v>13</v>
      </c>
      <c r="F3" s="106">
        <v>22023.6</v>
      </c>
      <c r="G3" s="107">
        <v>12106.58</v>
      </c>
      <c r="H3" s="108">
        <f t="shared" si="1"/>
      </c>
      <c r="I3" s="108">
        <f t="shared" si="0"/>
      </c>
      <c r="J3" s="108">
        <f t="shared" si="2"/>
      </c>
      <c r="K3" s="106">
        <v>2</v>
      </c>
      <c r="L3" s="109">
        <v>4099.2</v>
      </c>
      <c r="M3" s="110" t="s">
        <v>177</v>
      </c>
      <c r="N3" s="113">
        <v>7</v>
      </c>
      <c r="O3" s="114" t="s">
        <v>178</v>
      </c>
      <c r="P3" s="110">
        <v>4</v>
      </c>
    </row>
    <row r="4">
      <c r="A4" s="103" t="s">
        <v>172</v>
      </c>
      <c r="B4" s="104" t="s">
        <v>179</v>
      </c>
      <c r="C4" s="105" t="s">
        <v>180</v>
      </c>
      <c r="D4" s="105">
        <v>5</v>
      </c>
      <c r="E4" s="106">
        <v>8</v>
      </c>
      <c r="F4" s="107">
        <v>9246.600000000002</v>
      </c>
      <c r="G4" s="107">
        <v>12597.849999999999</v>
      </c>
      <c r="H4" s="108">
        <f t="shared" si="1"/>
      </c>
      <c r="I4" s="108">
        <f t="shared" si="0"/>
      </c>
      <c r="J4" s="108">
        <f t="shared" si="2"/>
      </c>
      <c r="K4" s="106">
        <v>3</v>
      </c>
      <c r="L4" s="109">
        <v>3994.8</v>
      </c>
      <c r="M4" s="110" t="s">
        <v>181</v>
      </c>
      <c r="N4" s="115">
        <v>9</v>
      </c>
      <c r="O4" s="114" t="s">
        <v>182</v>
      </c>
      <c r="P4" s="110">
        <v>12</v>
      </c>
    </row>
    <row r="5">
      <c r="A5" s="103" t="s">
        <v>172</v>
      </c>
      <c r="B5" s="104" t="s">
        <v>183</v>
      </c>
      <c r="C5" s="105" t="s">
        <v>184</v>
      </c>
      <c r="D5" s="105">
        <v>4</v>
      </c>
      <c r="E5" s="106">
        <v>6</v>
      </c>
      <c r="F5" s="107">
        <v>10871.999999999993</v>
      </c>
      <c r="G5" s="110">
        <v>9076.42</v>
      </c>
      <c r="H5" s="108">
        <f t="shared" si="1"/>
      </c>
      <c r="I5" s="108">
        <f t="shared" si="0"/>
      </c>
      <c r="J5" s="108">
        <f t="shared" si="2"/>
      </c>
      <c r="K5" s="106">
        <v>2</v>
      </c>
      <c r="L5" s="109">
        <v>2702.4</v>
      </c>
      <c r="M5" s="110" t="s">
        <v>185</v>
      </c>
      <c r="N5" s="115">
        <v>8</v>
      </c>
      <c r="O5" s="116" t="s">
        <v>178</v>
      </c>
      <c r="P5" s="110">
        <v>8</v>
      </c>
    </row>
    <row r="6">
      <c r="A6" s="103" t="s">
        <v>172</v>
      </c>
      <c r="B6" s="104" t="s">
        <v>173</v>
      </c>
      <c r="C6" s="105" t="s">
        <v>186</v>
      </c>
      <c r="D6" s="105">
        <v>5</v>
      </c>
      <c r="E6" s="106">
        <v>9</v>
      </c>
      <c r="F6" s="106">
        <v>10952.400000000001</v>
      </c>
      <c r="G6" s="107">
        <v>9119.29</v>
      </c>
      <c r="H6" s="108">
        <f t="shared" si="1"/>
      </c>
      <c r="I6" s="108">
        <f t="shared" si="0"/>
      </c>
      <c r="J6" s="108">
        <f t="shared" si="2"/>
      </c>
      <c r="K6" s="106">
        <v>1</v>
      </c>
      <c r="L6" s="109">
        <v>246</v>
      </c>
      <c r="M6" s="110" t="s">
        <v>187</v>
      </c>
      <c r="N6" s="113">
        <v>3</v>
      </c>
      <c r="O6" s="110"/>
      <c r="P6" s="114"/>
    </row>
    <row r="7">
      <c r="A7" s="103" t="s">
        <v>172</v>
      </c>
      <c r="B7" s="104" t="s">
        <v>188</v>
      </c>
      <c r="C7" s="105" t="s">
        <v>189</v>
      </c>
      <c r="D7" s="105">
        <v>2</v>
      </c>
      <c r="E7" s="106">
        <v>7</v>
      </c>
      <c r="F7" s="106">
        <v>10154</v>
      </c>
      <c r="G7" s="107">
        <v>4671.030000000001</v>
      </c>
      <c r="H7" s="108">
        <f t="shared" si="1"/>
      </c>
      <c r="I7" s="108">
        <f t="shared" si="0"/>
      </c>
      <c r="J7" s="108">
        <f t="shared" si="2"/>
      </c>
      <c r="K7" s="106">
        <v>1</v>
      </c>
      <c r="L7" s="109">
        <v>2011.2</v>
      </c>
      <c r="M7" s="114"/>
      <c r="N7" s="117"/>
      <c r="O7" s="114"/>
      <c r="P7" s="114"/>
    </row>
    <row customHeight="true" ht="16.071428571428573" r="8">
      <c r="A8" s="103" t="s">
        <v>172</v>
      </c>
      <c r="B8" s="104" t="s">
        <v>190</v>
      </c>
      <c r="C8" s="105" t="s">
        <v>191</v>
      </c>
      <c r="D8" s="118">
        <v>5</v>
      </c>
      <c r="E8" s="118">
        <v>14</v>
      </c>
      <c r="F8" s="118">
        <v>18441.6</v>
      </c>
      <c r="G8" s="118">
        <v>13175.66</v>
      </c>
      <c r="H8" s="108">
        <f t="shared" si="1"/>
      </c>
      <c r="I8" s="108">
        <f t="shared" si="0"/>
      </c>
      <c r="J8" s="108">
        <f t="shared" si="2"/>
      </c>
      <c r="K8" s="118">
        <v>3</v>
      </c>
      <c r="L8" s="118">
        <v>3093.6</v>
      </c>
      <c r="M8" s="119"/>
      <c r="N8" s="120"/>
      <c r="O8" s="119"/>
      <c r="P8" s="120"/>
      <c r="Q8" s="121"/>
      <c r="R8" s="121"/>
      <c r="S8" s="121"/>
      <c r="T8" s="121"/>
    </row>
    <row r="9">
      <c r="A9" s="122" t="s">
        <v>172</v>
      </c>
      <c r="B9" s="123" t="s">
        <v>192</v>
      </c>
      <c r="C9" s="124"/>
      <c r="D9" s="125">
        <f>SUM(D2:D8)</f>
      </c>
      <c r="E9" s="125">
        <f>SUM(E2:E8)</f>
      </c>
      <c r="F9" s="125">
        <f>SUM(F2:F8)</f>
      </c>
      <c r="G9" s="125">
        <f>SUM(G2:G8)</f>
      </c>
      <c r="H9" s="126">
        <f t="shared" si="1"/>
      </c>
      <c r="I9" s="126">
        <f t="shared" si="0"/>
      </c>
      <c r="J9" s="126">
        <f t="shared" si="2"/>
      </c>
      <c r="K9" s="125">
        <f>SUM(K2:K8)</f>
      </c>
      <c r="L9" s="125">
        <f>SUM(L2:L8)</f>
      </c>
      <c r="M9" s="127"/>
      <c r="N9" s="128">
        <f>SUM(N2:N7)</f>
      </c>
      <c r="O9" s="127"/>
      <c r="P9" s="128">
        <f>SUM(P3:P7)</f>
      </c>
    </row>
    <row r="10">
      <c r="A10" s="129" t="s">
        <v>193</v>
      </c>
      <c r="B10" s="104" t="s">
        <v>179</v>
      </c>
      <c r="C10" s="105" t="s">
        <v>180</v>
      </c>
      <c r="D10" s="105">
        <v>5</v>
      </c>
      <c r="E10" s="106">
        <v>13</v>
      </c>
      <c r="F10" s="107">
        <v>15316.8</v>
      </c>
      <c r="G10" s="107">
        <v>11252.85</v>
      </c>
      <c r="H10" s="108">
        <f t="shared" si="1"/>
      </c>
      <c r="I10" s="108">
        <f t="shared" si="0"/>
      </c>
      <c r="J10" s="108">
        <f t="shared" si="2"/>
      </c>
      <c r="K10" s="106">
        <v>1</v>
      </c>
      <c r="L10" s="109">
        <v>1344</v>
      </c>
      <c r="M10" s="110" t="s">
        <v>181</v>
      </c>
      <c r="N10" s="115">
        <v>9</v>
      </c>
      <c r="O10" s="114" t="s">
        <v>182</v>
      </c>
      <c r="P10" s="110">
        <v>12</v>
      </c>
    </row>
    <row r="11">
      <c r="A11" s="129" t="s">
        <v>193</v>
      </c>
      <c r="B11" s="104" t="s">
        <v>183</v>
      </c>
      <c r="C11" s="105" t="s">
        <v>184</v>
      </c>
      <c r="D11" s="105">
        <v>4</v>
      </c>
      <c r="E11" s="106">
        <v>22</v>
      </c>
      <c r="F11" s="107">
        <v>33709</v>
      </c>
      <c r="G11" s="110">
        <v>20440.6</v>
      </c>
      <c r="H11" s="108">
        <f t="shared" si="1"/>
      </c>
      <c r="I11" s="108">
        <f t="shared" si="0"/>
      </c>
      <c r="J11" s="108">
        <f t="shared" si="2"/>
      </c>
      <c r="K11" s="106">
        <v>5</v>
      </c>
      <c r="L11" s="109">
        <v>9042.999999999998</v>
      </c>
      <c r="M11" s="110" t="s">
        <v>185</v>
      </c>
      <c r="N11" s="115">
        <v>8</v>
      </c>
      <c r="O11" s="110" t="s">
        <v>178</v>
      </c>
      <c r="P11" s="110">
        <v>8</v>
      </c>
    </row>
    <row r="12">
      <c r="A12" s="129" t="s">
        <v>193</v>
      </c>
      <c r="B12" s="104" t="s">
        <v>173</v>
      </c>
      <c r="C12" s="105" t="s">
        <v>186</v>
      </c>
      <c r="D12" s="105">
        <v>5</v>
      </c>
      <c r="E12" s="106">
        <v>7</v>
      </c>
      <c r="F12" s="106">
        <v>10676.399999999994</v>
      </c>
      <c r="G12" s="107">
        <v>12718.27</v>
      </c>
      <c r="H12" s="108">
        <f t="shared" si="1"/>
      </c>
      <c r="I12" s="108">
        <f t="shared" si="0"/>
      </c>
      <c r="J12" s="108">
        <f t="shared" si="2"/>
      </c>
      <c r="K12" s="106">
        <v>3</v>
      </c>
      <c r="L12" s="109">
        <v>4299.600000000002</v>
      </c>
      <c r="M12" s="110" t="s">
        <v>187</v>
      </c>
      <c r="N12" s="113">
        <v>1</v>
      </c>
      <c r="O12" s="114"/>
      <c r="P12" s="114"/>
    </row>
    <row r="13">
      <c r="A13" s="129" t="s">
        <v>193</v>
      </c>
      <c r="B13" s="104" t="s">
        <v>194</v>
      </c>
      <c r="C13" s="105" t="s">
        <v>195</v>
      </c>
      <c r="D13" s="105">
        <v>4</v>
      </c>
      <c r="E13" s="106">
        <v>7</v>
      </c>
      <c r="F13" s="106">
        <v>7306.80000000001</v>
      </c>
      <c r="G13" s="107">
        <v>9031.440000000002</v>
      </c>
      <c r="H13" s="108">
        <f t="shared" si="1"/>
      </c>
      <c r="I13" s="108">
        <f t="shared" si="0"/>
      </c>
      <c r="J13" s="108">
        <f t="shared" si="2"/>
      </c>
      <c r="K13" s="106">
        <v>1</v>
      </c>
      <c r="L13" s="109">
        <v>2407.199999999999</v>
      </c>
      <c r="M13" s="114"/>
      <c r="N13" s="117"/>
      <c r="O13" s="114"/>
      <c r="P13" s="114"/>
    </row>
    <row r="14">
      <c r="A14" s="122" t="s">
        <v>193</v>
      </c>
      <c r="B14" s="123" t="s">
        <v>192</v>
      </c>
      <c r="C14" s="124"/>
      <c r="D14" s="125">
        <f>SUM(D10:D13)</f>
      </c>
      <c r="E14" s="125">
        <f>SUM(E10:E13)</f>
      </c>
      <c r="F14" s="125">
        <f>SUM(F10:F13)</f>
      </c>
      <c r="G14" s="125">
        <f>SUM(G10:G13)</f>
      </c>
      <c r="H14" s="126">
        <f t="shared" si="1"/>
      </c>
      <c r="I14" s="126">
        <f t="shared" si="0"/>
      </c>
      <c r="J14" s="126">
        <f t="shared" si="2"/>
      </c>
      <c r="K14" s="125">
        <f>SUM(K10:K13)</f>
      </c>
      <c r="L14" s="125">
        <f>SUM(L10:L13)</f>
      </c>
      <c r="M14" s="127"/>
      <c r="N14" s="128">
        <f>SUM(N10:N13)</f>
      </c>
      <c r="O14" s="127"/>
      <c r="P14" s="128">
        <f>SUM(P10:P13)</f>
      </c>
    </row>
    <row r="15">
      <c r="A15" s="129" t="s">
        <v>196</v>
      </c>
      <c r="B15" s="104" t="s">
        <v>194</v>
      </c>
      <c r="C15" s="105" t="s">
        <v>174</v>
      </c>
      <c r="D15" s="105">
        <v>1</v>
      </c>
      <c r="E15" s="106">
        <v>6</v>
      </c>
      <c r="F15" s="106">
        <v>8311.2</v>
      </c>
      <c r="G15" s="107">
        <v>2540.81</v>
      </c>
      <c r="H15" s="108">
        <f t="shared" si="1"/>
      </c>
      <c r="I15" s="108">
        <f t="shared" si="0"/>
      </c>
      <c r="J15" s="108">
        <f t="shared" si="2"/>
      </c>
      <c r="K15" s="106">
        <v>2</v>
      </c>
      <c r="L15" s="109">
        <v>2726.3999999999996</v>
      </c>
      <c r="M15" s="110"/>
      <c r="N15" s="111"/>
      <c r="O15" s="112"/>
      <c r="P15" s="112"/>
    </row>
    <row r="16">
      <c r="A16" s="129" t="s">
        <v>196</v>
      </c>
      <c r="B16" s="104" t="s">
        <v>190</v>
      </c>
      <c r="C16" s="105" t="s">
        <v>176</v>
      </c>
      <c r="D16" s="105">
        <v>5</v>
      </c>
      <c r="E16" s="106">
        <v>25</v>
      </c>
      <c r="F16" s="106">
        <v>32281.8</v>
      </c>
      <c r="G16" s="107">
        <v>12951.3</v>
      </c>
      <c r="H16" s="108">
        <f t="shared" si="1"/>
      </c>
      <c r="I16" s="108">
        <f t="shared" si="0"/>
      </c>
      <c r="J16" s="108">
        <f t="shared" si="2"/>
      </c>
      <c r="K16" s="106">
        <v>4</v>
      </c>
      <c r="L16" s="109">
        <v>3769.2</v>
      </c>
      <c r="M16" s="110" t="s">
        <v>187</v>
      </c>
      <c r="N16" s="113">
        <v>7</v>
      </c>
      <c r="O16" s="114" t="s">
        <v>178</v>
      </c>
      <c r="P16" s="110">
        <v>4</v>
      </c>
    </row>
    <row r="17">
      <c r="A17" s="129" t="s">
        <v>196</v>
      </c>
      <c r="B17" s="104" t="s">
        <v>183</v>
      </c>
      <c r="C17" s="105" t="s">
        <v>180</v>
      </c>
      <c r="D17" s="105">
        <v>5</v>
      </c>
      <c r="E17" s="106">
        <v>17</v>
      </c>
      <c r="F17" s="107">
        <v>21313</v>
      </c>
      <c r="G17" s="107">
        <v>18851.86</v>
      </c>
      <c r="H17" s="108">
        <f t="shared" si="1"/>
      </c>
      <c r="I17" s="108">
        <f t="shared" si="0"/>
      </c>
      <c r="J17" s="108">
        <f t="shared" si="2"/>
      </c>
      <c r="K17" s="106">
        <v>1</v>
      </c>
      <c r="L17" s="109">
        <v>1663.2</v>
      </c>
      <c r="M17" s="110" t="s">
        <v>181</v>
      </c>
      <c r="N17" s="115">
        <v>9</v>
      </c>
      <c r="O17" s="114" t="s">
        <v>182</v>
      </c>
      <c r="P17" s="110">
        <v>12</v>
      </c>
    </row>
    <row r="18">
      <c r="A18" s="129" t="s">
        <v>196</v>
      </c>
      <c r="B18" s="104" t="s">
        <v>173</v>
      </c>
      <c r="C18" s="105" t="s">
        <v>184</v>
      </c>
      <c r="D18" s="105">
        <v>4</v>
      </c>
      <c r="E18" s="106">
        <v>5</v>
      </c>
      <c r="F18" s="107">
        <v>6441.600000000006</v>
      </c>
      <c r="G18" s="110">
        <v>8063.25</v>
      </c>
      <c r="H18" s="108">
        <f t="shared" si="1"/>
      </c>
      <c r="I18" s="108">
        <f t="shared" si="0"/>
      </c>
      <c r="J18" s="108">
        <f t="shared" si="2"/>
      </c>
      <c r="K18" s="106">
        <v>0</v>
      </c>
      <c r="L18" s="109">
        <v>0</v>
      </c>
      <c r="M18" s="110" t="s">
        <v>185</v>
      </c>
      <c r="N18" s="115">
        <v>8</v>
      </c>
      <c r="O18" s="116" t="s">
        <v>178</v>
      </c>
      <c r="P18" s="110">
        <v>8</v>
      </c>
    </row>
    <row r="19">
      <c r="A19" s="129" t="s">
        <v>196</v>
      </c>
      <c r="B19" s="104" t="s">
        <v>194</v>
      </c>
      <c r="C19" s="105" t="s">
        <v>186</v>
      </c>
      <c r="D19" s="105">
        <v>5</v>
      </c>
      <c r="E19" s="106">
        <v>20</v>
      </c>
      <c r="F19" s="106">
        <v>23842.79999999999</v>
      </c>
      <c r="G19" s="107">
        <v>11520</v>
      </c>
      <c r="H19" s="108">
        <f t="shared" si="1"/>
      </c>
      <c r="I19" s="108">
        <f t="shared" si="0"/>
      </c>
      <c r="J19" s="108">
        <f t="shared" si="2"/>
      </c>
      <c r="K19" s="106">
        <v>7</v>
      </c>
      <c r="L19" s="109">
        <v>8889.600000000002</v>
      </c>
      <c r="M19" s="110"/>
      <c r="N19" s="113"/>
      <c r="O19" s="110"/>
      <c r="P19" s="114"/>
    </row>
    <row r="20">
      <c r="A20" s="129" t="s">
        <v>196</v>
      </c>
      <c r="B20" s="104" t="s">
        <v>175</v>
      </c>
      <c r="C20" s="105" t="s">
        <v>195</v>
      </c>
      <c r="D20" s="105">
        <v>4</v>
      </c>
      <c r="E20" s="106">
        <v>17</v>
      </c>
      <c r="F20" s="106">
        <v>24499.20000000001</v>
      </c>
      <c r="G20" s="107">
        <v>13768.74</v>
      </c>
      <c r="H20" s="108">
        <f t="shared" si="1"/>
      </c>
      <c r="I20" s="108">
        <f t="shared" si="0"/>
      </c>
      <c r="J20" s="108">
        <f t="shared" si="2"/>
      </c>
      <c r="K20" s="106">
        <v>5</v>
      </c>
      <c r="L20" s="109">
        <v>7176</v>
      </c>
      <c r="M20" s="114"/>
      <c r="N20" s="117"/>
      <c r="O20" s="114"/>
      <c r="P20" s="114"/>
    </row>
    <row r="21">
      <c r="A21" s="122" t="s">
        <v>196</v>
      </c>
      <c r="B21" s="123" t="s">
        <v>192</v>
      </c>
      <c r="C21" s="124"/>
      <c r="D21" s="125">
        <f>SUM(D15:D20)</f>
      </c>
      <c r="E21" s="125">
        <f>SUM(E15:E20)</f>
      </c>
      <c r="F21" s="125">
        <f>SUM(F15:F20)</f>
      </c>
      <c r="G21" s="125">
        <f>SUM(G15:G20)</f>
      </c>
      <c r="H21" s="126">
        <f t="shared" si="1"/>
      </c>
      <c r="I21" s="126">
        <f t="shared" si="0"/>
      </c>
      <c r="J21" s="126">
        <f t="shared" si="2"/>
      </c>
      <c r="K21" s="125">
        <f>SUM(K15:K20)</f>
      </c>
      <c r="L21" s="125">
        <f>SUM(L15:L20)</f>
      </c>
      <c r="M21" s="127"/>
      <c r="N21" s="128">
        <f>SUM(N15:N20)</f>
      </c>
      <c r="O21" s="127"/>
      <c r="P21" s="128">
        <f>SUM(P16:P20)</f>
      </c>
    </row>
    <row r="22">
      <c r="A22" s="129" t="s">
        <v>197</v>
      </c>
      <c r="B22" s="104" t="s">
        <v>175</v>
      </c>
      <c r="C22" s="105" t="s">
        <v>174</v>
      </c>
      <c r="D22" s="105">
        <v>1</v>
      </c>
      <c r="E22" s="106">
        <v>8</v>
      </c>
      <c r="F22" s="106">
        <v>6540</v>
      </c>
      <c r="G22" s="107">
        <v>2675.57</v>
      </c>
      <c r="H22" s="108">
        <f t="shared" si="1"/>
      </c>
      <c r="I22" s="108">
        <f t="shared" si="0"/>
      </c>
      <c r="J22" s="108">
        <f t="shared" si="2"/>
      </c>
      <c r="K22" s="106">
        <v>0</v>
      </c>
      <c r="L22" s="109">
        <v>0</v>
      </c>
      <c r="M22" s="110"/>
      <c r="N22" s="111"/>
      <c r="O22" s="112"/>
      <c r="P22" s="112"/>
    </row>
    <row r="23">
      <c r="A23" s="129" t="s">
        <v>197</v>
      </c>
      <c r="B23" s="104" t="s">
        <v>179</v>
      </c>
      <c r="C23" s="105" t="s">
        <v>176</v>
      </c>
      <c r="D23" s="105">
        <v>5</v>
      </c>
      <c r="E23" s="106">
        <v>14</v>
      </c>
      <c r="F23" s="106">
        <v>13669</v>
      </c>
      <c r="G23" s="107">
        <v>8509.3</v>
      </c>
      <c r="H23" s="108">
        <f t="shared" si="1"/>
      </c>
      <c r="I23" s="108">
        <f t="shared" si="0"/>
      </c>
      <c r="J23" s="108">
        <f t="shared" si="2"/>
      </c>
      <c r="K23" s="106">
        <v>4</v>
      </c>
      <c r="L23" s="109">
        <v>5438.4</v>
      </c>
      <c r="M23" s="110" t="s">
        <v>187</v>
      </c>
      <c r="N23" s="113">
        <v>7</v>
      </c>
      <c r="O23" s="114" t="s">
        <v>178</v>
      </c>
      <c r="P23" s="110">
        <v>4</v>
      </c>
    </row>
    <row r="24">
      <c r="A24" s="129" t="s">
        <v>197</v>
      </c>
      <c r="B24" s="104" t="s">
        <v>183</v>
      </c>
      <c r="C24" s="105" t="s">
        <v>180</v>
      </c>
      <c r="D24" s="105">
        <v>5</v>
      </c>
      <c r="E24" s="106">
        <v>13</v>
      </c>
      <c r="F24" s="107">
        <v>17498.4</v>
      </c>
      <c r="G24" s="107">
        <v>12426.189999999999</v>
      </c>
      <c r="H24" s="108">
        <f t="shared" si="1"/>
      </c>
      <c r="I24" s="108">
        <f t="shared" si="0"/>
      </c>
      <c r="J24" s="108">
        <f t="shared" si="2"/>
      </c>
      <c r="K24" s="106">
        <v>4</v>
      </c>
      <c r="L24" s="109">
        <v>7192.8</v>
      </c>
      <c r="M24" s="110" t="s">
        <v>181</v>
      </c>
      <c r="N24" s="115">
        <v>9</v>
      </c>
      <c r="O24" s="114" t="s">
        <v>182</v>
      </c>
      <c r="P24" s="110">
        <v>12</v>
      </c>
    </row>
    <row r="25">
      <c r="A25" s="129" t="s">
        <v>197</v>
      </c>
      <c r="B25" s="104" t="s">
        <v>173</v>
      </c>
      <c r="C25" s="105" t="s">
        <v>184</v>
      </c>
      <c r="D25" s="105">
        <v>4</v>
      </c>
      <c r="E25" s="106">
        <v>10</v>
      </c>
      <c r="F25" s="107">
        <v>19450.799999999996</v>
      </c>
      <c r="G25" s="110">
        <v>5704.650000000001</v>
      </c>
      <c r="H25" s="108">
        <f t="shared" si="1"/>
      </c>
      <c r="I25" s="108">
        <f t="shared" si="0"/>
      </c>
      <c r="J25" s="108">
        <f t="shared" si="2"/>
      </c>
      <c r="K25" s="106">
        <v>3</v>
      </c>
      <c r="L25" s="109">
        <v>6506.4</v>
      </c>
      <c r="M25" s="110" t="s">
        <v>185</v>
      </c>
      <c r="N25" s="115">
        <v>8</v>
      </c>
      <c r="O25" s="116" t="s">
        <v>178</v>
      </c>
      <c r="P25" s="110">
        <v>8</v>
      </c>
    </row>
    <row r="26">
      <c r="A26" s="129" t="s">
        <v>197</v>
      </c>
      <c r="B26" s="104" t="s">
        <v>194</v>
      </c>
      <c r="C26" s="105" t="s">
        <v>186</v>
      </c>
      <c r="D26" s="105">
        <v>5</v>
      </c>
      <c r="E26" s="106">
        <v>4</v>
      </c>
      <c r="F26" s="106">
        <v>3818.4000000000015</v>
      </c>
      <c r="G26" s="107">
        <v>5769.69</v>
      </c>
      <c r="H26" s="108">
        <f t="shared" si="1"/>
      </c>
      <c r="I26" s="108">
        <f t="shared" si="0"/>
      </c>
      <c r="J26" s="108">
        <f t="shared" si="2"/>
      </c>
      <c r="K26" s="106">
        <v>2</v>
      </c>
      <c r="L26" s="109">
        <v>2688</v>
      </c>
      <c r="M26" s="110"/>
      <c r="N26" s="113"/>
      <c r="O26" s="110"/>
      <c r="P26" s="114"/>
    </row>
    <row r="27">
      <c r="A27" s="129" t="s">
        <v>197</v>
      </c>
      <c r="B27" s="104" t="s">
        <v>175</v>
      </c>
      <c r="C27" s="105" t="s">
        <v>195</v>
      </c>
      <c r="D27" s="105">
        <v>4</v>
      </c>
      <c r="E27" s="106">
        <v>4</v>
      </c>
      <c r="F27" s="106">
        <v>4485.5999999999985</v>
      </c>
      <c r="G27" s="107">
        <v>4344.08</v>
      </c>
      <c r="H27" s="108">
        <f t="shared" si="1"/>
      </c>
      <c r="I27" s="108">
        <f t="shared" si="0"/>
      </c>
      <c r="J27" s="108">
        <f t="shared" si="2"/>
      </c>
      <c r="K27" s="106">
        <v>2</v>
      </c>
      <c r="L27" s="109">
        <v>1159.2</v>
      </c>
      <c r="M27" s="114"/>
      <c r="N27" s="117"/>
      <c r="O27" s="114"/>
      <c r="P27" s="114"/>
    </row>
    <row r="28">
      <c r="A28" s="122" t="s">
        <v>197</v>
      </c>
      <c r="B28" s="123" t="s">
        <v>192</v>
      </c>
      <c r="C28" s="124"/>
      <c r="D28" s="125">
        <f>SUM(D22:D27)</f>
      </c>
      <c r="E28" s="125">
        <f>SUM(E22:E27)</f>
      </c>
      <c r="F28" s="125">
        <f>SUM(F22:F27)</f>
      </c>
      <c r="G28" s="125">
        <f>SUM(G22:G27)</f>
      </c>
      <c r="H28" s="126">
        <f t="shared" si="1"/>
      </c>
      <c r="I28" s="126">
        <f t="shared" si="0"/>
      </c>
      <c r="J28" s="126">
        <f t="shared" si="2"/>
      </c>
      <c r="K28" s="125">
        <f>SUM(K22:K27)</f>
      </c>
      <c r="L28" s="125">
        <f>SUM(L22:L27)</f>
      </c>
      <c r="M28" s="127"/>
      <c r="N28" s="128">
        <f>SUM(N22:N27)</f>
      </c>
      <c r="O28" s="127"/>
      <c r="P28" s="128">
        <f>SUM(P23:P27)</f>
      </c>
    </row>
    <row r="29">
      <c r="A29" s="129" t="s">
        <v>198</v>
      </c>
      <c r="B29" s="104" t="s">
        <v>175</v>
      </c>
      <c r="C29" s="105" t="s">
        <v>174</v>
      </c>
      <c r="D29" s="105">
        <v>1</v>
      </c>
      <c r="E29" s="106">
        <v>2</v>
      </c>
      <c r="F29" s="106">
        <v>4322.4</v>
      </c>
      <c r="G29" s="107">
        <v>1733.3400000000001</v>
      </c>
      <c r="H29" s="108">
        <f t="shared" si="1"/>
      </c>
      <c r="I29" s="108">
        <f t="shared" si="0"/>
      </c>
      <c r="J29" s="108">
        <f t="shared" si="2"/>
      </c>
      <c r="K29" s="106">
        <v>2</v>
      </c>
      <c r="L29" s="109">
        <v>4322.4</v>
      </c>
      <c r="M29" s="110"/>
      <c r="N29" s="111"/>
      <c r="O29" s="112"/>
      <c r="P29" s="112"/>
    </row>
    <row r="30">
      <c r="A30" s="129" t="s">
        <v>198</v>
      </c>
      <c r="B30" s="104" t="s">
        <v>179</v>
      </c>
      <c r="C30" s="105" t="s">
        <v>199</v>
      </c>
      <c r="D30" s="105">
        <v>2.5</v>
      </c>
      <c r="E30" s="106">
        <v>10</v>
      </c>
      <c r="F30" s="106">
        <v>10064.400000000001</v>
      </c>
      <c r="G30" s="107">
        <v>4467.21</v>
      </c>
      <c r="H30" s="108">
        <f t="shared" si="1"/>
      </c>
      <c r="I30" s="108">
        <f t="shared" si="0"/>
      </c>
      <c r="J30" s="108">
        <f t="shared" si="2"/>
      </c>
      <c r="K30" s="106">
        <v>5</v>
      </c>
      <c r="L30" s="109">
        <v>4454.4</v>
      </c>
      <c r="M30" s="110" t="s">
        <v>187</v>
      </c>
      <c r="N30" s="113">
        <v>4.5</v>
      </c>
      <c r="O30" s="114" t="s">
        <v>178</v>
      </c>
      <c r="P30" s="110">
        <v>4</v>
      </c>
    </row>
    <row r="31">
      <c r="A31" s="129" t="s">
        <v>198</v>
      </c>
      <c r="B31" s="104" t="s">
        <v>173</v>
      </c>
      <c r="C31" s="105" t="s">
        <v>180</v>
      </c>
      <c r="D31" s="105">
        <v>5</v>
      </c>
      <c r="E31" s="106">
        <v>8</v>
      </c>
      <c r="F31" s="107">
        <v>7282.2</v>
      </c>
      <c r="G31" s="107">
        <v>8257.560000000001</v>
      </c>
      <c r="H31" s="108">
        <f t="shared" si="1"/>
      </c>
      <c r="I31" s="108">
        <f t="shared" si="0"/>
      </c>
      <c r="J31" s="108">
        <f t="shared" si="2"/>
      </c>
      <c r="K31" s="106">
        <v>1</v>
      </c>
      <c r="L31" s="109">
        <v>372</v>
      </c>
      <c r="M31" s="110" t="s">
        <v>181</v>
      </c>
      <c r="N31" s="115">
        <v>9</v>
      </c>
      <c r="O31" s="114" t="s">
        <v>182</v>
      </c>
      <c r="P31" s="110">
        <v>12</v>
      </c>
    </row>
    <row r="32">
      <c r="A32" s="129" t="s">
        <v>198</v>
      </c>
      <c r="B32" s="104" t="s">
        <v>194</v>
      </c>
      <c r="C32" s="105" t="s">
        <v>184</v>
      </c>
      <c r="D32" s="105">
        <v>4</v>
      </c>
      <c r="E32" s="106">
        <v>9</v>
      </c>
      <c r="F32" s="107">
        <v>11738.400000000001</v>
      </c>
      <c r="G32" s="110">
        <v>6520.71</v>
      </c>
      <c r="H32" s="108">
        <f t="shared" si="1"/>
      </c>
      <c r="I32" s="108">
        <f t="shared" si="0"/>
      </c>
      <c r="J32" s="108">
        <f t="shared" si="2"/>
      </c>
      <c r="K32" s="106">
        <v>3</v>
      </c>
      <c r="L32" s="109">
        <v>3146.4</v>
      </c>
      <c r="M32" s="110" t="s">
        <v>185</v>
      </c>
      <c r="N32" s="115">
        <v>8</v>
      </c>
      <c r="O32" s="116" t="s">
        <v>178</v>
      </c>
      <c r="P32" s="110">
        <v>8</v>
      </c>
    </row>
    <row r="33">
      <c r="A33" s="129" t="s">
        <v>198</v>
      </c>
      <c r="B33" s="104" t="s">
        <v>175</v>
      </c>
      <c r="C33" s="105" t="s">
        <v>186</v>
      </c>
      <c r="D33" s="105">
        <v>5</v>
      </c>
      <c r="E33" s="106">
        <v>4</v>
      </c>
      <c r="F33" s="106">
        <v>4262.4000000000015</v>
      </c>
      <c r="G33" s="107">
        <v>6294.4400000000005</v>
      </c>
      <c r="H33" s="108">
        <f t="shared" si="1"/>
      </c>
      <c r="I33" s="108">
        <f t="shared" si="0"/>
      </c>
      <c r="J33" s="108">
        <f t="shared" si="2"/>
      </c>
      <c r="K33" s="106">
        <v>0</v>
      </c>
      <c r="L33" s="109">
        <v>0</v>
      </c>
      <c r="M33" s="110"/>
      <c r="N33" s="113"/>
      <c r="O33" s="110"/>
      <c r="P33" s="114"/>
    </row>
    <row r="34">
      <c r="A34" s="129" t="s">
        <v>198</v>
      </c>
      <c r="B34" s="104" t="s">
        <v>190</v>
      </c>
      <c r="C34" s="105" t="s">
        <v>195</v>
      </c>
      <c r="D34" s="105">
        <v>4</v>
      </c>
      <c r="E34" s="106">
        <v>6</v>
      </c>
      <c r="F34" s="106">
        <v>9845.799999999996</v>
      </c>
      <c r="G34" s="107">
        <v>8043.57</v>
      </c>
      <c r="H34" s="108">
        <f t="shared" si="1"/>
      </c>
      <c r="I34" s="108">
        <f t="shared" si="0"/>
      </c>
      <c r="J34" s="108">
        <f t="shared" si="2"/>
      </c>
      <c r="K34" s="106">
        <v>1</v>
      </c>
      <c r="L34" s="109">
        <v>356.39999999999964</v>
      </c>
      <c r="M34" s="114"/>
      <c r="N34" s="117"/>
      <c r="O34" s="114"/>
      <c r="P34" s="114"/>
    </row>
    <row r="35">
      <c r="A35" s="122" t="s">
        <v>198</v>
      </c>
      <c r="B35" s="123" t="s">
        <v>192</v>
      </c>
      <c r="C35" s="124"/>
      <c r="D35" s="125">
        <f>SUM(D29:D34)</f>
      </c>
      <c r="E35" s="125">
        <f>SUM(E29:E34)</f>
      </c>
      <c r="F35" s="125">
        <f>SUM(F29:F34)</f>
      </c>
      <c r="G35" s="125">
        <f>SUM(G29:G34)</f>
      </c>
      <c r="H35" s="126">
        <f t="shared" si="1"/>
      </c>
      <c r="I35" s="126">
        <f t="shared" si="0"/>
      </c>
      <c r="J35" s="126">
        <f t="shared" si="2"/>
      </c>
      <c r="K35" s="125">
        <f>SUM(K29:K34)</f>
      </c>
      <c r="L35" s="125">
        <f>SUM(L29:L34)</f>
      </c>
      <c r="M35" s="127"/>
      <c r="N35" s="128">
        <f>SUM(N29:N34)</f>
      </c>
      <c r="O35" s="127"/>
      <c r="P35" s="128">
        <f>SUM(P30:P34)</f>
      </c>
    </row>
    <row r="36">
      <c r="A36" s="129" t="s">
        <v>200</v>
      </c>
      <c r="B36" s="104" t="s">
        <v>190</v>
      </c>
      <c r="C36" s="105" t="s">
        <v>174</v>
      </c>
      <c r="D36" s="105">
        <v>1</v>
      </c>
      <c r="E36" s="106">
        <v>4</v>
      </c>
      <c r="F36" s="106">
        <v>6482.4</v>
      </c>
      <c r="G36" s="107">
        <v>2073.22</v>
      </c>
      <c r="H36" s="108">
        <f t="shared" si="1"/>
      </c>
      <c r="I36" s="108">
        <f t="shared" si="0"/>
      </c>
      <c r="J36" s="108">
        <f t="shared" si="2"/>
      </c>
      <c r="K36" s="106">
        <v>1</v>
      </c>
      <c r="L36" s="109">
        <v>372</v>
      </c>
      <c r="M36" s="110"/>
      <c r="N36" s="111"/>
      <c r="O36" s="112"/>
      <c r="P36" s="112"/>
    </row>
    <row r="37">
      <c r="A37" s="129" t="s">
        <v>200</v>
      </c>
      <c r="B37" s="104" t="s">
        <v>183</v>
      </c>
      <c r="C37" s="105" t="s">
        <v>176</v>
      </c>
      <c r="D37" s="105">
        <v>5</v>
      </c>
      <c r="E37" s="106">
        <v>16</v>
      </c>
      <c r="F37" s="106">
        <v>21031</v>
      </c>
      <c r="G37" s="107">
        <v>14976.03</v>
      </c>
      <c r="H37" s="108">
        <f t="shared" si="1"/>
      </c>
      <c r="I37" s="108">
        <f t="shared" si="0"/>
      </c>
      <c r="J37" s="108">
        <f t="shared" si="2"/>
      </c>
      <c r="K37" s="106">
        <v>6</v>
      </c>
      <c r="L37" s="109">
        <v>5781.6</v>
      </c>
      <c r="M37" s="110" t="s">
        <v>201</v>
      </c>
      <c r="N37" s="113">
        <v>7</v>
      </c>
      <c r="O37" s="114" t="s">
        <v>178</v>
      </c>
      <c r="P37" s="110">
        <v>4</v>
      </c>
    </row>
    <row r="38">
      <c r="A38" s="129" t="s">
        <v>200</v>
      </c>
      <c r="B38" s="104" t="s">
        <v>173</v>
      </c>
      <c r="C38" s="105" t="s">
        <v>180</v>
      </c>
      <c r="D38" s="105">
        <v>5</v>
      </c>
      <c r="E38" s="106">
        <v>7</v>
      </c>
      <c r="F38" s="107">
        <v>6423</v>
      </c>
      <c r="G38" s="107">
        <v>11256.18</v>
      </c>
      <c r="H38" s="108">
        <f t="shared" si="1"/>
      </c>
      <c r="I38" s="108">
        <f t="shared" si="0"/>
      </c>
      <c r="J38" s="108">
        <f t="shared" si="2"/>
      </c>
      <c r="K38" s="106">
        <v>2</v>
      </c>
      <c r="L38" s="109">
        <v>699</v>
      </c>
      <c r="M38" s="110" t="s">
        <v>202</v>
      </c>
      <c r="N38" s="115">
        <v>9</v>
      </c>
      <c r="O38" s="114" t="s">
        <v>182</v>
      </c>
      <c r="P38" s="110">
        <v>12</v>
      </c>
    </row>
    <row customHeight="true" ht="16.071428571428573" r="39">
      <c r="A39" s="129" t="s">
        <v>200</v>
      </c>
      <c r="B39" s="104" t="s">
        <v>194</v>
      </c>
      <c r="C39" s="105" t="s">
        <v>184</v>
      </c>
      <c r="D39" s="105">
        <v>4</v>
      </c>
      <c r="E39" s="106">
        <v>19</v>
      </c>
      <c r="F39" s="107">
        <v>19457.8</v>
      </c>
      <c r="G39" s="110">
        <v>13014.63</v>
      </c>
      <c r="H39" s="108">
        <f t="shared" si="1"/>
      </c>
      <c r="I39" s="108">
        <f t="shared" si="0"/>
      </c>
      <c r="J39" s="108">
        <f t="shared" si="2"/>
      </c>
      <c r="K39" s="106">
        <v>7</v>
      </c>
      <c r="L39" s="109">
        <v>6523.2</v>
      </c>
      <c r="M39" s="110" t="s">
        <v>181</v>
      </c>
      <c r="N39" s="115">
        <v>8</v>
      </c>
      <c r="O39" s="116" t="s">
        <v>178</v>
      </c>
      <c r="P39" s="110">
        <v>8</v>
      </c>
    </row>
    <row customHeight="true" ht="16.071428571428573" r="40">
      <c r="A40" s="129" t="s">
        <v>200</v>
      </c>
      <c r="B40" s="104" t="s">
        <v>175</v>
      </c>
      <c r="C40" s="105" t="s">
        <v>186</v>
      </c>
      <c r="D40" s="105">
        <v>5</v>
      </c>
      <c r="E40" s="106">
        <v>7</v>
      </c>
      <c r="F40" s="106">
        <v>8509.719999999994</v>
      </c>
      <c r="G40" s="107">
        <v>11712.58</v>
      </c>
      <c r="H40" s="108">
        <f t="shared" si="1"/>
      </c>
      <c r="I40" s="108">
        <f t="shared" si="0"/>
      </c>
      <c r="J40" s="108">
        <f t="shared" si="2"/>
      </c>
      <c r="K40" s="106">
        <v>1</v>
      </c>
      <c r="L40" s="109">
        <v>892</v>
      </c>
      <c r="M40" s="110"/>
      <c r="N40" s="113"/>
      <c r="O40" s="110"/>
      <c r="P40" s="114"/>
    </row>
    <row customHeight="true" ht="16.071428571428573" r="41">
      <c r="A41" s="129" t="s">
        <v>200</v>
      </c>
      <c r="B41" s="104" t="s">
        <v>190</v>
      </c>
      <c r="C41" s="105" t="s">
        <v>195</v>
      </c>
      <c r="D41" s="105">
        <v>4</v>
      </c>
      <c r="E41" s="106">
        <v>11</v>
      </c>
      <c r="F41" s="106">
        <v>19301.88</v>
      </c>
      <c r="G41" s="107">
        <v>9011.05</v>
      </c>
      <c r="H41" s="108">
        <f t="shared" si="1"/>
      </c>
      <c r="I41" s="108">
        <f t="shared" si="0"/>
      </c>
      <c r="J41" s="108">
        <f t="shared" si="2"/>
      </c>
      <c r="K41" s="106">
        <v>0</v>
      </c>
      <c r="L41" s="109">
        <v>0</v>
      </c>
      <c r="M41" s="114"/>
      <c r="N41" s="117"/>
      <c r="O41" s="114"/>
      <c r="P41" s="114"/>
    </row>
    <row customHeight="true" ht="16.071428571428573" r="42">
      <c r="A42" s="122" t="s">
        <v>200</v>
      </c>
      <c r="B42" s="123" t="s">
        <v>192</v>
      </c>
      <c r="C42" s="124"/>
      <c r="D42" s="125">
        <f>SUM(D36:D41)</f>
      </c>
      <c r="E42" s="125">
        <f>SUM(E36:E41)</f>
      </c>
      <c r="F42" s="125">
        <f>SUM(F36:F41)</f>
      </c>
      <c r="G42" s="125">
        <f>SUM(G36:G41)</f>
      </c>
      <c r="H42" s="126">
        <f t="shared" si="1"/>
      </c>
      <c r="I42" s="126">
        <f t="shared" si="0"/>
      </c>
      <c r="J42" s="126">
        <f t="shared" si="2"/>
      </c>
      <c r="K42" s="125">
        <f>SUM(K36:K41)</f>
      </c>
      <c r="L42" s="125">
        <f>SUM(L36:L41)</f>
      </c>
      <c r="M42" s="127"/>
      <c r="N42" s="128">
        <f>SUM(N36:N41)</f>
      </c>
      <c r="O42" s="127"/>
      <c r="P42" s="128">
        <f>SUM(P37:P41)</f>
      </c>
    </row>
    <row customHeight="true" ht="16.071428571428573" r="43">
      <c r="A43" s="129" t="s">
        <v>203</v>
      </c>
      <c r="B43" s="104" t="s">
        <v>190</v>
      </c>
      <c r="C43" s="105" t="s">
        <v>174</v>
      </c>
      <c r="D43" s="105">
        <v>1</v>
      </c>
      <c r="E43" s="106">
        <v>4</v>
      </c>
      <c r="F43" s="106">
        <v>3926.4</v>
      </c>
      <c r="G43" s="107">
        <v>2883.01</v>
      </c>
      <c r="H43" s="108">
        <f t="shared" si="1"/>
      </c>
      <c r="I43" s="108">
        <f t="shared" si="0"/>
      </c>
      <c r="J43" s="108">
        <f t="shared" si="2"/>
      </c>
      <c r="K43" s="106">
        <v>1</v>
      </c>
      <c r="L43" s="109">
        <v>1692</v>
      </c>
      <c r="M43" s="110"/>
      <c r="N43" s="111"/>
      <c r="O43" s="112"/>
      <c r="P43" s="112"/>
    </row>
    <row r="44">
      <c r="A44" s="129" t="s">
        <v>203</v>
      </c>
      <c r="B44" s="104" t="s">
        <v>183</v>
      </c>
      <c r="C44" s="105" t="s">
        <v>176</v>
      </c>
      <c r="D44" s="105">
        <v>5</v>
      </c>
      <c r="E44" s="106">
        <v>9</v>
      </c>
      <c r="F44" s="106">
        <v>14384.4</v>
      </c>
      <c r="G44" s="107">
        <v>9407.42</v>
      </c>
      <c r="H44" s="108">
        <f t="shared" si="1"/>
      </c>
      <c r="I44" s="108">
        <f t="shared" si="0"/>
      </c>
      <c r="J44" s="108">
        <f t="shared" si="2"/>
      </c>
      <c r="K44" s="106">
        <v>3</v>
      </c>
      <c r="L44" s="109">
        <v>2109.6</v>
      </c>
      <c r="M44" s="110" t="s">
        <v>187</v>
      </c>
      <c r="N44" s="113">
        <v>7</v>
      </c>
      <c r="O44" s="114" t="s">
        <v>178</v>
      </c>
      <c r="P44" s="110">
        <v>4</v>
      </c>
    </row>
    <row r="45">
      <c r="A45" s="129" t="s">
        <v>203</v>
      </c>
      <c r="B45" s="104" t="s">
        <v>194</v>
      </c>
      <c r="C45" s="105" t="s">
        <v>180</v>
      </c>
      <c r="D45" s="105">
        <v>5</v>
      </c>
      <c r="E45" s="106">
        <v>5</v>
      </c>
      <c r="F45" s="107">
        <v>6709.2</v>
      </c>
      <c r="G45" s="107">
        <v>5850.81</v>
      </c>
      <c r="H45" s="108">
        <f t="shared" si="1"/>
      </c>
      <c r="I45" s="108">
        <f t="shared" si="0"/>
      </c>
      <c r="J45" s="108">
        <f t="shared" si="2"/>
      </c>
      <c r="K45" s="106">
        <v>1</v>
      </c>
      <c r="L45" s="109">
        <v>1344</v>
      </c>
      <c r="M45" s="110" t="s">
        <v>202</v>
      </c>
      <c r="N45" s="115">
        <v>9.5</v>
      </c>
      <c r="O45" s="114" t="s">
        <v>182</v>
      </c>
      <c r="P45" s="110">
        <v>12</v>
      </c>
    </row>
    <row customHeight="true" ht="16.071428571428573" r="46">
      <c r="A46" s="129" t="s">
        <v>203</v>
      </c>
      <c r="B46" s="104" t="s">
        <v>175</v>
      </c>
      <c r="C46" s="105" t="s">
        <v>184</v>
      </c>
      <c r="D46" s="105">
        <v>4</v>
      </c>
      <c r="E46" s="106">
        <v>3</v>
      </c>
      <c r="F46" s="107">
        <v>4085.6</v>
      </c>
      <c r="G46" s="110">
        <v>3007.13</v>
      </c>
      <c r="H46" s="108">
        <f t="shared" si="1"/>
      </c>
      <c r="I46" s="108">
        <f t="shared" si="0"/>
      </c>
      <c r="J46" s="108">
        <f t="shared" si="2"/>
      </c>
      <c r="K46" s="106">
        <v>0</v>
      </c>
      <c r="L46" s="109">
        <v>0</v>
      </c>
      <c r="M46" s="110" t="s">
        <v>181</v>
      </c>
      <c r="N46" s="115">
        <v>7.5</v>
      </c>
      <c r="O46" s="116" t="s">
        <v>178</v>
      </c>
      <c r="P46" s="110">
        <v>8</v>
      </c>
    </row>
    <row customHeight="true" ht="16.071428571428573" r="47">
      <c r="A47" s="129" t="s">
        <v>203</v>
      </c>
      <c r="B47" s="104" t="s">
        <v>190</v>
      </c>
      <c r="C47" s="105" t="s">
        <v>186</v>
      </c>
      <c r="D47" s="105">
        <v>5</v>
      </c>
      <c r="E47" s="106">
        <v>6</v>
      </c>
      <c r="F47" s="106">
        <v>6641.999999999993</v>
      </c>
      <c r="G47" s="107">
        <v>3135.31</v>
      </c>
      <c r="H47" s="108">
        <f t="shared" si="1"/>
      </c>
      <c r="I47" s="108">
        <f t="shared" si="0"/>
      </c>
      <c r="J47" s="108">
        <f t="shared" si="2"/>
      </c>
      <c r="K47" s="106">
        <v>1</v>
      </c>
      <c r="L47" s="109">
        <v>798</v>
      </c>
      <c r="M47" s="110"/>
      <c r="N47" s="113"/>
      <c r="O47" s="110"/>
      <c r="P47" s="114"/>
    </row>
    <row customHeight="true" ht="16.071428571428573" r="48">
      <c r="A48" s="129" t="s">
        <v>203</v>
      </c>
      <c r="B48" s="104" t="s">
        <v>179</v>
      </c>
      <c r="C48" s="105" t="s">
        <v>195</v>
      </c>
      <c r="D48" s="105">
        <v>4</v>
      </c>
      <c r="E48" s="106">
        <v>9</v>
      </c>
      <c r="F48" s="106">
        <v>11912.200000000004</v>
      </c>
      <c r="G48" s="107">
        <v>8104.49</v>
      </c>
      <c r="H48" s="108">
        <f t="shared" si="1"/>
      </c>
      <c r="I48" s="108">
        <f t="shared" si="0"/>
      </c>
      <c r="J48" s="108">
        <f t="shared" si="2"/>
      </c>
      <c r="K48" s="106">
        <v>2</v>
      </c>
      <c r="L48" s="109">
        <v>2726.4</v>
      </c>
      <c r="M48" s="114"/>
      <c r="N48" s="117"/>
      <c r="O48" s="114"/>
      <c r="P48" s="114"/>
    </row>
    <row customHeight="true" ht="16.071428571428573" r="49">
      <c r="A49" s="122" t="s">
        <v>203</v>
      </c>
      <c r="B49" s="123" t="s">
        <v>192</v>
      </c>
      <c r="C49" s="124"/>
      <c r="D49" s="125">
        <f>SUM(D43:D48)</f>
      </c>
      <c r="E49" s="125">
        <f>SUM(E43:E48)</f>
      </c>
      <c r="F49" s="125">
        <f>SUM(F43:F48)</f>
      </c>
      <c r="G49" s="125">
        <f>SUM(G43:G48)</f>
      </c>
      <c r="H49" s="126">
        <f t="shared" si="1"/>
      </c>
      <c r="I49" s="126">
        <f t="shared" si="0"/>
      </c>
      <c r="J49" s="126">
        <f t="shared" si="2"/>
      </c>
      <c r="K49" s="125">
        <f>SUM(K43:K48)</f>
      </c>
      <c r="L49" s="125">
        <f>SUM(L43:L48)</f>
      </c>
      <c r="M49" s="127"/>
      <c r="N49" s="128">
        <f>SUM(N43:N48)</f>
      </c>
      <c r="O49" s="127"/>
      <c r="P49" s="128">
        <f>SUM(P44:P48)</f>
      </c>
    </row>
    <row customHeight="true" ht="16.071428571428573" r="50">
      <c r="A50" s="129" t="s">
        <v>204</v>
      </c>
      <c r="B50" s="104" t="s">
        <v>179</v>
      </c>
      <c r="C50" s="105" t="s">
        <v>174</v>
      </c>
      <c r="D50" s="105">
        <v>1</v>
      </c>
      <c r="E50" s="106">
        <v>0</v>
      </c>
      <c r="F50" s="106">
        <v>0</v>
      </c>
      <c r="G50" s="107">
        <v>2155.07</v>
      </c>
      <c r="H50" s="108">
        <f t="shared" si="1"/>
      </c>
      <c r="I50" s="108">
        <f t="shared" si="0"/>
      </c>
      <c r="J50" s="108">
        <f t="shared" si="2"/>
      </c>
      <c r="K50" s="106">
        <v>0</v>
      </c>
      <c r="L50" s="109">
        <v>0</v>
      </c>
      <c r="M50" s="110"/>
      <c r="N50" s="111"/>
      <c r="O50" s="112"/>
      <c r="P50" s="112"/>
    </row>
    <row customHeight="true" ht="16.071428571428573" r="51">
      <c r="A51" s="129" t="s">
        <v>204</v>
      </c>
      <c r="B51" s="104" t="s">
        <v>173</v>
      </c>
      <c r="C51" s="105" t="s">
        <v>176</v>
      </c>
      <c r="D51" s="105">
        <v>5</v>
      </c>
      <c r="E51" s="106">
        <v>11</v>
      </c>
      <c r="F51" s="106">
        <v>9512.4</v>
      </c>
      <c r="G51" s="107">
        <v>9966.79</v>
      </c>
      <c r="H51" s="108">
        <f t="shared" si="1"/>
      </c>
      <c r="I51" s="108">
        <f t="shared" si="0"/>
      </c>
      <c r="J51" s="108">
        <f t="shared" si="2"/>
      </c>
      <c r="K51" s="106">
        <v>3</v>
      </c>
      <c r="L51" s="109">
        <v>1507.2</v>
      </c>
      <c r="M51" s="110" t="s">
        <v>187</v>
      </c>
      <c r="N51" s="113">
        <v>7</v>
      </c>
      <c r="O51" s="114" t="s">
        <v>178</v>
      </c>
      <c r="P51" s="110">
        <v>4</v>
      </c>
    </row>
    <row customHeight="true" ht="16.071428571428573" r="52">
      <c r="A52" s="129" t="s">
        <v>204</v>
      </c>
      <c r="B52" s="104" t="s">
        <v>175</v>
      </c>
      <c r="C52" s="105" t="s">
        <v>180</v>
      </c>
      <c r="D52" s="105">
        <v>5</v>
      </c>
      <c r="E52" s="106">
        <v>2</v>
      </c>
      <c r="F52" s="107">
        <v>3007.2</v>
      </c>
      <c r="G52" s="107">
        <v>8172.73</v>
      </c>
      <c r="H52" s="108">
        <f t="shared" si="1"/>
      </c>
      <c r="I52" s="108">
        <f t="shared" si="0"/>
      </c>
      <c r="J52" s="108">
        <f t="shared" si="2"/>
      </c>
      <c r="K52" s="106">
        <v>1</v>
      </c>
      <c r="L52" s="109">
        <v>1663.2</v>
      </c>
      <c r="M52" s="110" t="s">
        <v>185</v>
      </c>
      <c r="N52" s="115">
        <v>9</v>
      </c>
      <c r="O52" s="114" t="s">
        <v>182</v>
      </c>
      <c r="P52" s="110">
        <v>12</v>
      </c>
    </row>
    <row customHeight="true" ht="16.071428571428573" r="53">
      <c r="A53" s="129" t="s">
        <v>204</v>
      </c>
      <c r="B53" s="104" t="s">
        <v>190</v>
      </c>
      <c r="C53" s="105" t="s">
        <v>184</v>
      </c>
      <c r="D53" s="105">
        <v>4</v>
      </c>
      <c r="E53" s="106">
        <v>6</v>
      </c>
      <c r="F53" s="107">
        <v>5433.6</v>
      </c>
      <c r="G53" s="110">
        <v>5951.6</v>
      </c>
      <c r="H53" s="108">
        <f t="shared" si="1"/>
      </c>
      <c r="I53" s="108">
        <f t="shared" si="0"/>
      </c>
      <c r="J53" s="108">
        <f t="shared" si="2"/>
      </c>
      <c r="K53" s="106">
        <v>3</v>
      </c>
      <c r="L53" s="109">
        <v>3170.4</v>
      </c>
      <c r="M53" s="110" t="s">
        <v>181</v>
      </c>
      <c r="N53" s="115">
        <v>8</v>
      </c>
      <c r="O53" s="116" t="s">
        <v>178</v>
      </c>
      <c r="P53" s="110">
        <v>8</v>
      </c>
    </row>
    <row customHeight="true" ht="16.071428571428573" r="54">
      <c r="A54" s="129" t="s">
        <v>204</v>
      </c>
      <c r="B54" s="104" t="s">
        <v>179</v>
      </c>
      <c r="C54" s="105" t="s">
        <v>186</v>
      </c>
      <c r="D54" s="105">
        <v>5</v>
      </c>
      <c r="E54" s="106">
        <v>3</v>
      </c>
      <c r="F54" s="106">
        <v>4017.5999999999985</v>
      </c>
      <c r="G54" s="107">
        <v>4689.66</v>
      </c>
      <c r="H54" s="108">
        <f t="shared" si="1"/>
      </c>
      <c r="I54" s="108">
        <f t="shared" si="0"/>
      </c>
      <c r="J54" s="108">
        <f t="shared" si="2"/>
      </c>
      <c r="K54" s="106">
        <v>1</v>
      </c>
      <c r="L54" s="109">
        <v>1663.2</v>
      </c>
      <c r="M54" s="110"/>
      <c r="N54" s="113"/>
      <c r="O54" s="110"/>
      <c r="P54" s="114"/>
    </row>
    <row customHeight="true" ht="16.071428571428573" r="55">
      <c r="A55" s="129" t="s">
        <v>204</v>
      </c>
      <c r="B55" s="104" t="s">
        <v>183</v>
      </c>
      <c r="C55" s="105" t="s">
        <v>195</v>
      </c>
      <c r="D55" s="105">
        <v>4</v>
      </c>
      <c r="E55" s="106">
        <v>13</v>
      </c>
      <c r="F55" s="106">
        <v>21146.4</v>
      </c>
      <c r="G55" s="107">
        <v>10415.69</v>
      </c>
      <c r="H55" s="108">
        <f t="shared" si="1"/>
      </c>
      <c r="I55" s="108">
        <f t="shared" si="0"/>
      </c>
      <c r="J55" s="108">
        <f t="shared" si="2"/>
      </c>
      <c r="K55" s="106">
        <v>2</v>
      </c>
      <c r="L55" s="109">
        <v>3751.2</v>
      </c>
      <c r="M55" s="114"/>
      <c r="N55" s="117"/>
      <c r="O55" s="114"/>
      <c r="P55" s="114"/>
    </row>
    <row customHeight="true" ht="16.071428571428573" r="56">
      <c r="A56" s="122" t="s">
        <v>204</v>
      </c>
      <c r="B56" s="123" t="s">
        <v>192</v>
      </c>
      <c r="C56" s="124"/>
      <c r="D56" s="125">
        <f>SUM(D50:D55)</f>
      </c>
      <c r="E56" s="125">
        <f>SUM(E50:E55)</f>
      </c>
      <c r="F56" s="125">
        <f>SUM(F50:F55)</f>
      </c>
      <c r="G56" s="125">
        <f>SUM(G50:G55)</f>
      </c>
      <c r="H56" s="126">
        <f t="shared" si="1"/>
      </c>
      <c r="I56" s="126">
        <f t="shared" si="0"/>
      </c>
      <c r="J56" s="126">
        <f t="shared" si="2"/>
      </c>
      <c r="K56" s="125">
        <f>SUM(K50:K55)</f>
      </c>
      <c r="L56" s="125">
        <f>SUM(L50:L55)</f>
      </c>
      <c r="M56" s="127"/>
      <c r="N56" s="128">
        <f>SUM(N50:N55)</f>
      </c>
      <c r="O56" s="127"/>
      <c r="P56" s="128">
        <f>SUM(P51:P55)</f>
      </c>
    </row>
    <row customHeight="true" ht="16.071428571428573" r="57">
      <c r="A57" s="129" t="s">
        <v>205</v>
      </c>
      <c r="B57" s="104" t="s">
        <v>183</v>
      </c>
      <c r="C57" s="105" t="s">
        <v>174</v>
      </c>
      <c r="D57" s="105">
        <v>1</v>
      </c>
      <c r="E57" s="106">
        <v>5</v>
      </c>
      <c r="F57" s="106">
        <v>9670.8</v>
      </c>
      <c r="G57" s="107">
        <v>3059.45</v>
      </c>
      <c r="H57" s="108">
        <f t="shared" si="1"/>
      </c>
      <c r="I57" s="108">
        <f t="shared" si="0"/>
      </c>
      <c r="J57" s="108">
        <f t="shared" si="2"/>
      </c>
      <c r="K57" s="106">
        <v>1</v>
      </c>
      <c r="L57" s="109">
        <v>2407.2</v>
      </c>
      <c r="M57" s="110"/>
      <c r="N57" s="111"/>
      <c r="O57" s="112"/>
      <c r="P57" s="112"/>
    </row>
    <row customHeight="true" ht="16.071428571428573" r="58">
      <c r="A58" s="129" t="s">
        <v>205</v>
      </c>
      <c r="B58" s="104" t="s">
        <v>173</v>
      </c>
      <c r="C58" s="105" t="s">
        <v>176</v>
      </c>
      <c r="D58" s="105">
        <v>5</v>
      </c>
      <c r="E58" s="106">
        <v>19</v>
      </c>
      <c r="F58" s="106">
        <v>20038.8</v>
      </c>
      <c r="G58" s="107">
        <v>13058.68</v>
      </c>
      <c r="H58" s="108">
        <f t="shared" si="1"/>
      </c>
      <c r="I58" s="108">
        <f t="shared" si="0"/>
      </c>
      <c r="J58" s="108">
        <f t="shared" si="2"/>
      </c>
      <c r="K58" s="106">
        <v>2</v>
      </c>
      <c r="L58" s="109">
        <v>2092.8</v>
      </c>
      <c r="M58" s="110" t="s">
        <v>187</v>
      </c>
      <c r="N58" s="113">
        <v>7</v>
      </c>
      <c r="O58" s="114" t="s">
        <v>178</v>
      </c>
      <c r="P58" s="110">
        <v>4</v>
      </c>
    </row>
    <row customHeight="true" ht="16.071428571428573" r="59">
      <c r="A59" s="129" t="s">
        <v>205</v>
      </c>
      <c r="B59" s="104" t="s">
        <v>175</v>
      </c>
      <c r="C59" s="105" t="s">
        <v>180</v>
      </c>
      <c r="D59" s="105">
        <v>5</v>
      </c>
      <c r="E59" s="106">
        <v>10</v>
      </c>
      <c r="F59" s="107">
        <v>12122.6</v>
      </c>
      <c r="G59" s="107">
        <v>18304.85</v>
      </c>
      <c r="H59" s="108">
        <f t="shared" si="1"/>
      </c>
      <c r="I59" s="108">
        <f t="shared" si="0"/>
      </c>
      <c r="J59" s="108">
        <f t="shared" si="2"/>
      </c>
      <c r="K59" s="106">
        <v>2</v>
      </c>
      <c r="L59" s="109">
        <v>3098.3999999999996</v>
      </c>
      <c r="M59" s="110" t="s">
        <v>185</v>
      </c>
      <c r="N59" s="115">
        <v>9</v>
      </c>
      <c r="O59" s="114" t="s">
        <v>182</v>
      </c>
      <c r="P59" s="110">
        <v>12</v>
      </c>
    </row>
    <row customHeight="true" ht="16.071428571428573" r="60">
      <c r="A60" s="129" t="s">
        <v>205</v>
      </c>
      <c r="B60" s="104" t="s">
        <v>190</v>
      </c>
      <c r="C60" s="105" t="s">
        <v>184</v>
      </c>
      <c r="D60" s="105">
        <v>4</v>
      </c>
      <c r="E60" s="106">
        <v>10</v>
      </c>
      <c r="F60" s="107">
        <v>13660.8</v>
      </c>
      <c r="G60" s="110">
        <v>8869.49</v>
      </c>
      <c r="H60" s="108">
        <f t="shared" si="1"/>
      </c>
      <c r="I60" s="108">
        <f t="shared" si="0"/>
      </c>
      <c r="J60" s="108">
        <f t="shared" si="2"/>
      </c>
      <c r="K60" s="106">
        <v>4</v>
      </c>
      <c r="L60" s="109">
        <v>4142.4</v>
      </c>
      <c r="M60" s="110" t="s">
        <v>181</v>
      </c>
      <c r="N60" s="115">
        <v>8</v>
      </c>
      <c r="O60" s="116" t="s">
        <v>178</v>
      </c>
      <c r="P60" s="110">
        <v>8</v>
      </c>
    </row>
    <row customHeight="true" ht="16.071428571428573" r="61">
      <c r="A61" s="129" t="s">
        <v>205</v>
      </c>
      <c r="B61" s="104" t="s">
        <v>179</v>
      </c>
      <c r="C61" s="105" t="s">
        <v>186</v>
      </c>
      <c r="D61" s="105">
        <v>5</v>
      </c>
      <c r="E61" s="106">
        <v>7</v>
      </c>
      <c r="F61" s="106">
        <v>11661.600000000006</v>
      </c>
      <c r="G61" s="107">
        <v>9418.279999999999</v>
      </c>
      <c r="H61" s="108">
        <f t="shared" si="1"/>
      </c>
      <c r="I61" s="108">
        <f t="shared" si="0"/>
      </c>
      <c r="J61" s="108">
        <f t="shared" si="2"/>
      </c>
      <c r="K61" s="106">
        <v>2</v>
      </c>
      <c r="L61" s="109">
        <v>4495.200000000001</v>
      </c>
      <c r="M61" s="110"/>
      <c r="N61" s="113"/>
      <c r="O61" s="110"/>
      <c r="P61" s="114"/>
    </row>
    <row customHeight="true" ht="16.071428571428573" r="62">
      <c r="A62" s="129" t="s">
        <v>205</v>
      </c>
      <c r="B62" s="104" t="s">
        <v>183</v>
      </c>
      <c r="C62" s="105" t="s">
        <v>195</v>
      </c>
      <c r="D62" s="105">
        <v>4</v>
      </c>
      <c r="E62" s="106">
        <v>3</v>
      </c>
      <c r="F62" s="106">
        <v>898.8</v>
      </c>
      <c r="G62" s="107">
        <v>6140.46</v>
      </c>
      <c r="H62" s="108">
        <f t="shared" si="1"/>
      </c>
      <c r="I62" s="108">
        <f t="shared" si="0"/>
      </c>
      <c r="J62" s="108">
        <f t="shared" si="2"/>
      </c>
      <c r="K62" s="106">
        <v>0</v>
      </c>
      <c r="L62" s="109">
        <v>0</v>
      </c>
      <c r="M62" s="114"/>
      <c r="N62" s="117"/>
      <c r="O62" s="114"/>
      <c r="P62" s="114"/>
    </row>
    <row customHeight="true" ht="16.071428571428573" r="63">
      <c r="A63" s="122" t="s">
        <v>205</v>
      </c>
      <c r="B63" s="123" t="s">
        <v>192</v>
      </c>
      <c r="C63" s="124"/>
      <c r="D63" s="125">
        <f>SUM(D57:D62)</f>
      </c>
      <c r="E63" s="125">
        <f>SUM(E57:E62)</f>
      </c>
      <c r="F63" s="125">
        <f>SUM(F57:F62)</f>
      </c>
      <c r="G63" s="125">
        <f>SUM(G57:G62)</f>
      </c>
      <c r="H63" s="126">
        <f t="shared" si="1"/>
      </c>
      <c r="I63" s="126">
        <f t="shared" si="0"/>
      </c>
      <c r="J63" s="126">
        <f t="shared" si="2"/>
      </c>
      <c r="K63" s="125">
        <f>SUM(K57:K62)</f>
      </c>
      <c r="L63" s="125">
        <f>SUM(L57:L62)</f>
      </c>
      <c r="M63" s="127"/>
      <c r="N63" s="128">
        <f>SUM(N57:N62)</f>
      </c>
      <c r="O63" s="127"/>
      <c r="P63" s="128">
        <f>SUM(P58:P62)</f>
      </c>
    </row>
    <row customHeight="true" ht="16.071428571428573" r="64">
      <c r="A64" s="129" t="s">
        <v>206</v>
      </c>
      <c r="B64" s="104" t="s">
        <v>183</v>
      </c>
      <c r="C64" s="105" t="s">
        <v>174</v>
      </c>
      <c r="D64" s="105">
        <v>1</v>
      </c>
      <c r="E64" s="106">
        <v>6</v>
      </c>
      <c r="F64" s="106">
        <v>11767.2</v>
      </c>
      <c r="G64" s="107">
        <v>3048.92</v>
      </c>
      <c r="H64" s="108">
        <f t="shared" si="1"/>
      </c>
      <c r="I64" s="108">
        <f t="shared" si="0"/>
      </c>
      <c r="J64" s="108">
        <f t="shared" si="2"/>
      </c>
      <c r="K64" s="106">
        <v>1</v>
      </c>
      <c r="L64" s="109">
        <v>2011.2</v>
      </c>
      <c r="M64" s="110"/>
      <c r="N64" s="111"/>
      <c r="O64" s="112"/>
      <c r="P64" s="112"/>
    </row>
    <row customHeight="true" ht="16.071428571428573" r="65">
      <c r="A65" s="129" t="s">
        <v>206</v>
      </c>
      <c r="B65" s="104" t="s">
        <v>173</v>
      </c>
      <c r="C65" s="105" t="s">
        <v>176</v>
      </c>
      <c r="D65" s="105">
        <v>5</v>
      </c>
      <c r="E65" s="106">
        <v>24</v>
      </c>
      <c r="F65" s="106">
        <v>32833</v>
      </c>
      <c r="G65" s="107">
        <v>15730.47</v>
      </c>
      <c r="H65" s="108">
        <f t="shared" si="1"/>
      </c>
      <c r="I65" s="108">
        <f t="shared" si="0"/>
      </c>
      <c r="J65" s="108">
        <f t="shared" si="2"/>
      </c>
      <c r="K65" s="106">
        <v>3</v>
      </c>
      <c r="L65" s="109">
        <v>3636</v>
      </c>
      <c r="M65" s="110" t="s">
        <v>187</v>
      </c>
      <c r="N65" s="113">
        <v>7</v>
      </c>
      <c r="O65" s="114" t="s">
        <v>178</v>
      </c>
      <c r="P65" s="110">
        <v>4</v>
      </c>
    </row>
    <row customHeight="true" ht="16.071428571428573" r="66">
      <c r="A66" s="129" t="s">
        <v>206</v>
      </c>
      <c r="B66" s="104" t="s">
        <v>190</v>
      </c>
      <c r="C66" s="105" t="s">
        <v>180</v>
      </c>
      <c r="D66" s="105">
        <v>5</v>
      </c>
      <c r="E66" s="106">
        <v>27</v>
      </c>
      <c r="F66" s="107">
        <v>23021.84</v>
      </c>
      <c r="G66" s="107">
        <v>26031.81</v>
      </c>
      <c r="H66" s="108">
        <f t="shared" si="1"/>
      </c>
      <c r="I66" s="108">
        <f t="shared" si="0"/>
      </c>
      <c r="J66" s="108">
        <f t="shared" si="2"/>
      </c>
      <c r="K66" s="106">
        <v>7</v>
      </c>
      <c r="L66" s="109">
        <v>4071.6</v>
      </c>
      <c r="M66" s="110" t="s">
        <v>185</v>
      </c>
      <c r="N66" s="115">
        <v>9</v>
      </c>
      <c r="O66" s="114" t="s">
        <v>182</v>
      </c>
      <c r="P66" s="110">
        <v>12</v>
      </c>
    </row>
    <row customHeight="true" ht="16.071428571428573" r="67">
      <c r="A67" s="129" t="s">
        <v>206</v>
      </c>
      <c r="B67" s="104" t="s">
        <v>179</v>
      </c>
      <c r="C67" s="105" t="s">
        <v>184</v>
      </c>
      <c r="D67" s="105">
        <v>4</v>
      </c>
      <c r="E67" s="106">
        <v>26</v>
      </c>
      <c r="F67" s="107">
        <v>44371</v>
      </c>
      <c r="G67" s="110">
        <v>20497.64</v>
      </c>
      <c r="H67" s="108">
        <f t="shared" si="1"/>
      </c>
      <c r="I67" s="108">
        <f t="shared" si="0"/>
      </c>
      <c r="J67" s="108">
        <f t="shared" si="2"/>
      </c>
      <c r="K67" s="106">
        <v>6</v>
      </c>
      <c r="L67" s="109">
        <v>12562.8</v>
      </c>
      <c r="M67" s="110" t="s">
        <v>181</v>
      </c>
      <c r="N67" s="115">
        <v>8</v>
      </c>
      <c r="O67" s="116" t="s">
        <v>178</v>
      </c>
      <c r="P67" s="110">
        <v>8</v>
      </c>
    </row>
    <row customHeight="true" ht="16.071428571428573" r="68">
      <c r="A68" s="129" t="s">
        <v>206</v>
      </c>
      <c r="B68" s="104" t="s">
        <v>183</v>
      </c>
      <c r="C68" s="105" t="s">
        <v>186</v>
      </c>
      <c r="D68" s="105">
        <v>5</v>
      </c>
      <c r="E68" s="106">
        <v>36</v>
      </c>
      <c r="F68" s="106">
        <v>43242.60000000002</v>
      </c>
      <c r="G68" s="107">
        <v>30867.77</v>
      </c>
      <c r="H68" s="108">
        <f t="shared" si="1"/>
      </c>
      <c r="I68" s="108">
        <f t="shared" si="0"/>
      </c>
      <c r="J68" s="108">
        <f t="shared" si="2"/>
      </c>
      <c r="K68" s="106">
        <v>12</v>
      </c>
      <c r="L68" s="109">
        <v>13707.6</v>
      </c>
      <c r="M68" s="110"/>
      <c r="N68" s="113"/>
      <c r="O68" s="110"/>
      <c r="P68" s="114"/>
    </row>
    <row customHeight="true" ht="16.071428571428573" r="69">
      <c r="A69" s="129" t="s">
        <v>206</v>
      </c>
      <c r="B69" s="104" t="s">
        <v>175</v>
      </c>
      <c r="C69" s="105" t="s">
        <v>195</v>
      </c>
      <c r="D69" s="105">
        <v>4</v>
      </c>
      <c r="E69" s="106">
        <v>28</v>
      </c>
      <c r="F69" s="106">
        <v>37389.76</v>
      </c>
      <c r="G69" s="107">
        <v>21859.9</v>
      </c>
      <c r="H69" s="108">
        <f t="shared" si="1"/>
      </c>
      <c r="I69" s="108">
        <f t="shared" si="0"/>
      </c>
      <c r="J69" s="108">
        <f t="shared" si="2"/>
      </c>
      <c r="K69" s="106">
        <v>4</v>
      </c>
      <c r="L69" s="109">
        <v>5488.8</v>
      </c>
      <c r="M69" s="114"/>
      <c r="N69" s="117"/>
      <c r="O69" s="114"/>
      <c r="P69" s="114"/>
    </row>
    <row customHeight="true" ht="16.071428571428573" r="70">
      <c r="A70" s="122" t="s">
        <v>206</v>
      </c>
      <c r="B70" s="123" t="s">
        <v>192</v>
      </c>
      <c r="C70" s="124"/>
      <c r="D70" s="125">
        <f>SUM(D64:D69)</f>
      </c>
      <c r="E70" s="125">
        <f>SUM(E64:E69)</f>
      </c>
      <c r="F70" s="125">
        <f>SUM(F64:F69)</f>
      </c>
      <c r="G70" s="125">
        <f>SUM(G64:G69)</f>
      </c>
      <c r="H70" s="126">
        <f t="shared" si="1"/>
      </c>
      <c r="I70" s="126">
        <f t="shared" si="0"/>
      </c>
      <c r="J70" s="126">
        <f t="shared" si="2"/>
      </c>
      <c r="K70" s="125">
        <f>SUM(K64:K69)</f>
      </c>
      <c r="L70" s="125">
        <f>SUM(L64:L69)</f>
      </c>
      <c r="M70" s="127"/>
      <c r="N70" s="128">
        <f>SUM(N64:N69)</f>
      </c>
      <c r="O70" s="127"/>
      <c r="P70" s="128">
        <f>SUM(P65:P69)</f>
      </c>
    </row>
    <row customHeight="true" ht="16.071428571428573" r="71">
      <c r="A71" s="129" t="s">
        <v>207</v>
      </c>
      <c r="B71" s="104" t="s">
        <v>175</v>
      </c>
      <c r="C71" s="105" t="s">
        <v>174</v>
      </c>
      <c r="D71" s="105">
        <v>1</v>
      </c>
      <c r="E71" s="106">
        <v>3</v>
      </c>
      <c r="F71" s="106">
        <v>5186.4</v>
      </c>
      <c r="G71" s="107">
        <v>3864.42</v>
      </c>
      <c r="H71" s="108">
        <f t="shared" si="1"/>
      </c>
      <c r="I71" s="108">
        <f t="shared" si="0"/>
      </c>
      <c r="J71" s="108">
        <f t="shared" si="2"/>
      </c>
      <c r="K71" s="106">
        <v>1</v>
      </c>
      <c r="L71" s="109">
        <v>2407.2</v>
      </c>
      <c r="M71" s="110" t="s">
        <v>187</v>
      </c>
      <c r="N71" s="111">
        <v>2</v>
      </c>
      <c r="O71" s="112"/>
      <c r="P71" s="112"/>
    </row>
    <row customHeight="true" ht="16.071428571428573" r="72">
      <c r="A72" s="129" t="s">
        <v>207</v>
      </c>
      <c r="B72" s="104" t="s">
        <v>179</v>
      </c>
      <c r="C72" s="105" t="s">
        <v>180</v>
      </c>
      <c r="D72" s="105">
        <v>5</v>
      </c>
      <c r="E72" s="106">
        <v>14</v>
      </c>
      <c r="F72" s="107">
        <v>19008</v>
      </c>
      <c r="G72" s="107">
        <v>17066.98</v>
      </c>
      <c r="H72" s="108">
        <f t="shared" si="1"/>
      </c>
      <c r="I72" s="108">
        <f t="shared" si="0"/>
      </c>
      <c r="J72" s="108">
        <f t="shared" si="2"/>
      </c>
      <c r="K72" s="106">
        <v>5</v>
      </c>
      <c r="L72" s="109">
        <v>6574.8</v>
      </c>
      <c r="M72" s="110" t="s">
        <v>185</v>
      </c>
      <c r="N72" s="115">
        <v>9</v>
      </c>
      <c r="O72" s="114" t="s">
        <v>182</v>
      </c>
      <c r="P72" s="110">
        <v>12</v>
      </c>
    </row>
    <row customHeight="true" ht="16.071428571428573" r="73">
      <c r="A73" s="129" t="s">
        <v>207</v>
      </c>
      <c r="B73" s="104" t="s">
        <v>194</v>
      </c>
      <c r="C73" s="105" t="s">
        <v>184</v>
      </c>
      <c r="D73" s="105">
        <v>4</v>
      </c>
      <c r="E73" s="106">
        <v>32</v>
      </c>
      <c r="F73" s="107">
        <v>41743.2</v>
      </c>
      <c r="G73" s="110">
        <v>25007.06</v>
      </c>
      <c r="H73" s="108">
        <f t="shared" si="1"/>
      </c>
      <c r="I73" s="108">
        <f t="shared" si="0"/>
      </c>
      <c r="J73" s="108">
        <f t="shared" si="2"/>
      </c>
      <c r="K73" s="106">
        <v>11</v>
      </c>
      <c r="L73" s="109">
        <v>15338.4</v>
      </c>
      <c r="M73" s="110" t="s">
        <v>181</v>
      </c>
      <c r="N73" s="115">
        <v>8</v>
      </c>
      <c r="O73" s="116" t="s">
        <v>178</v>
      </c>
      <c r="P73" s="110">
        <v>8</v>
      </c>
    </row>
    <row customHeight="true" ht="16.071428571428573" r="74">
      <c r="A74" s="129" t="s">
        <v>207</v>
      </c>
      <c r="B74" s="104" t="s">
        <v>183</v>
      </c>
      <c r="C74" s="105" t="s">
        <v>186</v>
      </c>
      <c r="D74" s="105">
        <v>5</v>
      </c>
      <c r="E74" s="106">
        <v>16</v>
      </c>
      <c r="F74" s="106">
        <v>22813.8</v>
      </c>
      <c r="G74" s="107">
        <v>24834.11</v>
      </c>
      <c r="H74" s="108">
        <f t="shared" si="1"/>
      </c>
      <c r="I74" s="108">
        <f t="shared" si="0"/>
      </c>
      <c r="J74" s="108">
        <f t="shared" si="2"/>
      </c>
      <c r="K74" s="106">
        <v>5</v>
      </c>
      <c r="L74" s="109">
        <v>6867.6</v>
      </c>
      <c r="M74" s="110"/>
      <c r="N74" s="113"/>
      <c r="O74" s="110"/>
      <c r="P74" s="114"/>
    </row>
    <row customHeight="true" ht="16.071428571428573" r="75">
      <c r="A75" s="129" t="s">
        <v>207</v>
      </c>
      <c r="B75" s="104" t="s">
        <v>173</v>
      </c>
      <c r="C75" s="105" t="s">
        <v>195</v>
      </c>
      <c r="D75" s="105">
        <v>4</v>
      </c>
      <c r="E75" s="106">
        <v>14</v>
      </c>
      <c r="F75" s="106">
        <v>13314.6</v>
      </c>
      <c r="G75" s="107">
        <v>15276.22</v>
      </c>
      <c r="H75" s="108">
        <f t="shared" si="1"/>
      </c>
      <c r="I75" s="108">
        <f t="shared" si="0"/>
      </c>
      <c r="J75" s="108">
        <f t="shared" si="2"/>
      </c>
      <c r="K75" s="106">
        <v>0</v>
      </c>
      <c r="L75" s="109">
        <v>0</v>
      </c>
      <c r="M75" s="114"/>
      <c r="N75" s="117"/>
      <c r="O75" s="114"/>
      <c r="P75" s="114"/>
    </row>
    <row customHeight="true" ht="16.071428571428573" r="76">
      <c r="A76" s="122" t="s">
        <v>207</v>
      </c>
      <c r="B76" s="123" t="s">
        <v>192</v>
      </c>
      <c r="C76" s="124"/>
      <c r="D76" s="125">
        <f>SUM(D71:D75)</f>
      </c>
      <c r="E76" s="125">
        <f>SUM(E71:E75)</f>
      </c>
      <c r="F76" s="125">
        <f>SUM(F71:F75)</f>
      </c>
      <c r="G76" s="125">
        <f>SUM(G71:G75)</f>
      </c>
      <c r="H76" s="126">
        <f t="shared" si="1"/>
      </c>
      <c r="I76" s="126">
        <f t="shared" si="0"/>
      </c>
      <c r="J76" s="126">
        <f t="shared" si="2"/>
      </c>
      <c r="K76" s="125">
        <f>SUM(K71:K75)</f>
      </c>
      <c r="L76" s="125">
        <f>SUM(L71:L75)</f>
      </c>
      <c r="M76" s="127"/>
      <c r="N76" s="128">
        <f>SUM(N71:N75)</f>
      </c>
      <c r="O76" s="127"/>
      <c r="P76" s="128">
        <f>SUM(P72:P75)</f>
      </c>
    </row>
    <row customHeight="true" ht="16.071428571428573" r="77">
      <c r="A77" s="129" t="s">
        <v>208</v>
      </c>
      <c r="B77" s="104" t="s">
        <v>173</v>
      </c>
      <c r="C77" s="105" t="s">
        <v>174</v>
      </c>
      <c r="D77" s="105">
        <v>1</v>
      </c>
      <c r="E77" s="106">
        <v>6</v>
      </c>
      <c r="F77" s="106">
        <v>9954</v>
      </c>
      <c r="G77" s="107">
        <v>4100.75</v>
      </c>
      <c r="H77" s="108">
        <f t="shared" si="1"/>
      </c>
      <c r="I77" s="108">
        <f t="shared" si="0"/>
      </c>
      <c r="J77" s="108">
        <f t="shared" si="2"/>
      </c>
      <c r="K77" s="106">
        <v>0</v>
      </c>
      <c r="L77" s="109">
        <v>0</v>
      </c>
      <c r="M77" s="110"/>
      <c r="N77" s="111"/>
      <c r="O77" s="112"/>
      <c r="P77" s="112"/>
    </row>
    <row customHeight="true" ht="16.071428571428573" r="78">
      <c r="A78" s="129" t="s">
        <v>208</v>
      </c>
      <c r="B78" s="104" t="s">
        <v>175</v>
      </c>
      <c r="C78" s="105" t="s">
        <v>176</v>
      </c>
      <c r="D78" s="105">
        <v>5</v>
      </c>
      <c r="E78" s="106">
        <v>14</v>
      </c>
      <c r="F78" s="106">
        <v>13735.2</v>
      </c>
      <c r="G78" s="107">
        <v>11498.73</v>
      </c>
      <c r="H78" s="108">
        <f t="shared" si="1"/>
      </c>
      <c r="I78" s="108">
        <f t="shared" si="0"/>
      </c>
      <c r="J78" s="108">
        <f t="shared" si="2"/>
      </c>
      <c r="K78" s="106">
        <v>7</v>
      </c>
      <c r="L78" s="109">
        <v>6600</v>
      </c>
      <c r="M78" s="110" t="s">
        <v>187</v>
      </c>
      <c r="N78" s="113">
        <v>7</v>
      </c>
      <c r="O78" s="114" t="s">
        <v>178</v>
      </c>
      <c r="P78" s="110">
        <v>4</v>
      </c>
    </row>
    <row customHeight="true" ht="16.071428571428573" r="79">
      <c r="A79" s="129" t="s">
        <v>208</v>
      </c>
      <c r="B79" s="104" t="s">
        <v>194</v>
      </c>
      <c r="C79" s="105" t="s">
        <v>180</v>
      </c>
      <c r="D79" s="105">
        <v>5</v>
      </c>
      <c r="E79" s="106">
        <v>12</v>
      </c>
      <c r="F79" s="107">
        <v>16498.56</v>
      </c>
      <c r="G79" s="107">
        <v>13070.86</v>
      </c>
      <c r="H79" s="108">
        <f t="shared" si="1"/>
      </c>
      <c r="I79" s="108">
        <f t="shared" si="0"/>
      </c>
      <c r="J79" s="108">
        <f t="shared" si="2"/>
      </c>
      <c r="K79" s="106">
        <v>2</v>
      </c>
      <c r="L79" s="109">
        <v>4418.4</v>
      </c>
      <c r="M79" s="110" t="s">
        <v>185</v>
      </c>
      <c r="N79" s="115">
        <v>9</v>
      </c>
      <c r="O79" s="114" t="s">
        <v>182</v>
      </c>
      <c r="P79" s="110">
        <v>12</v>
      </c>
    </row>
    <row customHeight="true" ht="16.071428571428573" r="80">
      <c r="A80" s="129" t="s">
        <v>208</v>
      </c>
      <c r="B80" s="104" t="s">
        <v>179</v>
      </c>
      <c r="C80" s="105" t="s">
        <v>184</v>
      </c>
      <c r="D80" s="105">
        <v>4</v>
      </c>
      <c r="E80" s="106">
        <v>31</v>
      </c>
      <c r="F80" s="107">
        <v>33474</v>
      </c>
      <c r="G80" s="110">
        <v>21505.06</v>
      </c>
      <c r="H80" s="108">
        <f t="shared" si="1"/>
      </c>
      <c r="I80" s="108">
        <f t="shared" si="0"/>
      </c>
      <c r="J80" s="108">
        <f t="shared" si="2"/>
      </c>
      <c r="K80" s="106">
        <v>10</v>
      </c>
      <c r="L80" s="109">
        <v>9978</v>
      </c>
      <c r="M80" s="110" t="s">
        <v>181</v>
      </c>
      <c r="N80" s="115">
        <v>8</v>
      </c>
      <c r="O80" s="116" t="s">
        <v>178</v>
      </c>
      <c r="P80" s="110">
        <v>8</v>
      </c>
    </row>
    <row customHeight="true" ht="16.071428571428573" r="81">
      <c r="A81" s="129" t="s">
        <v>208</v>
      </c>
      <c r="B81" s="104" t="s">
        <v>183</v>
      </c>
      <c r="C81" s="105" t="s">
        <v>186</v>
      </c>
      <c r="D81" s="105">
        <v>5</v>
      </c>
      <c r="E81" s="106">
        <v>23</v>
      </c>
      <c r="F81" s="106">
        <v>32095</v>
      </c>
      <c r="G81" s="107">
        <v>20106.81</v>
      </c>
      <c r="H81" s="108">
        <f t="shared" si="1"/>
      </c>
      <c r="I81" s="108">
        <f t="shared" si="0"/>
      </c>
      <c r="J81" s="108">
        <f t="shared" si="2"/>
      </c>
      <c r="K81" s="106">
        <v>6</v>
      </c>
      <c r="L81" s="109">
        <v>10350</v>
      </c>
      <c r="M81" s="110"/>
      <c r="N81" s="113"/>
      <c r="O81" s="110"/>
      <c r="P81" s="114"/>
    </row>
    <row customHeight="true" ht="16.071428571428573" r="82">
      <c r="A82" s="129" t="s">
        <v>208</v>
      </c>
      <c r="B82" s="104" t="s">
        <v>173</v>
      </c>
      <c r="C82" s="105" t="s">
        <v>195</v>
      </c>
      <c r="D82" s="105">
        <v>4</v>
      </c>
      <c r="E82" s="106">
        <v>29</v>
      </c>
      <c r="F82" s="106">
        <v>32201.08</v>
      </c>
      <c r="G82" s="107">
        <v>23414.13</v>
      </c>
      <c r="H82" s="108">
        <f t="shared" si="1"/>
      </c>
      <c r="I82" s="108">
        <f t="shared" si="0"/>
      </c>
      <c r="J82" s="108">
        <f t="shared" si="2"/>
      </c>
      <c r="K82" s="106">
        <v>4</v>
      </c>
      <c r="L82" s="109">
        <v>2940</v>
      </c>
      <c r="M82" s="114"/>
      <c r="N82" s="117"/>
      <c r="O82" s="114"/>
      <c r="P82" s="114"/>
    </row>
    <row customHeight="true" ht="16.071428571428573" r="83">
      <c r="A83" s="122" t="s">
        <v>208</v>
      </c>
      <c r="B83" s="123" t="s">
        <v>192</v>
      </c>
      <c r="C83" s="124"/>
      <c r="D83" s="125">
        <f>SUM(D77:D82)</f>
      </c>
      <c r="E83" s="125">
        <f>SUM(E77:E82)</f>
      </c>
      <c r="F83" s="125">
        <f>SUM(F77:F82)</f>
      </c>
      <c r="G83" s="125">
        <f>SUM(G77:G82)</f>
      </c>
      <c r="H83" s="126">
        <f t="shared" si="1"/>
      </c>
      <c r="I83" s="126">
        <f t="shared" si="0"/>
      </c>
      <c r="J83" s="126">
        <f t="shared" si="2"/>
      </c>
      <c r="K83" s="125">
        <f>SUM(K77:K82)</f>
      </c>
      <c r="L83" s="125">
        <f>SUM(L77:L82)</f>
      </c>
      <c r="M83" s="127"/>
      <c r="N83" s="128">
        <f>SUM(N77:N82)</f>
      </c>
      <c r="O83" s="127"/>
      <c r="P83" s="128">
        <f>SUM(P78:P82)</f>
      </c>
    </row>
    <row customHeight="true" ht="16.071428571428573" r="84">
      <c r="A84" s="129" t="s">
        <v>209</v>
      </c>
      <c r="B84" s="104" t="s">
        <v>173</v>
      </c>
      <c r="C84" s="105" t="s">
        <v>174</v>
      </c>
      <c r="D84" s="105">
        <v>1</v>
      </c>
      <c r="E84" s="106">
        <v>16</v>
      </c>
      <c r="F84" s="106">
        <v>14512.8</v>
      </c>
      <c r="G84" s="107">
        <v>6858.23</v>
      </c>
      <c r="H84" s="108">
        <f t="shared" si="1"/>
      </c>
      <c r="I84" s="108">
        <f t="shared" si="0"/>
      </c>
      <c r="J84" s="108">
        <f t="shared" si="2"/>
      </c>
      <c r="K84" s="106">
        <v>8</v>
      </c>
      <c r="L84" s="109">
        <v>8846.4</v>
      </c>
      <c r="M84" s="110"/>
      <c r="N84" s="111"/>
      <c r="O84" s="112"/>
      <c r="P84" s="112"/>
    </row>
    <row customHeight="true" ht="16.071428571428573" r="85">
      <c r="A85" s="129" t="s">
        <v>209</v>
      </c>
      <c r="B85" s="104" t="s">
        <v>190</v>
      </c>
      <c r="C85" s="105" t="s">
        <v>176</v>
      </c>
      <c r="D85" s="105">
        <v>5</v>
      </c>
      <c r="E85" s="106">
        <v>22</v>
      </c>
      <c r="F85" s="106">
        <v>22383.35</v>
      </c>
      <c r="G85" s="107">
        <v>18348.5</v>
      </c>
      <c r="H85" s="108">
        <f t="shared" si="1"/>
      </c>
      <c r="I85" s="108">
        <f t="shared" si="0"/>
      </c>
      <c r="J85" s="108">
        <f t="shared" si="2"/>
      </c>
      <c r="K85" s="106">
        <v>6</v>
      </c>
      <c r="L85" s="109">
        <v>7339.2</v>
      </c>
      <c r="M85" s="110" t="s">
        <v>187</v>
      </c>
      <c r="N85" s="113">
        <v>7</v>
      </c>
      <c r="O85" s="114" t="s">
        <v>178</v>
      </c>
      <c r="P85" s="110">
        <v>4</v>
      </c>
    </row>
    <row customHeight="true" ht="16.071428571428573" r="86">
      <c r="A86" s="129" t="s">
        <v>209</v>
      </c>
      <c r="B86" s="104" t="s">
        <v>194</v>
      </c>
      <c r="C86" s="105" t="s">
        <v>180</v>
      </c>
      <c r="D86" s="105">
        <v>5</v>
      </c>
      <c r="E86" s="106">
        <v>19</v>
      </c>
      <c r="F86" s="107">
        <v>23368.8</v>
      </c>
      <c r="G86" s="107">
        <v>17620.45</v>
      </c>
      <c r="H86" s="108">
        <f t="shared" si="1"/>
      </c>
      <c r="I86" s="108">
        <f t="shared" si="0"/>
      </c>
      <c r="J86" s="108">
        <f t="shared" si="2"/>
      </c>
      <c r="K86" s="106">
        <v>3</v>
      </c>
      <c r="L86" s="109">
        <v>5181.6</v>
      </c>
      <c r="M86" s="110" t="s">
        <v>185</v>
      </c>
      <c r="N86" s="115">
        <v>9</v>
      </c>
      <c r="O86" s="114" t="s">
        <v>182</v>
      </c>
      <c r="P86" s="110">
        <v>12</v>
      </c>
    </row>
    <row customHeight="true" ht="16.071428571428573" r="87">
      <c r="A87" s="129" t="s">
        <v>209</v>
      </c>
      <c r="B87" s="104" t="s">
        <v>179</v>
      </c>
      <c r="C87" s="105" t="s">
        <v>184</v>
      </c>
      <c r="D87" s="105">
        <v>4</v>
      </c>
      <c r="E87" s="106">
        <v>21</v>
      </c>
      <c r="F87" s="107">
        <v>26854.4</v>
      </c>
      <c r="G87" s="110">
        <v>15616.53</v>
      </c>
      <c r="H87" s="108">
        <f t="shared" si="1"/>
      </c>
      <c r="I87" s="108">
        <f t="shared" si="0"/>
      </c>
      <c r="J87" s="108">
        <f t="shared" si="2"/>
      </c>
      <c r="K87" s="106">
        <v>7</v>
      </c>
      <c r="L87" s="109">
        <v>7932</v>
      </c>
      <c r="M87" s="110" t="s">
        <v>181</v>
      </c>
      <c r="N87" s="115">
        <v>8</v>
      </c>
      <c r="O87" s="116" t="s">
        <v>178</v>
      </c>
      <c r="P87" s="110">
        <v>8</v>
      </c>
    </row>
    <row customHeight="true" ht="16.071428571428573" r="88">
      <c r="A88" s="129" t="s">
        <v>209</v>
      </c>
      <c r="B88" s="104" t="s">
        <v>183</v>
      </c>
      <c r="C88" s="105" t="s">
        <v>186</v>
      </c>
      <c r="D88" s="105">
        <v>5</v>
      </c>
      <c r="E88" s="106">
        <v>22</v>
      </c>
      <c r="F88" s="106">
        <v>34768.799999999996</v>
      </c>
      <c r="G88" s="107">
        <v>19615.42</v>
      </c>
      <c r="H88" s="108">
        <f t="shared" si="1"/>
      </c>
      <c r="I88" s="108">
        <f t="shared" si="0"/>
      </c>
      <c r="J88" s="108">
        <f t="shared" si="2"/>
      </c>
      <c r="K88" s="106">
        <v>5</v>
      </c>
      <c r="L88" s="109">
        <v>9783.6</v>
      </c>
      <c r="M88" s="110"/>
      <c r="N88" s="113"/>
      <c r="O88" s="110"/>
      <c r="P88" s="114"/>
    </row>
    <row customHeight="true" ht="16.071428571428573" r="89">
      <c r="A89" s="129" t="s">
        <v>209</v>
      </c>
      <c r="B89" s="104" t="s">
        <v>173</v>
      </c>
      <c r="C89" s="105" t="s">
        <v>195</v>
      </c>
      <c r="D89" s="105">
        <v>4</v>
      </c>
      <c r="E89" s="106">
        <v>23</v>
      </c>
      <c r="F89" s="106">
        <v>30452.4</v>
      </c>
      <c r="G89" s="107">
        <v>20315.47</v>
      </c>
      <c r="H89" s="108">
        <f t="shared" si="1"/>
      </c>
      <c r="I89" s="108">
        <f t="shared" si="0"/>
      </c>
      <c r="J89" s="108">
        <f t="shared" si="2"/>
      </c>
      <c r="K89" s="106">
        <v>3</v>
      </c>
      <c r="L89" s="109">
        <v>4118.4</v>
      </c>
      <c r="M89" s="114"/>
      <c r="N89" s="117"/>
      <c r="O89" s="114"/>
      <c r="P89" s="114"/>
    </row>
    <row customHeight="true" ht="16.071428571428573" r="90">
      <c r="A90" s="122" t="s">
        <v>209</v>
      </c>
      <c r="B90" s="123" t="s">
        <v>192</v>
      </c>
      <c r="C90" s="124"/>
      <c r="D90" s="125">
        <f>SUM(D84:D89)</f>
      </c>
      <c r="E90" s="125">
        <f>SUM(E84:E89)</f>
      </c>
      <c r="F90" s="125">
        <f>SUM(F84:F89)</f>
      </c>
      <c r="G90" s="125">
        <f>SUM(G84:G89)</f>
      </c>
      <c r="H90" s="126">
        <f t="shared" si="1"/>
      </c>
      <c r="I90" s="126">
        <f t="shared" si="0"/>
      </c>
      <c r="J90" s="126">
        <f t="shared" si="2"/>
      </c>
      <c r="K90" s="125">
        <f>SUM(K84:K89)</f>
      </c>
      <c r="L90" s="125">
        <f>SUM(L84:L89)</f>
      </c>
      <c r="M90" s="127"/>
      <c r="N90" s="128">
        <f>SUM(N84:N89)</f>
      </c>
      <c r="O90" s="127"/>
      <c r="P90" s="128">
        <f>SUM(P85:P89)</f>
      </c>
    </row>
    <row customHeight="true" ht="16.071428571428573" r="91">
      <c r="A91" s="129" t="s">
        <v>210</v>
      </c>
      <c r="B91" s="104" t="s">
        <v>173</v>
      </c>
      <c r="C91" s="105" t="s">
        <v>174</v>
      </c>
      <c r="D91" s="105">
        <v>1</v>
      </c>
      <c r="E91" s="106">
        <v>5</v>
      </c>
      <c r="F91" s="106">
        <v>3385.2</v>
      </c>
      <c r="G91" s="107">
        <v>3763.53</v>
      </c>
      <c r="H91" s="108">
        <f t="shared" si="1"/>
      </c>
      <c r="I91" s="108">
        <f t="shared" si="0"/>
      </c>
      <c r="J91" s="108">
        <f t="shared" si="2"/>
      </c>
      <c r="K91" s="106">
        <v>0</v>
      </c>
      <c r="L91" s="109">
        <v>0</v>
      </c>
      <c r="M91" s="110"/>
      <c r="N91" s="111"/>
      <c r="O91" s="112"/>
      <c r="P91" s="112"/>
    </row>
    <row customHeight="true" ht="16.071428571428573" r="92">
      <c r="A92" s="129" t="s">
        <v>210</v>
      </c>
      <c r="B92" s="104" t="s">
        <v>190</v>
      </c>
      <c r="C92" s="105" t="s">
        <v>176</v>
      </c>
      <c r="D92" s="105">
        <v>5</v>
      </c>
      <c r="E92" s="106">
        <v>28</v>
      </c>
      <c r="F92" s="106">
        <v>24002.9</v>
      </c>
      <c r="G92" s="107">
        <v>17310.16</v>
      </c>
      <c r="H92" s="108">
        <f t="shared" si="1"/>
      </c>
      <c r="I92" s="108">
        <f t="shared" si="0"/>
      </c>
      <c r="J92" s="108">
        <f t="shared" si="2"/>
      </c>
      <c r="K92" s="106">
        <v>8</v>
      </c>
      <c r="L92" s="109">
        <v>8318.4</v>
      </c>
      <c r="M92" s="110" t="s">
        <v>187</v>
      </c>
      <c r="N92" s="113">
        <v>7</v>
      </c>
      <c r="O92" s="114" t="s">
        <v>178</v>
      </c>
      <c r="P92" s="110">
        <v>4</v>
      </c>
    </row>
    <row customHeight="true" ht="16.071428571428573" r="93">
      <c r="A93" s="129" t="s">
        <v>210</v>
      </c>
      <c r="B93" s="104" t="s">
        <v>183</v>
      </c>
      <c r="C93" s="105" t="s">
        <v>180</v>
      </c>
      <c r="D93" s="105">
        <v>5</v>
      </c>
      <c r="E93" s="106">
        <v>20</v>
      </c>
      <c r="F93" s="107">
        <v>22753.2</v>
      </c>
      <c r="G93" s="107">
        <v>21002.19</v>
      </c>
      <c r="H93" s="108">
        <f t="shared" si="1"/>
      </c>
      <c r="I93" s="108">
        <f t="shared" si="0"/>
      </c>
      <c r="J93" s="108">
        <f t="shared" si="2"/>
      </c>
      <c r="K93" s="106">
        <v>5</v>
      </c>
      <c r="L93" s="109">
        <v>4918.8</v>
      </c>
      <c r="M93" s="110" t="s">
        <v>185</v>
      </c>
      <c r="N93" s="115">
        <v>9</v>
      </c>
      <c r="O93" s="114" t="s">
        <v>182</v>
      </c>
      <c r="P93" s="110">
        <v>12</v>
      </c>
    </row>
    <row r="94">
      <c r="A94" s="129" t="s">
        <v>210</v>
      </c>
      <c r="B94" s="104" t="s">
        <v>173</v>
      </c>
      <c r="C94" s="105" t="s">
        <v>184</v>
      </c>
      <c r="D94" s="105">
        <v>4</v>
      </c>
      <c r="E94" s="106">
        <v>20</v>
      </c>
      <c r="F94" s="107">
        <v>21703.48</v>
      </c>
      <c r="G94" s="110">
        <v>19435.61</v>
      </c>
      <c r="H94" s="108">
        <f t="shared" si="1"/>
      </c>
      <c r="I94" s="108">
        <f t="shared" si="0"/>
      </c>
      <c r="J94" s="108">
        <f t="shared" si="2"/>
      </c>
      <c r="K94" s="106">
        <v>2</v>
      </c>
      <c r="L94" s="109">
        <v>2107.2</v>
      </c>
      <c r="M94" s="110" t="s">
        <v>181</v>
      </c>
      <c r="N94" s="115">
        <v>8</v>
      </c>
      <c r="O94" s="116" t="s">
        <v>178</v>
      </c>
      <c r="P94" s="110">
        <v>8</v>
      </c>
    </row>
    <row customHeight="true" ht="16.071428571428573" r="95">
      <c r="A95" s="129" t="s">
        <v>210</v>
      </c>
      <c r="B95" s="104" t="s">
        <v>175</v>
      </c>
      <c r="C95" s="105" t="s">
        <v>186</v>
      </c>
      <c r="D95" s="105">
        <v>5</v>
      </c>
      <c r="E95" s="106">
        <v>17</v>
      </c>
      <c r="F95" s="106">
        <v>25826.399999999998</v>
      </c>
      <c r="G95" s="107">
        <v>20154.62</v>
      </c>
      <c r="H95" s="108">
        <f t="shared" si="1"/>
      </c>
      <c r="I95" s="108">
        <f t="shared" si="0"/>
      </c>
      <c r="J95" s="108">
        <f t="shared" si="2"/>
      </c>
      <c r="K95" s="106">
        <v>4</v>
      </c>
      <c r="L95" s="109">
        <v>4948.8</v>
      </c>
      <c r="M95" s="110"/>
      <c r="N95" s="113"/>
      <c r="O95" s="110"/>
      <c r="P95" s="114"/>
    </row>
    <row customHeight="true" ht="16.071428571428573" r="96">
      <c r="A96" s="129" t="s">
        <v>210</v>
      </c>
      <c r="B96" s="104" t="s">
        <v>190</v>
      </c>
      <c r="C96" s="105" t="s">
        <v>195</v>
      </c>
      <c r="D96" s="105">
        <v>4</v>
      </c>
      <c r="E96" s="106">
        <v>21</v>
      </c>
      <c r="F96" s="106">
        <v>20260.8</v>
      </c>
      <c r="G96" s="107">
        <v>20882.91</v>
      </c>
      <c r="H96" s="108">
        <f t="shared" si="1"/>
      </c>
      <c r="I96" s="108">
        <f t="shared" si="0"/>
      </c>
      <c r="J96" s="108">
        <f t="shared" si="2"/>
      </c>
      <c r="K96" s="106">
        <v>3</v>
      </c>
      <c r="L96" s="109">
        <v>982.8</v>
      </c>
      <c r="M96" s="114"/>
      <c r="N96" s="117"/>
      <c r="O96" s="114"/>
      <c r="P96" s="114"/>
    </row>
    <row customHeight="true" ht="16.071428571428573" r="97">
      <c r="A97" s="122" t="s">
        <v>210</v>
      </c>
      <c r="B97" s="123" t="s">
        <v>192</v>
      </c>
      <c r="C97" s="124"/>
      <c r="D97" s="125">
        <f>SUM(D91:D96)</f>
      </c>
      <c r="E97" s="125">
        <f>SUM(E91:E96)</f>
      </c>
      <c r="F97" s="125">
        <f>SUM(F91:F96)</f>
      </c>
      <c r="G97" s="125">
        <f>SUM(G91:G96)</f>
      </c>
      <c r="H97" s="126">
        <f t="shared" si="1"/>
      </c>
      <c r="I97" s="126">
        <f t="shared" si="0"/>
      </c>
      <c r="J97" s="126">
        <f t="shared" si="2"/>
      </c>
      <c r="K97" s="125">
        <f>SUM(K91:K96)</f>
      </c>
      <c r="L97" s="125">
        <f>SUM(L91:L96)</f>
      </c>
      <c r="M97" s="127"/>
      <c r="N97" s="128">
        <f>SUM(N91:N96)</f>
      </c>
      <c r="O97" s="127"/>
      <c r="P97" s="128">
        <f>SUM(P92:P96)</f>
      </c>
    </row>
    <row customHeight="true" ht="16.071428571428573" r="98">
      <c r="A98" s="129" t="s">
        <v>211</v>
      </c>
      <c r="B98" s="104" t="s">
        <v>190</v>
      </c>
      <c r="C98" s="105" t="s">
        <v>174</v>
      </c>
      <c r="D98" s="105">
        <v>1</v>
      </c>
      <c r="E98" s="106">
        <v>0</v>
      </c>
      <c r="F98" s="106">
        <v>0</v>
      </c>
      <c r="G98" s="107">
        <v>4832.32</v>
      </c>
      <c r="H98" s="108">
        <f t="shared" si="1"/>
      </c>
      <c r="I98" s="108">
        <f t="shared" si="0"/>
      </c>
      <c r="J98" s="108">
        <f t="shared" si="2"/>
      </c>
      <c r="K98" s="106">
        <v>0</v>
      </c>
      <c r="L98" s="109">
        <v>0</v>
      </c>
      <c r="M98" s="110"/>
      <c r="N98" s="111"/>
      <c r="O98" s="112"/>
      <c r="P98" s="112"/>
    </row>
    <row customHeight="true" ht="16.071428571428573" r="99">
      <c r="A99" s="129" t="s">
        <v>211</v>
      </c>
      <c r="B99" s="104" t="s">
        <v>179</v>
      </c>
      <c r="C99" s="105" t="s">
        <v>176</v>
      </c>
      <c r="D99" s="105">
        <v>5</v>
      </c>
      <c r="E99" s="106">
        <v>9</v>
      </c>
      <c r="F99" s="106">
        <v>10153.8</v>
      </c>
      <c r="G99" s="107">
        <v>9842.02</v>
      </c>
      <c r="H99" s="108">
        <f t="shared" si="1"/>
      </c>
      <c r="I99" s="108">
        <f t="shared" si="0"/>
      </c>
      <c r="J99" s="108">
        <f t="shared" si="2"/>
      </c>
      <c r="K99" s="106">
        <v>4</v>
      </c>
      <c r="L99" s="109">
        <v>5322.6</v>
      </c>
      <c r="M99" s="110" t="s">
        <v>187</v>
      </c>
      <c r="N99" s="113">
        <v>7</v>
      </c>
      <c r="O99" s="114" t="s">
        <v>178</v>
      </c>
      <c r="P99" s="110">
        <v>4</v>
      </c>
    </row>
    <row customHeight="true" ht="16.071428571428573" r="100">
      <c r="A100" s="129" t="s">
        <v>211</v>
      </c>
      <c r="B100" s="104" t="s">
        <v>183</v>
      </c>
      <c r="C100" s="105" t="s">
        <v>180</v>
      </c>
      <c r="D100" s="105">
        <v>5</v>
      </c>
      <c r="E100" s="106">
        <v>5</v>
      </c>
      <c r="F100" s="107">
        <v>8172</v>
      </c>
      <c r="G100" s="107">
        <v>11405.92</v>
      </c>
      <c r="H100" s="108">
        <f t="shared" si="1"/>
      </c>
      <c r="I100" s="108">
        <f t="shared" si="0"/>
      </c>
      <c r="J100" s="108">
        <f t="shared" si="2"/>
      </c>
      <c r="K100" s="106">
        <v>0</v>
      </c>
      <c r="L100" s="109">
        <v>0</v>
      </c>
      <c r="M100" s="110" t="s">
        <v>185</v>
      </c>
      <c r="N100" s="115">
        <v>9</v>
      </c>
      <c r="O100" s="114" t="s">
        <v>182</v>
      </c>
      <c r="P100" s="110">
        <v>12</v>
      </c>
    </row>
    <row customHeight="true" ht="16.071428571428573" r="101">
      <c r="A101" s="129" t="s">
        <v>211</v>
      </c>
      <c r="B101" s="104" t="s">
        <v>173</v>
      </c>
      <c r="C101" s="105" t="s">
        <v>184</v>
      </c>
      <c r="D101" s="105">
        <v>4</v>
      </c>
      <c r="E101" s="106">
        <v>5</v>
      </c>
      <c r="F101" s="107">
        <v>5816.2</v>
      </c>
      <c r="G101" s="110">
        <v>6840.08</v>
      </c>
      <c r="H101" s="108">
        <f t="shared" si="1"/>
      </c>
      <c r="I101" s="108">
        <f t="shared" si="0"/>
      </c>
      <c r="J101" s="108">
        <f t="shared" si="2"/>
      </c>
      <c r="K101" s="106">
        <v>2</v>
      </c>
      <c r="L101" s="109">
        <v>2647.2</v>
      </c>
      <c r="M101" s="110" t="s">
        <v>181</v>
      </c>
      <c r="N101" s="115">
        <v>8</v>
      </c>
      <c r="O101" s="116" t="s">
        <v>178</v>
      </c>
      <c r="P101" s="110">
        <v>8</v>
      </c>
    </row>
    <row customHeight="true" ht="16.071428571428573" r="102">
      <c r="A102" s="129" t="s">
        <v>211</v>
      </c>
      <c r="B102" s="104" t="s">
        <v>175</v>
      </c>
      <c r="C102" s="105" t="s">
        <v>186</v>
      </c>
      <c r="D102" s="105">
        <v>5</v>
      </c>
      <c r="E102" s="106">
        <v>14</v>
      </c>
      <c r="F102" s="106">
        <v>15592.8</v>
      </c>
      <c r="G102" s="107">
        <v>8535.569999999998</v>
      </c>
      <c r="H102" s="108">
        <f t="shared" si="1"/>
      </c>
      <c r="I102" s="108">
        <f t="shared" si="0"/>
      </c>
      <c r="J102" s="108">
        <f t="shared" si="2"/>
      </c>
      <c r="K102" s="106">
        <v>5</v>
      </c>
      <c r="L102" s="109">
        <v>5220.6</v>
      </c>
      <c r="M102" s="110"/>
      <c r="N102" s="113"/>
      <c r="O102" s="110"/>
      <c r="P102" s="114"/>
    </row>
    <row customHeight="true" ht="16.071428571428573" r="103">
      <c r="A103" s="129" t="s">
        <v>211</v>
      </c>
      <c r="B103" s="104" t="s">
        <v>190</v>
      </c>
      <c r="C103" s="105" t="s">
        <v>195</v>
      </c>
      <c r="D103" s="105">
        <v>4</v>
      </c>
      <c r="E103" s="106">
        <v>4</v>
      </c>
      <c r="F103" s="106">
        <v>6093.6</v>
      </c>
      <c r="G103" s="107">
        <v>4885.49</v>
      </c>
      <c r="H103" s="108">
        <f t="shared" si="1"/>
      </c>
      <c r="I103" s="108">
        <f t="shared" si="0"/>
      </c>
      <c r="J103" s="108">
        <f t="shared" si="2"/>
      </c>
      <c r="K103" s="106">
        <v>0</v>
      </c>
      <c r="L103" s="109">
        <v>0</v>
      </c>
      <c r="M103" s="114"/>
      <c r="N103" s="117"/>
      <c r="O103" s="114"/>
      <c r="P103" s="114"/>
    </row>
    <row customHeight="true" ht="16.071428571428573" r="104">
      <c r="A104" s="122" t="s">
        <v>211</v>
      </c>
      <c r="B104" s="123" t="s">
        <v>192</v>
      </c>
      <c r="C104" s="124"/>
      <c r="D104" s="125">
        <f>SUM(D98:D103)</f>
      </c>
      <c r="E104" s="125">
        <f>SUM(E98:E103)</f>
      </c>
      <c r="F104" s="125">
        <f>SUM(F98:F103)</f>
      </c>
      <c r="G104" s="125">
        <f>SUM(G98:G103)</f>
      </c>
      <c r="H104" s="126">
        <f t="shared" si="1"/>
      </c>
      <c r="I104" s="126">
        <f t="shared" si="0"/>
      </c>
      <c r="J104" s="126">
        <f t="shared" si="2"/>
      </c>
      <c r="K104" s="125">
        <f>SUM(K98:K103)</f>
      </c>
      <c r="L104" s="125">
        <f>SUM(L98:L103)</f>
      </c>
      <c r="M104" s="127"/>
      <c r="N104" s="128">
        <f>SUM(N98:N103)</f>
      </c>
      <c r="O104" s="127"/>
      <c r="P104" s="128">
        <f>SUM(P99:P103)</f>
      </c>
    </row>
    <row customHeight="true" ht="16.071428571428573" r="105">
      <c r="A105" s="129" t="s">
        <v>212</v>
      </c>
      <c r="B105" s="104" t="s">
        <v>190</v>
      </c>
      <c r="C105" s="105" t="s">
        <v>174</v>
      </c>
      <c r="D105" s="105">
        <v>1</v>
      </c>
      <c r="E105" s="106">
        <v>1</v>
      </c>
      <c r="F105" s="106">
        <v>396</v>
      </c>
      <c r="G105" s="107">
        <v>2198.96</v>
      </c>
      <c r="H105" s="108">
        <f t="shared" si="1"/>
      </c>
      <c r="I105" s="108">
        <f t="shared" si="0"/>
      </c>
      <c r="J105" s="108">
        <f t="shared" si="2"/>
      </c>
      <c r="K105" s="106">
        <v>1</v>
      </c>
      <c r="L105" s="109">
        <v>396</v>
      </c>
      <c r="M105" s="110"/>
      <c r="N105" s="111"/>
      <c r="O105" s="112"/>
      <c r="P105" s="112"/>
    </row>
    <row customHeight="true" ht="16.071428571428573" r="106">
      <c r="A106" s="129" t="s">
        <v>212</v>
      </c>
      <c r="B106" s="104" t="s">
        <v>179</v>
      </c>
      <c r="C106" s="105" t="s">
        <v>176</v>
      </c>
      <c r="D106" s="105">
        <v>5</v>
      </c>
      <c r="E106" s="106">
        <v>23</v>
      </c>
      <c r="F106" s="106">
        <v>23225.1</v>
      </c>
      <c r="G106" s="107">
        <v>16175.21</v>
      </c>
      <c r="H106" s="108">
        <f t="shared" si="1"/>
      </c>
      <c r="I106" s="108">
        <f t="shared" si="0"/>
      </c>
      <c r="J106" s="108">
        <f t="shared" si="2"/>
      </c>
      <c r="K106" s="106">
        <v>8</v>
      </c>
      <c r="L106" s="109">
        <v>6800.7</v>
      </c>
      <c r="M106" s="110" t="s">
        <v>187</v>
      </c>
      <c r="N106" s="113">
        <v>7</v>
      </c>
      <c r="O106" s="114" t="s">
        <v>178</v>
      </c>
      <c r="P106" s="110">
        <v>4</v>
      </c>
    </row>
    <row customHeight="true" ht="16.071428571428573" r="107">
      <c r="A107" s="129" t="s">
        <v>212</v>
      </c>
      <c r="B107" s="104" t="s">
        <v>173</v>
      </c>
      <c r="C107" s="105" t="s">
        <v>180</v>
      </c>
      <c r="D107" s="105">
        <v>5</v>
      </c>
      <c r="E107" s="106">
        <v>28</v>
      </c>
      <c r="F107" s="107">
        <v>40068.2</v>
      </c>
      <c r="G107" s="107">
        <v>21607.73</v>
      </c>
      <c r="H107" s="108">
        <f t="shared" si="1"/>
      </c>
      <c r="I107" s="108">
        <f t="shared" si="0"/>
      </c>
      <c r="J107" s="108">
        <f t="shared" si="2"/>
      </c>
      <c r="K107" s="106">
        <v>5</v>
      </c>
      <c r="L107" s="109">
        <v>10180.8</v>
      </c>
      <c r="M107" s="110" t="s">
        <v>185</v>
      </c>
      <c r="N107" s="115">
        <v>10</v>
      </c>
      <c r="O107" s="114" t="s">
        <v>182</v>
      </c>
      <c r="P107" s="110">
        <v>12</v>
      </c>
    </row>
    <row customHeight="true" ht="16.071428571428573" r="108">
      <c r="A108" s="129" t="s">
        <v>212</v>
      </c>
      <c r="B108" s="104" t="s">
        <v>175</v>
      </c>
      <c r="C108" s="105" t="s">
        <v>184</v>
      </c>
      <c r="D108" s="105">
        <v>4</v>
      </c>
      <c r="E108" s="106">
        <v>12</v>
      </c>
      <c r="F108" s="107">
        <v>12333.6</v>
      </c>
      <c r="G108" s="110">
        <v>16368.21</v>
      </c>
      <c r="H108" s="108">
        <f t="shared" si="1"/>
      </c>
      <c r="I108" s="108">
        <f t="shared" si="0"/>
      </c>
      <c r="J108" s="108">
        <f t="shared" si="2"/>
      </c>
      <c r="K108" s="106">
        <v>4</v>
      </c>
      <c r="L108" s="109">
        <v>4466.4</v>
      </c>
      <c r="M108" s="110" t="s">
        <v>181</v>
      </c>
      <c r="N108" s="115">
        <v>7</v>
      </c>
      <c r="O108" s="114" t="s">
        <v>182</v>
      </c>
      <c r="P108" s="110">
        <v>8</v>
      </c>
    </row>
    <row customHeight="true" ht="16.071428571428573" r="109">
      <c r="A109" s="129" t="s">
        <v>212</v>
      </c>
      <c r="B109" s="104" t="s">
        <v>190</v>
      </c>
      <c r="C109" s="105" t="s">
        <v>186</v>
      </c>
      <c r="D109" s="105">
        <v>5</v>
      </c>
      <c r="E109" s="106">
        <v>4</v>
      </c>
      <c r="F109" s="106">
        <v>3713.9999999999973</v>
      </c>
      <c r="G109" s="107">
        <v>7885.23</v>
      </c>
      <c r="H109" s="108">
        <f t="shared" si="1"/>
      </c>
      <c r="I109" s="108">
        <f t="shared" si="0"/>
      </c>
      <c r="J109" s="108">
        <f t="shared" si="2"/>
      </c>
      <c r="K109" s="106">
        <v>2</v>
      </c>
      <c r="L109" s="109">
        <v>1872</v>
      </c>
      <c r="M109" s="110"/>
      <c r="N109" s="113"/>
      <c r="O109" s="110" t="s">
        <v>178</v>
      </c>
      <c r="P109" s="114"/>
    </row>
    <row customHeight="true" ht="16.071428571428573" r="110">
      <c r="A110" s="129" t="s">
        <v>212</v>
      </c>
      <c r="B110" s="104" t="s">
        <v>179</v>
      </c>
      <c r="C110" s="105" t="s">
        <v>195</v>
      </c>
      <c r="D110" s="105">
        <v>4</v>
      </c>
      <c r="E110" s="106">
        <v>19</v>
      </c>
      <c r="F110" s="106">
        <v>22581.600000000006</v>
      </c>
      <c r="G110" s="107">
        <v>14272.44</v>
      </c>
      <c r="H110" s="108">
        <f t="shared" si="1"/>
      </c>
      <c r="I110" s="108">
        <f t="shared" si="0"/>
      </c>
      <c r="J110" s="108">
        <f t="shared" si="2"/>
      </c>
      <c r="K110" s="106">
        <v>3</v>
      </c>
      <c r="L110" s="109">
        <v>4041.6</v>
      </c>
      <c r="M110" s="114"/>
      <c r="N110" s="117"/>
      <c r="O110" s="114"/>
      <c r="P110" s="114"/>
    </row>
    <row customHeight="true" ht="16.071428571428573" r="111">
      <c r="A111" s="122" t="s">
        <v>212</v>
      </c>
      <c r="B111" s="123" t="s">
        <v>192</v>
      </c>
      <c r="C111" s="124"/>
      <c r="D111" s="125">
        <f>SUM(D105:D110)</f>
      </c>
      <c r="E111" s="125">
        <f>SUM(E105:E110)</f>
      </c>
      <c r="F111" s="125">
        <f>SUM(F105:F110)</f>
      </c>
      <c r="G111" s="125">
        <f>SUM(G105:G110)</f>
      </c>
      <c r="H111" s="126">
        <f t="shared" si="1"/>
      </c>
      <c r="I111" s="126">
        <f t="shared" si="0"/>
      </c>
      <c r="J111" s="126">
        <f t="shared" si="2"/>
      </c>
      <c r="K111" s="125">
        <f>SUM(K105:K110)</f>
      </c>
      <c r="L111" s="125">
        <f>SUM(L105:L110)</f>
      </c>
      <c r="M111" s="127"/>
      <c r="N111" s="128">
        <f>SUM(N105:N110)</f>
      </c>
      <c r="O111" s="127"/>
      <c r="P111" s="128">
        <f>SUM(P106:P110)</f>
      </c>
    </row>
    <row customHeight="true" ht="16.071428571428573" r="112">
      <c r="A112" s="103" t="s">
        <v>213</v>
      </c>
      <c r="B112" s="130" t="s">
        <v>179</v>
      </c>
      <c r="C112" s="131" t="s">
        <v>174</v>
      </c>
      <c r="D112" s="131">
        <v>1</v>
      </c>
      <c r="E112" s="132">
        <v>5</v>
      </c>
      <c r="F112" s="132">
        <v>6559.2</v>
      </c>
      <c r="G112" s="132">
        <v>4084.89</v>
      </c>
      <c r="H112" s="108">
        <f t="shared" si="1"/>
      </c>
      <c r="I112" s="108">
        <f t="shared" si="0"/>
      </c>
      <c r="J112" s="108">
        <f t="shared" si="2"/>
      </c>
      <c r="K112" s="107">
        <v>2</v>
      </c>
      <c r="L112" s="109">
        <v>3170.4</v>
      </c>
      <c r="M112" s="116"/>
      <c r="N112" s="133"/>
      <c r="O112" s="134"/>
      <c r="P112" s="134"/>
    </row>
    <row customHeight="true" ht="16.071428571428573" r="113">
      <c r="A113" s="103" t="s">
        <v>213</v>
      </c>
      <c r="B113" s="130" t="s">
        <v>183</v>
      </c>
      <c r="C113" s="131" t="s">
        <v>176</v>
      </c>
      <c r="D113" s="131">
        <v>5</v>
      </c>
      <c r="E113" s="132">
        <v>9</v>
      </c>
      <c r="F113" s="132">
        <v>15330</v>
      </c>
      <c r="G113" s="132">
        <v>14567.89</v>
      </c>
      <c r="H113" s="108">
        <f t="shared" si="1"/>
      </c>
      <c r="I113" s="108">
        <f t="shared" si="0"/>
      </c>
      <c r="J113" s="108">
        <f t="shared" si="2"/>
      </c>
      <c r="K113" s="107">
        <v>2</v>
      </c>
      <c r="L113" s="109">
        <v>4418.4</v>
      </c>
      <c r="M113" s="116" t="s">
        <v>187</v>
      </c>
      <c r="N113" s="135">
        <v>7</v>
      </c>
      <c r="O113" s="116" t="s">
        <v>178</v>
      </c>
      <c r="P113" s="116">
        <v>4</v>
      </c>
    </row>
    <row customHeight="true" ht="16.071428571428573" r="114">
      <c r="A114" s="103" t="s">
        <v>213</v>
      </c>
      <c r="B114" s="130" t="s">
        <v>173</v>
      </c>
      <c r="C114" s="131" t="s">
        <v>180</v>
      </c>
      <c r="D114" s="131">
        <v>5</v>
      </c>
      <c r="E114" s="132">
        <v>5</v>
      </c>
      <c r="F114" s="132">
        <v>4630.8</v>
      </c>
      <c r="G114" s="107">
        <v>8967.09</v>
      </c>
      <c r="H114" s="108">
        <f t="shared" si="1"/>
      </c>
      <c r="I114" s="108">
        <f t="shared" si="0"/>
      </c>
      <c r="J114" s="108">
        <f t="shared" si="2"/>
      </c>
      <c r="K114" s="107">
        <v>4</v>
      </c>
      <c r="L114" s="109">
        <v>4258.8</v>
      </c>
      <c r="M114" s="116" t="s">
        <v>185</v>
      </c>
      <c r="N114" s="135">
        <v>9</v>
      </c>
      <c r="O114" s="116" t="s">
        <v>182</v>
      </c>
      <c r="P114" s="116">
        <v>12</v>
      </c>
    </row>
    <row customHeight="true" ht="16.071428571428573" r="115">
      <c r="A115" s="103" t="s">
        <v>213</v>
      </c>
      <c r="B115" s="130" t="s">
        <v>175</v>
      </c>
      <c r="C115" s="131" t="s">
        <v>184</v>
      </c>
      <c r="D115" s="131">
        <v>4</v>
      </c>
      <c r="E115" s="132">
        <v>16</v>
      </c>
      <c r="F115" s="132">
        <v>15758.64</v>
      </c>
      <c r="G115" s="131">
        <v>13196.31</v>
      </c>
      <c r="H115" s="108">
        <f t="shared" si="1"/>
      </c>
      <c r="I115" s="108">
        <f t="shared" si="0"/>
      </c>
      <c r="J115" s="108">
        <f t="shared" si="2"/>
      </c>
      <c r="K115" s="107">
        <v>2</v>
      </c>
      <c r="L115" s="109">
        <v>3326.4</v>
      </c>
      <c r="M115" s="116" t="s">
        <v>181</v>
      </c>
      <c r="N115" s="135">
        <v>8</v>
      </c>
      <c r="O115" s="116" t="s">
        <v>178</v>
      </c>
      <c r="P115" s="116">
        <v>8</v>
      </c>
    </row>
    <row customHeight="true" ht="16.071428571428573" r="116">
      <c r="A116" s="103" t="s">
        <v>213</v>
      </c>
      <c r="B116" s="130" t="s">
        <v>190</v>
      </c>
      <c r="C116" s="131" t="s">
        <v>186</v>
      </c>
      <c r="D116" s="131">
        <v>5</v>
      </c>
      <c r="E116" s="132">
        <v>16</v>
      </c>
      <c r="F116" s="132">
        <v>13478.4</v>
      </c>
      <c r="G116" s="132">
        <v>14941.17</v>
      </c>
      <c r="H116" s="108">
        <f t="shared" si="1"/>
      </c>
      <c r="I116" s="108">
        <f t="shared" si="0"/>
      </c>
      <c r="J116" s="108">
        <f t="shared" si="2"/>
      </c>
      <c r="K116" s="107">
        <v>4</v>
      </c>
      <c r="L116" s="109">
        <v>4527.6</v>
      </c>
      <c r="M116" s="116"/>
      <c r="N116" s="135"/>
      <c r="O116" s="116"/>
      <c r="P116" s="116"/>
    </row>
    <row customHeight="true" ht="16.071428571428573" r="117">
      <c r="A117" s="103" t="s">
        <v>213</v>
      </c>
      <c r="B117" s="130" t="s">
        <v>179</v>
      </c>
      <c r="C117" s="131" t="s">
        <v>195</v>
      </c>
      <c r="D117" s="131">
        <v>4</v>
      </c>
      <c r="E117" s="107">
        <v>8</v>
      </c>
      <c r="F117" s="107">
        <v>4246.8</v>
      </c>
      <c r="G117" s="107">
        <v>13184.73</v>
      </c>
      <c r="H117" s="108">
        <f t="shared" si="1"/>
      </c>
      <c r="I117" s="108">
        <f t="shared" si="0"/>
      </c>
      <c r="J117" s="108">
        <f t="shared" si="2"/>
      </c>
      <c r="K117" s="107">
        <v>4</v>
      </c>
      <c r="L117" s="109">
        <v>2682</v>
      </c>
      <c r="M117" s="116"/>
      <c r="N117" s="135"/>
      <c r="O117" s="116"/>
      <c r="P117" s="116"/>
    </row>
    <row customHeight="true" ht="16.071428571428573" r="118">
      <c r="A118" s="136" t="s">
        <v>213</v>
      </c>
      <c r="B118" s="137" t="s">
        <v>192</v>
      </c>
      <c r="C118" s="137"/>
      <c r="D118" s="138">
        <f>SUM(D112:D117)</f>
      </c>
      <c r="E118" s="138">
        <f>SUM(E112:E117)</f>
      </c>
      <c r="F118" s="138">
        <f>SUM(F112:F117)</f>
      </c>
      <c r="G118" s="138">
        <f>SUM(G112:G117)</f>
      </c>
      <c r="H118" s="126">
        <f t="shared" si="1"/>
      </c>
      <c r="I118" s="126">
        <f t="shared" si="0"/>
      </c>
      <c r="J118" s="126">
        <f t="shared" si="2"/>
      </c>
      <c r="K118" s="138">
        <f>SUM(K112:K117)</f>
      </c>
      <c r="L118" s="125">
        <f>SUM(L112:L117)</f>
      </c>
      <c r="M118" s="139"/>
      <c r="N118" s="140">
        <f>SUM(N112:N117)</f>
      </c>
      <c r="O118" s="139"/>
      <c r="P118" s="140">
        <f>SUM(P113:P117)</f>
      </c>
    </row>
    <row customHeight="true" ht="16.071428571428573" r="119">
      <c r="A119" s="103" t="s">
        <v>214</v>
      </c>
      <c r="B119" s="130" t="s">
        <v>179</v>
      </c>
      <c r="C119" s="131" t="s">
        <v>174</v>
      </c>
      <c r="D119" s="131">
        <v>1</v>
      </c>
      <c r="E119" s="107">
        <v>11</v>
      </c>
      <c r="F119" s="107">
        <v>15223.8</v>
      </c>
      <c r="G119" s="107">
        <v>3634.51</v>
      </c>
      <c r="H119" s="108">
        <f t="shared" si="1"/>
      </c>
      <c r="I119" s="108">
        <f t="shared" si="0"/>
      </c>
      <c r="J119" s="108">
        <f t="shared" si="2"/>
      </c>
      <c r="K119" s="107">
        <v>1</v>
      </c>
      <c r="L119" s="109">
        <v>2011.2</v>
      </c>
      <c r="M119" s="116"/>
      <c r="N119" s="133"/>
      <c r="O119" s="134"/>
      <c r="P119" s="134"/>
    </row>
    <row customHeight="true" ht="16.071428571428573" r="120">
      <c r="A120" s="103" t="s">
        <v>214</v>
      </c>
      <c r="B120" s="130" t="s">
        <v>183</v>
      </c>
      <c r="C120" s="131" t="s">
        <v>176</v>
      </c>
      <c r="D120" s="131">
        <v>5</v>
      </c>
      <c r="E120" s="107">
        <v>11</v>
      </c>
      <c r="F120" s="107">
        <v>18666.6</v>
      </c>
      <c r="G120" s="107">
        <v>16591.43</v>
      </c>
      <c r="H120" s="108">
        <f t="shared" si="1"/>
      </c>
      <c r="I120" s="108">
        <f t="shared" si="0"/>
      </c>
      <c r="J120" s="108">
        <f t="shared" si="2"/>
      </c>
      <c r="K120" s="107">
        <v>4</v>
      </c>
      <c r="L120" s="109">
        <v>5997.6</v>
      </c>
      <c r="M120" s="116" t="s">
        <v>187</v>
      </c>
      <c r="N120" s="141">
        <v>6.5</v>
      </c>
      <c r="O120" s="116" t="s">
        <v>178</v>
      </c>
      <c r="P120" s="116">
        <v>4</v>
      </c>
    </row>
    <row customHeight="true" ht="16.071428571428573" r="121">
      <c r="A121" s="103" t="s">
        <v>214</v>
      </c>
      <c r="B121" s="130" t="s">
        <v>190</v>
      </c>
      <c r="C121" s="131" t="s">
        <v>180</v>
      </c>
      <c r="D121" s="131">
        <v>5</v>
      </c>
      <c r="E121" s="107">
        <v>22</v>
      </c>
      <c r="F121" s="107">
        <v>25144.8</v>
      </c>
      <c r="G121" s="107">
        <v>19462.48</v>
      </c>
      <c r="H121" s="108">
        <f t="shared" si="1"/>
      </c>
      <c r="I121" s="108">
        <f t="shared" si="0"/>
      </c>
      <c r="J121" s="108">
        <f t="shared" si="2"/>
      </c>
      <c r="K121" s="107">
        <v>7</v>
      </c>
      <c r="L121" s="109">
        <v>7160.4</v>
      </c>
      <c r="M121" s="116" t="s">
        <v>185</v>
      </c>
      <c r="N121" s="141">
        <v>9.5</v>
      </c>
      <c r="O121" s="116" t="s">
        <v>182</v>
      </c>
      <c r="P121" s="116">
        <v>12</v>
      </c>
    </row>
    <row customHeight="true" ht="16.071428571428573" r="122">
      <c r="A122" s="103" t="s">
        <v>214</v>
      </c>
      <c r="B122" s="130" t="s">
        <v>175</v>
      </c>
      <c r="C122" s="131" t="s">
        <v>184</v>
      </c>
      <c r="D122" s="131">
        <v>4</v>
      </c>
      <c r="E122" s="107">
        <v>12</v>
      </c>
      <c r="F122" s="107">
        <v>8683.2</v>
      </c>
      <c r="G122" s="142">
        <v>13673.46</v>
      </c>
      <c r="H122" s="108">
        <f t="shared" si="1"/>
      </c>
      <c r="I122" s="108">
        <f t="shared" si="0"/>
      </c>
      <c r="J122" s="108">
        <f t="shared" si="2"/>
      </c>
      <c r="K122" s="107">
        <v>1</v>
      </c>
      <c r="L122" s="109">
        <v>1411.2</v>
      </c>
      <c r="M122" s="116" t="s">
        <v>181</v>
      </c>
      <c r="N122" s="135">
        <v>8</v>
      </c>
      <c r="O122" s="116" t="s">
        <v>178</v>
      </c>
      <c r="P122" s="116">
        <v>8</v>
      </c>
    </row>
    <row customHeight="true" ht="16.071428571428573" r="123">
      <c r="A123" s="103" t="s">
        <v>214</v>
      </c>
      <c r="B123" s="130" t="s">
        <v>179</v>
      </c>
      <c r="C123" s="131" t="s">
        <v>186</v>
      </c>
      <c r="D123" s="131">
        <v>5</v>
      </c>
      <c r="E123" s="107">
        <v>7</v>
      </c>
      <c r="F123" s="107">
        <v>8509.2</v>
      </c>
      <c r="G123" s="107">
        <v>10416.81</v>
      </c>
      <c r="H123" s="108">
        <f t="shared" si="1"/>
      </c>
      <c r="I123" s="108">
        <f t="shared" si="0"/>
      </c>
      <c r="J123" s="108">
        <f t="shared" si="2"/>
      </c>
      <c r="K123" s="107">
        <v>0</v>
      </c>
      <c r="L123" s="109">
        <v>0</v>
      </c>
      <c r="M123" s="116"/>
      <c r="N123" s="135"/>
      <c r="O123" s="116"/>
      <c r="P123" s="116"/>
    </row>
    <row customHeight="true" ht="16.071428571428573" r="124">
      <c r="A124" s="103" t="s">
        <v>214</v>
      </c>
      <c r="B124" s="130" t="s">
        <v>194</v>
      </c>
      <c r="C124" s="131" t="s">
        <v>195</v>
      </c>
      <c r="D124" s="131">
        <v>4</v>
      </c>
      <c r="E124" s="107">
        <v>8</v>
      </c>
      <c r="F124" s="107">
        <v>6555.6</v>
      </c>
      <c r="G124" s="107">
        <v>9048.07</v>
      </c>
      <c r="H124" s="108">
        <f t="shared" si="1"/>
      </c>
      <c r="I124" s="108">
        <f t="shared" si="0"/>
      </c>
      <c r="J124" s="108">
        <f t="shared" si="2"/>
      </c>
      <c r="K124" s="107">
        <v>2</v>
      </c>
      <c r="L124" s="109">
        <v>630</v>
      </c>
      <c r="M124" s="116"/>
      <c r="N124" s="135"/>
      <c r="O124" s="116"/>
      <c r="P124" s="116"/>
    </row>
    <row customHeight="true" ht="16.071428571428573" r="125">
      <c r="A125" s="136" t="s">
        <v>214</v>
      </c>
      <c r="B125" s="137" t="s">
        <v>192</v>
      </c>
      <c r="C125" s="137"/>
      <c r="D125" s="138">
        <f>SUM(D119:D124)</f>
      </c>
      <c r="E125" s="138">
        <f>SUM(E119:E124)</f>
      </c>
      <c r="F125" s="138">
        <f>SUM(F119:F124)</f>
      </c>
      <c r="G125" s="138">
        <f>SUM(G119:G124)</f>
      </c>
      <c r="H125" s="126">
        <f t="shared" si="1"/>
      </c>
      <c r="I125" s="126">
        <f t="shared" si="0"/>
      </c>
      <c r="J125" s="126">
        <f t="shared" si="2"/>
      </c>
      <c r="K125" s="138">
        <f>SUM(K119:K124)</f>
      </c>
      <c r="L125" s="125">
        <f>SUM(L119:L124)</f>
      </c>
      <c r="M125" s="139"/>
      <c r="N125" s="140">
        <f>SUM(N119:N124)</f>
      </c>
      <c r="O125" s="139"/>
      <c r="P125" s="140">
        <f>SUM(P120:P124)</f>
      </c>
    </row>
    <row customHeight="true" ht="16.071428571428573" r="126">
      <c r="A126" s="129" t="s">
        <v>215</v>
      </c>
      <c r="B126" s="130" t="s">
        <v>194</v>
      </c>
      <c r="C126" s="131" t="s">
        <v>174</v>
      </c>
      <c r="D126" s="131">
        <v>1</v>
      </c>
      <c r="E126" s="107">
        <v>8</v>
      </c>
      <c r="F126" s="107">
        <v>11376</v>
      </c>
      <c r="G126" s="107">
        <v>3960.37</v>
      </c>
      <c r="H126" s="108">
        <f t="shared" si="1"/>
      </c>
      <c r="I126" s="108">
        <f t="shared" si="0"/>
      </c>
      <c r="J126" s="108">
        <f t="shared" si="2"/>
      </c>
      <c r="K126" s="107">
        <v>5</v>
      </c>
      <c r="L126" s="109">
        <v>6958.8</v>
      </c>
      <c r="M126" s="116"/>
      <c r="N126" s="133"/>
      <c r="O126" s="134"/>
      <c r="P126" s="134"/>
    </row>
    <row customHeight="true" ht="16.071428571428573" r="127">
      <c r="A127" s="129" t="s">
        <v>215</v>
      </c>
      <c r="B127" s="130" t="s">
        <v>173</v>
      </c>
      <c r="C127" s="131" t="s">
        <v>176</v>
      </c>
      <c r="D127" s="131">
        <v>5</v>
      </c>
      <c r="E127" s="107">
        <v>22</v>
      </c>
      <c r="F127" s="107">
        <v>26868.6</v>
      </c>
      <c r="G127" s="107">
        <v>16237.88</v>
      </c>
      <c r="H127" s="108">
        <f t="shared" si="1"/>
      </c>
      <c r="I127" s="108">
        <f t="shared" si="0"/>
      </c>
      <c r="J127" s="108">
        <f t="shared" si="2"/>
      </c>
      <c r="K127" s="107">
        <v>9</v>
      </c>
      <c r="L127" s="109">
        <v>7629.6</v>
      </c>
      <c r="M127" s="116" t="s">
        <v>187</v>
      </c>
      <c r="N127" s="141">
        <v>6.5</v>
      </c>
      <c r="O127" s="116" t="s">
        <v>178</v>
      </c>
      <c r="P127" s="116">
        <v>4</v>
      </c>
    </row>
    <row customHeight="true" ht="16.071428571428573" r="128">
      <c r="A128" s="129" t="s">
        <v>215</v>
      </c>
      <c r="B128" s="130" t="s">
        <v>190</v>
      </c>
      <c r="C128" s="131" t="s">
        <v>180</v>
      </c>
      <c r="D128" s="131">
        <v>5</v>
      </c>
      <c r="E128" s="107">
        <v>23</v>
      </c>
      <c r="F128" s="107">
        <v>29128.4</v>
      </c>
      <c r="G128" s="107">
        <v>24637.75</v>
      </c>
      <c r="H128" s="108">
        <f t="shared" si="1"/>
      </c>
      <c r="I128" s="108">
        <f t="shared" si="0"/>
      </c>
      <c r="J128" s="108">
        <f t="shared" si="2"/>
      </c>
      <c r="K128" s="107">
        <v>9</v>
      </c>
      <c r="L128" s="109">
        <v>10040</v>
      </c>
      <c r="M128" s="116" t="s">
        <v>185</v>
      </c>
      <c r="N128" s="141">
        <v>9.5</v>
      </c>
      <c r="O128" s="116" t="s">
        <v>182</v>
      </c>
      <c r="P128" s="116">
        <v>12</v>
      </c>
    </row>
    <row customHeight="true" ht="16.071428571428573" r="129">
      <c r="A129" s="129" t="s">
        <v>215</v>
      </c>
      <c r="B129" s="130" t="s">
        <v>175</v>
      </c>
      <c r="C129" s="131" t="s">
        <v>184</v>
      </c>
      <c r="D129" s="131">
        <v>4</v>
      </c>
      <c r="E129" s="107">
        <v>16</v>
      </c>
      <c r="F129" s="107">
        <v>22710.72</v>
      </c>
      <c r="G129" s="142">
        <v>20019.32</v>
      </c>
      <c r="H129" s="108">
        <f t="shared" si="1"/>
      </c>
      <c r="I129" s="108">
        <f t="shared" si="0"/>
      </c>
      <c r="J129" s="108">
        <f t="shared" si="2"/>
      </c>
      <c r="K129" s="107">
        <v>7</v>
      </c>
      <c r="L129" s="109">
        <v>8652.72</v>
      </c>
      <c r="M129" s="116" t="s">
        <v>181</v>
      </c>
      <c r="N129" s="135">
        <v>8</v>
      </c>
      <c r="O129" s="116" t="s">
        <v>178</v>
      </c>
      <c r="P129" s="116">
        <v>8</v>
      </c>
    </row>
    <row customHeight="true" ht="16.071428571428573" r="130">
      <c r="A130" s="129" t="s">
        <v>215</v>
      </c>
      <c r="B130" s="130" t="s">
        <v>179</v>
      </c>
      <c r="C130" s="131" t="s">
        <v>186</v>
      </c>
      <c r="D130" s="131">
        <v>5</v>
      </c>
      <c r="E130" s="107">
        <v>9</v>
      </c>
      <c r="F130" s="132">
        <v>10492.800000000007</v>
      </c>
      <c r="G130" s="132">
        <v>14907.32</v>
      </c>
      <c r="H130" s="108">
        <f t="shared" si="1"/>
      </c>
      <c r="I130" s="108">
        <f t="shared" si="0"/>
      </c>
      <c r="J130" s="108">
        <f t="shared" si="2"/>
      </c>
      <c r="K130" s="107">
        <v>6</v>
      </c>
      <c r="L130" s="109">
        <v>8163.6</v>
      </c>
      <c r="M130" s="116"/>
      <c r="N130" s="135"/>
      <c r="O130" s="116"/>
      <c r="P130" s="116"/>
    </row>
    <row customHeight="true" ht="16.071428571428573" r="131">
      <c r="A131" s="129" t="s">
        <v>215</v>
      </c>
      <c r="B131" s="130" t="s">
        <v>183</v>
      </c>
      <c r="C131" s="131" t="s">
        <v>195</v>
      </c>
      <c r="D131" s="131">
        <v>4</v>
      </c>
      <c r="E131" s="107">
        <v>15</v>
      </c>
      <c r="F131" s="107">
        <v>18800.4</v>
      </c>
      <c r="G131" s="107">
        <v>16100.14</v>
      </c>
      <c r="H131" s="108">
        <f t="shared" si="1"/>
      </c>
      <c r="I131" s="108">
        <f t="shared" si="0"/>
      </c>
      <c r="J131" s="108">
        <f t="shared" si="2"/>
      </c>
      <c r="K131" s="107">
        <v>4</v>
      </c>
      <c r="L131" s="109">
        <v>3343.2</v>
      </c>
      <c r="M131" s="116"/>
      <c r="N131" s="135"/>
      <c r="O131" s="116"/>
      <c r="P131" s="116"/>
    </row>
    <row customHeight="true" ht="16.071428571428573" r="132">
      <c r="A132" s="122" t="s">
        <v>215</v>
      </c>
      <c r="B132" s="137" t="s">
        <v>192</v>
      </c>
      <c r="C132" s="137"/>
      <c r="D132" s="138">
        <f>SUM(D126:D131)</f>
      </c>
      <c r="E132" s="138">
        <f>SUM(E126:E131)</f>
      </c>
      <c r="F132" s="138">
        <f>SUM(F126:F131)</f>
      </c>
      <c r="G132" s="138">
        <f>SUM(G126:G131)</f>
      </c>
      <c r="H132" s="126">
        <f t="shared" si="1"/>
      </c>
      <c r="I132" s="126">
        <f t="shared" si="0"/>
      </c>
      <c r="J132" s="126">
        <f t="shared" si="2"/>
      </c>
      <c r="K132" s="138">
        <f>SUM(K126:K131)</f>
      </c>
      <c r="L132" s="125">
        <f>SUM(L126:L131)</f>
      </c>
      <c r="M132" s="139"/>
      <c r="N132" s="140">
        <f>SUM(N126:N131)</f>
      </c>
      <c r="O132" s="139"/>
      <c r="P132" s="140">
        <f>SUM(P127:P131)</f>
      </c>
    </row>
    <row customHeight="true" ht="16.071428571428573" r="133">
      <c r="A133" s="129" t="s">
        <v>216</v>
      </c>
      <c r="B133" s="130" t="s">
        <v>183</v>
      </c>
      <c r="C133" s="131" t="s">
        <v>174</v>
      </c>
      <c r="D133" s="131">
        <v>1</v>
      </c>
      <c r="E133" s="107">
        <v>7</v>
      </c>
      <c r="F133" s="107">
        <v>9328.8</v>
      </c>
      <c r="G133" s="107">
        <v>3735.25</v>
      </c>
      <c r="H133" s="108">
        <f t="shared" si="1"/>
      </c>
      <c r="I133" s="108">
        <f t="shared" si="0"/>
      </c>
      <c r="J133" s="108">
        <f t="shared" si="2"/>
      </c>
      <c r="K133" s="107">
        <v>3</v>
      </c>
      <c r="L133" s="109">
        <v>2928</v>
      </c>
      <c r="M133" s="116" t="s">
        <v>187</v>
      </c>
      <c r="N133" s="141">
        <v>7</v>
      </c>
      <c r="O133" s="134"/>
      <c r="P133" s="134"/>
    </row>
    <row customHeight="true" ht="16.071428571428573" r="134">
      <c r="A134" s="129" t="s">
        <v>216</v>
      </c>
      <c r="B134" s="130" t="s">
        <v>173</v>
      </c>
      <c r="C134" s="131" t="s">
        <v>176</v>
      </c>
      <c r="D134" s="131">
        <v>5</v>
      </c>
      <c r="E134" s="107">
        <v>15</v>
      </c>
      <c r="F134" s="107">
        <v>16845.6</v>
      </c>
      <c r="G134" s="107">
        <v>15491.640000000001</v>
      </c>
      <c r="H134" s="108">
        <f t="shared" si="1"/>
      </c>
      <c r="I134" s="108">
        <f t="shared" si="0"/>
      </c>
      <c r="J134" s="108">
        <f t="shared" si="2"/>
      </c>
      <c r="K134" s="107">
        <v>5</v>
      </c>
      <c r="L134" s="109">
        <v>6936</v>
      </c>
      <c r="M134" s="105" t="s">
        <v>217</v>
      </c>
      <c r="N134" s="141">
        <v>8</v>
      </c>
      <c r="O134" s="116" t="s">
        <v>178</v>
      </c>
      <c r="P134" s="116">
        <v>4</v>
      </c>
    </row>
    <row customHeight="true" ht="16.071428571428573" r="135">
      <c r="A135" s="129" t="s">
        <v>216</v>
      </c>
      <c r="B135" s="130" t="s">
        <v>194</v>
      </c>
      <c r="C135" s="131" t="s">
        <v>180</v>
      </c>
      <c r="D135" s="131">
        <v>5</v>
      </c>
      <c r="E135" s="107">
        <v>27</v>
      </c>
      <c r="F135" s="107">
        <v>28262.399999999998</v>
      </c>
      <c r="G135" s="107">
        <v>19003.21</v>
      </c>
      <c r="H135" s="108">
        <f t="shared" si="1"/>
      </c>
      <c r="I135" s="108">
        <f t="shared" si="0"/>
      </c>
      <c r="J135" s="108">
        <f t="shared" si="2"/>
      </c>
      <c r="K135" s="107">
        <v>11</v>
      </c>
      <c r="L135" s="109">
        <v>7224</v>
      </c>
      <c r="M135" s="111" t="s">
        <v>218</v>
      </c>
      <c r="N135" s="111">
        <v>1</v>
      </c>
      <c r="O135" s="116" t="s">
        <v>182</v>
      </c>
      <c r="P135" s="116">
        <v>12</v>
      </c>
    </row>
    <row customHeight="true" ht="16.071428571428573" r="136">
      <c r="A136" s="129" t="s">
        <v>216</v>
      </c>
      <c r="B136" s="130" t="s">
        <v>179</v>
      </c>
      <c r="C136" s="131" t="s">
        <v>184</v>
      </c>
      <c r="D136" s="131">
        <v>4</v>
      </c>
      <c r="E136" s="107">
        <v>18</v>
      </c>
      <c r="F136" s="107">
        <v>26233.20000000001</v>
      </c>
      <c r="G136" s="142">
        <v>18157.07</v>
      </c>
      <c r="H136" s="108">
        <f t="shared" si="1"/>
      </c>
      <c r="I136" s="108">
        <f t="shared" si="0"/>
      </c>
      <c r="J136" s="108">
        <f t="shared" si="2"/>
      </c>
      <c r="K136" s="107">
        <v>7</v>
      </c>
      <c r="L136" s="109">
        <v>8834.4</v>
      </c>
      <c r="M136" s="116" t="s">
        <v>185</v>
      </c>
      <c r="N136" s="135">
        <v>8</v>
      </c>
      <c r="O136" s="116" t="s">
        <v>178</v>
      </c>
      <c r="P136" s="116">
        <v>8</v>
      </c>
    </row>
    <row customHeight="true" ht="16.071428571428573" r="137">
      <c r="A137" s="129" t="s">
        <v>216</v>
      </c>
      <c r="B137" s="130" t="s">
        <v>183</v>
      </c>
      <c r="C137" s="131" t="s">
        <v>186</v>
      </c>
      <c r="D137" s="131">
        <v>5</v>
      </c>
      <c r="E137" s="107">
        <v>12</v>
      </c>
      <c r="F137" s="107">
        <v>14984.4</v>
      </c>
      <c r="G137" s="107">
        <v>18296.62</v>
      </c>
      <c r="H137" s="108">
        <f t="shared" si="1"/>
      </c>
      <c r="I137" s="108">
        <f t="shared" si="0"/>
      </c>
      <c r="J137" s="108">
        <f t="shared" si="2"/>
      </c>
      <c r="K137" s="107">
        <v>2</v>
      </c>
      <c r="L137" s="109">
        <v>3326.4</v>
      </c>
      <c r="M137" s="116"/>
      <c r="N137" s="135"/>
      <c r="O137" s="116"/>
      <c r="P137" s="116"/>
    </row>
    <row r="138">
      <c r="A138" s="129" t="s">
        <v>216</v>
      </c>
      <c r="B138" s="130" t="s">
        <v>175</v>
      </c>
      <c r="C138" s="131" t="s">
        <v>195</v>
      </c>
      <c r="D138" s="131">
        <v>4</v>
      </c>
      <c r="E138" s="107">
        <v>42</v>
      </c>
      <c r="F138" s="107">
        <v>49508.83</v>
      </c>
      <c r="G138" s="107">
        <v>30710.04</v>
      </c>
      <c r="H138" s="108">
        <f t="shared" si="1"/>
      </c>
      <c r="I138" s="108">
        <f t="shared" si="0"/>
      </c>
      <c r="J138" s="108">
        <f t="shared" si="2"/>
      </c>
      <c r="K138" s="107">
        <v>4</v>
      </c>
      <c r="L138" s="109">
        <v>5459.8</v>
      </c>
      <c r="M138" s="116"/>
      <c r="N138" s="135"/>
      <c r="O138" s="116"/>
      <c r="P138" s="116"/>
    </row>
    <row r="139">
      <c r="A139" s="122" t="s">
        <v>216</v>
      </c>
      <c r="B139" s="137" t="s">
        <v>192</v>
      </c>
      <c r="C139" s="137"/>
      <c r="D139" s="138">
        <f>SUM(D133:D138)</f>
      </c>
      <c r="E139" s="138">
        <f>SUM(E133:E138)</f>
      </c>
      <c r="F139" s="138">
        <f>SUM(F133:F138)</f>
      </c>
      <c r="G139" s="138">
        <f>SUM(G133:G138)</f>
      </c>
      <c r="H139" s="126">
        <f t="shared" si="1"/>
      </c>
      <c r="I139" s="126">
        <f t="shared" si="0"/>
      </c>
      <c r="J139" s="126">
        <f t="shared" si="2"/>
      </c>
      <c r="K139" s="138">
        <f>SUM(K133:K138)</f>
      </c>
      <c r="L139" s="125">
        <f>SUM(L133:L138)</f>
      </c>
      <c r="M139" s="139"/>
      <c r="N139" s="140">
        <f>SUM(N133:N138)</f>
      </c>
      <c r="O139" s="139"/>
      <c r="P139" s="140">
        <f>SUM(P134:P138)</f>
      </c>
    </row>
    <row r="140">
      <c r="A140" s="129" t="s">
        <v>219</v>
      </c>
      <c r="B140" s="130" t="s">
        <v>175</v>
      </c>
      <c r="C140" s="131" t="s">
        <v>174</v>
      </c>
      <c r="D140" s="131">
        <v>1</v>
      </c>
      <c r="E140" s="107">
        <v>7</v>
      </c>
      <c r="F140" s="107">
        <v>6063.6</v>
      </c>
      <c r="G140" s="107">
        <v>5052.32</v>
      </c>
      <c r="H140" s="108">
        <f t="shared" si="1"/>
      </c>
      <c r="I140" s="108">
        <f t="shared" si="0"/>
      </c>
      <c r="J140" s="108">
        <f t="shared" si="2"/>
      </c>
      <c r="K140" s="107">
        <v>3</v>
      </c>
      <c r="L140" s="109">
        <v>3379.2</v>
      </c>
      <c r="M140" s="116" t="s">
        <v>187</v>
      </c>
      <c r="N140" s="141">
        <v>7</v>
      </c>
      <c r="O140" s="134"/>
      <c r="P140" s="134"/>
    </row>
    <row r="141">
      <c r="A141" s="129" t="s">
        <v>219</v>
      </c>
      <c r="B141" s="130" t="s">
        <v>190</v>
      </c>
      <c r="C141" s="131" t="s">
        <v>176</v>
      </c>
      <c r="D141" s="131">
        <v>5</v>
      </c>
      <c r="E141" s="107">
        <v>20</v>
      </c>
      <c r="F141" s="107">
        <v>17444.84</v>
      </c>
      <c r="G141" s="107">
        <v>17102.899999999998</v>
      </c>
      <c r="H141" s="108">
        <f t="shared" si="1"/>
      </c>
      <c r="I141" s="108">
        <f t="shared" si="0"/>
      </c>
      <c r="J141" s="108">
        <f t="shared" si="2"/>
      </c>
      <c r="K141" s="107">
        <v>8</v>
      </c>
      <c r="L141" s="109">
        <v>5712.44</v>
      </c>
      <c r="M141" s="105" t="s">
        <v>217</v>
      </c>
      <c r="N141" s="141">
        <v>9</v>
      </c>
      <c r="O141" s="116" t="s">
        <v>178</v>
      </c>
      <c r="P141" s="116">
        <v>4</v>
      </c>
    </row>
    <row r="142">
      <c r="A142" s="129" t="s">
        <v>219</v>
      </c>
      <c r="B142" s="130" t="s">
        <v>194</v>
      </c>
      <c r="C142" s="131" t="s">
        <v>180</v>
      </c>
      <c r="D142" s="131">
        <v>5</v>
      </c>
      <c r="E142" s="107">
        <v>26</v>
      </c>
      <c r="F142" s="107">
        <v>27400.2</v>
      </c>
      <c r="G142" s="107">
        <v>22530.4</v>
      </c>
      <c r="H142" s="108">
        <f t="shared" si="1"/>
      </c>
      <c r="I142" s="108">
        <f t="shared" si="0"/>
      </c>
      <c r="J142" s="108">
        <f t="shared" si="2"/>
      </c>
      <c r="K142" s="107">
        <v>9</v>
      </c>
      <c r="L142" s="109">
        <v>12067.2</v>
      </c>
      <c r="M142" s="111"/>
      <c r="N142" s="111"/>
      <c r="O142" s="116" t="s">
        <v>182</v>
      </c>
      <c r="P142" s="116">
        <v>12</v>
      </c>
    </row>
    <row r="143">
      <c r="A143" s="129" t="s">
        <v>219</v>
      </c>
      <c r="B143" s="130" t="s">
        <v>183</v>
      </c>
      <c r="C143" s="131" t="s">
        <v>184</v>
      </c>
      <c r="D143" s="131">
        <v>4</v>
      </c>
      <c r="E143" s="107">
        <v>22</v>
      </c>
      <c r="F143" s="107">
        <v>27376.799999999996</v>
      </c>
      <c r="G143" s="142">
        <v>18644.030000000002</v>
      </c>
      <c r="H143" s="108">
        <f t="shared" si="1"/>
      </c>
      <c r="I143" s="108">
        <f t="shared" si="0"/>
      </c>
      <c r="J143" s="108">
        <f t="shared" si="2"/>
      </c>
      <c r="K143" s="107">
        <v>13</v>
      </c>
      <c r="L143" s="109">
        <v>14474.4</v>
      </c>
      <c r="M143" s="116" t="s">
        <v>185</v>
      </c>
      <c r="N143" s="135">
        <v>8</v>
      </c>
      <c r="O143" s="116"/>
      <c r="P143" s="116"/>
    </row>
    <row r="144">
      <c r="A144" s="129" t="s">
        <v>219</v>
      </c>
      <c r="B144" s="130" t="s">
        <v>175</v>
      </c>
      <c r="C144" s="131" t="s">
        <v>186</v>
      </c>
      <c r="D144" s="131">
        <v>5</v>
      </c>
      <c r="E144" s="107">
        <v>14</v>
      </c>
      <c r="F144" s="107">
        <v>10462.56</v>
      </c>
      <c r="G144" s="107">
        <v>19340.6</v>
      </c>
      <c r="H144" s="108">
        <f t="shared" si="1"/>
      </c>
      <c r="I144" s="108">
        <f t="shared" si="0"/>
      </c>
      <c r="J144" s="108">
        <f t="shared" si="2"/>
      </c>
      <c r="K144" s="107">
        <v>4</v>
      </c>
      <c r="L144" s="109">
        <v>4683.6</v>
      </c>
      <c r="M144" s="116"/>
      <c r="N144" s="135"/>
      <c r="O144" s="116" t="s">
        <v>178</v>
      </c>
      <c r="P144" s="116">
        <v>8</v>
      </c>
    </row>
    <row r="145">
      <c r="A145" s="129" t="s">
        <v>219</v>
      </c>
      <c r="B145" s="130" t="s">
        <v>173</v>
      </c>
      <c r="C145" s="131" t="s">
        <v>195</v>
      </c>
      <c r="D145" s="131">
        <v>4</v>
      </c>
      <c r="E145" s="107">
        <v>30</v>
      </c>
      <c r="F145" s="107">
        <v>33858.8</v>
      </c>
      <c r="G145" s="107">
        <v>21001.32</v>
      </c>
      <c r="H145" s="108">
        <f t="shared" si="1"/>
      </c>
      <c r="I145" s="108">
        <f t="shared" si="0"/>
      </c>
      <c r="J145" s="108">
        <f t="shared" si="2"/>
      </c>
      <c r="K145" s="107">
        <v>2</v>
      </c>
      <c r="L145" s="109">
        <v>1042.8</v>
      </c>
      <c r="M145" s="116"/>
      <c r="N145" s="135"/>
      <c r="O145" s="116"/>
      <c r="P145" s="116"/>
    </row>
    <row r="146">
      <c r="A146" s="122" t="s">
        <v>219</v>
      </c>
      <c r="B146" s="137" t="s">
        <v>192</v>
      </c>
      <c r="C146" s="137"/>
      <c r="D146" s="138">
        <f>SUM(D140:D145)</f>
      </c>
      <c r="E146" s="138">
        <f>SUM(E140:E145)</f>
      </c>
      <c r="F146" s="138">
        <f>SUM(F140:F145)</f>
      </c>
      <c r="G146" s="138">
        <f>SUM(G140:G145)</f>
      </c>
      <c r="H146" s="126">
        <f t="shared" si="1"/>
      </c>
      <c r="I146" s="126">
        <f t="shared" si="0"/>
      </c>
      <c r="J146" s="126">
        <f t="shared" si="2"/>
      </c>
      <c r="K146" s="138">
        <f>SUM(K140:K145)</f>
      </c>
      <c r="L146" s="125">
        <f>SUM(L140:L145)</f>
      </c>
      <c r="M146" s="139"/>
      <c r="N146" s="140">
        <f>SUM(N140:N145)</f>
      </c>
      <c r="O146" s="139"/>
      <c r="P146" s="140">
        <f>SUM(P141:P145)</f>
      </c>
    </row>
    <row r="147">
      <c r="A147" s="129" t="s">
        <v>220</v>
      </c>
      <c r="B147" s="130" t="s">
        <v>173</v>
      </c>
      <c r="C147" s="131" t="s">
        <v>174</v>
      </c>
      <c r="D147" s="131">
        <v>1</v>
      </c>
      <c r="E147" s="107">
        <v>13</v>
      </c>
      <c r="F147" s="107">
        <v>9856</v>
      </c>
      <c r="G147" s="107">
        <v>4244.85</v>
      </c>
      <c r="H147" s="108">
        <f t="shared" si="1"/>
      </c>
      <c r="I147" s="108">
        <f t="shared" si="0"/>
      </c>
      <c r="J147" s="108">
        <f t="shared" si="2"/>
      </c>
      <c r="K147" s="107">
        <v>3</v>
      </c>
      <c r="L147" s="109">
        <v>3158.4</v>
      </c>
      <c r="M147" s="116" t="s">
        <v>187</v>
      </c>
      <c r="N147" s="141">
        <v>7</v>
      </c>
      <c r="O147" s="134"/>
      <c r="P147" s="134"/>
    </row>
    <row r="148">
      <c r="A148" s="129" t="s">
        <v>220</v>
      </c>
      <c r="B148" s="130" t="s">
        <v>190</v>
      </c>
      <c r="C148" s="131" t="s">
        <v>176</v>
      </c>
      <c r="D148" s="131">
        <v>5</v>
      </c>
      <c r="E148" s="107">
        <v>17</v>
      </c>
      <c r="F148" s="107">
        <v>17978.6</v>
      </c>
      <c r="G148" s="107">
        <v>16785.57</v>
      </c>
      <c r="H148" s="108">
        <f t="shared" si="1"/>
      </c>
      <c r="I148" s="108">
        <f t="shared" si="0"/>
      </c>
      <c r="J148" s="108">
        <f t="shared" si="2"/>
      </c>
      <c r="K148" s="107">
        <v>8</v>
      </c>
      <c r="L148" s="109">
        <v>7358</v>
      </c>
      <c r="M148" s="143" t="s">
        <v>181</v>
      </c>
      <c r="N148" s="144">
        <v>9</v>
      </c>
      <c r="O148" s="116" t="s">
        <v>178</v>
      </c>
      <c r="P148" s="116">
        <v>4</v>
      </c>
    </row>
    <row customHeight="true" ht="16.071428571428573" r="149">
      <c r="A149" s="129" t="s">
        <v>220</v>
      </c>
      <c r="B149" s="130" t="s">
        <v>183</v>
      </c>
      <c r="C149" s="131" t="s">
        <v>180</v>
      </c>
      <c r="D149" s="131">
        <v>5</v>
      </c>
      <c r="E149" s="107">
        <v>20</v>
      </c>
      <c r="F149" s="107">
        <v>18019.2</v>
      </c>
      <c r="G149" s="107">
        <v>15025.87</v>
      </c>
      <c r="H149" s="108">
        <f t="shared" si="1"/>
      </c>
      <c r="I149" s="108">
        <f t="shared" si="0"/>
      </c>
      <c r="J149" s="108">
        <f t="shared" si="2"/>
      </c>
      <c r="K149" s="107">
        <v>8</v>
      </c>
      <c r="L149" s="109">
        <v>7969.2</v>
      </c>
      <c r="M149" s="145"/>
      <c r="N149" s="145"/>
      <c r="O149" s="146" t="s">
        <v>182</v>
      </c>
      <c r="P149" s="116">
        <v>12</v>
      </c>
    </row>
    <row customHeight="true" ht="16.071428571428573" r="150">
      <c r="A150" s="129" t="s">
        <v>220</v>
      </c>
      <c r="B150" s="130" t="s">
        <v>175</v>
      </c>
      <c r="C150" s="131" t="s">
        <v>184</v>
      </c>
      <c r="D150" s="131">
        <v>4</v>
      </c>
      <c r="E150" s="107">
        <v>9</v>
      </c>
      <c r="F150" s="107">
        <v>7081.2</v>
      </c>
      <c r="G150" s="142">
        <v>14716.62</v>
      </c>
      <c r="H150" s="108">
        <f t="shared" si="1"/>
      </c>
      <c r="I150" s="108">
        <f t="shared" si="0"/>
      </c>
      <c r="J150" s="108">
        <f t="shared" si="2"/>
      </c>
      <c r="K150" s="107">
        <v>2</v>
      </c>
      <c r="L150" s="109">
        <v>2059.2</v>
      </c>
      <c r="M150" s="147" t="s">
        <v>185</v>
      </c>
      <c r="N150" s="148">
        <v>8</v>
      </c>
      <c r="O150" s="116"/>
      <c r="P150" s="116"/>
    </row>
    <row customHeight="true" ht="16.071428571428573" r="151">
      <c r="A151" s="129" t="s">
        <v>220</v>
      </c>
      <c r="B151" s="130" t="s">
        <v>173</v>
      </c>
      <c r="C151" s="131" t="s">
        <v>186</v>
      </c>
      <c r="D151" s="131">
        <v>5</v>
      </c>
      <c r="E151" s="107">
        <v>12</v>
      </c>
      <c r="F151" s="107">
        <v>7967.4</v>
      </c>
      <c r="G151" s="107">
        <v>7476.82</v>
      </c>
      <c r="H151" s="108">
        <f t="shared" si="1"/>
      </c>
      <c r="I151" s="108">
        <f t="shared" si="0"/>
      </c>
      <c r="J151" s="108">
        <f t="shared" si="2"/>
      </c>
      <c r="K151" s="107">
        <v>5</v>
      </c>
      <c r="L151" s="109">
        <v>3746.4</v>
      </c>
      <c r="M151" s="116"/>
      <c r="N151" s="135"/>
      <c r="O151" s="116" t="s">
        <v>178</v>
      </c>
      <c r="P151" s="116">
        <v>8</v>
      </c>
    </row>
    <row customHeight="true" ht="16.071428571428573" r="152">
      <c r="A152" s="129" t="s">
        <v>220</v>
      </c>
      <c r="B152" s="130" t="s">
        <v>190</v>
      </c>
      <c r="C152" s="131" t="s">
        <v>195</v>
      </c>
      <c r="D152" s="131">
        <v>4</v>
      </c>
      <c r="E152" s="107">
        <v>3</v>
      </c>
      <c r="F152" s="107">
        <v>2585.2</v>
      </c>
      <c r="G152" s="107">
        <v>7172.2</v>
      </c>
      <c r="H152" s="108">
        <f t="shared" si="1"/>
      </c>
      <c r="I152" s="108">
        <f t="shared" si="0"/>
      </c>
      <c r="J152" s="108">
        <f t="shared" si="2"/>
      </c>
      <c r="K152" s="107">
        <v>0</v>
      </c>
      <c r="L152" s="109">
        <v>0</v>
      </c>
      <c r="M152" s="116"/>
      <c r="N152" s="135"/>
      <c r="O152" s="116"/>
      <c r="P152" s="116"/>
    </row>
    <row customHeight="true" ht="16.071428571428573" r="153">
      <c r="A153" s="122" t="s">
        <v>220</v>
      </c>
      <c r="B153" s="137" t="s">
        <v>192</v>
      </c>
      <c r="C153" s="137"/>
      <c r="D153" s="138">
        <f>SUM(D147:D152)</f>
      </c>
      <c r="E153" s="138">
        <f>SUM(E147:E152)</f>
      </c>
      <c r="F153" s="138">
        <f>SUM(F147:F152)</f>
      </c>
      <c r="G153" s="138">
        <f>SUM(G147:G152)</f>
      </c>
      <c r="H153" s="126">
        <f t="shared" si="1"/>
      </c>
      <c r="I153" s="126">
        <f t="shared" si="0"/>
      </c>
      <c r="J153" s="126">
        <f t="shared" si="2"/>
      </c>
      <c r="K153" s="138">
        <f>SUM(K147:K152)</f>
      </c>
      <c r="L153" s="125">
        <f>SUM(L147:L152)</f>
      </c>
      <c r="M153" s="139"/>
      <c r="N153" s="140">
        <f>SUM(N147:N152)</f>
      </c>
      <c r="O153" s="139"/>
      <c r="P153" s="140">
        <f>SUM(P148:P152)</f>
      </c>
    </row>
    <row customHeight="true" ht="16.071428571428573" r="154">
      <c r="A154" s="129" t="s">
        <v>221</v>
      </c>
      <c r="B154" s="130" t="s">
        <v>190</v>
      </c>
      <c r="C154" s="131" t="s">
        <v>174</v>
      </c>
      <c r="D154" s="131">
        <v>1</v>
      </c>
      <c r="E154" s="107">
        <v>4</v>
      </c>
      <c r="F154" s="107">
        <v>3170.4</v>
      </c>
      <c r="G154" s="107">
        <v>4388.13</v>
      </c>
      <c r="H154" s="108">
        <f t="shared" si="1"/>
      </c>
      <c r="I154" s="108">
        <f t="shared" si="0"/>
      </c>
      <c r="J154" s="108">
        <f t="shared" si="2"/>
      </c>
      <c r="K154" s="107">
        <v>1</v>
      </c>
      <c r="L154" s="109">
        <v>715.2</v>
      </c>
      <c r="M154" s="116" t="s">
        <v>187</v>
      </c>
      <c r="N154" s="141">
        <v>7</v>
      </c>
      <c r="O154" s="134"/>
      <c r="P154" s="134"/>
    </row>
    <row customHeight="true" ht="16.071428571428573" r="155">
      <c r="A155" s="129" t="s">
        <v>221</v>
      </c>
      <c r="B155" s="130" t="s">
        <v>194</v>
      </c>
      <c r="C155" s="131" t="s">
        <v>176</v>
      </c>
      <c r="D155" s="131">
        <v>5</v>
      </c>
      <c r="E155" s="107">
        <v>15</v>
      </c>
      <c r="F155" s="107">
        <v>20548.4</v>
      </c>
      <c r="G155" s="107">
        <v>10868.050000000001</v>
      </c>
      <c r="H155" s="108">
        <f t="shared" si="1"/>
      </c>
      <c r="I155" s="108">
        <f t="shared" si="0"/>
      </c>
      <c r="J155" s="108">
        <f t="shared" si="2"/>
      </c>
      <c r="K155" s="107">
        <v>3</v>
      </c>
      <c r="L155" s="109">
        <v>4892.4</v>
      </c>
      <c r="M155" s="143" t="s">
        <v>181</v>
      </c>
      <c r="N155" s="144">
        <v>8.5</v>
      </c>
      <c r="O155" s="116" t="s">
        <v>178</v>
      </c>
      <c r="P155" s="116">
        <v>4</v>
      </c>
    </row>
    <row customHeight="true" ht="16.071428571428573" r="156">
      <c r="A156" s="129" t="s">
        <v>221</v>
      </c>
      <c r="B156" s="130" t="s">
        <v>179</v>
      </c>
      <c r="C156" s="131" t="s">
        <v>180</v>
      </c>
      <c r="D156" s="131">
        <v>5</v>
      </c>
      <c r="E156" s="107">
        <v>15</v>
      </c>
      <c r="F156" s="107">
        <v>20956.8</v>
      </c>
      <c r="G156" s="107">
        <v>13070.769999999999</v>
      </c>
      <c r="H156" s="108">
        <f t="shared" si="1"/>
      </c>
      <c r="I156" s="108">
        <f t="shared" si="0"/>
      </c>
      <c r="J156" s="108">
        <f t="shared" si="2"/>
      </c>
      <c r="K156" s="107">
        <v>7</v>
      </c>
      <c r="L156" s="109">
        <v>7827.6</v>
      </c>
      <c r="M156" s="145"/>
      <c r="N156" s="145"/>
      <c r="O156" s="146" t="s">
        <v>182</v>
      </c>
      <c r="P156" s="116">
        <v>12</v>
      </c>
    </row>
    <row customHeight="true" ht="16.071428571428573" r="157">
      <c r="A157" s="129" t="s">
        <v>221</v>
      </c>
      <c r="B157" s="130" t="s">
        <v>175</v>
      </c>
      <c r="C157" s="131" t="s">
        <v>184</v>
      </c>
      <c r="D157" s="131">
        <v>4</v>
      </c>
      <c r="E157" s="107">
        <v>16</v>
      </c>
      <c r="F157" s="107">
        <v>20771.8</v>
      </c>
      <c r="G157" s="142">
        <v>11017.32</v>
      </c>
      <c r="H157" s="108">
        <f t="shared" si="1"/>
      </c>
      <c r="I157" s="108">
        <f t="shared" si="0"/>
      </c>
      <c r="J157" s="108">
        <f t="shared" si="2"/>
      </c>
      <c r="K157" s="107">
        <v>4</v>
      </c>
      <c r="L157" s="109">
        <v>2478</v>
      </c>
      <c r="M157" s="147" t="s">
        <v>185</v>
      </c>
      <c r="N157" s="148">
        <v>8</v>
      </c>
      <c r="O157" s="116"/>
      <c r="P157" s="116"/>
    </row>
    <row customHeight="true" ht="16.071428571428573" r="158">
      <c r="A158" s="129" t="s">
        <v>221</v>
      </c>
      <c r="B158" s="130" t="s">
        <v>173</v>
      </c>
      <c r="C158" s="142" t="s">
        <v>222</v>
      </c>
      <c r="D158" s="142">
        <v>4.5</v>
      </c>
      <c r="E158" s="107">
        <v>2</v>
      </c>
      <c r="F158" s="107">
        <v>1314</v>
      </c>
      <c r="G158" s="107">
        <v>9806.36</v>
      </c>
      <c r="H158" s="108">
        <f t="shared" si="1"/>
      </c>
      <c r="I158" s="108">
        <f t="shared" si="0"/>
      </c>
      <c r="J158" s="108">
        <f t="shared" si="2"/>
      </c>
      <c r="K158" s="107">
        <v>0</v>
      </c>
      <c r="L158" s="109">
        <v>0</v>
      </c>
      <c r="M158" s="116"/>
      <c r="N158" s="135"/>
      <c r="O158" s="116" t="s">
        <v>178</v>
      </c>
      <c r="P158" s="116">
        <v>8</v>
      </c>
    </row>
    <row customHeight="true" ht="16.071428571428573" r="159">
      <c r="A159" s="129" t="s">
        <v>221</v>
      </c>
      <c r="B159" s="130" t="s">
        <v>190</v>
      </c>
      <c r="C159" s="131" t="s">
        <v>195</v>
      </c>
      <c r="D159" s="131">
        <v>4</v>
      </c>
      <c r="E159" s="107">
        <v>8</v>
      </c>
      <c r="F159" s="107">
        <v>14329.2</v>
      </c>
      <c r="G159" s="107">
        <v>9283.03</v>
      </c>
      <c r="H159" s="108">
        <f t="shared" si="1"/>
      </c>
      <c r="I159" s="108">
        <f t="shared" si="0"/>
      </c>
      <c r="J159" s="108">
        <f t="shared" si="2"/>
      </c>
      <c r="K159" s="107">
        <v>1</v>
      </c>
      <c r="L159" s="109">
        <v>1411.2</v>
      </c>
      <c r="M159" s="116"/>
      <c r="N159" s="135"/>
      <c r="O159" s="116"/>
      <c r="P159" s="116"/>
    </row>
    <row r="160">
      <c r="A160" s="122" t="s">
        <v>221</v>
      </c>
      <c r="B160" s="137" t="s">
        <v>192</v>
      </c>
      <c r="C160" s="137"/>
      <c r="D160" s="138">
        <f>SUM(D154:D159)</f>
      </c>
      <c r="E160" s="138">
        <f>SUM(E154:E159)</f>
      </c>
      <c r="F160" s="138">
        <f>SUM(F154:F159)</f>
      </c>
      <c r="G160" s="138">
        <f>SUM(G154:G159)</f>
      </c>
      <c r="H160" s="126">
        <f t="shared" si="1"/>
      </c>
      <c r="I160" s="126">
        <f t="shared" si="0"/>
      </c>
      <c r="J160" s="126">
        <f t="shared" si="2"/>
      </c>
      <c r="K160" s="138">
        <f>SUM(K154:K159)</f>
      </c>
      <c r="L160" s="125">
        <f>SUM(L154:L159)</f>
      </c>
      <c r="M160" s="139"/>
      <c r="N160" s="140">
        <f>SUM(N154:N159)</f>
      </c>
      <c r="O160" s="139"/>
      <c r="P160" s="140">
        <f>SUM(P155:P159)</f>
      </c>
    </row>
    <row r="161">
      <c r="A161" s="129" t="s">
        <v>223</v>
      </c>
      <c r="B161" s="130" t="s">
        <v>190</v>
      </c>
      <c r="C161" s="131" t="s">
        <v>174</v>
      </c>
      <c r="D161" s="131">
        <v>1</v>
      </c>
      <c r="E161" s="107">
        <v>5</v>
      </c>
      <c r="F161" s="107">
        <v>3083.8</v>
      </c>
      <c r="G161" s="107">
        <v>3138.18</v>
      </c>
      <c r="H161" s="108">
        <f t="shared" si="1"/>
      </c>
      <c r="I161" s="108">
        <f t="shared" si="0"/>
      </c>
      <c r="J161" s="108">
        <f t="shared" si="2"/>
      </c>
      <c r="K161" s="107">
        <v>1</v>
      </c>
      <c r="L161" s="109">
        <v>763.2</v>
      </c>
      <c r="M161" s="116" t="s">
        <v>187</v>
      </c>
      <c r="N161" s="141">
        <v>7</v>
      </c>
      <c r="O161" s="134"/>
      <c r="P161" s="134"/>
    </row>
    <row r="162">
      <c r="A162" s="129" t="s">
        <v>223</v>
      </c>
      <c r="B162" s="130" t="s">
        <v>194</v>
      </c>
      <c r="C162" s="131" t="s">
        <v>176</v>
      </c>
      <c r="D162" s="131">
        <v>5</v>
      </c>
      <c r="E162" s="107">
        <v>19</v>
      </c>
      <c r="F162" s="107">
        <v>22306.800000000003</v>
      </c>
      <c r="G162" s="107">
        <v>15753.900000000001</v>
      </c>
      <c r="H162" s="108">
        <f t="shared" si="1"/>
      </c>
      <c r="I162" s="108">
        <f t="shared" si="0"/>
      </c>
      <c r="J162" s="108">
        <f t="shared" si="2"/>
      </c>
      <c r="K162" s="107">
        <v>9</v>
      </c>
      <c r="L162" s="109">
        <v>8482.6</v>
      </c>
      <c r="M162" s="143" t="s">
        <v>181</v>
      </c>
      <c r="N162" s="144">
        <v>9</v>
      </c>
      <c r="O162" s="116" t="s">
        <v>178</v>
      </c>
      <c r="P162" s="116">
        <v>4</v>
      </c>
    </row>
    <row customHeight="true" ht="16.071428571428573" r="163">
      <c r="A163" s="129" t="s">
        <v>223</v>
      </c>
      <c r="B163" s="130" t="s">
        <v>179</v>
      </c>
      <c r="C163" s="131" t="s">
        <v>180</v>
      </c>
      <c r="D163" s="131">
        <v>5</v>
      </c>
      <c r="E163" s="107">
        <v>30</v>
      </c>
      <c r="F163" s="107">
        <v>34138.799999999996</v>
      </c>
      <c r="G163" s="107">
        <v>21380.11</v>
      </c>
      <c r="H163" s="108">
        <f t="shared" si="1"/>
      </c>
      <c r="I163" s="108">
        <f t="shared" si="0"/>
      </c>
      <c r="J163" s="108">
        <f t="shared" si="2"/>
      </c>
      <c r="K163" s="107">
        <v>5</v>
      </c>
      <c r="L163" s="109">
        <v>5253.5999999999985</v>
      </c>
      <c r="M163" s="145"/>
      <c r="N163" s="145"/>
      <c r="O163" s="146" t="s">
        <v>182</v>
      </c>
      <c r="P163" s="116">
        <v>12</v>
      </c>
    </row>
    <row customHeight="true" ht="16.071428571428573" r="164">
      <c r="A164" s="129" t="s">
        <v>223</v>
      </c>
      <c r="B164" s="130" t="s">
        <v>183</v>
      </c>
      <c r="C164" s="131" t="s">
        <v>184</v>
      </c>
      <c r="D164" s="131">
        <v>4</v>
      </c>
      <c r="E164" s="107">
        <v>11</v>
      </c>
      <c r="F164" s="107">
        <v>10627.200000000004</v>
      </c>
      <c r="G164" s="142">
        <v>15748.07</v>
      </c>
      <c r="H164" s="108">
        <f t="shared" si="1"/>
      </c>
      <c r="I164" s="108">
        <f t="shared" si="0"/>
      </c>
      <c r="J164" s="108">
        <f t="shared" si="2"/>
      </c>
      <c r="K164" s="107">
        <v>3</v>
      </c>
      <c r="L164" s="109">
        <v>4101.6</v>
      </c>
      <c r="M164" s="147" t="s">
        <v>185</v>
      </c>
      <c r="N164" s="148">
        <v>8</v>
      </c>
      <c r="O164" s="116"/>
      <c r="P164" s="116"/>
    </row>
    <row customHeight="true" ht="16.071428571428573" r="165">
      <c r="A165" s="129" t="s">
        <v>223</v>
      </c>
      <c r="B165" s="130" t="s">
        <v>190</v>
      </c>
      <c r="C165" s="142" t="s">
        <v>186</v>
      </c>
      <c r="D165" s="142">
        <v>5</v>
      </c>
      <c r="E165" s="107">
        <v>33</v>
      </c>
      <c r="F165" s="107">
        <v>32495.2</v>
      </c>
      <c r="G165" s="107">
        <v>21768.54</v>
      </c>
      <c r="H165" s="108">
        <f t="shared" si="1"/>
      </c>
      <c r="I165" s="108">
        <f t="shared" si="0"/>
      </c>
      <c r="J165" s="108">
        <f t="shared" si="2"/>
      </c>
      <c r="K165" s="107">
        <v>9</v>
      </c>
      <c r="L165" s="109">
        <v>5128.800000000001</v>
      </c>
      <c r="M165" s="116"/>
      <c r="N165" s="135"/>
      <c r="O165" s="116" t="s">
        <v>178</v>
      </c>
      <c r="P165" s="116">
        <v>8</v>
      </c>
    </row>
    <row customHeight="true" ht="16.071428571428573" r="166">
      <c r="A166" s="129" t="s">
        <v>223</v>
      </c>
      <c r="B166" s="130" t="s">
        <v>173</v>
      </c>
      <c r="C166" s="131" t="s">
        <v>195</v>
      </c>
      <c r="D166" s="131">
        <v>4</v>
      </c>
      <c r="E166" s="107">
        <v>46</v>
      </c>
      <c r="F166" s="132">
        <v>50631.68000000001</v>
      </c>
      <c r="G166" s="132">
        <v>28493.629999999997</v>
      </c>
      <c r="H166" s="108">
        <f t="shared" si="1"/>
      </c>
      <c r="I166" s="108">
        <f t="shared" si="0"/>
      </c>
      <c r="J166" s="108">
        <f t="shared" si="2"/>
      </c>
      <c r="K166" s="107">
        <v>7</v>
      </c>
      <c r="L166" s="149">
        <v>6346.8</v>
      </c>
      <c r="M166" s="116"/>
      <c r="N166" s="135"/>
      <c r="O166" s="116"/>
      <c r="P166" s="116"/>
    </row>
    <row customHeight="true" ht="16.071428571428573" r="167">
      <c r="A167" s="122" t="s">
        <v>223</v>
      </c>
      <c r="B167" s="137" t="s">
        <v>192</v>
      </c>
      <c r="C167" s="137"/>
      <c r="D167" s="138">
        <f>SUM(D161:D166)</f>
      </c>
      <c r="E167" s="138">
        <f>SUM(E161:E166)</f>
      </c>
      <c r="F167" s="138">
        <f>SUM(F161:F166)</f>
      </c>
      <c r="G167" s="138">
        <f>SUM(G161:G166)</f>
      </c>
      <c r="H167" s="126">
        <f t="shared" si="1"/>
      </c>
      <c r="I167" s="126">
        <f t="shared" si="0"/>
      </c>
      <c r="J167" s="126">
        <f t="shared" si="2"/>
      </c>
      <c r="K167" s="138">
        <f>SUM(K161:K166)</f>
      </c>
      <c r="L167" s="125">
        <f>SUM(L161:L166)</f>
      </c>
      <c r="M167" s="139"/>
      <c r="N167" s="140">
        <f>SUM(N161:N166)</f>
      </c>
      <c r="O167" s="139"/>
      <c r="P167" s="140">
        <f>SUM(P162:P166)</f>
      </c>
    </row>
    <row customHeight="true" ht="16.071428571428573" r="168">
      <c r="A168" s="129" t="s">
        <v>224</v>
      </c>
      <c r="B168" s="130" t="s">
        <v>173</v>
      </c>
      <c r="C168" s="131" t="s">
        <v>174</v>
      </c>
      <c r="D168" s="131">
        <v>1</v>
      </c>
      <c r="E168" s="107">
        <v>10</v>
      </c>
      <c r="F168" s="107">
        <v>8738.4</v>
      </c>
      <c r="G168" s="107">
        <v>4512.33</v>
      </c>
      <c r="H168" s="108">
        <f t="shared" si="1"/>
      </c>
      <c r="I168" s="108">
        <f t="shared" si="0"/>
      </c>
      <c r="J168" s="108">
        <f t="shared" si="2"/>
      </c>
      <c r="K168" s="107">
        <v>1</v>
      </c>
      <c r="L168" s="109">
        <v>187.20000000000073</v>
      </c>
      <c r="M168" s="105" t="s">
        <v>177</v>
      </c>
      <c r="N168" s="141">
        <v>7</v>
      </c>
      <c r="O168" s="134"/>
      <c r="P168" s="134"/>
    </row>
    <row customHeight="true" ht="16.071428571428573" r="169">
      <c r="A169" s="129" t="s">
        <v>224</v>
      </c>
      <c r="B169" s="130" t="s">
        <v>175</v>
      </c>
      <c r="C169" s="131" t="s">
        <v>176</v>
      </c>
      <c r="D169" s="131">
        <v>5</v>
      </c>
      <c r="E169" s="107">
        <v>10</v>
      </c>
      <c r="F169" s="107">
        <v>10112.000000000002</v>
      </c>
      <c r="G169" s="107">
        <v>12142.24</v>
      </c>
      <c r="H169" s="108">
        <f t="shared" si="1"/>
      </c>
      <c r="I169" s="108">
        <f t="shared" si="0"/>
      </c>
      <c r="J169" s="108">
        <f t="shared" si="2"/>
      </c>
      <c r="K169" s="107">
        <v>1</v>
      </c>
      <c r="L169" s="109">
        <v>456</v>
      </c>
      <c r="M169" s="143" t="s">
        <v>181</v>
      </c>
      <c r="N169" s="144">
        <v>9</v>
      </c>
      <c r="O169" s="116" t="s">
        <v>178</v>
      </c>
      <c r="P169" s="116">
        <v>4</v>
      </c>
    </row>
    <row customHeight="true" ht="16.071428571428573" r="170">
      <c r="A170" s="129" t="s">
        <v>224</v>
      </c>
      <c r="B170" s="130" t="s">
        <v>183</v>
      </c>
      <c r="C170" s="131" t="s">
        <v>180</v>
      </c>
      <c r="D170" s="131">
        <v>5</v>
      </c>
      <c r="E170" s="107">
        <v>17</v>
      </c>
      <c r="F170" s="107">
        <v>25817.799999999996</v>
      </c>
      <c r="G170" s="107">
        <v>18240.059999999998</v>
      </c>
      <c r="H170" s="108">
        <f t="shared" si="1"/>
      </c>
      <c r="I170" s="108">
        <f t="shared" si="0"/>
      </c>
      <c r="J170" s="108">
        <f t="shared" si="2"/>
      </c>
      <c r="K170" s="107">
        <v>5</v>
      </c>
      <c r="L170" s="109">
        <v>8308.599999999999</v>
      </c>
      <c r="M170" s="145"/>
      <c r="N170" s="145"/>
      <c r="O170" s="146" t="s">
        <v>182</v>
      </c>
      <c r="P170" s="116">
        <v>12</v>
      </c>
    </row>
    <row r="171">
      <c r="A171" s="129" t="s">
        <v>224</v>
      </c>
      <c r="B171" s="130" t="s">
        <v>173</v>
      </c>
      <c r="C171" s="131" t="s">
        <v>184</v>
      </c>
      <c r="D171" s="131">
        <v>4</v>
      </c>
      <c r="E171" s="107">
        <v>8</v>
      </c>
      <c r="F171" s="107">
        <v>3759.600000000006</v>
      </c>
      <c r="G171" s="142">
        <v>8377.6</v>
      </c>
      <c r="H171" s="108">
        <f t="shared" si="1"/>
      </c>
      <c r="I171" s="108">
        <f t="shared" si="0"/>
      </c>
      <c r="J171" s="108">
        <f t="shared" si="2"/>
      </c>
      <c r="K171" s="107">
        <v>4</v>
      </c>
      <c r="L171" s="109">
        <v>1008.0000000000003</v>
      </c>
      <c r="M171" s="147" t="s">
        <v>185</v>
      </c>
      <c r="N171" s="148">
        <v>8</v>
      </c>
      <c r="O171" s="116"/>
      <c r="P171" s="116"/>
    </row>
    <row r="172">
      <c r="A172" s="129" t="s">
        <v>224</v>
      </c>
      <c r="B172" s="130" t="s">
        <v>190</v>
      </c>
      <c r="C172" s="142" t="s">
        <v>186</v>
      </c>
      <c r="D172" s="142">
        <v>5</v>
      </c>
      <c r="E172" s="107">
        <v>11</v>
      </c>
      <c r="F172" s="107">
        <v>8258.4</v>
      </c>
      <c r="G172" s="107">
        <v>9562.18</v>
      </c>
      <c r="H172" s="108">
        <f t="shared" si="1"/>
      </c>
      <c r="I172" s="108">
        <f t="shared" si="0"/>
      </c>
      <c r="J172" s="108">
        <f t="shared" si="2"/>
      </c>
      <c r="K172" s="107">
        <v>2</v>
      </c>
      <c r="L172" s="109">
        <v>2046</v>
      </c>
      <c r="M172" s="116"/>
      <c r="N172" s="135"/>
      <c r="O172" s="116" t="s">
        <v>178</v>
      </c>
      <c r="P172" s="116">
        <v>8</v>
      </c>
    </row>
    <row r="173">
      <c r="A173" s="129" t="s">
        <v>224</v>
      </c>
      <c r="B173" s="130" t="s">
        <v>179</v>
      </c>
      <c r="C173" s="131" t="s">
        <v>195</v>
      </c>
      <c r="D173" s="131">
        <v>4</v>
      </c>
      <c r="E173" s="107">
        <v>16</v>
      </c>
      <c r="F173" s="132">
        <v>22477.2</v>
      </c>
      <c r="G173" s="132">
        <v>10606.859999999999</v>
      </c>
      <c r="H173" s="108">
        <f t="shared" si="1"/>
      </c>
      <c r="I173" s="108">
        <f t="shared" si="0"/>
      </c>
      <c r="J173" s="108">
        <f t="shared" si="2"/>
      </c>
      <c r="K173" s="107">
        <v>4</v>
      </c>
      <c r="L173" s="149">
        <v>5652</v>
      </c>
      <c r="M173" s="116"/>
      <c r="N173" s="135"/>
      <c r="O173" s="116"/>
      <c r="P173" s="116"/>
    </row>
    <row r="174">
      <c r="A174" s="122" t="s">
        <v>224</v>
      </c>
      <c r="B174" s="137" t="s">
        <v>192</v>
      </c>
      <c r="C174" s="137"/>
      <c r="D174" s="138">
        <f>SUM(D168:D173)</f>
      </c>
      <c r="E174" s="138">
        <f>SUM(E168:E173)</f>
      </c>
      <c r="F174" s="138">
        <f>SUM(F168:F173)</f>
      </c>
      <c r="G174" s="138">
        <f>SUM(G168:G173)</f>
      </c>
      <c r="H174" s="126">
        <f t="shared" si="1"/>
      </c>
      <c r="I174" s="126">
        <f t="shared" si="0"/>
      </c>
      <c r="J174" s="126">
        <f t="shared" si="2"/>
      </c>
      <c r="K174" s="138">
        <f>SUM(K168:K173)</f>
      </c>
      <c r="L174" s="125">
        <f>SUM(L168:L173)</f>
      </c>
      <c r="M174" s="139"/>
      <c r="N174" s="140">
        <f>SUM(N168:N173)</f>
      </c>
      <c r="O174" s="139"/>
      <c r="P174" s="140">
        <f>SUM(P169:P173)</f>
      </c>
    </row>
    <row r="175">
      <c r="A175" s="129" t="s">
        <v>225</v>
      </c>
      <c r="B175" s="130" t="s">
        <v>179</v>
      </c>
      <c r="C175" s="131" t="s">
        <v>174</v>
      </c>
      <c r="D175" s="131">
        <v>1</v>
      </c>
      <c r="E175" s="107">
        <v>11</v>
      </c>
      <c r="F175" s="107">
        <v>16504.4</v>
      </c>
      <c r="G175" s="107">
        <v>3395.99</v>
      </c>
      <c r="H175" s="108">
        <f t="shared" si="1"/>
      </c>
      <c r="I175" s="108">
        <f t="shared" si="0"/>
      </c>
      <c r="J175" s="108">
        <f t="shared" si="2"/>
      </c>
      <c r="K175" s="107">
        <v>4</v>
      </c>
      <c r="L175" s="109">
        <v>7040.2</v>
      </c>
      <c r="M175" s="105" t="s">
        <v>177</v>
      </c>
      <c r="N175" s="141">
        <v>7</v>
      </c>
      <c r="O175" s="134"/>
      <c r="P175" s="134"/>
    </row>
    <row r="176">
      <c r="A176" s="129" t="s">
        <v>225</v>
      </c>
      <c r="B176" s="130" t="s">
        <v>175</v>
      </c>
      <c r="C176" s="131" t="s">
        <v>176</v>
      </c>
      <c r="D176" s="131">
        <v>5</v>
      </c>
      <c r="E176" s="107">
        <v>22</v>
      </c>
      <c r="F176" s="107">
        <v>24392.4</v>
      </c>
      <c r="G176" s="107">
        <v>17243.5</v>
      </c>
      <c r="H176" s="108">
        <f t="shared" si="1"/>
      </c>
      <c r="I176" s="108">
        <f t="shared" si="0"/>
      </c>
      <c r="J176" s="108">
        <f t="shared" si="2"/>
      </c>
      <c r="K176" s="107">
        <v>3</v>
      </c>
      <c r="L176" s="109">
        <v>1270.7999999999997</v>
      </c>
      <c r="M176" s="143" t="s">
        <v>181</v>
      </c>
      <c r="N176" s="144">
        <v>9</v>
      </c>
      <c r="O176" s="116" t="s">
        <v>178</v>
      </c>
      <c r="P176" s="116">
        <v>4</v>
      </c>
    </row>
    <row r="177">
      <c r="A177" s="129" t="s">
        <v>225</v>
      </c>
      <c r="B177" s="130" t="s">
        <v>183</v>
      </c>
      <c r="C177" s="131" t="s">
        <v>180</v>
      </c>
      <c r="D177" s="131">
        <v>5</v>
      </c>
      <c r="E177" s="107">
        <v>14</v>
      </c>
      <c r="F177" s="107">
        <v>19779.6</v>
      </c>
      <c r="G177" s="107">
        <v>17430.67</v>
      </c>
      <c r="H177" s="108">
        <f t="shared" si="1"/>
      </c>
      <c r="I177" s="108">
        <f t="shared" si="0"/>
      </c>
      <c r="J177" s="108">
        <f t="shared" si="2"/>
      </c>
      <c r="K177" s="107">
        <v>4</v>
      </c>
      <c r="L177" s="109">
        <v>5024.399999999999</v>
      </c>
      <c r="M177" s="145"/>
      <c r="N177" s="145"/>
      <c r="O177" s="146" t="s">
        <v>182</v>
      </c>
      <c r="P177" s="116">
        <v>12</v>
      </c>
    </row>
    <row r="178">
      <c r="A178" s="129" t="s">
        <v>225</v>
      </c>
      <c r="B178" s="130" t="s">
        <v>173</v>
      </c>
      <c r="C178" s="131" t="s">
        <v>184</v>
      </c>
      <c r="D178" s="131">
        <v>4</v>
      </c>
      <c r="E178" s="107">
        <v>15</v>
      </c>
      <c r="F178" s="107">
        <v>12888</v>
      </c>
      <c r="G178" s="142">
        <v>10955.88</v>
      </c>
      <c r="H178" s="108">
        <f t="shared" si="1"/>
      </c>
      <c r="I178" s="108">
        <f t="shared" si="0"/>
      </c>
      <c r="J178" s="108">
        <f t="shared" si="2"/>
      </c>
      <c r="K178" s="107">
        <v>5</v>
      </c>
      <c r="L178" s="109">
        <v>3872.4000000000005</v>
      </c>
      <c r="M178" s="147" t="s">
        <v>185</v>
      </c>
      <c r="N178" s="148">
        <v>8</v>
      </c>
      <c r="O178" s="116"/>
      <c r="P178" s="116"/>
    </row>
    <row r="179">
      <c r="A179" s="129" t="s">
        <v>225</v>
      </c>
      <c r="B179" s="130" t="s">
        <v>190</v>
      </c>
      <c r="C179" s="142" t="s">
        <v>186</v>
      </c>
      <c r="D179" s="142">
        <v>5</v>
      </c>
      <c r="E179" s="107">
        <v>22</v>
      </c>
      <c r="F179" s="107">
        <v>25948.8</v>
      </c>
      <c r="G179" s="107">
        <v>22472.8</v>
      </c>
      <c r="H179" s="108">
        <f t="shared" si="1"/>
      </c>
      <c r="I179" s="108">
        <f t="shared" si="0"/>
      </c>
      <c r="J179" s="108">
        <f t="shared" si="2"/>
      </c>
      <c r="K179" s="107">
        <v>5</v>
      </c>
      <c r="L179" s="109">
        <v>4924.8</v>
      </c>
      <c r="M179" s="116"/>
      <c r="N179" s="135"/>
      <c r="O179" s="116" t="s">
        <v>178</v>
      </c>
      <c r="P179" s="116">
        <v>8</v>
      </c>
    </row>
    <row r="180">
      <c r="A180" s="129" t="s">
        <v>225</v>
      </c>
      <c r="B180" s="130" t="s">
        <v>194</v>
      </c>
      <c r="C180" s="131" t="s">
        <v>195</v>
      </c>
      <c r="D180" s="131">
        <v>4</v>
      </c>
      <c r="E180" s="107">
        <v>18</v>
      </c>
      <c r="F180" s="132">
        <v>24002.199999999993</v>
      </c>
      <c r="G180" s="132">
        <v>16738.45</v>
      </c>
      <c r="H180" s="108">
        <f t="shared" si="1"/>
      </c>
      <c r="I180" s="108">
        <f t="shared" si="0"/>
      </c>
      <c r="J180" s="108">
        <f t="shared" si="2"/>
      </c>
      <c r="K180" s="107">
        <v>2</v>
      </c>
      <c r="L180" s="149">
        <v>1048.8</v>
      </c>
      <c r="M180" s="116"/>
      <c r="N180" s="135"/>
      <c r="O180" s="116"/>
      <c r="P180" s="116"/>
    </row>
    <row r="181">
      <c r="A181" s="122" t="s">
        <v>225</v>
      </c>
      <c r="B181" s="137" t="s">
        <v>192</v>
      </c>
      <c r="C181" s="137"/>
      <c r="D181" s="138">
        <f>SUM(D175:D180)</f>
      </c>
      <c r="E181" s="138">
        <f>SUM(E175:E180)</f>
      </c>
      <c r="F181" s="138">
        <f>SUM(F175:F180)</f>
      </c>
      <c r="G181" s="138">
        <f>SUM(G175:G180)</f>
      </c>
      <c r="H181" s="126">
        <f t="shared" si="1"/>
      </c>
      <c r="I181" s="126">
        <f t="shared" si="0"/>
      </c>
      <c r="J181" s="126">
        <f t="shared" si="2"/>
      </c>
      <c r="K181" s="138">
        <f>SUM(K175:K180)</f>
      </c>
      <c r="L181" s="125">
        <f>SUM(L175:L180)</f>
      </c>
      <c r="M181" s="139"/>
      <c r="N181" s="140">
        <f>SUM(N175:N180)</f>
      </c>
      <c r="O181" s="139"/>
      <c r="P181" s="140">
        <f>SUM(P176:P180)</f>
      </c>
    </row>
    <row r="182">
      <c r="A182" s="129" t="s">
        <v>226</v>
      </c>
      <c r="B182" s="130" t="s">
        <v>194</v>
      </c>
      <c r="C182" s="131" t="s">
        <v>174</v>
      </c>
      <c r="D182" s="131">
        <v>1</v>
      </c>
      <c r="E182" s="107">
        <v>5</v>
      </c>
      <c r="F182" s="107">
        <v>4026</v>
      </c>
      <c r="G182" s="107">
        <v>3462.5600000000004</v>
      </c>
      <c r="H182" s="108">
        <f t="shared" si="1"/>
      </c>
      <c r="I182" s="108">
        <f t="shared" si="0"/>
      </c>
      <c r="J182" s="108">
        <f t="shared" si="2"/>
      </c>
      <c r="K182" s="107">
        <v>1</v>
      </c>
      <c r="L182" s="109">
        <v>336</v>
      </c>
      <c r="M182" s="105" t="s">
        <v>177</v>
      </c>
      <c r="N182" s="141">
        <v>7</v>
      </c>
      <c r="O182" s="134"/>
      <c r="P182" s="134"/>
    </row>
    <row r="183">
      <c r="A183" s="129" t="s">
        <v>226</v>
      </c>
      <c r="B183" s="130" t="s">
        <v>179</v>
      </c>
      <c r="C183" s="131" t="s">
        <v>176</v>
      </c>
      <c r="D183" s="131">
        <v>5</v>
      </c>
      <c r="E183" s="107">
        <v>16</v>
      </c>
      <c r="F183" s="107">
        <v>16026.68</v>
      </c>
      <c r="G183" s="107">
        <v>12860.269999999999</v>
      </c>
      <c r="H183" s="108">
        <f t="shared" si="1"/>
      </c>
      <c r="I183" s="108">
        <f t="shared" si="0"/>
      </c>
      <c r="J183" s="108">
        <f t="shared" si="2"/>
      </c>
      <c r="K183" s="107">
        <v>3</v>
      </c>
      <c r="L183" s="109">
        <v>1348.8</v>
      </c>
      <c r="M183" s="143" t="s">
        <v>181</v>
      </c>
      <c r="N183" s="144">
        <v>9</v>
      </c>
      <c r="O183" s="116" t="s">
        <v>178</v>
      </c>
      <c r="P183" s="116">
        <v>4</v>
      </c>
    </row>
    <row r="184">
      <c r="A184" s="129" t="s">
        <v>226</v>
      </c>
      <c r="B184" s="130" t="s">
        <v>173</v>
      </c>
      <c r="C184" s="131" t="s">
        <v>180</v>
      </c>
      <c r="D184" s="131">
        <v>5</v>
      </c>
      <c r="E184" s="107">
        <v>19</v>
      </c>
      <c r="F184" s="107">
        <v>19031.6</v>
      </c>
      <c r="G184" s="107">
        <v>16759.04</v>
      </c>
      <c r="H184" s="108">
        <f t="shared" si="1"/>
      </c>
      <c r="I184" s="108">
        <f t="shared" si="0"/>
      </c>
      <c r="J184" s="108">
        <f t="shared" si="2"/>
      </c>
      <c r="K184" s="107">
        <v>5</v>
      </c>
      <c r="L184" s="109">
        <v>5164.8</v>
      </c>
      <c r="M184" s="145"/>
      <c r="N184" s="145"/>
      <c r="O184" s="146" t="s">
        <v>182</v>
      </c>
      <c r="P184" s="116">
        <v>12</v>
      </c>
    </row>
    <row r="185">
      <c r="A185" s="129" t="s">
        <v>226</v>
      </c>
      <c r="B185" s="130" t="s">
        <v>190</v>
      </c>
      <c r="C185" s="131" t="s">
        <v>184</v>
      </c>
      <c r="D185" s="131">
        <v>4</v>
      </c>
      <c r="E185" s="107">
        <v>14</v>
      </c>
      <c r="F185" s="107">
        <v>12309</v>
      </c>
      <c r="G185" s="142">
        <v>14226.08</v>
      </c>
      <c r="H185" s="108">
        <f t="shared" si="1"/>
      </c>
      <c r="I185" s="108">
        <f t="shared" si="0"/>
      </c>
      <c r="J185" s="108">
        <f t="shared" si="2"/>
      </c>
      <c r="K185" s="107">
        <v>7</v>
      </c>
      <c r="L185" s="109">
        <v>7128</v>
      </c>
      <c r="M185" s="147" t="s">
        <v>185</v>
      </c>
      <c r="N185" s="148">
        <v>8</v>
      </c>
      <c r="O185" s="116"/>
      <c r="P185" s="116"/>
    </row>
    <row r="186">
      <c r="A186" s="129" t="s">
        <v>226</v>
      </c>
      <c r="B186" s="130" t="s">
        <v>194</v>
      </c>
      <c r="C186" s="142" t="s">
        <v>186</v>
      </c>
      <c r="D186" s="142">
        <v>5</v>
      </c>
      <c r="E186" s="107">
        <v>16</v>
      </c>
      <c r="F186" s="107">
        <v>15771.36</v>
      </c>
      <c r="G186" s="107">
        <v>16031.62</v>
      </c>
      <c r="H186" s="108">
        <f t="shared" si="1"/>
      </c>
      <c r="I186" s="108">
        <f t="shared" si="0"/>
      </c>
      <c r="J186" s="108">
        <f t="shared" si="2"/>
      </c>
      <c r="K186" s="107">
        <v>7</v>
      </c>
      <c r="L186" s="109">
        <v>3859.2000000000003</v>
      </c>
      <c r="M186" s="116"/>
      <c r="N186" s="135"/>
      <c r="O186" s="116" t="s">
        <v>178</v>
      </c>
      <c r="P186" s="116">
        <v>8</v>
      </c>
    </row>
    <row r="187">
      <c r="A187" s="129" t="s">
        <v>226</v>
      </c>
      <c r="B187" s="130" t="s">
        <v>183</v>
      </c>
      <c r="C187" s="131" t="s">
        <v>195</v>
      </c>
      <c r="D187" s="131">
        <v>4</v>
      </c>
      <c r="E187" s="107">
        <v>8</v>
      </c>
      <c r="F187" s="132">
        <v>11291.039999999999</v>
      </c>
      <c r="G187" s="132">
        <v>9639.48</v>
      </c>
      <c r="H187" s="108">
        <f t="shared" si="1"/>
      </c>
      <c r="I187" s="108">
        <f t="shared" si="0"/>
      </c>
      <c r="J187" s="108">
        <f t="shared" si="2"/>
      </c>
      <c r="K187" s="107">
        <v>0</v>
      </c>
      <c r="L187" s="109">
        <v>0</v>
      </c>
      <c r="M187" s="116"/>
      <c r="N187" s="135"/>
      <c r="O187" s="116"/>
      <c r="P187" s="116"/>
    </row>
    <row r="188">
      <c r="A188" s="122" t="s">
        <v>226</v>
      </c>
      <c r="B188" s="137" t="s">
        <v>192</v>
      </c>
      <c r="C188" s="137"/>
      <c r="D188" s="138">
        <f>SUM(D182:D187)</f>
      </c>
      <c r="E188" s="138">
        <f>SUM(E182:E187)</f>
      </c>
      <c r="F188" s="138">
        <f>SUM(F182:F187)</f>
      </c>
      <c r="G188" s="138">
        <f>SUM(G182:G187)</f>
      </c>
      <c r="H188" s="126">
        <f t="shared" si="1"/>
      </c>
      <c r="I188" s="126">
        <f t="shared" si="0"/>
      </c>
      <c r="J188" s="126">
        <f t="shared" si="2"/>
      </c>
      <c r="K188" s="138">
        <f>SUM(K182:K187)</f>
      </c>
      <c r="L188" s="125">
        <f>SUM(L182:L187)</f>
      </c>
      <c r="M188" s="139"/>
      <c r="N188" s="140">
        <f>SUM(N182:N187)</f>
      </c>
      <c r="O188" s="139"/>
      <c r="P188" s="140">
        <f>SUM(P183:P187)</f>
      </c>
    </row>
    <row r="189">
      <c r="A189" s="129" t="s">
        <v>227</v>
      </c>
      <c r="B189" s="130" t="s">
        <v>183</v>
      </c>
      <c r="C189" s="131" t="s">
        <v>174</v>
      </c>
      <c r="D189" s="131">
        <v>1</v>
      </c>
      <c r="E189" s="107">
        <v>2</v>
      </c>
      <c r="F189" s="107">
        <v>4255.2</v>
      </c>
      <c r="G189" s="107">
        <v>2487.5099999999998</v>
      </c>
      <c r="H189" s="108">
        <f t="shared" si="1"/>
      </c>
      <c r="I189" s="108">
        <f t="shared" si="0"/>
      </c>
      <c r="J189" s="108">
        <f t="shared" si="2"/>
      </c>
      <c r="K189" s="107">
        <v>0</v>
      </c>
      <c r="L189" s="109">
        <v>0</v>
      </c>
      <c r="M189" s="105" t="s">
        <v>177</v>
      </c>
      <c r="N189" s="141">
        <v>7</v>
      </c>
      <c r="O189" s="134"/>
      <c r="P189" s="134"/>
    </row>
    <row r="190">
      <c r="A190" s="129" t="s">
        <v>227</v>
      </c>
      <c r="B190" s="130" t="s">
        <v>179</v>
      </c>
      <c r="C190" s="131" t="s">
        <v>176</v>
      </c>
      <c r="D190" s="131">
        <v>5</v>
      </c>
      <c r="E190" s="107">
        <v>12</v>
      </c>
      <c r="F190" s="107">
        <v>17523.6</v>
      </c>
      <c r="G190" s="107">
        <v>12611.590000000002</v>
      </c>
      <c r="H190" s="108">
        <f t="shared" si="1"/>
      </c>
      <c r="I190" s="108">
        <f t="shared" si="0"/>
      </c>
      <c r="J190" s="108">
        <f t="shared" si="2"/>
      </c>
      <c r="K190" s="107">
        <v>5</v>
      </c>
      <c r="L190" s="109">
        <v>6806.400000000001</v>
      </c>
      <c r="M190" s="143" t="s">
        <v>181</v>
      </c>
      <c r="N190" s="144">
        <v>9</v>
      </c>
      <c r="O190" s="116" t="s">
        <v>178</v>
      </c>
      <c r="P190" s="116">
        <v>4</v>
      </c>
    </row>
    <row r="191">
      <c r="A191" s="129" t="s">
        <v>227</v>
      </c>
      <c r="B191" s="130" t="s">
        <v>190</v>
      </c>
      <c r="C191" s="131" t="s">
        <v>180</v>
      </c>
      <c r="D191" s="131">
        <v>5</v>
      </c>
      <c r="E191" s="107">
        <v>22</v>
      </c>
      <c r="F191" s="107">
        <v>30896.800000000007</v>
      </c>
      <c r="G191" s="107">
        <v>18990.88</v>
      </c>
      <c r="H191" s="108">
        <f t="shared" si="1"/>
      </c>
      <c r="I191" s="108">
        <f t="shared" si="0"/>
      </c>
      <c r="J191" s="108">
        <f t="shared" si="2"/>
      </c>
      <c r="K191" s="107">
        <v>7</v>
      </c>
      <c r="L191" s="109">
        <v>10491.4</v>
      </c>
      <c r="M191" s="145"/>
      <c r="N191" s="145"/>
      <c r="O191" s="146" t="s">
        <v>182</v>
      </c>
      <c r="P191" s="116">
        <v>12</v>
      </c>
    </row>
    <row r="192">
      <c r="A192" s="129" t="s">
        <v>227</v>
      </c>
      <c r="B192" s="130" t="s">
        <v>173</v>
      </c>
      <c r="C192" s="131" t="s">
        <v>184</v>
      </c>
      <c r="D192" s="131">
        <v>4</v>
      </c>
      <c r="E192" s="107">
        <v>21</v>
      </c>
      <c r="F192" s="107">
        <v>28411</v>
      </c>
      <c r="G192" s="142">
        <v>15098.779999999999</v>
      </c>
      <c r="H192" s="108">
        <f t="shared" si="1"/>
      </c>
      <c r="I192" s="108">
        <f t="shared" si="0"/>
      </c>
      <c r="J192" s="108">
        <f t="shared" si="2"/>
      </c>
      <c r="K192" s="107">
        <v>7</v>
      </c>
      <c r="L192" s="109">
        <v>8995.2</v>
      </c>
      <c r="M192" s="147" t="s">
        <v>185</v>
      </c>
      <c r="N192" s="148">
        <v>8</v>
      </c>
      <c r="O192" s="116"/>
      <c r="P192" s="116"/>
    </row>
    <row r="193">
      <c r="A193" s="129" t="s">
        <v>227</v>
      </c>
      <c r="B193" s="130" t="s">
        <v>194</v>
      </c>
      <c r="C193" s="142" t="s">
        <v>186</v>
      </c>
      <c r="D193" s="142">
        <v>5</v>
      </c>
      <c r="E193" s="107">
        <v>32</v>
      </c>
      <c r="F193" s="107">
        <v>38259.4</v>
      </c>
      <c r="G193" s="107">
        <v>24695.28</v>
      </c>
      <c r="H193" s="108">
        <f t="shared" si="1"/>
      </c>
      <c r="I193" s="108">
        <f t="shared" si="0"/>
      </c>
      <c r="J193" s="108">
        <f t="shared" si="2"/>
      </c>
      <c r="K193" s="107">
        <v>6</v>
      </c>
      <c r="L193" s="109">
        <v>9006</v>
      </c>
      <c r="M193" s="116"/>
      <c r="N193" s="135"/>
      <c r="O193" s="116" t="s">
        <v>178</v>
      </c>
      <c r="P193" s="116">
        <v>8</v>
      </c>
    </row>
    <row r="194">
      <c r="A194" s="129" t="s">
        <v>227</v>
      </c>
      <c r="B194" s="130" t="s">
        <v>179</v>
      </c>
      <c r="C194" s="131" t="s">
        <v>195</v>
      </c>
      <c r="D194" s="131">
        <v>4</v>
      </c>
      <c r="E194" s="107">
        <v>36</v>
      </c>
      <c r="F194" s="132">
        <v>34741.6</v>
      </c>
      <c r="G194" s="132">
        <v>21982.920000000002</v>
      </c>
      <c r="H194" s="108">
        <f t="shared" si="1"/>
      </c>
      <c r="I194" s="108">
        <f t="shared" si="0"/>
      </c>
      <c r="J194" s="108">
        <f t="shared" si="2"/>
      </c>
      <c r="K194" s="107">
        <v>8</v>
      </c>
      <c r="L194" s="109">
        <v>4136.400000000001</v>
      </c>
      <c r="M194" s="116"/>
      <c r="N194" s="135"/>
      <c r="O194" s="116"/>
      <c r="P194" s="116"/>
    </row>
    <row r="195">
      <c r="A195" s="122" t="s">
        <v>227</v>
      </c>
      <c r="B195" s="137" t="s">
        <v>192</v>
      </c>
      <c r="C195" s="137"/>
      <c r="D195" s="138">
        <f>SUM(D189:D194)</f>
      </c>
      <c r="E195" s="138">
        <f>SUM(E189:E194)</f>
      </c>
      <c r="F195" s="138">
        <f>SUM(F189:F194)</f>
      </c>
      <c r="G195" s="138">
        <f>SUM(G189:G194)</f>
      </c>
      <c r="H195" s="126">
        <f t="shared" si="1"/>
      </c>
      <c r="I195" s="126">
        <f t="shared" si="0"/>
      </c>
      <c r="J195" s="126">
        <f t="shared" si="2"/>
      </c>
      <c r="K195" s="138">
        <f>SUM(K189:K194)</f>
      </c>
      <c r="L195" s="125">
        <f>SUM(L189:L194)</f>
      </c>
      <c r="M195" s="139"/>
      <c r="N195" s="140">
        <f>SUM(N189:N194)</f>
      </c>
      <c r="O195" s="139"/>
      <c r="P195" s="140">
        <f>SUM(P190:P194)</f>
      </c>
    </row>
    <row r="196">
      <c r="A196" s="129" t="s">
        <v>228</v>
      </c>
      <c r="B196" s="130" t="s">
        <v>179</v>
      </c>
      <c r="C196" s="131" t="s">
        <v>174</v>
      </c>
      <c r="D196" s="131">
        <v>1</v>
      </c>
      <c r="E196" s="107">
        <v>5</v>
      </c>
      <c r="F196" s="107">
        <v>5928</v>
      </c>
      <c r="G196" s="107">
        <v>4390.86</v>
      </c>
      <c r="H196" s="108">
        <f t="shared" si="1"/>
      </c>
      <c r="I196" s="108">
        <f t="shared" si="0"/>
      </c>
      <c r="J196" s="108">
        <f t="shared" si="2"/>
      </c>
      <c r="K196" s="107">
        <v>0</v>
      </c>
      <c r="L196" s="109">
        <v>0</v>
      </c>
      <c r="M196" s="105" t="s">
        <v>177</v>
      </c>
      <c r="N196" s="141">
        <v>7</v>
      </c>
      <c r="O196" s="134"/>
      <c r="P196" s="134"/>
    </row>
    <row r="197">
      <c r="A197" s="129" t="s">
        <v>228</v>
      </c>
      <c r="B197" s="130" t="s">
        <v>183</v>
      </c>
      <c r="C197" s="131" t="s">
        <v>176</v>
      </c>
      <c r="D197" s="131">
        <v>5</v>
      </c>
      <c r="E197" s="107">
        <v>11</v>
      </c>
      <c r="F197" s="107">
        <v>14156.400000000001</v>
      </c>
      <c r="G197" s="107">
        <v>12844.89</v>
      </c>
      <c r="H197" s="108">
        <f t="shared" si="1"/>
      </c>
      <c r="I197" s="108">
        <f t="shared" si="0"/>
      </c>
      <c r="J197" s="108">
        <f t="shared" si="2"/>
      </c>
      <c r="K197" s="107">
        <v>3</v>
      </c>
      <c r="L197" s="109">
        <v>5685.6</v>
      </c>
      <c r="M197" s="143" t="s">
        <v>181</v>
      </c>
      <c r="N197" s="144">
        <v>9</v>
      </c>
      <c r="O197" s="116" t="s">
        <v>178</v>
      </c>
      <c r="P197" s="116">
        <v>4</v>
      </c>
    </row>
    <row r="198">
      <c r="A198" s="129" t="s">
        <v>228</v>
      </c>
      <c r="B198" s="130" t="s">
        <v>190</v>
      </c>
      <c r="C198" s="131" t="s">
        <v>180</v>
      </c>
      <c r="D198" s="131">
        <v>5</v>
      </c>
      <c r="E198" s="107">
        <v>21</v>
      </c>
      <c r="F198" s="107">
        <v>23145</v>
      </c>
      <c r="G198" s="107">
        <v>19780.82</v>
      </c>
      <c r="H198" s="108">
        <f t="shared" si="1"/>
      </c>
      <c r="I198" s="108">
        <f t="shared" si="0"/>
      </c>
      <c r="J198" s="108">
        <f t="shared" si="2"/>
      </c>
      <c r="K198" s="107">
        <v>4</v>
      </c>
      <c r="L198" s="109">
        <v>3609.6</v>
      </c>
      <c r="M198" s="145"/>
      <c r="N198" s="145"/>
      <c r="O198" s="146" t="s">
        <v>182</v>
      </c>
      <c r="P198" s="116">
        <v>12</v>
      </c>
    </row>
    <row r="199">
      <c r="A199" s="129" t="s">
        <v>228</v>
      </c>
      <c r="B199" s="130" t="s">
        <v>194</v>
      </c>
      <c r="C199" s="142" t="s">
        <v>229</v>
      </c>
      <c r="D199" s="142">
        <v>5</v>
      </c>
      <c r="E199" s="107">
        <v>16</v>
      </c>
      <c r="F199" s="107">
        <v>18650.4</v>
      </c>
      <c r="G199" s="142">
        <v>18944.739999999998</v>
      </c>
      <c r="H199" s="108">
        <f t="shared" si="1"/>
      </c>
      <c r="I199" s="108">
        <f t="shared" si="0"/>
      </c>
      <c r="J199" s="108">
        <f t="shared" si="2"/>
      </c>
      <c r="K199" s="107">
        <v>2</v>
      </c>
      <c r="L199" s="109">
        <v>1651.2</v>
      </c>
      <c r="M199" s="147" t="s">
        <v>185</v>
      </c>
      <c r="N199" s="150">
        <v>4</v>
      </c>
      <c r="O199" s="116"/>
      <c r="P199" s="116"/>
    </row>
    <row r="200">
      <c r="A200" s="129" t="s">
        <v>228</v>
      </c>
      <c r="B200" s="130" t="s">
        <v>173</v>
      </c>
      <c r="C200" s="142" t="s">
        <v>195</v>
      </c>
      <c r="D200" s="142">
        <v>4</v>
      </c>
      <c r="E200" s="107">
        <v>15</v>
      </c>
      <c r="F200" s="107">
        <v>16268.400000000001</v>
      </c>
      <c r="G200" s="107">
        <v>16957.86</v>
      </c>
      <c r="H200" s="108">
        <f t="shared" si="1"/>
      </c>
      <c r="I200" s="108">
        <f t="shared" si="0"/>
      </c>
      <c r="J200" s="108">
        <f t="shared" si="2"/>
      </c>
      <c r="K200" s="107">
        <v>1</v>
      </c>
      <c r="L200" s="109">
        <v>1344</v>
      </c>
      <c r="M200" s="116"/>
      <c r="N200" s="135"/>
      <c r="O200" s="116" t="s">
        <v>178</v>
      </c>
      <c r="P200" s="116">
        <v>8</v>
      </c>
    </row>
    <row r="201">
      <c r="A201" s="122" t="s">
        <v>228</v>
      </c>
      <c r="B201" s="137" t="s">
        <v>192</v>
      </c>
      <c r="C201" s="137"/>
      <c r="D201" s="138">
        <f>SUM(D196:D200)</f>
      </c>
      <c r="E201" s="138">
        <f>SUM(E196:E200)</f>
      </c>
      <c r="F201" s="138">
        <f>SUM(F196:F200)</f>
      </c>
      <c r="G201" s="138">
        <f>SUM(G196:G200)</f>
      </c>
      <c r="H201" s="126">
        <f t="shared" si="1"/>
      </c>
      <c r="I201" s="126">
        <f t="shared" si="0"/>
      </c>
      <c r="J201" s="126">
        <f t="shared" si="2"/>
      </c>
      <c r="K201" s="138">
        <f>SUM(K196:K200)</f>
      </c>
      <c r="L201" s="125">
        <f>SUM(L196:L200)</f>
      </c>
      <c r="M201" s="139"/>
      <c r="N201" s="140">
        <f>SUM(N196:N200)</f>
      </c>
      <c r="O201" s="139"/>
      <c r="P201" s="140">
        <f>SUM(P197:P200)</f>
      </c>
    </row>
    <row r="202">
      <c r="A202" s="129" t="s">
        <v>230</v>
      </c>
      <c r="B202" s="130" t="s">
        <v>173</v>
      </c>
      <c r="C202" s="131" t="s">
        <v>174</v>
      </c>
      <c r="D202" s="131">
        <v>1</v>
      </c>
      <c r="E202" s="107">
        <v>3</v>
      </c>
      <c r="F202" s="107">
        <v>5529.6</v>
      </c>
      <c r="G202" s="107">
        <v>3044.3</v>
      </c>
      <c r="H202" s="108">
        <f t="shared" si="1"/>
      </c>
      <c r="I202" s="108">
        <f t="shared" si="0"/>
      </c>
      <c r="J202" s="108">
        <f t="shared" si="2"/>
      </c>
      <c r="K202" s="107">
        <v>0</v>
      </c>
      <c r="L202" s="109">
        <v>0</v>
      </c>
      <c r="M202" s="105" t="s">
        <v>177</v>
      </c>
      <c r="N202" s="141">
        <v>7</v>
      </c>
      <c r="O202" s="134"/>
      <c r="P202" s="134"/>
    </row>
    <row r="203">
      <c r="A203" s="129" t="s">
        <v>230</v>
      </c>
      <c r="B203" s="130" t="s">
        <v>183</v>
      </c>
      <c r="C203" s="131" t="s">
        <v>176</v>
      </c>
      <c r="D203" s="151">
        <f>5-1.5</f>
      </c>
      <c r="E203" s="107">
        <v>15</v>
      </c>
      <c r="F203" s="107">
        <v>19674</v>
      </c>
      <c r="G203" s="107">
        <v>12231.63</v>
      </c>
      <c r="H203" s="108">
        <f t="shared" si="1"/>
      </c>
      <c r="I203" s="108">
        <f t="shared" si="0"/>
      </c>
      <c r="J203" s="108">
        <f t="shared" si="2"/>
      </c>
      <c r="K203" s="107">
        <v>4</v>
      </c>
      <c r="L203" s="109">
        <v>6699.599999999999</v>
      </c>
      <c r="M203" s="143" t="s">
        <v>181</v>
      </c>
      <c r="N203" s="144">
        <v>9</v>
      </c>
      <c r="O203" s="116" t="s">
        <v>178</v>
      </c>
      <c r="P203" s="116">
        <v>4</v>
      </c>
    </row>
    <row r="204">
      <c r="A204" s="129" t="s">
        <v>230</v>
      </c>
      <c r="B204" s="130" t="s">
        <v>194</v>
      </c>
      <c r="C204" s="131" t="s">
        <v>180</v>
      </c>
      <c r="D204" s="131">
        <v>5</v>
      </c>
      <c r="E204" s="107">
        <v>36</v>
      </c>
      <c r="F204" s="107">
        <v>46596.75</v>
      </c>
      <c r="G204" s="107">
        <v>32847.26</v>
      </c>
      <c r="H204" s="108">
        <f t="shared" si="1"/>
      </c>
      <c r="I204" s="108">
        <f t="shared" si="0"/>
      </c>
      <c r="J204" s="108">
        <f t="shared" si="2"/>
      </c>
      <c r="K204" s="107">
        <v>11</v>
      </c>
      <c r="L204" s="109">
        <v>9799.95</v>
      </c>
      <c r="M204" s="145"/>
      <c r="N204" s="145"/>
      <c r="O204" s="146" t="s">
        <v>182</v>
      </c>
      <c r="P204" s="116">
        <v>12</v>
      </c>
    </row>
    <row r="205">
      <c r="A205" s="129" t="s">
        <v>230</v>
      </c>
      <c r="B205" s="130" t="s">
        <v>179</v>
      </c>
      <c r="C205" s="131" t="s">
        <v>184</v>
      </c>
      <c r="D205" s="131">
        <v>4</v>
      </c>
      <c r="E205" s="107">
        <v>16</v>
      </c>
      <c r="F205" s="107">
        <v>17325.6</v>
      </c>
      <c r="G205" s="142">
        <v>12801.85</v>
      </c>
      <c r="H205" s="108">
        <f t="shared" si="1"/>
      </c>
      <c r="I205" s="108">
        <f t="shared" si="0"/>
      </c>
      <c r="J205" s="108">
        <f t="shared" si="2"/>
      </c>
      <c r="K205" s="107">
        <v>5</v>
      </c>
      <c r="L205" s="109">
        <v>3053.9999999999977</v>
      </c>
      <c r="M205" s="147" t="s">
        <v>185</v>
      </c>
      <c r="N205" s="148">
        <v>8</v>
      </c>
      <c r="O205" s="116"/>
      <c r="P205" s="116"/>
    </row>
    <row r="206">
      <c r="A206" s="129" t="s">
        <v>230</v>
      </c>
      <c r="B206" s="130" t="s">
        <v>173</v>
      </c>
      <c r="C206" s="142" t="s">
        <v>186</v>
      </c>
      <c r="D206" s="152">
        <f>5-1.5</f>
      </c>
      <c r="E206" s="107">
        <v>13</v>
      </c>
      <c r="F206" s="107">
        <v>14391.6</v>
      </c>
      <c r="G206" s="107">
        <v>12844.59</v>
      </c>
      <c r="H206" s="108">
        <f t="shared" si="1"/>
      </c>
      <c r="I206" s="108">
        <f t="shared" si="0"/>
      </c>
      <c r="J206" s="108">
        <f t="shared" si="2"/>
      </c>
      <c r="K206" s="107">
        <v>4</v>
      </c>
      <c r="L206" s="109">
        <v>5588.4</v>
      </c>
      <c r="M206" s="116"/>
      <c r="N206" s="135"/>
      <c r="O206" s="116" t="s">
        <v>178</v>
      </c>
      <c r="P206" s="116">
        <v>8</v>
      </c>
    </row>
    <row r="207">
      <c r="A207" s="129" t="s">
        <v>230</v>
      </c>
      <c r="B207" s="130" t="s">
        <v>175</v>
      </c>
      <c r="C207" s="131" t="s">
        <v>195</v>
      </c>
      <c r="D207" s="131">
        <v>4</v>
      </c>
      <c r="E207" s="107">
        <v>13</v>
      </c>
      <c r="F207" s="132">
        <v>12577.2</v>
      </c>
      <c r="G207" s="132">
        <v>12677.35</v>
      </c>
      <c r="H207" s="108">
        <f t="shared" si="1"/>
      </c>
      <c r="I207" s="108">
        <f t="shared" si="0"/>
      </c>
      <c r="J207" s="108">
        <f t="shared" si="2"/>
      </c>
      <c r="K207" s="107">
        <v>2</v>
      </c>
      <c r="L207" s="109">
        <v>3006</v>
      </c>
      <c r="M207" s="116"/>
      <c r="N207" s="135"/>
      <c r="O207" s="116"/>
      <c r="P207" s="116"/>
    </row>
    <row r="208">
      <c r="A208" s="122" t="s">
        <v>230</v>
      </c>
      <c r="B208" s="137" t="s">
        <v>192</v>
      </c>
      <c r="C208" s="137"/>
      <c r="D208" s="138">
        <f>SUM(D202:D207)</f>
      </c>
      <c r="E208" s="138">
        <f>SUM(E202:E207)</f>
      </c>
      <c r="F208" s="138">
        <f>SUM(F202:F207)</f>
      </c>
      <c r="G208" s="138">
        <f>SUM(G202:G207)</f>
      </c>
      <c r="H208" s="126">
        <f t="shared" si="1"/>
      </c>
      <c r="I208" s="126">
        <f t="shared" si="0"/>
      </c>
      <c r="J208" s="126">
        <f t="shared" si="2"/>
      </c>
      <c r="K208" s="138">
        <f>SUM(K202:K207)</f>
      </c>
      <c r="L208" s="125">
        <f>SUM(L202:L207)</f>
      </c>
      <c r="M208" s="139"/>
      <c r="N208" s="140">
        <f>SUM(N202:N207)</f>
      </c>
      <c r="O208" s="139"/>
      <c r="P208" s="140">
        <f>SUM(P203:P207)</f>
      </c>
    </row>
    <row r="209">
      <c r="A209" s="129" t="s">
        <v>231</v>
      </c>
      <c r="B209" s="130" t="s">
        <v>175</v>
      </c>
      <c r="C209" s="131" t="s">
        <v>174</v>
      </c>
      <c r="D209" s="131">
        <v>1</v>
      </c>
      <c r="E209" s="107">
        <v>3</v>
      </c>
      <c r="F209" s="107">
        <v>4070.4</v>
      </c>
      <c r="G209" s="107">
        <v>3122.8599999999997</v>
      </c>
      <c r="H209" s="108">
        <f t="shared" si="1"/>
      </c>
      <c r="I209" s="108">
        <f t="shared" si="0"/>
      </c>
      <c r="J209" s="108">
        <f t="shared" si="2"/>
      </c>
      <c r="K209" s="107">
        <v>2</v>
      </c>
      <c r="L209" s="109">
        <v>2978.4</v>
      </c>
      <c r="M209" s="105" t="s">
        <v>177</v>
      </c>
      <c r="N209" s="141">
        <v>7</v>
      </c>
      <c r="O209" s="134"/>
      <c r="P209" s="134"/>
    </row>
    <row r="210">
      <c r="A210" s="129" t="s">
        <v>231</v>
      </c>
      <c r="B210" s="130" t="s">
        <v>190</v>
      </c>
      <c r="C210" s="131" t="s">
        <v>176</v>
      </c>
      <c r="D210" s="151">
        <f>5-0.75</f>
      </c>
      <c r="E210" s="107">
        <v>10</v>
      </c>
      <c r="F210" s="107">
        <v>8037.6</v>
      </c>
      <c r="G210" s="107">
        <v>11201.509999999998</v>
      </c>
      <c r="H210" s="108">
        <f t="shared" si="1"/>
      </c>
      <c r="I210" s="108">
        <f t="shared" si="0"/>
      </c>
      <c r="J210" s="108">
        <f t="shared" si="2"/>
      </c>
      <c r="K210" s="107">
        <v>2</v>
      </c>
      <c r="L210" s="109">
        <v>1890</v>
      </c>
      <c r="M210" s="143" t="s">
        <v>181</v>
      </c>
      <c r="N210" s="144">
        <v>9</v>
      </c>
      <c r="O210" s="116" t="s">
        <v>178</v>
      </c>
      <c r="P210" s="116">
        <v>4</v>
      </c>
    </row>
    <row r="211">
      <c r="A211" s="129" t="s">
        <v>231</v>
      </c>
      <c r="B211" s="130" t="s">
        <v>194</v>
      </c>
      <c r="C211" s="131" t="s">
        <v>180</v>
      </c>
      <c r="D211" s="151">
        <f>5-0.5</f>
      </c>
      <c r="E211" s="107">
        <v>23</v>
      </c>
      <c r="F211" s="107">
        <v>25705.760000000002</v>
      </c>
      <c r="G211" s="107">
        <v>24153.78</v>
      </c>
      <c r="H211" s="108">
        <f t="shared" si="1"/>
      </c>
      <c r="I211" s="108">
        <f t="shared" si="0"/>
      </c>
      <c r="J211" s="108">
        <f t="shared" si="2"/>
      </c>
      <c r="K211" s="107">
        <v>4</v>
      </c>
      <c r="L211" s="109">
        <v>4326</v>
      </c>
      <c r="M211" s="145"/>
      <c r="N211" s="145"/>
      <c r="O211" s="146" t="s">
        <v>182</v>
      </c>
      <c r="P211" s="116">
        <v>12</v>
      </c>
    </row>
    <row r="212">
      <c r="A212" s="129" t="s">
        <v>231</v>
      </c>
      <c r="B212" s="130" t="s">
        <v>179</v>
      </c>
      <c r="C212" s="131" t="s">
        <v>184</v>
      </c>
      <c r="D212" s="151">
        <f>4-1</f>
      </c>
      <c r="E212" s="107">
        <v>2</v>
      </c>
      <c r="F212" s="107">
        <v>2023.199999999997</v>
      </c>
      <c r="G212" s="142">
        <v>6196.03</v>
      </c>
      <c r="H212" s="108">
        <f t="shared" si="1"/>
      </c>
      <c r="I212" s="108">
        <f t="shared" si="0"/>
      </c>
      <c r="J212" s="108">
        <f t="shared" si="2"/>
      </c>
      <c r="K212" s="107">
        <v>1</v>
      </c>
      <c r="L212" s="109">
        <v>360</v>
      </c>
      <c r="M212" s="153" t="s">
        <v>232</v>
      </c>
      <c r="N212" s="148">
        <v>8</v>
      </c>
      <c r="O212" s="116"/>
      <c r="P212" s="116"/>
    </row>
    <row r="213">
      <c r="A213" s="129" t="s">
        <v>231</v>
      </c>
      <c r="B213" s="130" t="s">
        <v>173</v>
      </c>
      <c r="C213" s="142" t="s">
        <v>186</v>
      </c>
      <c r="D213" s="142">
        <v>5</v>
      </c>
      <c r="E213" s="107">
        <v>11</v>
      </c>
      <c r="F213" s="107">
        <v>6679.200000000004</v>
      </c>
      <c r="G213" s="107">
        <v>6772.74</v>
      </c>
      <c r="H213" s="108">
        <f t="shared" si="1"/>
      </c>
      <c r="I213" s="108">
        <f t="shared" si="0"/>
      </c>
      <c r="J213" s="108">
        <f t="shared" si="2"/>
      </c>
      <c r="K213" s="107">
        <v>3</v>
      </c>
      <c r="L213" s="109">
        <v>1395.6</v>
      </c>
      <c r="M213" s="116"/>
      <c r="N213" s="135"/>
      <c r="O213" s="116" t="s">
        <v>178</v>
      </c>
      <c r="P213" s="116">
        <v>8</v>
      </c>
    </row>
    <row r="214">
      <c r="A214" s="129" t="s">
        <v>231</v>
      </c>
      <c r="B214" s="130" t="s">
        <v>175</v>
      </c>
      <c r="C214" s="131" t="s">
        <v>195</v>
      </c>
      <c r="D214" s="151">
        <f>4-0.75</f>
      </c>
      <c r="E214" s="107">
        <v>8</v>
      </c>
      <c r="F214" s="132">
        <v>9184.799999999996</v>
      </c>
      <c r="G214" s="132">
        <v>7304.57</v>
      </c>
      <c r="H214" s="108">
        <f t="shared" si="1"/>
      </c>
      <c r="I214" s="108">
        <f t="shared" si="0"/>
      </c>
      <c r="J214" s="108">
        <f t="shared" si="2"/>
      </c>
      <c r="K214" s="107">
        <v>0</v>
      </c>
      <c r="L214" s="109">
        <v>0</v>
      </c>
      <c r="M214" s="116"/>
      <c r="N214" s="135"/>
      <c r="O214" s="116"/>
      <c r="P214" s="116"/>
    </row>
    <row r="215">
      <c r="A215" s="122" t="s">
        <v>231</v>
      </c>
      <c r="B215" s="137" t="s">
        <v>192</v>
      </c>
      <c r="C215" s="137"/>
      <c r="D215" s="138">
        <f>SUM(D209:D214)</f>
      </c>
      <c r="E215" s="138">
        <f>SUM(E209:E214)</f>
      </c>
      <c r="F215" s="138">
        <f>SUM(F209:F214)</f>
      </c>
      <c r="G215" s="138">
        <f>SUM(G209:G214)</f>
      </c>
      <c r="H215" s="126">
        <f t="shared" si="1"/>
      </c>
      <c r="I215" s="126">
        <f t="shared" si="0"/>
      </c>
      <c r="J215" s="126">
        <f t="shared" si="2"/>
      </c>
      <c r="K215" s="138">
        <f>SUM(K209:K214)</f>
      </c>
      <c r="L215" s="125">
        <f>SUM(L209:L214)</f>
      </c>
      <c r="M215" s="139"/>
      <c r="N215" s="140">
        <f>SUM(N209:N214)</f>
      </c>
      <c r="O215" s="139"/>
      <c r="P215" s="140">
        <f>SUM(P210:P214)</f>
      </c>
    </row>
    <row r="216"/>
    <row r="217"/>
    <row r="218"/>
    <row r="219"/>
    <row r="220"/>
    <row r="221">
      <c r="I221" s="154"/>
      <c r="J221" s="154"/>
    </row>
    <row r="222">
      <c r="I222" s="155"/>
      <c r="J222" s="155"/>
    </row>
    <row r="223">
      <c r="I223" s="155"/>
      <c r="J223" s="155"/>
    </row>
    <row r="224">
      <c r="I224" s="155"/>
      <c r="J224" s="155"/>
    </row>
    <row r="225">
      <c r="I225" s="155"/>
      <c r="J225" s="155"/>
    </row>
    <row r="226">
      <c r="I226" s="155"/>
      <c r="J226" s="155"/>
    </row>
    <row r="227">
      <c r="I227" s="155"/>
      <c r="J227" s="155"/>
    </row>
    <row r="228">
      <c r="I228" s="155"/>
      <c r="J228" s="155"/>
    </row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>
      <c r="Q312" s="156"/>
      <c r="R312" s="156"/>
      <c r="S312" s="156"/>
      <c r="T312" s="156"/>
    </row>
    <row r="313">
      <c r="Q313" s="156"/>
      <c r="R313" s="156"/>
      <c r="S313" s="156"/>
      <c r="T313" s="156"/>
    </row>
    <row r="314">
      <c r="Q314" s="156"/>
      <c r="R314" s="156"/>
      <c r="S314" s="156"/>
      <c r="T314" s="156"/>
    </row>
    <row r="315">
      <c r="Q315" s="156"/>
      <c r="R315" s="156"/>
      <c r="S315" s="156"/>
      <c r="T315" s="156"/>
    </row>
    <row r="316">
      <c r="Q316" s="156"/>
      <c r="R316" s="156"/>
      <c r="S316" s="156"/>
      <c r="T316" s="156"/>
    </row>
    <row r="317">
      <c r="Q317" s="156"/>
      <c r="R317" s="156"/>
      <c r="S317" s="156"/>
      <c r="T317" s="156"/>
    </row>
    <row r="318">
      <c r="Q318" s="156"/>
      <c r="R318" s="156"/>
      <c r="S318" s="156"/>
      <c r="T318" s="156"/>
    </row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>
      <c r="F505" s="157"/>
      <c r="G505" s="157"/>
      <c r="H505" s="108"/>
    </row>
    <row r="506">
      <c r="F506" s="157"/>
      <c r="G506" s="157"/>
      <c r="H506" s="108"/>
    </row>
    <row r="507">
      <c r="H507" s="158"/>
    </row>
  </sheetData>
  <autoFilter ref="A1:T507"/>
  <dataValidations count="1">
    <dataValidation allowBlank="true" errorStyle="stop" showErrorMessage="true" sqref="B2:B8 B10:B13 B15:B20 B22:B27 B29:B34 B36:B41 B43:B48 B50:B55 B57:B62 B64:B69 B71:B75 B77:B82 B84:B89 B91:B96 B98:B103 B105:B110 B112:B117 B119:B124 B126:B131 B133:B138 B140:B145 B147:B152 B154:B159 B161:B166 B168:B173 B175:B180 B182:B187 B189:B194 B196:B200 B202:B207 B209:B214" type="list">
      <formula1>"王硕硕,李紫瑞,刘杰宇,井欣阅,陈旭,于慧,李娜,栗敏纳"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2" min="2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159" t="s">
        <v>233</v>
      </c>
      <c r="B1" s="159" t="s">
        <v>234</v>
      </c>
      <c r="C1" s="159" t="s">
        <v>235</v>
      </c>
      <c r="D1" s="159" t="s">
        <v>236</v>
      </c>
      <c r="E1" s="159" t="s">
        <v>237</v>
      </c>
      <c r="F1" s="160" t="s">
        <v>238</v>
      </c>
      <c r="G1" s="160" t="s">
        <v>239</v>
      </c>
      <c r="H1" s="161" t="s">
        <v>240</v>
      </c>
      <c r="I1" s="161" t="s">
        <v>241</v>
      </c>
      <c r="J1" s="161" t="s">
        <v>242</v>
      </c>
      <c r="K1" s="159" t="s">
        <v>243</v>
      </c>
      <c r="L1" s="159" t="s">
        <v>244</v>
      </c>
      <c r="M1" s="159" t="s">
        <v>245</v>
      </c>
      <c r="N1" s="159" t="s">
        <v>246</v>
      </c>
      <c r="O1" s="159" t="s">
        <v>247</v>
      </c>
      <c r="P1" s="159" t="s">
        <v>248</v>
      </c>
    </row>
    <row r="2">
      <c r="A2" s="162" t="s">
        <v>249</v>
      </c>
      <c r="B2" s="163" t="s">
        <v>250</v>
      </c>
      <c r="C2" s="164" t="s">
        <v>251</v>
      </c>
      <c r="D2" s="164">
        <v>1</v>
      </c>
      <c r="E2" s="165">
        <v>9</v>
      </c>
      <c r="F2" s="165">
        <v>8748</v>
      </c>
      <c r="G2" s="166">
        <v>8410.04</v>
      </c>
      <c r="H2" s="167">
        <f t="shared" ref="H2:H223" si="1">F2/G2</f>
      </c>
      <c r="I2" s="167">
        <f t="shared" ref="I2:I223" si="3">F2/E2</f>
      </c>
      <c r="J2" s="167">
        <f t="shared" ref="J2:J223" si="2">G2/E2</f>
      </c>
      <c r="K2" s="165">
        <v>2</v>
      </c>
      <c r="L2" s="165">
        <v>768</v>
      </c>
      <c r="M2" s="165" t="s">
        <v>252</v>
      </c>
      <c r="N2" s="168">
        <v>7</v>
      </c>
      <c r="O2" s="169"/>
      <c r="P2" s="169"/>
    </row>
    <row r="3">
      <c r="A3" s="162" t="s">
        <v>249</v>
      </c>
      <c r="B3" s="163" t="s">
        <v>253</v>
      </c>
      <c r="C3" s="164" t="s">
        <v>254</v>
      </c>
      <c r="D3" s="164">
        <v>5</v>
      </c>
      <c r="E3" s="165">
        <v>39</v>
      </c>
      <c r="F3" s="165">
        <v>38850</v>
      </c>
      <c r="G3" s="166">
        <v>28535.440000000002</v>
      </c>
      <c r="H3" s="167">
        <f t="shared" si="1"/>
      </c>
      <c r="I3" s="167">
        <f t="shared" si="3"/>
      </c>
      <c r="J3" s="167">
        <f t="shared" si="2"/>
      </c>
      <c r="K3" s="165">
        <v>8</v>
      </c>
      <c r="L3" s="165">
        <v>9775.2</v>
      </c>
      <c r="M3" s="165" t="s">
        <v>255</v>
      </c>
      <c r="N3" s="170">
        <v>9</v>
      </c>
      <c r="O3" s="171"/>
      <c r="P3" s="172"/>
    </row>
    <row r="4">
      <c r="A4" s="162" t="s">
        <v>249</v>
      </c>
      <c r="B4" s="163" t="s">
        <v>256</v>
      </c>
      <c r="C4" s="173" t="s">
        <v>257</v>
      </c>
      <c r="D4" s="173">
        <v>5</v>
      </c>
      <c r="E4" s="165">
        <v>17</v>
      </c>
      <c r="F4" s="166">
        <v>13836</v>
      </c>
      <c r="G4" s="166">
        <v>21418.5</v>
      </c>
      <c r="H4" s="167">
        <f t="shared" si="1"/>
      </c>
      <c r="I4" s="167">
        <f t="shared" si="3"/>
      </c>
      <c r="J4" s="167">
        <f t="shared" si="2"/>
      </c>
      <c r="K4" s="165">
        <v>9</v>
      </c>
      <c r="L4" s="165">
        <v>6540</v>
      </c>
      <c r="M4" s="165"/>
      <c r="N4" s="174"/>
      <c r="O4" s="175" t="s">
        <v>258</v>
      </c>
      <c r="P4" s="176">
        <v>3</v>
      </c>
    </row>
    <row r="5">
      <c r="A5" s="162" t="s">
        <v>249</v>
      </c>
      <c r="B5" s="163" t="s">
        <v>259</v>
      </c>
      <c r="C5" s="164" t="s">
        <v>260</v>
      </c>
      <c r="D5" s="164">
        <v>4</v>
      </c>
      <c r="E5" s="165">
        <v>14</v>
      </c>
      <c r="F5" s="166">
        <v>19118.399999999998</v>
      </c>
      <c r="G5" s="177">
        <v>19128.649999999998</v>
      </c>
      <c r="H5" s="167">
        <f t="shared" si="1"/>
      </c>
      <c r="I5" s="167">
        <f t="shared" si="3"/>
      </c>
      <c r="J5" s="167">
        <f t="shared" si="2"/>
      </c>
      <c r="K5" s="165">
        <v>3</v>
      </c>
      <c r="L5" s="165">
        <v>4699.2</v>
      </c>
      <c r="M5" s="165" t="s">
        <v>261</v>
      </c>
      <c r="N5" s="178">
        <v>8</v>
      </c>
      <c r="O5" s="175" t="s">
        <v>262</v>
      </c>
      <c r="P5" s="176">
        <v>12</v>
      </c>
    </row>
    <row r="6">
      <c r="A6" s="162" t="s">
        <v>249</v>
      </c>
      <c r="B6" s="163" t="s">
        <v>250</v>
      </c>
      <c r="C6" s="164" t="s">
        <v>263</v>
      </c>
      <c r="D6" s="173">
        <v>4</v>
      </c>
      <c r="E6" s="165">
        <v>21</v>
      </c>
      <c r="F6" s="179">
        <v>30508.20000000001</v>
      </c>
      <c r="G6" s="176">
        <v>18626.11</v>
      </c>
      <c r="H6" s="180">
        <f t="shared" si="1"/>
      </c>
      <c r="I6" s="167">
        <f t="shared" si="3"/>
      </c>
      <c r="J6" s="167">
        <f t="shared" si="2"/>
      </c>
      <c r="K6" s="165">
        <v>8</v>
      </c>
      <c r="L6" s="165">
        <v>10917</v>
      </c>
      <c r="M6" s="181"/>
      <c r="N6" s="181"/>
      <c r="O6" s="175" t="s">
        <v>258</v>
      </c>
      <c r="P6" s="176">
        <v>9</v>
      </c>
    </row>
    <row r="7">
      <c r="A7" s="162" t="s">
        <v>249</v>
      </c>
      <c r="B7" s="163" t="s">
        <v>264</v>
      </c>
      <c r="C7" s="164" t="s">
        <v>265</v>
      </c>
      <c r="D7" s="164">
        <v>2</v>
      </c>
      <c r="E7" s="165">
        <v>7</v>
      </c>
      <c r="F7" s="165">
        <v>9292.799999999988</v>
      </c>
      <c r="G7" s="166">
        <v>9061.86</v>
      </c>
      <c r="H7" s="180">
        <f t="shared" si="1"/>
      </c>
      <c r="I7" s="167">
        <f t="shared" si="3"/>
      </c>
      <c r="J7" s="167">
        <f t="shared" si="2"/>
      </c>
      <c r="K7" s="165">
        <v>2</v>
      </c>
      <c r="L7" s="165">
        <v>2774.4</v>
      </c>
      <c r="M7" s="181"/>
      <c r="N7" s="182"/>
      <c r="O7" s="181"/>
      <c r="P7" s="181"/>
    </row>
    <row r="8">
      <c r="A8" s="162" t="s">
        <v>249</v>
      </c>
      <c r="B8" s="163" t="s">
        <v>266</v>
      </c>
      <c r="C8" s="164" t="s">
        <v>267</v>
      </c>
      <c r="D8" s="164">
        <v>3</v>
      </c>
      <c r="E8" s="165">
        <v>20</v>
      </c>
      <c r="F8" s="165">
        <v>21895</v>
      </c>
      <c r="G8" s="166">
        <v>14970.71</v>
      </c>
      <c r="H8" s="167">
        <f t="shared" si="1"/>
      </c>
      <c r="I8" s="167">
        <f t="shared" si="3"/>
      </c>
      <c r="J8" s="167">
        <f t="shared" si="2"/>
      </c>
      <c r="K8" s="165">
        <v>1</v>
      </c>
      <c r="L8" s="165">
        <v>715.2</v>
      </c>
      <c r="M8" s="181"/>
      <c r="N8" s="182"/>
      <c r="O8" s="181"/>
      <c r="P8" s="181"/>
    </row>
    <row r="9">
      <c r="A9" s="183" t="s">
        <v>249</v>
      </c>
      <c r="B9" s="184"/>
      <c r="C9" s="184"/>
      <c r="D9" s="185">
        <f>SUM(D2:D8)</f>
      </c>
      <c r="E9" s="185">
        <f>SUM(E2:E8)</f>
      </c>
      <c r="F9" s="186">
        <f>SUM(F2:F8)</f>
      </c>
      <c r="G9" s="186">
        <f>SUM(G2:G8)</f>
      </c>
      <c r="H9" s="187">
        <f t="shared" si="1"/>
      </c>
      <c r="I9" s="187">
        <f t="shared" si="3"/>
      </c>
      <c r="J9" s="187">
        <f t="shared" si="2"/>
      </c>
      <c r="K9" s="185">
        <f>SUM(K2:K8)</f>
      </c>
      <c r="L9" s="187">
        <f>SUM(L2:L8)</f>
      </c>
      <c r="M9" s="184"/>
      <c r="N9" s="185">
        <f>SUM(N2:N8)</f>
      </c>
      <c r="O9" s="184"/>
      <c r="P9" s="185">
        <f>SUM(P3:P8)</f>
      </c>
    </row>
    <row r="10">
      <c r="A10" s="162" t="s">
        <v>268</v>
      </c>
      <c r="B10" s="163" t="s">
        <v>266</v>
      </c>
      <c r="C10" s="164" t="s">
        <v>251</v>
      </c>
      <c r="D10" s="164">
        <v>1</v>
      </c>
      <c r="E10" s="165">
        <v>5</v>
      </c>
      <c r="F10" s="165">
        <v>5313.6</v>
      </c>
      <c r="G10" s="166">
        <v>3648.2799999999997</v>
      </c>
      <c r="H10" s="167">
        <f t="shared" si="1"/>
      </c>
      <c r="I10" s="167">
        <f t="shared" si="3"/>
      </c>
      <c r="J10" s="167">
        <f t="shared" si="2"/>
      </c>
      <c r="K10" s="165">
        <v>1</v>
      </c>
      <c r="L10" s="165">
        <v>1663.2</v>
      </c>
      <c r="M10" s="165" t="s">
        <v>252</v>
      </c>
      <c r="N10" s="168">
        <v>7</v>
      </c>
      <c r="O10" s="169"/>
      <c r="P10" s="169"/>
    </row>
    <row r="11">
      <c r="A11" s="162" t="s">
        <v>268</v>
      </c>
      <c r="B11" s="163" t="s">
        <v>269</v>
      </c>
      <c r="C11" s="164" t="s">
        <v>254</v>
      </c>
      <c r="D11" s="164">
        <v>5</v>
      </c>
      <c r="E11" s="165">
        <v>34</v>
      </c>
      <c r="F11" s="165">
        <v>42601.2</v>
      </c>
      <c r="G11" s="166">
        <v>28374.489999999998</v>
      </c>
      <c r="H11" s="167">
        <f t="shared" si="1"/>
      </c>
      <c r="I11" s="167">
        <f t="shared" si="3"/>
      </c>
      <c r="J11" s="167">
        <f t="shared" si="2"/>
      </c>
      <c r="K11" s="165">
        <v>12</v>
      </c>
      <c r="L11" s="165">
        <v>13639.2</v>
      </c>
      <c r="M11" s="165" t="s">
        <v>255</v>
      </c>
      <c r="N11" s="170">
        <v>9</v>
      </c>
      <c r="O11" s="171"/>
      <c r="P11" s="172"/>
    </row>
    <row r="12">
      <c r="A12" s="162" t="s">
        <v>268</v>
      </c>
      <c r="B12" s="163" t="s">
        <v>256</v>
      </c>
      <c r="C12" s="173" t="s">
        <v>257</v>
      </c>
      <c r="D12" s="173">
        <v>5</v>
      </c>
      <c r="E12" s="165">
        <v>29</v>
      </c>
      <c r="F12" s="166">
        <v>29846.200000000004</v>
      </c>
      <c r="G12" s="166">
        <v>25546.68</v>
      </c>
      <c r="H12" s="167">
        <f t="shared" si="1"/>
      </c>
      <c r="I12" s="167">
        <f t="shared" si="3"/>
      </c>
      <c r="J12" s="167">
        <f t="shared" si="2"/>
      </c>
      <c r="K12" s="165">
        <v>11</v>
      </c>
      <c r="L12" s="165">
        <v>11032.6</v>
      </c>
      <c r="M12" s="165"/>
      <c r="N12" s="174"/>
      <c r="O12" s="175" t="s">
        <v>258</v>
      </c>
      <c r="P12" s="176">
        <v>3</v>
      </c>
    </row>
    <row r="13">
      <c r="A13" s="162" t="s">
        <v>268</v>
      </c>
      <c r="B13" s="163" t="s">
        <v>264</v>
      </c>
      <c r="C13" s="164" t="s">
        <v>270</v>
      </c>
      <c r="D13" s="164">
        <v>2</v>
      </c>
      <c r="E13" s="165">
        <v>11</v>
      </c>
      <c r="F13" s="166">
        <v>12770.4</v>
      </c>
      <c r="G13" s="177">
        <v>10346.669999999998</v>
      </c>
      <c r="H13" s="167">
        <f t="shared" si="1"/>
      </c>
      <c r="I13" s="167">
        <f t="shared" si="3"/>
      </c>
      <c r="J13" s="167">
        <f t="shared" si="2"/>
      </c>
      <c r="K13" s="165">
        <v>2</v>
      </c>
      <c r="L13" s="165">
        <v>2448</v>
      </c>
      <c r="M13" s="165" t="s">
        <v>261</v>
      </c>
      <c r="N13" s="178">
        <v>8</v>
      </c>
      <c r="O13" s="175" t="s">
        <v>262</v>
      </c>
      <c r="P13" s="176">
        <v>12</v>
      </c>
    </row>
    <row r="14">
      <c r="A14" s="162" t="s">
        <v>268</v>
      </c>
      <c r="B14" s="163" t="s">
        <v>259</v>
      </c>
      <c r="C14" s="164" t="s">
        <v>271</v>
      </c>
      <c r="D14" s="164">
        <v>4</v>
      </c>
      <c r="E14" s="165">
        <v>30</v>
      </c>
      <c r="F14" s="179">
        <v>36141.59999999999</v>
      </c>
      <c r="G14" s="176">
        <v>20990.82</v>
      </c>
      <c r="H14" s="180">
        <f t="shared" si="1"/>
      </c>
      <c r="I14" s="167">
        <f t="shared" si="3"/>
      </c>
      <c r="J14" s="167">
        <f t="shared" si="2"/>
      </c>
      <c r="K14" s="165">
        <v>10</v>
      </c>
      <c r="L14" s="165">
        <v>12838.8</v>
      </c>
      <c r="M14" s="181"/>
      <c r="N14" s="181"/>
      <c r="O14" s="175" t="s">
        <v>258</v>
      </c>
      <c r="P14" s="176">
        <v>9</v>
      </c>
    </row>
    <row r="15">
      <c r="A15" s="162" t="s">
        <v>268</v>
      </c>
      <c r="B15" s="163" t="s">
        <v>250</v>
      </c>
      <c r="C15" s="164" t="s">
        <v>272</v>
      </c>
      <c r="D15" s="164">
        <v>5</v>
      </c>
      <c r="E15" s="165">
        <v>18</v>
      </c>
      <c r="F15" s="165">
        <v>15948.399999999994</v>
      </c>
      <c r="G15" s="166">
        <v>19498.769999999997</v>
      </c>
      <c r="H15" s="180">
        <f t="shared" si="1"/>
      </c>
      <c r="I15" s="167">
        <f t="shared" si="3"/>
      </c>
      <c r="J15" s="167">
        <f t="shared" si="2"/>
      </c>
      <c r="K15" s="165">
        <v>2</v>
      </c>
      <c r="L15" s="165">
        <v>2726.4</v>
      </c>
      <c r="M15" s="181"/>
      <c r="N15" s="182"/>
      <c r="O15" s="181"/>
      <c r="P15" s="181"/>
    </row>
    <row r="16">
      <c r="A16" s="162" t="s">
        <v>268</v>
      </c>
      <c r="B16" s="163" t="s">
        <v>266</v>
      </c>
      <c r="C16" s="164" t="s">
        <v>273</v>
      </c>
      <c r="D16" s="164">
        <v>2</v>
      </c>
      <c r="E16" s="165">
        <v>3</v>
      </c>
      <c r="F16" s="165">
        <v>5118</v>
      </c>
      <c r="G16" s="166">
        <v>8094.83</v>
      </c>
      <c r="H16" s="167">
        <f t="shared" si="1"/>
      </c>
      <c r="I16" s="167">
        <f t="shared" si="3"/>
      </c>
      <c r="J16" s="167">
        <f t="shared" si="2"/>
      </c>
      <c r="K16" s="165">
        <v>0</v>
      </c>
      <c r="L16" s="165">
        <v>0</v>
      </c>
      <c r="M16" s="181"/>
      <c r="N16" s="182"/>
      <c r="O16" s="181"/>
      <c r="P16" s="181"/>
    </row>
    <row r="17">
      <c r="A17" s="183" t="s">
        <v>268</v>
      </c>
      <c r="B17" s="184"/>
      <c r="C17" s="184"/>
      <c r="D17" s="185">
        <f>SUM(D10:D16)</f>
      </c>
      <c r="E17" s="185">
        <f>SUM(E10:E16)</f>
      </c>
      <c r="F17" s="186">
        <f>SUM(F10:F16)</f>
      </c>
      <c r="G17" s="186">
        <f>SUM(G10:G16)</f>
      </c>
      <c r="H17" s="187">
        <f t="shared" si="1"/>
      </c>
      <c r="I17" s="187">
        <f t="shared" si="3"/>
      </c>
      <c r="J17" s="187">
        <f t="shared" si="2"/>
      </c>
      <c r="K17" s="185">
        <f>SUM(K10:K16)</f>
      </c>
      <c r="L17" s="187">
        <f>SUM(L10:L16)</f>
      </c>
      <c r="M17" s="184"/>
      <c r="N17" s="185">
        <f>SUM(N10:N16)</f>
      </c>
      <c r="O17" s="184"/>
      <c r="P17" s="185">
        <f>SUM(P11:P16)</f>
      </c>
    </row>
    <row r="18">
      <c r="A18" s="162" t="s">
        <v>274</v>
      </c>
      <c r="B18" s="163" t="s">
        <v>266</v>
      </c>
      <c r="C18" s="164" t="s">
        <v>275</v>
      </c>
      <c r="D18" s="164">
        <v>2</v>
      </c>
      <c r="E18" s="165">
        <v>19</v>
      </c>
      <c r="F18" s="165">
        <v>20642.4</v>
      </c>
      <c r="G18" s="166">
        <v>10244.46</v>
      </c>
      <c r="H18" s="167">
        <f t="shared" si="1"/>
      </c>
      <c r="I18" s="167">
        <f t="shared" si="3"/>
      </c>
      <c r="J18" s="167">
        <f t="shared" si="2"/>
      </c>
      <c r="K18" s="165">
        <v>9</v>
      </c>
      <c r="L18" s="165">
        <v>10008</v>
      </c>
      <c r="M18" s="165" t="s">
        <v>252</v>
      </c>
      <c r="N18" s="168">
        <v>7</v>
      </c>
      <c r="O18" s="169"/>
      <c r="P18" s="169"/>
    </row>
    <row r="19">
      <c r="A19" s="162" t="s">
        <v>274</v>
      </c>
      <c r="B19" s="163" t="s">
        <v>269</v>
      </c>
      <c r="C19" s="164" t="s">
        <v>276</v>
      </c>
      <c r="D19" s="164">
        <v>4</v>
      </c>
      <c r="E19" s="165">
        <v>20</v>
      </c>
      <c r="F19" s="165">
        <v>23656.2</v>
      </c>
      <c r="G19" s="166">
        <v>17887.53</v>
      </c>
      <c r="H19" s="167">
        <f t="shared" si="1"/>
      </c>
      <c r="I19" s="167">
        <f t="shared" si="3"/>
      </c>
      <c r="J19" s="167">
        <f t="shared" si="2"/>
      </c>
      <c r="K19" s="165">
        <v>6</v>
      </c>
      <c r="L19" s="165">
        <v>6065.4</v>
      </c>
      <c r="M19" s="165" t="s">
        <v>255</v>
      </c>
      <c r="N19" s="170">
        <v>9</v>
      </c>
      <c r="O19" s="171"/>
      <c r="P19" s="172"/>
    </row>
    <row r="20">
      <c r="A20" s="162" t="s">
        <v>274</v>
      </c>
      <c r="B20" s="163" t="s">
        <v>256</v>
      </c>
      <c r="C20" s="164" t="s">
        <v>277</v>
      </c>
      <c r="D20" s="164">
        <v>4</v>
      </c>
      <c r="E20" s="165">
        <v>24</v>
      </c>
      <c r="F20" s="166">
        <v>27162</v>
      </c>
      <c r="G20" s="166">
        <v>20968.12</v>
      </c>
      <c r="H20" s="167">
        <f t="shared" si="1"/>
      </c>
      <c r="I20" s="167">
        <f t="shared" si="3"/>
      </c>
      <c r="J20" s="167">
        <f t="shared" si="2"/>
      </c>
      <c r="K20" s="165">
        <v>10</v>
      </c>
      <c r="L20" s="165">
        <v>8985.6</v>
      </c>
      <c r="M20" s="165"/>
      <c r="N20" s="174"/>
      <c r="O20" s="175" t="s">
        <v>258</v>
      </c>
      <c r="P20" s="176">
        <v>3</v>
      </c>
    </row>
    <row r="21">
      <c r="A21" s="162" t="s">
        <v>274</v>
      </c>
      <c r="B21" s="163" t="s">
        <v>250</v>
      </c>
      <c r="C21" s="164" t="s">
        <v>278</v>
      </c>
      <c r="D21" s="164">
        <v>4</v>
      </c>
      <c r="E21" s="165">
        <v>25</v>
      </c>
      <c r="F21" s="166">
        <v>25686</v>
      </c>
      <c r="G21" s="177">
        <v>17600.71</v>
      </c>
      <c r="H21" s="167">
        <f t="shared" si="1"/>
      </c>
      <c r="I21" s="167">
        <f t="shared" si="3"/>
      </c>
      <c r="J21" s="167">
        <f t="shared" si="2"/>
      </c>
      <c r="K21" s="165">
        <v>6</v>
      </c>
      <c r="L21" s="165">
        <v>6001.2</v>
      </c>
      <c r="M21" s="165" t="s">
        <v>261</v>
      </c>
      <c r="N21" s="178">
        <v>8</v>
      </c>
      <c r="O21" s="175" t="s">
        <v>262</v>
      </c>
      <c r="P21" s="176">
        <v>12</v>
      </c>
    </row>
    <row r="22">
      <c r="A22" s="162" t="s">
        <v>274</v>
      </c>
      <c r="B22" s="163" t="s">
        <v>264</v>
      </c>
      <c r="C22" s="164" t="s">
        <v>279</v>
      </c>
      <c r="D22" s="164">
        <v>4</v>
      </c>
      <c r="E22" s="165">
        <v>15</v>
      </c>
      <c r="F22" s="179">
        <v>20710.799999999985</v>
      </c>
      <c r="G22" s="176">
        <v>18212.69</v>
      </c>
      <c r="H22" s="180">
        <f t="shared" si="1"/>
      </c>
      <c r="I22" s="167">
        <f t="shared" si="3"/>
      </c>
      <c r="J22" s="167">
        <f t="shared" si="2"/>
      </c>
      <c r="K22" s="165">
        <v>4</v>
      </c>
      <c r="L22" s="165">
        <v>5016</v>
      </c>
      <c r="M22" s="181"/>
      <c r="N22" s="181"/>
      <c r="O22" s="175" t="s">
        <v>258</v>
      </c>
      <c r="P22" s="176">
        <v>9</v>
      </c>
    </row>
    <row r="23">
      <c r="A23" s="162" t="s">
        <v>274</v>
      </c>
      <c r="B23" s="163" t="s">
        <v>266</v>
      </c>
      <c r="C23" s="164" t="s">
        <v>280</v>
      </c>
      <c r="D23" s="164">
        <v>4</v>
      </c>
      <c r="E23" s="165">
        <v>21</v>
      </c>
      <c r="F23" s="165">
        <v>29819.880000000005</v>
      </c>
      <c r="G23" s="166">
        <v>17639.02</v>
      </c>
      <c r="H23" s="180">
        <f t="shared" si="1"/>
      </c>
      <c r="I23" s="167">
        <f t="shared" si="3"/>
      </c>
      <c r="J23" s="167">
        <f t="shared" si="2"/>
      </c>
      <c r="K23" s="165">
        <v>4</v>
      </c>
      <c r="L23" s="165">
        <v>6553.2</v>
      </c>
      <c r="M23" s="181"/>
      <c r="N23" s="182"/>
      <c r="O23" s="181"/>
      <c r="P23" s="181"/>
    </row>
    <row r="24">
      <c r="A24" s="162" t="s">
        <v>274</v>
      </c>
      <c r="B24" s="163" t="s">
        <v>253</v>
      </c>
      <c r="C24" s="164" t="s">
        <v>273</v>
      </c>
      <c r="D24" s="164">
        <v>2</v>
      </c>
      <c r="E24" s="165">
        <v>8</v>
      </c>
      <c r="F24" s="165">
        <v>8236.8</v>
      </c>
      <c r="G24" s="166">
        <v>10436.72</v>
      </c>
      <c r="H24" s="167">
        <f t="shared" si="1"/>
      </c>
      <c r="I24" s="167">
        <f t="shared" si="3"/>
      </c>
      <c r="J24" s="167">
        <f t="shared" si="2"/>
      </c>
      <c r="K24" s="165">
        <v>0</v>
      </c>
      <c r="L24" s="165">
        <v>0</v>
      </c>
      <c r="M24" s="181"/>
      <c r="N24" s="182"/>
      <c r="O24" s="181"/>
      <c r="P24" s="181"/>
    </row>
    <row r="25">
      <c r="A25" s="183" t="s">
        <v>274</v>
      </c>
      <c r="B25" s="184"/>
      <c r="C25" s="184"/>
      <c r="D25" s="185">
        <f>SUM(D18:D24)</f>
      </c>
      <c r="E25" s="185">
        <f>SUM(E18:E24)</f>
      </c>
      <c r="F25" s="186">
        <f>SUM(F18:F24)</f>
      </c>
      <c r="G25" s="186">
        <f>SUM(G18:G24)</f>
      </c>
      <c r="H25" s="187">
        <f t="shared" si="1"/>
      </c>
      <c r="I25" s="187">
        <f t="shared" si="3"/>
      </c>
      <c r="J25" s="187">
        <f t="shared" si="2"/>
      </c>
      <c r="K25" s="185">
        <f>SUM(K18:K24)</f>
      </c>
      <c r="L25" s="187">
        <f>SUM(L18:L24)</f>
      </c>
      <c r="M25" s="188"/>
      <c r="N25" s="189">
        <f>SUM(N18:N24)</f>
      </c>
      <c r="O25" s="188"/>
      <c r="P25" s="189">
        <f>SUM(P19:P24)</f>
      </c>
    </row>
    <row r="26">
      <c r="A26" s="162" t="s">
        <v>281</v>
      </c>
      <c r="B26" s="163" t="s">
        <v>253</v>
      </c>
      <c r="C26" s="164" t="s">
        <v>275</v>
      </c>
      <c r="D26" s="164">
        <v>2</v>
      </c>
      <c r="E26" s="165">
        <v>11</v>
      </c>
      <c r="F26" s="165">
        <v>12189.8</v>
      </c>
      <c r="G26" s="166">
        <v>7142.4</v>
      </c>
      <c r="H26" s="167">
        <f t="shared" si="1"/>
      </c>
      <c r="I26" s="167">
        <f t="shared" si="3"/>
      </c>
      <c r="J26" s="167">
        <f t="shared" si="2"/>
      </c>
      <c r="K26" s="165">
        <v>4</v>
      </c>
      <c r="L26" s="168">
        <v>5433.6</v>
      </c>
      <c r="M26" s="176" t="s">
        <v>252</v>
      </c>
      <c r="N26" s="190">
        <v>7</v>
      </c>
      <c r="O26" s="169"/>
      <c r="P26" s="169"/>
    </row>
    <row r="27">
      <c r="A27" s="162" t="s">
        <v>281</v>
      </c>
      <c r="B27" s="163" t="s">
        <v>259</v>
      </c>
      <c r="C27" s="164" t="s">
        <v>276</v>
      </c>
      <c r="D27" s="164">
        <v>4</v>
      </c>
      <c r="E27" s="165">
        <v>22</v>
      </c>
      <c r="F27" s="165">
        <v>30375</v>
      </c>
      <c r="G27" s="166">
        <v>20220.2</v>
      </c>
      <c r="H27" s="167">
        <f t="shared" si="1"/>
      </c>
      <c r="I27" s="167">
        <f t="shared" si="3"/>
      </c>
      <c r="J27" s="167">
        <f t="shared" si="2"/>
      </c>
      <c r="K27" s="165">
        <v>5</v>
      </c>
      <c r="L27" s="168">
        <v>6347.4</v>
      </c>
      <c r="M27" s="176" t="s">
        <v>255</v>
      </c>
      <c r="N27" s="191">
        <v>9</v>
      </c>
      <c r="O27" s="175" t="s">
        <v>258</v>
      </c>
      <c r="P27" s="176">
        <v>3</v>
      </c>
    </row>
    <row r="28">
      <c r="A28" s="162" t="s">
        <v>281</v>
      </c>
      <c r="B28" s="163" t="s">
        <v>250</v>
      </c>
      <c r="C28" s="164" t="s">
        <v>257</v>
      </c>
      <c r="D28" s="164">
        <v>5</v>
      </c>
      <c r="E28" s="165">
        <v>34</v>
      </c>
      <c r="F28" s="166">
        <v>51019.6</v>
      </c>
      <c r="G28" s="166">
        <v>26538.550000000003</v>
      </c>
      <c r="H28" s="167">
        <f t="shared" si="1"/>
      </c>
      <c r="I28" s="167">
        <f t="shared" si="3"/>
      </c>
      <c r="J28" s="167">
        <f t="shared" si="2"/>
      </c>
      <c r="K28" s="165">
        <v>7</v>
      </c>
      <c r="L28" s="168">
        <v>11383.2</v>
      </c>
      <c r="M28" s="176"/>
      <c r="N28" s="190"/>
      <c r="O28" s="175" t="s">
        <v>262</v>
      </c>
      <c r="P28" s="176">
        <v>12</v>
      </c>
    </row>
    <row r="29">
      <c r="A29" s="162" t="s">
        <v>281</v>
      </c>
      <c r="B29" s="163" t="s">
        <v>266</v>
      </c>
      <c r="C29" s="164" t="s">
        <v>282</v>
      </c>
      <c r="D29" s="164">
        <v>5</v>
      </c>
      <c r="E29" s="165">
        <v>33</v>
      </c>
      <c r="F29" s="179">
        <v>37791.600000000006</v>
      </c>
      <c r="G29" s="176">
        <v>28639.629999999997</v>
      </c>
      <c r="H29" s="180">
        <f t="shared" si="1"/>
      </c>
      <c r="I29" s="167">
        <f t="shared" si="3"/>
      </c>
      <c r="J29" s="167">
        <f t="shared" si="2"/>
      </c>
      <c r="K29" s="165">
        <v>11</v>
      </c>
      <c r="L29" s="168">
        <v>15218.4</v>
      </c>
      <c r="M29" s="176" t="s">
        <v>261</v>
      </c>
      <c r="N29" s="191">
        <v>8</v>
      </c>
      <c r="O29" s="175" t="s">
        <v>258</v>
      </c>
      <c r="P29" s="176">
        <v>9</v>
      </c>
    </row>
    <row r="30">
      <c r="A30" s="162" t="s">
        <v>281</v>
      </c>
      <c r="B30" s="163" t="s">
        <v>253</v>
      </c>
      <c r="C30" s="164" t="s">
        <v>283</v>
      </c>
      <c r="D30" s="164">
        <v>5</v>
      </c>
      <c r="E30" s="165">
        <v>15</v>
      </c>
      <c r="F30" s="165">
        <v>15562.8</v>
      </c>
      <c r="G30" s="166">
        <v>20308.32</v>
      </c>
      <c r="H30" s="180">
        <f t="shared" si="1"/>
      </c>
      <c r="I30" s="167">
        <f t="shared" si="3"/>
      </c>
      <c r="J30" s="167">
        <f t="shared" si="2"/>
      </c>
      <c r="K30" s="165">
        <v>4</v>
      </c>
      <c r="L30" s="168">
        <v>2679.6</v>
      </c>
      <c r="M30" s="175"/>
      <c r="N30" s="192"/>
      <c r="O30" s="175"/>
      <c r="P30" s="175"/>
    </row>
    <row r="31">
      <c r="A31" s="162" t="s">
        <v>281</v>
      </c>
      <c r="B31" s="163" t="s">
        <v>269</v>
      </c>
      <c r="C31" s="164" t="s">
        <v>267</v>
      </c>
      <c r="D31" s="164">
        <v>3</v>
      </c>
      <c r="E31" s="165">
        <v>12</v>
      </c>
      <c r="F31" s="165">
        <v>17238</v>
      </c>
      <c r="G31" s="166">
        <v>12432.97</v>
      </c>
      <c r="H31" s="167">
        <f t="shared" si="1"/>
      </c>
      <c r="I31" s="167">
        <f t="shared" si="3"/>
      </c>
      <c r="J31" s="167">
        <f t="shared" si="2"/>
      </c>
      <c r="K31" s="165">
        <v>1</v>
      </c>
      <c r="L31" s="168">
        <v>751.2</v>
      </c>
      <c r="M31" s="175"/>
      <c r="N31" s="192"/>
      <c r="O31" s="175"/>
      <c r="P31" s="175"/>
    </row>
    <row r="32">
      <c r="A32" s="183" t="s">
        <v>281</v>
      </c>
      <c r="B32" s="184"/>
      <c r="C32" s="184"/>
      <c r="D32" s="185">
        <f>SUM(D26:D31)</f>
      </c>
      <c r="E32" s="185">
        <f>SUM(E26:E31)</f>
      </c>
      <c r="F32" s="186">
        <f>SUM(F26:F31)</f>
      </c>
      <c r="G32" s="186">
        <f>SUM(G26:G31)</f>
      </c>
      <c r="H32" s="187">
        <f t="shared" si="1"/>
      </c>
      <c r="I32" s="187">
        <f t="shared" si="3"/>
      </c>
      <c r="J32" s="187">
        <f t="shared" si="2"/>
      </c>
      <c r="K32" s="185">
        <f>SUM(K26:K31)</f>
      </c>
      <c r="L32" s="193">
        <f>SUM(L26:L31)</f>
      </c>
      <c r="M32" s="194"/>
      <c r="N32" s="195">
        <f>SUM(N26:N31)</f>
      </c>
      <c r="O32" s="194"/>
      <c r="P32" s="196">
        <f>SUM(P28:P31)</f>
      </c>
    </row>
    <row r="33">
      <c r="A33" s="162" t="s">
        <v>284</v>
      </c>
      <c r="B33" s="163" t="s">
        <v>269</v>
      </c>
      <c r="C33" s="164" t="s">
        <v>275</v>
      </c>
      <c r="D33" s="164">
        <v>2</v>
      </c>
      <c r="E33" s="165">
        <v>11</v>
      </c>
      <c r="F33" s="165">
        <v>17679.6</v>
      </c>
      <c r="G33" s="166">
        <v>8755.67</v>
      </c>
      <c r="H33" s="167">
        <f t="shared" si="1"/>
      </c>
      <c r="I33" s="167">
        <f t="shared" si="3"/>
      </c>
      <c r="J33" s="167">
        <f t="shared" si="2"/>
      </c>
      <c r="K33" s="165">
        <v>3</v>
      </c>
      <c r="L33" s="168">
        <v>5751.6</v>
      </c>
      <c r="M33" s="176" t="s">
        <v>252</v>
      </c>
      <c r="N33" s="190">
        <v>7</v>
      </c>
      <c r="O33" s="169"/>
      <c r="P33" s="169"/>
    </row>
    <row r="34">
      <c r="A34" s="162" t="s">
        <v>284</v>
      </c>
      <c r="B34" s="163" t="s">
        <v>259</v>
      </c>
      <c r="C34" s="164" t="s">
        <v>276</v>
      </c>
      <c r="D34" s="164">
        <v>4</v>
      </c>
      <c r="E34" s="165">
        <v>18</v>
      </c>
      <c r="F34" s="165">
        <v>23680</v>
      </c>
      <c r="G34" s="166">
        <v>16796.86</v>
      </c>
      <c r="H34" s="167">
        <f t="shared" si="1"/>
      </c>
      <c r="I34" s="167">
        <f t="shared" si="3"/>
      </c>
      <c r="J34" s="167">
        <f t="shared" si="2"/>
      </c>
      <c r="K34" s="165">
        <v>5</v>
      </c>
      <c r="L34" s="168">
        <v>5655.6</v>
      </c>
      <c r="M34" s="176" t="s">
        <v>255</v>
      </c>
      <c r="N34" s="191">
        <v>9</v>
      </c>
      <c r="O34" s="175" t="s">
        <v>258</v>
      </c>
      <c r="P34" s="176">
        <v>3</v>
      </c>
    </row>
    <row r="35">
      <c r="A35" s="162" t="s">
        <v>284</v>
      </c>
      <c r="B35" s="163" t="s">
        <v>256</v>
      </c>
      <c r="C35" s="164" t="s">
        <v>257</v>
      </c>
      <c r="D35" s="164">
        <v>5</v>
      </c>
      <c r="E35" s="165">
        <v>39</v>
      </c>
      <c r="F35" s="166">
        <v>48552.40000000001</v>
      </c>
      <c r="G35" s="166">
        <v>34612.7</v>
      </c>
      <c r="H35" s="167">
        <f t="shared" si="1"/>
      </c>
      <c r="I35" s="167">
        <f t="shared" si="3"/>
      </c>
      <c r="J35" s="167">
        <f t="shared" si="2"/>
      </c>
      <c r="K35" s="165">
        <v>12</v>
      </c>
      <c r="L35" s="168">
        <v>17289.6</v>
      </c>
      <c r="M35" s="176"/>
      <c r="N35" s="190"/>
      <c r="O35" s="175" t="s">
        <v>262</v>
      </c>
      <c r="P35" s="176">
        <v>12</v>
      </c>
    </row>
    <row r="36">
      <c r="A36" s="162" t="s">
        <v>284</v>
      </c>
      <c r="B36" s="163" t="s">
        <v>266</v>
      </c>
      <c r="C36" s="164" t="s">
        <v>282</v>
      </c>
      <c r="D36" s="164">
        <v>5</v>
      </c>
      <c r="E36" s="165">
        <v>37</v>
      </c>
      <c r="F36" s="179">
        <v>35263.59999999999</v>
      </c>
      <c r="G36" s="176">
        <v>28243.24</v>
      </c>
      <c r="H36" s="180">
        <f t="shared" si="1"/>
      </c>
      <c r="I36" s="167">
        <f t="shared" si="3"/>
      </c>
      <c r="J36" s="167">
        <f t="shared" si="2"/>
      </c>
      <c r="K36" s="165">
        <v>9</v>
      </c>
      <c r="L36" s="168">
        <v>7812.2</v>
      </c>
      <c r="M36" s="176" t="s">
        <v>261</v>
      </c>
      <c r="N36" s="191">
        <v>8</v>
      </c>
      <c r="O36" s="175" t="s">
        <v>258</v>
      </c>
      <c r="P36" s="176">
        <v>9</v>
      </c>
    </row>
    <row r="37">
      <c r="A37" s="162" t="s">
        <v>284</v>
      </c>
      <c r="B37" s="163" t="s">
        <v>253</v>
      </c>
      <c r="C37" s="164" t="s">
        <v>283</v>
      </c>
      <c r="D37" s="164">
        <v>5</v>
      </c>
      <c r="E37" s="165">
        <v>17</v>
      </c>
      <c r="F37" s="165">
        <v>24522</v>
      </c>
      <c r="G37" s="166">
        <v>14794.38</v>
      </c>
      <c r="H37" s="180">
        <f t="shared" si="1"/>
      </c>
      <c r="I37" s="167">
        <f t="shared" si="3"/>
      </c>
      <c r="J37" s="167">
        <f t="shared" si="2"/>
      </c>
      <c r="K37" s="165">
        <v>5</v>
      </c>
      <c r="L37" s="168">
        <v>10528.8</v>
      </c>
      <c r="M37" s="175"/>
      <c r="N37" s="192"/>
      <c r="O37" s="175"/>
      <c r="P37" s="175"/>
    </row>
    <row r="38">
      <c r="A38" s="162" t="s">
        <v>284</v>
      </c>
      <c r="B38" s="163" t="s">
        <v>269</v>
      </c>
      <c r="C38" s="164" t="s">
        <v>267</v>
      </c>
      <c r="D38" s="164">
        <v>3</v>
      </c>
      <c r="E38" s="165">
        <v>13</v>
      </c>
      <c r="F38" s="165">
        <v>16972.8</v>
      </c>
      <c r="G38" s="166">
        <v>13768.55</v>
      </c>
      <c r="H38" s="167">
        <f t="shared" si="1"/>
      </c>
      <c r="I38" s="167">
        <f t="shared" si="3"/>
      </c>
      <c r="J38" s="167">
        <f t="shared" si="2"/>
      </c>
      <c r="K38" s="165">
        <v>1</v>
      </c>
      <c r="L38" s="168">
        <v>1663.2</v>
      </c>
      <c r="M38" s="175"/>
      <c r="N38" s="192"/>
      <c r="O38" s="175"/>
      <c r="P38" s="175"/>
    </row>
    <row r="39">
      <c r="A39" s="183" t="s">
        <v>284</v>
      </c>
      <c r="B39" s="184"/>
      <c r="C39" s="184"/>
      <c r="D39" s="185">
        <f>SUM(D33:D38)</f>
      </c>
      <c r="E39" s="185">
        <f>SUM(E33:E38)</f>
      </c>
      <c r="F39" s="186">
        <f>SUM(F33:F38)</f>
      </c>
      <c r="G39" s="186">
        <f>SUM(G33:G38)</f>
      </c>
      <c r="H39" s="187">
        <f t="shared" si="1"/>
      </c>
      <c r="I39" s="187">
        <f t="shared" si="3"/>
      </c>
      <c r="J39" s="187">
        <f t="shared" si="2"/>
      </c>
      <c r="K39" s="185">
        <f>SUM(K33:K38)</f>
      </c>
      <c r="L39" s="193">
        <f>SUM(L33:L38)</f>
      </c>
      <c r="M39" s="194"/>
      <c r="N39" s="195">
        <f>SUM(N33:N38)</f>
      </c>
      <c r="O39" s="194"/>
      <c r="P39" s="196">
        <f>SUM(P35:P38)</f>
      </c>
    </row>
    <row r="40">
      <c r="A40" s="162" t="s">
        <v>285</v>
      </c>
      <c r="B40" s="163" t="s">
        <v>269</v>
      </c>
      <c r="C40" s="164" t="s">
        <v>275</v>
      </c>
      <c r="D40" s="164">
        <v>2</v>
      </c>
      <c r="E40" s="165">
        <v>14</v>
      </c>
      <c r="F40" s="165">
        <v>23193.48</v>
      </c>
      <c r="G40" s="166">
        <v>13407.35</v>
      </c>
      <c r="H40" s="167">
        <f t="shared" si="1"/>
      </c>
      <c r="I40" s="167">
        <f t="shared" si="3"/>
      </c>
      <c r="J40" s="167">
        <f t="shared" si="2"/>
      </c>
      <c r="K40" s="165">
        <v>3</v>
      </c>
      <c r="L40" s="168">
        <v>4353.6</v>
      </c>
      <c r="M40" s="176" t="s">
        <v>252</v>
      </c>
      <c r="N40" s="190">
        <v>7</v>
      </c>
      <c r="O40" s="169"/>
      <c r="P40" s="169"/>
    </row>
    <row r="41">
      <c r="A41" s="162" t="s">
        <v>285</v>
      </c>
      <c r="B41" s="163" t="s">
        <v>250</v>
      </c>
      <c r="C41" s="164" t="s">
        <v>276</v>
      </c>
      <c r="D41" s="164">
        <v>4</v>
      </c>
      <c r="E41" s="165">
        <v>24</v>
      </c>
      <c r="F41" s="165">
        <v>26983</v>
      </c>
      <c r="G41" s="166">
        <v>14198.13</v>
      </c>
      <c r="H41" s="167">
        <f t="shared" si="1"/>
      </c>
      <c r="I41" s="167">
        <f t="shared" si="3"/>
      </c>
      <c r="J41" s="167">
        <f t="shared" si="2"/>
      </c>
      <c r="K41" s="165">
        <v>4</v>
      </c>
      <c r="L41" s="168">
        <v>3663.6</v>
      </c>
      <c r="M41" s="176" t="s">
        <v>255</v>
      </c>
      <c r="N41" s="191">
        <v>9</v>
      </c>
      <c r="O41" s="175" t="s">
        <v>258</v>
      </c>
      <c r="P41" s="176">
        <v>3</v>
      </c>
    </row>
    <row r="42">
      <c r="A42" s="162" t="s">
        <v>285</v>
      </c>
      <c r="B42" s="163" t="s">
        <v>256</v>
      </c>
      <c r="C42" s="164" t="s">
        <v>257</v>
      </c>
      <c r="D42" s="164">
        <v>5</v>
      </c>
      <c r="E42" s="165">
        <v>20</v>
      </c>
      <c r="F42" s="166">
        <v>24171.600000000002</v>
      </c>
      <c r="G42" s="166">
        <v>24038.100000000002</v>
      </c>
      <c r="H42" s="167">
        <f t="shared" si="1"/>
      </c>
      <c r="I42" s="167">
        <f t="shared" si="3"/>
      </c>
      <c r="J42" s="167">
        <f t="shared" si="2"/>
      </c>
      <c r="K42" s="165">
        <v>3</v>
      </c>
      <c r="L42" s="168">
        <v>3170.4</v>
      </c>
      <c r="M42" s="176"/>
      <c r="N42" s="190"/>
      <c r="O42" s="175" t="s">
        <v>262</v>
      </c>
      <c r="P42" s="176">
        <v>12</v>
      </c>
    </row>
    <row r="43">
      <c r="A43" s="162" t="s">
        <v>285</v>
      </c>
      <c r="B43" s="163" t="s">
        <v>266</v>
      </c>
      <c r="C43" s="164" t="s">
        <v>282</v>
      </c>
      <c r="D43" s="164">
        <v>5</v>
      </c>
      <c r="E43" s="165">
        <v>15</v>
      </c>
      <c r="F43" s="179">
        <v>18715.199999999997</v>
      </c>
      <c r="G43" s="176">
        <v>19365.27</v>
      </c>
      <c r="H43" s="180">
        <f t="shared" si="1"/>
      </c>
      <c r="I43" s="167">
        <f t="shared" si="3"/>
      </c>
      <c r="J43" s="167">
        <f t="shared" si="2"/>
      </c>
      <c r="K43" s="165">
        <v>4</v>
      </c>
      <c r="L43" s="168">
        <v>3056.4</v>
      </c>
      <c r="M43" s="176" t="s">
        <v>261</v>
      </c>
      <c r="N43" s="191">
        <v>8</v>
      </c>
      <c r="O43" s="175" t="s">
        <v>258</v>
      </c>
      <c r="P43" s="176">
        <v>9</v>
      </c>
    </row>
    <row r="44">
      <c r="A44" s="162" t="s">
        <v>285</v>
      </c>
      <c r="B44" s="163" t="s">
        <v>253</v>
      </c>
      <c r="C44" s="164" t="s">
        <v>283</v>
      </c>
      <c r="D44" s="164">
        <v>5</v>
      </c>
      <c r="E44" s="165">
        <v>17</v>
      </c>
      <c r="F44" s="165">
        <v>25724.399999999994</v>
      </c>
      <c r="G44" s="166">
        <v>14307.16</v>
      </c>
      <c r="H44" s="180">
        <f t="shared" si="1"/>
      </c>
      <c r="I44" s="167">
        <f t="shared" si="3"/>
      </c>
      <c r="J44" s="167">
        <f t="shared" si="2"/>
      </c>
      <c r="K44" s="165">
        <v>2</v>
      </c>
      <c r="L44" s="168">
        <v>1452</v>
      </c>
      <c r="M44" s="175"/>
      <c r="N44" s="192"/>
      <c r="O44" s="175"/>
      <c r="P44" s="175"/>
    </row>
    <row r="45">
      <c r="A45" s="162" t="s">
        <v>285</v>
      </c>
      <c r="B45" s="163" t="s">
        <v>269</v>
      </c>
      <c r="C45" s="164" t="s">
        <v>267</v>
      </c>
      <c r="D45" s="164">
        <v>3</v>
      </c>
      <c r="E45" s="165">
        <v>6</v>
      </c>
      <c r="F45" s="165">
        <v>7980.6</v>
      </c>
      <c r="G45" s="166">
        <v>9203.86</v>
      </c>
      <c r="H45" s="167">
        <f t="shared" si="1"/>
      </c>
      <c r="I45" s="167">
        <f t="shared" si="3"/>
      </c>
      <c r="J45" s="167">
        <f t="shared" si="2"/>
      </c>
      <c r="K45" s="165">
        <v>0</v>
      </c>
      <c r="L45" s="168">
        <v>0</v>
      </c>
      <c r="M45" s="175"/>
      <c r="N45" s="192"/>
      <c r="O45" s="175"/>
      <c r="P45" s="175"/>
    </row>
    <row r="46">
      <c r="A46" s="183" t="s">
        <v>285</v>
      </c>
      <c r="B46" s="184"/>
      <c r="C46" s="184"/>
      <c r="D46" s="185">
        <f>SUM(D40:D45)</f>
      </c>
      <c r="E46" s="185">
        <f>SUM(E40:E45)</f>
      </c>
      <c r="F46" s="186">
        <f>SUM(F40:F45)</f>
      </c>
      <c r="G46" s="186">
        <f>SUM(G40:G45)</f>
      </c>
      <c r="H46" s="187">
        <f t="shared" si="1"/>
      </c>
      <c r="I46" s="187">
        <f t="shared" si="3"/>
      </c>
      <c r="J46" s="187">
        <f t="shared" si="2"/>
      </c>
      <c r="K46" s="185">
        <f>SUM(K40:K45)</f>
      </c>
      <c r="L46" s="193">
        <f>SUM(L40:L45)</f>
      </c>
      <c r="M46" s="194"/>
      <c r="N46" s="195">
        <f>SUM(N40:N45)</f>
      </c>
      <c r="O46" s="194"/>
      <c r="P46" s="196">
        <f>SUM(P40:P45)</f>
      </c>
    </row>
    <row r="47">
      <c r="A47" s="162" t="s">
        <v>286</v>
      </c>
      <c r="B47" s="163" t="s">
        <v>269</v>
      </c>
      <c r="C47" s="164" t="s">
        <v>275</v>
      </c>
      <c r="D47" s="164">
        <v>2</v>
      </c>
      <c r="E47" s="165">
        <v>7</v>
      </c>
      <c r="F47" s="165">
        <v>8655.4</v>
      </c>
      <c r="G47" s="166">
        <v>9025.42</v>
      </c>
      <c r="H47" s="167">
        <f t="shared" si="1"/>
      </c>
      <c r="I47" s="167">
        <f t="shared" si="3"/>
      </c>
      <c r="J47" s="167">
        <f t="shared" si="2"/>
      </c>
      <c r="K47" s="165">
        <v>2</v>
      </c>
      <c r="L47" s="168">
        <v>2108.2</v>
      </c>
      <c r="M47" s="176" t="s">
        <v>252</v>
      </c>
      <c r="N47" s="190">
        <v>7</v>
      </c>
      <c r="O47" s="169"/>
      <c r="P47" s="169"/>
    </row>
    <row r="48">
      <c r="A48" s="162" t="s">
        <v>286</v>
      </c>
      <c r="B48" s="163" t="s">
        <v>250</v>
      </c>
      <c r="C48" s="164" t="s">
        <v>276</v>
      </c>
      <c r="D48" s="164">
        <v>4</v>
      </c>
      <c r="E48" s="165">
        <v>19</v>
      </c>
      <c r="F48" s="165">
        <v>30036.6</v>
      </c>
      <c r="G48" s="166">
        <v>16669.26</v>
      </c>
      <c r="H48" s="167">
        <f t="shared" si="1"/>
      </c>
      <c r="I48" s="167">
        <f t="shared" si="3"/>
      </c>
      <c r="J48" s="167">
        <f t="shared" si="2"/>
      </c>
      <c r="K48" s="165">
        <v>6</v>
      </c>
      <c r="L48" s="168">
        <v>6682.2</v>
      </c>
      <c r="M48" s="176" t="s">
        <v>287</v>
      </c>
      <c r="N48" s="191">
        <v>9</v>
      </c>
      <c r="O48" s="175" t="s">
        <v>258</v>
      </c>
      <c r="P48" s="176">
        <v>3</v>
      </c>
    </row>
    <row r="49">
      <c r="A49" s="162" t="s">
        <v>286</v>
      </c>
      <c r="B49" s="163" t="s">
        <v>256</v>
      </c>
      <c r="C49" s="164" t="s">
        <v>277</v>
      </c>
      <c r="D49" s="164">
        <v>4</v>
      </c>
      <c r="E49" s="165">
        <v>10</v>
      </c>
      <c r="F49" s="166">
        <v>8751.599999999999</v>
      </c>
      <c r="G49" s="166">
        <v>13925.35</v>
      </c>
      <c r="H49" s="167">
        <f t="shared" si="1"/>
      </c>
      <c r="I49" s="167">
        <f t="shared" si="3"/>
      </c>
      <c r="J49" s="167">
        <f t="shared" si="2"/>
      </c>
      <c r="K49" s="165">
        <v>3</v>
      </c>
      <c r="L49" s="168">
        <v>1816.8</v>
      </c>
      <c r="M49" s="176"/>
      <c r="N49" s="190"/>
      <c r="O49" s="175" t="s">
        <v>262</v>
      </c>
      <c r="P49" s="176">
        <v>12</v>
      </c>
    </row>
    <row r="50">
      <c r="A50" s="162" t="s">
        <v>286</v>
      </c>
      <c r="B50" s="163" t="s">
        <v>264</v>
      </c>
      <c r="C50" s="164" t="s">
        <v>278</v>
      </c>
      <c r="D50" s="164">
        <v>4</v>
      </c>
      <c r="E50" s="165">
        <v>26</v>
      </c>
      <c r="F50" s="179">
        <v>34086.00000000002</v>
      </c>
      <c r="G50" s="176">
        <v>30467.69</v>
      </c>
      <c r="H50" s="167">
        <f t="shared" si="1"/>
      </c>
      <c r="I50" s="167">
        <f t="shared" si="3"/>
      </c>
      <c r="J50" s="167">
        <f t="shared" si="2"/>
      </c>
      <c r="K50" s="165">
        <v>10</v>
      </c>
      <c r="L50" s="168">
        <v>15169.2</v>
      </c>
      <c r="M50" s="176" t="s">
        <v>261</v>
      </c>
      <c r="N50" s="191">
        <v>8</v>
      </c>
      <c r="O50" s="175" t="s">
        <v>258</v>
      </c>
      <c r="P50" s="176">
        <v>9</v>
      </c>
    </row>
    <row r="51">
      <c r="A51" s="162" t="s">
        <v>286</v>
      </c>
      <c r="B51" s="163" t="s">
        <v>253</v>
      </c>
      <c r="C51" s="164" t="s">
        <v>279</v>
      </c>
      <c r="D51" s="164">
        <v>4</v>
      </c>
      <c r="E51" s="165">
        <v>18</v>
      </c>
      <c r="F51" s="165">
        <v>20283.59999999999</v>
      </c>
      <c r="G51" s="166">
        <v>18191.91</v>
      </c>
      <c r="H51" s="167">
        <f t="shared" si="1"/>
      </c>
      <c r="I51" s="167">
        <f t="shared" si="3"/>
      </c>
      <c r="J51" s="167">
        <f t="shared" si="2"/>
      </c>
      <c r="K51" s="165">
        <v>7</v>
      </c>
      <c r="L51" s="168">
        <v>7328.4</v>
      </c>
      <c r="M51" s="175"/>
      <c r="N51" s="192"/>
      <c r="O51" s="175"/>
      <c r="P51" s="175"/>
    </row>
    <row r="52">
      <c r="A52" s="162" t="s">
        <v>286</v>
      </c>
      <c r="B52" s="163" t="s">
        <v>269</v>
      </c>
      <c r="C52" s="164" t="s">
        <v>280</v>
      </c>
      <c r="D52" s="164">
        <v>4</v>
      </c>
      <c r="E52" s="165">
        <v>3</v>
      </c>
      <c r="F52" s="165">
        <v>4917.6</v>
      </c>
      <c r="G52" s="166">
        <v>5186.58</v>
      </c>
      <c r="H52" s="167">
        <f t="shared" si="1"/>
      </c>
      <c r="I52" s="167">
        <f t="shared" si="3"/>
      </c>
      <c r="J52" s="167">
        <f t="shared" si="2"/>
      </c>
      <c r="K52" s="165">
        <v>1</v>
      </c>
      <c r="L52" s="168">
        <v>2011.2</v>
      </c>
      <c r="M52" s="175"/>
      <c r="N52" s="192"/>
      <c r="O52" s="175"/>
      <c r="P52" s="175"/>
    </row>
    <row customHeight="true" ht="16.071428571428573" r="53">
      <c r="A53" s="162" t="s">
        <v>286</v>
      </c>
      <c r="B53" s="163" t="s">
        <v>259</v>
      </c>
      <c r="C53" s="164" t="s">
        <v>273</v>
      </c>
      <c r="D53" s="164">
        <v>2</v>
      </c>
      <c r="E53" s="165">
        <v>7</v>
      </c>
      <c r="F53" s="165">
        <v>5545.2</v>
      </c>
      <c r="G53" s="166">
        <v>5422.51</v>
      </c>
      <c r="H53" s="167">
        <f t="shared" si="1"/>
      </c>
      <c r="I53" s="167">
        <f t="shared" si="3"/>
      </c>
      <c r="J53" s="167">
        <f t="shared" si="2"/>
      </c>
      <c r="K53" s="165">
        <v>1</v>
      </c>
      <c r="L53" s="168">
        <v>396</v>
      </c>
      <c r="M53" s="175"/>
      <c r="N53" s="192"/>
      <c r="O53" s="175"/>
      <c r="P53" s="175"/>
    </row>
    <row r="54">
      <c r="A54" s="183" t="s">
        <v>286</v>
      </c>
      <c r="B54" s="184"/>
      <c r="C54" s="184"/>
      <c r="D54" s="185">
        <f>SUM(D47:D53)</f>
      </c>
      <c r="E54" s="185">
        <f>SUM(E47:E53)</f>
      </c>
      <c r="F54" s="185">
        <f>SUM(F47:F53)</f>
      </c>
      <c r="G54" s="185">
        <f>SUM(G47:G53)</f>
      </c>
      <c r="H54" s="187">
        <f t="shared" si="1"/>
      </c>
      <c r="I54" s="187">
        <f t="shared" si="3"/>
      </c>
      <c r="J54" s="187">
        <f t="shared" si="2"/>
      </c>
      <c r="K54" s="185">
        <f>SUM(K47:K53)</f>
      </c>
      <c r="L54" s="185">
        <f>SUM(L47:L53)</f>
      </c>
      <c r="M54" s="194"/>
      <c r="N54" s="195">
        <f>SUM(N47:N53)</f>
      </c>
      <c r="O54" s="194"/>
      <c r="P54" s="195">
        <f>SUM(P47:P53)</f>
      </c>
    </row>
    <row r="55">
      <c r="A55" s="162" t="s">
        <v>288</v>
      </c>
      <c r="B55" s="163" t="s">
        <v>259</v>
      </c>
      <c r="C55" s="164" t="s">
        <v>275</v>
      </c>
      <c r="D55" s="164">
        <v>2</v>
      </c>
      <c r="E55" s="165">
        <v>4</v>
      </c>
      <c r="F55" s="165">
        <v>6544.8</v>
      </c>
      <c r="G55" s="166">
        <v>7676.48</v>
      </c>
      <c r="H55" s="167">
        <f t="shared" si="1"/>
      </c>
      <c r="I55" s="167">
        <f t="shared" si="3"/>
      </c>
      <c r="J55" s="167">
        <f t="shared" si="2"/>
      </c>
      <c r="K55" s="165">
        <v>1</v>
      </c>
      <c r="L55" s="168">
        <v>2407.2</v>
      </c>
      <c r="M55" s="176" t="s">
        <v>289</v>
      </c>
      <c r="N55" s="190">
        <v>7</v>
      </c>
      <c r="O55" s="169"/>
      <c r="P55" s="169"/>
    </row>
    <row r="56">
      <c r="A56" s="162" t="s">
        <v>288</v>
      </c>
      <c r="B56" s="163" t="s">
        <v>266</v>
      </c>
      <c r="C56" s="164" t="s">
        <v>276</v>
      </c>
      <c r="D56" s="164">
        <v>4</v>
      </c>
      <c r="E56" s="165">
        <v>23</v>
      </c>
      <c r="F56" s="165">
        <v>28614</v>
      </c>
      <c r="G56" s="166">
        <v>13607.429999999998</v>
      </c>
      <c r="H56" s="167">
        <f t="shared" si="1"/>
      </c>
      <c r="I56" s="167">
        <f t="shared" si="3"/>
      </c>
      <c r="J56" s="167">
        <f t="shared" si="2"/>
      </c>
      <c r="K56" s="165">
        <v>13</v>
      </c>
      <c r="L56" s="168">
        <v>13668</v>
      </c>
      <c r="M56" s="176" t="s">
        <v>287</v>
      </c>
      <c r="N56" s="191">
        <v>9</v>
      </c>
      <c r="O56" s="175" t="s">
        <v>258</v>
      </c>
      <c r="P56" s="176">
        <v>3</v>
      </c>
    </row>
    <row r="57">
      <c r="A57" s="162" t="s">
        <v>288</v>
      </c>
      <c r="B57" s="163" t="s">
        <v>256</v>
      </c>
      <c r="C57" s="164" t="s">
        <v>277</v>
      </c>
      <c r="D57" s="164">
        <v>4</v>
      </c>
      <c r="E57" s="165">
        <v>13</v>
      </c>
      <c r="F57" s="166">
        <v>14032</v>
      </c>
      <c r="G57" s="166">
        <v>20731.46</v>
      </c>
      <c r="H57" s="167">
        <f t="shared" si="1"/>
      </c>
      <c r="I57" s="167">
        <f t="shared" si="3"/>
      </c>
      <c r="J57" s="167">
        <f t="shared" si="2"/>
      </c>
      <c r="K57" s="165">
        <v>1</v>
      </c>
      <c r="L57" s="168">
        <v>715.2</v>
      </c>
      <c r="M57" s="176"/>
      <c r="N57" s="190"/>
      <c r="O57" s="175" t="s">
        <v>262</v>
      </c>
      <c r="P57" s="176">
        <v>12</v>
      </c>
    </row>
    <row r="58">
      <c r="A58" s="162" t="s">
        <v>288</v>
      </c>
      <c r="B58" s="163" t="s">
        <v>264</v>
      </c>
      <c r="C58" s="164" t="s">
        <v>278</v>
      </c>
      <c r="D58" s="164">
        <v>4</v>
      </c>
      <c r="E58" s="165">
        <v>28</v>
      </c>
      <c r="F58" s="179">
        <v>34387.200000000004</v>
      </c>
      <c r="G58" s="176">
        <v>20063.329999999998</v>
      </c>
      <c r="H58" s="167">
        <f t="shared" si="1"/>
      </c>
      <c r="I58" s="167">
        <f t="shared" si="3"/>
      </c>
      <c r="J58" s="167">
        <f t="shared" si="2"/>
      </c>
      <c r="K58" s="165">
        <v>9</v>
      </c>
      <c r="L58" s="168">
        <v>11586.2</v>
      </c>
      <c r="M58" s="176" t="s">
        <v>261</v>
      </c>
      <c r="N58" s="191">
        <v>8</v>
      </c>
      <c r="O58" s="175" t="s">
        <v>258</v>
      </c>
      <c r="P58" s="176">
        <v>9</v>
      </c>
    </row>
    <row r="59">
      <c r="A59" s="162" t="s">
        <v>288</v>
      </c>
      <c r="B59" s="163" t="s">
        <v>253</v>
      </c>
      <c r="C59" s="164" t="s">
        <v>279</v>
      </c>
      <c r="D59" s="164">
        <v>4</v>
      </c>
      <c r="E59" s="165">
        <v>19</v>
      </c>
      <c r="F59" s="165">
        <v>21971.999999999985</v>
      </c>
      <c r="G59" s="166">
        <v>21963.05</v>
      </c>
      <c r="H59" s="167">
        <f t="shared" si="1"/>
      </c>
      <c r="I59" s="167">
        <f t="shared" si="3"/>
      </c>
      <c r="J59" s="167">
        <f t="shared" si="2"/>
      </c>
      <c r="K59" s="165">
        <v>6</v>
      </c>
      <c r="L59" s="168">
        <v>6796.8</v>
      </c>
      <c r="M59" s="175"/>
      <c r="N59" s="192"/>
      <c r="O59" s="175"/>
      <c r="P59" s="175"/>
    </row>
    <row r="60">
      <c r="A60" s="162" t="s">
        <v>288</v>
      </c>
      <c r="B60" s="163" t="s">
        <v>269</v>
      </c>
      <c r="C60" s="164" t="s">
        <v>280</v>
      </c>
      <c r="D60" s="164">
        <v>4</v>
      </c>
      <c r="E60" s="165">
        <v>16</v>
      </c>
      <c r="F60" s="165">
        <v>23394</v>
      </c>
      <c r="G60" s="166">
        <v>15319.89</v>
      </c>
      <c r="H60" s="167">
        <f t="shared" si="1"/>
      </c>
      <c r="I60" s="167">
        <f t="shared" si="3"/>
      </c>
      <c r="J60" s="167">
        <f t="shared" si="2"/>
      </c>
      <c r="K60" s="165">
        <v>5</v>
      </c>
      <c r="L60" s="168">
        <v>8236.8</v>
      </c>
      <c r="M60" s="175"/>
      <c r="N60" s="192"/>
      <c r="O60" s="175"/>
      <c r="P60" s="175"/>
    </row>
    <row r="61">
      <c r="A61" s="162" t="s">
        <v>288</v>
      </c>
      <c r="B61" s="163" t="s">
        <v>259</v>
      </c>
      <c r="C61" s="164" t="s">
        <v>273</v>
      </c>
      <c r="D61" s="164">
        <v>2</v>
      </c>
      <c r="E61" s="165">
        <v>10</v>
      </c>
      <c r="F61" s="165">
        <v>13081.2</v>
      </c>
      <c r="G61" s="166">
        <v>10346.52</v>
      </c>
      <c r="H61" s="167">
        <f t="shared" si="1"/>
      </c>
      <c r="I61" s="167">
        <f t="shared" si="3"/>
      </c>
      <c r="J61" s="167">
        <f t="shared" si="2"/>
      </c>
      <c r="K61" s="165">
        <v>0</v>
      </c>
      <c r="L61" s="168">
        <v>0</v>
      </c>
      <c r="M61" s="175"/>
      <c r="N61" s="192"/>
      <c r="O61" s="175"/>
      <c r="P61" s="175"/>
    </row>
    <row r="62">
      <c r="A62" s="183" t="s">
        <v>288</v>
      </c>
      <c r="B62" s="184"/>
      <c r="C62" s="184"/>
      <c r="D62" s="185">
        <f>SUM(D55:D61)</f>
      </c>
      <c r="E62" s="185">
        <f>SUM(E55:E61)</f>
      </c>
      <c r="F62" s="185">
        <f>SUM(F55:F61)</f>
      </c>
      <c r="G62" s="185">
        <f>SUM(G55:G61)</f>
      </c>
      <c r="H62" s="187">
        <f t="shared" si="1"/>
      </c>
      <c r="I62" s="187">
        <f t="shared" si="3"/>
      </c>
      <c r="J62" s="187">
        <f t="shared" si="2"/>
      </c>
      <c r="K62" s="185">
        <f>SUM(K55:K61)</f>
      </c>
      <c r="L62" s="185">
        <f>SUM(L55:L61)</f>
      </c>
      <c r="M62" s="194"/>
      <c r="N62" s="195">
        <f>SUM(N55:N61)</f>
      </c>
      <c r="O62" s="194"/>
      <c r="P62" s="195">
        <f>SUM(P55:P61)</f>
      </c>
    </row>
    <row r="63">
      <c r="A63" s="162" t="s">
        <v>290</v>
      </c>
      <c r="B63" s="163" t="s">
        <v>259</v>
      </c>
      <c r="C63" s="164" t="s">
        <v>275</v>
      </c>
      <c r="D63" s="164">
        <v>2</v>
      </c>
      <c r="E63" s="165">
        <v>11</v>
      </c>
      <c r="F63" s="165">
        <v>12410.52</v>
      </c>
      <c r="G63" s="166">
        <v>7059.13</v>
      </c>
      <c r="H63" s="167">
        <f t="shared" si="1"/>
      </c>
      <c r="I63" s="167">
        <f t="shared" si="3"/>
      </c>
      <c r="J63" s="167">
        <f t="shared" si="2"/>
      </c>
      <c r="K63" s="165">
        <v>1</v>
      </c>
      <c r="L63" s="168">
        <v>1411.2</v>
      </c>
      <c r="M63" s="176" t="s">
        <v>289</v>
      </c>
      <c r="N63" s="190">
        <v>7</v>
      </c>
      <c r="O63" s="169"/>
      <c r="P63" s="169"/>
    </row>
    <row r="64">
      <c r="A64" s="162" t="s">
        <v>290</v>
      </c>
      <c r="B64" s="163" t="s">
        <v>266</v>
      </c>
      <c r="C64" s="164" t="s">
        <v>276</v>
      </c>
      <c r="D64" s="164">
        <v>4</v>
      </c>
      <c r="E64" s="165">
        <v>16</v>
      </c>
      <c r="F64" s="165">
        <v>17627.2</v>
      </c>
      <c r="G64" s="166">
        <v>16245.79</v>
      </c>
      <c r="H64" s="167">
        <f t="shared" si="1"/>
      </c>
      <c r="I64" s="167">
        <f t="shared" si="3"/>
      </c>
      <c r="J64" s="167">
        <f t="shared" si="2"/>
      </c>
      <c r="K64" s="165">
        <v>11</v>
      </c>
      <c r="L64" s="168">
        <v>12286.6</v>
      </c>
      <c r="M64" s="176" t="s">
        <v>255</v>
      </c>
      <c r="N64" s="191">
        <v>9</v>
      </c>
      <c r="O64" s="175" t="s">
        <v>258</v>
      </c>
      <c r="P64" s="176">
        <v>3</v>
      </c>
    </row>
    <row r="65">
      <c r="A65" s="162" t="s">
        <v>290</v>
      </c>
      <c r="B65" s="163" t="s">
        <v>253</v>
      </c>
      <c r="C65" s="164" t="s">
        <v>257</v>
      </c>
      <c r="D65" s="164">
        <v>5</v>
      </c>
      <c r="E65" s="165">
        <v>24</v>
      </c>
      <c r="F65" s="166">
        <v>30558.24</v>
      </c>
      <c r="G65" s="166">
        <v>22647.01</v>
      </c>
      <c r="H65" s="167">
        <f t="shared" si="1"/>
      </c>
      <c r="I65" s="167">
        <f t="shared" si="3"/>
      </c>
      <c r="J65" s="167">
        <f t="shared" si="2"/>
      </c>
      <c r="K65" s="165">
        <v>4</v>
      </c>
      <c r="L65" s="168">
        <v>3556.8</v>
      </c>
      <c r="M65" s="176"/>
      <c r="N65" s="190"/>
      <c r="O65" s="175" t="s">
        <v>262</v>
      </c>
      <c r="P65" s="176">
        <v>12</v>
      </c>
    </row>
    <row r="66">
      <c r="A66" s="162" t="s">
        <v>290</v>
      </c>
      <c r="B66" s="163" t="s">
        <v>264</v>
      </c>
      <c r="C66" s="164" t="s">
        <v>260</v>
      </c>
      <c r="D66" s="164">
        <v>4</v>
      </c>
      <c r="E66" s="165">
        <v>27</v>
      </c>
      <c r="F66" s="179">
        <v>33028.8</v>
      </c>
      <c r="G66" s="176">
        <v>24991.01</v>
      </c>
      <c r="H66" s="167">
        <f t="shared" si="1"/>
      </c>
      <c r="I66" s="167">
        <f t="shared" si="3"/>
      </c>
      <c r="J66" s="167">
        <f t="shared" si="2"/>
      </c>
      <c r="K66" s="165">
        <v>7</v>
      </c>
      <c r="L66" s="168">
        <v>9624</v>
      </c>
      <c r="M66" s="176" t="s">
        <v>261</v>
      </c>
      <c r="N66" s="191">
        <v>8</v>
      </c>
      <c r="O66" s="175" t="s">
        <v>258</v>
      </c>
      <c r="P66" s="176">
        <v>9</v>
      </c>
    </row>
    <row r="67">
      <c r="A67" s="162" t="s">
        <v>290</v>
      </c>
      <c r="B67" s="163" t="s">
        <v>269</v>
      </c>
      <c r="C67" s="164" t="s">
        <v>291</v>
      </c>
      <c r="D67" s="164">
        <v>5</v>
      </c>
      <c r="E67" s="165">
        <v>14</v>
      </c>
      <c r="F67" s="165">
        <v>21509.999999999985</v>
      </c>
      <c r="G67" s="166">
        <v>15581.22</v>
      </c>
      <c r="H67" s="167">
        <f t="shared" si="1"/>
      </c>
      <c r="I67" s="167">
        <f t="shared" si="3"/>
      </c>
      <c r="J67" s="167">
        <f t="shared" si="2"/>
      </c>
      <c r="K67" s="165">
        <v>7</v>
      </c>
      <c r="L67" s="168">
        <v>13032</v>
      </c>
      <c r="M67" s="175"/>
      <c r="N67" s="192"/>
      <c r="O67" s="175"/>
      <c r="P67" s="175"/>
    </row>
    <row r="68">
      <c r="A68" s="162" t="s">
        <v>290</v>
      </c>
      <c r="B68" s="163" t="s">
        <v>259</v>
      </c>
      <c r="C68" s="164" t="s">
        <v>292</v>
      </c>
      <c r="D68" s="164">
        <v>4</v>
      </c>
      <c r="E68" s="165">
        <v>18</v>
      </c>
      <c r="F68" s="165">
        <v>15337.9</v>
      </c>
      <c r="G68" s="166">
        <v>14945.71</v>
      </c>
      <c r="H68" s="167">
        <f t="shared" si="1"/>
      </c>
      <c r="I68" s="167">
        <f t="shared" si="3"/>
      </c>
      <c r="J68" s="167">
        <f t="shared" si="2"/>
      </c>
      <c r="K68" s="165">
        <v>2</v>
      </c>
      <c r="L68" s="168">
        <v>1723.2</v>
      </c>
      <c r="M68" s="175"/>
      <c r="N68" s="192"/>
      <c r="O68" s="175"/>
      <c r="P68" s="175"/>
    </row>
    <row r="69">
      <c r="A69" s="183" t="s">
        <v>290</v>
      </c>
      <c r="B69" s="184"/>
      <c r="C69" s="184"/>
      <c r="D69" s="185">
        <f>SUM(D63:D68)</f>
      </c>
      <c r="E69" s="185">
        <f>SUM(E63:E68)</f>
      </c>
      <c r="F69" s="185">
        <f>SUM(F63:F68)</f>
      </c>
      <c r="G69" s="185">
        <f>SUM(G63:G68)</f>
      </c>
      <c r="H69" s="187">
        <f t="shared" si="1"/>
      </c>
      <c r="I69" s="187">
        <f t="shared" si="3"/>
      </c>
      <c r="J69" s="187">
        <f t="shared" si="2"/>
      </c>
      <c r="K69" s="185">
        <f>SUM(K63:K68)</f>
      </c>
      <c r="L69" s="185">
        <f>SUM(L63:L68)</f>
      </c>
      <c r="M69" s="194"/>
      <c r="N69" s="195">
        <f>SUM(N63:N68)</f>
      </c>
      <c r="O69" s="194"/>
      <c r="P69" s="195">
        <f>SUM(P63:P68)</f>
      </c>
    </row>
    <row r="70">
      <c r="A70" s="162" t="s">
        <v>293</v>
      </c>
      <c r="B70" s="163" t="s">
        <v>259</v>
      </c>
      <c r="C70" s="164" t="s">
        <v>251</v>
      </c>
      <c r="D70" s="164">
        <v>1</v>
      </c>
      <c r="E70" s="165">
        <v>9</v>
      </c>
      <c r="F70" s="165">
        <v>9046.8</v>
      </c>
      <c r="G70" s="166">
        <v>3177.92</v>
      </c>
      <c r="H70" s="167">
        <f t="shared" si="1"/>
      </c>
      <c r="I70" s="167">
        <f t="shared" si="3"/>
      </c>
      <c r="J70" s="167">
        <f t="shared" si="2"/>
      </c>
      <c r="K70" s="165">
        <v>0</v>
      </c>
      <c r="L70" s="168">
        <v>0</v>
      </c>
      <c r="M70" s="176" t="s">
        <v>289</v>
      </c>
      <c r="N70" s="190">
        <v>7</v>
      </c>
      <c r="O70" s="169"/>
      <c r="P70" s="169"/>
    </row>
    <row r="71">
      <c r="A71" s="162" t="s">
        <v>293</v>
      </c>
      <c r="B71" s="163" t="s">
        <v>266</v>
      </c>
      <c r="C71" s="164" t="s">
        <v>254</v>
      </c>
      <c r="D71" s="164">
        <v>5</v>
      </c>
      <c r="E71" s="165">
        <v>20</v>
      </c>
      <c r="F71" s="165">
        <v>21883.199999999997</v>
      </c>
      <c r="G71" s="166">
        <v>15424.89</v>
      </c>
      <c r="H71" s="167">
        <f t="shared" si="1"/>
      </c>
      <c r="I71" s="167">
        <f t="shared" si="3"/>
      </c>
      <c r="J71" s="167">
        <f t="shared" si="2"/>
      </c>
      <c r="K71" s="165">
        <v>4</v>
      </c>
      <c r="L71" s="168">
        <v>4593.6</v>
      </c>
      <c r="M71" s="176" t="s">
        <v>287</v>
      </c>
      <c r="N71" s="191">
        <v>9</v>
      </c>
      <c r="O71" s="175" t="s">
        <v>258</v>
      </c>
      <c r="P71" s="176">
        <v>3</v>
      </c>
    </row>
    <row r="72">
      <c r="A72" s="162" t="s">
        <v>293</v>
      </c>
      <c r="B72" s="163" t="s">
        <v>253</v>
      </c>
      <c r="C72" s="164" t="s">
        <v>257</v>
      </c>
      <c r="D72" s="164">
        <v>5</v>
      </c>
      <c r="E72" s="165">
        <v>15</v>
      </c>
      <c r="F72" s="166">
        <v>18619.2</v>
      </c>
      <c r="G72" s="166">
        <v>18427.38</v>
      </c>
      <c r="H72" s="167">
        <f t="shared" si="1"/>
      </c>
      <c r="I72" s="167">
        <f t="shared" si="3"/>
      </c>
      <c r="J72" s="167">
        <f t="shared" si="2"/>
      </c>
      <c r="K72" s="165">
        <v>5</v>
      </c>
      <c r="L72" s="168">
        <v>6686.4</v>
      </c>
      <c r="M72" s="176"/>
      <c r="N72" s="190"/>
      <c r="O72" s="175" t="s">
        <v>262</v>
      </c>
      <c r="P72" s="176">
        <v>12</v>
      </c>
    </row>
    <row r="73">
      <c r="A73" s="162" t="s">
        <v>293</v>
      </c>
      <c r="B73" s="163" t="s">
        <v>264</v>
      </c>
      <c r="C73" s="164" t="s">
        <v>260</v>
      </c>
      <c r="D73" s="164">
        <v>5</v>
      </c>
      <c r="E73" s="165">
        <v>19</v>
      </c>
      <c r="F73" s="179">
        <v>25200.000000000007</v>
      </c>
      <c r="G73" s="176">
        <v>18899.84</v>
      </c>
      <c r="H73" s="167">
        <f t="shared" si="1"/>
      </c>
      <c r="I73" s="167">
        <f t="shared" si="3"/>
      </c>
      <c r="J73" s="167">
        <f t="shared" si="2"/>
      </c>
      <c r="K73" s="165">
        <v>6</v>
      </c>
      <c r="L73" s="168">
        <v>7176</v>
      </c>
      <c r="M73" s="176" t="s">
        <v>255</v>
      </c>
      <c r="N73" s="191">
        <v>8</v>
      </c>
      <c r="O73" s="175" t="s">
        <v>258</v>
      </c>
      <c r="P73" s="176">
        <v>9</v>
      </c>
    </row>
    <row r="74">
      <c r="A74" s="162" t="s">
        <v>293</v>
      </c>
      <c r="B74" s="163" t="s">
        <v>269</v>
      </c>
      <c r="C74" s="164" t="s">
        <v>291</v>
      </c>
      <c r="D74" s="164">
        <v>5</v>
      </c>
      <c r="E74" s="165">
        <v>20</v>
      </c>
      <c r="F74" s="165">
        <v>32198.999999999985</v>
      </c>
      <c r="G74" s="166">
        <v>18824.28</v>
      </c>
      <c r="H74" s="167">
        <f t="shared" si="1"/>
      </c>
      <c r="I74" s="167">
        <f t="shared" si="3"/>
      </c>
      <c r="J74" s="167">
        <f t="shared" si="2"/>
      </c>
      <c r="K74" s="165">
        <v>5</v>
      </c>
      <c r="L74" s="168">
        <v>8532</v>
      </c>
      <c r="M74" s="175"/>
      <c r="N74" s="192"/>
      <c r="O74" s="175"/>
      <c r="P74" s="175"/>
    </row>
    <row r="75">
      <c r="A75" s="162" t="s">
        <v>293</v>
      </c>
      <c r="B75" s="163" t="s">
        <v>259</v>
      </c>
      <c r="C75" s="164" t="s">
        <v>292</v>
      </c>
      <c r="D75" s="164">
        <v>3</v>
      </c>
      <c r="E75" s="165">
        <v>9</v>
      </c>
      <c r="F75" s="165">
        <v>10946.4</v>
      </c>
      <c r="G75" s="166">
        <v>11880.83</v>
      </c>
      <c r="H75" s="167">
        <f t="shared" si="1"/>
      </c>
      <c r="I75" s="167">
        <f t="shared" si="3"/>
      </c>
      <c r="J75" s="167">
        <f t="shared" si="2"/>
      </c>
      <c r="K75" s="165">
        <v>1</v>
      </c>
      <c r="L75" s="168">
        <v>1663.2</v>
      </c>
      <c r="M75" s="175"/>
      <c r="N75" s="192"/>
      <c r="O75" s="175"/>
      <c r="P75" s="175"/>
    </row>
    <row r="76">
      <c r="A76" s="183" t="s">
        <v>293</v>
      </c>
      <c r="B76" s="184"/>
      <c r="C76" s="184"/>
      <c r="D76" s="185">
        <f>SUM(D70:D75)</f>
      </c>
      <c r="E76" s="185">
        <f>SUM(E70:E75)</f>
      </c>
      <c r="F76" s="185">
        <f>SUM(F70:F75)</f>
      </c>
      <c r="G76" s="185">
        <f>SUM(G70:G75)</f>
      </c>
      <c r="H76" s="187">
        <f t="shared" si="1"/>
      </c>
      <c r="I76" s="187">
        <f t="shared" si="3"/>
      </c>
      <c r="J76" s="187">
        <f t="shared" si="2"/>
      </c>
      <c r="K76" s="185">
        <f>SUM(K70:K75)</f>
      </c>
      <c r="L76" s="185">
        <f>SUM(L70:L75)</f>
      </c>
      <c r="M76" s="194"/>
      <c r="N76" s="195">
        <f>SUM(N70:N75)</f>
      </c>
      <c r="O76" s="194"/>
      <c r="P76" s="195">
        <f>SUM(P70:P75)</f>
      </c>
    </row>
    <row r="77">
      <c r="A77" s="162" t="s">
        <v>294</v>
      </c>
      <c r="B77" s="163" t="s">
        <v>259</v>
      </c>
      <c r="C77" s="164" t="s">
        <v>275</v>
      </c>
      <c r="D77" s="164">
        <v>2</v>
      </c>
      <c r="E77" s="165">
        <v>2</v>
      </c>
      <c r="F77" s="165">
        <v>2383.2</v>
      </c>
      <c r="G77" s="166">
        <v>6251.81</v>
      </c>
      <c r="H77" s="167">
        <f t="shared" si="1"/>
      </c>
      <c r="I77" s="167">
        <f t="shared" si="3"/>
      </c>
      <c r="J77" s="167">
        <f t="shared" si="2"/>
      </c>
      <c r="K77" s="165">
        <v>1</v>
      </c>
      <c r="L77" s="168">
        <v>2011.2</v>
      </c>
      <c r="M77" s="176" t="s">
        <v>289</v>
      </c>
      <c r="N77" s="190">
        <v>7</v>
      </c>
      <c r="O77" s="169"/>
      <c r="P77" s="169"/>
    </row>
    <row r="78">
      <c r="A78" s="162" t="s">
        <v>294</v>
      </c>
      <c r="B78" s="163" t="s">
        <v>266</v>
      </c>
      <c r="C78" s="164" t="s">
        <v>276</v>
      </c>
      <c r="D78" s="164">
        <v>4</v>
      </c>
      <c r="E78" s="165">
        <v>8</v>
      </c>
      <c r="F78" s="165">
        <v>9696</v>
      </c>
      <c r="G78" s="166">
        <v>6642.500000000001</v>
      </c>
      <c r="H78" s="167">
        <f t="shared" si="1"/>
      </c>
      <c r="I78" s="167">
        <f t="shared" si="3"/>
      </c>
      <c r="J78" s="167">
        <f t="shared" si="2"/>
      </c>
      <c r="K78" s="165">
        <v>0</v>
      </c>
      <c r="L78" s="168">
        <v>0</v>
      </c>
      <c r="M78" s="176" t="s">
        <v>261</v>
      </c>
      <c r="N78" s="191">
        <v>9</v>
      </c>
      <c r="O78" s="175" t="s">
        <v>258</v>
      </c>
      <c r="P78" s="176">
        <v>3</v>
      </c>
    </row>
    <row customHeight="true" ht="16.071428571428573" r="79">
      <c r="A79" s="162" t="s">
        <v>294</v>
      </c>
      <c r="B79" s="163" t="s">
        <v>256</v>
      </c>
      <c r="C79" s="164" t="s">
        <v>257</v>
      </c>
      <c r="D79" s="197">
        <f>5-0.25</f>
      </c>
      <c r="E79" s="165">
        <v>14</v>
      </c>
      <c r="F79" s="166">
        <v>18407.8</v>
      </c>
      <c r="G79" s="166">
        <v>15573.34</v>
      </c>
      <c r="H79" s="167">
        <f t="shared" si="1"/>
      </c>
      <c r="I79" s="167">
        <f t="shared" si="3"/>
      </c>
      <c r="J79" s="167">
        <f t="shared" si="2"/>
      </c>
      <c r="K79" s="165">
        <v>3</v>
      </c>
      <c r="L79" s="168">
        <v>3239.3999999999996</v>
      </c>
      <c r="M79" s="176"/>
      <c r="N79" s="190"/>
      <c r="O79" s="175" t="s">
        <v>262</v>
      </c>
      <c r="P79" s="176">
        <v>12</v>
      </c>
    </row>
    <row customHeight="true" ht="16.071428571428573" r="80">
      <c r="A80" s="162" t="s">
        <v>294</v>
      </c>
      <c r="B80" s="163" t="s">
        <v>264</v>
      </c>
      <c r="C80" s="164" t="s">
        <v>260</v>
      </c>
      <c r="D80" s="164">
        <v>4</v>
      </c>
      <c r="E80" s="165">
        <v>15</v>
      </c>
      <c r="F80" s="179">
        <v>21579.600000000006</v>
      </c>
      <c r="G80" s="176">
        <v>9715.09</v>
      </c>
      <c r="H80" s="167">
        <f t="shared" si="1"/>
      </c>
      <c r="I80" s="167">
        <f t="shared" si="3"/>
      </c>
      <c r="J80" s="167">
        <f t="shared" si="2"/>
      </c>
      <c r="K80" s="165">
        <v>4</v>
      </c>
      <c r="L80" s="168">
        <v>4621.200000000001</v>
      </c>
      <c r="M80" s="176" t="s">
        <v>255</v>
      </c>
      <c r="N80" s="191">
        <v>8</v>
      </c>
      <c r="O80" s="175" t="s">
        <v>258</v>
      </c>
      <c r="P80" s="176">
        <v>9</v>
      </c>
    </row>
    <row customHeight="true" ht="16.071428571428573" r="81">
      <c r="A81" s="162" t="s">
        <v>294</v>
      </c>
      <c r="B81" s="163" t="s">
        <v>269</v>
      </c>
      <c r="C81" s="164" t="s">
        <v>291</v>
      </c>
      <c r="D81" s="164">
        <v>5</v>
      </c>
      <c r="E81" s="165">
        <v>19</v>
      </c>
      <c r="F81" s="165">
        <v>29556</v>
      </c>
      <c r="G81" s="166">
        <v>15845.76</v>
      </c>
      <c r="H81" s="167">
        <f t="shared" si="1"/>
      </c>
      <c r="I81" s="167">
        <f t="shared" si="3"/>
      </c>
      <c r="J81" s="167">
        <f t="shared" si="2"/>
      </c>
      <c r="K81" s="165">
        <v>4</v>
      </c>
      <c r="L81" s="168">
        <v>6362.4</v>
      </c>
      <c r="M81" s="175"/>
      <c r="N81" s="192"/>
      <c r="O81" s="175"/>
      <c r="P81" s="175"/>
    </row>
    <row customHeight="true" ht="16.071428571428573" r="82">
      <c r="A82" s="162" t="s">
        <v>294</v>
      </c>
      <c r="B82" s="163" t="s">
        <v>250</v>
      </c>
      <c r="C82" s="164" t="s">
        <v>292</v>
      </c>
      <c r="D82" s="164">
        <v>4</v>
      </c>
      <c r="E82" s="165">
        <v>33</v>
      </c>
      <c r="F82" s="165">
        <v>43870.79999999999</v>
      </c>
      <c r="G82" s="166">
        <v>20857.52</v>
      </c>
      <c r="H82" s="167">
        <f t="shared" si="1"/>
      </c>
      <c r="I82" s="167">
        <f t="shared" si="3"/>
      </c>
      <c r="J82" s="167">
        <f t="shared" si="2"/>
      </c>
      <c r="K82" s="165">
        <v>8</v>
      </c>
      <c r="L82" s="168">
        <v>12847.200000000004</v>
      </c>
      <c r="M82" s="175"/>
      <c r="N82" s="192"/>
      <c r="O82" s="175"/>
      <c r="P82" s="175"/>
    </row>
    <row customHeight="true" ht="16.071428571428573" r="83">
      <c r="A83" s="183" t="s">
        <v>294</v>
      </c>
      <c r="B83" s="184"/>
      <c r="C83" s="184"/>
      <c r="D83" s="185">
        <f>SUM(D77:D82)</f>
      </c>
      <c r="E83" s="185">
        <f>SUM(E77:E82)</f>
      </c>
      <c r="F83" s="185">
        <f>SUM(F77:F82)</f>
      </c>
      <c r="G83" s="185">
        <f>SUM(G77:G82)</f>
      </c>
      <c r="H83" s="187">
        <f t="shared" si="1"/>
      </c>
      <c r="I83" s="187">
        <f t="shared" si="3"/>
      </c>
      <c r="J83" s="187">
        <f t="shared" si="2"/>
      </c>
      <c r="K83" s="185">
        <f>SUM(K77:K82)</f>
      </c>
      <c r="L83" s="185">
        <f>SUM(L77:L82)</f>
      </c>
      <c r="M83" s="194"/>
      <c r="N83" s="195">
        <f>SUM(N77:N82)</f>
      </c>
      <c r="O83" s="194"/>
      <c r="P83" s="195">
        <f>SUM(P77:P82)</f>
      </c>
    </row>
    <row customHeight="true" ht="16.071428571428573" r="84">
      <c r="A84" s="162" t="s">
        <v>295</v>
      </c>
      <c r="B84" s="163" t="s">
        <v>250</v>
      </c>
      <c r="C84" s="164" t="s">
        <v>251</v>
      </c>
      <c r="D84" s="164">
        <v>1</v>
      </c>
      <c r="E84" s="165">
        <v>6</v>
      </c>
      <c r="F84" s="165">
        <v>7778.4</v>
      </c>
      <c r="G84" s="166">
        <v>4318.42</v>
      </c>
      <c r="H84" s="167">
        <f t="shared" si="1"/>
      </c>
      <c r="I84" s="167">
        <f t="shared" si="3"/>
      </c>
      <c r="J84" s="167">
        <f t="shared" si="2"/>
      </c>
      <c r="K84" s="165">
        <v>1</v>
      </c>
      <c r="L84" s="168">
        <v>1663.1999999999998</v>
      </c>
      <c r="M84" s="176" t="s">
        <v>289</v>
      </c>
      <c r="N84" s="190">
        <v>7</v>
      </c>
      <c r="O84" s="169"/>
      <c r="P84" s="169"/>
    </row>
    <row customHeight="true" ht="16.071428571428573" r="85">
      <c r="A85" s="162" t="s">
        <v>295</v>
      </c>
      <c r="B85" s="163" t="s">
        <v>253</v>
      </c>
      <c r="C85" s="164" t="s">
        <v>254</v>
      </c>
      <c r="D85" s="164">
        <v>5</v>
      </c>
      <c r="E85" s="165">
        <v>17</v>
      </c>
      <c r="F85" s="165">
        <v>17688.28</v>
      </c>
      <c r="G85" s="166">
        <v>13911.87</v>
      </c>
      <c r="H85" s="167">
        <f t="shared" si="1"/>
      </c>
      <c r="I85" s="167">
        <f t="shared" si="3"/>
      </c>
      <c r="J85" s="167">
        <f t="shared" si="2"/>
      </c>
      <c r="K85" s="165">
        <v>3</v>
      </c>
      <c r="L85" s="168">
        <v>2953.2</v>
      </c>
      <c r="M85" s="176" t="s">
        <v>261</v>
      </c>
      <c r="N85" s="191">
        <v>9</v>
      </c>
      <c r="O85" s="175" t="s">
        <v>258</v>
      </c>
      <c r="P85" s="176">
        <v>3</v>
      </c>
    </row>
    <row customHeight="true" ht="16.071428571428573" r="86">
      <c r="A86" s="162" t="s">
        <v>295</v>
      </c>
      <c r="B86" s="163" t="s">
        <v>269</v>
      </c>
      <c r="C86" s="164" t="s">
        <v>257</v>
      </c>
      <c r="D86" s="164">
        <v>5</v>
      </c>
      <c r="E86" s="165">
        <v>26</v>
      </c>
      <c r="F86" s="166">
        <v>34148.4</v>
      </c>
      <c r="G86" s="166">
        <v>24327.780000000002</v>
      </c>
      <c r="H86" s="167">
        <f t="shared" si="1"/>
      </c>
      <c r="I86" s="167">
        <f t="shared" si="3"/>
      </c>
      <c r="J86" s="167">
        <f t="shared" si="2"/>
      </c>
      <c r="K86" s="165">
        <v>3</v>
      </c>
      <c r="L86" s="168">
        <v>1840.8000000000004</v>
      </c>
      <c r="M86" s="176"/>
      <c r="N86" s="190"/>
      <c r="O86" s="175" t="s">
        <v>262</v>
      </c>
      <c r="P86" s="176">
        <v>12</v>
      </c>
    </row>
    <row customHeight="true" ht="16.071428571428573" r="87">
      <c r="A87" s="162" t="s">
        <v>295</v>
      </c>
      <c r="B87" s="163" t="s">
        <v>264</v>
      </c>
      <c r="C87" s="164" t="s">
        <v>260</v>
      </c>
      <c r="D87" s="164">
        <v>4</v>
      </c>
      <c r="E87" s="165">
        <v>24</v>
      </c>
      <c r="F87" s="179">
        <v>32211.40000000001</v>
      </c>
      <c r="G87" s="176">
        <v>25056.579999999998</v>
      </c>
      <c r="H87" s="167">
        <f t="shared" si="1"/>
      </c>
      <c r="I87" s="167">
        <f t="shared" si="3"/>
      </c>
      <c r="J87" s="167">
        <f t="shared" si="2"/>
      </c>
      <c r="K87" s="165">
        <v>8</v>
      </c>
      <c r="L87" s="168">
        <v>9823.2</v>
      </c>
      <c r="M87" s="176" t="s">
        <v>255</v>
      </c>
      <c r="N87" s="191">
        <v>8</v>
      </c>
      <c r="O87" s="175" t="s">
        <v>258</v>
      </c>
      <c r="P87" s="176">
        <v>9</v>
      </c>
    </row>
    <row customHeight="true" ht="16.071428571428573" r="88">
      <c r="A88" s="162" t="s">
        <v>295</v>
      </c>
      <c r="B88" s="163" t="s">
        <v>266</v>
      </c>
      <c r="C88" s="164" t="s">
        <v>291</v>
      </c>
      <c r="D88" s="164">
        <v>5</v>
      </c>
      <c r="E88" s="165">
        <v>14</v>
      </c>
      <c r="F88" s="165">
        <v>16147.199999999983</v>
      </c>
      <c r="G88" s="166">
        <v>17809.09</v>
      </c>
      <c r="H88" s="167">
        <f t="shared" si="1"/>
      </c>
      <c r="I88" s="167">
        <f t="shared" si="3"/>
      </c>
      <c r="J88" s="167">
        <f t="shared" si="2"/>
      </c>
      <c r="K88" s="165">
        <v>7</v>
      </c>
      <c r="L88" s="168">
        <v>7459.199999999996</v>
      </c>
      <c r="M88" s="175"/>
      <c r="N88" s="192"/>
      <c r="O88" s="175"/>
      <c r="P88" s="175"/>
    </row>
    <row customHeight="true" ht="16.071428571428573" r="89">
      <c r="A89" s="162" t="s">
        <v>295</v>
      </c>
      <c r="B89" s="163" t="s">
        <v>259</v>
      </c>
      <c r="C89" s="164" t="s">
        <v>292</v>
      </c>
      <c r="D89" s="164">
        <v>4</v>
      </c>
      <c r="E89" s="165">
        <v>19</v>
      </c>
      <c r="F89" s="165">
        <v>21490.8</v>
      </c>
      <c r="G89" s="166">
        <v>17901.4</v>
      </c>
      <c r="H89" s="167">
        <f t="shared" si="1"/>
      </c>
      <c r="I89" s="167">
        <f t="shared" si="3"/>
      </c>
      <c r="J89" s="167">
        <f t="shared" si="2"/>
      </c>
      <c r="K89" s="165">
        <v>6</v>
      </c>
      <c r="L89" s="168">
        <v>8116.8</v>
      </c>
      <c r="M89" s="175"/>
      <c r="N89" s="192"/>
      <c r="O89" s="175"/>
      <c r="P89" s="175"/>
    </row>
    <row customHeight="true" ht="16.071428571428573" r="90">
      <c r="A90" s="183" t="s">
        <v>295</v>
      </c>
      <c r="B90" s="184"/>
      <c r="C90" s="184"/>
      <c r="D90" s="185">
        <f>SUM(D84:D89)</f>
      </c>
      <c r="E90" s="185">
        <f>SUM(E84:E89)</f>
      </c>
      <c r="F90" s="185">
        <f>SUM(F84:F89)</f>
      </c>
      <c r="G90" s="185">
        <f>SUM(G84:G89)</f>
      </c>
      <c r="H90" s="187">
        <f t="shared" si="1"/>
      </c>
      <c r="I90" s="187">
        <f t="shared" si="3"/>
      </c>
      <c r="J90" s="187">
        <f t="shared" si="2"/>
      </c>
      <c r="K90" s="185">
        <f>SUM(K84:K89)</f>
      </c>
      <c r="L90" s="185">
        <f>SUM(L84:L89)</f>
      </c>
      <c r="M90" s="194"/>
      <c r="N90" s="195">
        <f>SUM(N84:N89)</f>
      </c>
      <c r="O90" s="194"/>
      <c r="P90" s="195">
        <f>SUM(P85:P89)</f>
      </c>
    </row>
    <row customHeight="true" ht="16.071428571428573" r="91">
      <c r="A91" s="162" t="s">
        <v>296</v>
      </c>
      <c r="B91" s="163" t="s">
        <v>259</v>
      </c>
      <c r="C91" s="164" t="s">
        <v>251</v>
      </c>
      <c r="D91" s="164">
        <v>1</v>
      </c>
      <c r="E91" s="165">
        <v>7</v>
      </c>
      <c r="F91" s="165">
        <v>10876.8</v>
      </c>
      <c r="G91" s="166">
        <v>3642.4</v>
      </c>
      <c r="H91" s="167">
        <f t="shared" si="1"/>
      </c>
      <c r="I91" s="167">
        <f t="shared" si="3"/>
      </c>
      <c r="J91" s="167">
        <f t="shared" si="2"/>
      </c>
      <c r="K91" s="165">
        <v>1</v>
      </c>
      <c r="L91" s="168">
        <v>715.2</v>
      </c>
      <c r="M91" s="176" t="s">
        <v>289</v>
      </c>
      <c r="N91" s="190">
        <v>7</v>
      </c>
      <c r="O91" s="169"/>
      <c r="P91" s="169"/>
    </row>
    <row customHeight="true" ht="16.071428571428573" r="92">
      <c r="A92" s="162" t="s">
        <v>296</v>
      </c>
      <c r="B92" s="163" t="s">
        <v>250</v>
      </c>
      <c r="C92" s="164" t="s">
        <v>254</v>
      </c>
      <c r="D92" s="164">
        <v>5</v>
      </c>
      <c r="E92" s="165">
        <v>29</v>
      </c>
      <c r="F92" s="165">
        <v>32337.6</v>
      </c>
      <c r="G92" s="166">
        <v>24766.85</v>
      </c>
      <c r="H92" s="167">
        <f t="shared" si="1"/>
      </c>
      <c r="I92" s="167">
        <f t="shared" si="3"/>
      </c>
      <c r="J92" s="167">
        <f t="shared" si="2"/>
      </c>
      <c r="K92" s="165">
        <v>11</v>
      </c>
      <c r="L92" s="168">
        <v>11956.8</v>
      </c>
      <c r="M92" s="176" t="s">
        <v>261</v>
      </c>
      <c r="N92" s="191">
        <v>9</v>
      </c>
      <c r="O92" s="175" t="s">
        <v>258</v>
      </c>
      <c r="P92" s="176">
        <v>3</v>
      </c>
    </row>
    <row customHeight="true" ht="16.071428571428573" r="93">
      <c r="A93" s="162" t="s">
        <v>296</v>
      </c>
      <c r="B93" s="163" t="s">
        <v>269</v>
      </c>
      <c r="C93" s="164" t="s">
        <v>257</v>
      </c>
      <c r="D93" s="164">
        <v>5</v>
      </c>
      <c r="E93" s="165">
        <v>14</v>
      </c>
      <c r="F93" s="166">
        <v>13426.999999999998</v>
      </c>
      <c r="G93" s="166">
        <v>20829.61</v>
      </c>
      <c r="H93" s="167">
        <f t="shared" si="1"/>
      </c>
      <c r="I93" s="167">
        <f t="shared" si="3"/>
      </c>
      <c r="J93" s="167">
        <f t="shared" si="2"/>
      </c>
      <c r="K93" s="165">
        <v>6</v>
      </c>
      <c r="L93" s="168">
        <v>1712.6</v>
      </c>
      <c r="M93" s="176"/>
      <c r="N93" s="190"/>
      <c r="O93" s="175" t="s">
        <v>262</v>
      </c>
      <c r="P93" s="176">
        <v>12</v>
      </c>
    </row>
    <row customHeight="true" ht="16.071428571428573" r="94">
      <c r="A94" s="162" t="s">
        <v>296</v>
      </c>
      <c r="B94" s="163" t="s">
        <v>264</v>
      </c>
      <c r="C94" s="164" t="s">
        <v>260</v>
      </c>
      <c r="D94" s="164">
        <v>4</v>
      </c>
      <c r="E94" s="165">
        <v>9</v>
      </c>
      <c r="F94" s="179">
        <v>10301.999999999993</v>
      </c>
      <c r="G94" s="176">
        <v>11424.830000000002</v>
      </c>
      <c r="H94" s="167">
        <f t="shared" si="1"/>
      </c>
      <c r="I94" s="167">
        <f t="shared" si="3"/>
      </c>
      <c r="J94" s="167">
        <f t="shared" si="2"/>
      </c>
      <c r="K94" s="165">
        <v>2</v>
      </c>
      <c r="L94" s="168">
        <v>3036</v>
      </c>
      <c r="M94" s="176" t="s">
        <v>255</v>
      </c>
      <c r="N94" s="191">
        <v>8</v>
      </c>
      <c r="O94" s="175" t="s">
        <v>258</v>
      </c>
      <c r="P94" s="176">
        <v>9</v>
      </c>
    </row>
    <row customHeight="true" ht="16.071428571428573" r="95">
      <c r="A95" s="162" t="s">
        <v>296</v>
      </c>
      <c r="B95" s="163" t="s">
        <v>266</v>
      </c>
      <c r="C95" s="164" t="s">
        <v>291</v>
      </c>
      <c r="D95" s="164">
        <v>5</v>
      </c>
      <c r="E95" s="165">
        <v>15</v>
      </c>
      <c r="F95" s="165">
        <v>20545.2</v>
      </c>
      <c r="G95" s="166">
        <v>11576.28</v>
      </c>
      <c r="H95" s="167">
        <f t="shared" si="1"/>
      </c>
      <c r="I95" s="167">
        <f t="shared" si="3"/>
      </c>
      <c r="J95" s="167">
        <f t="shared" si="2"/>
      </c>
      <c r="K95" s="165">
        <v>2</v>
      </c>
      <c r="L95" s="168">
        <v>3007.2</v>
      </c>
      <c r="M95" s="175"/>
      <c r="N95" s="192"/>
      <c r="O95" s="175"/>
      <c r="P95" s="175"/>
    </row>
    <row customHeight="true" ht="16.071428571428573" r="96">
      <c r="A96" s="162" t="s">
        <v>296</v>
      </c>
      <c r="B96" s="163" t="s">
        <v>259</v>
      </c>
      <c r="C96" s="164" t="s">
        <v>292</v>
      </c>
      <c r="D96" s="164">
        <v>4</v>
      </c>
      <c r="E96" s="165">
        <v>7</v>
      </c>
      <c r="F96" s="165">
        <v>11029.2</v>
      </c>
      <c r="G96" s="166">
        <v>13822.12</v>
      </c>
      <c r="H96" s="167">
        <f t="shared" si="1"/>
      </c>
      <c r="I96" s="167">
        <f t="shared" si="3"/>
      </c>
      <c r="J96" s="167">
        <f t="shared" si="2"/>
      </c>
      <c r="K96" s="165">
        <v>1</v>
      </c>
      <c r="L96" s="168">
        <v>2407.2</v>
      </c>
      <c r="M96" s="175"/>
      <c r="N96" s="192"/>
      <c r="O96" s="175"/>
      <c r="P96" s="175"/>
    </row>
    <row customHeight="true" ht="16.071428571428573" r="97">
      <c r="A97" s="183" t="s">
        <v>296</v>
      </c>
      <c r="B97" s="184"/>
      <c r="C97" s="184"/>
      <c r="D97" s="185">
        <f>SUM(D91:D96)</f>
      </c>
      <c r="E97" s="185">
        <f>SUM(E91:E96)</f>
      </c>
      <c r="F97" s="185">
        <f>SUM(F91:F96)</f>
      </c>
      <c r="G97" s="185">
        <f>SUM(G91:G96)</f>
      </c>
      <c r="H97" s="187">
        <f t="shared" si="1"/>
      </c>
      <c r="I97" s="187">
        <f t="shared" si="3"/>
      </c>
      <c r="J97" s="187">
        <f t="shared" si="2"/>
      </c>
      <c r="K97" s="185">
        <f>SUM(K91:K96)</f>
      </c>
      <c r="L97" s="185">
        <f>SUM(L91:L96)</f>
      </c>
      <c r="M97" s="194"/>
      <c r="N97" s="195">
        <f>SUM(N91:N96)</f>
      </c>
      <c r="O97" s="194"/>
      <c r="P97" s="195">
        <f>SUM(P92:P96)</f>
      </c>
    </row>
    <row r="98">
      <c r="A98" s="162" t="s">
        <v>297</v>
      </c>
      <c r="B98" s="163" t="s">
        <v>259</v>
      </c>
      <c r="C98" s="164" t="s">
        <v>251</v>
      </c>
      <c r="D98" s="164">
        <v>1</v>
      </c>
      <c r="E98" s="165">
        <v>2</v>
      </c>
      <c r="F98" s="165">
        <v>2439.6</v>
      </c>
      <c r="G98" s="166">
        <v>3036.68</v>
      </c>
      <c r="H98" s="167">
        <f t="shared" si="1"/>
      </c>
      <c r="I98" s="167">
        <f t="shared" si="3"/>
      </c>
      <c r="J98" s="167">
        <f t="shared" si="2"/>
      </c>
      <c r="K98" s="165">
        <v>1</v>
      </c>
      <c r="L98" s="168">
        <v>428.4</v>
      </c>
      <c r="M98" s="176" t="s">
        <v>289</v>
      </c>
      <c r="N98" s="190">
        <v>7</v>
      </c>
      <c r="O98" s="169"/>
      <c r="P98" s="169"/>
    </row>
    <row r="99">
      <c r="A99" s="162" t="s">
        <v>297</v>
      </c>
      <c r="B99" s="163" t="s">
        <v>250</v>
      </c>
      <c r="C99" s="164" t="s">
        <v>254</v>
      </c>
      <c r="D99" s="164">
        <v>5</v>
      </c>
      <c r="E99" s="165">
        <v>11</v>
      </c>
      <c r="F99" s="165">
        <v>10282.2</v>
      </c>
      <c r="G99" s="166">
        <v>12911.669999999998</v>
      </c>
      <c r="H99" s="167">
        <f t="shared" si="1"/>
      </c>
      <c r="I99" s="167">
        <f t="shared" si="3"/>
      </c>
      <c r="J99" s="167">
        <f t="shared" si="2"/>
      </c>
      <c r="K99" s="165">
        <v>7</v>
      </c>
      <c r="L99" s="168">
        <v>6874.8</v>
      </c>
      <c r="M99" s="176" t="s">
        <v>261</v>
      </c>
      <c r="N99" s="191">
        <v>9</v>
      </c>
      <c r="O99" s="175" t="s">
        <v>258</v>
      </c>
      <c r="P99" s="176">
        <v>3</v>
      </c>
    </row>
    <row customHeight="true" ht="16.071428571428573" r="100">
      <c r="A100" s="162" t="s">
        <v>297</v>
      </c>
      <c r="B100" s="163" t="s">
        <v>264</v>
      </c>
      <c r="C100" s="164" t="s">
        <v>257</v>
      </c>
      <c r="D100" s="164">
        <v>5</v>
      </c>
      <c r="E100" s="165">
        <v>27</v>
      </c>
      <c r="F100" s="166">
        <v>31911.600000000002</v>
      </c>
      <c r="G100" s="166">
        <v>22658.84</v>
      </c>
      <c r="H100" s="167">
        <f t="shared" si="1"/>
      </c>
      <c r="I100" s="167">
        <f t="shared" si="3"/>
      </c>
      <c r="J100" s="167">
        <f t="shared" si="2"/>
      </c>
      <c r="K100" s="165">
        <v>5</v>
      </c>
      <c r="L100" s="168">
        <v>6417.5999999999985</v>
      </c>
      <c r="M100" s="176"/>
      <c r="N100" s="190"/>
      <c r="O100" s="175" t="s">
        <v>262</v>
      </c>
      <c r="P100" s="176">
        <v>12</v>
      </c>
    </row>
    <row customHeight="true" ht="16.071428571428573" r="101">
      <c r="A101" s="162" t="s">
        <v>297</v>
      </c>
      <c r="B101" s="163" t="s">
        <v>266</v>
      </c>
      <c r="C101" s="164" t="s">
        <v>260</v>
      </c>
      <c r="D101" s="164">
        <v>4</v>
      </c>
      <c r="E101" s="165">
        <v>27</v>
      </c>
      <c r="F101" s="179">
        <v>39398.499999999985</v>
      </c>
      <c r="G101" s="176">
        <v>22219.489999999998</v>
      </c>
      <c r="H101" s="167">
        <f t="shared" si="1"/>
      </c>
      <c r="I101" s="167">
        <f t="shared" si="3"/>
      </c>
      <c r="J101" s="167">
        <f t="shared" si="2"/>
      </c>
      <c r="K101" s="165">
        <v>4</v>
      </c>
      <c r="L101" s="168">
        <v>6256.800000000001</v>
      </c>
      <c r="M101" s="176" t="s">
        <v>255</v>
      </c>
      <c r="N101" s="191">
        <v>8</v>
      </c>
      <c r="O101" s="175" t="s">
        <v>258</v>
      </c>
      <c r="P101" s="176">
        <v>9</v>
      </c>
    </row>
    <row customHeight="true" ht="16.071428571428573" r="102">
      <c r="A102" s="162" t="s">
        <v>297</v>
      </c>
      <c r="B102" s="163" t="s">
        <v>259</v>
      </c>
      <c r="C102" s="164" t="s">
        <v>291</v>
      </c>
      <c r="D102" s="164">
        <v>5</v>
      </c>
      <c r="E102" s="165">
        <v>14</v>
      </c>
      <c r="F102" s="165">
        <v>18657.600000000006</v>
      </c>
      <c r="G102" s="166">
        <v>18309.92</v>
      </c>
      <c r="H102" s="167">
        <f t="shared" si="1"/>
      </c>
      <c r="I102" s="167">
        <f t="shared" si="3"/>
      </c>
      <c r="J102" s="167">
        <f t="shared" si="2"/>
      </c>
      <c r="K102" s="165">
        <v>2</v>
      </c>
      <c r="L102" s="168">
        <v>4022.399999999998</v>
      </c>
      <c r="M102" s="175"/>
      <c r="N102" s="192"/>
      <c r="O102" s="175"/>
      <c r="P102" s="175"/>
    </row>
    <row customHeight="true" ht="16.071428571428573" r="103">
      <c r="A103" s="162" t="s">
        <v>297</v>
      </c>
      <c r="B103" s="163" t="s">
        <v>250</v>
      </c>
      <c r="C103" s="164" t="s">
        <v>292</v>
      </c>
      <c r="D103" s="164">
        <v>4</v>
      </c>
      <c r="E103" s="165">
        <v>19</v>
      </c>
      <c r="F103" s="165">
        <v>27910.600000000006</v>
      </c>
      <c r="G103" s="166">
        <v>14317.310000000001</v>
      </c>
      <c r="H103" s="167">
        <f t="shared" si="1"/>
      </c>
      <c r="I103" s="167">
        <f t="shared" si="3"/>
      </c>
      <c r="J103" s="167">
        <f t="shared" si="2"/>
      </c>
      <c r="K103" s="165">
        <v>4</v>
      </c>
      <c r="L103" s="168">
        <v>5854.400000000005</v>
      </c>
      <c r="M103" s="175"/>
      <c r="N103" s="192"/>
      <c r="O103" s="175"/>
      <c r="P103" s="175"/>
    </row>
    <row customHeight="true" ht="16.071428571428573" r="104">
      <c r="A104" s="183" t="s">
        <v>297</v>
      </c>
      <c r="B104" s="184"/>
      <c r="C104" s="184"/>
      <c r="D104" s="185">
        <f>SUM(D98:D103)</f>
      </c>
      <c r="E104" s="185">
        <f>SUM(E98:E103)</f>
      </c>
      <c r="F104" s="185">
        <f>SUM(F98:F103)</f>
      </c>
      <c r="G104" s="185">
        <f>SUM(G98:G103)</f>
      </c>
      <c r="H104" s="187">
        <f t="shared" si="1"/>
      </c>
      <c r="I104" s="187">
        <f t="shared" si="3"/>
      </c>
      <c r="J104" s="187">
        <f t="shared" si="2"/>
      </c>
      <c r="K104" s="185">
        <f>SUM(K98:K103)</f>
      </c>
      <c r="L104" s="185">
        <f>SUM(L98:L103)</f>
      </c>
      <c r="M104" s="194"/>
      <c r="N104" s="195">
        <f>SUM(N98:N103)</f>
      </c>
      <c r="O104" s="194"/>
      <c r="P104" s="195">
        <f>SUM(P99:P103)</f>
      </c>
    </row>
    <row r="105">
      <c r="A105" s="162" t="s">
        <v>298</v>
      </c>
      <c r="B105" s="163" t="s">
        <v>250</v>
      </c>
      <c r="C105" s="164" t="s">
        <v>251</v>
      </c>
      <c r="D105" s="164">
        <v>1</v>
      </c>
      <c r="E105" s="165">
        <v>4</v>
      </c>
      <c r="F105" s="165">
        <v>4500.2</v>
      </c>
      <c r="G105" s="166">
        <v>3717.08</v>
      </c>
      <c r="H105" s="167">
        <f t="shared" si="1"/>
      </c>
      <c r="I105" s="167">
        <f t="shared" si="3"/>
      </c>
      <c r="J105" s="167">
        <f t="shared" si="2"/>
      </c>
      <c r="K105" s="165">
        <v>1</v>
      </c>
      <c r="L105" s="168">
        <v>575</v>
      </c>
      <c r="M105" s="176"/>
      <c r="N105" s="198"/>
      <c r="O105" s="169"/>
      <c r="P105" s="169"/>
    </row>
    <row r="106">
      <c r="A106" s="162" t="s">
        <v>298</v>
      </c>
      <c r="B106" s="163" t="s">
        <v>269</v>
      </c>
      <c r="C106" s="164" t="s">
        <v>254</v>
      </c>
      <c r="D106" s="164">
        <v>5</v>
      </c>
      <c r="E106" s="165">
        <v>16</v>
      </c>
      <c r="F106" s="165">
        <v>24956.4</v>
      </c>
      <c r="G106" s="166">
        <v>19447.77</v>
      </c>
      <c r="H106" s="167">
        <f t="shared" si="1"/>
      </c>
      <c r="I106" s="167">
        <f t="shared" si="3"/>
      </c>
      <c r="J106" s="167">
        <f t="shared" si="2"/>
      </c>
      <c r="K106" s="165">
        <v>4</v>
      </c>
      <c r="L106" s="168">
        <v>7000.800000000001</v>
      </c>
      <c r="M106" s="176" t="s">
        <v>289</v>
      </c>
      <c r="N106" s="190">
        <v>7</v>
      </c>
      <c r="O106" s="175" t="s">
        <v>258</v>
      </c>
      <c r="P106" s="176">
        <v>3</v>
      </c>
    </row>
    <row r="107">
      <c r="A107" s="162" t="s">
        <v>298</v>
      </c>
      <c r="B107" s="163" t="s">
        <v>264</v>
      </c>
      <c r="C107" s="164" t="s">
        <v>257</v>
      </c>
      <c r="D107" s="164">
        <v>5</v>
      </c>
      <c r="E107" s="165">
        <v>17</v>
      </c>
      <c r="F107" s="166">
        <v>20624.399999999998</v>
      </c>
      <c r="G107" s="166">
        <v>20854.21</v>
      </c>
      <c r="H107" s="167">
        <f t="shared" si="1"/>
      </c>
      <c r="I107" s="167">
        <f t="shared" si="3"/>
      </c>
      <c r="J107" s="167">
        <f t="shared" si="2"/>
      </c>
      <c r="K107" s="165">
        <v>2</v>
      </c>
      <c r="L107" s="168">
        <v>1231.2000000000007</v>
      </c>
      <c r="M107" s="176" t="s">
        <v>261</v>
      </c>
      <c r="N107" s="191">
        <v>9</v>
      </c>
      <c r="O107" s="175" t="s">
        <v>262</v>
      </c>
      <c r="P107" s="176">
        <v>12</v>
      </c>
    </row>
    <row r="108">
      <c r="A108" s="162" t="s">
        <v>298</v>
      </c>
      <c r="B108" s="163" t="s">
        <v>259</v>
      </c>
      <c r="C108" s="164" t="s">
        <v>260</v>
      </c>
      <c r="D108" s="164">
        <v>4</v>
      </c>
      <c r="E108" s="165">
        <v>13</v>
      </c>
      <c r="F108" s="179">
        <v>21349.19999999999</v>
      </c>
      <c r="G108" s="176">
        <v>13991.219999999998</v>
      </c>
      <c r="H108" s="167">
        <f t="shared" si="1"/>
      </c>
      <c r="I108" s="167">
        <f t="shared" si="3"/>
      </c>
      <c r="J108" s="167">
        <f t="shared" si="2"/>
      </c>
      <c r="K108" s="165">
        <v>4</v>
      </c>
      <c r="L108" s="168">
        <v>5929.199999999999</v>
      </c>
      <c r="M108" s="176" t="s">
        <v>255</v>
      </c>
      <c r="N108" s="191">
        <v>8</v>
      </c>
      <c r="O108" s="175" t="s">
        <v>258</v>
      </c>
      <c r="P108" s="176">
        <v>9</v>
      </c>
    </row>
    <row customHeight="true" ht="16.071428571428573" r="109">
      <c r="A109" s="162" t="s">
        <v>298</v>
      </c>
      <c r="B109" s="163" t="s">
        <v>253</v>
      </c>
      <c r="C109" s="164" t="s">
        <v>291</v>
      </c>
      <c r="D109" s="164">
        <v>5</v>
      </c>
      <c r="E109" s="165">
        <v>10</v>
      </c>
      <c r="F109" s="165">
        <v>12219.600000000006</v>
      </c>
      <c r="G109" s="166">
        <v>8714.31</v>
      </c>
      <c r="H109" s="167">
        <f t="shared" si="1"/>
      </c>
      <c r="I109" s="167">
        <f t="shared" si="3"/>
      </c>
      <c r="J109" s="167">
        <f t="shared" si="2"/>
      </c>
      <c r="K109" s="165">
        <v>3</v>
      </c>
      <c r="L109" s="168">
        <v>1229.9999999999993</v>
      </c>
      <c r="M109" s="175"/>
      <c r="N109" s="192"/>
      <c r="O109" s="175"/>
      <c r="P109" s="175"/>
    </row>
    <row customHeight="true" ht="16.071428571428573" r="110">
      <c r="A110" s="162" t="s">
        <v>298</v>
      </c>
      <c r="B110" s="163" t="s">
        <v>250</v>
      </c>
      <c r="C110" s="164" t="s">
        <v>292</v>
      </c>
      <c r="D110" s="164">
        <v>4</v>
      </c>
      <c r="E110" s="165">
        <v>3</v>
      </c>
      <c r="F110" s="165">
        <v>5018.400000000009</v>
      </c>
      <c r="G110" s="166">
        <v>7470.6900000000005</v>
      </c>
      <c r="H110" s="167">
        <f t="shared" si="1"/>
      </c>
      <c r="I110" s="167">
        <f t="shared" si="3"/>
      </c>
      <c r="J110" s="167">
        <f t="shared" si="2"/>
      </c>
      <c r="K110" s="165">
        <v>0</v>
      </c>
      <c r="L110" s="168">
        <v>0</v>
      </c>
      <c r="M110" s="175"/>
      <c r="N110" s="192"/>
      <c r="O110" s="175"/>
      <c r="P110" s="175"/>
    </row>
    <row customHeight="true" ht="16.071428571428573" r="111">
      <c r="A111" s="183" t="s">
        <v>298</v>
      </c>
      <c r="B111" s="184"/>
      <c r="C111" s="184"/>
      <c r="D111" s="185">
        <f>SUM(D105:D110)</f>
      </c>
      <c r="E111" s="185">
        <f>SUM(E105:E110)</f>
      </c>
      <c r="F111" s="185">
        <f>SUM(F105:F110)</f>
      </c>
      <c r="G111" s="185">
        <f>SUM(G105:G110)</f>
      </c>
      <c r="H111" s="187">
        <f t="shared" si="1"/>
      </c>
      <c r="I111" s="187">
        <f t="shared" si="3"/>
      </c>
      <c r="J111" s="187">
        <f t="shared" si="2"/>
      </c>
      <c r="K111" s="185">
        <f>SUM(K105:K110)</f>
      </c>
      <c r="L111" s="185">
        <f>SUM(L105:L110)</f>
      </c>
      <c r="M111" s="194"/>
      <c r="N111" s="195">
        <f>SUM(N105:N110)</f>
      </c>
      <c r="O111" s="194"/>
      <c r="P111" s="195">
        <f>SUM(P106:P110)</f>
      </c>
    </row>
    <row customHeight="true" ht="16.071428571428573" r="112">
      <c r="A112" s="162" t="s">
        <v>299</v>
      </c>
      <c r="B112" s="163" t="s">
        <v>250</v>
      </c>
      <c r="C112" s="164" t="s">
        <v>251</v>
      </c>
      <c r="D112" s="164">
        <v>1</v>
      </c>
      <c r="E112" s="165">
        <v>6</v>
      </c>
      <c r="F112" s="165">
        <v>9948</v>
      </c>
      <c r="G112" s="166">
        <v>5027.5199999999995</v>
      </c>
      <c r="H112" s="167">
        <f t="shared" si="1"/>
      </c>
      <c r="I112" s="167">
        <f t="shared" si="3"/>
      </c>
      <c r="J112" s="167">
        <f t="shared" si="2"/>
      </c>
      <c r="K112" s="165">
        <v>1</v>
      </c>
      <c r="L112" s="168">
        <v>1411.2</v>
      </c>
      <c r="M112" s="176"/>
      <c r="N112" s="198"/>
      <c r="O112" s="169"/>
      <c r="P112" s="169"/>
    </row>
    <row customHeight="true" ht="16.071428571428573" r="113">
      <c r="A113" s="162" t="s">
        <v>299</v>
      </c>
      <c r="B113" s="163" t="s">
        <v>269</v>
      </c>
      <c r="C113" s="164" t="s">
        <v>254</v>
      </c>
      <c r="D113" s="164">
        <v>5</v>
      </c>
      <c r="E113" s="165">
        <v>21</v>
      </c>
      <c r="F113" s="165">
        <v>31173.6</v>
      </c>
      <c r="G113" s="166">
        <v>18326.760000000002</v>
      </c>
      <c r="H113" s="167">
        <f t="shared" si="1"/>
      </c>
      <c r="I113" s="167">
        <f t="shared" si="3"/>
      </c>
      <c r="J113" s="167">
        <f t="shared" si="2"/>
      </c>
      <c r="K113" s="165">
        <v>6</v>
      </c>
      <c r="L113" s="168">
        <v>6840.000000000001</v>
      </c>
      <c r="M113" s="176" t="s">
        <v>300</v>
      </c>
      <c r="N113" s="190">
        <v>7</v>
      </c>
      <c r="O113" s="175" t="s">
        <v>258</v>
      </c>
      <c r="P113" s="176">
        <v>3</v>
      </c>
    </row>
    <row r="114">
      <c r="A114" s="162" t="s">
        <v>299</v>
      </c>
      <c r="B114" s="163" t="s">
        <v>259</v>
      </c>
      <c r="C114" s="164" t="s">
        <v>257</v>
      </c>
      <c r="D114" s="164">
        <v>5</v>
      </c>
      <c r="E114" s="165">
        <v>19</v>
      </c>
      <c r="F114" s="166">
        <v>24570.000000000007</v>
      </c>
      <c r="G114" s="166">
        <v>18218.079999999998</v>
      </c>
      <c r="H114" s="167">
        <f t="shared" si="1"/>
      </c>
      <c r="I114" s="167">
        <f t="shared" si="3"/>
      </c>
      <c r="J114" s="167">
        <f t="shared" si="2"/>
      </c>
      <c r="K114" s="165">
        <v>3</v>
      </c>
      <c r="L114" s="168">
        <v>3730.7999999999993</v>
      </c>
      <c r="M114" s="176" t="s">
        <v>261</v>
      </c>
      <c r="N114" s="191">
        <v>9</v>
      </c>
      <c r="O114" s="175" t="s">
        <v>262</v>
      </c>
      <c r="P114" s="176">
        <v>12</v>
      </c>
    </row>
    <row r="115">
      <c r="A115" s="162" t="s">
        <v>299</v>
      </c>
      <c r="B115" s="163" t="s">
        <v>253</v>
      </c>
      <c r="C115" s="164" t="s">
        <v>260</v>
      </c>
      <c r="D115" s="164">
        <v>4</v>
      </c>
      <c r="E115" s="165">
        <v>20</v>
      </c>
      <c r="F115" s="166">
        <v>25751.399999999994</v>
      </c>
      <c r="G115" s="176">
        <v>18666.95</v>
      </c>
      <c r="H115" s="167">
        <f t="shared" si="1"/>
      </c>
      <c r="I115" s="167">
        <f t="shared" si="3"/>
      </c>
      <c r="J115" s="167">
        <f t="shared" si="2"/>
      </c>
      <c r="K115" s="165">
        <v>7</v>
      </c>
      <c r="L115" s="168">
        <v>9339</v>
      </c>
      <c r="M115" s="176" t="s">
        <v>255</v>
      </c>
      <c r="N115" s="191">
        <v>8</v>
      </c>
      <c r="O115" s="175" t="s">
        <v>258</v>
      </c>
      <c r="P115" s="176">
        <v>9</v>
      </c>
    </row>
    <row r="116">
      <c r="A116" s="162" t="s">
        <v>299</v>
      </c>
      <c r="B116" s="163" t="s">
        <v>250</v>
      </c>
      <c r="C116" s="164" t="s">
        <v>291</v>
      </c>
      <c r="D116" s="164">
        <v>5</v>
      </c>
      <c r="E116" s="165">
        <v>25</v>
      </c>
      <c r="F116" s="165">
        <v>42890.399999999994</v>
      </c>
      <c r="G116" s="166">
        <v>21386.800000000003</v>
      </c>
      <c r="H116" s="167">
        <f t="shared" si="1"/>
      </c>
      <c r="I116" s="167">
        <f t="shared" si="3"/>
      </c>
      <c r="J116" s="167">
        <f t="shared" si="2"/>
      </c>
      <c r="K116" s="165">
        <v>5</v>
      </c>
      <c r="L116" s="168">
        <v>7204.799999999998</v>
      </c>
      <c r="M116" s="175"/>
      <c r="N116" s="192"/>
      <c r="O116" s="175"/>
      <c r="P116" s="175"/>
    </row>
    <row r="117">
      <c r="A117" s="162" t="s">
        <v>299</v>
      </c>
      <c r="B117" s="163" t="s">
        <v>266</v>
      </c>
      <c r="C117" s="164" t="s">
        <v>292</v>
      </c>
      <c r="D117" s="164">
        <v>4</v>
      </c>
      <c r="E117" s="165">
        <v>22</v>
      </c>
      <c r="F117" s="165">
        <v>25526.399999999994</v>
      </c>
      <c r="G117" s="166">
        <v>18508.7</v>
      </c>
      <c r="H117" s="167">
        <f t="shared" si="1"/>
      </c>
      <c r="I117" s="167">
        <f t="shared" si="3"/>
      </c>
      <c r="J117" s="167">
        <f t="shared" si="2"/>
      </c>
      <c r="K117" s="165">
        <v>3</v>
      </c>
      <c r="L117" s="168">
        <v>2065.2000000000007</v>
      </c>
      <c r="M117" s="175"/>
      <c r="N117" s="192"/>
      <c r="O117" s="175"/>
      <c r="P117" s="175"/>
    </row>
    <row r="118">
      <c r="A118" s="183" t="s">
        <v>299</v>
      </c>
      <c r="B118" s="184"/>
      <c r="C118" s="184"/>
      <c r="D118" s="185">
        <f>SUM(D112:D117)</f>
      </c>
      <c r="E118" s="185">
        <f>SUM(E112:E117)</f>
      </c>
      <c r="F118" s="185">
        <f>SUM(F112:F117)</f>
      </c>
      <c r="G118" s="185">
        <f>SUM(G112:G117)</f>
      </c>
      <c r="H118" s="187">
        <f t="shared" si="1"/>
      </c>
      <c r="I118" s="187">
        <f t="shared" si="3"/>
      </c>
      <c r="J118" s="187">
        <f t="shared" si="2"/>
      </c>
      <c r="K118" s="185">
        <f>SUM(K112:K117)</f>
      </c>
      <c r="L118" s="185">
        <f>SUM(L112:L117)</f>
      </c>
      <c r="M118" s="194"/>
      <c r="N118" s="195">
        <f>SUM(N112:N117)</f>
      </c>
      <c r="O118" s="194"/>
      <c r="P118" s="195">
        <f>SUM(P113:P117)</f>
      </c>
    </row>
    <row r="119">
      <c r="A119" s="162" t="s">
        <v>301</v>
      </c>
      <c r="B119" s="163" t="s">
        <v>266</v>
      </c>
      <c r="C119" s="164" t="s">
        <v>251</v>
      </c>
      <c r="D119" s="164">
        <v>1</v>
      </c>
      <c r="E119" s="165">
        <v>5</v>
      </c>
      <c r="F119" s="165">
        <v>6897.6</v>
      </c>
      <c r="G119" s="166">
        <v>3658.31</v>
      </c>
      <c r="H119" s="167">
        <f t="shared" si="1"/>
      </c>
      <c r="I119" s="167">
        <f t="shared" si="3"/>
      </c>
      <c r="J119" s="167">
        <f t="shared" si="2"/>
      </c>
      <c r="K119" s="165">
        <v>0</v>
      </c>
      <c r="L119" s="168">
        <v>0</v>
      </c>
      <c r="M119" s="176"/>
      <c r="N119" s="198"/>
      <c r="O119" s="169"/>
      <c r="P119" s="169"/>
    </row>
    <row r="120">
      <c r="A120" s="162" t="s">
        <v>301</v>
      </c>
      <c r="B120" s="163" t="s">
        <v>264</v>
      </c>
      <c r="C120" s="164" t="s">
        <v>254</v>
      </c>
      <c r="D120" s="164">
        <v>5</v>
      </c>
      <c r="E120" s="165">
        <v>22</v>
      </c>
      <c r="F120" s="165">
        <v>22992</v>
      </c>
      <c r="G120" s="166">
        <v>18172.66</v>
      </c>
      <c r="H120" s="167">
        <f t="shared" si="1"/>
      </c>
      <c r="I120" s="167">
        <f t="shared" si="3"/>
      </c>
      <c r="J120" s="167">
        <f t="shared" si="2"/>
      </c>
      <c r="K120" s="165">
        <v>3</v>
      </c>
      <c r="L120" s="168">
        <v>3010.7999999999993</v>
      </c>
      <c r="M120" s="176" t="s">
        <v>300</v>
      </c>
      <c r="N120" s="190">
        <v>7</v>
      </c>
      <c r="O120" s="175" t="s">
        <v>258</v>
      </c>
      <c r="P120" s="176">
        <v>3</v>
      </c>
    </row>
    <row r="121">
      <c r="A121" s="162" t="s">
        <v>301</v>
      </c>
      <c r="B121" s="163" t="s">
        <v>259</v>
      </c>
      <c r="C121" s="164" t="s">
        <v>257</v>
      </c>
      <c r="D121" s="164">
        <v>5</v>
      </c>
      <c r="E121" s="165">
        <v>23</v>
      </c>
      <c r="F121" s="166">
        <v>26117.6</v>
      </c>
      <c r="G121" s="166">
        <v>19819.85</v>
      </c>
      <c r="H121" s="167">
        <f t="shared" si="1"/>
      </c>
      <c r="I121" s="167">
        <f t="shared" si="3"/>
      </c>
      <c r="J121" s="167">
        <f t="shared" si="2"/>
      </c>
      <c r="K121" s="165">
        <v>13</v>
      </c>
      <c r="L121" s="168">
        <v>14226.800000000003</v>
      </c>
      <c r="M121" s="176" t="s">
        <v>261</v>
      </c>
      <c r="N121" s="191">
        <v>9</v>
      </c>
      <c r="O121" s="175" t="s">
        <v>262</v>
      </c>
      <c r="P121" s="176">
        <v>12</v>
      </c>
    </row>
    <row r="122">
      <c r="A122" s="162" t="s">
        <v>301</v>
      </c>
      <c r="B122" s="163" t="s">
        <v>253</v>
      </c>
      <c r="C122" s="164" t="s">
        <v>260</v>
      </c>
      <c r="D122" s="164">
        <v>4</v>
      </c>
      <c r="E122" s="165">
        <v>19</v>
      </c>
      <c r="F122" s="166">
        <v>25421.800000000003</v>
      </c>
      <c r="G122" s="176">
        <v>15659.900000000001</v>
      </c>
      <c r="H122" s="167">
        <f t="shared" si="1"/>
      </c>
      <c r="I122" s="167">
        <f t="shared" si="3"/>
      </c>
      <c r="J122" s="167">
        <f t="shared" si="2"/>
      </c>
      <c r="K122" s="165">
        <v>4</v>
      </c>
      <c r="L122" s="168">
        <v>4768.800000000001</v>
      </c>
      <c r="M122" s="176" t="s">
        <v>255</v>
      </c>
      <c r="N122" s="191">
        <v>8</v>
      </c>
      <c r="O122" s="175" t="s">
        <v>258</v>
      </c>
      <c r="P122" s="176">
        <v>9</v>
      </c>
    </row>
    <row r="123">
      <c r="A123" s="162" t="s">
        <v>301</v>
      </c>
      <c r="B123" s="163" t="s">
        <v>250</v>
      </c>
      <c r="C123" s="164" t="s">
        <v>291</v>
      </c>
      <c r="D123" s="164">
        <v>5</v>
      </c>
      <c r="E123" s="165">
        <v>8</v>
      </c>
      <c r="F123" s="165">
        <v>9024.199999999997</v>
      </c>
      <c r="G123" s="166">
        <v>10607.08</v>
      </c>
      <c r="H123" s="167">
        <f t="shared" si="1"/>
      </c>
      <c r="I123" s="167">
        <f t="shared" si="3"/>
      </c>
      <c r="J123" s="167">
        <f t="shared" si="2"/>
      </c>
      <c r="K123" s="165">
        <v>2</v>
      </c>
      <c r="L123" s="168">
        <v>710.3999999999942</v>
      </c>
      <c r="M123" s="175"/>
      <c r="N123" s="192"/>
      <c r="O123" s="175"/>
      <c r="P123" s="175"/>
    </row>
    <row r="124">
      <c r="A124" s="162" t="s">
        <v>301</v>
      </c>
      <c r="B124" s="163" t="s">
        <v>266</v>
      </c>
      <c r="C124" s="164" t="s">
        <v>292</v>
      </c>
      <c r="D124" s="164">
        <v>4</v>
      </c>
      <c r="E124" s="165">
        <v>5</v>
      </c>
      <c r="F124" s="165">
        <v>7070.400000000009</v>
      </c>
      <c r="G124" s="166">
        <v>11932.46</v>
      </c>
      <c r="H124" s="167">
        <f t="shared" si="1"/>
      </c>
      <c r="I124" s="167">
        <f t="shared" si="3"/>
      </c>
      <c r="J124" s="167">
        <f t="shared" si="2"/>
      </c>
      <c r="K124" s="165">
        <v>0</v>
      </c>
      <c r="L124" s="168">
        <v>0</v>
      </c>
      <c r="M124" s="175"/>
      <c r="N124" s="192"/>
      <c r="O124" s="175"/>
      <c r="P124" s="175"/>
    </row>
    <row r="125">
      <c r="A125" s="183" t="s">
        <v>301</v>
      </c>
      <c r="B125" s="184"/>
      <c r="C125" s="184"/>
      <c r="D125" s="185">
        <f>SUM(D119:D124)</f>
      </c>
      <c r="E125" s="185">
        <f>SUM(E119:E124)</f>
      </c>
      <c r="F125" s="185">
        <f>SUM(F119:F124)</f>
      </c>
      <c r="G125" s="185">
        <f>SUM(G119:G124)</f>
      </c>
      <c r="H125" s="187">
        <f t="shared" si="1"/>
      </c>
      <c r="I125" s="187">
        <f t="shared" si="3"/>
      </c>
      <c r="J125" s="187">
        <f t="shared" si="2"/>
      </c>
      <c r="K125" s="185">
        <f>SUM(K119:K124)</f>
      </c>
      <c r="L125" s="185">
        <f>SUM(L119:L124)</f>
      </c>
      <c r="M125" s="194"/>
      <c r="N125" s="195">
        <f>SUM(N119:N124)</f>
      </c>
      <c r="O125" s="194"/>
      <c r="P125" s="195">
        <f>SUM(P120:P124)</f>
      </c>
    </row>
    <row r="126">
      <c r="A126" s="162" t="s">
        <v>302</v>
      </c>
      <c r="B126" s="163" t="s">
        <v>266</v>
      </c>
      <c r="C126" s="164" t="s">
        <v>251</v>
      </c>
      <c r="D126" s="164">
        <v>1</v>
      </c>
      <c r="E126" s="165">
        <v>5</v>
      </c>
      <c r="F126" s="165">
        <v>4383.96</v>
      </c>
      <c r="G126" s="166">
        <v>4005.8</v>
      </c>
      <c r="H126" s="167">
        <f t="shared" si="1"/>
      </c>
      <c r="I126" s="167">
        <f t="shared" si="3"/>
      </c>
      <c r="J126" s="167">
        <f t="shared" si="2"/>
      </c>
      <c r="K126" s="165">
        <v>1</v>
      </c>
      <c r="L126" s="168">
        <v>679.2</v>
      </c>
      <c r="M126" s="176"/>
      <c r="N126" s="198"/>
      <c r="O126" s="169"/>
      <c r="P126" s="169"/>
    </row>
    <row r="127">
      <c r="A127" s="162" t="s">
        <v>302</v>
      </c>
      <c r="B127" s="163" t="s">
        <v>264</v>
      </c>
      <c r="C127" s="164" t="s">
        <v>254</v>
      </c>
      <c r="D127" s="164">
        <v>5</v>
      </c>
      <c r="E127" s="165">
        <v>18</v>
      </c>
      <c r="F127" s="165">
        <v>22806</v>
      </c>
      <c r="G127" s="166">
        <v>17460.38</v>
      </c>
      <c r="H127" s="167">
        <f t="shared" si="1"/>
      </c>
      <c r="I127" s="167">
        <f t="shared" si="3"/>
      </c>
      <c r="J127" s="167">
        <f t="shared" si="2"/>
      </c>
      <c r="K127" s="165">
        <v>4</v>
      </c>
      <c r="L127" s="168">
        <v>4132.8</v>
      </c>
      <c r="M127" s="176" t="s">
        <v>300</v>
      </c>
      <c r="N127" s="190">
        <v>7</v>
      </c>
      <c r="O127" s="175" t="s">
        <v>258</v>
      </c>
      <c r="P127" s="176">
        <v>3</v>
      </c>
    </row>
    <row r="128">
      <c r="A128" s="162" t="s">
        <v>302</v>
      </c>
      <c r="B128" s="163" t="s">
        <v>253</v>
      </c>
      <c r="C128" s="164" t="s">
        <v>257</v>
      </c>
      <c r="D128" s="164">
        <v>5</v>
      </c>
      <c r="E128" s="165">
        <v>15</v>
      </c>
      <c r="F128" s="166">
        <v>20146.4</v>
      </c>
      <c r="G128" s="166">
        <v>17700.089999999997</v>
      </c>
      <c r="H128" s="167">
        <f t="shared" si="1"/>
      </c>
      <c r="I128" s="167">
        <f t="shared" si="3"/>
      </c>
      <c r="J128" s="167">
        <f t="shared" si="2"/>
      </c>
      <c r="K128" s="165">
        <v>3</v>
      </c>
      <c r="L128" s="168">
        <v>2638.7999999999993</v>
      </c>
      <c r="M128" s="176" t="s">
        <v>261</v>
      </c>
      <c r="N128" s="191">
        <v>9</v>
      </c>
      <c r="O128" s="175" t="s">
        <v>262</v>
      </c>
      <c r="P128" s="176">
        <v>12</v>
      </c>
    </row>
    <row r="129">
      <c r="A129" s="162" t="s">
        <v>302</v>
      </c>
      <c r="B129" s="163" t="s">
        <v>266</v>
      </c>
      <c r="C129" s="164" t="s">
        <v>260</v>
      </c>
      <c r="D129" s="164">
        <v>4</v>
      </c>
      <c r="E129" s="165">
        <v>7</v>
      </c>
      <c r="F129" s="166">
        <v>6889.199999999997</v>
      </c>
      <c r="G129" s="176">
        <v>8846.43</v>
      </c>
      <c r="H129" s="167">
        <f t="shared" si="1"/>
      </c>
      <c r="I129" s="167">
        <f t="shared" si="3"/>
      </c>
      <c r="J129" s="167">
        <f t="shared" si="2"/>
      </c>
      <c r="K129" s="165">
        <v>2</v>
      </c>
      <c r="L129" s="168">
        <v>823.1999999999998</v>
      </c>
      <c r="M129" s="176" t="s">
        <v>255</v>
      </c>
      <c r="N129" s="191">
        <v>8</v>
      </c>
      <c r="O129" s="175" t="s">
        <v>258</v>
      </c>
      <c r="P129" s="176">
        <v>9</v>
      </c>
    </row>
    <row r="130">
      <c r="A130" s="162" t="s">
        <v>302</v>
      </c>
      <c r="B130" s="163" t="s">
        <v>269</v>
      </c>
      <c r="C130" s="164" t="s">
        <v>291</v>
      </c>
      <c r="D130" s="164">
        <v>5</v>
      </c>
      <c r="E130" s="165">
        <v>15</v>
      </c>
      <c r="F130" s="165">
        <v>22552.800000000003</v>
      </c>
      <c r="G130" s="166">
        <v>11641.22</v>
      </c>
      <c r="H130" s="167">
        <f t="shared" si="1"/>
      </c>
      <c r="I130" s="167">
        <f t="shared" si="3"/>
      </c>
      <c r="J130" s="167">
        <f t="shared" si="2"/>
      </c>
      <c r="K130" s="165">
        <v>3</v>
      </c>
      <c r="L130" s="168">
        <v>4989.599999999999</v>
      </c>
      <c r="M130" s="175"/>
      <c r="N130" s="192"/>
      <c r="O130" s="175"/>
      <c r="P130" s="175"/>
    </row>
    <row r="131">
      <c r="A131" s="162" t="s">
        <v>302</v>
      </c>
      <c r="B131" s="163" t="s">
        <v>264</v>
      </c>
      <c r="C131" s="164" t="s">
        <v>292</v>
      </c>
      <c r="D131" s="164">
        <v>4</v>
      </c>
      <c r="E131" s="165">
        <v>5</v>
      </c>
      <c r="F131" s="165">
        <v>5961.600000000006</v>
      </c>
      <c r="G131" s="166">
        <v>10922.99</v>
      </c>
      <c r="H131" s="167">
        <f t="shared" si="1"/>
      </c>
      <c r="I131" s="167">
        <f t="shared" si="3"/>
      </c>
      <c r="J131" s="167">
        <f t="shared" si="2"/>
      </c>
      <c r="K131" s="165">
        <v>1</v>
      </c>
      <c r="L131" s="168">
        <v>691.2</v>
      </c>
      <c r="M131" s="175"/>
      <c r="N131" s="192"/>
      <c r="O131" s="175"/>
      <c r="P131" s="175"/>
    </row>
    <row r="132">
      <c r="A132" s="183" t="s">
        <v>302</v>
      </c>
      <c r="B132" s="184"/>
      <c r="C132" s="184"/>
      <c r="D132" s="185">
        <f>SUM(D126:D131)</f>
      </c>
      <c r="E132" s="185">
        <f>SUM(E126:E131)</f>
      </c>
      <c r="F132" s="185">
        <f>SUM(F126:F131)</f>
      </c>
      <c r="G132" s="185">
        <f>SUM(G126:G131)</f>
      </c>
      <c r="H132" s="187">
        <f t="shared" si="1"/>
      </c>
      <c r="I132" s="187">
        <f t="shared" si="3"/>
      </c>
      <c r="J132" s="187">
        <f t="shared" si="2"/>
      </c>
      <c r="K132" s="185">
        <f>SUM(K126:K131)</f>
      </c>
      <c r="L132" s="185">
        <f>SUM(L126:L131)</f>
      </c>
      <c r="M132" s="194"/>
      <c r="N132" s="195">
        <f>SUM(N126:N131)</f>
      </c>
      <c r="O132" s="194"/>
      <c r="P132" s="195">
        <f>SUM(P127:P131)</f>
      </c>
    </row>
    <row r="133">
      <c r="A133" s="162" t="s">
        <v>303</v>
      </c>
      <c r="B133" s="163" t="s">
        <v>264</v>
      </c>
      <c r="C133" s="164" t="s">
        <v>251</v>
      </c>
      <c r="D133" s="164">
        <v>1</v>
      </c>
      <c r="E133" s="165">
        <v>4</v>
      </c>
      <c r="F133" s="165">
        <v>3100.8</v>
      </c>
      <c r="G133" s="166">
        <v>1576.17</v>
      </c>
      <c r="H133" s="167">
        <f t="shared" si="1"/>
      </c>
      <c r="I133" s="167">
        <f t="shared" si="3"/>
      </c>
      <c r="J133" s="167">
        <f t="shared" si="2"/>
      </c>
      <c r="K133" s="165">
        <v>3</v>
      </c>
      <c r="L133" s="168">
        <v>1756.8</v>
      </c>
      <c r="M133" s="176"/>
      <c r="N133" s="198"/>
      <c r="O133" s="169"/>
      <c r="P133" s="169"/>
    </row>
    <row r="134">
      <c r="A134" s="162" t="s">
        <v>303</v>
      </c>
      <c r="B134" s="163" t="s">
        <v>259</v>
      </c>
      <c r="C134" s="164" t="s">
        <v>254</v>
      </c>
      <c r="D134" s="164">
        <v>5</v>
      </c>
      <c r="E134" s="165">
        <v>10</v>
      </c>
      <c r="F134" s="165">
        <v>10432.8</v>
      </c>
      <c r="G134" s="166">
        <v>12447.65</v>
      </c>
      <c r="H134" s="167">
        <f t="shared" si="1"/>
      </c>
      <c r="I134" s="167">
        <f t="shared" si="3"/>
      </c>
      <c r="J134" s="167">
        <f t="shared" si="2"/>
      </c>
      <c r="K134" s="165">
        <v>0</v>
      </c>
      <c r="L134" s="168">
        <v>0</v>
      </c>
      <c r="M134" s="176" t="s">
        <v>300</v>
      </c>
      <c r="N134" s="190">
        <v>7</v>
      </c>
      <c r="O134" s="175" t="s">
        <v>258</v>
      </c>
      <c r="P134" s="176">
        <v>3</v>
      </c>
    </row>
    <row r="135">
      <c r="A135" s="162" t="s">
        <v>303</v>
      </c>
      <c r="B135" s="163" t="s">
        <v>253</v>
      </c>
      <c r="C135" s="164" t="s">
        <v>257</v>
      </c>
      <c r="D135" s="164">
        <v>5</v>
      </c>
      <c r="E135" s="165">
        <v>11</v>
      </c>
      <c r="F135" s="166">
        <v>8915.710000000003</v>
      </c>
      <c r="G135" s="166">
        <v>14688.669999999998</v>
      </c>
      <c r="H135" s="167">
        <f t="shared" si="1"/>
      </c>
      <c r="I135" s="167">
        <f t="shared" si="3"/>
      </c>
      <c r="J135" s="167">
        <f t="shared" si="2"/>
      </c>
      <c r="K135" s="165">
        <v>1</v>
      </c>
      <c r="L135" s="168">
        <v>1663.2</v>
      </c>
      <c r="M135" s="176" t="s">
        <v>261</v>
      </c>
      <c r="N135" s="191">
        <v>9</v>
      </c>
      <c r="O135" s="175" t="s">
        <v>262</v>
      </c>
      <c r="P135" s="176">
        <v>12</v>
      </c>
    </row>
    <row r="136">
      <c r="A136" s="162" t="s">
        <v>303</v>
      </c>
      <c r="B136" s="163" t="s">
        <v>266</v>
      </c>
      <c r="C136" s="164" t="s">
        <v>260</v>
      </c>
      <c r="D136" s="164">
        <v>4</v>
      </c>
      <c r="E136" s="165">
        <v>13</v>
      </c>
      <c r="F136" s="166">
        <v>18527.600000000002</v>
      </c>
      <c r="G136" s="176">
        <v>10531.33</v>
      </c>
      <c r="H136" s="167">
        <f t="shared" si="1"/>
      </c>
      <c r="I136" s="167">
        <f t="shared" si="3"/>
      </c>
      <c r="J136" s="167">
        <f t="shared" si="2"/>
      </c>
      <c r="K136" s="165">
        <v>5</v>
      </c>
      <c r="L136" s="168">
        <v>8632.8</v>
      </c>
      <c r="M136" s="176" t="s">
        <v>255</v>
      </c>
      <c r="N136" s="191">
        <v>8</v>
      </c>
      <c r="O136" s="175" t="s">
        <v>258</v>
      </c>
      <c r="P136" s="176">
        <v>9</v>
      </c>
    </row>
    <row r="137">
      <c r="A137" s="162" t="s">
        <v>303</v>
      </c>
      <c r="B137" s="163" t="s">
        <v>269</v>
      </c>
      <c r="C137" s="164" t="s">
        <v>291</v>
      </c>
      <c r="D137" s="164">
        <v>5</v>
      </c>
      <c r="E137" s="165">
        <v>22</v>
      </c>
      <c r="F137" s="165">
        <v>28639.319999999992</v>
      </c>
      <c r="G137" s="166">
        <v>18731.489999999998</v>
      </c>
      <c r="H137" s="167">
        <f t="shared" si="1"/>
      </c>
      <c r="I137" s="167">
        <f t="shared" si="3"/>
      </c>
      <c r="J137" s="167">
        <f t="shared" si="2"/>
      </c>
      <c r="K137" s="165">
        <v>2</v>
      </c>
      <c r="L137" s="168">
        <v>1219.2000000000007</v>
      </c>
      <c r="M137" s="175"/>
      <c r="N137" s="192"/>
      <c r="O137" s="175"/>
      <c r="P137" s="175"/>
    </row>
    <row r="138">
      <c r="A138" s="162" t="s">
        <v>303</v>
      </c>
      <c r="B138" s="163" t="s">
        <v>264</v>
      </c>
      <c r="C138" s="164" t="s">
        <v>292</v>
      </c>
      <c r="D138" s="164">
        <v>4</v>
      </c>
      <c r="E138" s="165">
        <v>10</v>
      </c>
      <c r="F138" s="165">
        <v>14491.199999999997</v>
      </c>
      <c r="G138" s="166">
        <v>15845.37</v>
      </c>
      <c r="H138" s="167">
        <f t="shared" si="1"/>
      </c>
      <c r="I138" s="167">
        <f t="shared" si="3"/>
      </c>
      <c r="J138" s="167">
        <f t="shared" si="2"/>
      </c>
      <c r="K138" s="165">
        <v>1</v>
      </c>
      <c r="L138" s="168">
        <v>763.2000000000007</v>
      </c>
      <c r="M138" s="175"/>
      <c r="N138" s="192"/>
      <c r="O138" s="175"/>
      <c r="P138" s="175"/>
    </row>
    <row r="139">
      <c r="A139" s="183" t="s">
        <v>303</v>
      </c>
      <c r="B139" s="184"/>
      <c r="C139" s="184"/>
      <c r="D139" s="185">
        <f>SUM(D133:D138)</f>
      </c>
      <c r="E139" s="185">
        <f>SUM(E133:E138)</f>
      </c>
      <c r="F139" s="185">
        <f>SUM(F133:F138)</f>
      </c>
      <c r="G139" s="185">
        <f>SUM(G133:G138)</f>
      </c>
      <c r="H139" s="187">
        <f t="shared" si="1"/>
      </c>
      <c r="I139" s="187">
        <f t="shared" si="3"/>
      </c>
      <c r="J139" s="187">
        <f t="shared" si="2"/>
      </c>
      <c r="K139" s="185">
        <f>SUM(K133:K138)</f>
      </c>
      <c r="L139" s="185">
        <f>SUM(L133:L138)</f>
      </c>
      <c r="M139" s="194"/>
      <c r="N139" s="195">
        <f>SUM(N133:N138)</f>
      </c>
      <c r="O139" s="194"/>
      <c r="P139" s="195">
        <f>SUM(P134:P138)</f>
      </c>
    </row>
    <row r="140">
      <c r="A140" s="162" t="s">
        <v>304</v>
      </c>
      <c r="B140" s="163" t="s">
        <v>264</v>
      </c>
      <c r="C140" s="164" t="s">
        <v>251</v>
      </c>
      <c r="D140" s="164">
        <v>1</v>
      </c>
      <c r="E140" s="165">
        <v>6</v>
      </c>
      <c r="F140" s="165">
        <v>8745.6</v>
      </c>
      <c r="G140" s="166">
        <v>3467.69</v>
      </c>
      <c r="H140" s="167">
        <f t="shared" si="1"/>
      </c>
      <c r="I140" s="167">
        <f t="shared" si="3"/>
      </c>
      <c r="J140" s="167">
        <f t="shared" si="2"/>
      </c>
      <c r="K140" s="165">
        <v>0</v>
      </c>
      <c r="L140" s="168">
        <v>0</v>
      </c>
      <c r="M140" s="176"/>
      <c r="N140" s="198"/>
      <c r="O140" s="169"/>
      <c r="P140" s="169"/>
    </row>
    <row r="141">
      <c r="A141" s="162" t="s">
        <v>304</v>
      </c>
      <c r="B141" s="163" t="s">
        <v>259</v>
      </c>
      <c r="C141" s="164" t="s">
        <v>254</v>
      </c>
      <c r="D141" s="164">
        <v>5</v>
      </c>
      <c r="E141" s="165">
        <v>14</v>
      </c>
      <c r="F141" s="165">
        <v>15805.199999999999</v>
      </c>
      <c r="G141" s="166">
        <v>12371.400000000001</v>
      </c>
      <c r="H141" s="167">
        <f t="shared" si="1"/>
      </c>
      <c r="I141" s="167">
        <f t="shared" si="3"/>
      </c>
      <c r="J141" s="167">
        <f t="shared" si="2"/>
      </c>
      <c r="K141" s="165">
        <v>3</v>
      </c>
      <c r="L141" s="168">
        <v>2668.8000000000006</v>
      </c>
      <c r="M141" s="176" t="s">
        <v>300</v>
      </c>
      <c r="N141" s="190">
        <v>7</v>
      </c>
      <c r="O141" s="175" t="s">
        <v>258</v>
      </c>
      <c r="P141" s="176">
        <v>3</v>
      </c>
    </row>
    <row r="142">
      <c r="A142" s="162" t="s">
        <v>304</v>
      </c>
      <c r="B142" s="163" t="s">
        <v>266</v>
      </c>
      <c r="C142" s="164" t="s">
        <v>257</v>
      </c>
      <c r="D142" s="164">
        <v>5</v>
      </c>
      <c r="E142" s="165">
        <v>10</v>
      </c>
      <c r="F142" s="166">
        <v>11008.800000000003</v>
      </c>
      <c r="G142" s="166">
        <v>16652.1</v>
      </c>
      <c r="H142" s="167">
        <f t="shared" si="1"/>
      </c>
      <c r="I142" s="167">
        <f t="shared" si="3"/>
      </c>
      <c r="J142" s="167">
        <f t="shared" si="2"/>
      </c>
      <c r="K142" s="165">
        <v>5</v>
      </c>
      <c r="L142" s="168">
        <v>6812.399999999997</v>
      </c>
      <c r="M142" s="176" t="s">
        <v>261</v>
      </c>
      <c r="N142" s="191">
        <v>9</v>
      </c>
      <c r="O142" s="175" t="s">
        <v>262</v>
      </c>
      <c r="P142" s="176">
        <v>12</v>
      </c>
    </row>
    <row r="143">
      <c r="A143" s="162" t="s">
        <v>304</v>
      </c>
      <c r="B143" s="163" t="s">
        <v>269</v>
      </c>
      <c r="C143" s="164" t="s">
        <v>260</v>
      </c>
      <c r="D143" s="164">
        <v>4</v>
      </c>
      <c r="E143" s="165">
        <v>16</v>
      </c>
      <c r="F143" s="166">
        <v>18340</v>
      </c>
      <c r="G143" s="176">
        <v>13104.55</v>
      </c>
      <c r="H143" s="167">
        <f t="shared" si="1"/>
      </c>
      <c r="I143" s="167">
        <f t="shared" si="3"/>
      </c>
      <c r="J143" s="167">
        <f t="shared" si="2"/>
      </c>
      <c r="K143" s="165">
        <v>7</v>
      </c>
      <c r="L143" s="168">
        <v>9348.2</v>
      </c>
      <c r="M143" s="176" t="s">
        <v>255</v>
      </c>
      <c r="N143" s="191">
        <v>8</v>
      </c>
      <c r="O143" s="175" t="s">
        <v>258</v>
      </c>
      <c r="P143" s="176">
        <v>9</v>
      </c>
    </row>
    <row r="144">
      <c r="A144" s="162" t="s">
        <v>304</v>
      </c>
      <c r="B144" s="163" t="s">
        <v>264</v>
      </c>
      <c r="C144" s="164" t="s">
        <v>291</v>
      </c>
      <c r="D144" s="164">
        <v>5</v>
      </c>
      <c r="E144" s="165">
        <v>18</v>
      </c>
      <c r="F144" s="165">
        <v>26180.000000000007</v>
      </c>
      <c r="G144" s="166">
        <v>19715.399999999998</v>
      </c>
      <c r="H144" s="167">
        <f t="shared" si="1"/>
      </c>
      <c r="I144" s="167">
        <f t="shared" si="3"/>
      </c>
      <c r="J144" s="167">
        <f t="shared" si="2"/>
      </c>
      <c r="K144" s="165">
        <v>5</v>
      </c>
      <c r="L144" s="168">
        <v>6201.600000000004</v>
      </c>
      <c r="M144" s="175"/>
      <c r="N144" s="192"/>
      <c r="O144" s="175"/>
      <c r="P144" s="175"/>
    </row>
    <row r="145">
      <c r="A145" s="162" t="s">
        <v>304</v>
      </c>
      <c r="B145" s="163" t="s">
        <v>253</v>
      </c>
      <c r="C145" s="164" t="s">
        <v>292</v>
      </c>
      <c r="D145" s="164">
        <v>4</v>
      </c>
      <c r="E145" s="165">
        <v>18</v>
      </c>
      <c r="F145" s="165">
        <v>19279.199999999997</v>
      </c>
      <c r="G145" s="166">
        <v>14785.3</v>
      </c>
      <c r="H145" s="167">
        <f t="shared" si="1"/>
      </c>
      <c r="I145" s="167">
        <f t="shared" si="3"/>
      </c>
      <c r="J145" s="167">
        <f t="shared" si="2"/>
      </c>
      <c r="K145" s="165">
        <v>3</v>
      </c>
      <c r="L145" s="168">
        <v>2253.5999999999985</v>
      </c>
      <c r="M145" s="175"/>
      <c r="N145" s="192"/>
      <c r="O145" s="175"/>
      <c r="P145" s="175"/>
    </row>
    <row r="146">
      <c r="A146" s="183" t="s">
        <v>304</v>
      </c>
      <c r="B146" s="184"/>
      <c r="C146" s="184"/>
      <c r="D146" s="185">
        <f>SUM(D140:D145)</f>
      </c>
      <c r="E146" s="185">
        <f>SUM(E140:E145)</f>
      </c>
      <c r="F146" s="185">
        <f>SUM(F140:F145)</f>
      </c>
      <c r="G146" s="185">
        <f>SUM(G140:G145)</f>
      </c>
      <c r="H146" s="187">
        <f t="shared" si="1"/>
      </c>
      <c r="I146" s="187">
        <f t="shared" si="3"/>
      </c>
      <c r="J146" s="187">
        <f t="shared" si="2"/>
      </c>
      <c r="K146" s="185">
        <f>SUM(K140:K145)</f>
      </c>
      <c r="L146" s="185">
        <f>SUM(L140:L145)</f>
      </c>
      <c r="M146" s="194"/>
      <c r="N146" s="195">
        <f>SUM(N140:N145)</f>
      </c>
      <c r="O146" s="194"/>
      <c r="P146" s="195">
        <f>SUM(P141:P145)</f>
      </c>
    </row>
    <row r="147">
      <c r="A147" s="162" t="s">
        <v>305</v>
      </c>
      <c r="B147" s="163" t="s">
        <v>253</v>
      </c>
      <c r="C147" s="164" t="s">
        <v>251</v>
      </c>
      <c r="D147" s="164">
        <v>1</v>
      </c>
      <c r="E147" s="165">
        <v>10</v>
      </c>
      <c r="F147" s="165">
        <v>11686.6</v>
      </c>
      <c r="G147" s="166">
        <v>6465.759999999999</v>
      </c>
      <c r="H147" s="167">
        <f t="shared" si="1"/>
      </c>
      <c r="I147" s="167">
        <f t="shared" si="3"/>
      </c>
      <c r="J147" s="167">
        <f t="shared" si="2"/>
      </c>
      <c r="K147" s="165">
        <v>5</v>
      </c>
      <c r="L147" s="168">
        <v>5470.799999999999</v>
      </c>
      <c r="M147" s="176"/>
      <c r="N147" s="198"/>
      <c r="O147" s="169"/>
      <c r="P147" s="169"/>
    </row>
    <row r="148">
      <c r="A148" s="162" t="s">
        <v>305</v>
      </c>
      <c r="B148" s="163" t="s">
        <v>259</v>
      </c>
      <c r="C148" s="164" t="s">
        <v>254</v>
      </c>
      <c r="D148" s="164">
        <v>5</v>
      </c>
      <c r="E148" s="165">
        <v>17</v>
      </c>
      <c r="F148" s="165">
        <v>19040.4</v>
      </c>
      <c r="G148" s="166">
        <v>16870.2</v>
      </c>
      <c r="H148" s="167">
        <f t="shared" si="1"/>
      </c>
      <c r="I148" s="167">
        <f t="shared" si="3"/>
      </c>
      <c r="J148" s="167">
        <f t="shared" si="2"/>
      </c>
      <c r="K148" s="165">
        <v>3</v>
      </c>
      <c r="L148" s="168">
        <v>3004.7999999999993</v>
      </c>
      <c r="M148" s="176" t="s">
        <v>300</v>
      </c>
      <c r="N148" s="190">
        <v>7</v>
      </c>
      <c r="O148" s="175" t="s">
        <v>258</v>
      </c>
      <c r="P148" s="176">
        <v>3</v>
      </c>
    </row>
    <row r="149">
      <c r="A149" s="162" t="s">
        <v>305</v>
      </c>
      <c r="B149" s="163" t="s">
        <v>266</v>
      </c>
      <c r="C149" s="164" t="s">
        <v>257</v>
      </c>
      <c r="D149" s="164">
        <v>5</v>
      </c>
      <c r="E149" s="165">
        <v>14</v>
      </c>
      <c r="F149" s="166">
        <v>20987.64</v>
      </c>
      <c r="G149" s="166">
        <v>20605.04</v>
      </c>
      <c r="H149" s="167">
        <f t="shared" si="1"/>
      </c>
      <c r="I149" s="167">
        <f t="shared" si="3"/>
      </c>
      <c r="J149" s="167">
        <f t="shared" si="2"/>
      </c>
      <c r="K149" s="165">
        <v>4</v>
      </c>
      <c r="L149" s="168">
        <v>7264.800000000001</v>
      </c>
      <c r="M149" s="176" t="s">
        <v>261</v>
      </c>
      <c r="N149" s="191">
        <v>9</v>
      </c>
      <c r="O149" s="175" t="s">
        <v>262</v>
      </c>
      <c r="P149" s="176">
        <v>12</v>
      </c>
    </row>
    <row r="150">
      <c r="A150" s="162" t="s">
        <v>305</v>
      </c>
      <c r="B150" s="163" t="s">
        <v>269</v>
      </c>
      <c r="C150" s="164" t="s">
        <v>260</v>
      </c>
      <c r="D150" s="164">
        <v>4</v>
      </c>
      <c r="E150" s="165">
        <v>27</v>
      </c>
      <c r="F150" s="166">
        <v>29420.399999999994</v>
      </c>
      <c r="G150" s="176">
        <v>16563.86</v>
      </c>
      <c r="H150" s="167">
        <f t="shared" si="1"/>
      </c>
      <c r="I150" s="167">
        <f t="shared" si="3"/>
      </c>
      <c r="J150" s="167">
        <f t="shared" si="2"/>
      </c>
      <c r="K150" s="165">
        <v>6</v>
      </c>
      <c r="L150" s="168">
        <v>5611.199999999997</v>
      </c>
      <c r="M150" s="176" t="s">
        <v>255</v>
      </c>
      <c r="N150" s="191">
        <v>8</v>
      </c>
      <c r="O150" s="175" t="s">
        <v>258</v>
      </c>
      <c r="P150" s="176">
        <v>9</v>
      </c>
    </row>
    <row r="151">
      <c r="A151" s="162" t="s">
        <v>305</v>
      </c>
      <c r="B151" s="163" t="s">
        <v>250</v>
      </c>
      <c r="C151" s="164" t="s">
        <v>291</v>
      </c>
      <c r="D151" s="164">
        <v>5</v>
      </c>
      <c r="E151" s="165">
        <v>21</v>
      </c>
      <c r="F151" s="165">
        <v>27727.999999999985</v>
      </c>
      <c r="G151" s="166">
        <v>17666.11</v>
      </c>
      <c r="H151" s="167">
        <f t="shared" si="1"/>
      </c>
      <c r="I151" s="167">
        <f t="shared" si="3"/>
      </c>
      <c r="J151" s="167">
        <f t="shared" si="2"/>
      </c>
      <c r="K151" s="165">
        <v>3</v>
      </c>
      <c r="L151" s="168">
        <v>4477.199999999997</v>
      </c>
      <c r="M151" s="175"/>
      <c r="N151" s="192"/>
      <c r="O151" s="175"/>
      <c r="P151" s="175"/>
    </row>
    <row r="152">
      <c r="A152" s="162" t="s">
        <v>305</v>
      </c>
      <c r="B152" s="163" t="s">
        <v>259</v>
      </c>
      <c r="C152" s="164" t="s">
        <v>292</v>
      </c>
      <c r="D152" s="164">
        <v>4</v>
      </c>
      <c r="E152" s="165">
        <v>16</v>
      </c>
      <c r="F152" s="165">
        <v>16330.800000000003</v>
      </c>
      <c r="G152" s="166">
        <v>16361.07</v>
      </c>
      <c r="H152" s="167">
        <f t="shared" si="1"/>
      </c>
      <c r="I152" s="167">
        <f t="shared" si="3"/>
      </c>
      <c r="J152" s="167">
        <f t="shared" si="2"/>
      </c>
      <c r="K152" s="165">
        <v>4</v>
      </c>
      <c r="L152" s="168">
        <v>3106.800000000003</v>
      </c>
      <c r="M152" s="175"/>
      <c r="N152" s="192"/>
      <c r="O152" s="175"/>
      <c r="P152" s="175"/>
    </row>
    <row r="153">
      <c r="A153" s="183" t="s">
        <v>305</v>
      </c>
      <c r="B153" s="184"/>
      <c r="C153" s="184"/>
      <c r="D153" s="185">
        <f>SUM(D147:D152)</f>
      </c>
      <c r="E153" s="185">
        <f>SUM(E147:E152)</f>
      </c>
      <c r="F153" s="185">
        <f>SUM(F147:F152)</f>
      </c>
      <c r="G153" s="185">
        <f>SUM(G147:G152)</f>
      </c>
      <c r="H153" s="187">
        <f t="shared" si="1"/>
      </c>
      <c r="I153" s="187">
        <f t="shared" si="3"/>
      </c>
      <c r="J153" s="187">
        <f t="shared" si="2"/>
      </c>
      <c r="K153" s="185">
        <f>SUM(K147:K152)</f>
      </c>
      <c r="L153" s="185">
        <f>SUM(L147:L152)</f>
      </c>
      <c r="M153" s="194"/>
      <c r="N153" s="195">
        <f>SUM(N147:N152)</f>
      </c>
      <c r="O153" s="194"/>
      <c r="P153" s="195">
        <f>SUM(P148:P152)</f>
      </c>
    </row>
    <row r="154">
      <c r="A154" s="162" t="s">
        <v>306</v>
      </c>
      <c r="B154" s="163" t="s">
        <v>259</v>
      </c>
      <c r="C154" s="164" t="s">
        <v>251</v>
      </c>
      <c r="D154" s="164">
        <v>1</v>
      </c>
      <c r="E154" s="165">
        <v>2</v>
      </c>
      <c r="F154" s="165">
        <v>4022.4</v>
      </c>
      <c r="G154" s="166">
        <v>3972.4199999999996</v>
      </c>
      <c r="H154" s="167">
        <f t="shared" si="1"/>
      </c>
      <c r="I154" s="167">
        <f t="shared" si="3"/>
      </c>
      <c r="J154" s="167">
        <f t="shared" si="2"/>
      </c>
      <c r="K154" s="165">
        <v>0</v>
      </c>
      <c r="L154" s="168">
        <v>0</v>
      </c>
      <c r="M154" s="176"/>
      <c r="N154" s="198"/>
      <c r="O154" s="169"/>
      <c r="P154" s="169"/>
    </row>
    <row r="155">
      <c r="A155" s="162" t="s">
        <v>306</v>
      </c>
      <c r="B155" s="163" t="s">
        <v>253</v>
      </c>
      <c r="C155" s="164" t="s">
        <v>254</v>
      </c>
      <c r="D155" s="164">
        <v>5</v>
      </c>
      <c r="E155" s="165">
        <v>12</v>
      </c>
      <c r="F155" s="165">
        <v>19032</v>
      </c>
      <c r="G155" s="166">
        <v>12888.060000000001</v>
      </c>
      <c r="H155" s="167">
        <f t="shared" si="1"/>
      </c>
      <c r="I155" s="167">
        <f t="shared" si="3"/>
      </c>
      <c r="J155" s="167">
        <f t="shared" si="2"/>
      </c>
      <c r="K155" s="165">
        <v>5</v>
      </c>
      <c r="L155" s="168">
        <v>6738</v>
      </c>
      <c r="M155" s="176" t="s">
        <v>300</v>
      </c>
      <c r="N155" s="190">
        <v>7</v>
      </c>
      <c r="O155" s="175" t="s">
        <v>258</v>
      </c>
      <c r="P155" s="176">
        <v>3</v>
      </c>
    </row>
    <row r="156">
      <c r="A156" s="162" t="s">
        <v>306</v>
      </c>
      <c r="B156" s="163" t="s">
        <v>266</v>
      </c>
      <c r="C156" s="164" t="s">
        <v>257</v>
      </c>
      <c r="D156" s="164">
        <v>5</v>
      </c>
      <c r="E156" s="165">
        <v>15</v>
      </c>
      <c r="F156" s="166">
        <v>18621.6</v>
      </c>
      <c r="G156" s="166">
        <v>18272.06</v>
      </c>
      <c r="H156" s="167">
        <f t="shared" si="1"/>
      </c>
      <c r="I156" s="167">
        <f t="shared" si="3"/>
      </c>
      <c r="J156" s="167">
        <f t="shared" si="2"/>
      </c>
      <c r="K156" s="165">
        <v>4</v>
      </c>
      <c r="L156" s="168">
        <v>3190.800000000001</v>
      </c>
      <c r="M156" s="176" t="s">
        <v>261</v>
      </c>
      <c r="N156" s="191">
        <v>9</v>
      </c>
      <c r="O156" s="175" t="s">
        <v>262</v>
      </c>
      <c r="P156" s="176">
        <v>12</v>
      </c>
    </row>
    <row r="157">
      <c r="A157" s="162" t="s">
        <v>306</v>
      </c>
      <c r="B157" s="163" t="s">
        <v>269</v>
      </c>
      <c r="C157" s="164" t="s">
        <v>260</v>
      </c>
      <c r="D157" s="164">
        <v>4</v>
      </c>
      <c r="E157" s="165">
        <v>16</v>
      </c>
      <c r="F157" s="166">
        <v>16534.800000000003</v>
      </c>
      <c r="G157" s="176">
        <v>17123.41</v>
      </c>
      <c r="H157" s="167">
        <f t="shared" si="1"/>
      </c>
      <c r="I157" s="167">
        <f t="shared" si="3"/>
      </c>
      <c r="J157" s="167">
        <f t="shared" si="2"/>
      </c>
      <c r="K157" s="165">
        <v>6</v>
      </c>
      <c r="L157" s="168">
        <v>8055.599999999997</v>
      </c>
      <c r="M157" s="176" t="s">
        <v>255</v>
      </c>
      <c r="N157" s="191">
        <v>8</v>
      </c>
      <c r="O157" s="175" t="s">
        <v>258</v>
      </c>
      <c r="P157" s="176">
        <v>9</v>
      </c>
    </row>
    <row r="158">
      <c r="A158" s="162" t="s">
        <v>306</v>
      </c>
      <c r="B158" s="163" t="s">
        <v>264</v>
      </c>
      <c r="C158" s="164" t="s">
        <v>291</v>
      </c>
      <c r="D158" s="164">
        <v>5</v>
      </c>
      <c r="E158" s="165">
        <v>17</v>
      </c>
      <c r="F158" s="165">
        <v>26463.59999999999</v>
      </c>
      <c r="G158" s="166">
        <v>9806.559999999998</v>
      </c>
      <c r="H158" s="167">
        <f t="shared" si="1"/>
      </c>
      <c r="I158" s="167">
        <f t="shared" si="3"/>
      </c>
      <c r="J158" s="167">
        <f t="shared" si="2"/>
      </c>
      <c r="K158" s="165">
        <v>4</v>
      </c>
      <c r="L158" s="168">
        <v>4429.200000000001</v>
      </c>
      <c r="M158" s="175"/>
      <c r="N158" s="192"/>
      <c r="O158" s="175"/>
      <c r="P158" s="175"/>
    </row>
    <row r="159">
      <c r="A159" s="162" t="s">
        <v>306</v>
      </c>
      <c r="B159" s="163" t="s">
        <v>250</v>
      </c>
      <c r="C159" s="164" t="s">
        <v>292</v>
      </c>
      <c r="D159" s="164">
        <v>4</v>
      </c>
      <c r="E159" s="165">
        <v>20</v>
      </c>
      <c r="F159" s="165">
        <v>33382.80000000002</v>
      </c>
      <c r="G159" s="166">
        <v>17974.44</v>
      </c>
      <c r="H159" s="167">
        <f t="shared" si="1"/>
      </c>
      <c r="I159" s="167">
        <f t="shared" si="3"/>
      </c>
      <c r="J159" s="167">
        <f t="shared" si="2"/>
      </c>
      <c r="K159" s="165">
        <v>3</v>
      </c>
      <c r="L159" s="168">
        <v>5918.4000000000015</v>
      </c>
      <c r="M159" s="175"/>
      <c r="N159" s="192"/>
      <c r="O159" s="175"/>
      <c r="P159" s="175"/>
    </row>
    <row r="160">
      <c r="A160" s="183" t="s">
        <v>306</v>
      </c>
      <c r="B160" s="184"/>
      <c r="C160" s="184"/>
      <c r="D160" s="185">
        <f>SUM(D154:D159)</f>
      </c>
      <c r="E160" s="185">
        <f>SUM(E154:E159)</f>
      </c>
      <c r="F160" s="185">
        <f>SUM(F154:F159)</f>
      </c>
      <c r="G160" s="185">
        <f>SUM(G154:G159)</f>
      </c>
      <c r="H160" s="187">
        <f t="shared" si="1"/>
      </c>
      <c r="I160" s="187">
        <f t="shared" si="3"/>
      </c>
      <c r="J160" s="187">
        <f t="shared" si="2"/>
      </c>
      <c r="K160" s="185">
        <f>SUM(K154:K159)</f>
      </c>
      <c r="L160" s="185">
        <f>SUM(L154:L159)</f>
      </c>
      <c r="M160" s="194"/>
      <c r="N160" s="195">
        <f>SUM(N154:N159)</f>
      </c>
      <c r="O160" s="194"/>
      <c r="P160" s="195">
        <f>SUM(P155:P159)</f>
      </c>
    </row>
    <row r="161">
      <c r="A161" s="162" t="s">
        <v>307</v>
      </c>
      <c r="B161" s="163" t="s">
        <v>250</v>
      </c>
      <c r="C161" s="164" t="s">
        <v>251</v>
      </c>
      <c r="D161" s="164">
        <v>1</v>
      </c>
      <c r="E161" s="165">
        <v>6</v>
      </c>
      <c r="F161" s="165">
        <v>7808.4</v>
      </c>
      <c r="G161" s="166">
        <v>4056.6299999999997</v>
      </c>
      <c r="H161" s="167">
        <f t="shared" si="1"/>
      </c>
      <c r="I161" s="167">
        <f t="shared" si="3"/>
      </c>
      <c r="J161" s="167">
        <f t="shared" si="2"/>
      </c>
      <c r="K161" s="165">
        <v>3</v>
      </c>
      <c r="L161" s="168">
        <v>4147.2</v>
      </c>
      <c r="M161" s="176"/>
      <c r="N161" s="198"/>
      <c r="O161" s="169"/>
      <c r="P161" s="169"/>
    </row>
    <row r="162">
      <c r="A162" s="162" t="s">
        <v>307</v>
      </c>
      <c r="B162" s="163" t="s">
        <v>253</v>
      </c>
      <c r="C162" s="164" t="s">
        <v>254</v>
      </c>
      <c r="D162" s="164">
        <v>5</v>
      </c>
      <c r="E162" s="165">
        <v>16</v>
      </c>
      <c r="F162" s="165">
        <v>25989.4</v>
      </c>
      <c r="G162" s="166">
        <v>17293.5</v>
      </c>
      <c r="H162" s="167">
        <f t="shared" si="1"/>
      </c>
      <c r="I162" s="167">
        <f t="shared" si="3"/>
      </c>
      <c r="J162" s="167">
        <f t="shared" si="2"/>
      </c>
      <c r="K162" s="165">
        <v>4</v>
      </c>
      <c r="L162" s="168">
        <v>7850.400000000001</v>
      </c>
      <c r="M162" s="176" t="s">
        <v>300</v>
      </c>
      <c r="N162" s="190">
        <v>7</v>
      </c>
      <c r="O162" s="175" t="s">
        <v>258</v>
      </c>
      <c r="P162" s="176">
        <v>3</v>
      </c>
    </row>
    <row r="163">
      <c r="A163" s="162" t="s">
        <v>307</v>
      </c>
      <c r="B163" s="163" t="s">
        <v>269</v>
      </c>
      <c r="C163" s="164" t="s">
        <v>257</v>
      </c>
      <c r="D163" s="164">
        <v>5</v>
      </c>
      <c r="E163" s="165">
        <v>19</v>
      </c>
      <c r="F163" s="166">
        <v>26814</v>
      </c>
      <c r="G163" s="166">
        <v>21290.62</v>
      </c>
      <c r="H163" s="167">
        <f t="shared" si="1"/>
      </c>
      <c r="I163" s="167">
        <f t="shared" si="3"/>
      </c>
      <c r="J163" s="167">
        <f t="shared" si="2"/>
      </c>
      <c r="K163" s="165">
        <v>3</v>
      </c>
      <c r="L163" s="168">
        <v>5985.6</v>
      </c>
      <c r="M163" s="176" t="s">
        <v>261</v>
      </c>
      <c r="N163" s="191">
        <v>9</v>
      </c>
      <c r="O163" s="175" t="s">
        <v>262</v>
      </c>
      <c r="P163" s="176">
        <v>12</v>
      </c>
    </row>
    <row r="164">
      <c r="A164" s="162" t="s">
        <v>307</v>
      </c>
      <c r="B164" s="163" t="s">
        <v>264</v>
      </c>
      <c r="C164" s="164" t="s">
        <v>260</v>
      </c>
      <c r="D164" s="164">
        <v>4</v>
      </c>
      <c r="E164" s="165">
        <v>10</v>
      </c>
      <c r="F164" s="166">
        <v>15457.199999999997</v>
      </c>
      <c r="G164" s="176">
        <v>10310.11</v>
      </c>
      <c r="H164" s="167">
        <f t="shared" si="1"/>
      </c>
      <c r="I164" s="167">
        <f t="shared" si="3"/>
      </c>
      <c r="J164" s="167">
        <f t="shared" si="2"/>
      </c>
      <c r="K164" s="165">
        <v>0</v>
      </c>
      <c r="L164" s="168">
        <v>0</v>
      </c>
      <c r="M164" s="176" t="s">
        <v>255</v>
      </c>
      <c r="N164" s="191">
        <v>8</v>
      </c>
      <c r="O164" s="175" t="s">
        <v>258</v>
      </c>
      <c r="P164" s="176">
        <v>9</v>
      </c>
    </row>
    <row r="165">
      <c r="A165" s="162" t="s">
        <v>307</v>
      </c>
      <c r="B165" s="163" t="s">
        <v>250</v>
      </c>
      <c r="C165" s="164" t="s">
        <v>291</v>
      </c>
      <c r="D165" s="164">
        <v>5</v>
      </c>
      <c r="E165" s="165">
        <v>19</v>
      </c>
      <c r="F165" s="165">
        <v>26587.199999999997</v>
      </c>
      <c r="G165" s="166">
        <v>13496.32</v>
      </c>
      <c r="H165" s="167">
        <f t="shared" si="1"/>
      </c>
      <c r="I165" s="167">
        <f t="shared" si="3"/>
      </c>
      <c r="J165" s="167">
        <f t="shared" si="2"/>
      </c>
      <c r="K165" s="165">
        <v>4</v>
      </c>
      <c r="L165" s="168">
        <v>6393.5999999999985</v>
      </c>
      <c r="M165" s="175"/>
      <c r="N165" s="192"/>
      <c r="O165" s="175"/>
      <c r="P165" s="175"/>
    </row>
    <row r="166">
      <c r="A166" s="162" t="s">
        <v>307</v>
      </c>
      <c r="B166" s="163" t="s">
        <v>259</v>
      </c>
      <c r="C166" s="164" t="s">
        <v>292</v>
      </c>
      <c r="D166" s="164">
        <v>4</v>
      </c>
      <c r="E166" s="165">
        <v>10</v>
      </c>
      <c r="F166" s="165">
        <v>18177.60000000002</v>
      </c>
      <c r="G166" s="166">
        <v>13203.52</v>
      </c>
      <c r="H166" s="167">
        <f t="shared" si="1"/>
      </c>
      <c r="I166" s="167">
        <f t="shared" si="3"/>
      </c>
      <c r="J166" s="167">
        <f t="shared" si="2"/>
      </c>
      <c r="K166" s="165">
        <v>1</v>
      </c>
      <c r="L166" s="168">
        <v>2011.2</v>
      </c>
      <c r="M166" s="175"/>
      <c r="N166" s="192"/>
      <c r="O166" s="175"/>
      <c r="P166" s="175"/>
    </row>
    <row r="167">
      <c r="A167" s="183" t="s">
        <v>307</v>
      </c>
      <c r="B167" s="184"/>
      <c r="C167" s="184"/>
      <c r="D167" s="185">
        <f>SUM(D161:D166)</f>
      </c>
      <c r="E167" s="185">
        <f>SUM(E161:E166)</f>
      </c>
      <c r="F167" s="185">
        <f>SUM(F161:F166)</f>
      </c>
      <c r="G167" s="185">
        <f>SUM(G161:G166)</f>
      </c>
      <c r="H167" s="187">
        <f t="shared" si="1"/>
      </c>
      <c r="I167" s="187">
        <f t="shared" si="3"/>
      </c>
      <c r="J167" s="187">
        <f t="shared" si="2"/>
      </c>
      <c r="K167" s="185">
        <f>SUM(K161:K166)</f>
      </c>
      <c r="L167" s="185">
        <f>SUM(L161:L166)</f>
      </c>
      <c r="M167" s="194"/>
      <c r="N167" s="195">
        <f>SUM(N161:N166)</f>
      </c>
      <c r="O167" s="194"/>
      <c r="P167" s="195">
        <f>SUM(P162:P166)</f>
      </c>
    </row>
    <row r="168">
      <c r="A168" s="162" t="s">
        <v>308</v>
      </c>
      <c r="B168" s="163" t="s">
        <v>259</v>
      </c>
      <c r="C168" s="164" t="s">
        <v>251</v>
      </c>
      <c r="D168" s="164">
        <v>1</v>
      </c>
      <c r="E168" s="165">
        <v>2</v>
      </c>
      <c r="F168" s="165">
        <v>3432</v>
      </c>
      <c r="G168" s="166">
        <v>3009.32</v>
      </c>
      <c r="H168" s="167">
        <f t="shared" si="1"/>
      </c>
      <c r="I168" s="167">
        <f t="shared" si="3"/>
      </c>
      <c r="J168" s="167">
        <f t="shared" si="2"/>
      </c>
      <c r="K168" s="165">
        <v>1</v>
      </c>
      <c r="L168" s="168">
        <v>2088</v>
      </c>
      <c r="M168" s="176"/>
      <c r="N168" s="198"/>
      <c r="O168" s="169"/>
      <c r="P168" s="169"/>
    </row>
    <row r="169">
      <c r="A169" s="162" t="s">
        <v>308</v>
      </c>
      <c r="B169" s="163" t="s">
        <v>266</v>
      </c>
      <c r="C169" s="164" t="s">
        <v>254</v>
      </c>
      <c r="D169" s="164">
        <v>5</v>
      </c>
      <c r="E169" s="165">
        <v>5</v>
      </c>
      <c r="F169" s="165">
        <v>7917.6</v>
      </c>
      <c r="G169" s="166">
        <v>10097.820000000002</v>
      </c>
      <c r="H169" s="167">
        <f t="shared" si="1"/>
      </c>
      <c r="I169" s="167">
        <f t="shared" si="3"/>
      </c>
      <c r="J169" s="167">
        <f t="shared" si="2"/>
      </c>
      <c r="K169" s="165">
        <v>1</v>
      </c>
      <c r="L169" s="168">
        <v>2088</v>
      </c>
      <c r="M169" s="176" t="s">
        <v>300</v>
      </c>
      <c r="N169" s="190">
        <v>7</v>
      </c>
      <c r="O169" s="175" t="s">
        <v>258</v>
      </c>
      <c r="P169" s="176">
        <v>3</v>
      </c>
    </row>
    <row r="170">
      <c r="A170" s="162" t="s">
        <v>308</v>
      </c>
      <c r="B170" s="163" t="s">
        <v>269</v>
      </c>
      <c r="C170" s="164" t="s">
        <v>257</v>
      </c>
      <c r="D170" s="164">
        <v>5</v>
      </c>
      <c r="E170" s="165">
        <v>14</v>
      </c>
      <c r="F170" s="166">
        <v>21060</v>
      </c>
      <c r="G170" s="166">
        <v>14473.23</v>
      </c>
      <c r="H170" s="167">
        <f t="shared" si="1"/>
      </c>
      <c r="I170" s="167">
        <f t="shared" si="3"/>
      </c>
      <c r="J170" s="167">
        <f t="shared" si="2"/>
      </c>
      <c r="K170" s="165">
        <v>2</v>
      </c>
      <c r="L170" s="168">
        <v>3674.4000000000005</v>
      </c>
      <c r="M170" s="176" t="s">
        <v>261</v>
      </c>
      <c r="N170" s="191">
        <v>9</v>
      </c>
      <c r="O170" s="175" t="s">
        <v>262</v>
      </c>
      <c r="P170" s="176">
        <v>12</v>
      </c>
    </row>
    <row r="171">
      <c r="A171" s="162" t="s">
        <v>308</v>
      </c>
      <c r="B171" s="163" t="s">
        <v>264</v>
      </c>
      <c r="C171" s="164" t="s">
        <v>260</v>
      </c>
      <c r="D171" s="164">
        <v>4</v>
      </c>
      <c r="E171" s="165">
        <v>23</v>
      </c>
      <c r="F171" s="166">
        <v>26125.200000000004</v>
      </c>
      <c r="G171" s="176">
        <v>21023.4</v>
      </c>
      <c r="H171" s="167">
        <f t="shared" si="1"/>
      </c>
      <c r="I171" s="167">
        <f t="shared" si="3"/>
      </c>
      <c r="J171" s="167">
        <f t="shared" si="2"/>
      </c>
      <c r="K171" s="165">
        <v>9</v>
      </c>
      <c r="L171" s="168">
        <v>8515.2</v>
      </c>
      <c r="M171" s="176" t="s">
        <v>255</v>
      </c>
      <c r="N171" s="191">
        <v>8</v>
      </c>
      <c r="O171" s="175" t="s">
        <v>258</v>
      </c>
      <c r="P171" s="176">
        <v>9</v>
      </c>
    </row>
    <row r="172">
      <c r="A172" s="162" t="s">
        <v>308</v>
      </c>
      <c r="B172" s="163" t="s">
        <v>250</v>
      </c>
      <c r="C172" s="164" t="s">
        <v>291</v>
      </c>
      <c r="D172" s="164">
        <v>5</v>
      </c>
      <c r="E172" s="165">
        <v>25</v>
      </c>
      <c r="F172" s="165">
        <v>42578.399999999994</v>
      </c>
      <c r="G172" s="166">
        <v>20758.04</v>
      </c>
      <c r="H172" s="167">
        <f t="shared" si="1"/>
      </c>
      <c r="I172" s="167">
        <f t="shared" si="3"/>
      </c>
      <c r="J172" s="167">
        <f t="shared" si="2"/>
      </c>
      <c r="K172" s="165">
        <v>6</v>
      </c>
      <c r="L172" s="168">
        <v>9374.399999999998</v>
      </c>
      <c r="M172" s="175"/>
      <c r="N172" s="192"/>
      <c r="O172" s="175"/>
      <c r="P172" s="175"/>
    </row>
    <row r="173">
      <c r="A173" s="162" t="s">
        <v>308</v>
      </c>
      <c r="B173" s="163" t="s">
        <v>259</v>
      </c>
      <c r="C173" s="164" t="s">
        <v>292</v>
      </c>
      <c r="D173" s="164">
        <v>4</v>
      </c>
      <c r="E173" s="165">
        <v>16</v>
      </c>
      <c r="F173" s="165">
        <v>17713.199999999997</v>
      </c>
      <c r="G173" s="166">
        <v>21233.840000000004</v>
      </c>
      <c r="H173" s="167">
        <f t="shared" si="1"/>
      </c>
      <c r="I173" s="167">
        <f t="shared" si="3"/>
      </c>
      <c r="J173" s="167">
        <f t="shared" si="2"/>
      </c>
      <c r="K173" s="165">
        <v>1</v>
      </c>
      <c r="L173" s="168">
        <v>679.2</v>
      </c>
      <c r="M173" s="175"/>
      <c r="N173" s="192"/>
      <c r="O173" s="175"/>
      <c r="P173" s="175"/>
    </row>
    <row r="174">
      <c r="A174" s="183" t="s">
        <v>308</v>
      </c>
      <c r="B174" s="184"/>
      <c r="C174" s="184"/>
      <c r="D174" s="185">
        <f>SUM(D168:D173)</f>
      </c>
      <c r="E174" s="185">
        <f>SUM(E168:E173)</f>
      </c>
      <c r="F174" s="185">
        <f>SUM(F168:F173)</f>
      </c>
      <c r="G174" s="185">
        <f>SUM(G168:G173)</f>
      </c>
      <c r="H174" s="187">
        <f t="shared" si="1"/>
      </c>
      <c r="I174" s="187">
        <f t="shared" si="3"/>
      </c>
      <c r="J174" s="187">
        <f t="shared" si="2"/>
      </c>
      <c r="K174" s="185">
        <f>SUM(K168:K173)</f>
      </c>
      <c r="L174" s="185">
        <f>SUM(L168:L173)</f>
      </c>
      <c r="M174" s="194"/>
      <c r="N174" s="195">
        <f>SUM(N168:N173)</f>
      </c>
      <c r="O174" s="194"/>
      <c r="P174" s="195">
        <f>SUM(P169:P173)</f>
      </c>
    </row>
    <row r="175">
      <c r="A175" s="162" t="s">
        <v>309</v>
      </c>
      <c r="B175" s="163" t="s">
        <v>259</v>
      </c>
      <c r="C175" s="164" t="s">
        <v>251</v>
      </c>
      <c r="D175" s="164">
        <v>1</v>
      </c>
      <c r="E175" s="165">
        <v>3</v>
      </c>
      <c r="F175" s="165">
        <v>4166.4</v>
      </c>
      <c r="G175" s="166">
        <v>3319.27</v>
      </c>
      <c r="H175" s="167">
        <f t="shared" si="1"/>
      </c>
      <c r="I175" s="167">
        <f t="shared" si="3"/>
      </c>
      <c r="J175" s="167">
        <f t="shared" si="2"/>
      </c>
      <c r="K175" s="165">
        <v>0</v>
      </c>
      <c r="L175" s="168">
        <v>0</v>
      </c>
      <c r="M175" s="176"/>
      <c r="N175" s="198"/>
      <c r="O175" s="169"/>
      <c r="P175" s="169"/>
    </row>
    <row r="176">
      <c r="A176" s="162" t="s">
        <v>309</v>
      </c>
      <c r="B176" s="163" t="s">
        <v>266</v>
      </c>
      <c r="C176" s="164" t="s">
        <v>254</v>
      </c>
      <c r="D176" s="164">
        <v>5</v>
      </c>
      <c r="E176" s="165">
        <v>30</v>
      </c>
      <c r="F176" s="165">
        <v>38885.799999999996</v>
      </c>
      <c r="G176" s="166">
        <v>22018.550000000003</v>
      </c>
      <c r="H176" s="167">
        <f t="shared" si="1"/>
      </c>
      <c r="I176" s="167">
        <f t="shared" si="3"/>
      </c>
      <c r="J176" s="167">
        <f t="shared" si="2"/>
      </c>
      <c r="K176" s="165">
        <v>6</v>
      </c>
      <c r="L176" s="168">
        <v>8875.000000000002</v>
      </c>
      <c r="M176" s="176" t="s">
        <v>300</v>
      </c>
      <c r="N176" s="190">
        <v>7</v>
      </c>
      <c r="O176" s="175" t="s">
        <v>258</v>
      </c>
      <c r="P176" s="176">
        <v>3</v>
      </c>
    </row>
    <row r="177">
      <c r="A177" s="162" t="s">
        <v>309</v>
      </c>
      <c r="B177" s="163" t="s">
        <v>264</v>
      </c>
      <c r="C177" s="164" t="s">
        <v>257</v>
      </c>
      <c r="D177" s="164">
        <v>5</v>
      </c>
      <c r="E177" s="165">
        <v>18</v>
      </c>
      <c r="F177" s="166">
        <v>22896</v>
      </c>
      <c r="G177" s="166">
        <v>18339.62</v>
      </c>
      <c r="H177" s="167">
        <f t="shared" si="1"/>
      </c>
      <c r="I177" s="167">
        <f t="shared" si="3"/>
      </c>
      <c r="J177" s="167">
        <f t="shared" si="2"/>
      </c>
      <c r="K177" s="165">
        <v>7</v>
      </c>
      <c r="L177" s="168">
        <v>6052.800000000001</v>
      </c>
      <c r="M177" s="176" t="s">
        <v>261</v>
      </c>
      <c r="N177" s="191">
        <v>9</v>
      </c>
      <c r="O177" s="175" t="s">
        <v>262</v>
      </c>
      <c r="P177" s="176">
        <v>12</v>
      </c>
    </row>
    <row r="178">
      <c r="A178" s="162" t="s">
        <v>309</v>
      </c>
      <c r="B178" s="163" t="s">
        <v>250</v>
      </c>
      <c r="C178" s="164" t="s">
        <v>260</v>
      </c>
      <c r="D178" s="164">
        <v>4</v>
      </c>
      <c r="E178" s="165">
        <v>23</v>
      </c>
      <c r="F178" s="166">
        <v>32168.979999999996</v>
      </c>
      <c r="G178" s="176">
        <v>20725.03</v>
      </c>
      <c r="H178" s="167">
        <f t="shared" si="1"/>
      </c>
      <c r="I178" s="167">
        <f t="shared" si="3"/>
      </c>
      <c r="J178" s="167">
        <f t="shared" si="2"/>
      </c>
      <c r="K178" s="165">
        <v>5</v>
      </c>
      <c r="L178" s="168">
        <v>6313.179999999998</v>
      </c>
      <c r="M178" s="176" t="s">
        <v>255</v>
      </c>
      <c r="N178" s="191">
        <v>8</v>
      </c>
      <c r="O178" s="175" t="s">
        <v>258</v>
      </c>
      <c r="P178" s="176">
        <v>9</v>
      </c>
    </row>
    <row r="179">
      <c r="A179" s="162" t="s">
        <v>309</v>
      </c>
      <c r="B179" s="163" t="s">
        <v>259</v>
      </c>
      <c r="C179" s="164" t="s">
        <v>291</v>
      </c>
      <c r="D179" s="164">
        <v>5</v>
      </c>
      <c r="E179" s="165">
        <v>21</v>
      </c>
      <c r="F179" s="165">
        <v>28887.40000000001</v>
      </c>
      <c r="G179" s="166">
        <v>19692.23</v>
      </c>
      <c r="H179" s="167">
        <f t="shared" si="1"/>
      </c>
      <c r="I179" s="167">
        <f t="shared" si="3"/>
      </c>
      <c r="J179" s="167">
        <f t="shared" si="2"/>
      </c>
      <c r="K179" s="165">
        <v>3</v>
      </c>
      <c r="L179" s="168">
        <v>4111.200000000001</v>
      </c>
      <c r="M179" s="175"/>
      <c r="N179" s="192"/>
      <c r="O179" s="175"/>
      <c r="P179" s="175"/>
    </row>
    <row r="180">
      <c r="A180" s="162" t="s">
        <v>309</v>
      </c>
      <c r="B180" s="163" t="s">
        <v>253</v>
      </c>
      <c r="C180" s="164" t="s">
        <v>292</v>
      </c>
      <c r="D180" s="164">
        <v>4</v>
      </c>
      <c r="E180" s="165">
        <v>16</v>
      </c>
      <c r="F180" s="165">
        <v>25606.199999999997</v>
      </c>
      <c r="G180" s="166">
        <v>14826.84</v>
      </c>
      <c r="H180" s="167">
        <f t="shared" si="1"/>
      </c>
      <c r="I180" s="167">
        <f t="shared" si="3"/>
      </c>
      <c r="J180" s="167">
        <f t="shared" si="2"/>
      </c>
      <c r="K180" s="165">
        <v>1</v>
      </c>
      <c r="L180" s="168">
        <v>2011.2000000000007</v>
      </c>
      <c r="M180" s="175"/>
      <c r="N180" s="192"/>
      <c r="O180" s="175"/>
      <c r="P180" s="175"/>
    </row>
    <row r="181">
      <c r="A181" s="183" t="s">
        <v>309</v>
      </c>
      <c r="B181" s="184"/>
      <c r="C181" s="184"/>
      <c r="D181" s="185">
        <f>SUM(D175:D180)</f>
      </c>
      <c r="E181" s="185">
        <f>SUM(E175:E180)</f>
      </c>
      <c r="F181" s="185">
        <f>SUM(F175:F180)</f>
      </c>
      <c r="G181" s="185">
        <f>SUM(G175:G180)</f>
      </c>
      <c r="H181" s="187">
        <f t="shared" si="1"/>
      </c>
      <c r="I181" s="187">
        <f t="shared" si="3"/>
      </c>
      <c r="J181" s="187">
        <f t="shared" si="2"/>
      </c>
      <c r="K181" s="185">
        <f>SUM(K175:K180)</f>
      </c>
      <c r="L181" s="185">
        <f>SUM(L175:L180)</f>
      </c>
      <c r="M181" s="194"/>
      <c r="N181" s="195">
        <f>SUM(N175:N180)</f>
      </c>
      <c r="O181" s="194"/>
      <c r="P181" s="195">
        <f>SUM(P176:P180)</f>
      </c>
    </row>
    <row r="182">
      <c r="A182" s="162" t="s">
        <v>310</v>
      </c>
      <c r="B182" s="163" t="s">
        <v>253</v>
      </c>
      <c r="C182" s="164" t="s">
        <v>251</v>
      </c>
      <c r="D182" s="164">
        <v>1</v>
      </c>
      <c r="E182" s="165">
        <v>2</v>
      </c>
      <c r="F182" s="165">
        <v>3674.4</v>
      </c>
      <c r="G182" s="166">
        <v>2968.88</v>
      </c>
      <c r="H182" s="167">
        <f t="shared" si="1"/>
      </c>
      <c r="I182" s="167">
        <f t="shared" si="3"/>
      </c>
      <c r="J182" s="167">
        <f t="shared" si="2"/>
      </c>
      <c r="K182" s="165">
        <v>0</v>
      </c>
      <c r="L182" s="168">
        <v>0</v>
      </c>
      <c r="M182" s="176"/>
      <c r="N182" s="198"/>
      <c r="O182" s="169"/>
      <c r="P182" s="169"/>
    </row>
    <row r="183">
      <c r="A183" s="162" t="s">
        <v>310</v>
      </c>
      <c r="B183" s="163" t="s">
        <v>269</v>
      </c>
      <c r="C183" s="164" t="s">
        <v>254</v>
      </c>
      <c r="D183" s="164">
        <v>5</v>
      </c>
      <c r="E183" s="165">
        <v>12</v>
      </c>
      <c r="F183" s="165">
        <v>20233.199999999997</v>
      </c>
      <c r="G183" s="166">
        <v>12260.23</v>
      </c>
      <c r="H183" s="167">
        <f t="shared" si="1"/>
      </c>
      <c r="I183" s="167">
        <f t="shared" si="3"/>
      </c>
      <c r="J183" s="167">
        <f t="shared" si="2"/>
      </c>
      <c r="K183" s="165">
        <v>4</v>
      </c>
      <c r="L183" s="168">
        <v>6882.000000000001</v>
      </c>
      <c r="M183" s="176" t="s">
        <v>300</v>
      </c>
      <c r="N183" s="190">
        <v>7</v>
      </c>
      <c r="O183" s="175" t="s">
        <v>258</v>
      </c>
      <c r="P183" s="176">
        <v>3</v>
      </c>
    </row>
    <row r="184">
      <c r="A184" s="162" t="s">
        <v>310</v>
      </c>
      <c r="B184" s="163" t="s">
        <v>264</v>
      </c>
      <c r="C184" s="164" t="s">
        <v>257</v>
      </c>
      <c r="D184" s="164">
        <v>5</v>
      </c>
      <c r="E184" s="165">
        <v>20</v>
      </c>
      <c r="F184" s="166">
        <v>28911.6</v>
      </c>
      <c r="G184" s="166">
        <v>17012.14</v>
      </c>
      <c r="H184" s="167">
        <f t="shared" si="1"/>
      </c>
      <c r="I184" s="167">
        <f t="shared" si="3"/>
      </c>
      <c r="J184" s="167">
        <f t="shared" si="2"/>
      </c>
      <c r="K184" s="165">
        <v>7</v>
      </c>
      <c r="L184" s="168">
        <v>9720</v>
      </c>
      <c r="M184" s="176" t="s">
        <v>261</v>
      </c>
      <c r="N184" s="191">
        <v>9</v>
      </c>
      <c r="O184" s="175" t="s">
        <v>262</v>
      </c>
      <c r="P184" s="176">
        <v>12</v>
      </c>
    </row>
    <row r="185">
      <c r="A185" s="162" t="s">
        <v>310</v>
      </c>
      <c r="B185" s="163" t="s">
        <v>250</v>
      </c>
      <c r="C185" s="164" t="s">
        <v>260</v>
      </c>
      <c r="D185" s="164">
        <v>4</v>
      </c>
      <c r="E185" s="165">
        <v>7</v>
      </c>
      <c r="F185" s="166">
        <v>10650</v>
      </c>
      <c r="G185" s="176">
        <v>9786.060000000001</v>
      </c>
      <c r="H185" s="167">
        <f t="shared" si="1"/>
      </c>
      <c r="I185" s="167">
        <f t="shared" si="3"/>
      </c>
      <c r="J185" s="167">
        <f t="shared" si="2"/>
      </c>
      <c r="K185" s="165">
        <v>1</v>
      </c>
      <c r="L185" s="168">
        <v>2011.1999999999998</v>
      </c>
      <c r="M185" s="176" t="s">
        <v>255</v>
      </c>
      <c r="N185" s="191">
        <v>8</v>
      </c>
      <c r="O185" s="175" t="s">
        <v>258</v>
      </c>
      <c r="P185" s="176">
        <v>9</v>
      </c>
    </row>
    <row r="186">
      <c r="A186" s="162" t="s">
        <v>310</v>
      </c>
      <c r="B186" s="163" t="s">
        <v>259</v>
      </c>
      <c r="C186" s="164" t="s">
        <v>291</v>
      </c>
      <c r="D186" s="164">
        <v>5</v>
      </c>
      <c r="E186" s="165">
        <v>16</v>
      </c>
      <c r="F186" s="165">
        <v>21792.600000000006</v>
      </c>
      <c r="G186" s="166">
        <v>15087.810000000001</v>
      </c>
      <c r="H186" s="167">
        <f t="shared" si="1"/>
      </c>
      <c r="I186" s="167">
        <f t="shared" si="3"/>
      </c>
      <c r="J186" s="167">
        <f t="shared" si="2"/>
      </c>
      <c r="K186" s="165">
        <v>6</v>
      </c>
      <c r="L186" s="168">
        <v>9136.799999999994</v>
      </c>
      <c r="M186" s="175"/>
      <c r="N186" s="192"/>
      <c r="O186" s="175"/>
      <c r="P186" s="175"/>
    </row>
    <row r="187">
      <c r="A187" s="162" t="s">
        <v>310</v>
      </c>
      <c r="B187" s="163" t="s">
        <v>253</v>
      </c>
      <c r="C187" s="164" t="s">
        <v>292</v>
      </c>
      <c r="D187" s="164">
        <v>4</v>
      </c>
      <c r="E187" s="165">
        <v>13</v>
      </c>
      <c r="F187" s="165">
        <v>10699.399999999994</v>
      </c>
      <c r="G187" s="166">
        <v>12423.18</v>
      </c>
      <c r="H187" s="167">
        <f t="shared" si="1"/>
      </c>
      <c r="I187" s="167">
        <f t="shared" si="3"/>
      </c>
      <c r="J187" s="167">
        <f t="shared" si="2"/>
      </c>
      <c r="K187" s="165">
        <v>2</v>
      </c>
      <c r="L187" s="168">
        <v>1122.200000000008</v>
      </c>
      <c r="M187" s="175"/>
      <c r="N187" s="192"/>
      <c r="O187" s="175"/>
      <c r="P187" s="175"/>
    </row>
    <row r="188">
      <c r="A188" s="183" t="s">
        <v>310</v>
      </c>
      <c r="B188" s="184"/>
      <c r="C188" s="184"/>
      <c r="D188" s="185">
        <f>SUM(D182:D187)</f>
      </c>
      <c r="E188" s="185">
        <f>SUM(E182:E187)</f>
      </c>
      <c r="F188" s="185">
        <f>SUM(F182:F187)</f>
      </c>
      <c r="G188" s="185">
        <f>SUM(G182:G187)</f>
      </c>
      <c r="H188" s="187">
        <f t="shared" si="1"/>
      </c>
      <c r="I188" s="187">
        <f t="shared" si="3"/>
      </c>
      <c r="J188" s="187">
        <f t="shared" si="2"/>
      </c>
      <c r="K188" s="185">
        <f>SUM(K182:K187)</f>
      </c>
      <c r="L188" s="185">
        <f>SUM(L182:L187)</f>
      </c>
      <c r="M188" s="194"/>
      <c r="N188" s="195">
        <f>SUM(N182:N187)</f>
      </c>
      <c r="O188" s="194"/>
      <c r="P188" s="195">
        <f>SUM(P183:P187)</f>
      </c>
    </row>
    <row r="189">
      <c r="A189" s="162" t="s">
        <v>311</v>
      </c>
      <c r="B189" s="163" t="s">
        <v>253</v>
      </c>
      <c r="C189" s="164" t="s">
        <v>251</v>
      </c>
      <c r="D189" s="164">
        <v>1</v>
      </c>
      <c r="E189" s="165">
        <v>8</v>
      </c>
      <c r="F189" s="165">
        <v>11664</v>
      </c>
      <c r="G189" s="166">
        <v>4142.19</v>
      </c>
      <c r="H189" s="167">
        <f t="shared" si="1"/>
      </c>
      <c r="I189" s="167">
        <f t="shared" si="3"/>
      </c>
      <c r="J189" s="167">
        <f t="shared" si="2"/>
      </c>
      <c r="K189" s="165">
        <v>0</v>
      </c>
      <c r="L189" s="168">
        <v>0</v>
      </c>
      <c r="M189" s="176"/>
      <c r="N189" s="198"/>
      <c r="O189" s="169"/>
      <c r="P189" s="169"/>
    </row>
    <row r="190">
      <c r="A190" s="162" t="s">
        <v>311</v>
      </c>
      <c r="B190" s="163" t="s">
        <v>269</v>
      </c>
      <c r="C190" s="164" t="s">
        <v>254</v>
      </c>
      <c r="D190" s="164">
        <v>5</v>
      </c>
      <c r="E190" s="165">
        <v>11</v>
      </c>
      <c r="F190" s="165">
        <v>23359.199999999997</v>
      </c>
      <c r="G190" s="166">
        <v>14471.93</v>
      </c>
      <c r="H190" s="167">
        <f t="shared" si="1"/>
      </c>
      <c r="I190" s="167">
        <f t="shared" si="3"/>
      </c>
      <c r="J190" s="167">
        <f t="shared" si="2"/>
      </c>
      <c r="K190" s="165">
        <v>3</v>
      </c>
      <c r="L190" s="168">
        <v>7221.600000000002</v>
      </c>
      <c r="M190" s="176" t="s">
        <v>300</v>
      </c>
      <c r="N190" s="190">
        <v>7</v>
      </c>
      <c r="O190" s="175" t="s">
        <v>258</v>
      </c>
      <c r="P190" s="176">
        <v>3</v>
      </c>
    </row>
    <row r="191">
      <c r="A191" s="162" t="s">
        <v>311</v>
      </c>
      <c r="B191" s="163" t="s">
        <v>250</v>
      </c>
      <c r="C191" s="164" t="s">
        <v>257</v>
      </c>
      <c r="D191" s="164">
        <v>5</v>
      </c>
      <c r="E191" s="165">
        <v>35</v>
      </c>
      <c r="F191" s="166">
        <v>57373</v>
      </c>
      <c r="G191" s="166">
        <v>27884.76</v>
      </c>
      <c r="H191" s="167">
        <f t="shared" si="1"/>
      </c>
      <c r="I191" s="167">
        <f t="shared" si="3"/>
      </c>
      <c r="J191" s="167">
        <f t="shared" si="2"/>
      </c>
      <c r="K191" s="165">
        <v>10</v>
      </c>
      <c r="L191" s="168">
        <v>16472.40000000001</v>
      </c>
      <c r="M191" s="176" t="s">
        <v>261</v>
      </c>
      <c r="N191" s="191">
        <v>9</v>
      </c>
      <c r="O191" s="175" t="s">
        <v>262</v>
      </c>
      <c r="P191" s="176">
        <v>12</v>
      </c>
    </row>
    <row r="192">
      <c r="A192" s="162" t="s">
        <v>311</v>
      </c>
      <c r="B192" s="163" t="s">
        <v>259</v>
      </c>
      <c r="C192" s="164" t="s">
        <v>312</v>
      </c>
      <c r="D192" s="164">
        <v>3</v>
      </c>
      <c r="E192" s="165">
        <v>16</v>
      </c>
      <c r="F192" s="166">
        <v>22302.199999999997</v>
      </c>
      <c r="G192" s="176">
        <v>19256.66</v>
      </c>
      <c r="H192" s="167">
        <f t="shared" si="1"/>
      </c>
      <c r="I192" s="167">
        <f t="shared" si="3"/>
      </c>
      <c r="J192" s="167">
        <f t="shared" si="2"/>
      </c>
      <c r="K192" s="165">
        <v>3</v>
      </c>
      <c r="L192" s="168">
        <v>5114.399999999998</v>
      </c>
      <c r="M192" s="176" t="s">
        <v>255</v>
      </c>
      <c r="N192" s="191">
        <v>8</v>
      </c>
      <c r="O192" s="175" t="s">
        <v>258</v>
      </c>
      <c r="P192" s="176">
        <v>9</v>
      </c>
    </row>
    <row r="193">
      <c r="A193" s="162" t="s">
        <v>311</v>
      </c>
      <c r="B193" s="163" t="s">
        <v>253</v>
      </c>
      <c r="C193" s="164" t="s">
        <v>313</v>
      </c>
      <c r="D193" s="164">
        <v>5</v>
      </c>
      <c r="E193" s="165">
        <v>22</v>
      </c>
      <c r="F193" s="165">
        <v>27625.20000000001</v>
      </c>
      <c r="G193" s="166">
        <v>24370.71</v>
      </c>
      <c r="H193" s="167">
        <f t="shared" si="1"/>
      </c>
      <c r="I193" s="167">
        <f t="shared" si="3"/>
      </c>
      <c r="J193" s="167">
        <f t="shared" si="2"/>
      </c>
      <c r="K193" s="165">
        <v>5</v>
      </c>
      <c r="L193" s="168">
        <v>7497.599999999998</v>
      </c>
      <c r="M193" s="175"/>
      <c r="N193" s="192"/>
      <c r="O193" s="175"/>
      <c r="P193" s="175"/>
    </row>
    <row r="194">
      <c r="A194" s="162" t="s">
        <v>311</v>
      </c>
      <c r="B194" s="163" t="s">
        <v>266</v>
      </c>
      <c r="C194" s="164" t="s">
        <v>314</v>
      </c>
      <c r="D194" s="164">
        <v>5</v>
      </c>
      <c r="E194" s="165">
        <v>17</v>
      </c>
      <c r="F194" s="165">
        <v>22872.600000000006</v>
      </c>
      <c r="G194" s="166">
        <v>15270.48</v>
      </c>
      <c r="H194" s="167">
        <f t="shared" si="1"/>
      </c>
      <c r="I194" s="167">
        <f t="shared" si="3"/>
      </c>
      <c r="J194" s="167">
        <f t="shared" si="2"/>
      </c>
      <c r="K194" s="165">
        <v>3</v>
      </c>
      <c r="L194" s="168">
        <v>3339.5999999999913</v>
      </c>
      <c r="M194" s="175"/>
      <c r="N194" s="192"/>
      <c r="O194" s="175"/>
      <c r="P194" s="175"/>
    </row>
    <row r="195">
      <c r="A195" s="183" t="s">
        <v>311</v>
      </c>
      <c r="B195" s="184"/>
      <c r="C195" s="184"/>
      <c r="D195" s="185">
        <f>SUM(D189:D194)</f>
      </c>
      <c r="E195" s="185">
        <f>SUM(E189:E194)</f>
      </c>
      <c r="F195" s="185">
        <f>SUM(F189:F194)</f>
      </c>
      <c r="G195" s="185">
        <f>SUM(G189:G194)</f>
      </c>
      <c r="H195" s="187">
        <f t="shared" si="1"/>
      </c>
      <c r="I195" s="187">
        <f t="shared" si="3"/>
      </c>
      <c r="J195" s="187">
        <f t="shared" si="2"/>
      </c>
      <c r="K195" s="185">
        <f>SUM(K189:K194)</f>
      </c>
      <c r="L195" s="185">
        <f>SUM(L189:L194)</f>
      </c>
      <c r="M195" s="194"/>
      <c r="N195" s="195">
        <f>SUM(N189:N194)</f>
      </c>
      <c r="O195" s="194"/>
      <c r="P195" s="195">
        <f>SUM(P190:P194)</f>
      </c>
    </row>
    <row r="196">
      <c r="A196" s="162" t="s">
        <v>315</v>
      </c>
      <c r="B196" s="163" t="s">
        <v>266</v>
      </c>
      <c r="C196" s="164" t="s">
        <v>251</v>
      </c>
      <c r="D196" s="164">
        <v>1</v>
      </c>
      <c r="E196" s="165">
        <v>6</v>
      </c>
      <c r="F196" s="165">
        <v>9769.2</v>
      </c>
      <c r="G196" s="166">
        <v>4872.9</v>
      </c>
      <c r="H196" s="167">
        <f t="shared" si="1"/>
      </c>
      <c r="I196" s="167">
        <f t="shared" si="3"/>
      </c>
      <c r="J196" s="167">
        <f t="shared" si="2"/>
      </c>
      <c r="K196" s="165">
        <v>1</v>
      </c>
      <c r="L196" s="168">
        <v>1344</v>
      </c>
      <c r="M196" s="176"/>
      <c r="N196" s="198"/>
      <c r="O196" s="169"/>
      <c r="P196" s="169"/>
    </row>
    <row r="197">
      <c r="A197" s="162" t="s">
        <v>315</v>
      </c>
      <c r="B197" s="163" t="s">
        <v>264</v>
      </c>
      <c r="C197" s="164" t="s">
        <v>254</v>
      </c>
      <c r="D197" s="164">
        <v>5</v>
      </c>
      <c r="E197" s="165">
        <v>19</v>
      </c>
      <c r="F197" s="165">
        <v>20358.8</v>
      </c>
      <c r="G197" s="166">
        <v>15709.87</v>
      </c>
      <c r="H197" s="167">
        <f t="shared" si="1"/>
      </c>
      <c r="I197" s="167">
        <f t="shared" si="3"/>
      </c>
      <c r="J197" s="167">
        <f t="shared" si="2"/>
      </c>
      <c r="K197" s="165">
        <v>1</v>
      </c>
      <c r="L197" s="168">
        <v>372.0000000000009</v>
      </c>
      <c r="M197" s="176" t="s">
        <v>300</v>
      </c>
      <c r="N197" s="190">
        <v>7</v>
      </c>
      <c r="O197" s="175" t="s">
        <v>258</v>
      </c>
      <c r="P197" s="176">
        <v>3</v>
      </c>
    </row>
    <row r="198">
      <c r="A198" s="162" t="s">
        <v>315</v>
      </c>
      <c r="B198" s="163" t="s">
        <v>250</v>
      </c>
      <c r="C198" s="164" t="s">
        <v>257</v>
      </c>
      <c r="D198" s="164">
        <v>5</v>
      </c>
      <c r="E198" s="165">
        <v>25</v>
      </c>
      <c r="F198" s="166">
        <v>38235.399999999994</v>
      </c>
      <c r="G198" s="166">
        <v>24250.699999999997</v>
      </c>
      <c r="H198" s="167">
        <f t="shared" si="1"/>
      </c>
      <c r="I198" s="167">
        <f t="shared" si="3"/>
      </c>
      <c r="J198" s="167">
        <f t="shared" si="2"/>
      </c>
      <c r="K198" s="165">
        <v>6</v>
      </c>
      <c r="L198" s="168">
        <v>10180.800000000001</v>
      </c>
      <c r="M198" s="176" t="s">
        <v>261</v>
      </c>
      <c r="N198" s="191">
        <v>9</v>
      </c>
      <c r="O198" s="175" t="s">
        <v>262</v>
      </c>
      <c r="P198" s="176">
        <v>12</v>
      </c>
    </row>
    <row r="199">
      <c r="A199" s="162" t="s">
        <v>315</v>
      </c>
      <c r="B199" s="163" t="s">
        <v>259</v>
      </c>
      <c r="C199" s="164" t="s">
        <v>260</v>
      </c>
      <c r="D199" s="164">
        <v>4</v>
      </c>
      <c r="E199" s="165">
        <v>29</v>
      </c>
      <c r="F199" s="166">
        <v>38269.51000000001</v>
      </c>
      <c r="G199" s="176">
        <v>23140.2</v>
      </c>
      <c r="H199" s="167">
        <f t="shared" si="1"/>
      </c>
      <c r="I199" s="167">
        <f t="shared" si="3"/>
      </c>
      <c r="J199" s="167">
        <f t="shared" si="2"/>
      </c>
      <c r="K199" s="165">
        <v>6</v>
      </c>
      <c r="L199" s="168">
        <v>10471.199999999999</v>
      </c>
      <c r="M199" s="176" t="s">
        <v>255</v>
      </c>
      <c r="N199" s="191">
        <v>8</v>
      </c>
      <c r="O199" s="175" t="s">
        <v>258</v>
      </c>
      <c r="P199" s="176">
        <v>9</v>
      </c>
    </row>
    <row r="200">
      <c r="A200" s="162" t="s">
        <v>315</v>
      </c>
      <c r="B200" s="163" t="s">
        <v>253</v>
      </c>
      <c r="C200" s="164" t="s">
        <v>291</v>
      </c>
      <c r="D200" s="164">
        <v>5</v>
      </c>
      <c r="E200" s="165">
        <v>14</v>
      </c>
      <c r="F200" s="165">
        <v>19335.399999999994</v>
      </c>
      <c r="G200" s="166">
        <v>21772.739999999998</v>
      </c>
      <c r="H200" s="167">
        <f t="shared" si="1"/>
      </c>
      <c r="I200" s="167">
        <f t="shared" si="3"/>
      </c>
      <c r="J200" s="167">
        <f t="shared" si="2"/>
      </c>
      <c r="K200" s="165">
        <v>6</v>
      </c>
      <c r="L200" s="168">
        <v>6597.600000000002</v>
      </c>
      <c r="M200" s="175"/>
      <c r="N200" s="192"/>
      <c r="O200" s="175"/>
      <c r="P200" s="175"/>
    </row>
    <row r="201">
      <c r="A201" s="162" t="s">
        <v>315</v>
      </c>
      <c r="B201" s="163" t="s">
        <v>266</v>
      </c>
      <c r="C201" s="164" t="s">
        <v>292</v>
      </c>
      <c r="D201" s="164">
        <v>4</v>
      </c>
      <c r="E201" s="165">
        <v>18</v>
      </c>
      <c r="F201" s="165">
        <v>25651.20000000001</v>
      </c>
      <c r="G201" s="166">
        <v>12852.43</v>
      </c>
      <c r="H201" s="167">
        <f t="shared" si="1"/>
      </c>
      <c r="I201" s="167">
        <f t="shared" si="3"/>
      </c>
      <c r="J201" s="167">
        <f t="shared" si="2"/>
      </c>
      <c r="K201" s="165">
        <v>3</v>
      </c>
      <c r="L201" s="168">
        <v>3778.7999999999993</v>
      </c>
      <c r="M201" s="175"/>
      <c r="N201" s="192"/>
      <c r="O201" s="175"/>
      <c r="P201" s="175"/>
    </row>
    <row r="202">
      <c r="A202" s="183" t="s">
        <v>315</v>
      </c>
      <c r="B202" s="184"/>
      <c r="C202" s="184"/>
      <c r="D202" s="185">
        <f>SUM(D196:D201)</f>
      </c>
      <c r="E202" s="185">
        <f>SUM(E196:E201)</f>
      </c>
      <c r="F202" s="185">
        <f>SUM(F196:F201)</f>
      </c>
      <c r="G202" s="185">
        <f>SUM(G196:G201)</f>
      </c>
      <c r="H202" s="187">
        <f t="shared" si="1"/>
      </c>
      <c r="I202" s="187">
        <f t="shared" si="3"/>
      </c>
      <c r="J202" s="187">
        <f t="shared" si="2"/>
      </c>
      <c r="K202" s="185">
        <f>SUM(K196:K201)</f>
      </c>
      <c r="L202" s="185">
        <f>SUM(L196:L201)</f>
      </c>
      <c r="M202" s="194"/>
      <c r="N202" s="195">
        <f>SUM(N196:N201)</f>
      </c>
      <c r="O202" s="194"/>
      <c r="P202" s="195">
        <f>SUM(P197:P201)</f>
      </c>
    </row>
    <row r="203">
      <c r="A203" s="162" t="s">
        <v>316</v>
      </c>
      <c r="B203" s="163" t="s">
        <v>266</v>
      </c>
      <c r="C203" s="164" t="s">
        <v>251</v>
      </c>
      <c r="D203" s="164">
        <v>1</v>
      </c>
      <c r="E203" s="165">
        <v>4</v>
      </c>
      <c r="F203" s="165">
        <v>3045.6</v>
      </c>
      <c r="G203" s="166">
        <v>3007.41</v>
      </c>
      <c r="H203" s="167">
        <f t="shared" si="1"/>
      </c>
      <c r="I203" s="167">
        <f t="shared" si="3"/>
      </c>
      <c r="J203" s="167">
        <f t="shared" si="2"/>
      </c>
      <c r="K203" s="165">
        <v>2</v>
      </c>
      <c r="L203" s="168">
        <v>2174.4000000000015</v>
      </c>
      <c r="M203" s="176"/>
      <c r="N203" s="198"/>
      <c r="O203" s="169"/>
      <c r="P203" s="169"/>
    </row>
    <row r="204">
      <c r="A204" s="162" t="s">
        <v>316</v>
      </c>
      <c r="B204" s="163" t="s">
        <v>264</v>
      </c>
      <c r="C204" s="164" t="s">
        <v>254</v>
      </c>
      <c r="D204" s="164">
        <v>5</v>
      </c>
      <c r="E204" s="165">
        <v>8</v>
      </c>
      <c r="F204" s="165">
        <v>8786</v>
      </c>
      <c r="G204" s="166">
        <v>10578.43</v>
      </c>
      <c r="H204" s="167">
        <f t="shared" si="1"/>
      </c>
      <c r="I204" s="167">
        <f t="shared" si="3"/>
      </c>
      <c r="J204" s="167">
        <f t="shared" si="2"/>
      </c>
      <c r="K204" s="165">
        <v>3</v>
      </c>
      <c r="L204" s="168">
        <v>3051.6</v>
      </c>
      <c r="M204" s="176" t="s">
        <v>300</v>
      </c>
      <c r="N204" s="190">
        <v>7</v>
      </c>
      <c r="O204" s="175" t="s">
        <v>258</v>
      </c>
      <c r="P204" s="176">
        <v>3</v>
      </c>
    </row>
    <row r="205">
      <c r="A205" s="162" t="s">
        <v>316</v>
      </c>
      <c r="B205" s="163" t="s">
        <v>250</v>
      </c>
      <c r="C205" s="164" t="s">
        <v>257</v>
      </c>
      <c r="D205" s="197">
        <f>5-1</f>
      </c>
      <c r="E205" s="165">
        <v>16</v>
      </c>
      <c r="F205" s="166">
        <v>16120.8</v>
      </c>
      <c r="G205" s="166">
        <v>16004.43</v>
      </c>
      <c r="H205" s="167">
        <f t="shared" si="1"/>
      </c>
      <c r="I205" s="167">
        <f t="shared" si="3"/>
      </c>
      <c r="J205" s="167">
        <f t="shared" si="2"/>
      </c>
      <c r="K205" s="165">
        <v>3</v>
      </c>
      <c r="L205" s="168">
        <v>3518.4000000000005</v>
      </c>
      <c r="M205" s="176" t="s">
        <v>317</v>
      </c>
      <c r="N205" s="191">
        <v>9</v>
      </c>
      <c r="O205" s="175" t="s">
        <v>262</v>
      </c>
      <c r="P205" s="176">
        <v>12</v>
      </c>
    </row>
    <row r="206">
      <c r="A206" s="162" t="s">
        <v>316</v>
      </c>
      <c r="B206" s="163" t="s">
        <v>253</v>
      </c>
      <c r="C206" s="164" t="s">
        <v>260</v>
      </c>
      <c r="D206" s="164">
        <v>4</v>
      </c>
      <c r="E206" s="165">
        <v>12</v>
      </c>
      <c r="F206" s="166">
        <v>17332.8</v>
      </c>
      <c r="G206" s="176">
        <v>12440.65</v>
      </c>
      <c r="H206" s="167">
        <f t="shared" si="1"/>
      </c>
      <c r="I206" s="167">
        <f t="shared" si="3"/>
      </c>
      <c r="J206" s="167">
        <f t="shared" si="2"/>
      </c>
      <c r="K206" s="165">
        <v>3</v>
      </c>
      <c r="L206" s="168">
        <v>4047.600000000001</v>
      </c>
      <c r="M206" s="176" t="s">
        <v>255</v>
      </c>
      <c r="N206" s="191">
        <v>8</v>
      </c>
      <c r="O206" s="175" t="s">
        <v>258</v>
      </c>
      <c r="P206" s="176">
        <v>9</v>
      </c>
    </row>
    <row r="207">
      <c r="A207" s="162" t="s">
        <v>316</v>
      </c>
      <c r="B207" s="163" t="s">
        <v>264</v>
      </c>
      <c r="C207" s="164" t="s">
        <v>291</v>
      </c>
      <c r="D207" s="164">
        <v>5</v>
      </c>
      <c r="E207" s="165">
        <v>5</v>
      </c>
      <c r="F207" s="165">
        <v>2548.8</v>
      </c>
      <c r="G207" s="166">
        <v>6957.72</v>
      </c>
      <c r="H207" s="167">
        <f t="shared" si="1"/>
      </c>
      <c r="I207" s="167">
        <f t="shared" si="3"/>
      </c>
      <c r="J207" s="167">
        <f t="shared" si="2"/>
      </c>
      <c r="K207" s="165">
        <v>1</v>
      </c>
      <c r="L207" s="168">
        <v>2407.199999999997</v>
      </c>
      <c r="M207" s="175"/>
      <c r="N207" s="192"/>
      <c r="O207" s="175"/>
      <c r="P207" s="175"/>
    </row>
    <row r="208">
      <c r="A208" s="162" t="s">
        <v>316</v>
      </c>
      <c r="B208" s="163" t="s">
        <v>269</v>
      </c>
      <c r="C208" s="164" t="s">
        <v>292</v>
      </c>
      <c r="D208" s="164">
        <v>4</v>
      </c>
      <c r="E208" s="165">
        <v>8</v>
      </c>
      <c r="F208" s="165">
        <v>14568</v>
      </c>
      <c r="G208" s="166">
        <v>8693.43</v>
      </c>
      <c r="H208" s="167">
        <f t="shared" si="1"/>
      </c>
      <c r="I208" s="167">
        <f t="shared" si="3"/>
      </c>
      <c r="J208" s="167">
        <f t="shared" si="2"/>
      </c>
      <c r="K208" s="165">
        <v>2</v>
      </c>
      <c r="L208" s="168">
        <v>4418.399999999998</v>
      </c>
      <c r="M208" s="175"/>
      <c r="N208" s="192"/>
      <c r="O208" s="175"/>
      <c r="P208" s="175"/>
    </row>
    <row r="209">
      <c r="A209" s="183" t="s">
        <v>316</v>
      </c>
      <c r="B209" s="184"/>
      <c r="C209" s="184"/>
      <c r="D209" s="185">
        <f>SUM(D203:D208)</f>
      </c>
      <c r="E209" s="185">
        <f>SUM(E203:E208)</f>
      </c>
      <c r="F209" s="185">
        <f>SUM(F203:F208)</f>
      </c>
      <c r="G209" s="185">
        <f>SUM(G203:G208)</f>
      </c>
      <c r="H209" s="187">
        <f t="shared" si="1"/>
      </c>
      <c r="I209" s="187">
        <f t="shared" si="3"/>
      </c>
      <c r="J209" s="187">
        <f t="shared" si="2"/>
      </c>
      <c r="K209" s="185">
        <f>SUM(K203:K208)</f>
      </c>
      <c r="L209" s="185">
        <f>SUM(L203:L208)</f>
      </c>
      <c r="M209" s="194"/>
      <c r="N209" s="195">
        <f>SUM(N203:N208)</f>
      </c>
      <c r="O209" s="194"/>
      <c r="P209" s="195">
        <f>SUM(P204:P208)</f>
      </c>
    </row>
    <row r="210">
      <c r="A210" s="162" t="s">
        <v>318</v>
      </c>
      <c r="B210" s="163" t="s">
        <v>269</v>
      </c>
      <c r="C210" s="164" t="s">
        <v>251</v>
      </c>
      <c r="D210" s="164">
        <v>1</v>
      </c>
      <c r="E210" s="165">
        <v>0</v>
      </c>
      <c r="F210" s="165">
        <v>0</v>
      </c>
      <c r="G210" s="166">
        <v>2190.95</v>
      </c>
      <c r="H210" s="167">
        <f t="shared" si="1"/>
      </c>
      <c r="I210" s="167">
        <f t="shared" si="3"/>
      </c>
      <c r="J210" s="167">
        <f t="shared" si="2"/>
      </c>
      <c r="K210" s="165">
        <v>0</v>
      </c>
      <c r="L210" s="168">
        <v>0</v>
      </c>
      <c r="M210" s="176"/>
      <c r="N210" s="198"/>
      <c r="O210" s="169"/>
      <c r="P210" s="169"/>
    </row>
    <row r="211">
      <c r="A211" s="162" t="s">
        <v>318</v>
      </c>
      <c r="B211" s="163" t="s">
        <v>259</v>
      </c>
      <c r="C211" s="164" t="s">
        <v>254</v>
      </c>
      <c r="D211" s="197">
        <f>5-0.5</f>
      </c>
      <c r="E211" s="165">
        <v>6</v>
      </c>
      <c r="F211" s="165">
        <v>7680</v>
      </c>
      <c r="G211" s="166">
        <v>9453.57</v>
      </c>
      <c r="H211" s="167">
        <f t="shared" si="1"/>
      </c>
      <c r="I211" s="167">
        <f t="shared" si="3"/>
      </c>
      <c r="J211" s="167">
        <f t="shared" si="2"/>
      </c>
      <c r="K211" s="165">
        <v>2</v>
      </c>
      <c r="L211" s="168">
        <v>2052</v>
      </c>
      <c r="M211" s="176" t="s">
        <v>300</v>
      </c>
      <c r="N211" s="190">
        <v>7</v>
      </c>
      <c r="O211" s="175" t="s">
        <v>258</v>
      </c>
      <c r="P211" s="176">
        <v>3</v>
      </c>
    </row>
    <row r="212">
      <c r="A212" s="162" t="s">
        <v>318</v>
      </c>
      <c r="B212" s="163" t="s">
        <v>253</v>
      </c>
      <c r="C212" s="164" t="s">
        <v>257</v>
      </c>
      <c r="D212" s="164">
        <v>5</v>
      </c>
      <c r="E212" s="165">
        <v>18</v>
      </c>
      <c r="F212" s="166">
        <v>20304</v>
      </c>
      <c r="G212" s="166">
        <v>18279.24</v>
      </c>
      <c r="H212" s="167">
        <f t="shared" si="1"/>
      </c>
      <c r="I212" s="167">
        <f t="shared" si="3"/>
      </c>
      <c r="J212" s="167">
        <f t="shared" si="2"/>
      </c>
      <c r="K212" s="165">
        <v>3</v>
      </c>
      <c r="L212" s="168">
        <v>1401.6</v>
      </c>
      <c r="M212" s="176" t="s">
        <v>319</v>
      </c>
      <c r="N212" s="191">
        <v>9</v>
      </c>
      <c r="O212" s="175" t="s">
        <v>262</v>
      </c>
      <c r="P212" s="176">
        <v>12</v>
      </c>
    </row>
    <row r="213">
      <c r="A213" s="162" t="s">
        <v>318</v>
      </c>
      <c r="B213" s="163" t="s">
        <v>266</v>
      </c>
      <c r="C213" s="164" t="s">
        <v>260</v>
      </c>
      <c r="D213" s="164">
        <v>4</v>
      </c>
      <c r="E213" s="165">
        <v>22</v>
      </c>
      <c r="F213" s="166">
        <v>26804.4</v>
      </c>
      <c r="G213" s="176">
        <v>18393.61</v>
      </c>
      <c r="H213" s="167">
        <f t="shared" si="1"/>
      </c>
      <c r="I213" s="167">
        <f t="shared" si="3"/>
      </c>
      <c r="J213" s="167">
        <f t="shared" si="2"/>
      </c>
      <c r="K213" s="165">
        <v>8</v>
      </c>
      <c r="L213" s="168">
        <v>8911.2</v>
      </c>
      <c r="M213" s="176" t="s">
        <v>255</v>
      </c>
      <c r="N213" s="191">
        <v>8</v>
      </c>
      <c r="O213" s="175" t="s">
        <v>258</v>
      </c>
      <c r="P213" s="176">
        <v>9</v>
      </c>
    </row>
    <row r="214">
      <c r="A214" s="162" t="s">
        <v>318</v>
      </c>
      <c r="B214" s="163" t="s">
        <v>269</v>
      </c>
      <c r="C214" s="164" t="s">
        <v>291</v>
      </c>
      <c r="D214" s="164">
        <v>5</v>
      </c>
      <c r="E214" s="165">
        <v>13</v>
      </c>
      <c r="F214" s="165">
        <v>16737.6</v>
      </c>
      <c r="G214" s="166">
        <v>16268.21</v>
      </c>
      <c r="H214" s="167">
        <f t="shared" si="1"/>
      </c>
      <c r="I214" s="167">
        <f t="shared" si="3"/>
      </c>
      <c r="J214" s="167">
        <f t="shared" si="2"/>
      </c>
      <c r="K214" s="165">
        <v>1</v>
      </c>
      <c r="L214" s="168">
        <v>691.1999999999989</v>
      </c>
      <c r="M214" s="175"/>
      <c r="N214" s="192"/>
      <c r="O214" s="175"/>
      <c r="P214" s="175"/>
    </row>
    <row r="215">
      <c r="A215" s="162" t="s">
        <v>318</v>
      </c>
      <c r="B215" s="163" t="s">
        <v>264</v>
      </c>
      <c r="C215" s="164" t="s">
        <v>292</v>
      </c>
      <c r="D215" s="164">
        <v>4</v>
      </c>
      <c r="E215" s="165">
        <v>16</v>
      </c>
      <c r="F215" s="165">
        <v>26063.999999999985</v>
      </c>
      <c r="G215" s="166">
        <v>15227.3</v>
      </c>
      <c r="H215" s="167">
        <f t="shared" si="1"/>
      </c>
      <c r="I215" s="167">
        <f t="shared" si="3"/>
      </c>
      <c r="J215" s="167">
        <f t="shared" si="2"/>
      </c>
      <c r="K215" s="165">
        <v>2</v>
      </c>
      <c r="L215" s="168">
        <v>3432</v>
      </c>
      <c r="M215" s="175"/>
      <c r="N215" s="192"/>
      <c r="O215" s="175"/>
      <c r="P215" s="175"/>
    </row>
    <row r="216">
      <c r="A216" s="183" t="s">
        <v>318</v>
      </c>
      <c r="B216" s="184"/>
      <c r="C216" s="184"/>
      <c r="D216" s="185">
        <f>SUM(D210:D215)</f>
      </c>
      <c r="E216" s="185">
        <f>SUM(E210:E215)</f>
      </c>
      <c r="F216" s="185">
        <f>SUM(F210:F215)</f>
      </c>
      <c r="G216" s="185">
        <f>SUM(G210:G215)</f>
      </c>
      <c r="H216" s="187">
        <f t="shared" si="1"/>
      </c>
      <c r="I216" s="187">
        <f t="shared" si="3"/>
      </c>
      <c r="J216" s="187">
        <f t="shared" si="2"/>
      </c>
      <c r="K216" s="185">
        <f>SUM(K210:K215)</f>
      </c>
      <c r="L216" s="185">
        <f>SUM(L210:L215)</f>
      </c>
      <c r="M216" s="194"/>
      <c r="N216" s="195">
        <f>SUM(N210:N215)</f>
      </c>
      <c r="O216" s="194"/>
      <c r="P216" s="195">
        <f>SUM(P211:P215)</f>
      </c>
    </row>
    <row r="217">
      <c r="A217" s="162" t="s">
        <v>320</v>
      </c>
      <c r="B217" s="163" t="s">
        <v>264</v>
      </c>
      <c r="C217" s="164" t="s">
        <v>251</v>
      </c>
      <c r="D217" s="164">
        <v>1</v>
      </c>
      <c r="E217" s="165">
        <v>4</v>
      </c>
      <c r="F217" s="165">
        <v>7454.4</v>
      </c>
      <c r="G217" s="166">
        <v>3470.38</v>
      </c>
      <c r="H217" s="167">
        <f t="shared" si="1"/>
      </c>
      <c r="I217" s="167">
        <f t="shared" si="3"/>
      </c>
      <c r="J217" s="167">
        <f t="shared" si="2"/>
      </c>
      <c r="K217" s="165">
        <v>2</v>
      </c>
      <c r="L217" s="168">
        <v>3751.2</v>
      </c>
      <c r="M217" s="176"/>
      <c r="N217" s="198"/>
      <c r="O217" s="169"/>
      <c r="P217" s="169"/>
    </row>
    <row r="218">
      <c r="A218" s="162" t="s">
        <v>320</v>
      </c>
      <c r="B218" s="163" t="s">
        <v>259</v>
      </c>
      <c r="C218" s="164" t="s">
        <v>254</v>
      </c>
      <c r="D218" s="164">
        <v>5</v>
      </c>
      <c r="E218" s="165">
        <v>8</v>
      </c>
      <c r="F218" s="165">
        <v>13401.199999999999</v>
      </c>
      <c r="G218" s="166">
        <v>11904.63</v>
      </c>
      <c r="H218" s="167">
        <f t="shared" si="1"/>
      </c>
      <c r="I218" s="167">
        <f t="shared" si="3"/>
      </c>
      <c r="J218" s="167">
        <f t="shared" si="2"/>
      </c>
      <c r="K218" s="165">
        <v>3</v>
      </c>
      <c r="L218" s="168">
        <v>4449.599999999999</v>
      </c>
      <c r="M218" s="176" t="s">
        <v>300</v>
      </c>
      <c r="N218" s="190">
        <v>7</v>
      </c>
      <c r="O218" s="175" t="s">
        <v>258</v>
      </c>
      <c r="P218" s="176">
        <v>3</v>
      </c>
    </row>
    <row r="219">
      <c r="A219" s="162" t="s">
        <v>320</v>
      </c>
      <c r="B219" s="163" t="s">
        <v>253</v>
      </c>
      <c r="C219" s="164" t="s">
        <v>277</v>
      </c>
      <c r="D219" s="197">
        <f>4-1.5</f>
      </c>
      <c r="E219" s="165">
        <v>0</v>
      </c>
      <c r="F219" s="166">
        <v>0</v>
      </c>
      <c r="G219" s="166">
        <v>7645.95</v>
      </c>
      <c r="H219" s="167">
        <f t="shared" si="1"/>
      </c>
      <c r="I219" s="167">
        <f t="shared" si="3"/>
      </c>
      <c r="J219" s="167">
        <f t="shared" si="2"/>
      </c>
      <c r="K219" s="165">
        <v>0</v>
      </c>
      <c r="L219" s="168">
        <v>0</v>
      </c>
      <c r="M219" s="176" t="s">
        <v>261</v>
      </c>
      <c r="N219" s="191">
        <v>8</v>
      </c>
      <c r="O219" s="175" t="s">
        <v>262</v>
      </c>
      <c r="P219" s="176">
        <v>12</v>
      </c>
    </row>
    <row r="220">
      <c r="A220" s="162" t="s">
        <v>320</v>
      </c>
      <c r="B220" s="163" t="s">
        <v>266</v>
      </c>
      <c r="C220" s="164" t="s">
        <v>260</v>
      </c>
      <c r="D220" s="197">
        <f>4-2</f>
      </c>
      <c r="E220" s="165">
        <v>21</v>
      </c>
      <c r="F220" s="166">
        <v>24528.8</v>
      </c>
      <c r="G220" s="176">
        <v>13810.240000000002</v>
      </c>
      <c r="H220" s="167">
        <f t="shared" si="1"/>
      </c>
      <c r="I220" s="167">
        <f t="shared" si="3"/>
      </c>
      <c r="J220" s="167">
        <f t="shared" si="2"/>
      </c>
      <c r="K220" s="165">
        <v>4</v>
      </c>
      <c r="L220" s="168">
        <v>6112.800000000002</v>
      </c>
      <c r="M220" s="176" t="s">
        <v>255</v>
      </c>
      <c r="N220" s="191">
        <v>8</v>
      </c>
      <c r="O220" s="175" t="s">
        <v>258</v>
      </c>
      <c r="P220" s="176">
        <v>9</v>
      </c>
    </row>
    <row r="221">
      <c r="A221" s="162" t="s">
        <v>320</v>
      </c>
      <c r="B221" s="163" t="s">
        <v>269</v>
      </c>
      <c r="C221" s="164" t="s">
        <v>291</v>
      </c>
      <c r="D221" s="197">
        <f>5-0.5</f>
      </c>
      <c r="E221" s="165">
        <v>18</v>
      </c>
      <c r="F221" s="165">
        <v>26390.4</v>
      </c>
      <c r="G221" s="166">
        <v>13850.22</v>
      </c>
      <c r="H221" s="167">
        <f t="shared" si="1"/>
      </c>
      <c r="I221" s="167">
        <f t="shared" si="3"/>
      </c>
      <c r="J221" s="167">
        <f t="shared" si="2"/>
      </c>
      <c r="K221" s="165">
        <v>6</v>
      </c>
      <c r="L221" s="168">
        <v>8253.599999999999</v>
      </c>
      <c r="M221" s="175"/>
      <c r="N221" s="192"/>
      <c r="O221" s="175"/>
      <c r="P221" s="175"/>
    </row>
    <row r="222">
      <c r="A222" s="162" t="s">
        <v>320</v>
      </c>
      <c r="B222" s="163" t="s">
        <v>264</v>
      </c>
      <c r="C222" s="164" t="s">
        <v>292</v>
      </c>
      <c r="D222" s="197">
        <f>4-1</f>
      </c>
      <c r="E222" s="165">
        <v>16</v>
      </c>
      <c r="F222" s="165">
        <v>18152</v>
      </c>
      <c r="G222" s="166">
        <v>10889.789999999999</v>
      </c>
      <c r="H222" s="167">
        <f t="shared" si="1"/>
      </c>
      <c r="I222" s="167">
        <f t="shared" si="3"/>
      </c>
      <c r="J222" s="167">
        <f t="shared" si="2"/>
      </c>
      <c r="K222" s="165">
        <v>2</v>
      </c>
      <c r="L222" s="168">
        <v>3674.399999999997</v>
      </c>
      <c r="M222" s="175"/>
      <c r="N222" s="192"/>
      <c r="O222" s="175"/>
      <c r="P222" s="175"/>
    </row>
    <row r="223">
      <c r="A223" s="183" t="s">
        <v>320</v>
      </c>
      <c r="B223" s="184"/>
      <c r="C223" s="184"/>
      <c r="D223" s="185">
        <f>SUM(D217:D222)</f>
      </c>
      <c r="E223" s="185">
        <f>SUM(E217:E222)</f>
      </c>
      <c r="F223" s="185">
        <f>SUM(F217:F222)</f>
      </c>
      <c r="G223" s="185">
        <f>SUM(G217:G222)</f>
      </c>
      <c r="H223" s="187">
        <f t="shared" si="1"/>
      </c>
      <c r="I223" s="187">
        <f t="shared" si="3"/>
      </c>
      <c r="J223" s="187">
        <f t="shared" si="2"/>
      </c>
      <c r="K223" s="185">
        <f>SUM(K217:K222)</f>
      </c>
      <c r="L223" s="185">
        <f>SUM(L217:L222)</f>
      </c>
      <c r="M223" s="194"/>
      <c r="N223" s="195">
        <f>SUM(N217:N222)</f>
      </c>
      <c r="O223" s="194"/>
      <c r="P223" s="195">
        <f>SUM(P218:P222)</f>
      </c>
    </row>
    <row r="224">
      <c r="D224" s="199"/>
      <c r="K224" s="200"/>
      <c r="L224" s="200"/>
    </row>
    <row r="225">
      <c r="G225" s="201"/>
      <c r="K225" s="200"/>
      <c r="L225" s="200"/>
    </row>
    <row r="226">
      <c r="G226" s="202"/>
      <c r="I226" s="199"/>
      <c r="K226" s="200"/>
      <c r="L226" s="200"/>
    </row>
    <row r="227">
      <c r="K227" s="200"/>
      <c r="L227" s="200"/>
    </row>
    <row r="228">
      <c r="K228" s="200"/>
      <c r="L228" s="200"/>
    </row>
    <row r="229">
      <c r="K229" s="200"/>
      <c r="L229" s="200"/>
    </row>
    <row r="230">
      <c r="K230" s="203"/>
      <c r="L230" s="203"/>
      <c r="M230" s="204"/>
      <c r="N230" s="205"/>
    </row>
    <row r="231">
      <c r="G231">
        <f t="shared" ref="G231:G237" si="0">E231/F231</f>
      </c>
      <c r="I231" s="206"/>
      <c r="J231" s="206"/>
      <c r="K231" s="204"/>
      <c r="L231" s="207"/>
      <c r="M231" s="204"/>
      <c r="N231" s="205"/>
    </row>
    <row r="232">
      <c r="G232">
        <f t="shared" si="0"/>
      </c>
      <c r="I232" s="206"/>
      <c r="J232" s="206"/>
      <c r="K232" s="204"/>
      <c r="L232" s="207"/>
      <c r="M232" s="204"/>
      <c r="N232" s="205"/>
    </row>
    <row r="233">
      <c r="G233">
        <f t="shared" si="0"/>
      </c>
      <c r="I233" s="206"/>
      <c r="J233" s="206"/>
      <c r="K233" s="204"/>
      <c r="L233" s="204"/>
      <c r="M233" s="204"/>
      <c r="N233" s="205"/>
    </row>
    <row r="234">
      <c r="G234">
        <f t="shared" si="0"/>
      </c>
      <c r="I234" s="206"/>
      <c r="J234" s="206"/>
    </row>
    <row r="235">
      <c r="G235">
        <f t="shared" si="0"/>
      </c>
      <c r="I235" s="206"/>
      <c r="J235" s="206"/>
    </row>
    <row r="236">
      <c r="G236">
        <f t="shared" si="0"/>
      </c>
      <c r="H236" s="204"/>
      <c r="I236" s="208"/>
      <c r="J236" s="206"/>
    </row>
    <row r="237">
      <c r="G237">
        <f t="shared" si="0"/>
      </c>
      <c r="H237" s="209"/>
      <c r="I237" s="209"/>
      <c r="J237" s="206"/>
    </row>
    <row r="238">
      <c r="H238" s="209"/>
      <c r="I238" s="209"/>
    </row>
    <row r="239">
      <c r="H239" s="209"/>
      <c r="I239" s="209"/>
    </row>
    <row r="240">
      <c r="H240" s="209"/>
      <c r="I240" s="209"/>
    </row>
    <row r="241">
      <c r="H241" s="209"/>
      <c r="I241" s="209"/>
    </row>
    <row r="242">
      <c r="H242" s="209"/>
      <c r="I242" s="209"/>
    </row>
    <row r="243">
      <c r="H243" s="209"/>
      <c r="I243" s="209"/>
    </row>
  </sheetData>
  <autoFilter ref="A1:P223"/>
  <dataValidations count="1">
    <dataValidation allowBlank="true" errorStyle="stop" showErrorMessage="true" sqref="B2:B8 B10:B16 B18:B24 B26:B31 B33:B38 B40:B45 B47:B53 B55:B61 B63:B68 B70:B75 B77:B82 B84:B89 B91:B96 B98:B103 B105:B110 B112:B117 B119:B124 B126:B131 B133:B138 B140:B145 B147:B152 B154:B159 B161:B166 B168:B173 B175:B180 B182:B187 B189:B194 B196:B201 B203:B208 B210:B215 B217:B222" type="list">
      <formula1>"王硕硕,李紫瑞,刘杰宇,井欣阅,陈旭,于慧,李娜"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4" min="14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</cols>
  <sheetData>
    <row customHeight="true" ht="16.071428571428573" r="1">
      <c r="A1" s="210" t="s">
        <v>321</v>
      </c>
      <c r="B1" s="210" t="s">
        <v>322</v>
      </c>
      <c r="C1" s="210" t="s">
        <v>323</v>
      </c>
      <c r="D1" s="210" t="s">
        <v>324</v>
      </c>
      <c r="E1" s="210" t="s">
        <v>325</v>
      </c>
      <c r="F1" s="211" t="s">
        <v>326</v>
      </c>
      <c r="G1" s="211" t="s">
        <v>327</v>
      </c>
      <c r="H1" s="212" t="s">
        <v>328</v>
      </c>
      <c r="I1" s="212" t="s">
        <v>329</v>
      </c>
      <c r="J1" s="212" t="s">
        <v>330</v>
      </c>
      <c r="K1" s="210" t="s">
        <v>331</v>
      </c>
      <c r="L1" s="210" t="s">
        <v>332</v>
      </c>
      <c r="M1" s="210" t="s">
        <v>333</v>
      </c>
      <c r="N1" s="210" t="s">
        <v>334</v>
      </c>
      <c r="O1" s="210" t="s">
        <v>335</v>
      </c>
      <c r="P1" s="210" t="s">
        <v>336</v>
      </c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</row>
    <row r="2">
      <c r="A2" s="213" t="s">
        <v>337</v>
      </c>
      <c r="B2" s="214" t="s">
        <v>338</v>
      </c>
      <c r="C2" s="215" t="s">
        <v>339</v>
      </c>
      <c r="D2" s="215">
        <v>2</v>
      </c>
      <c r="E2" s="215">
        <v>6</v>
      </c>
      <c r="F2" s="215">
        <v>5070</v>
      </c>
      <c r="G2" s="216">
        <v>7943.049999999999</v>
      </c>
      <c r="H2" s="217">
        <f t="shared" ref="H2:H214" si="1">F2/G2</f>
      </c>
      <c r="I2" s="217">
        <f t="shared" ref="I2:I214" si="3">F2/E2</f>
      </c>
      <c r="J2" s="217">
        <f t="shared" ref="J2:J214" si="2">G2/E2</f>
      </c>
      <c r="K2" s="215">
        <v>1</v>
      </c>
      <c r="L2" s="215">
        <v>2011.2</v>
      </c>
      <c r="M2" s="215" t="s">
        <v>340</v>
      </c>
      <c r="N2" s="215">
        <v>7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</row>
    <row r="3">
      <c r="A3" s="213" t="s">
        <v>337</v>
      </c>
      <c r="B3" s="214" t="s">
        <v>341</v>
      </c>
      <c r="C3" s="215" t="s">
        <v>342</v>
      </c>
      <c r="D3" s="215">
        <v>5</v>
      </c>
      <c r="E3" s="215">
        <v>16</v>
      </c>
      <c r="F3" s="216">
        <v>16130.2</v>
      </c>
      <c r="G3" s="216">
        <v>14868.35</v>
      </c>
      <c r="H3" s="217">
        <f t="shared" si="1"/>
      </c>
      <c r="I3" s="217">
        <f t="shared" si="3"/>
      </c>
      <c r="J3" s="217">
        <f t="shared" si="2"/>
      </c>
      <c r="K3" s="215">
        <v>2</v>
      </c>
      <c r="L3" s="215">
        <v>3674.4</v>
      </c>
      <c r="M3" s="215" t="s">
        <v>343</v>
      </c>
      <c r="N3" s="215">
        <v>9</v>
      </c>
      <c r="O3" s="219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</row>
    <row r="4">
      <c r="A4" s="213" t="s">
        <v>337</v>
      </c>
      <c r="B4" s="214" t="s">
        <v>344</v>
      </c>
      <c r="C4" s="215" t="s">
        <v>345</v>
      </c>
      <c r="D4" s="215">
        <v>5</v>
      </c>
      <c r="E4" s="215">
        <v>33</v>
      </c>
      <c r="F4" s="216">
        <v>39945.6</v>
      </c>
      <c r="G4" s="221">
        <v>31614.670000000002</v>
      </c>
      <c r="H4" s="217">
        <f t="shared" si="1"/>
      </c>
      <c r="I4" s="217">
        <f t="shared" si="3"/>
      </c>
      <c r="J4" s="217">
        <f t="shared" si="2"/>
      </c>
      <c r="K4" s="215">
        <v>6</v>
      </c>
      <c r="L4" s="215">
        <v>5977.2</v>
      </c>
      <c r="M4" s="215" t="s">
        <v>346</v>
      </c>
      <c r="N4" s="222">
        <v>8</v>
      </c>
      <c r="O4" s="222" t="s">
        <v>347</v>
      </c>
      <c r="P4" s="223">
        <v>12</v>
      </c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</row>
    <row r="5">
      <c r="A5" s="213" t="s">
        <v>337</v>
      </c>
      <c r="B5" s="214" t="s">
        <v>348</v>
      </c>
      <c r="C5" s="215" t="s">
        <v>349</v>
      </c>
      <c r="D5" s="215">
        <v>4</v>
      </c>
      <c r="E5" s="215">
        <v>19</v>
      </c>
      <c r="F5" s="216">
        <v>21032</v>
      </c>
      <c r="G5" s="224">
        <v>19655.85</v>
      </c>
      <c r="H5" s="217">
        <f t="shared" si="1"/>
      </c>
      <c r="I5" s="217">
        <f t="shared" si="3"/>
      </c>
      <c r="J5" s="217">
        <f t="shared" si="2"/>
      </c>
      <c r="K5" s="215">
        <v>2</v>
      </c>
      <c r="L5" s="215">
        <v>1598.4</v>
      </c>
      <c r="M5" s="215"/>
      <c r="N5" s="222"/>
      <c r="O5" s="223" t="s">
        <v>350</v>
      </c>
      <c r="P5" s="215">
        <v>12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</row>
    <row r="6">
      <c r="A6" s="213" t="s">
        <v>337</v>
      </c>
      <c r="B6" s="214" t="s">
        <v>338</v>
      </c>
      <c r="C6" s="215" t="s">
        <v>351</v>
      </c>
      <c r="D6" s="215">
        <v>5</v>
      </c>
      <c r="E6" s="215">
        <v>19</v>
      </c>
      <c r="F6" s="216">
        <v>21032</v>
      </c>
      <c r="G6" s="216">
        <v>19655.85</v>
      </c>
      <c r="H6" s="217">
        <f t="shared" si="1"/>
      </c>
      <c r="I6" s="217">
        <f t="shared" si="3"/>
      </c>
      <c r="J6" s="217">
        <f t="shared" si="2"/>
      </c>
      <c r="K6" s="215">
        <v>2</v>
      </c>
      <c r="L6" s="215">
        <v>542.4</v>
      </c>
      <c r="M6" s="223"/>
      <c r="N6" s="223"/>
      <c r="O6" s="225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</row>
    <row r="7">
      <c r="A7" s="213" t="s">
        <v>337</v>
      </c>
      <c r="B7" s="214" t="s">
        <v>352</v>
      </c>
      <c r="C7" s="215" t="s">
        <v>353</v>
      </c>
      <c r="D7" s="215">
        <v>3</v>
      </c>
      <c r="E7" s="215">
        <v>9</v>
      </c>
      <c r="F7" s="216">
        <v>12550.8</v>
      </c>
      <c r="G7" s="216">
        <v>15202.43</v>
      </c>
      <c r="H7" s="217">
        <f t="shared" si="1"/>
      </c>
      <c r="I7" s="217">
        <f t="shared" si="3"/>
      </c>
      <c r="J7" s="217">
        <f t="shared" si="2"/>
      </c>
      <c r="K7" s="215">
        <v>1</v>
      </c>
      <c r="L7" s="215">
        <v>679.2</v>
      </c>
      <c r="M7" s="223"/>
      <c r="N7" s="226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</row>
    <row r="8">
      <c r="A8" s="227" t="s">
        <v>337</v>
      </c>
      <c r="B8" s="228"/>
      <c r="C8" s="228"/>
      <c r="D8" s="229">
        <f>SUM(D2:D7)</f>
      </c>
      <c r="E8" s="229">
        <f>SUM(E2:E7)</f>
      </c>
      <c r="F8" s="230">
        <f>SUM(F2:F7)</f>
      </c>
      <c r="G8" s="230">
        <f>SUM(G2:G7)</f>
      </c>
      <c r="H8" s="231">
        <f t="shared" si="1"/>
      </c>
      <c r="I8" s="231">
        <f t="shared" si="3"/>
      </c>
      <c r="J8" s="231">
        <f t="shared" si="2"/>
      </c>
      <c r="K8" s="229">
        <f>SUM(K2:K7)</f>
      </c>
      <c r="L8" s="231">
        <f>SUM(L2:L7)</f>
      </c>
      <c r="M8" s="228"/>
      <c r="N8" s="229">
        <f>SUM(N2:N7)</f>
      </c>
      <c r="O8" s="232"/>
      <c r="P8" s="233">
        <f>SUM(P2:P7)</f>
      </c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</row>
    <row r="9">
      <c r="A9" s="213" t="s">
        <v>354</v>
      </c>
      <c r="B9" s="214" t="s">
        <v>352</v>
      </c>
      <c r="C9" s="215" t="s">
        <v>339</v>
      </c>
      <c r="D9" s="215">
        <v>2</v>
      </c>
      <c r="E9" s="215">
        <v>13</v>
      </c>
      <c r="F9" s="215">
        <v>6659.8</v>
      </c>
      <c r="G9" s="216">
        <v>7261.16</v>
      </c>
      <c r="H9" s="217">
        <f t="shared" si="1"/>
      </c>
      <c r="I9" s="217">
        <f t="shared" si="3"/>
      </c>
      <c r="J9" s="217">
        <f t="shared" si="2"/>
      </c>
      <c r="K9" s="215">
        <v>0</v>
      </c>
      <c r="L9" s="215">
        <v>0</v>
      </c>
      <c r="M9" s="215" t="s">
        <v>340</v>
      </c>
      <c r="N9" s="234">
        <v>7</v>
      </c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</row>
    <row r="10">
      <c r="A10" s="213" t="s">
        <v>354</v>
      </c>
      <c r="B10" s="214" t="s">
        <v>341</v>
      </c>
      <c r="C10" s="215" t="s">
        <v>342</v>
      </c>
      <c r="D10" s="215">
        <v>5</v>
      </c>
      <c r="E10" s="215">
        <v>14</v>
      </c>
      <c r="F10" s="216">
        <v>16741.2</v>
      </c>
      <c r="G10" s="216">
        <v>13383.19</v>
      </c>
      <c r="H10" s="217">
        <f t="shared" si="1"/>
      </c>
      <c r="I10" s="217">
        <f t="shared" si="3"/>
      </c>
      <c r="J10" s="217">
        <f t="shared" si="2"/>
      </c>
      <c r="K10" s="215">
        <v>7</v>
      </c>
      <c r="L10" s="215">
        <v>9792</v>
      </c>
      <c r="M10" s="215" t="s">
        <v>343</v>
      </c>
      <c r="N10" s="215">
        <v>9</v>
      </c>
      <c r="O10" s="219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</row>
    <row r="11">
      <c r="A11" s="213" t="s">
        <v>354</v>
      </c>
      <c r="B11" s="214" t="s">
        <v>344</v>
      </c>
      <c r="C11" s="215" t="s">
        <v>345</v>
      </c>
      <c r="D11" s="215">
        <v>5</v>
      </c>
      <c r="E11" s="215">
        <v>22</v>
      </c>
      <c r="F11" s="216">
        <v>29270.2</v>
      </c>
      <c r="G11" s="221">
        <v>24220.86</v>
      </c>
      <c r="H11" s="217">
        <f t="shared" si="1"/>
      </c>
      <c r="I11" s="217">
        <f t="shared" si="3"/>
      </c>
      <c r="J11" s="217">
        <f t="shared" si="2"/>
      </c>
      <c r="K11" s="215">
        <v>6</v>
      </c>
      <c r="L11" s="215">
        <v>9074.2</v>
      </c>
      <c r="M11" s="215" t="s">
        <v>355</v>
      </c>
      <c r="N11" s="222">
        <v>8</v>
      </c>
      <c r="O11" s="222" t="s">
        <v>347</v>
      </c>
      <c r="P11" s="223">
        <v>12</v>
      </c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</row>
    <row r="12">
      <c r="A12" s="213" t="s">
        <v>354</v>
      </c>
      <c r="B12" s="214" t="s">
        <v>348</v>
      </c>
      <c r="C12" s="215" t="s">
        <v>356</v>
      </c>
      <c r="D12" s="215">
        <v>5</v>
      </c>
      <c r="E12" s="215">
        <v>11</v>
      </c>
      <c r="F12" s="216">
        <v>20853.6</v>
      </c>
      <c r="G12" s="224">
        <v>22571.85</v>
      </c>
      <c r="H12" s="217">
        <f t="shared" si="1"/>
      </c>
      <c r="I12" s="217">
        <f t="shared" si="3"/>
      </c>
      <c r="J12" s="217">
        <f t="shared" si="2"/>
      </c>
      <c r="K12" s="215">
        <v>2</v>
      </c>
      <c r="L12" s="215">
        <v>4070.4</v>
      </c>
      <c r="M12" s="215"/>
      <c r="N12" s="222"/>
      <c r="O12" s="223" t="s">
        <v>350</v>
      </c>
      <c r="P12" s="215">
        <v>12</v>
      </c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</row>
    <row r="13">
      <c r="A13" s="213" t="s">
        <v>354</v>
      </c>
      <c r="B13" s="214" t="s">
        <v>338</v>
      </c>
      <c r="C13" s="215" t="s">
        <v>357</v>
      </c>
      <c r="D13" s="215">
        <v>5</v>
      </c>
      <c r="E13" s="215">
        <v>15</v>
      </c>
      <c r="F13" s="216">
        <v>18160.800000000003</v>
      </c>
      <c r="G13" s="216">
        <v>16484.45</v>
      </c>
      <c r="H13" s="217">
        <f t="shared" si="1"/>
      </c>
      <c r="I13" s="217">
        <f t="shared" si="3"/>
      </c>
      <c r="J13" s="217">
        <f t="shared" si="2"/>
      </c>
      <c r="K13" s="215">
        <v>7</v>
      </c>
      <c r="L13" s="215">
        <v>10527.6</v>
      </c>
      <c r="M13" s="223"/>
      <c r="N13" s="223"/>
      <c r="O13" s="225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</row>
    <row r="14">
      <c r="A14" s="213" t="s">
        <v>354</v>
      </c>
      <c r="B14" s="214" t="s">
        <v>358</v>
      </c>
      <c r="C14" s="215" t="s">
        <v>359</v>
      </c>
      <c r="D14" s="215">
        <v>2</v>
      </c>
      <c r="E14" s="215">
        <v>18</v>
      </c>
      <c r="F14" s="216">
        <v>19809.6</v>
      </c>
      <c r="G14" s="216">
        <v>13796.29</v>
      </c>
      <c r="H14" s="217">
        <f t="shared" si="1"/>
      </c>
      <c r="I14" s="217">
        <f t="shared" si="3"/>
      </c>
      <c r="J14" s="217">
        <f t="shared" si="2"/>
      </c>
      <c r="K14" s="215">
        <v>1</v>
      </c>
      <c r="L14" s="215">
        <v>1663.2</v>
      </c>
      <c r="M14" s="223"/>
      <c r="N14" s="226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</row>
    <row r="15">
      <c r="A15" s="227" t="s">
        <v>354</v>
      </c>
      <c r="B15" s="228"/>
      <c r="C15" s="228"/>
      <c r="D15" s="229">
        <f>SUM(D9:D14)</f>
      </c>
      <c r="E15" s="229">
        <f>SUM(E9:E14)</f>
      </c>
      <c r="F15" s="230">
        <f>SUM(F9:F14)</f>
      </c>
      <c r="G15" s="230">
        <f>SUM(G9:G14)</f>
      </c>
      <c r="H15" s="231">
        <f t="shared" si="1"/>
      </c>
      <c r="I15" s="231">
        <f t="shared" si="3"/>
      </c>
      <c r="J15" s="231">
        <f t="shared" si="2"/>
      </c>
      <c r="K15" s="229">
        <f>SUM(K9:K14)</f>
      </c>
      <c r="L15" s="231">
        <f>SUM(L9:L14)</f>
      </c>
      <c r="M15" s="228"/>
      <c r="N15" s="229">
        <f>SUM(N9:N14)</f>
      </c>
      <c r="O15" s="228"/>
      <c r="P15" s="229">
        <f>SUM(P10:P14)</f>
      </c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</row>
    <row r="16">
      <c r="A16" s="213" t="s">
        <v>360</v>
      </c>
      <c r="B16" s="214" t="s">
        <v>358</v>
      </c>
      <c r="C16" s="215" t="s">
        <v>339</v>
      </c>
      <c r="D16" s="215">
        <v>2</v>
      </c>
      <c r="E16" s="215">
        <v>14</v>
      </c>
      <c r="F16" s="215">
        <v>16545.6</v>
      </c>
      <c r="G16" s="216">
        <v>9940.93</v>
      </c>
      <c r="H16" s="217">
        <f t="shared" si="1"/>
      </c>
      <c r="I16" s="217">
        <f t="shared" si="3"/>
      </c>
      <c r="J16" s="217">
        <f t="shared" si="2"/>
      </c>
      <c r="K16" s="215">
        <v>4</v>
      </c>
      <c r="L16" s="215">
        <v>5115.599999999999</v>
      </c>
      <c r="M16" s="215" t="s">
        <v>340</v>
      </c>
      <c r="N16" s="234">
        <v>7</v>
      </c>
      <c r="O16" s="222" t="s">
        <v>347</v>
      </c>
      <c r="P16" s="223">
        <v>12</v>
      </c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</row>
    <row r="17">
      <c r="A17" s="213" t="s">
        <v>360</v>
      </c>
      <c r="B17" s="214" t="s">
        <v>341</v>
      </c>
      <c r="C17" s="215" t="s">
        <v>342</v>
      </c>
      <c r="D17" s="215">
        <v>5</v>
      </c>
      <c r="E17" s="215">
        <v>15</v>
      </c>
      <c r="F17" s="216">
        <v>22020.800000000003</v>
      </c>
      <c r="G17" s="216">
        <v>17960.97</v>
      </c>
      <c r="H17" s="217">
        <f t="shared" si="1"/>
      </c>
      <c r="I17" s="217">
        <f t="shared" si="3"/>
      </c>
      <c r="J17" s="217">
        <f t="shared" si="2"/>
      </c>
      <c r="K17" s="215">
        <v>3</v>
      </c>
      <c r="L17" s="215">
        <v>2844</v>
      </c>
      <c r="M17" s="215" t="s">
        <v>343</v>
      </c>
      <c r="N17" s="215">
        <v>9</v>
      </c>
      <c r="O17" s="223" t="s">
        <v>350</v>
      </c>
      <c r="P17" s="215">
        <v>12</v>
      </c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</row>
    <row r="18">
      <c r="A18" s="213" t="s">
        <v>360</v>
      </c>
      <c r="B18" s="214" t="s">
        <v>344</v>
      </c>
      <c r="C18" s="215" t="s">
        <v>345</v>
      </c>
      <c r="D18" s="215">
        <v>5</v>
      </c>
      <c r="E18" s="215">
        <v>18</v>
      </c>
      <c r="F18" s="216">
        <v>24250.2</v>
      </c>
      <c r="G18" s="221">
        <v>24146.27</v>
      </c>
      <c r="H18" s="217">
        <f t="shared" si="1"/>
      </c>
      <c r="I18" s="217">
        <f t="shared" si="3"/>
      </c>
      <c r="J18" s="217">
        <f t="shared" si="2"/>
      </c>
      <c r="K18" s="215">
        <v>3</v>
      </c>
      <c r="L18" s="215">
        <v>4394.4</v>
      </c>
      <c r="M18" s="215" t="s">
        <v>346</v>
      </c>
      <c r="N18" s="235">
        <v>4</v>
      </c>
      <c r="O18" s="222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</row>
    <row r="19">
      <c r="A19" s="213" t="s">
        <v>360</v>
      </c>
      <c r="B19" s="214" t="s">
        <v>338</v>
      </c>
      <c r="C19" s="215" t="s">
        <v>356</v>
      </c>
      <c r="D19" s="215">
        <v>5</v>
      </c>
      <c r="E19" s="215">
        <v>22</v>
      </c>
      <c r="F19" s="216">
        <v>28629.40000000001</v>
      </c>
      <c r="G19" s="224">
        <v>18594.949999999997</v>
      </c>
      <c r="H19" s="217">
        <f t="shared" si="1"/>
      </c>
      <c r="I19" s="217">
        <f t="shared" si="3"/>
      </c>
      <c r="J19" s="217">
        <f t="shared" si="2"/>
      </c>
      <c r="K19" s="215">
        <v>1</v>
      </c>
      <c r="L19" s="215">
        <v>1344</v>
      </c>
      <c r="M19" s="215"/>
      <c r="N19" s="215"/>
      <c r="O19" s="223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</row>
    <row r="20">
      <c r="A20" s="213" t="s">
        <v>360</v>
      </c>
      <c r="B20" s="214" t="s">
        <v>352</v>
      </c>
      <c r="C20" s="215" t="s">
        <v>353</v>
      </c>
      <c r="D20" s="215">
        <v>3</v>
      </c>
      <c r="E20" s="215">
        <v>8</v>
      </c>
      <c r="F20" s="216">
        <v>11323.2</v>
      </c>
      <c r="G20" s="216">
        <v>12159.63</v>
      </c>
      <c r="H20" s="217">
        <f t="shared" si="1"/>
      </c>
      <c r="I20" s="217">
        <f t="shared" si="3"/>
      </c>
      <c r="J20" s="217">
        <f t="shared" si="2"/>
      </c>
      <c r="K20" s="215">
        <v>1</v>
      </c>
      <c r="L20" s="215">
        <v>2011.2</v>
      </c>
      <c r="M20" s="223"/>
      <c r="N20" s="235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</row>
    <row r="21">
      <c r="A21" s="227" t="s">
        <v>360</v>
      </c>
      <c r="B21" s="228"/>
      <c r="C21" s="228"/>
      <c r="D21" s="229">
        <f>SUM(D16:D20)</f>
      </c>
      <c r="E21" s="229">
        <f>SUM(E16:E20)</f>
      </c>
      <c r="F21" s="229">
        <f>SUM(F16:F20)</f>
      </c>
      <c r="G21" s="229">
        <f>SUM(G16:G20)</f>
      </c>
      <c r="H21" s="231">
        <f t="shared" si="1"/>
      </c>
      <c r="I21" s="231">
        <f t="shared" si="3"/>
      </c>
      <c r="J21" s="231">
        <f t="shared" si="2"/>
      </c>
      <c r="K21" s="229">
        <f>SUM(K16:K20)</f>
      </c>
      <c r="L21" s="229">
        <f>SUM(L16:L20)</f>
      </c>
      <c r="M21" s="228"/>
      <c r="N21" s="229">
        <f>SUM(N16:N20)</f>
      </c>
      <c r="O21" s="228"/>
      <c r="P21" s="229">
        <f>SUM(P17:P19)</f>
      </c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>
      <c r="A22" s="213" t="s">
        <v>361</v>
      </c>
      <c r="B22" s="214" t="s">
        <v>352</v>
      </c>
      <c r="C22" s="215" t="s">
        <v>339</v>
      </c>
      <c r="D22" s="215">
        <v>2</v>
      </c>
      <c r="E22" s="215">
        <v>10</v>
      </c>
      <c r="F22" s="215">
        <v>7075.2</v>
      </c>
      <c r="G22" s="216">
        <v>5998.2</v>
      </c>
      <c r="H22" s="217">
        <f t="shared" si="1"/>
      </c>
      <c r="I22" s="217">
        <f t="shared" si="3"/>
      </c>
      <c r="J22" s="217">
        <f t="shared" si="2"/>
      </c>
      <c r="K22" s="215">
        <v>1</v>
      </c>
      <c r="L22" s="215">
        <v>763.2</v>
      </c>
      <c r="M22" s="215" t="s">
        <v>340</v>
      </c>
      <c r="N22" s="234">
        <v>7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</row>
    <row r="23">
      <c r="A23" s="213" t="s">
        <v>361</v>
      </c>
      <c r="B23" s="214" t="s">
        <v>348</v>
      </c>
      <c r="C23" s="215" t="s">
        <v>342</v>
      </c>
      <c r="D23" s="215">
        <v>5</v>
      </c>
      <c r="E23" s="215">
        <v>19</v>
      </c>
      <c r="F23" s="216">
        <v>24370.44</v>
      </c>
      <c r="G23" s="216">
        <v>17362.09</v>
      </c>
      <c r="H23" s="217">
        <f t="shared" si="1"/>
      </c>
      <c r="I23" s="217">
        <f t="shared" si="3"/>
      </c>
      <c r="J23" s="217">
        <f t="shared" si="2"/>
      </c>
      <c r="K23" s="215">
        <v>6</v>
      </c>
      <c r="L23" s="215">
        <v>8210.4</v>
      </c>
      <c r="M23" s="215" t="s">
        <v>343</v>
      </c>
      <c r="N23" s="215">
        <v>9</v>
      </c>
      <c r="O23" s="219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</row>
    <row r="24">
      <c r="A24" s="213" t="s">
        <v>361</v>
      </c>
      <c r="B24" s="214" t="s">
        <v>344</v>
      </c>
      <c r="C24" s="215" t="s">
        <v>345</v>
      </c>
      <c r="D24" s="215">
        <v>5</v>
      </c>
      <c r="E24" s="215">
        <v>16</v>
      </c>
      <c r="F24" s="216">
        <v>20288.399999999998</v>
      </c>
      <c r="G24" s="221">
        <v>19135.066</v>
      </c>
      <c r="H24" s="217">
        <f t="shared" si="1"/>
      </c>
      <c r="I24" s="217">
        <f t="shared" si="3"/>
      </c>
      <c r="J24" s="217">
        <f t="shared" si="2"/>
      </c>
      <c r="K24" s="215">
        <v>6</v>
      </c>
      <c r="L24" s="215">
        <v>9588</v>
      </c>
      <c r="M24" s="215" t="s">
        <v>346</v>
      </c>
      <c r="N24" s="222">
        <v>8</v>
      </c>
      <c r="O24" s="222" t="s">
        <v>347</v>
      </c>
      <c r="P24" s="223">
        <v>12</v>
      </c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</row>
    <row r="25">
      <c r="A25" s="213" t="s">
        <v>361</v>
      </c>
      <c r="B25" s="214" t="s">
        <v>338</v>
      </c>
      <c r="C25" s="215" t="s">
        <v>356</v>
      </c>
      <c r="D25" s="215">
        <v>5</v>
      </c>
      <c r="E25" s="215">
        <v>27</v>
      </c>
      <c r="F25" s="216">
        <v>22291.200000000008</v>
      </c>
      <c r="G25" s="224">
        <v>15618.14</v>
      </c>
      <c r="H25" s="217">
        <f t="shared" si="1"/>
      </c>
      <c r="I25" s="217">
        <f t="shared" si="3"/>
      </c>
      <c r="J25" s="217">
        <f t="shared" si="2"/>
      </c>
      <c r="K25" s="215">
        <v>4</v>
      </c>
      <c r="L25" s="215">
        <v>1809.6</v>
      </c>
      <c r="M25" s="215"/>
      <c r="N25" s="222"/>
      <c r="O25" s="223" t="s">
        <v>350</v>
      </c>
      <c r="P25" s="215">
        <v>12</v>
      </c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</row>
    <row r="26">
      <c r="A26" s="213" t="s">
        <v>361</v>
      </c>
      <c r="B26" s="214" t="s">
        <v>358</v>
      </c>
      <c r="C26" s="215" t="s">
        <v>362</v>
      </c>
      <c r="D26" s="215">
        <v>4</v>
      </c>
      <c r="E26" s="215">
        <v>12</v>
      </c>
      <c r="F26" s="216">
        <v>15444</v>
      </c>
      <c r="G26" s="216">
        <v>13865.31</v>
      </c>
      <c r="H26" s="217">
        <f t="shared" si="1"/>
      </c>
      <c r="I26" s="217">
        <f t="shared" si="3"/>
      </c>
      <c r="J26" s="217">
        <f t="shared" si="2"/>
      </c>
      <c r="K26" s="215">
        <v>2</v>
      </c>
      <c r="L26" s="215">
        <v>4418.4</v>
      </c>
      <c r="M26" s="223"/>
      <c r="N26" s="223"/>
      <c r="O26" s="225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</row>
    <row r="27">
      <c r="A27" s="213" t="s">
        <v>361</v>
      </c>
      <c r="B27" s="214" t="s">
        <v>341</v>
      </c>
      <c r="C27" s="215" t="s">
        <v>353</v>
      </c>
      <c r="D27" s="215">
        <v>3</v>
      </c>
      <c r="E27" s="215">
        <v>26</v>
      </c>
      <c r="F27" s="216">
        <v>42963.6</v>
      </c>
      <c r="G27" s="216">
        <v>16945.93</v>
      </c>
      <c r="H27" s="217">
        <f t="shared" si="1"/>
      </c>
      <c r="I27" s="217">
        <f t="shared" si="3"/>
      </c>
      <c r="J27" s="217">
        <f t="shared" si="2"/>
      </c>
      <c r="K27" s="215">
        <v>4</v>
      </c>
      <c r="L27" s="215">
        <v>7058.4</v>
      </c>
      <c r="M27" s="223"/>
      <c r="N27" s="226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</row>
    <row r="28">
      <c r="A28" s="227" t="s">
        <v>361</v>
      </c>
      <c r="B28" s="228"/>
      <c r="C28" s="228"/>
      <c r="D28" s="229">
        <f>SUM(D22:D27)</f>
      </c>
      <c r="E28" s="229">
        <f>SUM(E22:E27)</f>
      </c>
      <c r="F28" s="230">
        <f>SUM(F22:F27)</f>
      </c>
      <c r="G28" s="230">
        <f>SUM(G22:G27)</f>
      </c>
      <c r="H28" s="231">
        <f t="shared" si="1"/>
      </c>
      <c r="I28" s="231">
        <f t="shared" si="3"/>
      </c>
      <c r="J28" s="231">
        <f t="shared" si="2"/>
      </c>
      <c r="K28" s="229">
        <f>SUM(K22:K27)</f>
      </c>
      <c r="L28" s="231">
        <f>SUM(L22:L27)</f>
      </c>
      <c r="M28" s="228"/>
      <c r="N28" s="229">
        <f>SUM(N22:N27)</f>
      </c>
      <c r="O28" s="228"/>
      <c r="P28" s="229">
        <f>SUM(P23:P27)</f>
      </c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</row>
    <row r="29">
      <c r="A29" s="213" t="s">
        <v>363</v>
      </c>
      <c r="B29" s="214" t="s">
        <v>341</v>
      </c>
      <c r="C29" s="215" t="s">
        <v>339</v>
      </c>
      <c r="D29" s="215">
        <v>2</v>
      </c>
      <c r="E29" s="215">
        <v>11</v>
      </c>
      <c r="F29" s="215">
        <v>17420.4</v>
      </c>
      <c r="G29" s="216">
        <v>8956.57</v>
      </c>
      <c r="H29" s="217">
        <f t="shared" si="1"/>
      </c>
      <c r="I29" s="217">
        <f t="shared" si="3"/>
      </c>
      <c r="J29" s="217">
        <f t="shared" si="2"/>
      </c>
      <c r="K29" s="215">
        <v>3</v>
      </c>
      <c r="L29" s="215">
        <v>4910.4</v>
      </c>
      <c r="M29" s="215" t="s">
        <v>340</v>
      </c>
      <c r="N29" s="234">
        <v>7</v>
      </c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</row>
    <row r="30">
      <c r="A30" s="213" t="s">
        <v>363</v>
      </c>
      <c r="B30" s="214" t="s">
        <v>348</v>
      </c>
      <c r="C30" s="215" t="s">
        <v>342</v>
      </c>
      <c r="D30" s="215">
        <v>5</v>
      </c>
      <c r="E30" s="215">
        <v>18</v>
      </c>
      <c r="F30" s="216">
        <v>26770</v>
      </c>
      <c r="G30" s="216">
        <v>18917.76</v>
      </c>
      <c r="H30" s="217">
        <f t="shared" si="1"/>
      </c>
      <c r="I30" s="217">
        <f t="shared" si="3"/>
      </c>
      <c r="J30" s="217">
        <f t="shared" si="2"/>
      </c>
      <c r="K30" s="215">
        <v>3</v>
      </c>
      <c r="L30" s="215">
        <v>5544</v>
      </c>
      <c r="M30" s="215" t="s">
        <v>343</v>
      </c>
      <c r="N30" s="215">
        <v>9</v>
      </c>
      <c r="O30" s="219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</row>
    <row r="31">
      <c r="A31" s="213" t="s">
        <v>363</v>
      </c>
      <c r="B31" s="214" t="s">
        <v>344</v>
      </c>
      <c r="C31" s="215" t="s">
        <v>345</v>
      </c>
      <c r="D31" s="215">
        <v>5</v>
      </c>
      <c r="E31" s="215">
        <v>20</v>
      </c>
      <c r="F31" s="216">
        <v>23556.3</v>
      </c>
      <c r="G31" s="221">
        <v>21493.57</v>
      </c>
      <c r="H31" s="217">
        <f t="shared" si="1"/>
      </c>
      <c r="I31" s="217">
        <f t="shared" si="3"/>
      </c>
      <c r="J31" s="217">
        <f t="shared" si="2"/>
      </c>
      <c r="K31" s="215">
        <v>5</v>
      </c>
      <c r="L31" s="215">
        <v>4075.2</v>
      </c>
      <c r="M31" s="215" t="s">
        <v>346</v>
      </c>
      <c r="N31" s="222">
        <v>8</v>
      </c>
      <c r="O31" s="222" t="s">
        <v>347</v>
      </c>
      <c r="P31" s="215">
        <v>3</v>
      </c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</row>
    <row r="32">
      <c r="A32" s="213" t="s">
        <v>363</v>
      </c>
      <c r="B32" s="214" t="s">
        <v>358</v>
      </c>
      <c r="C32" s="215" t="s">
        <v>356</v>
      </c>
      <c r="D32" s="215">
        <v>5</v>
      </c>
      <c r="E32" s="215">
        <v>30</v>
      </c>
      <c r="F32" s="216">
        <v>36870.00000000001</v>
      </c>
      <c r="G32" s="224">
        <v>21129.32</v>
      </c>
      <c r="H32" s="217">
        <f t="shared" si="1"/>
      </c>
      <c r="I32" s="217">
        <f t="shared" si="3"/>
      </c>
      <c r="J32" s="217">
        <f t="shared" si="2"/>
      </c>
      <c r="K32" s="215">
        <v>10</v>
      </c>
      <c r="L32" s="215">
        <v>12111.6</v>
      </c>
      <c r="M32" s="215"/>
      <c r="N32" s="222"/>
      <c r="O32" s="223" t="s">
        <v>350</v>
      </c>
      <c r="P32" s="215">
        <v>12</v>
      </c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</row>
    <row r="33">
      <c r="A33" s="213" t="s">
        <v>363</v>
      </c>
      <c r="B33" s="214" t="s">
        <v>341</v>
      </c>
      <c r="C33" s="215" t="s">
        <v>357</v>
      </c>
      <c r="D33" s="215">
        <v>5</v>
      </c>
      <c r="E33" s="215">
        <v>35</v>
      </c>
      <c r="F33" s="216">
        <v>39519.59999999998</v>
      </c>
      <c r="G33" s="216">
        <v>29429.52</v>
      </c>
      <c r="H33" s="217">
        <f t="shared" si="1"/>
      </c>
      <c r="I33" s="217">
        <f t="shared" si="3"/>
      </c>
      <c r="J33" s="217">
        <f t="shared" si="2"/>
      </c>
      <c r="K33" s="215">
        <v>12</v>
      </c>
      <c r="L33" s="215">
        <v>14646</v>
      </c>
      <c r="M33" s="223"/>
      <c r="N33" s="223"/>
      <c r="O33" s="222" t="s">
        <v>347</v>
      </c>
      <c r="P33" s="215">
        <v>9</v>
      </c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</row>
    <row r="34">
      <c r="A34" s="213" t="s">
        <v>363</v>
      </c>
      <c r="B34" s="214" t="s">
        <v>352</v>
      </c>
      <c r="C34" s="215" t="s">
        <v>359</v>
      </c>
      <c r="D34" s="215">
        <v>2</v>
      </c>
      <c r="E34" s="215">
        <v>13</v>
      </c>
      <c r="F34" s="216">
        <v>19617.6</v>
      </c>
      <c r="G34" s="216">
        <v>9357.63</v>
      </c>
      <c r="H34" s="217">
        <f t="shared" si="1"/>
      </c>
      <c r="I34" s="217">
        <f t="shared" si="3"/>
      </c>
      <c r="J34" s="217">
        <f t="shared" si="2"/>
      </c>
      <c r="K34" s="215">
        <v>2</v>
      </c>
      <c r="L34" s="215">
        <v>2455.2</v>
      </c>
      <c r="M34" s="223"/>
      <c r="N34" s="226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</row>
    <row r="35">
      <c r="A35" s="227" t="s">
        <v>363</v>
      </c>
      <c r="B35" s="228"/>
      <c r="C35" s="228"/>
      <c r="D35" s="229">
        <f>SUM(D29:D34)</f>
      </c>
      <c r="E35" s="229">
        <f>SUM(E29:E34)</f>
      </c>
      <c r="F35" s="230">
        <f>SUM(F29:F34)</f>
      </c>
      <c r="G35" s="230">
        <f>SUM(G29:G34)</f>
      </c>
      <c r="H35" s="231">
        <f t="shared" si="1"/>
      </c>
      <c r="I35" s="231">
        <f t="shared" si="3"/>
      </c>
      <c r="J35" s="231">
        <f t="shared" si="2"/>
      </c>
      <c r="K35" s="229">
        <f>SUM(K29:K34)</f>
      </c>
      <c r="L35" s="231">
        <f>SUM(L29:L34)</f>
      </c>
      <c r="M35" s="228"/>
      <c r="N35" s="229">
        <f>SUM(N29:N34)</f>
      </c>
      <c r="O35" s="228"/>
      <c r="P35" s="229">
        <f>SUM(P30:P34)</f>
      </c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</row>
    <row r="36">
      <c r="A36" s="213" t="s">
        <v>364</v>
      </c>
      <c r="B36" s="214" t="s">
        <v>352</v>
      </c>
      <c r="C36" s="215" t="s">
        <v>339</v>
      </c>
      <c r="D36" s="215">
        <v>2</v>
      </c>
      <c r="E36" s="215">
        <v>9</v>
      </c>
      <c r="F36" s="215">
        <v>11978.4</v>
      </c>
      <c r="G36" s="216">
        <v>8323.46</v>
      </c>
      <c r="H36" s="217">
        <f t="shared" si="1"/>
      </c>
      <c r="I36" s="217">
        <f t="shared" si="3"/>
      </c>
      <c r="J36" s="217">
        <f t="shared" si="2"/>
      </c>
      <c r="K36" s="215">
        <v>3</v>
      </c>
      <c r="L36" s="215">
        <v>4017.6000000000004</v>
      </c>
      <c r="M36" s="215" t="s">
        <v>340</v>
      </c>
      <c r="N36" s="234">
        <v>7</v>
      </c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</row>
    <row r="37">
      <c r="A37" s="213" t="s">
        <v>364</v>
      </c>
      <c r="B37" s="214" t="s">
        <v>338</v>
      </c>
      <c r="C37" s="215" t="s">
        <v>342</v>
      </c>
      <c r="D37" s="215">
        <v>5</v>
      </c>
      <c r="E37" s="215">
        <v>24</v>
      </c>
      <c r="F37" s="216">
        <v>36980.2</v>
      </c>
      <c r="G37" s="216">
        <v>17546.18</v>
      </c>
      <c r="H37" s="217">
        <f t="shared" si="1"/>
      </c>
      <c r="I37" s="217">
        <f t="shared" si="3"/>
      </c>
      <c r="J37" s="217">
        <f t="shared" si="2"/>
      </c>
      <c r="K37" s="215">
        <v>4</v>
      </c>
      <c r="L37" s="215">
        <v>7666.4</v>
      </c>
      <c r="M37" s="215" t="s">
        <v>343</v>
      </c>
      <c r="N37" s="215">
        <v>9</v>
      </c>
      <c r="O37" s="219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</row>
    <row r="38">
      <c r="A38" s="213" t="s">
        <v>364</v>
      </c>
      <c r="B38" s="214" t="s">
        <v>344</v>
      </c>
      <c r="C38" s="215" t="s">
        <v>345</v>
      </c>
      <c r="D38" s="215">
        <v>5</v>
      </c>
      <c r="E38" s="215">
        <v>12</v>
      </c>
      <c r="F38" s="216">
        <v>12245.4</v>
      </c>
      <c r="G38" s="221">
        <v>18887.88</v>
      </c>
      <c r="H38" s="217">
        <f t="shared" si="1"/>
      </c>
      <c r="I38" s="217">
        <f t="shared" si="3"/>
      </c>
      <c r="J38" s="217">
        <f t="shared" si="2"/>
      </c>
      <c r="K38" s="215">
        <v>4</v>
      </c>
      <c r="L38" s="215">
        <v>2378.4</v>
      </c>
      <c r="M38" s="215" t="s">
        <v>346</v>
      </c>
      <c r="N38" s="235">
        <v>8</v>
      </c>
      <c r="O38" s="222" t="s">
        <v>347</v>
      </c>
      <c r="P38" s="215">
        <v>3</v>
      </c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</row>
    <row r="39">
      <c r="A39" s="213" t="s">
        <v>364</v>
      </c>
      <c r="B39" s="214" t="s">
        <v>358</v>
      </c>
      <c r="C39" s="215" t="s">
        <v>356</v>
      </c>
      <c r="D39" s="215">
        <v>5</v>
      </c>
      <c r="E39" s="215">
        <v>5</v>
      </c>
      <c r="F39" s="216">
        <v>3972.0000000000027</v>
      </c>
      <c r="G39" s="224">
        <v>9038.130000000001</v>
      </c>
      <c r="H39" s="217">
        <f t="shared" si="1"/>
      </c>
      <c r="I39" s="217">
        <f t="shared" si="3"/>
      </c>
      <c r="J39" s="217">
        <f t="shared" si="2"/>
      </c>
      <c r="K39" s="215">
        <v>1</v>
      </c>
      <c r="L39" s="215">
        <v>296.4</v>
      </c>
      <c r="M39" s="215"/>
      <c r="N39" s="222"/>
      <c r="O39" s="223" t="s">
        <v>350</v>
      </c>
      <c r="P39" s="215">
        <v>12</v>
      </c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</row>
    <row r="40">
      <c r="A40" s="213" t="s">
        <v>364</v>
      </c>
      <c r="B40" s="214" t="s">
        <v>341</v>
      </c>
      <c r="C40" s="215" t="s">
        <v>362</v>
      </c>
      <c r="D40" s="215">
        <v>4</v>
      </c>
      <c r="E40" s="215">
        <v>11</v>
      </c>
      <c r="F40" s="216">
        <v>10458</v>
      </c>
      <c r="G40" s="216">
        <v>7144.019999999999</v>
      </c>
      <c r="H40" s="217">
        <f t="shared" si="1"/>
      </c>
      <c r="I40" s="217">
        <f t="shared" si="3"/>
      </c>
      <c r="J40" s="217">
        <f t="shared" si="2"/>
      </c>
      <c r="K40" s="215">
        <v>5</v>
      </c>
      <c r="L40" s="215">
        <v>2480.3999999999996</v>
      </c>
      <c r="M40" s="223"/>
      <c r="N40" s="223"/>
      <c r="O40" s="222" t="s">
        <v>347</v>
      </c>
      <c r="P40" s="215">
        <v>9</v>
      </c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</row>
    <row r="41">
      <c r="A41" s="213" t="s">
        <v>364</v>
      </c>
      <c r="B41" s="214" t="s">
        <v>352</v>
      </c>
      <c r="C41" s="215" t="s">
        <v>353</v>
      </c>
      <c r="D41" s="215">
        <v>3</v>
      </c>
      <c r="E41" s="215">
        <v>20</v>
      </c>
      <c r="F41" s="216">
        <v>31280.5</v>
      </c>
      <c r="G41" s="216">
        <v>14821.449999999999</v>
      </c>
      <c r="H41" s="217">
        <f t="shared" si="1"/>
      </c>
      <c r="I41" s="217">
        <f t="shared" si="3"/>
      </c>
      <c r="J41" s="217">
        <f t="shared" si="2"/>
      </c>
      <c r="K41" s="215">
        <v>2</v>
      </c>
      <c r="L41" s="215">
        <v>1478.3999999999978</v>
      </c>
      <c r="M41" s="223"/>
      <c r="N41" s="226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</row>
    <row r="42">
      <c r="A42" s="227" t="s">
        <v>364</v>
      </c>
      <c r="B42" s="228"/>
      <c r="C42" s="228"/>
      <c r="D42" s="229">
        <f>SUM(D36:D41)</f>
      </c>
      <c r="E42" s="229">
        <f>SUM(E36:E41)</f>
      </c>
      <c r="F42" s="230">
        <f>SUM(F36:F41)</f>
      </c>
      <c r="G42" s="230">
        <f>SUM(G36:G41)</f>
      </c>
      <c r="H42" s="231">
        <f t="shared" si="1"/>
      </c>
      <c r="I42" s="231">
        <f t="shared" si="3"/>
      </c>
      <c r="J42" s="231">
        <f t="shared" si="2"/>
      </c>
      <c r="K42" s="229">
        <f>SUM(K36:K41)</f>
      </c>
      <c r="L42" s="231">
        <f>SUM(L36:L41)</f>
      </c>
      <c r="M42" s="228"/>
      <c r="N42" s="229">
        <f>SUM(N36:N41)</f>
      </c>
      <c r="O42" s="228"/>
      <c r="P42" s="229">
        <f>SUM(P37:P41)</f>
      </c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</row>
    <row r="43">
      <c r="A43" s="213" t="s">
        <v>365</v>
      </c>
      <c r="B43" s="214" t="s">
        <v>352</v>
      </c>
      <c r="C43" s="215" t="s">
        <v>339</v>
      </c>
      <c r="D43" s="215">
        <v>2</v>
      </c>
      <c r="E43" s="215">
        <v>4</v>
      </c>
      <c r="F43" s="215">
        <v>5112</v>
      </c>
      <c r="G43" s="216">
        <v>6435.210000000001</v>
      </c>
      <c r="H43" s="217">
        <f t="shared" si="1"/>
      </c>
      <c r="I43" s="217">
        <f t="shared" si="3"/>
      </c>
      <c r="J43" s="217">
        <f t="shared" si="2"/>
      </c>
      <c r="K43" s="215">
        <v>2</v>
      </c>
      <c r="L43" s="215">
        <v>2383.2</v>
      </c>
      <c r="M43" s="215" t="s">
        <v>366</v>
      </c>
      <c r="N43" s="234">
        <v>2</v>
      </c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</row>
    <row r="44">
      <c r="A44" s="213" t="s">
        <v>365</v>
      </c>
      <c r="B44" s="214" t="s">
        <v>338</v>
      </c>
      <c r="C44" s="215" t="s">
        <v>342</v>
      </c>
      <c r="D44" s="215">
        <v>5</v>
      </c>
      <c r="E44" s="215">
        <v>4</v>
      </c>
      <c r="F44" s="216">
        <v>4610.4</v>
      </c>
      <c r="G44" s="216">
        <v>7721.5599999999995</v>
      </c>
      <c r="H44" s="217">
        <f t="shared" si="1"/>
      </c>
      <c r="I44" s="217">
        <f t="shared" si="3"/>
      </c>
      <c r="J44" s="217">
        <f t="shared" si="2"/>
      </c>
      <c r="K44" s="215">
        <v>1</v>
      </c>
      <c r="L44" s="215">
        <v>2011.2</v>
      </c>
      <c r="M44" s="215" t="s">
        <v>367</v>
      </c>
      <c r="N44" s="234">
        <v>5</v>
      </c>
      <c r="O44" s="219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</row>
    <row r="45">
      <c r="A45" s="213" t="s">
        <v>365</v>
      </c>
      <c r="B45" s="214" t="s">
        <v>344</v>
      </c>
      <c r="C45" s="215" t="s">
        <v>345</v>
      </c>
      <c r="D45" s="215">
        <v>5</v>
      </c>
      <c r="E45" s="215">
        <v>13</v>
      </c>
      <c r="F45" s="216">
        <v>17352.12</v>
      </c>
      <c r="G45" s="221">
        <v>8889.91</v>
      </c>
      <c r="H45" s="217">
        <f t="shared" si="1"/>
      </c>
      <c r="I45" s="217">
        <f t="shared" si="3"/>
      </c>
      <c r="J45" s="217">
        <f t="shared" si="2"/>
      </c>
      <c r="K45" s="215">
        <v>4</v>
      </c>
      <c r="L45" s="215">
        <v>4542</v>
      </c>
      <c r="M45" s="215" t="s">
        <v>343</v>
      </c>
      <c r="N45" s="215">
        <v>9</v>
      </c>
      <c r="O45" s="222" t="s">
        <v>347</v>
      </c>
      <c r="P45" s="215">
        <v>3</v>
      </c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</row>
    <row r="46">
      <c r="A46" s="213" t="s">
        <v>365</v>
      </c>
      <c r="B46" s="214" t="s">
        <v>341</v>
      </c>
      <c r="C46" s="215" t="s">
        <v>356</v>
      </c>
      <c r="D46" s="215">
        <v>5</v>
      </c>
      <c r="E46" s="215">
        <v>19</v>
      </c>
      <c r="F46" s="216">
        <v>21714</v>
      </c>
      <c r="G46" s="224">
        <v>11378.099999999999</v>
      </c>
      <c r="H46" s="217">
        <f t="shared" si="1"/>
      </c>
      <c r="I46" s="217">
        <f t="shared" si="3"/>
      </c>
      <c r="J46" s="217">
        <f t="shared" si="2"/>
      </c>
      <c r="K46" s="215">
        <v>3</v>
      </c>
      <c r="L46" s="215">
        <v>4279.2</v>
      </c>
      <c r="M46" s="215" t="s">
        <v>355</v>
      </c>
      <c r="N46" s="235">
        <v>8</v>
      </c>
      <c r="O46" s="223" t="s">
        <v>350</v>
      </c>
      <c r="P46" s="215">
        <v>12</v>
      </c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</row>
    <row r="47">
      <c r="A47" s="213" t="s">
        <v>365</v>
      </c>
      <c r="B47" s="214" t="s">
        <v>352</v>
      </c>
      <c r="C47" s="215" t="s">
        <v>362</v>
      </c>
      <c r="D47" s="215">
        <v>4</v>
      </c>
      <c r="E47" s="215">
        <v>25</v>
      </c>
      <c r="F47" s="216">
        <v>36688.200000000004</v>
      </c>
      <c r="G47" s="216">
        <v>18303.41</v>
      </c>
      <c r="H47" s="217">
        <f t="shared" si="1"/>
      </c>
      <c r="I47" s="217">
        <f t="shared" si="3"/>
      </c>
      <c r="J47" s="217">
        <f t="shared" si="2"/>
      </c>
      <c r="K47" s="215">
        <v>5</v>
      </c>
      <c r="L47" s="215">
        <v>7084.8</v>
      </c>
      <c r="M47" s="223"/>
      <c r="N47" s="223"/>
      <c r="O47" s="222" t="s">
        <v>347</v>
      </c>
      <c r="P47" s="215">
        <v>9</v>
      </c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</row>
    <row r="48">
      <c r="A48" s="213" t="s">
        <v>365</v>
      </c>
      <c r="B48" s="214" t="s">
        <v>348</v>
      </c>
      <c r="C48" s="215" t="s">
        <v>353</v>
      </c>
      <c r="D48" s="215">
        <v>3</v>
      </c>
      <c r="E48" s="215">
        <v>22</v>
      </c>
      <c r="F48" s="216">
        <v>28968</v>
      </c>
      <c r="G48" s="216">
        <v>20532.48</v>
      </c>
      <c r="H48" s="217">
        <f t="shared" si="1"/>
      </c>
      <c r="I48" s="217">
        <f t="shared" si="3"/>
      </c>
      <c r="J48" s="217">
        <f t="shared" si="2"/>
      </c>
      <c r="K48" s="215">
        <v>5</v>
      </c>
      <c r="L48" s="215">
        <v>4554</v>
      </c>
      <c r="M48" s="223"/>
      <c r="N48" s="226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</row>
    <row r="49">
      <c r="A49" s="227" t="s">
        <v>365</v>
      </c>
      <c r="B49" s="228"/>
      <c r="C49" s="228"/>
      <c r="D49" s="229">
        <f>SUM(D43:D48)</f>
      </c>
      <c r="E49" s="229">
        <f>SUM(E43:E48)</f>
      </c>
      <c r="F49" s="230">
        <f>SUM(F43:F48)</f>
      </c>
      <c r="G49" s="230">
        <f>SUM(G43:G48)</f>
      </c>
      <c r="H49" s="231">
        <f t="shared" si="1"/>
      </c>
      <c r="I49" s="231">
        <f t="shared" si="3"/>
      </c>
      <c r="J49" s="231">
        <f t="shared" si="2"/>
      </c>
      <c r="K49" s="229">
        <f>SUM(K43:K48)</f>
      </c>
      <c r="L49" s="231">
        <f>SUM(L43:L48)</f>
      </c>
      <c r="M49" s="228"/>
      <c r="N49" s="229">
        <f>SUM(N43:N48)</f>
      </c>
      <c r="O49" s="228"/>
      <c r="P49" s="229">
        <f>SUM(P44:P48)</f>
      </c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</row>
    <row r="50">
      <c r="A50" s="213" t="s">
        <v>368</v>
      </c>
      <c r="B50" s="214" t="s">
        <v>348</v>
      </c>
      <c r="C50" s="215" t="s">
        <v>339</v>
      </c>
      <c r="D50" s="215">
        <v>2</v>
      </c>
      <c r="E50" s="215">
        <v>8</v>
      </c>
      <c r="F50" s="215">
        <v>9675.6</v>
      </c>
      <c r="G50" s="216">
        <v>7870.61</v>
      </c>
      <c r="H50" s="217">
        <f t="shared" si="1"/>
      </c>
      <c r="I50" s="217">
        <f t="shared" si="3"/>
      </c>
      <c r="J50" s="217">
        <f t="shared" si="2"/>
      </c>
      <c r="K50" s="215">
        <v>2</v>
      </c>
      <c r="L50" s="215">
        <v>3674.4</v>
      </c>
      <c r="M50" s="215" t="s">
        <v>340</v>
      </c>
      <c r="N50" s="234">
        <v>7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</row>
    <row r="51">
      <c r="A51" s="213" t="s">
        <v>368</v>
      </c>
      <c r="B51" s="214" t="s">
        <v>358</v>
      </c>
      <c r="C51" s="215" t="s">
        <v>342</v>
      </c>
      <c r="D51" s="215">
        <v>5</v>
      </c>
      <c r="E51" s="215">
        <v>8</v>
      </c>
      <c r="F51" s="216">
        <v>6990</v>
      </c>
      <c r="G51" s="216">
        <v>10379.4</v>
      </c>
      <c r="H51" s="217">
        <f t="shared" si="1"/>
      </c>
      <c r="I51" s="217">
        <f t="shared" si="3"/>
      </c>
      <c r="J51" s="217">
        <f t="shared" si="2"/>
      </c>
      <c r="K51" s="215">
        <v>4</v>
      </c>
      <c r="L51" s="215">
        <v>5430</v>
      </c>
      <c r="M51" s="215" t="s">
        <v>343</v>
      </c>
      <c r="N51" s="215">
        <v>9</v>
      </c>
      <c r="O51" s="219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</row>
    <row r="52">
      <c r="A52" s="213" t="s">
        <v>368</v>
      </c>
      <c r="B52" s="214" t="s">
        <v>344</v>
      </c>
      <c r="C52" s="215" t="s">
        <v>345</v>
      </c>
      <c r="D52" s="215">
        <v>5</v>
      </c>
      <c r="E52" s="215">
        <v>10</v>
      </c>
      <c r="F52" s="216">
        <v>11581</v>
      </c>
      <c r="G52" s="221">
        <v>10089.720000000001</v>
      </c>
      <c r="H52" s="217">
        <f t="shared" si="1"/>
      </c>
      <c r="I52" s="217">
        <f t="shared" si="3"/>
      </c>
      <c r="J52" s="217">
        <f t="shared" si="2"/>
      </c>
      <c r="K52" s="215">
        <v>1</v>
      </c>
      <c r="L52" s="215">
        <v>465.6</v>
      </c>
      <c r="M52" s="215"/>
      <c r="N52" s="235"/>
      <c r="O52" s="222" t="s">
        <v>347</v>
      </c>
      <c r="P52" s="215">
        <v>3</v>
      </c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</row>
    <row r="53">
      <c r="A53" s="213" t="s">
        <v>368</v>
      </c>
      <c r="B53" s="214" t="s">
        <v>341</v>
      </c>
      <c r="C53" s="215" t="s">
        <v>349</v>
      </c>
      <c r="D53" s="215">
        <v>4</v>
      </c>
      <c r="E53" s="215">
        <v>28</v>
      </c>
      <c r="F53" s="216">
        <v>39115.20000000001</v>
      </c>
      <c r="G53" s="224">
        <v>20873.3</v>
      </c>
      <c r="H53" s="217">
        <f t="shared" si="1"/>
      </c>
      <c r="I53" s="217">
        <f t="shared" si="3"/>
      </c>
      <c r="J53" s="217">
        <f t="shared" si="2"/>
      </c>
      <c r="K53" s="215">
        <v>6</v>
      </c>
      <c r="L53" s="215">
        <v>9158.4</v>
      </c>
      <c r="M53" s="215" t="s">
        <v>346</v>
      </c>
      <c r="N53" s="235">
        <v>8</v>
      </c>
      <c r="O53" s="223" t="s">
        <v>350</v>
      </c>
      <c r="P53" s="215">
        <v>12</v>
      </c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</row>
    <row r="54">
      <c r="A54" s="213" t="s">
        <v>368</v>
      </c>
      <c r="B54" s="214" t="s">
        <v>352</v>
      </c>
      <c r="C54" s="215" t="s">
        <v>351</v>
      </c>
      <c r="D54" s="215">
        <v>5</v>
      </c>
      <c r="E54" s="215">
        <v>24</v>
      </c>
      <c r="F54" s="216">
        <v>29526</v>
      </c>
      <c r="G54" s="216">
        <v>21827.69</v>
      </c>
      <c r="H54" s="217">
        <f t="shared" si="1"/>
      </c>
      <c r="I54" s="217">
        <f t="shared" si="3"/>
      </c>
      <c r="J54" s="217">
        <f t="shared" si="2"/>
      </c>
      <c r="K54" s="215">
        <v>9</v>
      </c>
      <c r="L54" s="215">
        <v>10868.4</v>
      </c>
      <c r="M54" s="223"/>
      <c r="N54" s="223"/>
      <c r="O54" s="222" t="s">
        <v>347</v>
      </c>
      <c r="P54" s="215">
        <v>9</v>
      </c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</row>
    <row r="55">
      <c r="A55" s="213" t="s">
        <v>368</v>
      </c>
      <c r="B55" s="214" t="s">
        <v>348</v>
      </c>
      <c r="C55" s="215" t="s">
        <v>353</v>
      </c>
      <c r="D55" s="215">
        <v>3</v>
      </c>
      <c r="E55" s="215">
        <v>11</v>
      </c>
      <c r="F55" s="216">
        <v>7858.6</v>
      </c>
      <c r="G55" s="216">
        <v>13656.54</v>
      </c>
      <c r="H55" s="217">
        <f t="shared" si="1"/>
      </c>
      <c r="I55" s="217">
        <f t="shared" si="3"/>
      </c>
      <c r="J55" s="217">
        <f t="shared" si="2"/>
      </c>
      <c r="K55" s="215">
        <v>5</v>
      </c>
      <c r="L55" s="215">
        <v>2910</v>
      </c>
      <c r="M55" s="223"/>
      <c r="N55" s="226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</row>
    <row r="56">
      <c r="A56" s="227" t="s">
        <v>368</v>
      </c>
      <c r="B56" s="228"/>
      <c r="C56" s="228"/>
      <c r="D56" s="229">
        <f>SUM(D50:D55)</f>
      </c>
      <c r="E56" s="229">
        <f>SUM(E50:E55)</f>
      </c>
      <c r="F56" s="230">
        <f>SUM(F50:F55)</f>
      </c>
      <c r="G56" s="230">
        <f>SUM(G50:G55)</f>
      </c>
      <c r="H56" s="231">
        <f t="shared" si="1"/>
      </c>
      <c r="I56" s="231">
        <f t="shared" si="3"/>
      </c>
      <c r="J56" s="231">
        <f t="shared" si="2"/>
      </c>
      <c r="K56" s="229">
        <f>SUM(K50:K55)</f>
      </c>
      <c r="L56" s="231">
        <f>SUM(L50:L55)</f>
      </c>
      <c r="M56" s="228"/>
      <c r="N56" s="229">
        <f>SUM(N50:N55)</f>
      </c>
      <c r="O56" s="228"/>
      <c r="P56" s="229">
        <f>SUM(P51:P55)</f>
      </c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29"/>
      <c r="AE56" s="229"/>
      <c r="AF56" s="229"/>
      <c r="AG56" s="229"/>
      <c r="AH56" s="229"/>
    </row>
    <row r="57">
      <c r="A57" s="213" t="s">
        <v>369</v>
      </c>
      <c r="B57" s="214" t="s">
        <v>348</v>
      </c>
      <c r="C57" s="215" t="s">
        <v>339</v>
      </c>
      <c r="D57" s="215">
        <v>2</v>
      </c>
      <c r="E57" s="215">
        <v>2</v>
      </c>
      <c r="F57" s="215">
        <v>3103.2</v>
      </c>
      <c r="G57" s="216">
        <v>4328.13</v>
      </c>
      <c r="H57" s="217">
        <f t="shared" si="1"/>
      </c>
      <c r="I57" s="217">
        <f t="shared" si="3"/>
      </c>
      <c r="J57" s="217">
        <f t="shared" si="2"/>
      </c>
      <c r="K57" s="215">
        <v>1</v>
      </c>
      <c r="L57" s="215">
        <v>1092</v>
      </c>
      <c r="M57" s="215" t="s">
        <v>340</v>
      </c>
      <c r="N57" s="234">
        <v>7</v>
      </c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</row>
    <row r="58">
      <c r="A58" s="213" t="s">
        <v>369</v>
      </c>
      <c r="B58" s="214" t="s">
        <v>358</v>
      </c>
      <c r="C58" s="215" t="s">
        <v>342</v>
      </c>
      <c r="D58" s="215">
        <v>5</v>
      </c>
      <c r="E58" s="215">
        <v>35</v>
      </c>
      <c r="F58" s="216">
        <v>31397</v>
      </c>
      <c r="G58" s="216">
        <v>20869.110000000004</v>
      </c>
      <c r="H58" s="217">
        <f t="shared" si="1"/>
      </c>
      <c r="I58" s="217">
        <f t="shared" si="3"/>
      </c>
      <c r="J58" s="217">
        <f t="shared" si="2"/>
      </c>
      <c r="K58" s="215">
        <v>18</v>
      </c>
      <c r="L58" s="215">
        <v>17935.2</v>
      </c>
      <c r="M58" s="215" t="s">
        <v>370</v>
      </c>
      <c r="N58" s="215">
        <v>9</v>
      </c>
      <c r="O58" s="219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</row>
    <row r="59">
      <c r="A59" s="213" t="s">
        <v>369</v>
      </c>
      <c r="B59" s="214" t="s">
        <v>344</v>
      </c>
      <c r="C59" s="215" t="s">
        <v>345</v>
      </c>
      <c r="D59" s="215">
        <v>5</v>
      </c>
      <c r="E59" s="215">
        <v>7</v>
      </c>
      <c r="F59" s="216">
        <v>11295.6</v>
      </c>
      <c r="G59" s="221">
        <v>13908.269999999999</v>
      </c>
      <c r="H59" s="217">
        <f t="shared" si="1"/>
      </c>
      <c r="I59" s="217">
        <f t="shared" si="3"/>
      </c>
      <c r="J59" s="217">
        <f t="shared" si="2"/>
      </c>
      <c r="K59" s="215">
        <v>4</v>
      </c>
      <c r="L59" s="215">
        <v>5562</v>
      </c>
      <c r="M59" s="215"/>
      <c r="N59" s="235"/>
      <c r="O59" s="222" t="s">
        <v>347</v>
      </c>
      <c r="P59" s="215">
        <v>3</v>
      </c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</row>
    <row r="60">
      <c r="A60" s="213" t="s">
        <v>369</v>
      </c>
      <c r="B60" s="214" t="s">
        <v>352</v>
      </c>
      <c r="C60" s="215" t="s">
        <v>356</v>
      </c>
      <c r="D60" s="215">
        <v>5</v>
      </c>
      <c r="E60" s="215">
        <v>12</v>
      </c>
      <c r="F60" s="216">
        <v>17743.200000000004</v>
      </c>
      <c r="G60" s="224">
        <v>13970.560000000001</v>
      </c>
      <c r="H60" s="217">
        <f t="shared" si="1"/>
      </c>
      <c r="I60" s="217">
        <f t="shared" si="3"/>
      </c>
      <c r="J60" s="217">
        <f t="shared" si="2"/>
      </c>
      <c r="K60" s="215">
        <v>1</v>
      </c>
      <c r="L60" s="215">
        <v>1663.2</v>
      </c>
      <c r="M60" s="215" t="s">
        <v>346</v>
      </c>
      <c r="N60" s="235">
        <v>6</v>
      </c>
      <c r="O60" s="223" t="s">
        <v>350</v>
      </c>
      <c r="P60" s="215">
        <v>12</v>
      </c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</row>
    <row r="61">
      <c r="A61" s="213" t="s">
        <v>369</v>
      </c>
      <c r="B61" s="214" t="s">
        <v>348</v>
      </c>
      <c r="C61" s="215" t="s">
        <v>371</v>
      </c>
      <c r="D61" s="215">
        <v>3</v>
      </c>
      <c r="E61" s="215">
        <v>0</v>
      </c>
      <c r="F61" s="216">
        <v>0</v>
      </c>
      <c r="G61" s="224">
        <v>4246.08</v>
      </c>
      <c r="H61" s="217">
        <f t="shared" si="1"/>
      </c>
      <c r="I61" s="217">
        <f t="shared" si="3"/>
      </c>
      <c r="J61" s="217">
        <f t="shared" si="2"/>
      </c>
      <c r="K61" s="215">
        <v>0</v>
      </c>
      <c r="L61" s="215">
        <v>0</v>
      </c>
      <c r="M61" s="223"/>
      <c r="N61" s="223"/>
      <c r="O61" s="222" t="s">
        <v>347</v>
      </c>
      <c r="P61" s="215">
        <v>9</v>
      </c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</row>
    <row r="62">
      <c r="A62" s="213" t="s">
        <v>369</v>
      </c>
      <c r="B62" s="214" t="s">
        <v>338</v>
      </c>
      <c r="C62" s="215" t="s">
        <v>359</v>
      </c>
      <c r="D62" s="215">
        <v>2</v>
      </c>
      <c r="E62" s="215">
        <v>8</v>
      </c>
      <c r="F62" s="216">
        <v>13411.199999999997</v>
      </c>
      <c r="G62" s="216">
        <v>6067.17</v>
      </c>
      <c r="H62" s="217">
        <f t="shared" si="1"/>
      </c>
      <c r="I62" s="217">
        <f t="shared" si="3"/>
      </c>
      <c r="J62" s="217">
        <f t="shared" si="2"/>
      </c>
      <c r="K62" s="215">
        <v>0</v>
      </c>
      <c r="L62" s="215">
        <v>0</v>
      </c>
      <c r="M62" s="223"/>
      <c r="N62" s="226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</row>
    <row r="63">
      <c r="A63" s="227" t="s">
        <v>369</v>
      </c>
      <c r="B63" s="228"/>
      <c r="C63" s="228"/>
      <c r="D63" s="229">
        <f>SUM(D57:D62)</f>
      </c>
      <c r="E63" s="229">
        <f>SUM(E57:E62)</f>
      </c>
      <c r="F63" s="230">
        <f>SUM(F57:F62)</f>
      </c>
      <c r="G63" s="230">
        <f>SUM(G57:G62)</f>
      </c>
      <c r="H63" s="231">
        <f t="shared" si="1"/>
      </c>
      <c r="I63" s="231">
        <f t="shared" si="3"/>
      </c>
      <c r="J63" s="231">
        <f t="shared" si="2"/>
      </c>
      <c r="K63" s="229">
        <f>SUM(K57:K62)</f>
      </c>
      <c r="L63" s="231">
        <f>SUM(L57:L62)</f>
      </c>
      <c r="M63" s="228"/>
      <c r="N63" s="229">
        <f>SUM(N57:N62)</f>
      </c>
      <c r="O63" s="228"/>
      <c r="P63" s="229">
        <f>SUM(P58:P62)</f>
      </c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229"/>
    </row>
    <row r="64">
      <c r="A64" s="213" t="s">
        <v>372</v>
      </c>
      <c r="B64" s="214" t="s">
        <v>338</v>
      </c>
      <c r="C64" s="215" t="s">
        <v>339</v>
      </c>
      <c r="D64" s="215">
        <v>2</v>
      </c>
      <c r="E64" s="215">
        <v>8</v>
      </c>
      <c r="F64" s="215">
        <v>10015.2</v>
      </c>
      <c r="G64" s="216">
        <v>8106.9</v>
      </c>
      <c r="H64" s="217">
        <f t="shared" si="1"/>
      </c>
      <c r="I64" s="217">
        <f t="shared" si="3"/>
      </c>
      <c r="J64" s="217">
        <f t="shared" si="2"/>
      </c>
      <c r="K64" s="215">
        <v>5</v>
      </c>
      <c r="L64" s="215">
        <v>5181.6</v>
      </c>
      <c r="M64" s="215" t="s">
        <v>340</v>
      </c>
      <c r="N64" s="234">
        <v>7</v>
      </c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</row>
    <row r="65">
      <c r="A65" s="213" t="s">
        <v>372</v>
      </c>
      <c r="B65" s="214" t="s">
        <v>341</v>
      </c>
      <c r="C65" s="215" t="s">
        <v>342</v>
      </c>
      <c r="D65" s="215">
        <v>5</v>
      </c>
      <c r="E65" s="215">
        <v>13</v>
      </c>
      <c r="F65" s="216">
        <v>12259</v>
      </c>
      <c r="G65" s="216">
        <v>13395.11</v>
      </c>
      <c r="H65" s="217">
        <f t="shared" si="1"/>
      </c>
      <c r="I65" s="217">
        <f t="shared" si="3"/>
      </c>
      <c r="J65" s="217">
        <f t="shared" si="2"/>
      </c>
      <c r="K65" s="215">
        <v>6</v>
      </c>
      <c r="L65" s="215">
        <v>4821.400000000001</v>
      </c>
      <c r="M65" s="215" t="s">
        <v>370</v>
      </c>
      <c r="N65" s="215">
        <v>9</v>
      </c>
      <c r="O65" s="219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</row>
    <row r="66">
      <c r="A66" s="213" t="s">
        <v>372</v>
      </c>
      <c r="B66" s="214" t="s">
        <v>344</v>
      </c>
      <c r="C66" s="215" t="s">
        <v>345</v>
      </c>
      <c r="D66" s="215">
        <v>5</v>
      </c>
      <c r="E66" s="215">
        <v>47</v>
      </c>
      <c r="F66" s="216">
        <v>57920.200000000004</v>
      </c>
      <c r="G66" s="221">
        <v>32638.7</v>
      </c>
      <c r="H66" s="217">
        <f t="shared" si="1"/>
      </c>
      <c r="I66" s="217">
        <f t="shared" si="3"/>
      </c>
      <c r="J66" s="217">
        <f t="shared" si="2"/>
      </c>
      <c r="K66" s="215">
        <v>20</v>
      </c>
      <c r="L66" s="215">
        <v>26894.2</v>
      </c>
      <c r="M66" s="215"/>
      <c r="N66" s="235"/>
      <c r="O66" s="222" t="s">
        <v>347</v>
      </c>
      <c r="P66" s="215">
        <v>3</v>
      </c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</row>
    <row r="67">
      <c r="A67" s="213" t="s">
        <v>372</v>
      </c>
      <c r="B67" s="214" t="s">
        <v>352</v>
      </c>
      <c r="C67" s="215" t="s">
        <v>349</v>
      </c>
      <c r="D67" s="215">
        <v>4</v>
      </c>
      <c r="E67" s="215">
        <v>12</v>
      </c>
      <c r="F67" s="216">
        <v>17974.4</v>
      </c>
      <c r="G67" s="216">
        <v>16017.470000000001</v>
      </c>
      <c r="H67" s="217">
        <f t="shared" si="1"/>
      </c>
      <c r="I67" s="217">
        <f t="shared" si="3"/>
      </c>
      <c r="J67" s="217">
        <f t="shared" si="2"/>
      </c>
      <c r="K67" s="215">
        <v>3</v>
      </c>
      <c r="L67" s="215">
        <v>4845.599999999999</v>
      </c>
      <c r="M67" s="215" t="s">
        <v>346</v>
      </c>
      <c r="N67" s="235">
        <v>7</v>
      </c>
      <c r="O67" s="223" t="s">
        <v>350</v>
      </c>
      <c r="P67" s="215">
        <v>12</v>
      </c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</row>
    <row r="68">
      <c r="A68" s="213" t="s">
        <v>372</v>
      </c>
      <c r="B68" s="214" t="s">
        <v>348</v>
      </c>
      <c r="C68" s="215" t="s">
        <v>362</v>
      </c>
      <c r="D68" s="215">
        <v>4</v>
      </c>
      <c r="E68" s="215">
        <v>9</v>
      </c>
      <c r="F68" s="216">
        <v>12535.2</v>
      </c>
      <c r="G68" s="224">
        <v>10173.029999999999</v>
      </c>
      <c r="H68" s="217">
        <f t="shared" si="1"/>
      </c>
      <c r="I68" s="217">
        <f t="shared" si="3"/>
      </c>
      <c r="J68" s="217">
        <f t="shared" si="2"/>
      </c>
      <c r="K68" s="215">
        <v>2</v>
      </c>
      <c r="L68" s="215">
        <v>2354.4</v>
      </c>
      <c r="M68" s="223"/>
      <c r="N68" s="223"/>
      <c r="O68" s="222" t="s">
        <v>347</v>
      </c>
      <c r="P68" s="215">
        <v>9</v>
      </c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</row>
    <row r="69">
      <c r="A69" s="213" t="s">
        <v>372</v>
      </c>
      <c r="B69" s="214" t="s">
        <v>338</v>
      </c>
      <c r="C69" s="215" t="s">
        <v>353</v>
      </c>
      <c r="D69" s="215">
        <v>3</v>
      </c>
      <c r="E69" s="215">
        <v>11</v>
      </c>
      <c r="F69" s="216">
        <v>10504.8</v>
      </c>
      <c r="G69" s="216">
        <v>15304.4</v>
      </c>
      <c r="H69" s="217">
        <f t="shared" si="1"/>
      </c>
      <c r="I69" s="217">
        <f t="shared" si="3"/>
      </c>
      <c r="J69" s="217">
        <f t="shared" si="2"/>
      </c>
      <c r="K69" s="215">
        <v>3</v>
      </c>
      <c r="L69" s="215">
        <v>2507.9999999999995</v>
      </c>
      <c r="M69" s="223"/>
      <c r="N69" s="226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</row>
    <row r="70">
      <c r="A70" s="227" t="s">
        <v>372</v>
      </c>
      <c r="B70" s="228"/>
      <c r="C70" s="228"/>
      <c r="D70" s="229">
        <f>SUM(D64:D69)</f>
      </c>
      <c r="E70" s="229">
        <f>SUM(E64:E69)</f>
      </c>
      <c r="F70" s="230">
        <f>SUM(F64:F69)</f>
      </c>
      <c r="G70" s="230">
        <f>SUM(G64:G69)</f>
      </c>
      <c r="H70" s="231">
        <f t="shared" si="1"/>
      </c>
      <c r="I70" s="231">
        <f t="shared" si="3"/>
      </c>
      <c r="J70" s="231">
        <f t="shared" si="2"/>
      </c>
      <c r="K70" s="229">
        <f>SUM(K64:K69)</f>
      </c>
      <c r="L70" s="231">
        <f>SUM(L64:L69)</f>
      </c>
      <c r="M70" s="228"/>
      <c r="N70" s="229">
        <f>SUM(N64:N69)</f>
      </c>
      <c r="O70" s="228"/>
      <c r="P70" s="229">
        <f>SUM(P65:P69)</f>
      </c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29"/>
      <c r="AG70" s="229"/>
      <c r="AH70" s="229"/>
    </row>
    <row r="71">
      <c r="A71" s="213" t="s">
        <v>373</v>
      </c>
      <c r="B71" s="214" t="s">
        <v>338</v>
      </c>
      <c r="C71" s="215" t="s">
        <v>339</v>
      </c>
      <c r="D71" s="215">
        <v>2</v>
      </c>
      <c r="E71" s="215">
        <v>14</v>
      </c>
      <c r="F71" s="215">
        <v>11528.399999999998</v>
      </c>
      <c r="G71" s="216">
        <v>8012.9</v>
      </c>
      <c r="H71" s="217">
        <f t="shared" si="1"/>
      </c>
      <c r="I71" s="217">
        <f t="shared" si="3"/>
      </c>
      <c r="J71" s="217">
        <f t="shared" si="2"/>
      </c>
      <c r="K71" s="215">
        <v>1</v>
      </c>
      <c r="L71" s="215">
        <v>679.2</v>
      </c>
      <c r="M71" s="215" t="s">
        <v>374</v>
      </c>
      <c r="N71" s="234">
        <v>7</v>
      </c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</row>
    <row r="72">
      <c r="A72" s="213" t="s">
        <v>373</v>
      </c>
      <c r="B72" s="214" t="s">
        <v>341</v>
      </c>
      <c r="C72" s="215" t="s">
        <v>342</v>
      </c>
      <c r="D72" s="215">
        <v>5</v>
      </c>
      <c r="E72" s="215">
        <v>22</v>
      </c>
      <c r="F72" s="216">
        <v>30379.2</v>
      </c>
      <c r="G72" s="216">
        <v>18561.76</v>
      </c>
      <c r="H72" s="217">
        <f t="shared" si="1"/>
      </c>
      <c r="I72" s="217">
        <f t="shared" si="3"/>
      </c>
      <c r="J72" s="217">
        <f t="shared" si="2"/>
      </c>
      <c r="K72" s="215">
        <v>2</v>
      </c>
      <c r="L72" s="215">
        <v>3283.2</v>
      </c>
      <c r="M72" s="215" t="s">
        <v>370</v>
      </c>
      <c r="N72" s="215">
        <v>9</v>
      </c>
      <c r="O72" s="219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</row>
    <row r="73">
      <c r="A73" s="213" t="s">
        <v>373</v>
      </c>
      <c r="B73" s="214" t="s">
        <v>358</v>
      </c>
      <c r="C73" s="215" t="s">
        <v>345</v>
      </c>
      <c r="D73" s="215">
        <v>5</v>
      </c>
      <c r="E73" s="215">
        <v>7</v>
      </c>
      <c r="F73" s="216">
        <v>9637.2</v>
      </c>
      <c r="G73" s="221">
        <v>10905.890000000001</v>
      </c>
      <c r="H73" s="217">
        <f t="shared" si="1"/>
      </c>
      <c r="I73" s="217">
        <f t="shared" si="3"/>
      </c>
      <c r="J73" s="217">
        <f t="shared" si="2"/>
      </c>
      <c r="K73" s="215">
        <v>0</v>
      </c>
      <c r="L73" s="215">
        <v>0</v>
      </c>
      <c r="M73" s="215"/>
      <c r="N73" s="235"/>
      <c r="O73" s="222" t="s">
        <v>347</v>
      </c>
      <c r="P73" s="215">
        <v>3</v>
      </c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</row>
    <row r="74">
      <c r="A74" s="213" t="s">
        <v>373</v>
      </c>
      <c r="B74" s="214" t="s">
        <v>348</v>
      </c>
      <c r="C74" s="215" t="s">
        <v>356</v>
      </c>
      <c r="D74" s="215">
        <v>5</v>
      </c>
      <c r="E74" s="215">
        <v>24</v>
      </c>
      <c r="F74" s="216">
        <v>25644.800000000017</v>
      </c>
      <c r="G74" s="216">
        <v>18637.93</v>
      </c>
      <c r="H74" s="217">
        <f t="shared" si="1"/>
      </c>
      <c r="I74" s="217">
        <f t="shared" si="3"/>
      </c>
      <c r="J74" s="217">
        <f t="shared" si="2"/>
      </c>
      <c r="K74" s="215">
        <v>8</v>
      </c>
      <c r="L74" s="215">
        <v>8644.8</v>
      </c>
      <c r="M74" s="215" t="s">
        <v>346</v>
      </c>
      <c r="N74" s="235">
        <v>8</v>
      </c>
      <c r="O74" s="223" t="s">
        <v>350</v>
      </c>
      <c r="P74" s="215">
        <v>12</v>
      </c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</row>
    <row r="75">
      <c r="A75" s="213" t="s">
        <v>373</v>
      </c>
      <c r="B75" s="214" t="s">
        <v>338</v>
      </c>
      <c r="C75" s="215" t="s">
        <v>362</v>
      </c>
      <c r="D75" s="215">
        <v>4</v>
      </c>
      <c r="E75" s="215">
        <v>22</v>
      </c>
      <c r="F75" s="216">
        <v>29188.199999999997</v>
      </c>
      <c r="G75" s="224">
        <v>20470.4</v>
      </c>
      <c r="H75" s="217">
        <f t="shared" si="1"/>
      </c>
      <c r="I75" s="217">
        <f t="shared" si="3"/>
      </c>
      <c r="J75" s="217">
        <f t="shared" si="2"/>
      </c>
      <c r="K75" s="215">
        <v>7</v>
      </c>
      <c r="L75" s="215">
        <v>9747.599999999999</v>
      </c>
      <c r="M75" s="223"/>
      <c r="N75" s="223"/>
      <c r="O75" s="222" t="s">
        <v>347</v>
      </c>
      <c r="P75" s="215">
        <v>9</v>
      </c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</row>
    <row r="76">
      <c r="A76" s="213" t="s">
        <v>373</v>
      </c>
      <c r="B76" s="214" t="s">
        <v>341</v>
      </c>
      <c r="C76" s="215" t="s">
        <v>353</v>
      </c>
      <c r="D76" s="215">
        <v>3</v>
      </c>
      <c r="E76" s="215">
        <v>27</v>
      </c>
      <c r="F76" s="216">
        <v>38057.999999999985</v>
      </c>
      <c r="G76" s="216">
        <v>24727.809999999998</v>
      </c>
      <c r="H76" s="217">
        <f t="shared" si="1"/>
      </c>
      <c r="I76" s="217">
        <f t="shared" si="3"/>
      </c>
      <c r="J76" s="217">
        <f t="shared" si="2"/>
      </c>
      <c r="K76" s="215">
        <v>4</v>
      </c>
      <c r="L76" s="215">
        <v>4179.600000000002</v>
      </c>
      <c r="M76" s="223"/>
      <c r="N76" s="226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</row>
    <row r="77">
      <c r="A77" s="227" t="s">
        <v>373</v>
      </c>
      <c r="B77" s="228"/>
      <c r="C77" s="228"/>
      <c r="D77" s="229">
        <f>SUM(D71:D76)</f>
      </c>
      <c r="E77" s="229">
        <f>SUM(E71:E76)</f>
      </c>
      <c r="F77" s="230">
        <f>SUM(F71:F76)</f>
      </c>
      <c r="G77" s="230">
        <f>SUM(G71:G76)</f>
      </c>
      <c r="H77" s="231">
        <f t="shared" si="1"/>
      </c>
      <c r="I77" s="231">
        <f t="shared" si="3"/>
      </c>
      <c r="J77" s="231">
        <f t="shared" si="2"/>
      </c>
      <c r="K77" s="229">
        <f>SUM(K71:K76)</f>
      </c>
      <c r="L77" s="231">
        <f>SUM(L71:L76)</f>
      </c>
      <c r="M77" s="228"/>
      <c r="N77" s="229">
        <f>SUM(N71:N76)</f>
      </c>
      <c r="O77" s="228"/>
      <c r="P77" s="229">
        <f>SUM(P72:P76)</f>
      </c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  <c r="AH77" s="229"/>
    </row>
    <row r="78">
      <c r="A78" s="213" t="s">
        <v>375</v>
      </c>
      <c r="B78" s="214" t="s">
        <v>341</v>
      </c>
      <c r="C78" s="215" t="s">
        <v>339</v>
      </c>
      <c r="D78" s="215">
        <v>2</v>
      </c>
      <c r="E78" s="215">
        <v>19</v>
      </c>
      <c r="F78" s="215">
        <v>24955.2</v>
      </c>
      <c r="G78" s="216">
        <v>15585.99</v>
      </c>
      <c r="H78" s="217">
        <f t="shared" si="1"/>
      </c>
      <c r="I78" s="217">
        <f t="shared" si="3"/>
      </c>
      <c r="J78" s="217">
        <f t="shared" si="2"/>
      </c>
      <c r="K78" s="215">
        <v>6</v>
      </c>
      <c r="L78" s="215">
        <v>8839.2</v>
      </c>
      <c r="M78" s="215" t="s">
        <v>374</v>
      </c>
      <c r="N78" s="234">
        <v>7</v>
      </c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</row>
    <row r="79">
      <c r="A79" s="213" t="s">
        <v>375</v>
      </c>
      <c r="B79" s="214" t="s">
        <v>352</v>
      </c>
      <c r="C79" s="215" t="s">
        <v>342</v>
      </c>
      <c r="D79" s="215">
        <v>5</v>
      </c>
      <c r="E79" s="215">
        <v>17</v>
      </c>
      <c r="F79" s="216">
        <v>27383.999999999996</v>
      </c>
      <c r="G79" s="216">
        <v>20162.73</v>
      </c>
      <c r="H79" s="217">
        <f t="shared" si="1"/>
      </c>
      <c r="I79" s="217">
        <f t="shared" si="3"/>
      </c>
      <c r="J79" s="217">
        <f t="shared" si="2"/>
      </c>
      <c r="K79" s="215">
        <v>1</v>
      </c>
      <c r="L79" s="215">
        <v>2407.2</v>
      </c>
      <c r="M79" s="215" t="s">
        <v>370</v>
      </c>
      <c r="N79" s="215">
        <v>9</v>
      </c>
      <c r="O79" s="219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</row>
    <row r="80">
      <c r="A80" s="213" t="s">
        <v>375</v>
      </c>
      <c r="B80" s="214" t="s">
        <v>348</v>
      </c>
      <c r="C80" s="215" t="s">
        <v>345</v>
      </c>
      <c r="D80" s="215">
        <v>5</v>
      </c>
      <c r="E80" s="215">
        <v>35</v>
      </c>
      <c r="F80" s="216">
        <v>51927.4</v>
      </c>
      <c r="G80" s="221">
        <v>31553.039999999997</v>
      </c>
      <c r="H80" s="217">
        <f t="shared" si="1"/>
      </c>
      <c r="I80" s="217">
        <f t="shared" si="3"/>
      </c>
      <c r="J80" s="217">
        <f t="shared" si="2"/>
      </c>
      <c r="K80" s="215">
        <v>10</v>
      </c>
      <c r="L80" s="215">
        <v>15412.800000000001</v>
      </c>
      <c r="M80" s="215"/>
      <c r="N80" s="235"/>
      <c r="O80" s="222" t="s">
        <v>347</v>
      </c>
      <c r="P80" s="215">
        <v>3</v>
      </c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</row>
    <row r="81">
      <c r="A81" s="213" t="s">
        <v>375</v>
      </c>
      <c r="B81" s="214" t="s">
        <v>338</v>
      </c>
      <c r="C81" s="215" t="s">
        <v>356</v>
      </c>
      <c r="D81" s="215">
        <v>5</v>
      </c>
      <c r="E81" s="215">
        <v>27</v>
      </c>
      <c r="F81" s="216">
        <v>32120</v>
      </c>
      <c r="G81" s="216">
        <v>25503.53</v>
      </c>
      <c r="H81" s="217">
        <f t="shared" si="1"/>
      </c>
      <c r="I81" s="217">
        <f t="shared" si="3"/>
      </c>
      <c r="J81" s="217">
        <f t="shared" si="2"/>
      </c>
      <c r="K81" s="215">
        <v>5</v>
      </c>
      <c r="L81" s="215">
        <v>5541.6</v>
      </c>
      <c r="M81" s="215" t="s">
        <v>346</v>
      </c>
      <c r="N81" s="235">
        <v>8</v>
      </c>
      <c r="O81" s="223" t="s">
        <v>350</v>
      </c>
      <c r="P81" s="215">
        <v>12</v>
      </c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</row>
    <row r="82">
      <c r="A82" s="213" t="s">
        <v>375</v>
      </c>
      <c r="B82" s="214" t="s">
        <v>341</v>
      </c>
      <c r="C82" s="215" t="s">
        <v>357</v>
      </c>
      <c r="D82" s="215">
        <v>5</v>
      </c>
      <c r="E82" s="215">
        <v>39</v>
      </c>
      <c r="F82" s="216">
        <v>52911.600000000006</v>
      </c>
      <c r="G82" s="224">
        <v>32807.61</v>
      </c>
      <c r="H82" s="217">
        <f t="shared" si="1"/>
      </c>
      <c r="I82" s="217">
        <f t="shared" si="3"/>
      </c>
      <c r="J82" s="217">
        <f t="shared" si="2"/>
      </c>
      <c r="K82" s="215">
        <v>6</v>
      </c>
      <c r="L82" s="215">
        <v>5006.399999999994</v>
      </c>
      <c r="M82" s="223"/>
      <c r="N82" s="223"/>
      <c r="O82" s="222" t="s">
        <v>347</v>
      </c>
      <c r="P82" s="215">
        <v>9</v>
      </c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</row>
    <row r="83">
      <c r="A83" s="213" t="s">
        <v>375</v>
      </c>
      <c r="B83" s="214" t="s">
        <v>352</v>
      </c>
      <c r="C83" s="215" t="s">
        <v>359</v>
      </c>
      <c r="D83" s="215">
        <v>2</v>
      </c>
      <c r="E83" s="215">
        <v>7</v>
      </c>
      <c r="F83" s="216">
        <v>11731.199999999983</v>
      </c>
      <c r="G83" s="216">
        <v>12471.14</v>
      </c>
      <c r="H83" s="217">
        <f t="shared" si="1"/>
      </c>
      <c r="I83" s="217">
        <f t="shared" si="3"/>
      </c>
      <c r="J83" s="217">
        <f t="shared" si="2"/>
      </c>
      <c r="K83" s="215">
        <v>0</v>
      </c>
      <c r="L83" s="215">
        <v>0</v>
      </c>
      <c r="M83" s="223"/>
      <c r="N83" s="226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</row>
    <row r="84">
      <c r="A84" s="227" t="s">
        <v>375</v>
      </c>
      <c r="B84" s="228"/>
      <c r="C84" s="228"/>
      <c r="D84" s="229">
        <f>SUM(D78:D83)</f>
      </c>
      <c r="E84" s="229">
        <f>SUM(E78:E83)</f>
      </c>
      <c r="F84" s="230">
        <f>SUM(F78:F83)</f>
      </c>
      <c r="G84" s="230">
        <f>SUM(G78:G83)</f>
      </c>
      <c r="H84" s="231">
        <f t="shared" si="1"/>
      </c>
      <c r="I84" s="231">
        <f t="shared" si="3"/>
      </c>
      <c r="J84" s="231">
        <f t="shared" si="2"/>
      </c>
      <c r="K84" s="229">
        <f>SUM(K78:K83)</f>
      </c>
      <c r="L84" s="231">
        <f>SUM(L78:L83)</f>
      </c>
      <c r="M84" s="228"/>
      <c r="N84" s="229">
        <f>SUM(N78:N83)</f>
      </c>
      <c r="O84" s="228"/>
      <c r="P84" s="229">
        <f>SUM(P79:P83)</f>
      </c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</row>
    <row r="85">
      <c r="A85" s="213" t="s">
        <v>376</v>
      </c>
      <c r="B85" s="214" t="s">
        <v>352</v>
      </c>
      <c r="C85" s="215" t="s">
        <v>339</v>
      </c>
      <c r="D85" s="215">
        <v>2</v>
      </c>
      <c r="E85" s="215">
        <v>11</v>
      </c>
      <c r="F85" s="215">
        <v>15117.6</v>
      </c>
      <c r="G85" s="216">
        <v>9510.779999999999</v>
      </c>
      <c r="H85" s="217">
        <f t="shared" si="1"/>
      </c>
      <c r="I85" s="217">
        <f t="shared" si="3"/>
      </c>
      <c r="J85" s="217">
        <f t="shared" si="2"/>
      </c>
      <c r="K85" s="215">
        <v>5</v>
      </c>
      <c r="L85" s="215">
        <v>5913.6</v>
      </c>
      <c r="M85" s="215" t="s">
        <v>374</v>
      </c>
      <c r="N85" s="234">
        <v>7</v>
      </c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</row>
    <row r="86">
      <c r="A86" s="213" t="s">
        <v>376</v>
      </c>
      <c r="B86" s="214" t="s">
        <v>358</v>
      </c>
      <c r="C86" s="215" t="s">
        <v>342</v>
      </c>
      <c r="D86" s="215">
        <v>5</v>
      </c>
      <c r="E86" s="215">
        <v>18</v>
      </c>
      <c r="F86" s="216">
        <v>18046</v>
      </c>
      <c r="G86" s="216">
        <v>14518.980000000001</v>
      </c>
      <c r="H86" s="217">
        <f t="shared" si="1"/>
      </c>
      <c r="I86" s="217">
        <f t="shared" si="3"/>
      </c>
      <c r="J86" s="217">
        <f t="shared" si="2"/>
      </c>
      <c r="K86" s="215">
        <v>7</v>
      </c>
      <c r="L86" s="215">
        <v>7277.999999999998</v>
      </c>
      <c r="M86" s="215" t="s">
        <v>370</v>
      </c>
      <c r="N86" s="215">
        <v>10</v>
      </c>
      <c r="O86" s="219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</row>
    <row r="87">
      <c r="A87" s="213" t="s">
        <v>376</v>
      </c>
      <c r="B87" s="214" t="s">
        <v>348</v>
      </c>
      <c r="C87" s="215" t="s">
        <v>345</v>
      </c>
      <c r="D87" s="215">
        <v>5</v>
      </c>
      <c r="E87" s="215">
        <v>21</v>
      </c>
      <c r="F87" s="216">
        <v>23390.4</v>
      </c>
      <c r="G87" s="221">
        <v>19418.33</v>
      </c>
      <c r="H87" s="217">
        <f t="shared" si="1"/>
      </c>
      <c r="I87" s="217">
        <f t="shared" si="3"/>
      </c>
      <c r="J87" s="217">
        <f t="shared" si="2"/>
      </c>
      <c r="K87" s="215">
        <v>5</v>
      </c>
      <c r="L87" s="215">
        <v>6883.2000000000035</v>
      </c>
      <c r="M87" s="215"/>
      <c r="N87" s="235"/>
      <c r="O87" s="222" t="s">
        <v>347</v>
      </c>
      <c r="P87" s="215">
        <v>3</v>
      </c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</row>
    <row r="88">
      <c r="A88" s="213" t="s">
        <v>376</v>
      </c>
      <c r="B88" s="214" t="s">
        <v>338</v>
      </c>
      <c r="C88" s="215" t="s">
        <v>356</v>
      </c>
      <c r="D88" s="215">
        <v>5</v>
      </c>
      <c r="E88" s="215">
        <v>18</v>
      </c>
      <c r="F88" s="216">
        <v>20990.399999999994</v>
      </c>
      <c r="G88" s="216">
        <v>17481.59</v>
      </c>
      <c r="H88" s="217">
        <f t="shared" si="1"/>
      </c>
      <c r="I88" s="217">
        <f t="shared" si="3"/>
      </c>
      <c r="J88" s="217">
        <f t="shared" si="2"/>
      </c>
      <c r="K88" s="215">
        <v>4</v>
      </c>
      <c r="L88" s="215">
        <v>3779.9999999999964</v>
      </c>
      <c r="M88" s="215" t="s">
        <v>346</v>
      </c>
      <c r="N88" s="235">
        <v>7</v>
      </c>
      <c r="O88" s="223" t="s">
        <v>350</v>
      </c>
      <c r="P88" s="215">
        <v>12</v>
      </c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</row>
    <row r="89">
      <c r="A89" s="213" t="s">
        <v>376</v>
      </c>
      <c r="B89" s="214" t="s">
        <v>341</v>
      </c>
      <c r="C89" s="215" t="s">
        <v>362</v>
      </c>
      <c r="D89" s="215">
        <v>4</v>
      </c>
      <c r="E89" s="215">
        <v>8</v>
      </c>
      <c r="F89" s="216">
        <v>15196.800000000003</v>
      </c>
      <c r="G89" s="224">
        <v>9591.080000000002</v>
      </c>
      <c r="H89" s="217">
        <f t="shared" si="1"/>
      </c>
      <c r="I89" s="217">
        <f t="shared" si="3"/>
      </c>
      <c r="J89" s="217">
        <f t="shared" si="2"/>
      </c>
      <c r="K89" s="215">
        <v>1</v>
      </c>
      <c r="L89" s="215">
        <v>1692</v>
      </c>
      <c r="M89" s="223"/>
      <c r="N89" s="223"/>
      <c r="O89" s="222" t="s">
        <v>347</v>
      </c>
      <c r="P89" s="215">
        <v>9</v>
      </c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</row>
    <row r="90">
      <c r="A90" s="213" t="s">
        <v>376</v>
      </c>
      <c r="B90" s="214" t="s">
        <v>352</v>
      </c>
      <c r="C90" s="215" t="s">
        <v>353</v>
      </c>
      <c r="D90" s="215">
        <v>3</v>
      </c>
      <c r="E90" s="215">
        <v>9</v>
      </c>
      <c r="F90" s="216">
        <v>12794.399999999994</v>
      </c>
      <c r="G90" s="216">
        <v>8312.6</v>
      </c>
      <c r="H90" s="217">
        <f t="shared" si="1"/>
      </c>
      <c r="I90" s="217">
        <f t="shared" si="3"/>
      </c>
      <c r="J90" s="217">
        <f t="shared" si="2"/>
      </c>
      <c r="K90" s="215">
        <v>2</v>
      </c>
      <c r="L90" s="215">
        <v>3074.400000000005</v>
      </c>
      <c r="M90" s="223"/>
      <c r="N90" s="226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</row>
    <row r="91">
      <c r="A91" s="227" t="s">
        <v>376</v>
      </c>
      <c r="B91" s="228"/>
      <c r="C91" s="228"/>
      <c r="D91" s="229">
        <f>SUM(D85:D90)</f>
      </c>
      <c r="E91" s="229">
        <f>SUM(E85:E90)</f>
      </c>
      <c r="F91" s="230">
        <f>SUM(F85:F90)</f>
      </c>
      <c r="G91" s="230">
        <f>SUM(G85:G90)</f>
      </c>
      <c r="H91" s="231">
        <f t="shared" si="1"/>
      </c>
      <c r="I91" s="231">
        <f t="shared" si="3"/>
      </c>
      <c r="J91" s="231">
        <f t="shared" si="2"/>
      </c>
      <c r="K91" s="229">
        <f>SUM(K85:K90)</f>
      </c>
      <c r="L91" s="231">
        <f>SUM(L85:L90)</f>
      </c>
      <c r="M91" s="228"/>
      <c r="N91" s="229">
        <f>SUM(N85:N90)</f>
      </c>
      <c r="O91" s="228"/>
      <c r="P91" s="229">
        <f>SUM(P86:P90)</f>
      </c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</row>
    <row r="92">
      <c r="A92" s="213" t="s">
        <v>377</v>
      </c>
      <c r="B92" s="214" t="s">
        <v>352</v>
      </c>
      <c r="C92" s="215" t="s">
        <v>339</v>
      </c>
      <c r="D92" s="215">
        <v>2</v>
      </c>
      <c r="E92" s="215">
        <v>7</v>
      </c>
      <c r="F92" s="215">
        <v>12450</v>
      </c>
      <c r="G92" s="216">
        <v>7365.84</v>
      </c>
      <c r="H92" s="217">
        <f t="shared" si="1"/>
      </c>
      <c r="I92" s="217">
        <f t="shared" si="3"/>
      </c>
      <c r="J92" s="217">
        <f t="shared" si="2"/>
      </c>
      <c r="K92" s="215">
        <v>1</v>
      </c>
      <c r="L92" s="215">
        <v>2011.2</v>
      </c>
      <c r="M92" s="215" t="s">
        <v>374</v>
      </c>
      <c r="N92" s="234">
        <v>7</v>
      </c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</row>
    <row r="93">
      <c r="A93" s="213" t="s">
        <v>377</v>
      </c>
      <c r="B93" s="214" t="s">
        <v>358</v>
      </c>
      <c r="C93" s="215" t="s">
        <v>342</v>
      </c>
      <c r="D93" s="215">
        <v>5</v>
      </c>
      <c r="E93" s="215">
        <v>14</v>
      </c>
      <c r="F93" s="216">
        <v>17323.2</v>
      </c>
      <c r="G93" s="216">
        <v>14089.01</v>
      </c>
      <c r="H93" s="217">
        <f t="shared" si="1"/>
      </c>
      <c r="I93" s="217">
        <f t="shared" si="3"/>
      </c>
      <c r="J93" s="217">
        <f t="shared" si="2"/>
      </c>
      <c r="K93" s="215">
        <v>4</v>
      </c>
      <c r="L93" s="215">
        <v>4867.2</v>
      </c>
      <c r="M93" s="215" t="s">
        <v>370</v>
      </c>
      <c r="N93" s="236">
        <v>9</v>
      </c>
      <c r="O93" s="219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</row>
    <row r="94">
      <c r="A94" s="213" t="s">
        <v>377</v>
      </c>
      <c r="B94" s="214" t="s">
        <v>338</v>
      </c>
      <c r="C94" s="215" t="s">
        <v>345</v>
      </c>
      <c r="D94" s="215">
        <v>5</v>
      </c>
      <c r="E94" s="215">
        <v>14</v>
      </c>
      <c r="F94" s="216">
        <v>12227.8</v>
      </c>
      <c r="G94" s="221">
        <v>18118.41</v>
      </c>
      <c r="H94" s="217">
        <f t="shared" si="1"/>
      </c>
      <c r="I94" s="217">
        <f t="shared" si="3"/>
      </c>
      <c r="J94" s="217">
        <f t="shared" si="2"/>
      </c>
      <c r="K94" s="215">
        <v>3</v>
      </c>
      <c r="L94" s="215">
        <v>1546.8</v>
      </c>
      <c r="M94" s="215"/>
      <c r="N94" s="235"/>
      <c r="O94" s="222" t="s">
        <v>347</v>
      </c>
      <c r="P94" s="215">
        <v>3</v>
      </c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</row>
    <row r="95">
      <c r="A95" s="213" t="s">
        <v>377</v>
      </c>
      <c r="B95" s="214" t="s">
        <v>341</v>
      </c>
      <c r="C95" s="215" t="s">
        <v>356</v>
      </c>
      <c r="D95" s="215">
        <v>5</v>
      </c>
      <c r="E95" s="215">
        <v>15</v>
      </c>
      <c r="F95" s="216">
        <v>16470.300000000007</v>
      </c>
      <c r="G95" s="216">
        <v>13265.55</v>
      </c>
      <c r="H95" s="217">
        <f t="shared" si="1"/>
      </c>
      <c r="I95" s="217">
        <f t="shared" si="3"/>
      </c>
      <c r="J95" s="217">
        <f t="shared" si="2"/>
      </c>
      <c r="K95" s="215">
        <v>4</v>
      </c>
      <c r="L95" s="215">
        <v>4947.599999999999</v>
      </c>
      <c r="M95" s="215" t="s">
        <v>346</v>
      </c>
      <c r="N95" s="237">
        <v>8</v>
      </c>
      <c r="O95" s="223" t="s">
        <v>350</v>
      </c>
      <c r="P95" s="215">
        <v>12</v>
      </c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</row>
    <row r="96">
      <c r="A96" s="213" t="s">
        <v>377</v>
      </c>
      <c r="B96" s="214" t="s">
        <v>352</v>
      </c>
      <c r="C96" s="215" t="s">
        <v>362</v>
      </c>
      <c r="D96" s="215">
        <v>4</v>
      </c>
      <c r="E96" s="215">
        <v>1</v>
      </c>
      <c r="F96" s="216">
        <v>1411.199999999997</v>
      </c>
      <c r="G96" s="224">
        <v>5881.47</v>
      </c>
      <c r="H96" s="217">
        <f t="shared" si="1"/>
      </c>
      <c r="I96" s="217">
        <f t="shared" si="3"/>
      </c>
      <c r="J96" s="217">
        <f t="shared" si="2"/>
      </c>
      <c r="K96" s="215">
        <v>1</v>
      </c>
      <c r="L96" s="215">
        <v>1411.199999999997</v>
      </c>
      <c r="M96" s="223"/>
      <c r="N96" s="223"/>
      <c r="O96" s="222" t="s">
        <v>347</v>
      </c>
      <c r="P96" s="215">
        <v>9</v>
      </c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</row>
    <row r="97">
      <c r="A97" s="213" t="s">
        <v>377</v>
      </c>
      <c r="B97" s="214" t="s">
        <v>358</v>
      </c>
      <c r="C97" s="215" t="s">
        <v>353</v>
      </c>
      <c r="D97" s="215">
        <v>3</v>
      </c>
      <c r="E97" s="215">
        <v>3</v>
      </c>
      <c r="F97" s="216">
        <v>3475.199999999997</v>
      </c>
      <c r="G97" s="216">
        <v>5216.15</v>
      </c>
      <c r="H97" s="217">
        <f t="shared" si="1"/>
      </c>
      <c r="I97" s="217">
        <f t="shared" si="3"/>
      </c>
      <c r="J97" s="217">
        <f t="shared" si="2"/>
      </c>
      <c r="K97" s="215">
        <v>0</v>
      </c>
      <c r="L97" s="215">
        <v>0</v>
      </c>
      <c r="M97" s="223"/>
      <c r="N97" s="226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</row>
    <row r="98">
      <c r="A98" s="227" t="s">
        <v>377</v>
      </c>
      <c r="B98" s="228"/>
      <c r="C98" s="228"/>
      <c r="D98" s="229">
        <f>SUM(D92:D97)</f>
      </c>
      <c r="E98" s="229">
        <f>SUM(E92:E97)</f>
      </c>
      <c r="F98" s="230">
        <f>SUM(F92:F97)</f>
      </c>
      <c r="G98" s="230">
        <f>SUM(G92:G97)</f>
      </c>
      <c r="H98" s="231">
        <f t="shared" si="1"/>
      </c>
      <c r="I98" s="231">
        <f t="shared" si="3"/>
      </c>
      <c r="J98" s="231">
        <f t="shared" si="2"/>
      </c>
      <c r="K98" s="229">
        <f>SUM(K92:K97)</f>
      </c>
      <c r="L98" s="231">
        <f>SUM(L92:L97)</f>
      </c>
      <c r="M98" s="228"/>
      <c r="N98" s="229">
        <f>SUM(N92:N97)</f>
      </c>
      <c r="O98" s="228"/>
      <c r="P98" s="229">
        <f>SUM(P93:P97)</f>
      </c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</row>
    <row r="99">
      <c r="A99" s="213" t="s">
        <v>378</v>
      </c>
      <c r="B99" s="214" t="s">
        <v>358</v>
      </c>
      <c r="C99" s="215" t="s">
        <v>339</v>
      </c>
      <c r="D99" s="215">
        <v>2</v>
      </c>
      <c r="E99" s="215">
        <v>6</v>
      </c>
      <c r="F99" s="215">
        <v>5998.6</v>
      </c>
      <c r="G99" s="216">
        <v>5827.590000000001</v>
      </c>
      <c r="H99" s="217">
        <f t="shared" si="1"/>
      </c>
      <c r="I99" s="217">
        <f t="shared" si="3"/>
      </c>
      <c r="J99" s="217">
        <f t="shared" si="2"/>
      </c>
      <c r="K99" s="215">
        <v>1</v>
      </c>
      <c r="L99" s="215">
        <v>1344</v>
      </c>
      <c r="M99" s="215" t="s">
        <v>374</v>
      </c>
      <c r="N99" s="234">
        <v>7</v>
      </c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</row>
    <row r="100">
      <c r="A100" s="213" t="s">
        <v>378</v>
      </c>
      <c r="B100" s="214" t="s">
        <v>348</v>
      </c>
      <c r="C100" s="215" t="s">
        <v>342</v>
      </c>
      <c r="D100" s="215">
        <v>5</v>
      </c>
      <c r="E100" s="215">
        <v>10</v>
      </c>
      <c r="F100" s="216">
        <v>13360.6</v>
      </c>
      <c r="G100" s="216">
        <v>14132.579999999998</v>
      </c>
      <c r="H100" s="217">
        <f t="shared" si="1"/>
      </c>
      <c r="I100" s="217">
        <f t="shared" si="3"/>
      </c>
      <c r="J100" s="217">
        <f t="shared" si="2"/>
      </c>
      <c r="K100" s="215">
        <v>4</v>
      </c>
      <c r="L100" s="215">
        <v>3146.3999999999996</v>
      </c>
      <c r="M100" s="215" t="s">
        <v>370</v>
      </c>
      <c r="N100" s="236">
        <v>9</v>
      </c>
      <c r="O100" s="219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</row>
    <row r="101">
      <c r="A101" s="213" t="s">
        <v>378</v>
      </c>
      <c r="B101" s="214" t="s">
        <v>338</v>
      </c>
      <c r="C101" s="215" t="s">
        <v>345</v>
      </c>
      <c r="D101" s="215">
        <v>5</v>
      </c>
      <c r="E101" s="215">
        <v>26</v>
      </c>
      <c r="F101" s="216">
        <v>31939.200000000004</v>
      </c>
      <c r="G101" s="221">
        <v>13623.73</v>
      </c>
      <c r="H101" s="217">
        <f t="shared" si="1"/>
      </c>
      <c r="I101" s="217">
        <f t="shared" si="3"/>
      </c>
      <c r="J101" s="217">
        <f t="shared" si="2"/>
      </c>
      <c r="K101" s="215">
        <v>6</v>
      </c>
      <c r="L101" s="215">
        <v>6849.6</v>
      </c>
      <c r="M101" s="215"/>
      <c r="N101" s="235"/>
      <c r="O101" s="222" t="s">
        <v>347</v>
      </c>
      <c r="P101" s="215">
        <v>3</v>
      </c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</row>
    <row r="102">
      <c r="A102" s="213" t="s">
        <v>378</v>
      </c>
      <c r="B102" s="214" t="s">
        <v>341</v>
      </c>
      <c r="C102" s="215" t="s">
        <v>349</v>
      </c>
      <c r="D102" s="215">
        <v>4</v>
      </c>
      <c r="E102" s="215">
        <v>22</v>
      </c>
      <c r="F102" s="216">
        <v>22159.399999999998</v>
      </c>
      <c r="G102" s="216">
        <v>16966.09</v>
      </c>
      <c r="H102" s="217">
        <f t="shared" si="1"/>
      </c>
      <c r="I102" s="217">
        <f t="shared" si="3"/>
      </c>
      <c r="J102" s="217">
        <f t="shared" si="2"/>
      </c>
      <c r="K102" s="215">
        <v>8</v>
      </c>
      <c r="L102" s="215">
        <v>7956.000000000003</v>
      </c>
      <c r="M102" s="215" t="s">
        <v>346</v>
      </c>
      <c r="N102" s="237">
        <v>8</v>
      </c>
      <c r="O102" s="223" t="s">
        <v>350</v>
      </c>
      <c r="P102" s="215">
        <v>12</v>
      </c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</row>
    <row r="103">
      <c r="A103" s="213" t="s">
        <v>378</v>
      </c>
      <c r="B103" s="214" t="s">
        <v>352</v>
      </c>
      <c r="C103" s="215" t="s">
        <v>351</v>
      </c>
      <c r="D103" s="215">
        <v>5</v>
      </c>
      <c r="E103" s="215">
        <v>9</v>
      </c>
      <c r="F103" s="216">
        <v>7103.999999999985</v>
      </c>
      <c r="G103" s="224">
        <v>18345.2</v>
      </c>
      <c r="H103" s="217">
        <f t="shared" si="1"/>
      </c>
      <c r="I103" s="217">
        <f t="shared" si="3"/>
      </c>
      <c r="J103" s="217">
        <f t="shared" si="2"/>
      </c>
      <c r="K103" s="215">
        <v>4</v>
      </c>
      <c r="L103" s="215">
        <v>3760.7999999999956</v>
      </c>
      <c r="M103" s="223"/>
      <c r="N103" s="223"/>
      <c r="O103" s="222" t="s">
        <v>347</v>
      </c>
      <c r="P103" s="215">
        <v>9</v>
      </c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</row>
    <row r="104">
      <c r="A104" s="213" t="s">
        <v>378</v>
      </c>
      <c r="B104" s="214" t="s">
        <v>358</v>
      </c>
      <c r="C104" s="215" t="s">
        <v>353</v>
      </c>
      <c r="D104" s="215">
        <v>3</v>
      </c>
      <c r="E104" s="215">
        <v>5</v>
      </c>
      <c r="F104" s="216">
        <v>6026.399999999994</v>
      </c>
      <c r="G104" s="216">
        <v>10072.08</v>
      </c>
      <c r="H104" s="217">
        <f t="shared" si="1"/>
      </c>
      <c r="I104" s="217">
        <f t="shared" si="3"/>
      </c>
      <c r="J104" s="217">
        <f t="shared" si="2"/>
      </c>
      <c r="K104" s="215">
        <v>0</v>
      </c>
      <c r="L104" s="215">
        <v>0</v>
      </c>
      <c r="M104" s="223"/>
      <c r="N104" s="226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</row>
    <row r="105">
      <c r="A105" s="227" t="s">
        <v>378</v>
      </c>
      <c r="B105" s="228"/>
      <c r="C105" s="228"/>
      <c r="D105" s="229">
        <f>SUM(D99:D104)</f>
      </c>
      <c r="E105" s="229">
        <f>SUM(E99:E104)</f>
      </c>
      <c r="F105" s="230">
        <f>SUM(F99:F104)</f>
      </c>
      <c r="G105" s="230">
        <f>SUM(G99:G104)</f>
      </c>
      <c r="H105" s="231">
        <f t="shared" si="1"/>
      </c>
      <c r="I105" s="231">
        <f t="shared" si="3"/>
      </c>
      <c r="J105" s="231">
        <f t="shared" si="2"/>
      </c>
      <c r="K105" s="229">
        <f>SUM(K99:K104)</f>
      </c>
      <c r="L105" s="231">
        <f>SUM(L99:L104)</f>
      </c>
      <c r="M105" s="228"/>
      <c r="N105" s="229">
        <f>SUM(N99:N104)</f>
      </c>
      <c r="O105" s="228"/>
      <c r="P105" s="229">
        <f>SUM(P100:P104)</f>
      </c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</row>
    <row r="106">
      <c r="A106" s="213" t="s">
        <v>379</v>
      </c>
      <c r="B106" s="214" t="s">
        <v>358</v>
      </c>
      <c r="C106" s="215" t="s">
        <v>339</v>
      </c>
      <c r="D106" s="215">
        <v>2</v>
      </c>
      <c r="E106" s="215">
        <v>8</v>
      </c>
      <c r="F106" s="215">
        <v>13790.4</v>
      </c>
      <c r="G106" s="216">
        <v>5635</v>
      </c>
      <c r="H106" s="217">
        <f t="shared" si="1"/>
      </c>
      <c r="I106" s="217">
        <f t="shared" si="3"/>
      </c>
      <c r="J106" s="217">
        <f t="shared" si="2"/>
      </c>
      <c r="K106" s="215">
        <v>2</v>
      </c>
      <c r="L106" s="215">
        <v>3326.4</v>
      </c>
      <c r="M106" s="215" t="s">
        <v>374</v>
      </c>
      <c r="N106" s="234">
        <v>7</v>
      </c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</row>
    <row r="107">
      <c r="A107" s="213" t="s">
        <v>379</v>
      </c>
      <c r="B107" s="214" t="s">
        <v>348</v>
      </c>
      <c r="C107" s="215" t="s">
        <v>342</v>
      </c>
      <c r="D107" s="215">
        <v>5</v>
      </c>
      <c r="E107" s="215">
        <v>19</v>
      </c>
      <c r="F107" s="216">
        <v>23028.68</v>
      </c>
      <c r="G107" s="216">
        <v>19457.89</v>
      </c>
      <c r="H107" s="217">
        <f t="shared" si="1"/>
      </c>
      <c r="I107" s="217">
        <f t="shared" si="3"/>
      </c>
      <c r="J107" s="217">
        <f t="shared" si="2"/>
      </c>
      <c r="K107" s="215">
        <v>6</v>
      </c>
      <c r="L107" s="215">
        <v>6570.199999999999</v>
      </c>
      <c r="M107" s="215" t="s">
        <v>380</v>
      </c>
      <c r="N107" s="236">
        <v>9</v>
      </c>
      <c r="O107" s="219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</row>
    <row r="108">
      <c r="A108" s="213" t="s">
        <v>379</v>
      </c>
      <c r="B108" s="214" t="s">
        <v>344</v>
      </c>
      <c r="C108" s="215" t="s">
        <v>345</v>
      </c>
      <c r="D108" s="215">
        <v>5</v>
      </c>
      <c r="E108" s="215">
        <v>10</v>
      </c>
      <c r="F108" s="216">
        <v>12945.999999999996</v>
      </c>
      <c r="G108" s="221">
        <v>13552.49</v>
      </c>
      <c r="H108" s="217">
        <f t="shared" si="1"/>
      </c>
      <c r="I108" s="217">
        <f t="shared" si="3"/>
      </c>
      <c r="J108" s="217">
        <f t="shared" si="2"/>
      </c>
      <c r="K108" s="215">
        <v>2</v>
      </c>
      <c r="L108" s="215">
        <v>6180.4</v>
      </c>
      <c r="M108" s="215"/>
      <c r="N108" s="235"/>
      <c r="O108" s="222" t="s">
        <v>347</v>
      </c>
      <c r="P108" s="215">
        <v>3</v>
      </c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</row>
    <row r="109">
      <c r="A109" s="213" t="s">
        <v>379</v>
      </c>
      <c r="B109" s="214" t="s">
        <v>341</v>
      </c>
      <c r="C109" s="215" t="s">
        <v>356</v>
      </c>
      <c r="D109" s="215">
        <v>5</v>
      </c>
      <c r="E109" s="215">
        <v>28</v>
      </c>
      <c r="F109" s="216">
        <v>28735.199999999997</v>
      </c>
      <c r="G109" s="216">
        <v>21858.2</v>
      </c>
      <c r="H109" s="217">
        <f t="shared" si="1"/>
      </c>
      <c r="I109" s="217">
        <f t="shared" si="3"/>
      </c>
      <c r="J109" s="217">
        <f t="shared" si="2"/>
      </c>
      <c r="K109" s="215">
        <v>10</v>
      </c>
      <c r="L109" s="215">
        <v>10338.000000000005</v>
      </c>
      <c r="M109" s="215" t="s">
        <v>346</v>
      </c>
      <c r="N109" s="237">
        <v>8</v>
      </c>
      <c r="O109" s="223" t="s">
        <v>350</v>
      </c>
      <c r="P109" s="215">
        <v>12</v>
      </c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  <c r="AH109" s="215"/>
    </row>
    <row r="110">
      <c r="A110" s="213" t="s">
        <v>379</v>
      </c>
      <c r="B110" s="214" t="s">
        <v>352</v>
      </c>
      <c r="C110" s="215" t="s">
        <v>357</v>
      </c>
      <c r="D110" s="215">
        <v>5</v>
      </c>
      <c r="E110" s="215">
        <v>19</v>
      </c>
      <c r="F110" s="216">
        <v>15280.800000000003</v>
      </c>
      <c r="G110" s="224">
        <v>22785.17</v>
      </c>
      <c r="H110" s="217">
        <f t="shared" si="1"/>
      </c>
      <c r="I110" s="217">
        <f t="shared" si="3"/>
      </c>
      <c r="J110" s="217">
        <f t="shared" si="2"/>
      </c>
      <c r="K110" s="215">
        <v>4</v>
      </c>
      <c r="L110" s="215">
        <v>1225.199999999992</v>
      </c>
      <c r="M110" s="223"/>
      <c r="N110" s="223"/>
      <c r="O110" s="222" t="s">
        <v>347</v>
      </c>
      <c r="P110" s="215">
        <v>9</v>
      </c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</row>
    <row r="111">
      <c r="A111" s="213" t="s">
        <v>379</v>
      </c>
      <c r="B111" s="214" t="s">
        <v>358</v>
      </c>
      <c r="C111" s="215" t="s">
        <v>359</v>
      </c>
      <c r="D111" s="215">
        <v>2</v>
      </c>
      <c r="E111" s="215">
        <v>8</v>
      </c>
      <c r="F111" s="216">
        <v>7878</v>
      </c>
      <c r="G111" s="216">
        <v>6866.74</v>
      </c>
      <c r="H111" s="217">
        <f t="shared" si="1"/>
      </c>
      <c r="I111" s="217">
        <f t="shared" si="3"/>
      </c>
      <c r="J111" s="217">
        <f t="shared" si="2"/>
      </c>
      <c r="K111" s="215">
        <v>0</v>
      </c>
      <c r="L111" s="215">
        <v>0</v>
      </c>
      <c r="M111" s="223"/>
      <c r="N111" s="226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</row>
    <row r="112">
      <c r="A112" s="227" t="s">
        <v>379</v>
      </c>
      <c r="B112" s="228"/>
      <c r="C112" s="228"/>
      <c r="D112" s="229">
        <f>SUM(D106:D111)</f>
      </c>
      <c r="E112" s="229">
        <f>SUM(E106:E111)</f>
      </c>
      <c r="F112" s="230">
        <f>SUM(F106:F111)</f>
      </c>
      <c r="G112" s="230">
        <f>SUM(G106:G111)</f>
      </c>
      <c r="H112" s="231">
        <f t="shared" si="1"/>
      </c>
      <c r="I112" s="231">
        <f t="shared" si="3"/>
      </c>
      <c r="J112" s="231">
        <f t="shared" si="2"/>
      </c>
      <c r="K112" s="229">
        <f>SUM(K106:K111)</f>
      </c>
      <c r="L112" s="231">
        <f>SUM(L106:L111)</f>
      </c>
      <c r="M112" s="228"/>
      <c r="N112" s="229">
        <f>SUM(N106:N111)</f>
      </c>
      <c r="O112" s="228"/>
      <c r="P112" s="229">
        <f>SUM(P107:P111)</f>
      </c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229"/>
      <c r="AE112" s="229"/>
      <c r="AF112" s="229"/>
      <c r="AG112" s="229"/>
      <c r="AH112" s="229"/>
    </row>
    <row r="113">
      <c r="A113" s="213" t="s">
        <v>381</v>
      </c>
      <c r="B113" s="214" t="s">
        <v>358</v>
      </c>
      <c r="C113" s="215" t="s">
        <v>339</v>
      </c>
      <c r="D113" s="215">
        <v>2</v>
      </c>
      <c r="E113" s="215">
        <v>4</v>
      </c>
      <c r="F113" s="215">
        <v>6012</v>
      </c>
      <c r="G113" s="216">
        <v>5276.35</v>
      </c>
      <c r="H113" s="217">
        <f t="shared" si="1"/>
      </c>
      <c r="I113" s="217">
        <f t="shared" si="3"/>
      </c>
      <c r="J113" s="217">
        <f t="shared" si="2"/>
      </c>
      <c r="K113" s="215">
        <v>1</v>
      </c>
      <c r="L113" s="215">
        <v>1663.2</v>
      </c>
      <c r="M113" s="215" t="s">
        <v>374</v>
      </c>
      <c r="N113" s="234">
        <v>7</v>
      </c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</row>
    <row r="114">
      <c r="A114" s="213" t="s">
        <v>381</v>
      </c>
      <c r="B114" s="214" t="s">
        <v>338</v>
      </c>
      <c r="C114" s="215" t="s">
        <v>342</v>
      </c>
      <c r="D114" s="215">
        <v>5</v>
      </c>
      <c r="E114" s="215">
        <v>16</v>
      </c>
      <c r="F114" s="216">
        <v>12380.4</v>
      </c>
      <c r="G114" s="216">
        <v>14488.33</v>
      </c>
      <c r="H114" s="217">
        <f t="shared" si="1"/>
      </c>
      <c r="I114" s="217">
        <f t="shared" si="3"/>
      </c>
      <c r="J114" s="217">
        <f t="shared" si="2"/>
      </c>
      <c r="K114" s="215">
        <v>3</v>
      </c>
      <c r="L114" s="215">
        <v>3475.2</v>
      </c>
      <c r="M114" s="215" t="s">
        <v>382</v>
      </c>
      <c r="N114" s="236">
        <v>9</v>
      </c>
      <c r="O114" s="219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</row>
    <row r="115">
      <c r="A115" s="213" t="s">
        <v>381</v>
      </c>
      <c r="B115" s="214" t="s">
        <v>344</v>
      </c>
      <c r="C115" s="215" t="s">
        <v>345</v>
      </c>
      <c r="D115" s="215">
        <v>5</v>
      </c>
      <c r="E115" s="215">
        <v>16</v>
      </c>
      <c r="F115" s="216">
        <v>22406.4</v>
      </c>
      <c r="G115" s="216">
        <v>16031.96</v>
      </c>
      <c r="H115" s="217">
        <f t="shared" si="1"/>
      </c>
      <c r="I115" s="217">
        <f t="shared" si="3"/>
      </c>
      <c r="J115" s="217">
        <f t="shared" si="2"/>
      </c>
      <c r="K115" s="215">
        <v>2</v>
      </c>
      <c r="L115" s="215">
        <v>4495.2</v>
      </c>
      <c r="M115" s="215"/>
      <c r="N115" s="235"/>
      <c r="O115" s="222" t="s">
        <v>347</v>
      </c>
      <c r="P115" s="215">
        <v>3</v>
      </c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</row>
    <row r="116">
      <c r="A116" s="213" t="s">
        <v>381</v>
      </c>
      <c r="B116" s="214" t="s">
        <v>341</v>
      </c>
      <c r="C116" s="215" t="s">
        <v>356</v>
      </c>
      <c r="D116" s="215">
        <v>5</v>
      </c>
      <c r="E116" s="215">
        <v>35</v>
      </c>
      <c r="F116" s="216">
        <v>47511.6</v>
      </c>
      <c r="G116" s="216">
        <v>28269.999999999996</v>
      </c>
      <c r="H116" s="217">
        <f t="shared" si="1"/>
      </c>
      <c r="I116" s="217">
        <f t="shared" si="3"/>
      </c>
      <c r="J116" s="217">
        <f t="shared" si="2"/>
      </c>
      <c r="K116" s="215">
        <v>14</v>
      </c>
      <c r="L116" s="215">
        <v>15673.2</v>
      </c>
      <c r="M116" s="215" t="s">
        <v>355</v>
      </c>
      <c r="N116" s="237">
        <v>8</v>
      </c>
      <c r="O116" s="223" t="s">
        <v>350</v>
      </c>
      <c r="P116" s="215">
        <v>12</v>
      </c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</row>
    <row r="117">
      <c r="A117" s="213" t="s">
        <v>381</v>
      </c>
      <c r="B117" s="214" t="s">
        <v>352</v>
      </c>
      <c r="C117" s="215" t="s">
        <v>362</v>
      </c>
      <c r="D117" s="215">
        <v>4</v>
      </c>
      <c r="E117" s="215">
        <v>16</v>
      </c>
      <c r="F117" s="216">
        <v>18508.800000000003</v>
      </c>
      <c r="G117" s="224">
        <v>22730.27</v>
      </c>
      <c r="H117" s="217">
        <f t="shared" si="1"/>
      </c>
      <c r="I117" s="217">
        <f t="shared" si="3"/>
      </c>
      <c r="J117" s="217">
        <f t="shared" si="2"/>
      </c>
      <c r="K117" s="215">
        <v>3</v>
      </c>
      <c r="L117" s="215">
        <v>3311.9999999999964</v>
      </c>
      <c r="M117" s="223"/>
      <c r="N117" s="223"/>
      <c r="O117" s="222" t="s">
        <v>347</v>
      </c>
      <c r="P117" s="215">
        <v>9</v>
      </c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</row>
    <row r="118">
      <c r="A118" s="213" t="s">
        <v>381</v>
      </c>
      <c r="B118" s="214" t="s">
        <v>358</v>
      </c>
      <c r="C118" s="215" t="s">
        <v>353</v>
      </c>
      <c r="D118" s="215">
        <v>3</v>
      </c>
      <c r="E118" s="215">
        <v>14</v>
      </c>
      <c r="F118" s="216">
        <v>11579.600000000006</v>
      </c>
      <c r="G118" s="216">
        <v>14559.95</v>
      </c>
      <c r="H118" s="217">
        <f t="shared" si="1"/>
      </c>
      <c r="I118" s="217">
        <f t="shared" si="3"/>
      </c>
      <c r="J118" s="217">
        <f t="shared" si="2"/>
      </c>
      <c r="K118" s="215">
        <v>1</v>
      </c>
      <c r="L118" s="215">
        <v>187.20000000000073</v>
      </c>
      <c r="M118" s="223"/>
      <c r="N118" s="226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</row>
    <row r="119">
      <c r="A119" s="227" t="s">
        <v>381</v>
      </c>
      <c r="B119" s="228"/>
      <c r="C119" s="228"/>
      <c r="D119" s="229">
        <f>SUM(D113:D118)</f>
      </c>
      <c r="E119" s="229">
        <f>SUM(E113:E118)</f>
      </c>
      <c r="F119" s="230">
        <f>SUM(F113:F118)</f>
      </c>
      <c r="G119" s="230">
        <f>SUM(G113:G118)</f>
      </c>
      <c r="H119" s="231">
        <f t="shared" si="1"/>
      </c>
      <c r="I119" s="231">
        <f t="shared" si="3"/>
      </c>
      <c r="J119" s="231">
        <f t="shared" si="2"/>
      </c>
      <c r="K119" s="229">
        <f>SUM(K113:K118)</f>
      </c>
      <c r="L119" s="231">
        <f>SUM(L113:L118)</f>
      </c>
      <c r="M119" s="228"/>
      <c r="N119" s="229">
        <f>SUM(N113:N118)</f>
      </c>
      <c r="O119" s="228"/>
      <c r="P119" s="229">
        <f>SUM(P114:P118)</f>
      </c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  <c r="AD119" s="229"/>
      <c r="AE119" s="229"/>
      <c r="AF119" s="229"/>
      <c r="AG119" s="229"/>
      <c r="AH119" s="229"/>
    </row>
    <row r="120">
      <c r="A120" s="213" t="s">
        <v>383</v>
      </c>
      <c r="B120" s="214" t="s">
        <v>358</v>
      </c>
      <c r="C120" s="215" t="s">
        <v>339</v>
      </c>
      <c r="D120" s="215">
        <v>2</v>
      </c>
      <c r="E120" s="215">
        <v>7</v>
      </c>
      <c r="F120" s="215">
        <v>8054.4</v>
      </c>
      <c r="G120" s="216">
        <v>6259.7300000000005</v>
      </c>
      <c r="H120" s="217">
        <f t="shared" si="1"/>
      </c>
      <c r="I120" s="217">
        <f t="shared" si="3"/>
      </c>
      <c r="J120" s="217">
        <f t="shared" si="2"/>
      </c>
      <c r="K120" s="215">
        <v>2</v>
      </c>
      <c r="L120" s="215">
        <v>646.7999999999993</v>
      </c>
      <c r="M120" s="215" t="s">
        <v>374</v>
      </c>
      <c r="N120" s="234">
        <v>7</v>
      </c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</row>
    <row r="121">
      <c r="A121" s="213" t="s">
        <v>383</v>
      </c>
      <c r="B121" s="214" t="s">
        <v>338</v>
      </c>
      <c r="C121" s="215" t="s">
        <v>342</v>
      </c>
      <c r="D121" s="215">
        <v>5</v>
      </c>
      <c r="E121" s="215">
        <v>12</v>
      </c>
      <c r="F121" s="216">
        <v>13952.600000000002</v>
      </c>
      <c r="G121" s="216">
        <v>15788.189999999999</v>
      </c>
      <c r="H121" s="217">
        <f t="shared" si="1"/>
      </c>
      <c r="I121" s="217">
        <f t="shared" si="3"/>
      </c>
      <c r="J121" s="217">
        <f t="shared" si="2"/>
      </c>
      <c r="K121" s="215">
        <v>5</v>
      </c>
      <c r="L121" s="215">
        <v>5706.2</v>
      </c>
      <c r="M121" s="215" t="s">
        <v>370</v>
      </c>
      <c r="N121" s="236">
        <v>9</v>
      </c>
      <c r="O121" s="219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</row>
    <row r="122">
      <c r="A122" s="213" t="s">
        <v>383</v>
      </c>
      <c r="B122" s="214" t="s">
        <v>344</v>
      </c>
      <c r="C122" s="215" t="s">
        <v>345</v>
      </c>
      <c r="D122" s="215">
        <v>5</v>
      </c>
      <c r="E122" s="215">
        <v>9</v>
      </c>
      <c r="F122" s="216">
        <v>13735.2</v>
      </c>
      <c r="G122" s="216">
        <v>14370.7</v>
      </c>
      <c r="H122" s="217">
        <f t="shared" si="1"/>
      </c>
      <c r="I122" s="217">
        <f t="shared" si="3"/>
      </c>
      <c r="J122" s="217">
        <f t="shared" si="2"/>
      </c>
      <c r="K122" s="215">
        <v>6</v>
      </c>
      <c r="L122" s="215">
        <v>5661.599999999999</v>
      </c>
      <c r="M122" s="215"/>
      <c r="N122" s="235"/>
      <c r="O122" s="222" t="s">
        <v>347</v>
      </c>
      <c r="P122" s="215">
        <v>3</v>
      </c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</row>
    <row r="123">
      <c r="A123" s="213" t="s">
        <v>383</v>
      </c>
      <c r="B123" s="214" t="s">
        <v>352</v>
      </c>
      <c r="C123" s="215" t="s">
        <v>356</v>
      </c>
      <c r="D123" s="215">
        <v>5</v>
      </c>
      <c r="E123" s="215">
        <v>6</v>
      </c>
      <c r="F123" s="216">
        <v>8981.999999999989</v>
      </c>
      <c r="G123" s="216">
        <v>9744.12</v>
      </c>
      <c r="H123" s="217">
        <f t="shared" si="1"/>
      </c>
      <c r="I123" s="217">
        <f t="shared" si="3"/>
      </c>
      <c r="J123" s="217">
        <f t="shared" si="2"/>
      </c>
      <c r="K123" s="215">
        <v>1</v>
      </c>
      <c r="L123" s="215">
        <v>2011.2</v>
      </c>
      <c r="M123" s="215" t="s">
        <v>346</v>
      </c>
      <c r="N123" s="237">
        <v>8</v>
      </c>
      <c r="O123" s="223" t="s">
        <v>350</v>
      </c>
      <c r="P123" s="215">
        <v>12</v>
      </c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</row>
    <row r="124">
      <c r="A124" s="213" t="s">
        <v>383</v>
      </c>
      <c r="B124" s="214" t="s">
        <v>358</v>
      </c>
      <c r="C124" s="215" t="s">
        <v>362</v>
      </c>
      <c r="D124" s="215">
        <v>4</v>
      </c>
      <c r="E124" s="215">
        <v>5</v>
      </c>
      <c r="F124" s="216">
        <v>2272.80000000001</v>
      </c>
      <c r="G124" s="224">
        <v>4776.08</v>
      </c>
      <c r="H124" s="217">
        <f t="shared" si="1"/>
      </c>
      <c r="I124" s="217">
        <f t="shared" si="3"/>
      </c>
      <c r="J124" s="217">
        <f t="shared" si="2"/>
      </c>
      <c r="K124" s="215">
        <v>1</v>
      </c>
      <c r="L124" s="215">
        <v>715.2000000000007</v>
      </c>
      <c r="M124" s="223"/>
      <c r="N124" s="223"/>
      <c r="O124" s="222" t="s">
        <v>347</v>
      </c>
      <c r="P124" s="215">
        <v>9</v>
      </c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</row>
    <row r="125">
      <c r="A125" s="213" t="s">
        <v>383</v>
      </c>
      <c r="B125" s="214" t="s">
        <v>348</v>
      </c>
      <c r="C125" s="215" t="s">
        <v>353</v>
      </c>
      <c r="D125" s="215">
        <v>3</v>
      </c>
      <c r="E125" s="215">
        <v>8</v>
      </c>
      <c r="F125" s="216">
        <v>6747.599999999991</v>
      </c>
      <c r="G125" s="216">
        <v>8820.57</v>
      </c>
      <c r="H125" s="217">
        <f t="shared" si="1"/>
      </c>
      <c r="I125" s="217">
        <f t="shared" si="3"/>
      </c>
      <c r="J125" s="217">
        <f t="shared" si="2"/>
      </c>
      <c r="K125" s="215">
        <v>2</v>
      </c>
      <c r="L125" s="215">
        <v>1207.2000000000007</v>
      </c>
      <c r="M125" s="223"/>
      <c r="N125" s="226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</row>
    <row r="126">
      <c r="A126" s="227" t="s">
        <v>383</v>
      </c>
      <c r="B126" s="228"/>
      <c r="C126" s="228"/>
      <c r="D126" s="229">
        <f>SUM(D120:D125)</f>
      </c>
      <c r="E126" s="229">
        <f>SUM(E120:E125)</f>
      </c>
      <c r="F126" s="230">
        <f>SUM(F120:F125)</f>
      </c>
      <c r="G126" s="230">
        <f>SUM(G120:G125)</f>
      </c>
      <c r="H126" s="231">
        <f t="shared" si="1"/>
      </c>
      <c r="I126" s="231">
        <f t="shared" si="3"/>
      </c>
      <c r="J126" s="231">
        <f t="shared" si="2"/>
      </c>
      <c r="K126" s="229">
        <f>SUM(K120:K125)</f>
      </c>
      <c r="L126" s="231">
        <f>SUM(L120:L125)</f>
      </c>
      <c r="M126" s="228"/>
      <c r="N126" s="229">
        <f>SUM(N120:N125)</f>
      </c>
      <c r="O126" s="228"/>
      <c r="P126" s="229">
        <f>SUM(P121:P125)</f>
      </c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</row>
    <row r="127">
      <c r="A127" s="213" t="s">
        <v>384</v>
      </c>
      <c r="B127" s="214" t="s">
        <v>348</v>
      </c>
      <c r="C127" s="238" t="s">
        <v>339</v>
      </c>
      <c r="D127" s="238">
        <v>2</v>
      </c>
      <c r="E127" s="215">
        <v>8</v>
      </c>
      <c r="F127" s="215">
        <v>7434.4</v>
      </c>
      <c r="G127" s="216">
        <v>7498.35</v>
      </c>
      <c r="H127" s="217">
        <f t="shared" si="1"/>
      </c>
      <c r="I127" s="217">
        <f t="shared" si="3"/>
      </c>
      <c r="J127" s="217">
        <f t="shared" si="2"/>
      </c>
      <c r="K127" s="215">
        <v>1</v>
      </c>
      <c r="L127" s="215">
        <v>363.6</v>
      </c>
      <c r="M127" s="215" t="s">
        <v>374</v>
      </c>
      <c r="N127" s="234">
        <v>7</v>
      </c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</row>
    <row r="128">
      <c r="A128" s="213" t="s">
        <v>384</v>
      </c>
      <c r="B128" s="214" t="s">
        <v>341</v>
      </c>
      <c r="C128" s="238" t="s">
        <v>385</v>
      </c>
      <c r="D128" s="238">
        <v>4</v>
      </c>
      <c r="E128" s="215">
        <v>23</v>
      </c>
      <c r="F128" s="215">
        <v>28386.4</v>
      </c>
      <c r="G128" s="215">
        <v>15580.1</v>
      </c>
      <c r="H128" s="217">
        <f t="shared" si="1"/>
      </c>
      <c r="I128" s="217">
        <f t="shared" si="3"/>
      </c>
      <c r="J128" s="217">
        <f t="shared" si="2"/>
      </c>
      <c r="K128" s="215">
        <v>4</v>
      </c>
      <c r="L128" s="215">
        <v>5454</v>
      </c>
      <c r="M128" s="215" t="s">
        <v>370</v>
      </c>
      <c r="N128" s="236">
        <v>9</v>
      </c>
      <c r="O128" s="219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</row>
    <row r="129">
      <c r="A129" s="213" t="s">
        <v>384</v>
      </c>
      <c r="B129" s="214" t="s">
        <v>344</v>
      </c>
      <c r="C129" s="238" t="s">
        <v>386</v>
      </c>
      <c r="D129" s="238">
        <v>5</v>
      </c>
      <c r="E129" s="215">
        <v>21</v>
      </c>
      <c r="F129" s="216">
        <v>26511.199999999997</v>
      </c>
      <c r="G129" s="216">
        <v>21654.600000000002</v>
      </c>
      <c r="H129" s="217">
        <f t="shared" si="1"/>
      </c>
      <c r="I129" s="217">
        <f t="shared" si="3"/>
      </c>
      <c r="J129" s="217">
        <f t="shared" si="2"/>
      </c>
      <c r="K129" s="215">
        <v>5</v>
      </c>
      <c r="L129" s="215">
        <v>3621.2000000000003</v>
      </c>
      <c r="M129" s="215"/>
      <c r="N129" s="235"/>
      <c r="O129" s="222" t="s">
        <v>347</v>
      </c>
      <c r="P129" s="215">
        <v>3</v>
      </c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</row>
    <row r="130">
      <c r="A130" s="213" t="s">
        <v>384</v>
      </c>
      <c r="B130" s="214" t="s">
        <v>352</v>
      </c>
      <c r="C130" s="238" t="s">
        <v>387</v>
      </c>
      <c r="D130" s="238">
        <v>5</v>
      </c>
      <c r="E130" s="215">
        <v>17</v>
      </c>
      <c r="F130" s="216">
        <v>21666.000000000007</v>
      </c>
      <c r="G130" s="216">
        <v>18186.6</v>
      </c>
      <c r="H130" s="217">
        <f t="shared" si="1"/>
      </c>
      <c r="I130" s="217">
        <f t="shared" si="3"/>
      </c>
      <c r="J130" s="217">
        <f t="shared" si="2"/>
      </c>
      <c r="K130" s="215">
        <v>5</v>
      </c>
      <c r="L130" s="215">
        <v>5735.999999999999</v>
      </c>
      <c r="M130" s="215" t="s">
        <v>346</v>
      </c>
      <c r="N130" s="237">
        <v>8</v>
      </c>
      <c r="O130" s="223" t="s">
        <v>350</v>
      </c>
      <c r="P130" s="215">
        <v>12</v>
      </c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</row>
    <row r="131">
      <c r="A131" s="213" t="s">
        <v>384</v>
      </c>
      <c r="B131" s="214" t="s">
        <v>358</v>
      </c>
      <c r="C131" s="238" t="s">
        <v>388</v>
      </c>
      <c r="D131" s="238">
        <v>4</v>
      </c>
      <c r="E131" s="215">
        <v>6</v>
      </c>
      <c r="F131" s="216">
        <v>8010</v>
      </c>
      <c r="G131" s="224">
        <v>9736.48</v>
      </c>
      <c r="H131" s="217">
        <f t="shared" si="1"/>
      </c>
      <c r="I131" s="217">
        <f t="shared" si="3"/>
      </c>
      <c r="J131" s="217">
        <f t="shared" si="2"/>
      </c>
      <c r="K131" s="215">
        <v>1</v>
      </c>
      <c r="L131" s="215">
        <v>363.60000000000036</v>
      </c>
      <c r="M131" s="223"/>
      <c r="N131" s="223"/>
      <c r="O131" s="222" t="s">
        <v>347</v>
      </c>
      <c r="P131" s="215">
        <v>9</v>
      </c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</row>
    <row r="132">
      <c r="A132" s="213" t="s">
        <v>384</v>
      </c>
      <c r="B132" s="214" t="s">
        <v>348</v>
      </c>
      <c r="C132" s="238" t="s">
        <v>389</v>
      </c>
      <c r="D132" s="238">
        <v>4</v>
      </c>
      <c r="E132" s="215">
        <v>17</v>
      </c>
      <c r="F132" s="216">
        <v>23757.600000000006</v>
      </c>
      <c r="G132" s="216">
        <v>16626.06</v>
      </c>
      <c r="H132" s="217">
        <f t="shared" si="1"/>
      </c>
      <c r="I132" s="217">
        <f t="shared" si="3"/>
      </c>
      <c r="J132" s="217">
        <f t="shared" si="2"/>
      </c>
      <c r="K132" s="215">
        <v>1</v>
      </c>
      <c r="L132" s="215">
        <v>1555.199999999999</v>
      </c>
      <c r="M132" s="223"/>
      <c r="N132" s="226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</row>
    <row r="133">
      <c r="A133" s="227" t="s">
        <v>384</v>
      </c>
      <c r="B133" s="228"/>
      <c r="C133" s="228"/>
      <c r="D133" s="229">
        <f>SUM(D127:D132)</f>
      </c>
      <c r="E133" s="229">
        <f>SUM(E127:E132)</f>
      </c>
      <c r="F133" s="230">
        <f>SUM(F127:F132)</f>
      </c>
      <c r="G133" s="230">
        <f>SUM(G127:G132)</f>
      </c>
      <c r="H133" s="231">
        <f t="shared" si="1"/>
      </c>
      <c r="I133" s="231">
        <f t="shared" si="3"/>
      </c>
      <c r="J133" s="231">
        <f t="shared" si="2"/>
      </c>
      <c r="K133" s="229">
        <f>SUM(K127:K132)</f>
      </c>
      <c r="L133" s="231">
        <f>SUM(L127:L132)</f>
      </c>
      <c r="M133" s="228"/>
      <c r="N133" s="229">
        <f>SUM(N127:N132)</f>
      </c>
      <c r="O133" s="228"/>
      <c r="P133" s="229">
        <f>SUM(P128:P132)</f>
      </c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</row>
    <row r="134">
      <c r="A134" s="213" t="s">
        <v>390</v>
      </c>
      <c r="B134" s="214" t="s">
        <v>348</v>
      </c>
      <c r="C134" s="239" t="s">
        <v>391</v>
      </c>
      <c r="D134" s="239">
        <v>1</v>
      </c>
      <c r="E134" s="215">
        <v>8</v>
      </c>
      <c r="F134" s="215">
        <v>10970.4</v>
      </c>
      <c r="G134" s="216">
        <v>8936.2</v>
      </c>
      <c r="H134" s="217">
        <f t="shared" si="1"/>
      </c>
      <c r="I134" s="217">
        <f t="shared" si="3"/>
      </c>
      <c r="J134" s="217">
        <f t="shared" si="2"/>
      </c>
      <c r="K134" s="215">
        <v>1</v>
      </c>
      <c r="L134" s="215">
        <v>1663.1999999999998</v>
      </c>
      <c r="M134" s="215" t="s">
        <v>374</v>
      </c>
      <c r="N134" s="234">
        <v>7</v>
      </c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</row>
    <row r="135">
      <c r="A135" s="213" t="s">
        <v>390</v>
      </c>
      <c r="B135" s="214" t="s">
        <v>341</v>
      </c>
      <c r="C135" s="239" t="s">
        <v>392</v>
      </c>
      <c r="D135" s="239">
        <v>5</v>
      </c>
      <c r="E135" s="215">
        <v>26</v>
      </c>
      <c r="F135" s="215">
        <v>41090.4</v>
      </c>
      <c r="G135" s="215">
        <v>26145.83</v>
      </c>
      <c r="H135" s="217">
        <f t="shared" si="1"/>
      </c>
      <c r="I135" s="217">
        <f t="shared" si="3"/>
      </c>
      <c r="J135" s="217">
        <f t="shared" si="2"/>
      </c>
      <c r="K135" s="215">
        <v>4</v>
      </c>
      <c r="L135" s="215">
        <v>4838.4</v>
      </c>
      <c r="M135" s="215" t="s">
        <v>370</v>
      </c>
      <c r="N135" s="236">
        <v>9</v>
      </c>
      <c r="O135" s="219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</row>
    <row r="136">
      <c r="A136" s="213" t="s">
        <v>390</v>
      </c>
      <c r="B136" s="214" t="s">
        <v>344</v>
      </c>
      <c r="C136" s="238" t="s">
        <v>386</v>
      </c>
      <c r="D136" s="238">
        <v>5</v>
      </c>
      <c r="E136" s="215">
        <v>18</v>
      </c>
      <c r="F136" s="216">
        <v>25189.6</v>
      </c>
      <c r="G136" s="216">
        <v>24079.02</v>
      </c>
      <c r="H136" s="217">
        <f t="shared" si="1"/>
      </c>
      <c r="I136" s="217">
        <f t="shared" si="3"/>
      </c>
      <c r="J136" s="217">
        <f t="shared" si="2"/>
      </c>
      <c r="K136" s="215">
        <v>3</v>
      </c>
      <c r="L136" s="215">
        <v>5116.8</v>
      </c>
      <c r="M136" s="215"/>
      <c r="N136" s="235"/>
      <c r="O136" s="222" t="s">
        <v>347</v>
      </c>
      <c r="P136" s="215">
        <v>3</v>
      </c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215"/>
      <c r="AC136" s="215"/>
      <c r="AD136" s="215"/>
      <c r="AE136" s="215"/>
      <c r="AF136" s="215"/>
      <c r="AG136" s="215"/>
      <c r="AH136" s="215"/>
    </row>
    <row r="137">
      <c r="A137" s="213" t="s">
        <v>390</v>
      </c>
      <c r="B137" s="214" t="s">
        <v>358</v>
      </c>
      <c r="C137" s="238" t="s">
        <v>387</v>
      </c>
      <c r="D137" s="238">
        <v>5</v>
      </c>
      <c r="E137" s="215">
        <v>22</v>
      </c>
      <c r="F137" s="216">
        <v>33402</v>
      </c>
      <c r="G137" s="216">
        <v>19298.89</v>
      </c>
      <c r="H137" s="217">
        <f t="shared" si="1"/>
      </c>
      <c r="I137" s="217">
        <f t="shared" si="3"/>
      </c>
      <c r="J137" s="217">
        <f t="shared" si="2"/>
      </c>
      <c r="K137" s="215">
        <v>4</v>
      </c>
      <c r="L137" s="215">
        <v>6921.600000000001</v>
      </c>
      <c r="M137" s="215" t="s">
        <v>346</v>
      </c>
      <c r="N137" s="237">
        <v>8</v>
      </c>
      <c r="O137" s="223" t="s">
        <v>350</v>
      </c>
      <c r="P137" s="215">
        <v>12</v>
      </c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215"/>
      <c r="AC137" s="215"/>
      <c r="AD137" s="215"/>
      <c r="AE137" s="215"/>
      <c r="AF137" s="215"/>
      <c r="AG137" s="215"/>
      <c r="AH137" s="215"/>
    </row>
    <row r="138">
      <c r="A138" s="213" t="s">
        <v>390</v>
      </c>
      <c r="B138" s="214" t="s">
        <v>348</v>
      </c>
      <c r="C138" s="238" t="s">
        <v>388</v>
      </c>
      <c r="D138" s="238">
        <v>4</v>
      </c>
      <c r="E138" s="215">
        <v>17</v>
      </c>
      <c r="F138" s="216">
        <v>24940.800000000017</v>
      </c>
      <c r="G138" s="224">
        <v>15999.74</v>
      </c>
      <c r="H138" s="217">
        <f t="shared" si="1"/>
      </c>
      <c r="I138" s="217">
        <f t="shared" si="3"/>
      </c>
      <c r="J138" s="217">
        <f t="shared" si="2"/>
      </c>
      <c r="K138" s="215">
        <v>6</v>
      </c>
      <c r="L138" s="215">
        <v>11340.000000000004</v>
      </c>
      <c r="M138" s="223"/>
      <c r="N138" s="223"/>
      <c r="O138" s="222" t="s">
        <v>347</v>
      </c>
      <c r="P138" s="215">
        <v>9</v>
      </c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215"/>
      <c r="AH138" s="215"/>
    </row>
    <row r="139">
      <c r="A139" s="213" t="s">
        <v>390</v>
      </c>
      <c r="B139" s="214" t="s">
        <v>338</v>
      </c>
      <c r="C139" s="238" t="s">
        <v>389</v>
      </c>
      <c r="D139" s="238">
        <v>4</v>
      </c>
      <c r="E139" s="215">
        <v>22</v>
      </c>
      <c r="F139" s="216">
        <v>27709.199999999983</v>
      </c>
      <c r="G139" s="216">
        <v>20722.32</v>
      </c>
      <c r="H139" s="217">
        <f t="shared" si="1"/>
      </c>
      <c r="I139" s="217">
        <f t="shared" si="3"/>
      </c>
      <c r="J139" s="217">
        <f t="shared" si="2"/>
      </c>
      <c r="K139" s="215">
        <v>6</v>
      </c>
      <c r="L139" s="215">
        <v>6722.399999999997</v>
      </c>
      <c r="M139" s="223"/>
      <c r="N139" s="226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  <c r="AG139" s="223"/>
      <c r="AH139" s="223"/>
    </row>
    <row r="140">
      <c r="A140" s="227" t="s">
        <v>390</v>
      </c>
      <c r="B140" s="228"/>
      <c r="C140" s="228"/>
      <c r="D140" s="229">
        <f>SUM(D134:D139)</f>
      </c>
      <c r="E140" s="229">
        <f>SUM(E134:E139)</f>
      </c>
      <c r="F140" s="230">
        <f>SUM(F134:F139)</f>
      </c>
      <c r="G140" s="230">
        <f>SUM(G134:G139)</f>
      </c>
      <c r="H140" s="231">
        <f t="shared" si="1"/>
      </c>
      <c r="I140" s="231">
        <f t="shared" si="3"/>
      </c>
      <c r="J140" s="231">
        <f t="shared" si="2"/>
      </c>
      <c r="K140" s="229">
        <f>SUM(K134:K139)</f>
      </c>
      <c r="L140" s="231">
        <f>SUM(L134:L139)</f>
      </c>
      <c r="M140" s="228"/>
      <c r="N140" s="229">
        <f>SUM(N134:N139)</f>
      </c>
      <c r="O140" s="228"/>
      <c r="P140" s="229">
        <f>SUM(P135:P139)</f>
      </c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</row>
    <row r="141">
      <c r="A141" s="213" t="s">
        <v>393</v>
      </c>
      <c r="B141" s="214" t="s">
        <v>338</v>
      </c>
      <c r="C141" s="239" t="s">
        <v>391</v>
      </c>
      <c r="D141" s="239">
        <v>1</v>
      </c>
      <c r="E141" s="215">
        <v>2</v>
      </c>
      <c r="F141" s="215">
        <v>2688</v>
      </c>
      <c r="G141" s="216">
        <v>3801.71</v>
      </c>
      <c r="H141" s="217">
        <f t="shared" si="1"/>
      </c>
      <c r="I141" s="217">
        <f t="shared" si="3"/>
      </c>
      <c r="J141" s="217">
        <f t="shared" si="2"/>
      </c>
      <c r="K141" s="215">
        <v>0</v>
      </c>
      <c r="L141" s="215">
        <v>0</v>
      </c>
      <c r="M141" s="215" t="s">
        <v>374</v>
      </c>
      <c r="N141" s="234">
        <v>7</v>
      </c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</row>
    <row r="142">
      <c r="A142" s="213" t="s">
        <v>393</v>
      </c>
      <c r="B142" s="214" t="s">
        <v>352</v>
      </c>
      <c r="C142" s="239" t="s">
        <v>392</v>
      </c>
      <c r="D142" s="239">
        <v>5</v>
      </c>
      <c r="E142" s="215">
        <v>20</v>
      </c>
      <c r="F142" s="215">
        <v>27384</v>
      </c>
      <c r="G142" s="215">
        <v>14689.44</v>
      </c>
      <c r="H142" s="217">
        <f t="shared" si="1"/>
      </c>
      <c r="I142" s="217">
        <f t="shared" si="3"/>
      </c>
      <c r="J142" s="217">
        <f t="shared" si="2"/>
      </c>
      <c r="K142" s="215">
        <v>5</v>
      </c>
      <c r="L142" s="215">
        <v>5536.8</v>
      </c>
      <c r="M142" s="215" t="s">
        <v>370</v>
      </c>
      <c r="N142" s="236">
        <v>9</v>
      </c>
      <c r="O142" s="219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</row>
    <row r="143">
      <c r="A143" s="213" t="s">
        <v>393</v>
      </c>
      <c r="B143" s="214" t="s">
        <v>344</v>
      </c>
      <c r="C143" s="238" t="s">
        <v>386</v>
      </c>
      <c r="D143" s="238">
        <v>5</v>
      </c>
      <c r="E143" s="215">
        <v>36</v>
      </c>
      <c r="F143" s="216">
        <v>49093.200000000004</v>
      </c>
      <c r="G143" s="216">
        <v>32185.67</v>
      </c>
      <c r="H143" s="217">
        <f t="shared" si="1"/>
      </c>
      <c r="I143" s="217">
        <f t="shared" si="3"/>
      </c>
      <c r="J143" s="217">
        <f t="shared" si="2"/>
      </c>
      <c r="K143" s="215">
        <v>8</v>
      </c>
      <c r="L143" s="215">
        <v>9114</v>
      </c>
      <c r="M143" s="215"/>
      <c r="N143" s="235"/>
      <c r="O143" s="222" t="s">
        <v>347</v>
      </c>
      <c r="P143" s="215">
        <v>3</v>
      </c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</row>
    <row r="144">
      <c r="A144" s="213" t="s">
        <v>393</v>
      </c>
      <c r="B144" s="214" t="s">
        <v>358</v>
      </c>
      <c r="C144" s="238" t="s">
        <v>387</v>
      </c>
      <c r="D144" s="238">
        <v>5</v>
      </c>
      <c r="E144" s="215">
        <v>12</v>
      </c>
      <c r="F144" s="216">
        <v>9814.8</v>
      </c>
      <c r="G144" s="216">
        <v>17005.99</v>
      </c>
      <c r="H144" s="217">
        <f t="shared" si="1"/>
      </c>
      <c r="I144" s="217">
        <f t="shared" si="3"/>
      </c>
      <c r="J144" s="217">
        <f t="shared" si="2"/>
      </c>
      <c r="K144" s="215">
        <v>4</v>
      </c>
      <c r="L144" s="215">
        <v>2659.2</v>
      </c>
      <c r="M144" s="215" t="s">
        <v>367</v>
      </c>
      <c r="N144" s="237">
        <v>8</v>
      </c>
      <c r="O144" s="223" t="s">
        <v>350</v>
      </c>
      <c r="P144" s="215">
        <v>12</v>
      </c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</row>
    <row r="145">
      <c r="A145" s="213" t="s">
        <v>393</v>
      </c>
      <c r="B145" s="214" t="s">
        <v>341</v>
      </c>
      <c r="C145" s="238" t="s">
        <v>388</v>
      </c>
      <c r="D145" s="238">
        <v>4</v>
      </c>
      <c r="E145" s="215">
        <v>7</v>
      </c>
      <c r="F145" s="216">
        <v>10408.8</v>
      </c>
      <c r="G145" s="224">
        <v>11020.949999999999</v>
      </c>
      <c r="H145" s="217">
        <f t="shared" si="1"/>
      </c>
      <c r="I145" s="217">
        <f t="shared" si="3"/>
      </c>
      <c r="J145" s="217">
        <f t="shared" si="2"/>
      </c>
      <c r="K145" s="215">
        <v>2</v>
      </c>
      <c r="L145" s="215">
        <v>2851.2</v>
      </c>
      <c r="M145" s="223"/>
      <c r="N145" s="223"/>
      <c r="O145" s="222" t="s">
        <v>347</v>
      </c>
      <c r="P145" s="215">
        <v>9</v>
      </c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215"/>
      <c r="AC145" s="215"/>
      <c r="AD145" s="215"/>
      <c r="AE145" s="215"/>
      <c r="AF145" s="215"/>
      <c r="AG145" s="215"/>
      <c r="AH145" s="215"/>
    </row>
    <row r="146">
      <c r="A146" s="213" t="s">
        <v>393</v>
      </c>
      <c r="B146" s="214" t="s">
        <v>338</v>
      </c>
      <c r="C146" s="238" t="s">
        <v>389</v>
      </c>
      <c r="D146" s="238">
        <v>4</v>
      </c>
      <c r="E146" s="215">
        <v>9</v>
      </c>
      <c r="F146" s="216">
        <v>7528.800000000003</v>
      </c>
      <c r="G146" s="216">
        <v>10924.8</v>
      </c>
      <c r="H146" s="217">
        <f t="shared" si="1"/>
      </c>
      <c r="I146" s="217">
        <f t="shared" si="3"/>
      </c>
      <c r="J146" s="217">
        <f t="shared" si="2"/>
      </c>
      <c r="K146" s="215">
        <v>0</v>
      </c>
      <c r="L146" s="215">
        <v>0</v>
      </c>
      <c r="M146" s="223"/>
      <c r="N146" s="226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</row>
    <row r="147">
      <c r="A147" s="227" t="s">
        <v>393</v>
      </c>
      <c r="B147" s="228"/>
      <c r="C147" s="228"/>
      <c r="D147" s="229">
        <f>SUM(D141:D146)</f>
      </c>
      <c r="E147" s="229">
        <f>SUM(E141:E146)</f>
      </c>
      <c r="F147" s="230">
        <f>SUM(F141:F146)</f>
      </c>
      <c r="G147" s="230">
        <f>SUM(G141:G146)</f>
      </c>
      <c r="H147" s="231">
        <f t="shared" si="1"/>
      </c>
      <c r="I147" s="231">
        <f t="shared" si="3"/>
      </c>
      <c r="J147" s="231">
        <f t="shared" si="2"/>
      </c>
      <c r="K147" s="229">
        <f>SUM(K141:K146)</f>
      </c>
      <c r="L147" s="231">
        <f>SUM(L141:L146)</f>
      </c>
      <c r="M147" s="228"/>
      <c r="N147" s="229">
        <f>SUM(N141:N146)</f>
      </c>
      <c r="O147" s="228"/>
      <c r="P147" s="229">
        <f>SUM(P142:P146)</f>
      </c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</row>
    <row r="148">
      <c r="A148" s="213" t="s">
        <v>394</v>
      </c>
      <c r="B148" s="214" t="s">
        <v>338</v>
      </c>
      <c r="C148" s="239" t="s">
        <v>391</v>
      </c>
      <c r="D148" s="239">
        <v>1</v>
      </c>
      <c r="E148" s="215">
        <v>4</v>
      </c>
      <c r="F148" s="215">
        <v>5202</v>
      </c>
      <c r="G148" s="216">
        <v>2761.41</v>
      </c>
      <c r="H148" s="217">
        <f t="shared" si="1"/>
      </c>
      <c r="I148" s="217">
        <f t="shared" si="3"/>
      </c>
      <c r="J148" s="217">
        <f t="shared" si="2"/>
      </c>
      <c r="K148" s="215">
        <v>0</v>
      </c>
      <c r="L148" s="215">
        <v>0</v>
      </c>
      <c r="M148" s="215" t="s">
        <v>374</v>
      </c>
      <c r="N148" s="234">
        <v>7</v>
      </c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</row>
    <row r="149">
      <c r="A149" s="213" t="s">
        <v>394</v>
      </c>
      <c r="B149" s="214" t="s">
        <v>352</v>
      </c>
      <c r="C149" s="239" t="s">
        <v>392</v>
      </c>
      <c r="D149" s="239">
        <v>5</v>
      </c>
      <c r="E149" s="215">
        <v>9</v>
      </c>
      <c r="F149" s="215">
        <v>13160.400000000001</v>
      </c>
      <c r="G149" s="216">
        <v>12178</v>
      </c>
      <c r="H149" s="217">
        <f t="shared" si="1"/>
      </c>
      <c r="I149" s="217">
        <f t="shared" si="3"/>
      </c>
      <c r="J149" s="217">
        <f t="shared" si="2"/>
      </c>
      <c r="K149" s="215">
        <v>3</v>
      </c>
      <c r="L149" s="215">
        <v>6040.799999999999</v>
      </c>
      <c r="M149" s="215" t="s">
        <v>370</v>
      </c>
      <c r="N149" s="236">
        <v>9</v>
      </c>
      <c r="O149" s="219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</row>
    <row r="150">
      <c r="A150" s="213" t="s">
        <v>394</v>
      </c>
      <c r="B150" s="214" t="s">
        <v>344</v>
      </c>
      <c r="C150" s="238" t="s">
        <v>386</v>
      </c>
      <c r="D150" s="238">
        <v>5</v>
      </c>
      <c r="E150" s="215">
        <v>31</v>
      </c>
      <c r="F150" s="216">
        <v>31252.92</v>
      </c>
      <c r="G150" s="216">
        <v>25235.110000000004</v>
      </c>
      <c r="H150" s="217">
        <f t="shared" si="1"/>
      </c>
      <c r="I150" s="217">
        <f t="shared" si="3"/>
      </c>
      <c r="J150" s="217">
        <f t="shared" si="2"/>
      </c>
      <c r="K150" s="215">
        <v>2</v>
      </c>
      <c r="L150" s="215">
        <v>4022.4</v>
      </c>
      <c r="M150" s="215"/>
      <c r="N150" s="235"/>
      <c r="O150" s="222" t="s">
        <v>347</v>
      </c>
      <c r="P150" s="215">
        <v>3</v>
      </c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215"/>
      <c r="AC150" s="215"/>
      <c r="AD150" s="215"/>
      <c r="AE150" s="215"/>
      <c r="AF150" s="215"/>
      <c r="AG150" s="215"/>
      <c r="AH150" s="215"/>
    </row>
    <row r="151">
      <c r="A151" s="213" t="s">
        <v>394</v>
      </c>
      <c r="B151" s="214" t="s">
        <v>358</v>
      </c>
      <c r="C151" s="238" t="s">
        <v>387</v>
      </c>
      <c r="D151" s="238">
        <v>5</v>
      </c>
      <c r="E151" s="215">
        <v>26</v>
      </c>
      <c r="F151" s="216">
        <v>34398</v>
      </c>
      <c r="G151" s="216">
        <v>27257.540000000005</v>
      </c>
      <c r="H151" s="217">
        <f t="shared" si="1"/>
      </c>
      <c r="I151" s="217">
        <f t="shared" si="3"/>
      </c>
      <c r="J151" s="217">
        <f t="shared" si="2"/>
      </c>
      <c r="K151" s="215">
        <v>6</v>
      </c>
      <c r="L151" s="215">
        <v>7226.4</v>
      </c>
      <c r="M151" s="215" t="s">
        <v>367</v>
      </c>
      <c r="N151" s="237">
        <v>8</v>
      </c>
      <c r="O151" s="223" t="s">
        <v>350</v>
      </c>
      <c r="P151" s="215">
        <v>12</v>
      </c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215"/>
      <c r="AC151" s="215"/>
      <c r="AD151" s="215"/>
      <c r="AE151" s="215"/>
      <c r="AF151" s="215"/>
      <c r="AG151" s="215"/>
      <c r="AH151" s="215"/>
    </row>
    <row r="152">
      <c r="A152" s="213" t="s">
        <v>394</v>
      </c>
      <c r="B152" s="214" t="s">
        <v>341</v>
      </c>
      <c r="C152" s="238" t="s">
        <v>388</v>
      </c>
      <c r="D152" s="238">
        <v>4</v>
      </c>
      <c r="E152" s="215">
        <v>16</v>
      </c>
      <c r="F152" s="216">
        <v>15069.6</v>
      </c>
      <c r="G152" s="224">
        <v>15863.539999999999</v>
      </c>
      <c r="H152" s="217">
        <f t="shared" si="1"/>
      </c>
      <c r="I152" s="217">
        <f t="shared" si="3"/>
      </c>
      <c r="J152" s="217">
        <f t="shared" si="2"/>
      </c>
      <c r="K152" s="215">
        <v>5</v>
      </c>
      <c r="L152" s="215">
        <v>4762.8</v>
      </c>
      <c r="M152" s="223"/>
      <c r="N152" s="223"/>
      <c r="O152" s="222" t="s">
        <v>347</v>
      </c>
      <c r="P152" s="215">
        <v>9</v>
      </c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215"/>
      <c r="AC152" s="215"/>
      <c r="AD152" s="215"/>
      <c r="AE152" s="215"/>
      <c r="AF152" s="215"/>
      <c r="AG152" s="215"/>
      <c r="AH152" s="215"/>
    </row>
    <row r="153">
      <c r="A153" s="213" t="s">
        <v>394</v>
      </c>
      <c r="B153" s="214" t="s">
        <v>338</v>
      </c>
      <c r="C153" s="238" t="s">
        <v>389</v>
      </c>
      <c r="D153" s="238">
        <v>4</v>
      </c>
      <c r="E153" s="215">
        <v>14</v>
      </c>
      <c r="F153" s="216">
        <v>20247.60000000001</v>
      </c>
      <c r="G153" s="216">
        <v>16500.850000000002</v>
      </c>
      <c r="H153" s="217">
        <f t="shared" si="1"/>
      </c>
      <c r="I153" s="217">
        <f t="shared" si="3"/>
      </c>
      <c r="J153" s="217">
        <f t="shared" si="2"/>
      </c>
      <c r="K153" s="215">
        <v>2</v>
      </c>
      <c r="L153" s="215">
        <v>2337.6</v>
      </c>
      <c r="M153" s="223"/>
      <c r="N153" s="226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3"/>
      <c r="AE153" s="223"/>
      <c r="AF153" s="223"/>
      <c r="AG153" s="223"/>
      <c r="AH153" s="223"/>
    </row>
    <row r="154">
      <c r="A154" s="227" t="s">
        <v>394</v>
      </c>
      <c r="B154" s="228"/>
      <c r="C154" s="228"/>
      <c r="D154" s="229">
        <f>SUM(D148:D153)</f>
      </c>
      <c r="E154" s="229">
        <f>SUM(E148:E153)</f>
      </c>
      <c r="F154" s="230">
        <f>SUM(F148:F153)</f>
      </c>
      <c r="G154" s="230">
        <f>SUM(G148:G153)</f>
      </c>
      <c r="H154" s="231">
        <f t="shared" si="1"/>
      </c>
      <c r="I154" s="231">
        <f t="shared" si="3"/>
      </c>
      <c r="J154" s="231">
        <f t="shared" si="2"/>
      </c>
      <c r="K154" s="229">
        <f>SUM(K148:K153)</f>
      </c>
      <c r="L154" s="231">
        <f>SUM(L148:L153)</f>
      </c>
      <c r="M154" s="228"/>
      <c r="N154" s="229">
        <f>SUM(N148:N153)</f>
      </c>
      <c r="O154" s="228"/>
      <c r="P154" s="229">
        <f>SUM(P149:P153)</f>
      </c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</row>
    <row r="155">
      <c r="A155" s="213" t="s">
        <v>395</v>
      </c>
      <c r="B155" s="214" t="s">
        <v>338</v>
      </c>
      <c r="C155" s="239" t="s">
        <v>391</v>
      </c>
      <c r="D155" s="239">
        <v>1</v>
      </c>
      <c r="E155" s="215">
        <v>6</v>
      </c>
      <c r="F155" s="215">
        <v>9422.4</v>
      </c>
      <c r="G155" s="216">
        <v>5994.86</v>
      </c>
      <c r="H155" s="217">
        <f t="shared" si="1"/>
      </c>
      <c r="I155" s="217">
        <f t="shared" si="3"/>
      </c>
      <c r="J155" s="217">
        <f t="shared" si="2"/>
      </c>
      <c r="K155" s="215">
        <v>3</v>
      </c>
      <c r="L155" s="215">
        <v>2992.8</v>
      </c>
      <c r="M155" s="215" t="s">
        <v>374</v>
      </c>
      <c r="N155" s="234">
        <v>7</v>
      </c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</row>
    <row r="156">
      <c r="A156" s="240" t="s">
        <v>395</v>
      </c>
      <c r="B156" s="214" t="s">
        <v>352</v>
      </c>
      <c r="C156" s="239" t="s">
        <v>392</v>
      </c>
      <c r="D156" s="239">
        <v>5</v>
      </c>
      <c r="E156" s="215">
        <v>24</v>
      </c>
      <c r="F156" s="215">
        <v>26965.6</v>
      </c>
      <c r="G156" s="216">
        <v>22490.489999999998</v>
      </c>
      <c r="H156" s="217">
        <f t="shared" si="1"/>
      </c>
      <c r="I156" s="217">
        <f t="shared" si="3"/>
      </c>
      <c r="J156" s="217">
        <f t="shared" si="2"/>
      </c>
      <c r="K156" s="215">
        <v>5</v>
      </c>
      <c r="L156" s="215">
        <v>8044.6</v>
      </c>
      <c r="M156" s="215" t="s">
        <v>370</v>
      </c>
      <c r="N156" s="236">
        <v>9</v>
      </c>
      <c r="O156" s="219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</row>
    <row r="157">
      <c r="A157" s="240" t="s">
        <v>395</v>
      </c>
      <c r="B157" s="214" t="s">
        <v>344</v>
      </c>
      <c r="C157" s="238" t="s">
        <v>386</v>
      </c>
      <c r="D157" s="238">
        <v>5</v>
      </c>
      <c r="E157" s="215">
        <v>26</v>
      </c>
      <c r="F157" s="216">
        <v>38324.4</v>
      </c>
      <c r="G157" s="216">
        <v>23222.06</v>
      </c>
      <c r="H157" s="217">
        <f t="shared" si="1"/>
      </c>
      <c r="I157" s="217">
        <f t="shared" si="3"/>
      </c>
      <c r="J157" s="217">
        <f t="shared" si="2"/>
      </c>
      <c r="K157" s="215">
        <v>0</v>
      </c>
      <c r="L157" s="215">
        <v>0</v>
      </c>
      <c r="M157" s="215"/>
      <c r="N157" s="235"/>
      <c r="O157" s="222" t="s">
        <v>347</v>
      </c>
      <c r="P157" s="215">
        <v>3</v>
      </c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215"/>
      <c r="AC157" s="215"/>
      <c r="AD157" s="215"/>
      <c r="AE157" s="215"/>
      <c r="AF157" s="215"/>
      <c r="AG157" s="215"/>
      <c r="AH157" s="215"/>
    </row>
    <row r="158">
      <c r="A158" s="240" t="s">
        <v>395</v>
      </c>
      <c r="B158" s="214" t="s">
        <v>341</v>
      </c>
      <c r="C158" s="238" t="s">
        <v>387</v>
      </c>
      <c r="D158" s="238">
        <v>5</v>
      </c>
      <c r="E158" s="215">
        <v>40</v>
      </c>
      <c r="F158" s="216">
        <v>62596.8</v>
      </c>
      <c r="G158" s="216">
        <v>31519.050000000003</v>
      </c>
      <c r="H158" s="217">
        <f t="shared" si="1"/>
      </c>
      <c r="I158" s="217">
        <f t="shared" si="3"/>
      </c>
      <c r="J158" s="217">
        <f t="shared" si="2"/>
      </c>
      <c r="K158" s="215">
        <v>10</v>
      </c>
      <c r="L158" s="215">
        <v>14575.2</v>
      </c>
      <c r="M158" s="215" t="s">
        <v>367</v>
      </c>
      <c r="N158" s="237">
        <v>8</v>
      </c>
      <c r="O158" s="223" t="s">
        <v>350</v>
      </c>
      <c r="P158" s="215">
        <v>12</v>
      </c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215"/>
      <c r="AC158" s="215"/>
      <c r="AD158" s="215"/>
      <c r="AE158" s="215"/>
      <c r="AF158" s="215"/>
      <c r="AG158" s="215"/>
      <c r="AH158" s="215"/>
    </row>
    <row r="159">
      <c r="A159" s="240" t="s">
        <v>395</v>
      </c>
      <c r="B159" s="214" t="s">
        <v>338</v>
      </c>
      <c r="C159" s="238" t="s">
        <v>388</v>
      </c>
      <c r="D159" s="238">
        <v>4</v>
      </c>
      <c r="E159" s="215">
        <v>20</v>
      </c>
      <c r="F159" s="216">
        <v>20140.800000000003</v>
      </c>
      <c r="G159" s="224">
        <v>24666.340000000004</v>
      </c>
      <c r="H159" s="217">
        <f t="shared" si="1"/>
      </c>
      <c r="I159" s="217">
        <f t="shared" si="3"/>
      </c>
      <c r="J159" s="217">
        <f t="shared" si="2"/>
      </c>
      <c r="K159" s="215">
        <v>6</v>
      </c>
      <c r="L159" s="215">
        <v>5476.8</v>
      </c>
      <c r="M159" s="223"/>
      <c r="N159" s="223"/>
      <c r="O159" s="222" t="s">
        <v>347</v>
      </c>
      <c r="P159" s="215">
        <v>9</v>
      </c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215"/>
      <c r="AC159" s="215"/>
      <c r="AD159" s="215"/>
      <c r="AE159" s="215"/>
      <c r="AF159" s="215"/>
      <c r="AG159" s="215"/>
      <c r="AH159" s="215"/>
    </row>
    <row r="160">
      <c r="A160" s="240" t="s">
        <v>395</v>
      </c>
      <c r="B160" s="214" t="s">
        <v>348</v>
      </c>
      <c r="C160" s="238" t="s">
        <v>389</v>
      </c>
      <c r="D160" s="238">
        <v>4</v>
      </c>
      <c r="E160" s="215">
        <v>20</v>
      </c>
      <c r="F160" s="216">
        <v>22595.399999999994</v>
      </c>
      <c r="G160" s="216">
        <v>23719.899999999998</v>
      </c>
      <c r="H160" s="217">
        <f t="shared" si="1"/>
      </c>
      <c r="I160" s="217">
        <f t="shared" si="3"/>
      </c>
      <c r="J160" s="217">
        <f t="shared" si="2"/>
      </c>
      <c r="K160" s="215">
        <v>5</v>
      </c>
      <c r="L160" s="215">
        <v>7372.8</v>
      </c>
      <c r="M160" s="223"/>
      <c r="N160" s="226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</row>
    <row r="161">
      <c r="A161" s="227" t="s">
        <v>395</v>
      </c>
      <c r="B161" s="228"/>
      <c r="C161" s="228"/>
      <c r="D161" s="229">
        <f>SUM(D155:D160)</f>
      </c>
      <c r="E161" s="229">
        <f>SUM(E155:E160)</f>
      </c>
      <c r="F161" s="230">
        <f>SUM(F155:F160)</f>
      </c>
      <c r="G161" s="230">
        <f>SUM(G155:G160)</f>
      </c>
      <c r="H161" s="231">
        <f t="shared" si="1"/>
      </c>
      <c r="I161" s="231">
        <f t="shared" si="3"/>
      </c>
      <c r="J161" s="231">
        <f t="shared" si="2"/>
      </c>
      <c r="K161" s="229">
        <f>SUM(K155:K160)</f>
      </c>
      <c r="L161" s="231">
        <f>SUM(L155:L160)</f>
      </c>
      <c r="M161" s="228"/>
      <c r="N161" s="229">
        <f>SUM(N155:N160)</f>
      </c>
      <c r="O161" s="228"/>
      <c r="P161" s="229">
        <f>SUM(P156:P160)</f>
      </c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</row>
    <row r="162">
      <c r="A162" s="213" t="s">
        <v>396</v>
      </c>
      <c r="B162" s="214" t="s">
        <v>348</v>
      </c>
      <c r="C162" s="239" t="s">
        <v>391</v>
      </c>
      <c r="D162" s="239">
        <v>1</v>
      </c>
      <c r="E162" s="215">
        <v>4</v>
      </c>
      <c r="F162" s="215">
        <v>6105.6</v>
      </c>
      <c r="G162" s="216">
        <v>3794.54</v>
      </c>
      <c r="H162" s="217">
        <f t="shared" si="1"/>
      </c>
      <c r="I162" s="217">
        <f t="shared" si="3"/>
      </c>
      <c r="J162" s="217">
        <f t="shared" si="2"/>
      </c>
      <c r="K162" s="215">
        <v>1</v>
      </c>
      <c r="L162" s="215">
        <v>691.2</v>
      </c>
      <c r="M162" s="215" t="s">
        <v>374</v>
      </c>
      <c r="N162" s="234">
        <v>7</v>
      </c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</row>
    <row r="163">
      <c r="A163" s="213" t="s">
        <v>396</v>
      </c>
      <c r="B163" s="214" t="s">
        <v>358</v>
      </c>
      <c r="C163" s="239" t="s">
        <v>392</v>
      </c>
      <c r="D163" s="239">
        <v>5</v>
      </c>
      <c r="E163" s="215">
        <v>12</v>
      </c>
      <c r="F163" s="215">
        <v>19395.600000000002</v>
      </c>
      <c r="G163" s="216">
        <v>12901.400000000001</v>
      </c>
      <c r="H163" s="217">
        <f t="shared" si="1"/>
      </c>
      <c r="I163" s="217">
        <f t="shared" si="3"/>
      </c>
      <c r="J163" s="217">
        <f t="shared" si="2"/>
      </c>
      <c r="K163" s="215">
        <v>3</v>
      </c>
      <c r="L163" s="215">
        <v>2655.6</v>
      </c>
      <c r="M163" s="215" t="s">
        <v>370</v>
      </c>
      <c r="N163" s="236">
        <v>9</v>
      </c>
      <c r="O163" s="219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</row>
    <row r="164">
      <c r="A164" s="213" t="s">
        <v>396</v>
      </c>
      <c r="B164" s="214" t="s">
        <v>344</v>
      </c>
      <c r="C164" s="238" t="s">
        <v>386</v>
      </c>
      <c r="D164" s="238">
        <v>5</v>
      </c>
      <c r="E164" s="215">
        <v>40</v>
      </c>
      <c r="F164" s="216">
        <v>48475.399999999994</v>
      </c>
      <c r="G164" s="216">
        <v>33033.21</v>
      </c>
      <c r="H164" s="217">
        <f t="shared" si="1"/>
      </c>
      <c r="I164" s="217">
        <f t="shared" si="3"/>
      </c>
      <c r="J164" s="217">
        <f t="shared" si="2"/>
      </c>
      <c r="K164" s="215">
        <v>16</v>
      </c>
      <c r="L164" s="215">
        <v>15825.800000000001</v>
      </c>
      <c r="M164" s="215"/>
      <c r="N164" s="235"/>
      <c r="O164" s="222" t="s">
        <v>347</v>
      </c>
      <c r="P164" s="215">
        <v>3</v>
      </c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  <c r="AB164" s="215"/>
      <c r="AC164" s="215"/>
      <c r="AD164" s="215"/>
      <c r="AE164" s="215"/>
      <c r="AF164" s="215"/>
      <c r="AG164" s="215"/>
      <c r="AH164" s="215"/>
    </row>
    <row r="165">
      <c r="A165" s="213" t="s">
        <v>396</v>
      </c>
      <c r="B165" s="214" t="s">
        <v>341</v>
      </c>
      <c r="C165" s="238" t="s">
        <v>387</v>
      </c>
      <c r="D165" s="238">
        <v>5</v>
      </c>
      <c r="E165" s="215">
        <v>25</v>
      </c>
      <c r="F165" s="216">
        <v>37998</v>
      </c>
      <c r="G165" s="216">
        <v>25982.92</v>
      </c>
      <c r="H165" s="217">
        <f t="shared" si="1"/>
      </c>
      <c r="I165" s="217">
        <f t="shared" si="3"/>
      </c>
      <c r="J165" s="217">
        <f t="shared" si="2"/>
      </c>
      <c r="K165" s="215">
        <v>7</v>
      </c>
      <c r="L165" s="215">
        <v>9199.2</v>
      </c>
      <c r="M165" s="215" t="s">
        <v>397</v>
      </c>
      <c r="N165" s="237">
        <v>8</v>
      </c>
      <c r="O165" s="223" t="s">
        <v>350</v>
      </c>
      <c r="P165" s="215">
        <v>12</v>
      </c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215"/>
      <c r="AC165" s="215"/>
      <c r="AD165" s="215"/>
      <c r="AE165" s="215"/>
      <c r="AF165" s="215"/>
      <c r="AG165" s="215"/>
      <c r="AH165" s="215"/>
    </row>
    <row r="166">
      <c r="A166" s="213" t="s">
        <v>396</v>
      </c>
      <c r="B166" s="214" t="s">
        <v>338</v>
      </c>
      <c r="C166" s="238" t="s">
        <v>388</v>
      </c>
      <c r="D166" s="238">
        <v>4</v>
      </c>
      <c r="E166" s="215">
        <v>28</v>
      </c>
      <c r="F166" s="216">
        <v>30909.960000000003</v>
      </c>
      <c r="G166" s="224">
        <v>20559.799999999996</v>
      </c>
      <c r="H166" s="217">
        <f t="shared" si="1"/>
      </c>
      <c r="I166" s="217">
        <f t="shared" si="3"/>
      </c>
      <c r="J166" s="217">
        <f t="shared" si="2"/>
      </c>
      <c r="K166" s="215">
        <v>3</v>
      </c>
      <c r="L166" s="215">
        <v>4029.6000000000004</v>
      </c>
      <c r="M166" s="223"/>
      <c r="N166" s="223"/>
      <c r="O166" s="222" t="s">
        <v>347</v>
      </c>
      <c r="P166" s="215">
        <v>9</v>
      </c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  <c r="AB166" s="215"/>
      <c r="AC166" s="215"/>
      <c r="AD166" s="215"/>
      <c r="AE166" s="215"/>
      <c r="AF166" s="215"/>
      <c r="AG166" s="215"/>
      <c r="AH166" s="215"/>
    </row>
    <row r="167">
      <c r="A167" s="213" t="s">
        <v>396</v>
      </c>
      <c r="B167" s="214" t="s">
        <v>348</v>
      </c>
      <c r="C167" s="238" t="s">
        <v>389</v>
      </c>
      <c r="D167" s="238">
        <v>4</v>
      </c>
      <c r="E167" s="215">
        <v>26</v>
      </c>
      <c r="F167" s="216">
        <v>36560.60000000002</v>
      </c>
      <c r="G167" s="216">
        <v>26697.34</v>
      </c>
      <c r="H167" s="217">
        <f t="shared" si="1"/>
      </c>
      <c r="I167" s="217">
        <f t="shared" si="3"/>
      </c>
      <c r="J167" s="217">
        <f t="shared" si="2"/>
      </c>
      <c r="K167" s="215">
        <v>2</v>
      </c>
      <c r="L167" s="215">
        <v>1645.2</v>
      </c>
      <c r="M167" s="223"/>
      <c r="N167" s="226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  <c r="AB167" s="223"/>
      <c r="AC167" s="223"/>
      <c r="AD167" s="223"/>
      <c r="AE167" s="223"/>
      <c r="AF167" s="223"/>
      <c r="AG167" s="223"/>
      <c r="AH167" s="223"/>
    </row>
    <row r="168">
      <c r="A168" s="227" t="s">
        <v>396</v>
      </c>
      <c r="B168" s="228"/>
      <c r="C168" s="228"/>
      <c r="D168" s="229">
        <f>SUM(D162:D167)</f>
      </c>
      <c r="E168" s="229">
        <f>SUM(E162:E167)</f>
      </c>
      <c r="F168" s="230">
        <f>SUM(F162:F167)</f>
      </c>
      <c r="G168" s="230">
        <f>SUM(G162:G167)</f>
      </c>
      <c r="H168" s="231">
        <f t="shared" si="1"/>
      </c>
      <c r="I168" s="231">
        <f t="shared" si="3"/>
      </c>
      <c r="J168" s="231">
        <f t="shared" si="2"/>
      </c>
      <c r="K168" s="229">
        <f>SUM(K162:K167)</f>
      </c>
      <c r="L168" s="231">
        <f>SUM(L162:L167)</f>
      </c>
      <c r="M168" s="228"/>
      <c r="N168" s="229">
        <f>SUM(N162:N167)</f>
      </c>
      <c r="O168" s="228"/>
      <c r="P168" s="229">
        <f>SUM(P163:P167)</f>
      </c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</row>
    <row r="169">
      <c r="A169" s="213" t="s">
        <v>398</v>
      </c>
      <c r="B169" s="214" t="s">
        <v>348</v>
      </c>
      <c r="C169" s="239" t="s">
        <v>391</v>
      </c>
      <c r="D169" s="239">
        <v>1</v>
      </c>
      <c r="E169" s="215">
        <v>6</v>
      </c>
      <c r="F169" s="215">
        <v>2932.8</v>
      </c>
      <c r="G169" s="216">
        <v>4049.29</v>
      </c>
      <c r="H169" s="217">
        <f t="shared" si="1"/>
      </c>
      <c r="I169" s="217">
        <f t="shared" si="3"/>
      </c>
      <c r="J169" s="217">
        <f t="shared" si="2"/>
      </c>
      <c r="K169" s="215">
        <v>0</v>
      </c>
      <c r="L169" s="215">
        <v>0</v>
      </c>
      <c r="M169" s="215" t="s">
        <v>374</v>
      </c>
      <c r="N169" s="234">
        <v>7</v>
      </c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</row>
    <row r="170">
      <c r="A170" s="213" t="s">
        <v>398</v>
      </c>
      <c r="B170" s="214" t="s">
        <v>358</v>
      </c>
      <c r="C170" s="239" t="s">
        <v>392</v>
      </c>
      <c r="D170" s="239">
        <v>5</v>
      </c>
      <c r="E170" s="215">
        <v>41</v>
      </c>
      <c r="F170" s="215">
        <v>45741</v>
      </c>
      <c r="G170" s="216">
        <v>27875.5</v>
      </c>
      <c r="H170" s="217">
        <f t="shared" si="1"/>
      </c>
      <c r="I170" s="217">
        <f t="shared" si="3"/>
      </c>
      <c r="J170" s="217">
        <f t="shared" si="2"/>
      </c>
      <c r="K170" s="215">
        <v>12</v>
      </c>
      <c r="L170" s="215">
        <v>16688.4</v>
      </c>
      <c r="M170" s="215" t="s">
        <v>370</v>
      </c>
      <c r="N170" s="236">
        <v>9</v>
      </c>
      <c r="O170" s="219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</row>
    <row r="171">
      <c r="A171" s="213" t="s">
        <v>398</v>
      </c>
      <c r="B171" s="214" t="s">
        <v>344</v>
      </c>
      <c r="C171" s="238" t="s">
        <v>386</v>
      </c>
      <c r="D171" s="238">
        <v>5</v>
      </c>
      <c r="E171" s="215">
        <v>25</v>
      </c>
      <c r="F171" s="216">
        <v>27491</v>
      </c>
      <c r="G171" s="216">
        <v>25618.68</v>
      </c>
      <c r="H171" s="217">
        <f t="shared" si="1"/>
      </c>
      <c r="I171" s="217">
        <f t="shared" si="3"/>
      </c>
      <c r="J171" s="217">
        <f t="shared" si="2"/>
      </c>
      <c r="K171" s="215">
        <v>6</v>
      </c>
      <c r="L171" s="215">
        <v>7876.799999999998</v>
      </c>
      <c r="M171" s="215"/>
      <c r="N171" s="235"/>
      <c r="O171" s="222" t="s">
        <v>347</v>
      </c>
      <c r="P171" s="215">
        <v>3</v>
      </c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5"/>
      <c r="AG171" s="215"/>
      <c r="AH171" s="215"/>
    </row>
    <row r="172">
      <c r="A172" s="213" t="s">
        <v>398</v>
      </c>
      <c r="B172" s="214" t="s">
        <v>338</v>
      </c>
      <c r="C172" s="238" t="s">
        <v>387</v>
      </c>
      <c r="D172" s="238">
        <v>5</v>
      </c>
      <c r="E172" s="215">
        <v>22</v>
      </c>
      <c r="F172" s="216">
        <v>25353.599999999995</v>
      </c>
      <c r="G172" s="216">
        <v>28155.63</v>
      </c>
      <c r="H172" s="217">
        <f t="shared" si="1"/>
      </c>
      <c r="I172" s="217">
        <f t="shared" si="3"/>
      </c>
      <c r="J172" s="217">
        <f t="shared" si="2"/>
      </c>
      <c r="K172" s="215">
        <v>5</v>
      </c>
      <c r="L172" s="215">
        <v>4845.6</v>
      </c>
      <c r="M172" s="215" t="s">
        <v>346</v>
      </c>
      <c r="N172" s="237">
        <v>8</v>
      </c>
      <c r="O172" s="223" t="s">
        <v>350</v>
      </c>
      <c r="P172" s="215">
        <v>12</v>
      </c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  <c r="AB172" s="215"/>
      <c r="AC172" s="215"/>
      <c r="AD172" s="215"/>
      <c r="AE172" s="215"/>
      <c r="AF172" s="215"/>
      <c r="AG172" s="215"/>
      <c r="AH172" s="215"/>
    </row>
    <row r="173">
      <c r="A173" s="213" t="s">
        <v>398</v>
      </c>
      <c r="B173" s="214" t="s">
        <v>348</v>
      </c>
      <c r="C173" s="238" t="s">
        <v>388</v>
      </c>
      <c r="D173" s="238">
        <v>4</v>
      </c>
      <c r="E173" s="215">
        <v>16</v>
      </c>
      <c r="F173" s="216">
        <v>20901</v>
      </c>
      <c r="G173" s="224">
        <v>13538.949999999999</v>
      </c>
      <c r="H173" s="217">
        <f t="shared" si="1"/>
      </c>
      <c r="I173" s="217">
        <f t="shared" si="3"/>
      </c>
      <c r="J173" s="217">
        <f t="shared" si="2"/>
      </c>
      <c r="K173" s="215">
        <v>2</v>
      </c>
      <c r="L173" s="215">
        <v>921</v>
      </c>
      <c r="M173" s="223"/>
      <c r="N173" s="223"/>
      <c r="O173" s="222" t="s">
        <v>347</v>
      </c>
      <c r="P173" s="215">
        <v>9</v>
      </c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215"/>
      <c r="AC173" s="215"/>
      <c r="AD173" s="215"/>
      <c r="AE173" s="215"/>
      <c r="AF173" s="215"/>
      <c r="AG173" s="215"/>
      <c r="AH173" s="215"/>
    </row>
    <row r="174">
      <c r="A174" s="213" t="s">
        <v>398</v>
      </c>
      <c r="B174" s="214" t="s">
        <v>352</v>
      </c>
      <c r="C174" s="238" t="s">
        <v>389</v>
      </c>
      <c r="D174" s="238">
        <v>4</v>
      </c>
      <c r="E174" s="215">
        <v>27</v>
      </c>
      <c r="F174" s="216">
        <v>29022.399999999994</v>
      </c>
      <c r="G174" s="216">
        <v>18767.239999999998</v>
      </c>
      <c r="H174" s="217">
        <f t="shared" si="1"/>
      </c>
      <c r="I174" s="217">
        <f t="shared" si="3"/>
      </c>
      <c r="J174" s="217">
        <f t="shared" si="2"/>
      </c>
      <c r="K174" s="215">
        <v>5</v>
      </c>
      <c r="L174" s="215">
        <v>8760.000000000004</v>
      </c>
      <c r="M174" s="223"/>
      <c r="N174" s="226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23"/>
      <c r="AE174" s="223"/>
      <c r="AF174" s="223"/>
      <c r="AG174" s="223"/>
      <c r="AH174" s="223"/>
    </row>
    <row r="175">
      <c r="A175" s="227" t="s">
        <v>398</v>
      </c>
      <c r="B175" s="228"/>
      <c r="C175" s="228"/>
      <c r="D175" s="229">
        <f>SUM(D169:D174)</f>
      </c>
      <c r="E175" s="229">
        <f>SUM(E169:E174)</f>
      </c>
      <c r="F175" s="230">
        <f>SUM(F169:F174)</f>
      </c>
      <c r="G175" s="230">
        <f>SUM(G169:G174)</f>
      </c>
      <c r="H175" s="231">
        <f t="shared" si="1"/>
      </c>
      <c r="I175" s="231">
        <f t="shared" si="3"/>
      </c>
      <c r="J175" s="231">
        <f t="shared" si="2"/>
      </c>
      <c r="K175" s="229">
        <f>SUM(K169:K174)</f>
      </c>
      <c r="L175" s="231">
        <f>SUM(L169:L174)</f>
      </c>
      <c r="M175" s="228"/>
      <c r="N175" s="229">
        <f>SUM(N169:N174)</f>
      </c>
      <c r="O175" s="228"/>
      <c r="P175" s="229">
        <f>SUM(P170:P174)</f>
      </c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</row>
    <row r="176">
      <c r="A176" s="213" t="s">
        <v>399</v>
      </c>
      <c r="B176" s="214" t="s">
        <v>352</v>
      </c>
      <c r="C176" s="239" t="s">
        <v>391</v>
      </c>
      <c r="D176" s="239">
        <v>1</v>
      </c>
      <c r="E176" s="215">
        <v>3</v>
      </c>
      <c r="F176" s="215">
        <v>5678.4</v>
      </c>
      <c r="G176" s="216">
        <v>4885.24</v>
      </c>
      <c r="H176" s="217">
        <f t="shared" si="1"/>
      </c>
      <c r="I176" s="217">
        <f t="shared" si="3"/>
      </c>
      <c r="J176" s="217">
        <f t="shared" si="2"/>
      </c>
      <c r="K176" s="215">
        <v>0</v>
      </c>
      <c r="L176" s="215">
        <v>0</v>
      </c>
      <c r="M176" s="215" t="s">
        <v>374</v>
      </c>
      <c r="N176" s="234">
        <v>7</v>
      </c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</row>
    <row r="177">
      <c r="A177" s="213" t="s">
        <v>399</v>
      </c>
      <c r="B177" s="214" t="s">
        <v>341</v>
      </c>
      <c r="C177" s="239" t="s">
        <v>392</v>
      </c>
      <c r="D177" s="239">
        <v>5</v>
      </c>
      <c r="E177" s="215">
        <v>25</v>
      </c>
      <c r="F177" s="215">
        <v>33052.799999999996</v>
      </c>
      <c r="G177" s="216">
        <v>20630.21</v>
      </c>
      <c r="H177" s="217">
        <f t="shared" si="1"/>
      </c>
      <c r="I177" s="217">
        <f t="shared" si="3"/>
      </c>
      <c r="J177" s="217">
        <f t="shared" si="2"/>
      </c>
      <c r="K177" s="215">
        <v>7</v>
      </c>
      <c r="L177" s="215">
        <v>10719.599999999999</v>
      </c>
      <c r="M177" s="215" t="s">
        <v>370</v>
      </c>
      <c r="N177" s="236">
        <v>9</v>
      </c>
      <c r="O177" s="219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</row>
    <row r="178">
      <c r="A178" s="213" t="s">
        <v>399</v>
      </c>
      <c r="B178" s="214" t="s">
        <v>344</v>
      </c>
      <c r="C178" s="238" t="s">
        <v>386</v>
      </c>
      <c r="D178" s="238">
        <v>5</v>
      </c>
      <c r="E178" s="215">
        <v>22</v>
      </c>
      <c r="F178" s="216">
        <v>22070.160000000003</v>
      </c>
      <c r="G178" s="216">
        <v>26516.29</v>
      </c>
      <c r="H178" s="217">
        <f t="shared" si="1"/>
      </c>
      <c r="I178" s="217">
        <f t="shared" si="3"/>
      </c>
      <c r="J178" s="217">
        <f t="shared" si="2"/>
      </c>
      <c r="K178" s="215">
        <v>8</v>
      </c>
      <c r="L178" s="215">
        <v>7278</v>
      </c>
      <c r="M178" s="215"/>
      <c r="N178" s="235"/>
      <c r="O178" s="222" t="s">
        <v>347</v>
      </c>
      <c r="P178" s="215">
        <v>3</v>
      </c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215"/>
      <c r="AC178" s="215"/>
      <c r="AD178" s="215"/>
      <c r="AE178" s="215"/>
      <c r="AF178" s="215"/>
      <c r="AG178" s="215"/>
      <c r="AH178" s="215"/>
    </row>
    <row r="179">
      <c r="A179" s="213" t="s">
        <v>399</v>
      </c>
      <c r="B179" s="214" t="s">
        <v>338</v>
      </c>
      <c r="C179" s="239" t="s">
        <v>400</v>
      </c>
      <c r="D179" s="239">
        <v>4</v>
      </c>
      <c r="E179" s="215">
        <v>12</v>
      </c>
      <c r="F179" s="216">
        <v>12670.08</v>
      </c>
      <c r="G179" s="241">
        <v>15428.91</v>
      </c>
      <c r="H179" s="217">
        <f t="shared" si="1"/>
      </c>
      <c r="I179" s="217">
        <f t="shared" si="3"/>
      </c>
      <c r="J179" s="217">
        <f t="shared" si="2"/>
      </c>
      <c r="K179" s="215">
        <v>4</v>
      </c>
      <c r="L179" s="215">
        <v>1831.2</v>
      </c>
      <c r="M179" s="215" t="s">
        <v>346</v>
      </c>
      <c r="N179" s="237">
        <v>8</v>
      </c>
      <c r="O179" s="223" t="s">
        <v>350</v>
      </c>
      <c r="P179" s="215">
        <v>12</v>
      </c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  <c r="AB179" s="215"/>
      <c r="AC179" s="215"/>
      <c r="AD179" s="215"/>
      <c r="AE179" s="215"/>
      <c r="AF179" s="215"/>
      <c r="AG179" s="215"/>
      <c r="AH179" s="215"/>
    </row>
    <row r="180">
      <c r="A180" s="213" t="s">
        <v>399</v>
      </c>
      <c r="B180" s="214" t="s">
        <v>348</v>
      </c>
      <c r="C180" s="239" t="s">
        <v>401</v>
      </c>
      <c r="D180" s="238">
        <v>4</v>
      </c>
      <c r="E180" s="215">
        <v>12</v>
      </c>
      <c r="F180" s="242">
        <v>19042.800000000003</v>
      </c>
      <c r="G180" s="243">
        <v>13007.97</v>
      </c>
      <c r="H180" s="244">
        <f t="shared" si="1"/>
      </c>
      <c r="I180" s="217">
        <f t="shared" si="3"/>
      </c>
      <c r="J180" s="217">
        <f t="shared" si="2"/>
      </c>
      <c r="K180" s="215">
        <v>2</v>
      </c>
      <c r="L180" s="215">
        <v>2035.2000000000007</v>
      </c>
      <c r="M180" s="223"/>
      <c r="N180" s="223"/>
      <c r="O180" s="222" t="s">
        <v>347</v>
      </c>
      <c r="P180" s="215">
        <v>9</v>
      </c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215"/>
      <c r="AH180" s="215"/>
    </row>
    <row customHeight="true" ht="16.071428571428573" r="181">
      <c r="A181" s="213" t="s">
        <v>399</v>
      </c>
      <c r="B181" s="214" t="s">
        <v>402</v>
      </c>
      <c r="C181" s="239" t="s">
        <v>403</v>
      </c>
      <c r="D181" s="239">
        <v>2</v>
      </c>
      <c r="E181" s="215">
        <v>8</v>
      </c>
      <c r="F181" s="242">
        <v>10027.199999999997</v>
      </c>
      <c r="G181" s="243">
        <v>7489.700000000001</v>
      </c>
      <c r="H181" s="244">
        <f t="shared" si="1"/>
      </c>
      <c r="I181" s="217">
        <f t="shared" si="3"/>
      </c>
      <c r="J181" s="217">
        <f t="shared" si="2"/>
      </c>
      <c r="K181" s="215">
        <v>2</v>
      </c>
      <c r="L181" s="215">
        <v>1219.2000000000007</v>
      </c>
      <c r="M181" s="223"/>
      <c r="N181" s="223"/>
      <c r="O181" s="222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  <c r="AH181" s="215"/>
    </row>
    <row r="182">
      <c r="A182" s="213" t="s">
        <v>399</v>
      </c>
      <c r="B182" s="214" t="s">
        <v>352</v>
      </c>
      <c r="C182" s="239" t="s">
        <v>353</v>
      </c>
      <c r="D182" s="239">
        <v>3</v>
      </c>
      <c r="E182" s="215">
        <v>14</v>
      </c>
      <c r="F182" s="216">
        <v>23457.600000000006</v>
      </c>
      <c r="G182" s="245">
        <v>14300.38</v>
      </c>
      <c r="H182" s="217">
        <f t="shared" si="1"/>
      </c>
      <c r="I182" s="217">
        <f t="shared" si="3"/>
      </c>
      <c r="J182" s="217">
        <f t="shared" si="2"/>
      </c>
      <c r="K182" s="215">
        <v>2</v>
      </c>
      <c r="L182" s="215">
        <v>2702.399999999997</v>
      </c>
      <c r="M182" s="223"/>
      <c r="N182" s="226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  <c r="AB182" s="223"/>
      <c r="AC182" s="223"/>
      <c r="AD182" s="223"/>
      <c r="AE182" s="223"/>
      <c r="AF182" s="223"/>
      <c r="AG182" s="223"/>
      <c r="AH182" s="223"/>
    </row>
    <row r="183">
      <c r="A183" s="227" t="s">
        <v>399</v>
      </c>
      <c r="B183" s="228"/>
      <c r="C183" s="228"/>
      <c r="D183" s="229">
        <f>SUM(D176:D182)</f>
      </c>
      <c r="E183" s="229">
        <f>SUM(E176:E182)</f>
      </c>
      <c r="F183" s="230">
        <f>SUM(F176:F182)</f>
      </c>
      <c r="G183" s="230">
        <f>SUM(G176:G182)</f>
      </c>
      <c r="H183" s="231">
        <f t="shared" si="1"/>
      </c>
      <c r="I183" s="231">
        <f t="shared" si="3"/>
      </c>
      <c r="J183" s="231">
        <f t="shared" si="2"/>
      </c>
      <c r="K183" s="229">
        <f>SUM(K176:K182)</f>
      </c>
      <c r="L183" s="231">
        <f>SUM(L176:L182)</f>
      </c>
      <c r="M183" s="228"/>
      <c r="N183" s="229">
        <f>SUM(N176:N182)</f>
      </c>
      <c r="O183" s="228"/>
      <c r="P183" s="229">
        <f>SUM(P177:P182)</f>
      </c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</row>
    <row r="184">
      <c r="A184" s="213" t="s">
        <v>404</v>
      </c>
      <c r="B184" s="214" t="s">
        <v>352</v>
      </c>
      <c r="C184" s="239" t="s">
        <v>391</v>
      </c>
      <c r="D184" s="239">
        <v>1</v>
      </c>
      <c r="E184" s="215">
        <v>5</v>
      </c>
      <c r="F184" s="215">
        <v>8160</v>
      </c>
      <c r="G184" s="216">
        <v>4783.150000000001</v>
      </c>
      <c r="H184" s="217">
        <f t="shared" si="1"/>
      </c>
      <c r="I184" s="217">
        <f t="shared" si="3"/>
      </c>
      <c r="J184" s="217">
        <f t="shared" si="2"/>
      </c>
      <c r="K184" s="215">
        <v>1</v>
      </c>
      <c r="L184" s="215">
        <v>763.2</v>
      </c>
      <c r="M184" s="215" t="s">
        <v>374</v>
      </c>
      <c r="N184" s="234">
        <v>7</v>
      </c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</row>
    <row r="185">
      <c r="A185" s="213" t="s">
        <v>404</v>
      </c>
      <c r="B185" s="214" t="s">
        <v>341</v>
      </c>
      <c r="C185" s="239" t="s">
        <v>392</v>
      </c>
      <c r="D185" s="239">
        <v>5</v>
      </c>
      <c r="E185" s="215">
        <v>34</v>
      </c>
      <c r="F185" s="215">
        <v>38753.6</v>
      </c>
      <c r="G185" s="216">
        <v>23880.519999999997</v>
      </c>
      <c r="H185" s="217">
        <f t="shared" si="1"/>
      </c>
      <c r="I185" s="217">
        <f t="shared" si="3"/>
      </c>
      <c r="J185" s="217">
        <f t="shared" si="2"/>
      </c>
      <c r="K185" s="215">
        <v>7</v>
      </c>
      <c r="L185" s="215">
        <v>10622.400000000005</v>
      </c>
      <c r="M185" s="215" t="s">
        <v>370</v>
      </c>
      <c r="N185" s="236">
        <v>9</v>
      </c>
      <c r="O185" s="219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</row>
    <row r="186">
      <c r="A186" s="213" t="s">
        <v>404</v>
      </c>
      <c r="B186" s="214" t="s">
        <v>344</v>
      </c>
      <c r="C186" s="238" t="s">
        <v>386</v>
      </c>
      <c r="D186" s="238">
        <v>5</v>
      </c>
      <c r="E186" s="215">
        <v>24</v>
      </c>
      <c r="F186" s="216">
        <v>31384.8</v>
      </c>
      <c r="G186" s="216">
        <v>25073.870000000003</v>
      </c>
      <c r="H186" s="217">
        <f t="shared" si="1"/>
      </c>
      <c r="I186" s="217">
        <f t="shared" si="3"/>
      </c>
      <c r="J186" s="217">
        <f t="shared" si="2"/>
      </c>
      <c r="K186" s="215">
        <v>11</v>
      </c>
      <c r="L186" s="215">
        <v>16364.399999999998</v>
      </c>
      <c r="M186" s="215"/>
      <c r="N186" s="235"/>
      <c r="O186" s="222" t="s">
        <v>347</v>
      </c>
      <c r="P186" s="215">
        <v>3</v>
      </c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215"/>
      <c r="AC186" s="215"/>
      <c r="AD186" s="215"/>
      <c r="AE186" s="215"/>
      <c r="AF186" s="215"/>
      <c r="AG186" s="215"/>
      <c r="AH186" s="215"/>
    </row>
    <row r="187">
      <c r="A187" s="213" t="s">
        <v>404</v>
      </c>
      <c r="B187" s="214" t="s">
        <v>348</v>
      </c>
      <c r="C187" s="239" t="s">
        <v>400</v>
      </c>
      <c r="D187" s="239">
        <v>4</v>
      </c>
      <c r="E187" s="215">
        <v>12</v>
      </c>
      <c r="F187" s="216">
        <v>17260.8</v>
      </c>
      <c r="G187" s="241">
        <v>13955.52</v>
      </c>
      <c r="H187" s="217">
        <f t="shared" si="1"/>
      </c>
      <c r="I187" s="217">
        <f t="shared" si="3"/>
      </c>
      <c r="J187" s="217">
        <f t="shared" si="2"/>
      </c>
      <c r="K187" s="215">
        <v>1</v>
      </c>
      <c r="L187" s="215">
        <v>444</v>
      </c>
      <c r="M187" s="215" t="s">
        <v>346</v>
      </c>
      <c r="N187" s="237">
        <v>8</v>
      </c>
      <c r="O187" s="223" t="s">
        <v>350</v>
      </c>
      <c r="P187" s="215">
        <v>12</v>
      </c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215"/>
      <c r="AH187" s="215"/>
    </row>
    <row r="188">
      <c r="A188" s="213" t="s">
        <v>404</v>
      </c>
      <c r="B188" s="214" t="s">
        <v>352</v>
      </c>
      <c r="C188" s="239" t="s">
        <v>401</v>
      </c>
      <c r="D188" s="238">
        <v>4</v>
      </c>
      <c r="E188" s="215">
        <v>21</v>
      </c>
      <c r="F188" s="242">
        <v>31002.479999999996</v>
      </c>
      <c r="G188" s="243">
        <v>20820.92</v>
      </c>
      <c r="H188" s="244">
        <f t="shared" si="1"/>
      </c>
      <c r="I188" s="217">
        <f t="shared" si="3"/>
      </c>
      <c r="J188" s="217">
        <f t="shared" si="2"/>
      </c>
      <c r="K188" s="215">
        <v>7</v>
      </c>
      <c r="L188" s="215">
        <v>12050.399999999996</v>
      </c>
      <c r="M188" s="223"/>
      <c r="N188" s="223"/>
      <c r="O188" s="222" t="s">
        <v>347</v>
      </c>
      <c r="P188" s="215">
        <v>9</v>
      </c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5"/>
      <c r="AG188" s="215"/>
      <c r="AH188" s="215"/>
    </row>
    <row r="189">
      <c r="A189" s="213" t="s">
        <v>404</v>
      </c>
      <c r="B189" s="214" t="s">
        <v>402</v>
      </c>
      <c r="C189" s="239" t="s">
        <v>403</v>
      </c>
      <c r="D189" s="239">
        <v>2</v>
      </c>
      <c r="E189" s="215">
        <v>11</v>
      </c>
      <c r="F189" s="242">
        <v>8208</v>
      </c>
      <c r="G189" s="243">
        <v>9790.34</v>
      </c>
      <c r="H189" s="244">
        <f t="shared" si="1"/>
      </c>
      <c r="I189" s="217">
        <f t="shared" si="3"/>
      </c>
      <c r="J189" s="217">
        <f t="shared" si="2"/>
      </c>
      <c r="K189" s="215">
        <v>2</v>
      </c>
      <c r="L189" s="215">
        <v>991.1999999999971</v>
      </c>
      <c r="M189" s="223"/>
      <c r="N189" s="223"/>
      <c r="O189" s="222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  <c r="AB189" s="215"/>
      <c r="AC189" s="215"/>
      <c r="AD189" s="215"/>
      <c r="AE189" s="215"/>
      <c r="AF189" s="215"/>
      <c r="AG189" s="215"/>
      <c r="AH189" s="215"/>
    </row>
    <row r="190">
      <c r="A190" s="213" t="s">
        <v>404</v>
      </c>
      <c r="B190" s="214" t="s">
        <v>358</v>
      </c>
      <c r="C190" s="239" t="s">
        <v>353</v>
      </c>
      <c r="D190" s="239">
        <v>3</v>
      </c>
      <c r="E190" s="215">
        <v>7</v>
      </c>
      <c r="F190" s="216">
        <v>14303.200000000012</v>
      </c>
      <c r="G190" s="245">
        <v>13452.849999999999</v>
      </c>
      <c r="H190" s="217">
        <f t="shared" si="1"/>
      </c>
      <c r="I190" s="217">
        <f t="shared" si="3"/>
      </c>
      <c r="J190" s="217">
        <f t="shared" si="2"/>
      </c>
      <c r="K190" s="215">
        <v>0</v>
      </c>
      <c r="L190" s="215">
        <v>0</v>
      </c>
      <c r="M190" s="223"/>
      <c r="N190" s="226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</row>
    <row r="191">
      <c r="A191" s="227" t="s">
        <v>404</v>
      </c>
      <c r="B191" s="228"/>
      <c r="C191" s="228"/>
      <c r="D191" s="229">
        <f>SUM(D184:D190)</f>
      </c>
      <c r="E191" s="229">
        <f>SUM(E184:E190)</f>
      </c>
      <c r="F191" s="230">
        <f>SUM(F184:F190)</f>
      </c>
      <c r="G191" s="230">
        <f>SUM(G184:G190)</f>
      </c>
      <c r="H191" s="231">
        <f t="shared" si="1"/>
      </c>
      <c r="I191" s="231">
        <f t="shared" si="3"/>
      </c>
      <c r="J191" s="231">
        <f t="shared" si="2"/>
      </c>
      <c r="K191" s="229">
        <f>SUM(K184:K190)</f>
      </c>
      <c r="L191" s="231">
        <f>SUM(L184:L190)</f>
      </c>
      <c r="M191" s="228"/>
      <c r="N191" s="229">
        <f>SUM(N184:N190)</f>
      </c>
      <c r="O191" s="228"/>
      <c r="P191" s="229">
        <f>SUM(P185:P190)</f>
      </c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</row>
    <row r="192">
      <c r="A192" s="213" t="s">
        <v>405</v>
      </c>
      <c r="B192" s="214" t="s">
        <v>358</v>
      </c>
      <c r="C192" s="239" t="s">
        <v>391</v>
      </c>
      <c r="D192" s="239">
        <v>1</v>
      </c>
      <c r="E192" s="215">
        <v>6</v>
      </c>
      <c r="F192" s="215">
        <v>7702.8</v>
      </c>
      <c r="G192" s="216">
        <v>5862.85</v>
      </c>
      <c r="H192" s="217">
        <f t="shared" si="1"/>
      </c>
      <c r="I192" s="217">
        <f t="shared" si="3"/>
      </c>
      <c r="J192" s="217">
        <f t="shared" si="2"/>
      </c>
      <c r="K192" s="215">
        <v>2</v>
      </c>
      <c r="L192" s="215">
        <v>2455.2</v>
      </c>
      <c r="M192" s="215" t="s">
        <v>374</v>
      </c>
      <c r="N192" s="234">
        <v>7</v>
      </c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</row>
    <row r="193">
      <c r="A193" s="213" t="s">
        <v>405</v>
      </c>
      <c r="B193" s="214" t="s">
        <v>338</v>
      </c>
      <c r="C193" s="239" t="s">
        <v>392</v>
      </c>
      <c r="D193" s="239">
        <v>5</v>
      </c>
      <c r="E193" s="215">
        <v>37</v>
      </c>
      <c r="F193" s="215">
        <v>45572.399999999994</v>
      </c>
      <c r="G193" s="216">
        <v>26531.699999999997</v>
      </c>
      <c r="H193" s="217">
        <f t="shared" si="1"/>
      </c>
      <c r="I193" s="217">
        <f t="shared" si="3"/>
      </c>
      <c r="J193" s="217">
        <f t="shared" si="2"/>
      </c>
      <c r="K193" s="215">
        <v>5</v>
      </c>
      <c r="L193" s="215">
        <v>7597.2</v>
      </c>
      <c r="M193" s="215" t="s">
        <v>370</v>
      </c>
      <c r="N193" s="236">
        <v>9</v>
      </c>
      <c r="O193" s="219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</row>
    <row r="194">
      <c r="A194" s="213" t="s">
        <v>405</v>
      </c>
      <c r="B194" s="214" t="s">
        <v>344</v>
      </c>
      <c r="C194" s="238" t="s">
        <v>386</v>
      </c>
      <c r="D194" s="238">
        <v>5</v>
      </c>
      <c r="E194" s="215">
        <v>34</v>
      </c>
      <c r="F194" s="216">
        <v>38732.8</v>
      </c>
      <c r="G194" s="216">
        <v>34716.98</v>
      </c>
      <c r="H194" s="217">
        <f t="shared" si="1"/>
      </c>
      <c r="I194" s="217">
        <f t="shared" si="3"/>
      </c>
      <c r="J194" s="217">
        <f t="shared" si="2"/>
      </c>
      <c r="K194" s="215">
        <v>5</v>
      </c>
      <c r="L194" s="215">
        <v>10086</v>
      </c>
      <c r="M194" s="215"/>
      <c r="N194" s="235"/>
      <c r="O194" s="222" t="s">
        <v>347</v>
      </c>
      <c r="P194" s="215">
        <v>3</v>
      </c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215"/>
      <c r="AC194" s="215"/>
      <c r="AD194" s="215"/>
      <c r="AE194" s="215"/>
      <c r="AF194" s="215"/>
      <c r="AG194" s="215"/>
      <c r="AH194" s="215"/>
    </row>
    <row r="195">
      <c r="A195" s="213" t="s">
        <v>405</v>
      </c>
      <c r="B195" s="214" t="s">
        <v>348</v>
      </c>
      <c r="C195" s="239" t="s">
        <v>400</v>
      </c>
      <c r="D195" s="239">
        <v>4</v>
      </c>
      <c r="E195" s="215">
        <v>12</v>
      </c>
      <c r="F195" s="216">
        <v>15259.199999999999</v>
      </c>
      <c r="G195" s="241">
        <v>18626.09</v>
      </c>
      <c r="H195" s="217">
        <f t="shared" si="1"/>
      </c>
      <c r="I195" s="217">
        <f t="shared" si="3"/>
      </c>
      <c r="J195" s="217">
        <f t="shared" si="2"/>
      </c>
      <c r="K195" s="215">
        <v>4</v>
      </c>
      <c r="L195" s="215">
        <v>5042.4</v>
      </c>
      <c r="M195" s="215" t="s">
        <v>406</v>
      </c>
      <c r="N195" s="237">
        <v>8</v>
      </c>
      <c r="O195" s="223" t="s">
        <v>350</v>
      </c>
      <c r="P195" s="215">
        <v>12</v>
      </c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215"/>
      <c r="AC195" s="215"/>
      <c r="AD195" s="215"/>
      <c r="AE195" s="215"/>
      <c r="AF195" s="215"/>
      <c r="AG195" s="215"/>
      <c r="AH195" s="215"/>
    </row>
    <row r="196">
      <c r="A196" s="213" t="s">
        <v>405</v>
      </c>
      <c r="B196" s="214" t="s">
        <v>352</v>
      </c>
      <c r="C196" s="239" t="s">
        <v>401</v>
      </c>
      <c r="D196" s="238">
        <v>4</v>
      </c>
      <c r="E196" s="215">
        <v>20</v>
      </c>
      <c r="F196" s="242">
        <v>28026.00000000001</v>
      </c>
      <c r="G196" s="243">
        <v>25372.02</v>
      </c>
      <c r="H196" s="244">
        <f t="shared" si="1"/>
      </c>
      <c r="I196" s="217">
        <f t="shared" si="3"/>
      </c>
      <c r="J196" s="217">
        <f t="shared" si="2"/>
      </c>
      <c r="K196" s="215">
        <v>6</v>
      </c>
      <c r="L196" s="215">
        <v>9232.8</v>
      </c>
      <c r="M196" s="223"/>
      <c r="N196" s="223"/>
      <c r="O196" s="222" t="s">
        <v>347</v>
      </c>
      <c r="P196" s="215">
        <v>9</v>
      </c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215"/>
      <c r="AC196" s="215"/>
      <c r="AD196" s="215"/>
      <c r="AE196" s="215"/>
      <c r="AF196" s="215"/>
      <c r="AG196" s="215"/>
      <c r="AH196" s="215"/>
    </row>
    <row r="197">
      <c r="A197" s="213" t="s">
        <v>405</v>
      </c>
      <c r="B197" s="214" t="s">
        <v>402</v>
      </c>
      <c r="C197" s="239" t="s">
        <v>403</v>
      </c>
      <c r="D197" s="239">
        <v>2</v>
      </c>
      <c r="E197" s="215">
        <v>14</v>
      </c>
      <c r="F197" s="242">
        <v>9988.799999999988</v>
      </c>
      <c r="G197" s="243">
        <v>10719.380000000001</v>
      </c>
      <c r="H197" s="244">
        <f t="shared" si="1"/>
      </c>
      <c r="I197" s="217">
        <f t="shared" si="3"/>
      </c>
      <c r="J197" s="217">
        <f t="shared" si="2"/>
      </c>
      <c r="K197" s="215">
        <v>5</v>
      </c>
      <c r="L197" s="215">
        <v>4092</v>
      </c>
      <c r="M197" s="223"/>
      <c r="N197" s="223"/>
      <c r="O197" s="222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215"/>
      <c r="AH197" s="215"/>
    </row>
    <row r="198">
      <c r="A198" s="213" t="s">
        <v>405</v>
      </c>
      <c r="B198" s="214" t="s">
        <v>358</v>
      </c>
      <c r="C198" s="239" t="s">
        <v>353</v>
      </c>
      <c r="D198" s="239">
        <v>3</v>
      </c>
      <c r="E198" s="215">
        <v>15</v>
      </c>
      <c r="F198" s="215">
        <v>20353.399999999994</v>
      </c>
      <c r="G198" s="216">
        <v>17396.78</v>
      </c>
      <c r="H198" s="217">
        <f t="shared" si="1"/>
      </c>
      <c r="I198" s="217">
        <f t="shared" si="3"/>
      </c>
      <c r="J198" s="217">
        <f t="shared" si="2"/>
      </c>
      <c r="K198" s="215">
        <v>3</v>
      </c>
      <c r="L198" s="215">
        <v>3885.6</v>
      </c>
      <c r="M198" s="223"/>
      <c r="N198" s="226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  <c r="AE198" s="223"/>
      <c r="AF198" s="223"/>
      <c r="AG198" s="223"/>
      <c r="AH198" s="223"/>
    </row>
    <row r="199">
      <c r="A199" s="227" t="s">
        <v>405</v>
      </c>
      <c r="B199" s="228"/>
      <c r="C199" s="228"/>
      <c r="D199" s="229">
        <f>SUM(D192:D198)</f>
      </c>
      <c r="E199" s="229">
        <f>SUM(E192:E198)</f>
      </c>
      <c r="F199" s="230">
        <f>SUM(F192:F198)</f>
      </c>
      <c r="G199" s="230">
        <f>SUM(G192:G198)</f>
      </c>
      <c r="H199" s="231">
        <f t="shared" si="1"/>
      </c>
      <c r="I199" s="231">
        <f t="shared" si="3"/>
      </c>
      <c r="J199" s="231">
        <f t="shared" si="2"/>
      </c>
      <c r="K199" s="229">
        <f>SUM(K192:K198)</f>
      </c>
      <c r="L199" s="231">
        <f>SUM(L192:L198)</f>
      </c>
      <c r="M199" s="228"/>
      <c r="N199" s="229">
        <f>SUM(N192:N198)</f>
      </c>
      <c r="O199" s="228"/>
      <c r="P199" s="229">
        <f>SUM(P193:P198)</f>
      </c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</row>
    <row r="200">
      <c r="A200" s="213" t="s">
        <v>407</v>
      </c>
      <c r="B200" s="214" t="s">
        <v>358</v>
      </c>
      <c r="C200" s="239" t="s">
        <v>391</v>
      </c>
      <c r="D200" s="239">
        <v>1</v>
      </c>
      <c r="E200" s="215">
        <v>11</v>
      </c>
      <c r="F200" s="215">
        <v>16910.4</v>
      </c>
      <c r="G200" s="216">
        <v>5932.95</v>
      </c>
      <c r="H200" s="217">
        <f t="shared" si="1"/>
      </c>
      <c r="I200" s="217">
        <f t="shared" si="3"/>
      </c>
      <c r="J200" s="217">
        <f t="shared" si="2"/>
      </c>
      <c r="K200" s="215">
        <v>1</v>
      </c>
      <c r="L200" s="215">
        <v>2407.2</v>
      </c>
      <c r="M200" s="215" t="s">
        <v>374</v>
      </c>
      <c r="N200" s="234">
        <v>7</v>
      </c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</row>
    <row r="201">
      <c r="A201" s="213" t="s">
        <v>407</v>
      </c>
      <c r="B201" s="214" t="s">
        <v>338</v>
      </c>
      <c r="C201" s="239" t="s">
        <v>392</v>
      </c>
      <c r="D201" s="246">
        <f>5-1</f>
      </c>
      <c r="E201" s="215">
        <v>23</v>
      </c>
      <c r="F201" s="215">
        <v>25826.4</v>
      </c>
      <c r="G201" s="216">
        <v>23767.75</v>
      </c>
      <c r="H201" s="217">
        <f t="shared" si="1"/>
      </c>
      <c r="I201" s="217">
        <f t="shared" si="3"/>
      </c>
      <c r="J201" s="217">
        <f t="shared" si="2"/>
      </c>
      <c r="K201" s="215">
        <v>7</v>
      </c>
      <c r="L201" s="215">
        <v>7926</v>
      </c>
      <c r="M201" s="215" t="s">
        <v>370</v>
      </c>
      <c r="N201" s="236">
        <v>9</v>
      </c>
      <c r="O201" s="219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</row>
    <row r="202">
      <c r="A202" s="213" t="s">
        <v>407</v>
      </c>
      <c r="B202" s="214" t="s">
        <v>344</v>
      </c>
      <c r="C202" s="238" t="s">
        <v>386</v>
      </c>
      <c r="D202" s="238">
        <v>5</v>
      </c>
      <c r="E202" s="215">
        <v>14</v>
      </c>
      <c r="F202" s="216">
        <v>20414.4</v>
      </c>
      <c r="G202" s="216">
        <v>20601.340000000004</v>
      </c>
      <c r="H202" s="217">
        <f t="shared" si="1"/>
      </c>
      <c r="I202" s="217">
        <f t="shared" si="3"/>
      </c>
      <c r="J202" s="217">
        <f t="shared" si="2"/>
      </c>
      <c r="K202" s="215">
        <v>4</v>
      </c>
      <c r="L202" s="215">
        <v>4497.6</v>
      </c>
      <c r="M202" s="215"/>
      <c r="N202" s="235"/>
      <c r="O202" s="222" t="s">
        <v>347</v>
      </c>
      <c r="P202" s="215">
        <v>3</v>
      </c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215"/>
      <c r="AH202" s="215"/>
    </row>
    <row r="203">
      <c r="A203" s="213" t="s">
        <v>407</v>
      </c>
      <c r="B203" s="214" t="s">
        <v>352</v>
      </c>
      <c r="C203" s="238" t="s">
        <v>387</v>
      </c>
      <c r="D203" s="238">
        <v>5</v>
      </c>
      <c r="E203" s="215">
        <v>17</v>
      </c>
      <c r="F203" s="216">
        <v>18967.999999999993</v>
      </c>
      <c r="G203" s="241">
        <v>18145.2</v>
      </c>
      <c r="H203" s="217">
        <f t="shared" si="1"/>
      </c>
      <c r="I203" s="217">
        <f t="shared" si="3"/>
      </c>
      <c r="J203" s="217">
        <f t="shared" si="2"/>
      </c>
      <c r="K203" s="215">
        <v>8</v>
      </c>
      <c r="L203" s="215">
        <v>10478.4</v>
      </c>
      <c r="M203" s="215" t="s">
        <v>346</v>
      </c>
      <c r="N203" s="237">
        <v>8</v>
      </c>
      <c r="O203" s="223" t="s">
        <v>350</v>
      </c>
      <c r="P203" s="215">
        <v>12</v>
      </c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215"/>
      <c r="AC203" s="215"/>
      <c r="AD203" s="215"/>
      <c r="AE203" s="215"/>
      <c r="AF203" s="215"/>
      <c r="AG203" s="215"/>
      <c r="AH203" s="215"/>
    </row>
    <row r="204">
      <c r="A204" s="213" t="s">
        <v>407</v>
      </c>
      <c r="B204" s="214" t="s">
        <v>358</v>
      </c>
      <c r="C204" s="238" t="s">
        <v>388</v>
      </c>
      <c r="D204" s="247">
        <f>4-1</f>
      </c>
      <c r="E204" s="215">
        <v>12</v>
      </c>
      <c r="F204" s="242">
        <v>17851.199999999997</v>
      </c>
      <c r="G204" s="243">
        <v>12707.75</v>
      </c>
      <c r="H204" s="244">
        <f t="shared" si="1"/>
      </c>
      <c r="I204" s="217">
        <f t="shared" si="3"/>
      </c>
      <c r="J204" s="217">
        <f t="shared" si="2"/>
      </c>
      <c r="K204" s="215">
        <v>1</v>
      </c>
      <c r="L204" s="215">
        <v>1411.2</v>
      </c>
      <c r="M204" s="223"/>
      <c r="N204" s="223"/>
      <c r="O204" s="222" t="s">
        <v>347</v>
      </c>
      <c r="P204" s="215">
        <v>9</v>
      </c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215"/>
      <c r="AC204" s="215"/>
      <c r="AD204" s="215"/>
      <c r="AE204" s="215"/>
      <c r="AF204" s="215"/>
      <c r="AG204" s="215"/>
      <c r="AH204" s="215"/>
    </row>
    <row r="205">
      <c r="A205" s="213" t="s">
        <v>407</v>
      </c>
      <c r="B205" s="214" t="s">
        <v>341</v>
      </c>
      <c r="C205" s="238" t="s">
        <v>389</v>
      </c>
      <c r="D205" s="238">
        <v>4</v>
      </c>
      <c r="E205" s="215">
        <v>18</v>
      </c>
      <c r="F205" s="215">
        <v>25154.4</v>
      </c>
      <c r="G205" s="216">
        <v>16777.75</v>
      </c>
      <c r="H205" s="217">
        <f t="shared" si="1"/>
      </c>
      <c r="I205" s="217">
        <f t="shared" si="3"/>
      </c>
      <c r="J205" s="217">
        <f t="shared" si="2"/>
      </c>
      <c r="K205" s="215">
        <v>2</v>
      </c>
      <c r="L205" s="215">
        <v>2269.2</v>
      </c>
      <c r="M205" s="223"/>
      <c r="N205" s="226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23"/>
      <c r="AE205" s="223"/>
      <c r="AF205" s="223"/>
      <c r="AG205" s="223"/>
      <c r="AH205" s="223"/>
    </row>
    <row r="206">
      <c r="A206" s="227" t="s">
        <v>407</v>
      </c>
      <c r="B206" s="228"/>
      <c r="C206" s="228"/>
      <c r="D206" s="229">
        <f>SUM(D200:D205)</f>
      </c>
      <c r="E206" s="229">
        <f>SUM(E200:E205)</f>
      </c>
      <c r="F206" s="230">
        <f>SUM(F200:F205)</f>
      </c>
      <c r="G206" s="230">
        <f>SUM(G200:G205)</f>
      </c>
      <c r="H206" s="231">
        <f t="shared" si="1"/>
      </c>
      <c r="I206" s="231">
        <f t="shared" si="3"/>
      </c>
      <c r="J206" s="231">
        <f t="shared" si="2"/>
      </c>
      <c r="K206" s="229">
        <f>SUM(K200:K205)</f>
      </c>
      <c r="L206" s="231">
        <f>SUM(L200:L205)</f>
      </c>
      <c r="M206" s="228"/>
      <c r="N206" s="229">
        <f>SUM(N200:N205)</f>
      </c>
      <c r="O206" s="228"/>
      <c r="P206" s="229">
        <f>SUM(P201:P205)</f>
      </c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  <c r="AE206" s="229"/>
      <c r="AF206" s="229"/>
      <c r="AG206" s="229"/>
      <c r="AH206" s="229"/>
    </row>
    <row r="207">
      <c r="A207" s="213" t="s">
        <v>408</v>
      </c>
      <c r="B207" s="214" t="s">
        <v>341</v>
      </c>
      <c r="C207" s="239" t="s">
        <v>391</v>
      </c>
      <c r="D207" s="239">
        <v>1</v>
      </c>
      <c r="E207" s="215">
        <v>11</v>
      </c>
      <c r="F207" s="215">
        <v>19357.2</v>
      </c>
      <c r="G207" s="216">
        <v>7585.87</v>
      </c>
      <c r="H207" s="217">
        <f t="shared" si="1"/>
      </c>
      <c r="I207" s="217">
        <f t="shared" si="3"/>
      </c>
      <c r="J207" s="217">
        <f t="shared" si="2"/>
      </c>
      <c r="K207" s="215">
        <v>3</v>
      </c>
      <c r="L207" s="215">
        <v>4440</v>
      </c>
      <c r="M207" s="215" t="s">
        <v>397</v>
      </c>
      <c r="N207" s="234">
        <v>7</v>
      </c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</row>
    <row r="208">
      <c r="A208" s="213" t="s">
        <v>408</v>
      </c>
      <c r="B208" s="214" t="s">
        <v>348</v>
      </c>
      <c r="C208" s="239" t="s">
        <v>392</v>
      </c>
      <c r="D208" s="246">
        <f>5-1</f>
      </c>
      <c r="E208" s="215">
        <v>18</v>
      </c>
      <c r="F208" s="215">
        <v>21433.2</v>
      </c>
      <c r="G208" s="216">
        <v>24291.280000000002</v>
      </c>
      <c r="H208" s="217">
        <f t="shared" si="1"/>
      </c>
      <c r="I208" s="217">
        <f t="shared" si="3"/>
      </c>
      <c r="J208" s="217">
        <f t="shared" si="2"/>
      </c>
      <c r="K208" s="215">
        <v>7</v>
      </c>
      <c r="L208" s="215">
        <v>10530</v>
      </c>
      <c r="M208" s="215" t="s">
        <v>370</v>
      </c>
      <c r="N208" s="236">
        <v>9</v>
      </c>
      <c r="O208" s="219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</row>
    <row r="209">
      <c r="A209" s="213" t="s">
        <v>408</v>
      </c>
      <c r="B209" s="214" t="s">
        <v>344</v>
      </c>
      <c r="C209" s="238" t="s">
        <v>386</v>
      </c>
      <c r="D209" s="238">
        <v>5</v>
      </c>
      <c r="E209" s="215">
        <v>19</v>
      </c>
      <c r="F209" s="216">
        <v>27870</v>
      </c>
      <c r="G209" s="216">
        <v>20020.78</v>
      </c>
      <c r="H209" s="217">
        <f t="shared" si="1"/>
      </c>
      <c r="I209" s="217">
        <f t="shared" si="3"/>
      </c>
      <c r="J209" s="217">
        <f t="shared" si="2"/>
      </c>
      <c r="K209" s="215">
        <v>9</v>
      </c>
      <c r="L209" s="215">
        <v>13926</v>
      </c>
      <c r="M209" s="215"/>
      <c r="N209" s="235"/>
      <c r="O209" s="222" t="s">
        <v>347</v>
      </c>
      <c r="P209" s="215">
        <v>3</v>
      </c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  <c r="AB209" s="215"/>
      <c r="AC209" s="215"/>
      <c r="AD209" s="215"/>
      <c r="AE209" s="215"/>
      <c r="AF209" s="215"/>
      <c r="AG209" s="215"/>
      <c r="AH209" s="215"/>
    </row>
    <row customHeight="true" ht="16.071428571428573" r="210">
      <c r="A210" s="213" t="s">
        <v>408</v>
      </c>
      <c r="B210" s="214" t="s">
        <v>352</v>
      </c>
      <c r="C210" s="239" t="s">
        <v>400</v>
      </c>
      <c r="D210" s="246">
        <f>4-1</f>
      </c>
      <c r="E210" s="215">
        <v>17</v>
      </c>
      <c r="F210" s="216">
        <v>20578.8</v>
      </c>
      <c r="G210" s="241">
        <v>14235.67</v>
      </c>
      <c r="H210" s="217">
        <f t="shared" si="1"/>
      </c>
      <c r="I210" s="217">
        <f t="shared" si="3"/>
      </c>
      <c r="J210" s="217">
        <f t="shared" si="2"/>
      </c>
      <c r="K210" s="215">
        <v>2</v>
      </c>
      <c r="L210" s="215">
        <v>3122.4</v>
      </c>
      <c r="M210" s="215" t="s">
        <v>409</v>
      </c>
      <c r="N210" s="237">
        <v>8</v>
      </c>
      <c r="O210" s="223" t="s">
        <v>350</v>
      </c>
      <c r="P210" s="215">
        <v>12</v>
      </c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215"/>
      <c r="AC210" s="215"/>
      <c r="AD210" s="215"/>
      <c r="AE210" s="215"/>
      <c r="AF210" s="215"/>
      <c r="AG210" s="215"/>
      <c r="AH210" s="215"/>
    </row>
    <row customHeight="true" ht="16.071428571428573" r="211">
      <c r="A211" s="213" t="s">
        <v>408</v>
      </c>
      <c r="B211" s="214" t="s">
        <v>358</v>
      </c>
      <c r="C211" s="239" t="s">
        <v>401</v>
      </c>
      <c r="D211" s="247">
        <f>4-1.5</f>
      </c>
      <c r="E211" s="215">
        <v>13</v>
      </c>
      <c r="F211" s="242">
        <v>10154.4</v>
      </c>
      <c r="G211" s="248">
        <v>14313.24</v>
      </c>
      <c r="H211" s="244">
        <f t="shared" si="1"/>
      </c>
      <c r="I211" s="217">
        <f t="shared" si="3"/>
      </c>
      <c r="J211" s="217">
        <f t="shared" si="2"/>
      </c>
      <c r="K211" s="215">
        <v>4</v>
      </c>
      <c r="L211" s="215">
        <v>3351.6</v>
      </c>
      <c r="M211" s="223"/>
      <c r="N211" s="223"/>
      <c r="O211" s="222" t="s">
        <v>347</v>
      </c>
      <c r="P211" s="215">
        <v>9</v>
      </c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  <c r="AE211" s="215"/>
      <c r="AF211" s="215"/>
      <c r="AG211" s="215"/>
      <c r="AH211" s="215"/>
    </row>
    <row customHeight="true" ht="16.071428571428573" r="212">
      <c r="A212" s="213" t="s">
        <v>408</v>
      </c>
      <c r="B212" s="214" t="s">
        <v>402</v>
      </c>
      <c r="C212" s="239" t="s">
        <v>403</v>
      </c>
      <c r="D212" s="239">
        <v>2</v>
      </c>
      <c r="E212" s="215">
        <v>1</v>
      </c>
      <c r="F212" s="215">
        <v>374.4</v>
      </c>
      <c r="G212" s="216">
        <v>7545.79</v>
      </c>
      <c r="H212" s="244">
        <f t="shared" si="1"/>
      </c>
      <c r="I212" s="217">
        <f t="shared" si="3"/>
      </c>
      <c r="J212" s="217">
        <f t="shared" si="2"/>
      </c>
      <c r="K212" s="215">
        <v>0</v>
      </c>
      <c r="L212" s="215">
        <v>0</v>
      </c>
      <c r="M212" s="223"/>
      <c r="N212" s="226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3"/>
      <c r="AD212" s="223"/>
      <c r="AE212" s="223"/>
      <c r="AF212" s="223"/>
      <c r="AG212" s="223"/>
      <c r="AH212" s="223"/>
    </row>
    <row customHeight="true" ht="16.071428571428573" r="213">
      <c r="A213" s="213" t="s">
        <v>408</v>
      </c>
      <c r="B213" s="214" t="s">
        <v>341</v>
      </c>
      <c r="C213" s="239" t="s">
        <v>353</v>
      </c>
      <c r="D213" s="246">
        <f>3-1</f>
      </c>
      <c r="E213" s="215">
        <v>10</v>
      </c>
      <c r="F213" s="215">
        <v>15148.8</v>
      </c>
      <c r="G213" s="216">
        <v>11215.47</v>
      </c>
      <c r="H213" s="217">
        <f t="shared" si="1"/>
      </c>
      <c r="I213" s="217">
        <f t="shared" si="3"/>
      </c>
      <c r="J213" s="217">
        <f t="shared" si="2"/>
      </c>
      <c r="K213" s="215">
        <v>0</v>
      </c>
      <c r="L213" s="215">
        <v>0</v>
      </c>
      <c r="M213" s="223"/>
      <c r="N213" s="226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3"/>
      <c r="AD213" s="223"/>
      <c r="AE213" s="223"/>
      <c r="AF213" s="223"/>
      <c r="AG213" s="223"/>
      <c r="AH213" s="223"/>
    </row>
    <row customHeight="true" ht="16.071428571428573" r="214">
      <c r="A214" s="227" t="s">
        <v>408</v>
      </c>
      <c r="B214" s="228"/>
      <c r="C214" s="228"/>
      <c r="D214" s="229">
        <f>SUM(D207:D213)</f>
      </c>
      <c r="E214" s="229">
        <f>SUM(E207:E213)</f>
      </c>
      <c r="F214" s="230">
        <f>SUM(F207:F213)</f>
      </c>
      <c r="G214" s="230">
        <f>SUM(G207:G213)</f>
      </c>
      <c r="H214" s="231">
        <f t="shared" si="1"/>
      </c>
      <c r="I214" s="231">
        <f t="shared" si="3"/>
      </c>
      <c r="J214" s="231">
        <f t="shared" si="2"/>
      </c>
      <c r="K214" s="229">
        <f>SUM(K207:K213)</f>
      </c>
      <c r="L214" s="231">
        <f>SUM(L207:L213)</f>
      </c>
      <c r="M214" s="228"/>
      <c r="N214" s="229">
        <f>SUM(N207:N213)</f>
      </c>
      <c r="O214" s="228"/>
      <c r="P214" s="229">
        <f>SUM(P208:P213)</f>
      </c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  <c r="AE214" s="229"/>
      <c r="AF214" s="229"/>
      <c r="AG214" s="229"/>
      <c r="AH214" s="229"/>
    </row>
    <row customHeight="true" ht="16.071428571428573" r="215">
      <c r="D215" s="249"/>
      <c r="E215" s="249"/>
      <c r="F215" s="249"/>
      <c r="G215" s="249"/>
      <c r="H215" s="249"/>
      <c r="I215" s="249"/>
      <c r="J215" s="249"/>
    </row>
    <row customHeight="true" ht="16.071428571428573" r="216">
      <c r="D216" s="249"/>
      <c r="E216" s="249"/>
      <c r="F216" s="249"/>
      <c r="G216" s="249"/>
      <c r="H216" s="249"/>
      <c r="I216" s="249"/>
      <c r="J216" s="249"/>
    </row>
    <row customHeight="true" ht="16.071428571428573" r="217">
      <c r="D217" s="249"/>
      <c r="E217" s="249"/>
      <c r="F217" s="249"/>
      <c r="G217" s="249"/>
      <c r="H217" s="249"/>
      <c r="I217" s="249"/>
      <c r="J217" s="249"/>
    </row>
    <row customHeight="true" ht="16.071428571428573" r="218">
      <c r="D218" s="249"/>
      <c r="E218" s="249"/>
      <c r="F218" s="249"/>
      <c r="G218" s="249"/>
      <c r="H218" s="249"/>
      <c r="I218" s="249"/>
      <c r="J218" s="249"/>
    </row>
    <row r="219">
      <c r="I219" s="250"/>
      <c r="J219" s="250"/>
    </row>
    <row r="220">
      <c r="G220" s="251">
        <f t="shared" ref="G220:G226" si="0">E220/F220</f>
      </c>
      <c r="I220" s="252"/>
      <c r="J220" s="252"/>
    </row>
    <row r="221">
      <c r="G221" s="251">
        <f t="shared" si="0"/>
      </c>
      <c r="I221" s="252"/>
      <c r="J221" s="252"/>
    </row>
    <row r="222">
      <c r="G222" s="251">
        <f t="shared" si="0"/>
      </c>
      <c r="I222" s="252"/>
      <c r="J222" s="252"/>
    </row>
    <row r="223">
      <c r="G223" s="251">
        <f t="shared" si="0"/>
      </c>
      <c r="I223" s="252"/>
      <c r="J223" s="252"/>
    </row>
    <row r="224">
      <c r="G224" s="251">
        <f t="shared" si="0"/>
      </c>
      <c r="I224" s="252"/>
      <c r="J224" s="252"/>
    </row>
    <row r="225">
      <c r="G225" s="251">
        <f t="shared" si="0"/>
      </c>
      <c r="I225" s="252"/>
      <c r="J225" s="252"/>
    </row>
    <row r="226">
      <c r="G226" s="251">
        <f t="shared" si="0"/>
      </c>
      <c r="I226" s="252"/>
      <c r="J226" s="252"/>
    </row>
    <row r="227">
      <c r="I227" s="252"/>
      <c r="J227" s="252"/>
    </row>
    <row r="228">
      <c r="I228" s="252"/>
      <c r="J228" s="252"/>
    </row>
  </sheetData>
  <autoFilter ref="A1:P214"/>
  <dataValidations count="2">
    <dataValidation allowBlank="true" errorStyle="stop" showErrorMessage="true" sqref="B2:B7 B9:B14 B16:B20 B22:B27 B29:B34 B36:B41 B43:B48 B50:B55 B57:B62 B64:B69 B71:B76 B78:B83 B85:B90 B92:B97 B99:B104 B106:B111 B113:B118 B120:B125 B127:B132 B134:B139 B141:B146 B148:B153 B155:B160 B162:B167 B169:B174" type="list">
      <formula1>"王硕硕,蒲奕西,郝旭靓,刘杰宇,郭子硕,刘梦,井欣阅,陈旭,田宇尚,王亚倩,高娟,王蕊,于慧,李娜"</formula1>
    </dataValidation>
    <dataValidation allowBlank="true" errorStyle="stop" showErrorMessage="true" sqref="B176:B182 B184:B190 B192:B198 B200:B205 B207:B213" type="list">
      <formula1>"王硕硕,李紫瑞,刘杰宇,井欣阅,陈旭,于慧,李娜"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2.64480633802817"/>
    <col collapsed="false" customWidth="true" hidden="false" max="13" min="13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</cols>
  <sheetData>
    <row r="1">
      <c r="A1" s="253" t="s">
        <v>410</v>
      </c>
      <c r="B1" s="253" t="s">
        <v>411</v>
      </c>
      <c r="C1" s="253" t="s">
        <v>412</v>
      </c>
      <c r="D1" s="253" t="s">
        <v>413</v>
      </c>
      <c r="E1" s="253" t="s">
        <v>414</v>
      </c>
      <c r="F1" s="254" t="s">
        <v>415</v>
      </c>
      <c r="G1" s="254" t="s">
        <v>416</v>
      </c>
      <c r="H1" s="255" t="s">
        <v>417</v>
      </c>
      <c r="I1" s="255" t="s">
        <v>418</v>
      </c>
      <c r="J1" s="255" t="s">
        <v>419</v>
      </c>
      <c r="K1" s="253" t="s">
        <v>420</v>
      </c>
      <c r="L1" s="253" t="s">
        <v>421</v>
      </c>
      <c r="M1" s="253" t="s">
        <v>422</v>
      </c>
      <c r="N1" s="253" t="s">
        <v>423</v>
      </c>
      <c r="O1" s="253" t="s">
        <v>424</v>
      </c>
      <c r="P1" s="253" t="s">
        <v>425</v>
      </c>
    </row>
    <row r="2">
      <c r="A2" s="256" t="s">
        <v>426</v>
      </c>
      <c r="B2" s="257" t="s">
        <v>427</v>
      </c>
      <c r="C2" s="258" t="s">
        <v>428</v>
      </c>
      <c r="D2" s="258">
        <v>2</v>
      </c>
      <c r="E2" s="258">
        <v>12</v>
      </c>
      <c r="F2" s="259">
        <v>17926.8</v>
      </c>
      <c r="G2" s="259">
        <v>10001.67</v>
      </c>
      <c r="H2" s="260">
        <f t="shared" ref="H2:H232" si="0">F2/G2</f>
      </c>
      <c r="I2" s="260">
        <f t="shared" ref="I2:I232" si="1">F2/E2</f>
      </c>
      <c r="J2" s="260">
        <f t="shared" ref="J2:J113" si="2">G2/E2</f>
      </c>
      <c r="K2" s="258">
        <v>3</v>
      </c>
      <c r="L2" s="258">
        <v>3560.4</v>
      </c>
      <c r="M2" s="258" t="s">
        <v>429</v>
      </c>
      <c r="N2" s="258">
        <v>7</v>
      </c>
      <c r="O2" s="261" t="s">
        <v>430</v>
      </c>
      <c r="P2" s="258">
        <v>7</v>
      </c>
    </row>
    <row r="3">
      <c r="A3" s="256" t="s">
        <v>426</v>
      </c>
      <c r="B3" s="257" t="s">
        <v>431</v>
      </c>
      <c r="C3" s="258" t="s">
        <v>432</v>
      </c>
      <c r="D3" s="258">
        <v>5</v>
      </c>
      <c r="E3" s="258">
        <v>17</v>
      </c>
      <c r="F3" s="259">
        <v>27570.000000000007</v>
      </c>
      <c r="G3" s="259">
        <v>17653.289999999997</v>
      </c>
      <c r="H3" s="260">
        <f t="shared" si="0"/>
      </c>
      <c r="I3" s="260">
        <f t="shared" si="1"/>
      </c>
      <c r="J3" s="260">
        <f t="shared" si="2"/>
      </c>
      <c r="K3" s="258">
        <v>4</v>
      </c>
      <c r="L3" s="258">
        <v>4309.2</v>
      </c>
      <c r="M3" s="262"/>
      <c r="N3" s="263"/>
      <c r="O3" s="264"/>
      <c r="P3" s="265"/>
    </row>
    <row r="4">
      <c r="A4" s="256" t="s">
        <v>426</v>
      </c>
      <c r="B4" s="257" t="s">
        <v>433</v>
      </c>
      <c r="C4" s="258" t="s">
        <v>434</v>
      </c>
      <c r="D4" s="258">
        <v>4</v>
      </c>
      <c r="E4" s="258">
        <v>12</v>
      </c>
      <c r="F4" s="259">
        <v>17346</v>
      </c>
      <c r="G4" s="259">
        <v>12109.4</v>
      </c>
      <c r="H4" s="260">
        <f t="shared" si="0"/>
      </c>
      <c r="I4" s="260">
        <f t="shared" si="1"/>
      </c>
      <c r="J4" s="260">
        <f t="shared" si="2"/>
      </c>
      <c r="K4" s="258">
        <v>5</v>
      </c>
      <c r="L4" s="258">
        <v>6825.6</v>
      </c>
      <c r="M4" s="258"/>
      <c r="N4" s="258"/>
      <c r="O4" s="266"/>
      <c r="P4" s="262"/>
    </row>
    <row r="5">
      <c r="A5" s="256" t="s">
        <v>426</v>
      </c>
      <c r="B5" s="257" t="s">
        <v>435</v>
      </c>
      <c r="C5" s="258" t="s">
        <v>436</v>
      </c>
      <c r="D5" s="258">
        <v>5</v>
      </c>
      <c r="E5" s="258">
        <v>34</v>
      </c>
      <c r="F5" s="259">
        <v>52780.6</v>
      </c>
      <c r="G5" s="259">
        <v>24675.160000000003</v>
      </c>
      <c r="H5" s="260">
        <f t="shared" si="0"/>
      </c>
      <c r="I5" s="260">
        <f t="shared" si="1"/>
      </c>
      <c r="J5" s="260">
        <f t="shared" si="2"/>
      </c>
      <c r="K5" s="258">
        <v>9</v>
      </c>
      <c r="L5" s="258">
        <v>14995.2</v>
      </c>
      <c r="M5" s="258" t="s">
        <v>437</v>
      </c>
      <c r="N5" s="258">
        <v>8</v>
      </c>
      <c r="O5" s="258" t="s">
        <v>438</v>
      </c>
      <c r="P5" s="258">
        <v>12</v>
      </c>
    </row>
    <row r="6">
      <c r="A6" s="256" t="s">
        <v>426</v>
      </c>
      <c r="B6" s="257" t="s">
        <v>427</v>
      </c>
      <c r="C6" s="258" t="s">
        <v>439</v>
      </c>
      <c r="D6" s="258">
        <v>5</v>
      </c>
      <c r="E6" s="258">
        <v>46</v>
      </c>
      <c r="F6" s="259">
        <v>66094.6</v>
      </c>
      <c r="G6" s="259">
        <v>42822.96</v>
      </c>
      <c r="H6" s="260">
        <f t="shared" si="0"/>
      </c>
      <c r="I6" s="260">
        <f t="shared" si="1"/>
      </c>
      <c r="J6" s="260">
        <f t="shared" si="2"/>
      </c>
      <c r="K6" s="258">
        <v>6</v>
      </c>
      <c r="L6" s="258">
        <v>10509.6</v>
      </c>
      <c r="M6" s="258" t="s">
        <v>440</v>
      </c>
      <c r="N6" s="258">
        <v>3</v>
      </c>
      <c r="O6" s="262"/>
      <c r="P6" s="258"/>
    </row>
    <row r="7">
      <c r="A7" s="256" t="s">
        <v>426</v>
      </c>
      <c r="B7" s="257" t="s">
        <v>431</v>
      </c>
      <c r="C7" s="258" t="s">
        <v>441</v>
      </c>
      <c r="D7" s="258">
        <v>3</v>
      </c>
      <c r="E7" s="258">
        <v>29</v>
      </c>
      <c r="F7" s="259">
        <v>37168</v>
      </c>
      <c r="G7" s="259">
        <v>33939.62</v>
      </c>
      <c r="H7" s="260">
        <f t="shared" si="0"/>
      </c>
      <c r="I7" s="260">
        <f t="shared" si="1"/>
      </c>
      <c r="J7" s="260">
        <f t="shared" si="2"/>
      </c>
      <c r="K7" s="258">
        <v>4</v>
      </c>
      <c r="L7" s="258">
        <v>6825.6</v>
      </c>
      <c r="M7" s="258" t="s">
        <v>442</v>
      </c>
      <c r="N7" s="258">
        <v>6</v>
      </c>
      <c r="O7" s="261" t="s">
        <v>430</v>
      </c>
      <c r="P7" s="258">
        <v>5</v>
      </c>
    </row>
    <row r="8">
      <c r="A8" s="267" t="s">
        <v>426</v>
      </c>
      <c r="B8" s="268"/>
      <c r="C8" s="268"/>
      <c r="D8" s="269">
        <f>SUM(D2:D7)</f>
      </c>
      <c r="E8" s="269">
        <f>SUM(E2:E7)</f>
      </c>
      <c r="F8" s="270">
        <f>SUM(F2:F7)</f>
      </c>
      <c r="G8" s="270">
        <f>SUM(G2:G7)</f>
      </c>
      <c r="H8" s="271">
        <f t="shared" si="0"/>
      </c>
      <c r="I8" s="271">
        <f t="shared" si="1"/>
      </c>
      <c r="J8" s="271">
        <f t="shared" si="2"/>
      </c>
      <c r="K8" s="269">
        <f>SUM(K2:K7)</f>
      </c>
      <c r="L8" s="269">
        <f>SUM(L2:L7)</f>
      </c>
      <c r="M8" s="268"/>
      <c r="N8" s="269">
        <f>SUM(N2:N7)</f>
      </c>
      <c r="O8" s="268"/>
      <c r="P8" s="269">
        <f>SUM(P2:P7)</f>
      </c>
    </row>
    <row r="9">
      <c r="A9" s="256" t="s">
        <v>443</v>
      </c>
      <c r="B9" s="257" t="s">
        <v>431</v>
      </c>
      <c r="C9" s="258" t="s">
        <v>428</v>
      </c>
      <c r="D9" s="258">
        <v>2</v>
      </c>
      <c r="E9" s="258">
        <v>15</v>
      </c>
      <c r="F9" s="259">
        <v>15488.4</v>
      </c>
      <c r="G9" s="259">
        <v>12327.97</v>
      </c>
      <c r="H9" s="260">
        <f t="shared" si="0"/>
      </c>
      <c r="I9" s="260">
        <f t="shared" si="1"/>
      </c>
      <c r="J9" s="260">
        <f t="shared" si="2"/>
      </c>
      <c r="K9" s="258">
        <v>7</v>
      </c>
      <c r="L9" s="258">
        <v>5171</v>
      </c>
      <c r="M9" s="258" t="s">
        <v>429</v>
      </c>
      <c r="N9" s="258">
        <v>7</v>
      </c>
      <c r="O9" s="261" t="s">
        <v>430</v>
      </c>
      <c r="P9" s="258">
        <v>7</v>
      </c>
    </row>
    <row r="10">
      <c r="A10" s="256" t="s">
        <v>443</v>
      </c>
      <c r="B10" s="257" t="s">
        <v>444</v>
      </c>
      <c r="C10" s="258" t="s">
        <v>432</v>
      </c>
      <c r="D10" s="258">
        <v>5</v>
      </c>
      <c r="E10" s="258">
        <v>34</v>
      </c>
      <c r="F10" s="259">
        <v>41037</v>
      </c>
      <c r="G10" s="259">
        <v>23343.800000000003</v>
      </c>
      <c r="H10" s="260">
        <f t="shared" si="0"/>
      </c>
      <c r="I10" s="260">
        <f t="shared" si="1"/>
      </c>
      <c r="J10" s="260">
        <f t="shared" si="2"/>
      </c>
      <c r="K10" s="258">
        <v>10</v>
      </c>
      <c r="L10" s="258">
        <v>11737.2</v>
      </c>
      <c r="M10" s="258" t="s">
        <v>437</v>
      </c>
      <c r="N10" s="258">
        <v>8</v>
      </c>
      <c r="O10" s="264"/>
      <c r="P10" s="265"/>
    </row>
    <row r="11">
      <c r="A11" s="256" t="s">
        <v>443</v>
      </c>
      <c r="B11" s="257" t="s">
        <v>435</v>
      </c>
      <c r="C11" s="258" t="s">
        <v>445</v>
      </c>
      <c r="D11" s="258">
        <v>5</v>
      </c>
      <c r="E11" s="258">
        <v>56</v>
      </c>
      <c r="F11" s="259">
        <v>79562.4</v>
      </c>
      <c r="G11" s="259">
        <v>53913.59</v>
      </c>
      <c r="H11" s="260">
        <f t="shared" si="0"/>
      </c>
      <c r="I11" s="260">
        <f t="shared" si="1"/>
      </c>
      <c r="J11" s="260">
        <f t="shared" si="2"/>
      </c>
      <c r="K11" s="258">
        <v>13</v>
      </c>
      <c r="L11" s="258">
        <v>16106.4</v>
      </c>
      <c r="M11" s="258" t="s">
        <v>446</v>
      </c>
      <c r="N11" s="258">
        <v>1</v>
      </c>
      <c r="O11" s="266"/>
      <c r="P11" s="262"/>
    </row>
    <row r="12">
      <c r="A12" s="256" t="s">
        <v>443</v>
      </c>
      <c r="B12" s="257" t="s">
        <v>447</v>
      </c>
      <c r="C12" s="258" t="s">
        <v>448</v>
      </c>
      <c r="D12" s="258">
        <v>4</v>
      </c>
      <c r="E12" s="258">
        <v>28</v>
      </c>
      <c r="F12" s="259">
        <v>32025</v>
      </c>
      <c r="G12" s="259">
        <v>30249.12</v>
      </c>
      <c r="H12" s="260">
        <f t="shared" si="0"/>
      </c>
      <c r="I12" s="260">
        <f t="shared" si="1"/>
      </c>
      <c r="J12" s="260">
        <f t="shared" si="2"/>
      </c>
      <c r="K12" s="258">
        <v>7</v>
      </c>
      <c r="L12" s="258">
        <v>5174.4</v>
      </c>
      <c r="M12" s="258" t="s">
        <v>449</v>
      </c>
      <c r="N12" s="258">
        <v>2</v>
      </c>
      <c r="O12" s="258" t="s">
        <v>438</v>
      </c>
      <c r="P12" s="258">
        <v>12</v>
      </c>
    </row>
    <row r="13">
      <c r="A13" s="256" t="s">
        <v>443</v>
      </c>
      <c r="B13" s="257" t="s">
        <v>427</v>
      </c>
      <c r="C13" s="258" t="s">
        <v>439</v>
      </c>
      <c r="D13" s="258">
        <v>5</v>
      </c>
      <c r="E13" s="258">
        <v>22</v>
      </c>
      <c r="F13" s="259">
        <v>31978.4</v>
      </c>
      <c r="G13" s="259">
        <v>32549.74</v>
      </c>
      <c r="H13" s="260">
        <f t="shared" si="0"/>
      </c>
      <c r="I13" s="260">
        <f t="shared" si="1"/>
      </c>
      <c r="J13" s="260">
        <f t="shared" si="2"/>
      </c>
      <c r="K13" s="258">
        <v>5</v>
      </c>
      <c r="L13" s="258">
        <v>7269.6</v>
      </c>
      <c r="M13" s="258"/>
      <c r="N13" s="258"/>
      <c r="O13" s="262"/>
      <c r="P13" s="258"/>
    </row>
    <row r="14">
      <c r="A14" s="256" t="s">
        <v>443</v>
      </c>
      <c r="B14" s="257" t="s">
        <v>431</v>
      </c>
      <c r="C14" s="258" t="s">
        <v>441</v>
      </c>
      <c r="D14" s="258">
        <v>3</v>
      </c>
      <c r="E14" s="258">
        <v>33</v>
      </c>
      <c r="F14" s="259">
        <v>49978.8</v>
      </c>
      <c r="G14" s="259">
        <v>31071.97</v>
      </c>
      <c r="H14" s="260">
        <f t="shared" si="0"/>
      </c>
      <c r="I14" s="260">
        <f t="shared" si="1"/>
      </c>
      <c r="J14" s="260">
        <f t="shared" si="2"/>
      </c>
      <c r="K14" s="258">
        <v>4</v>
      </c>
      <c r="L14" s="258">
        <v>6477.4</v>
      </c>
      <c r="M14" s="258" t="s">
        <v>442</v>
      </c>
      <c r="N14" s="258">
        <v>6</v>
      </c>
      <c r="O14" s="261" t="s">
        <v>430</v>
      </c>
      <c r="P14" s="258">
        <v>5</v>
      </c>
    </row>
    <row r="15">
      <c r="A15" s="267" t="s">
        <v>443</v>
      </c>
      <c r="B15" s="268"/>
      <c r="C15" s="268"/>
      <c r="D15" s="269">
        <f>SUM(D9:D14)</f>
      </c>
      <c r="E15" s="269">
        <f>SUM(E9:E14)</f>
      </c>
      <c r="F15" s="270">
        <f>SUM(F9:F14)</f>
      </c>
      <c r="G15" s="270">
        <f>SUM(G9:G14)</f>
      </c>
      <c r="H15" s="271">
        <f t="shared" si="0"/>
      </c>
      <c r="I15" s="271">
        <f t="shared" si="1"/>
      </c>
      <c r="J15" s="271">
        <f t="shared" si="2"/>
      </c>
      <c r="K15" s="269">
        <f>SUM(K9:K14)</f>
      </c>
      <c r="L15" s="269">
        <f>SUM(L9:L14)</f>
      </c>
      <c r="M15" s="268"/>
      <c r="N15" s="269">
        <f>SUM(N9:N14)</f>
      </c>
      <c r="O15" s="268"/>
      <c r="P15" s="269">
        <f>SUM(P9:P14)</f>
      </c>
    </row>
    <row r="16">
      <c r="A16" s="256" t="s">
        <v>450</v>
      </c>
      <c r="B16" s="257" t="s">
        <v>431</v>
      </c>
      <c r="C16" s="258" t="s">
        <v>428</v>
      </c>
      <c r="D16" s="258">
        <v>2</v>
      </c>
      <c r="E16" s="258">
        <v>10</v>
      </c>
      <c r="F16" s="259">
        <v>13274.4</v>
      </c>
      <c r="G16" s="259">
        <v>14073.72</v>
      </c>
      <c r="H16" s="260">
        <f t="shared" si="0"/>
      </c>
      <c r="I16" s="260">
        <f t="shared" si="1"/>
      </c>
      <c r="J16" s="260">
        <f t="shared" si="2"/>
      </c>
      <c r="K16" s="258">
        <v>0</v>
      </c>
      <c r="L16" s="258">
        <v>0</v>
      </c>
      <c r="M16" s="258" t="s">
        <v>429</v>
      </c>
      <c r="N16" s="258">
        <v>7</v>
      </c>
      <c r="O16" s="258" t="s">
        <v>438</v>
      </c>
      <c r="P16" s="258">
        <v>7</v>
      </c>
    </row>
    <row r="17">
      <c r="A17" s="256" t="s">
        <v>450</v>
      </c>
      <c r="B17" s="257" t="s">
        <v>444</v>
      </c>
      <c r="C17" s="258" t="s">
        <v>432</v>
      </c>
      <c r="D17" s="258">
        <v>5</v>
      </c>
      <c r="E17" s="258">
        <v>21</v>
      </c>
      <c r="F17" s="259">
        <v>27132</v>
      </c>
      <c r="G17" s="259">
        <v>18740.79</v>
      </c>
      <c r="H17" s="260">
        <f t="shared" si="0"/>
      </c>
      <c r="I17" s="260">
        <f t="shared" si="1"/>
      </c>
      <c r="J17" s="260">
        <f t="shared" si="2"/>
      </c>
      <c r="K17" s="258">
        <v>6</v>
      </c>
      <c r="L17" s="258">
        <v>8590.8</v>
      </c>
      <c r="M17" s="258" t="s">
        <v>437</v>
      </c>
      <c r="N17" s="258">
        <v>8</v>
      </c>
      <c r="O17" s="264"/>
      <c r="P17" s="265"/>
    </row>
    <row r="18">
      <c r="A18" s="256" t="s">
        <v>450</v>
      </c>
      <c r="B18" s="257" t="s">
        <v>435</v>
      </c>
      <c r="C18" s="258" t="s">
        <v>445</v>
      </c>
      <c r="D18" s="258">
        <v>5</v>
      </c>
      <c r="E18" s="258">
        <v>45</v>
      </c>
      <c r="F18" s="259">
        <v>58996.6</v>
      </c>
      <c r="G18" s="259">
        <v>38178.97</v>
      </c>
      <c r="H18" s="260">
        <f t="shared" si="0"/>
      </c>
      <c r="I18" s="260">
        <f t="shared" si="1"/>
      </c>
      <c r="J18" s="260">
        <f t="shared" si="2"/>
      </c>
      <c r="K18" s="258">
        <v>11</v>
      </c>
      <c r="L18" s="258">
        <v>15906.6</v>
      </c>
      <c r="M18" s="258"/>
      <c r="N18" s="258"/>
      <c r="O18" s="261" t="s">
        <v>430</v>
      </c>
      <c r="P18" s="258">
        <v>12</v>
      </c>
    </row>
    <row r="19">
      <c r="A19" s="256" t="s">
        <v>450</v>
      </c>
      <c r="B19" s="257" t="s">
        <v>427</v>
      </c>
      <c r="C19" s="258" t="s">
        <v>451</v>
      </c>
      <c r="D19" s="258">
        <v>5</v>
      </c>
      <c r="E19" s="258">
        <v>39</v>
      </c>
      <c r="F19" s="259">
        <v>41770.70000000002</v>
      </c>
      <c r="G19" s="259">
        <v>36654.44</v>
      </c>
      <c r="H19" s="260">
        <f t="shared" si="0"/>
      </c>
      <c r="I19" s="260">
        <f t="shared" si="1"/>
      </c>
      <c r="J19" s="260">
        <f t="shared" si="2"/>
      </c>
      <c r="K19" s="258">
        <v>12</v>
      </c>
      <c r="L19" s="258">
        <v>10567.2</v>
      </c>
      <c r="M19" s="258" t="s">
        <v>449</v>
      </c>
      <c r="N19" s="258">
        <v>1</v>
      </c>
      <c r="O19" s="258"/>
      <c r="P19" s="258"/>
    </row>
    <row r="20">
      <c r="A20" s="256" t="s">
        <v>450</v>
      </c>
      <c r="B20" s="257" t="s">
        <v>431</v>
      </c>
      <c r="C20" s="258" t="s">
        <v>452</v>
      </c>
      <c r="D20" s="258">
        <v>5</v>
      </c>
      <c r="E20" s="258">
        <v>26</v>
      </c>
      <c r="F20" s="259">
        <v>33660.8</v>
      </c>
      <c r="G20" s="259">
        <v>22578.22</v>
      </c>
      <c r="H20" s="260">
        <f t="shared" si="0"/>
      </c>
      <c r="I20" s="260">
        <f t="shared" si="1"/>
      </c>
      <c r="J20" s="260">
        <f t="shared" si="2"/>
      </c>
      <c r="K20" s="258">
        <v>6</v>
      </c>
      <c r="L20" s="258">
        <v>7431.4</v>
      </c>
      <c r="M20" s="272" t="s">
        <v>440</v>
      </c>
      <c r="N20" s="258">
        <v>2</v>
      </c>
      <c r="O20" s="262"/>
      <c r="P20" s="258"/>
    </row>
    <row r="21">
      <c r="A21" s="256" t="s">
        <v>450</v>
      </c>
      <c r="B21" s="257" t="s">
        <v>447</v>
      </c>
      <c r="C21" s="258" t="s">
        <v>441</v>
      </c>
      <c r="D21" s="258">
        <v>2</v>
      </c>
      <c r="E21" s="258">
        <v>20</v>
      </c>
      <c r="F21" s="259">
        <v>18056.2</v>
      </c>
      <c r="G21" s="259">
        <v>13647.99</v>
      </c>
      <c r="H21" s="260">
        <f t="shared" si="0"/>
      </c>
      <c r="I21" s="260">
        <f t="shared" si="1"/>
      </c>
      <c r="J21" s="260">
        <f t="shared" si="2"/>
      </c>
      <c r="K21" s="258">
        <v>2</v>
      </c>
      <c r="L21" s="258">
        <v>715.2</v>
      </c>
      <c r="M21" s="258" t="s">
        <v>442</v>
      </c>
      <c r="N21" s="258">
        <v>6</v>
      </c>
      <c r="O21" s="258" t="s">
        <v>438</v>
      </c>
      <c r="P21" s="258">
        <v>5</v>
      </c>
    </row>
    <row r="22">
      <c r="A22" s="267" t="s">
        <v>450</v>
      </c>
      <c r="B22" s="268"/>
      <c r="C22" s="268"/>
      <c r="D22" s="269">
        <f>SUM(D16:D21)</f>
      </c>
      <c r="E22" s="269">
        <f>SUM(E16:E21)</f>
      </c>
      <c r="F22" s="270">
        <f>SUM(F16:F21)</f>
      </c>
      <c r="G22" s="270">
        <f>SUM(G16:G21)</f>
      </c>
      <c r="H22" s="271">
        <f t="shared" si="0"/>
      </c>
      <c r="I22" s="271">
        <f t="shared" si="1"/>
      </c>
      <c r="J22" s="271">
        <f t="shared" si="2"/>
      </c>
      <c r="K22" s="269">
        <f>SUM(K16:K21)</f>
      </c>
      <c r="L22" s="269">
        <f>SUM(L16:L21)</f>
      </c>
      <c r="M22" s="268"/>
      <c r="N22" s="269">
        <f>SUM(N16:N21)</f>
      </c>
      <c r="O22" s="268"/>
      <c r="P22" s="269">
        <f>SUM(P16:P21)</f>
      </c>
    </row>
    <row r="23">
      <c r="A23" s="256" t="s">
        <v>453</v>
      </c>
      <c r="B23" s="257" t="s">
        <v>447</v>
      </c>
      <c r="C23" s="258" t="s">
        <v>428</v>
      </c>
      <c r="D23" s="258">
        <v>2</v>
      </c>
      <c r="E23" s="258">
        <v>9</v>
      </c>
      <c r="F23" s="259">
        <v>12420</v>
      </c>
      <c r="G23" s="259">
        <v>10676.61</v>
      </c>
      <c r="H23" s="260">
        <f t="shared" si="0"/>
      </c>
      <c r="I23" s="260">
        <f t="shared" si="1"/>
      </c>
      <c r="J23" s="260">
        <f t="shared" si="2"/>
      </c>
      <c r="K23" s="258">
        <v>4</v>
      </c>
      <c r="L23" s="258">
        <v>5313.6</v>
      </c>
      <c r="M23" s="258" t="s">
        <v>429</v>
      </c>
      <c r="N23" s="258">
        <v>7</v>
      </c>
      <c r="O23" s="258" t="s">
        <v>438</v>
      </c>
      <c r="P23" s="258">
        <v>7</v>
      </c>
    </row>
    <row customHeight="true" ht="16.071428571428573" r="24">
      <c r="A24" s="256" t="s">
        <v>453</v>
      </c>
      <c r="B24" s="257" t="s">
        <v>444</v>
      </c>
      <c r="C24" s="258" t="s">
        <v>432</v>
      </c>
      <c r="D24" s="258">
        <v>5</v>
      </c>
      <c r="E24" s="258">
        <v>32</v>
      </c>
      <c r="F24" s="259">
        <v>47431.8</v>
      </c>
      <c r="G24" s="259">
        <v>20644.03</v>
      </c>
      <c r="H24" s="260">
        <f t="shared" si="0"/>
      </c>
      <c r="I24" s="260">
        <f t="shared" si="1"/>
      </c>
      <c r="J24" s="260">
        <f t="shared" si="2"/>
      </c>
      <c r="K24" s="258">
        <v>3</v>
      </c>
      <c r="L24" s="258">
        <v>3948.2</v>
      </c>
      <c r="M24" s="258"/>
      <c r="N24" s="258"/>
      <c r="O24" s="264"/>
      <c r="P24" s="265"/>
    </row>
    <row customHeight="true" ht="16.071428571428573" r="25">
      <c r="A25" s="256" t="s">
        <v>453</v>
      </c>
      <c r="B25" s="257" t="s">
        <v>427</v>
      </c>
      <c r="C25" s="258" t="s">
        <v>434</v>
      </c>
      <c r="D25" s="258">
        <v>4</v>
      </c>
      <c r="E25" s="258">
        <v>29</v>
      </c>
      <c r="F25" s="259">
        <v>32854.64</v>
      </c>
      <c r="G25" s="259">
        <v>27643.35</v>
      </c>
      <c r="H25" s="260">
        <f t="shared" si="0"/>
      </c>
      <c r="I25" s="260">
        <f t="shared" si="1"/>
      </c>
      <c r="J25" s="260">
        <f t="shared" si="2"/>
      </c>
      <c r="K25" s="258">
        <v>7</v>
      </c>
      <c r="L25" s="258">
        <v>7551.6</v>
      </c>
      <c r="M25" s="258" t="s">
        <v>454</v>
      </c>
      <c r="N25" s="258">
        <v>8</v>
      </c>
      <c r="O25" s="261" t="s">
        <v>430</v>
      </c>
      <c r="P25" s="258">
        <v>12</v>
      </c>
    </row>
    <row customHeight="true" ht="16.071428571428573" r="26">
      <c r="A26" s="256" t="s">
        <v>453</v>
      </c>
      <c r="B26" s="257" t="s">
        <v>431</v>
      </c>
      <c r="C26" s="258" t="s">
        <v>455</v>
      </c>
      <c r="D26" s="258">
        <v>4</v>
      </c>
      <c r="E26" s="258">
        <v>17</v>
      </c>
      <c r="F26" s="259">
        <v>25303.199999999997</v>
      </c>
      <c r="G26" s="259">
        <v>23573.09</v>
      </c>
      <c r="H26" s="260">
        <f t="shared" si="0"/>
      </c>
      <c r="I26" s="260">
        <f t="shared" si="1"/>
      </c>
      <c r="J26" s="260">
        <f t="shared" si="2"/>
      </c>
      <c r="K26" s="258">
        <v>2</v>
      </c>
      <c r="L26" s="258">
        <v>2342.4</v>
      </c>
      <c r="M26" s="258"/>
      <c r="N26" s="258"/>
      <c r="O26" s="258"/>
      <c r="P26" s="258"/>
    </row>
    <row customHeight="true" ht="16.071428571428573" r="27">
      <c r="A27" s="256" t="s">
        <v>453</v>
      </c>
      <c r="B27" s="257" t="s">
        <v>447</v>
      </c>
      <c r="C27" s="258" t="s">
        <v>456</v>
      </c>
      <c r="D27" s="258">
        <v>4</v>
      </c>
      <c r="E27" s="258">
        <v>11</v>
      </c>
      <c r="F27" s="259">
        <v>12586.8</v>
      </c>
      <c r="G27" s="259">
        <v>9254.31</v>
      </c>
      <c r="H27" s="260">
        <f t="shared" si="0"/>
      </c>
      <c r="I27" s="260">
        <f t="shared" si="1"/>
      </c>
      <c r="J27" s="260">
        <f t="shared" si="2"/>
      </c>
      <c r="K27" s="258">
        <v>3</v>
      </c>
      <c r="L27" s="258">
        <v>888</v>
      </c>
      <c r="M27" s="258" t="s">
        <v>449</v>
      </c>
      <c r="N27" s="258">
        <v>4</v>
      </c>
      <c r="O27" s="262"/>
      <c r="P27" s="258"/>
    </row>
    <row customHeight="true" ht="16.071428571428573" r="28">
      <c r="A28" s="256" t="s">
        <v>453</v>
      </c>
      <c r="B28" s="257" t="s">
        <v>444</v>
      </c>
      <c r="C28" s="258" t="s">
        <v>457</v>
      </c>
      <c r="D28" s="258">
        <v>4</v>
      </c>
      <c r="E28" s="258">
        <v>6</v>
      </c>
      <c r="F28" s="259">
        <v>9132</v>
      </c>
      <c r="G28" s="259">
        <v>8466.99</v>
      </c>
      <c r="H28" s="260">
        <f t="shared" si="0"/>
      </c>
      <c r="I28" s="260">
        <f t="shared" si="1"/>
      </c>
      <c r="J28" s="260">
        <f t="shared" si="2"/>
      </c>
      <c r="K28" s="258">
        <v>1</v>
      </c>
      <c r="L28" s="258">
        <v>1663.2</v>
      </c>
      <c r="M28" s="258" t="s">
        <v>442</v>
      </c>
      <c r="N28" s="258">
        <v>5</v>
      </c>
      <c r="O28" s="258" t="s">
        <v>438</v>
      </c>
      <c r="P28" s="258">
        <v>5</v>
      </c>
    </row>
    <row customHeight="true" ht="16.071428571428573" r="29">
      <c r="A29" s="256" t="s">
        <v>453</v>
      </c>
      <c r="B29" s="257" t="s">
        <v>433</v>
      </c>
      <c r="C29" s="258" t="s">
        <v>458</v>
      </c>
      <c r="D29" s="258">
        <v>1</v>
      </c>
      <c r="E29" s="258">
        <v>3</v>
      </c>
      <c r="F29" s="259">
        <v>3318</v>
      </c>
      <c r="G29" s="259">
        <v>4930.4</v>
      </c>
      <c r="H29" s="260">
        <f t="shared" si="0"/>
      </c>
      <c r="I29" s="260">
        <f t="shared" si="1"/>
      </c>
      <c r="J29" s="260">
        <f t="shared" si="2"/>
      </c>
      <c r="K29" s="258">
        <v>0</v>
      </c>
      <c r="L29" s="258">
        <v>0</v>
      </c>
      <c r="M29" s="258"/>
      <c r="N29" s="258"/>
      <c r="O29" s="258"/>
      <c r="P29" s="258"/>
    </row>
    <row customHeight="true" ht="16.071428571428573" r="30">
      <c r="A30" s="267" t="s">
        <v>453</v>
      </c>
      <c r="B30" s="268"/>
      <c r="C30" s="268"/>
      <c r="D30" s="269">
        <f>SUM(D23:D29)</f>
      </c>
      <c r="E30" s="269">
        <f>SUM(E23:E29)</f>
      </c>
      <c r="F30" s="270">
        <f>SUM(F23:F29)</f>
      </c>
      <c r="G30" s="270">
        <f>SUM(G23:G29)</f>
      </c>
      <c r="H30" s="271">
        <f t="shared" si="0"/>
      </c>
      <c r="I30" s="271">
        <f t="shared" si="1"/>
      </c>
      <c r="J30" s="271">
        <f t="shared" si="2"/>
      </c>
      <c r="K30" s="269">
        <f>SUM(K23:K29)</f>
      </c>
      <c r="L30" s="269">
        <f>SUM(L23:L29)</f>
      </c>
      <c r="M30" s="268"/>
      <c r="N30" s="269">
        <f>SUM(N23:N28)</f>
      </c>
      <c r="O30" s="268"/>
      <c r="P30" s="269">
        <f>SUM(P23:P28)</f>
      </c>
    </row>
    <row customHeight="true" ht="16.071428571428573" r="31">
      <c r="A31" s="256" t="s">
        <v>459</v>
      </c>
      <c r="B31" s="257" t="s">
        <v>433</v>
      </c>
      <c r="C31" s="258" t="s">
        <v>460</v>
      </c>
      <c r="D31" s="258">
        <v>3</v>
      </c>
      <c r="E31" s="258">
        <v>27</v>
      </c>
      <c r="F31" s="259">
        <v>32907.84</v>
      </c>
      <c r="G31" s="259">
        <v>17182.53</v>
      </c>
      <c r="H31" s="260">
        <f t="shared" si="0"/>
      </c>
      <c r="I31" s="260">
        <f t="shared" si="1"/>
      </c>
      <c r="J31" s="260">
        <f t="shared" si="2"/>
      </c>
      <c r="K31" s="258">
        <v>4</v>
      </c>
      <c r="L31" s="258">
        <v>3313.2</v>
      </c>
      <c r="M31" s="258" t="s">
        <v>429</v>
      </c>
      <c r="N31" s="258">
        <v>7</v>
      </c>
      <c r="O31" s="258" t="s">
        <v>438</v>
      </c>
      <c r="P31" s="258">
        <v>7</v>
      </c>
    </row>
    <row r="32">
      <c r="A32" s="256" t="s">
        <v>459</v>
      </c>
      <c r="B32" s="257" t="s">
        <v>435</v>
      </c>
      <c r="C32" s="258" t="s">
        <v>461</v>
      </c>
      <c r="D32" s="258">
        <v>4</v>
      </c>
      <c r="E32" s="258">
        <v>36</v>
      </c>
      <c r="F32" s="259">
        <v>49228.2</v>
      </c>
      <c r="G32" s="259">
        <v>19670.379999999997</v>
      </c>
      <c r="H32" s="260">
        <f t="shared" si="0"/>
      </c>
      <c r="I32" s="260">
        <f t="shared" si="1"/>
      </c>
      <c r="J32" s="260">
        <f t="shared" si="2"/>
      </c>
      <c r="K32" s="258">
        <v>4</v>
      </c>
      <c r="L32" s="258">
        <v>5492.6</v>
      </c>
      <c r="M32" s="258"/>
      <c r="N32" s="258"/>
      <c r="O32" s="264"/>
      <c r="P32" s="265"/>
    </row>
    <row customHeight="true" ht="16.071428571428573" r="33">
      <c r="A33" s="256" t="s">
        <v>459</v>
      </c>
      <c r="B33" s="257" t="s">
        <v>427</v>
      </c>
      <c r="C33" s="258" t="s">
        <v>445</v>
      </c>
      <c r="D33" s="258">
        <v>5</v>
      </c>
      <c r="E33" s="258">
        <v>36</v>
      </c>
      <c r="F33" s="259">
        <v>41028.8</v>
      </c>
      <c r="G33" s="259">
        <v>36548.55</v>
      </c>
      <c r="H33" s="260">
        <f t="shared" si="0"/>
      </c>
      <c r="I33" s="260">
        <f t="shared" si="1"/>
      </c>
      <c r="J33" s="260">
        <f t="shared" si="2"/>
      </c>
      <c r="K33" s="258">
        <v>4</v>
      </c>
      <c r="L33" s="258">
        <v>5069.2</v>
      </c>
      <c r="M33" s="258" t="s">
        <v>454</v>
      </c>
      <c r="N33" s="258">
        <v>8</v>
      </c>
      <c r="O33" s="261" t="s">
        <v>430</v>
      </c>
      <c r="P33" s="258">
        <v>12</v>
      </c>
    </row>
    <row customHeight="true" ht="16.071428571428573" r="34">
      <c r="A34" s="256" t="s">
        <v>459</v>
      </c>
      <c r="B34" s="257" t="s">
        <v>447</v>
      </c>
      <c r="C34" s="258" t="s">
        <v>448</v>
      </c>
      <c r="D34" s="258">
        <v>4</v>
      </c>
      <c r="E34" s="258">
        <v>29</v>
      </c>
      <c r="F34" s="259">
        <v>29665.400000000012</v>
      </c>
      <c r="G34" s="259">
        <v>27315.43</v>
      </c>
      <c r="H34" s="260">
        <f t="shared" si="0"/>
      </c>
      <c r="I34" s="260">
        <f t="shared" si="1"/>
      </c>
      <c r="J34" s="260">
        <f t="shared" si="2"/>
      </c>
      <c r="K34" s="258">
        <v>11</v>
      </c>
      <c r="L34" s="258">
        <v>9819.4</v>
      </c>
      <c r="M34" s="258"/>
      <c r="N34" s="258"/>
      <c r="O34" s="258"/>
      <c r="P34" s="258"/>
    </row>
    <row customHeight="true" ht="16.071428571428573" r="35">
      <c r="A35" s="256" t="s">
        <v>459</v>
      </c>
      <c r="B35" s="257" t="s">
        <v>444</v>
      </c>
      <c r="C35" s="258" t="s">
        <v>439</v>
      </c>
      <c r="D35" s="258">
        <v>5</v>
      </c>
      <c r="E35" s="258">
        <v>34</v>
      </c>
      <c r="F35" s="259">
        <v>50563.2</v>
      </c>
      <c r="G35" s="259">
        <v>31678.140000000003</v>
      </c>
      <c r="H35" s="260">
        <f t="shared" si="0"/>
      </c>
      <c r="I35" s="260">
        <f t="shared" si="1"/>
      </c>
      <c r="J35" s="260">
        <f t="shared" si="2"/>
      </c>
      <c r="K35" s="258">
        <v>6</v>
      </c>
      <c r="L35" s="258">
        <v>8802</v>
      </c>
      <c r="M35" s="258" t="s">
        <v>449</v>
      </c>
      <c r="N35" s="258">
        <v>4</v>
      </c>
      <c r="O35" s="262"/>
      <c r="P35" s="258"/>
    </row>
    <row customHeight="true" ht="16.071428571428573" r="36">
      <c r="A36" s="256" t="s">
        <v>459</v>
      </c>
      <c r="B36" s="257" t="s">
        <v>433</v>
      </c>
      <c r="C36" s="258" t="s">
        <v>441</v>
      </c>
      <c r="D36" s="258">
        <v>3</v>
      </c>
      <c r="E36" s="258">
        <v>20</v>
      </c>
      <c r="F36" s="259">
        <v>20759.4</v>
      </c>
      <c r="G36" s="259">
        <v>21091.78</v>
      </c>
      <c r="H36" s="260">
        <f t="shared" si="0"/>
      </c>
      <c r="I36" s="260">
        <f t="shared" si="1"/>
      </c>
      <c r="J36" s="260">
        <f t="shared" si="2"/>
      </c>
      <c r="K36" s="258">
        <v>3</v>
      </c>
      <c r="L36" s="258">
        <v>4046</v>
      </c>
      <c r="M36" s="258" t="s">
        <v>442</v>
      </c>
      <c r="N36" s="258">
        <v>5</v>
      </c>
      <c r="O36" s="258" t="s">
        <v>438</v>
      </c>
      <c r="P36" s="258">
        <v>5</v>
      </c>
    </row>
    <row customHeight="true" ht="16.071428571428573" r="37">
      <c r="A37" s="267" t="s">
        <v>459</v>
      </c>
      <c r="B37" s="268"/>
      <c r="C37" s="268"/>
      <c r="D37" s="269">
        <f>SUM(D31:D36)</f>
      </c>
      <c r="E37" s="269">
        <f>SUM(E31:E36)</f>
      </c>
      <c r="F37" s="270">
        <f>SUM(F31:F36)</f>
      </c>
      <c r="G37" s="270">
        <f>SUM(G31:G36)</f>
      </c>
      <c r="H37" s="271">
        <f t="shared" si="0"/>
      </c>
      <c r="I37" s="271">
        <f t="shared" si="1"/>
      </c>
      <c r="J37" s="271">
        <f t="shared" si="2"/>
      </c>
      <c r="K37" s="269">
        <f>SUM(K31:K36)</f>
      </c>
      <c r="L37" s="269">
        <f>SUM(L31:L36)</f>
      </c>
      <c r="M37" s="268"/>
      <c r="N37" s="269">
        <f>SUM(N31:N36)</f>
      </c>
      <c r="O37" s="268"/>
      <c r="P37" s="269">
        <f>SUM(P31:P36)</f>
      </c>
    </row>
    <row customHeight="true" ht="16.071428571428573" r="38">
      <c r="A38" s="256" t="s">
        <v>462</v>
      </c>
      <c r="B38" s="257" t="s">
        <v>433</v>
      </c>
      <c r="C38" s="258" t="s">
        <v>428</v>
      </c>
      <c r="D38" s="258">
        <v>2</v>
      </c>
      <c r="E38" s="258">
        <v>15</v>
      </c>
      <c r="F38" s="259">
        <v>16774.4</v>
      </c>
      <c r="G38" s="259">
        <v>13005.54</v>
      </c>
      <c r="H38" s="260">
        <f t="shared" si="0"/>
      </c>
      <c r="I38" s="260">
        <f t="shared" si="1"/>
      </c>
      <c r="J38" s="260">
        <f t="shared" si="2"/>
      </c>
      <c r="K38" s="258">
        <v>1</v>
      </c>
      <c r="L38" s="258">
        <v>1411.2</v>
      </c>
      <c r="M38" s="258" t="s">
        <v>429</v>
      </c>
      <c r="N38" s="258">
        <v>7</v>
      </c>
      <c r="O38" s="258" t="s">
        <v>438</v>
      </c>
      <c r="P38" s="258">
        <v>7</v>
      </c>
    </row>
    <row customHeight="true" ht="16.071428571428573" r="39">
      <c r="A39" s="256" t="s">
        <v>462</v>
      </c>
      <c r="B39" s="257" t="s">
        <v>435</v>
      </c>
      <c r="C39" s="258" t="s">
        <v>432</v>
      </c>
      <c r="D39" s="258">
        <v>5</v>
      </c>
      <c r="E39" s="258">
        <v>34</v>
      </c>
      <c r="F39" s="259">
        <v>45151.4</v>
      </c>
      <c r="G39" s="259">
        <v>26838.140000000003</v>
      </c>
      <c r="H39" s="260">
        <f t="shared" si="0"/>
      </c>
      <c r="I39" s="260">
        <f t="shared" si="1"/>
      </c>
      <c r="J39" s="260">
        <f t="shared" si="2"/>
      </c>
      <c r="K39" s="258">
        <v>13</v>
      </c>
      <c r="L39" s="258">
        <v>13784.4</v>
      </c>
      <c r="M39" s="258"/>
      <c r="N39" s="258"/>
      <c r="O39" s="264"/>
      <c r="P39" s="265"/>
    </row>
    <row customHeight="true" ht="16.071428571428573" r="40">
      <c r="A40" s="256" t="s">
        <v>462</v>
      </c>
      <c r="B40" s="257" t="s">
        <v>427</v>
      </c>
      <c r="C40" s="258" t="s">
        <v>445</v>
      </c>
      <c r="D40" s="258">
        <v>5</v>
      </c>
      <c r="E40" s="258">
        <v>23</v>
      </c>
      <c r="F40" s="259">
        <v>25364.4</v>
      </c>
      <c r="G40" s="259">
        <v>29980.4</v>
      </c>
      <c r="H40" s="260">
        <f t="shared" si="0"/>
      </c>
      <c r="I40" s="260">
        <f t="shared" si="1"/>
      </c>
      <c r="J40" s="260">
        <f t="shared" si="2"/>
      </c>
      <c r="K40" s="258">
        <v>3</v>
      </c>
      <c r="L40" s="258">
        <v>3187.2</v>
      </c>
      <c r="M40" s="258" t="s">
        <v>454</v>
      </c>
      <c r="N40" s="258">
        <v>8</v>
      </c>
      <c r="O40" s="261" t="s">
        <v>430</v>
      </c>
      <c r="P40" s="258">
        <v>12</v>
      </c>
    </row>
    <row customHeight="true" ht="16.071428571428573" r="41">
      <c r="A41" s="256" t="s">
        <v>462</v>
      </c>
      <c r="B41" s="257" t="s">
        <v>447</v>
      </c>
      <c r="C41" s="258" t="s">
        <v>448</v>
      </c>
      <c r="D41" s="258">
        <v>4</v>
      </c>
      <c r="E41" s="258">
        <v>15</v>
      </c>
      <c r="F41" s="259">
        <v>13773.599999999999</v>
      </c>
      <c r="G41" s="259">
        <v>18187.67</v>
      </c>
      <c r="H41" s="260">
        <f t="shared" si="0"/>
      </c>
      <c r="I41" s="260">
        <f t="shared" si="1"/>
      </c>
      <c r="J41" s="260">
        <f t="shared" si="2"/>
      </c>
      <c r="K41" s="258">
        <v>3</v>
      </c>
      <c r="L41" s="258">
        <v>2935.8</v>
      </c>
      <c r="M41" s="258"/>
      <c r="N41" s="261"/>
      <c r="O41" s="258"/>
      <c r="P41" s="258"/>
    </row>
    <row r="42">
      <c r="A42" s="256" t="s">
        <v>462</v>
      </c>
      <c r="B42" s="257" t="s">
        <v>444</v>
      </c>
      <c r="C42" s="258" t="s">
        <v>439</v>
      </c>
      <c r="D42" s="258">
        <v>5</v>
      </c>
      <c r="E42" s="258">
        <v>15</v>
      </c>
      <c r="F42" s="259">
        <v>17015.7</v>
      </c>
      <c r="G42" s="259">
        <v>13131.129999999997</v>
      </c>
      <c r="H42" s="260">
        <f t="shared" si="0"/>
      </c>
      <c r="I42" s="260">
        <f t="shared" si="1"/>
      </c>
      <c r="J42" s="260">
        <f t="shared" si="2"/>
      </c>
      <c r="K42" s="258">
        <v>5</v>
      </c>
      <c r="L42" s="258">
        <v>2072.7</v>
      </c>
      <c r="M42" s="258" t="s">
        <v>449</v>
      </c>
      <c r="N42" s="258">
        <v>4</v>
      </c>
      <c r="O42" s="265"/>
      <c r="P42" s="258"/>
    </row>
    <row r="43">
      <c r="A43" s="256" t="s">
        <v>462</v>
      </c>
      <c r="B43" s="257" t="s">
        <v>433</v>
      </c>
      <c r="C43" s="258" t="s">
        <v>441</v>
      </c>
      <c r="D43" s="258">
        <v>3</v>
      </c>
      <c r="E43" s="258">
        <v>9</v>
      </c>
      <c r="F43" s="259">
        <v>8794.2</v>
      </c>
      <c r="G43" s="259">
        <v>9841.64</v>
      </c>
      <c r="H43" s="260">
        <f t="shared" si="0"/>
      </c>
      <c r="I43" s="260">
        <f t="shared" si="1"/>
      </c>
      <c r="J43" s="260">
        <f t="shared" si="2"/>
      </c>
      <c r="K43" s="258">
        <v>0</v>
      </c>
      <c r="L43" s="258">
        <v>0</v>
      </c>
      <c r="M43" s="258" t="s">
        <v>442</v>
      </c>
      <c r="N43" s="273">
        <v>5</v>
      </c>
      <c r="O43" s="258" t="s">
        <v>438</v>
      </c>
      <c r="P43" s="258">
        <v>5</v>
      </c>
    </row>
    <row customHeight="true" ht="16.071428571428573" r="44">
      <c r="A44" s="267" t="s">
        <v>462</v>
      </c>
      <c r="B44" s="268"/>
      <c r="C44" s="268"/>
      <c r="D44" s="269">
        <f>SUM(D38:D43)</f>
      </c>
      <c r="E44" s="269">
        <f>SUM(E38:E43)</f>
      </c>
      <c r="F44" s="270">
        <f>SUM(F38:F43)</f>
      </c>
      <c r="G44" s="270">
        <f>SUM(G38:G43)</f>
      </c>
      <c r="H44" s="271">
        <f t="shared" si="0"/>
      </c>
      <c r="I44" s="271">
        <f t="shared" si="1"/>
      </c>
      <c r="J44" s="271">
        <f t="shared" si="2"/>
      </c>
      <c r="K44" s="269">
        <f>SUM(K38:K43)</f>
      </c>
      <c r="L44" s="269">
        <f>SUM(L38:L43)</f>
      </c>
      <c r="M44" s="268"/>
      <c r="N44" s="269">
        <f>SUM(N38:N43)</f>
      </c>
      <c r="O44" s="268"/>
      <c r="P44" s="269">
        <f>SUM(P38:P43)</f>
      </c>
    </row>
    <row customHeight="true" ht="16.071428571428573" r="45">
      <c r="A45" s="256" t="s">
        <v>463</v>
      </c>
      <c r="B45" s="257" t="s">
        <v>433</v>
      </c>
      <c r="C45" s="258" t="s">
        <v>428</v>
      </c>
      <c r="D45" s="258">
        <v>2</v>
      </c>
      <c r="E45" s="258">
        <v>12</v>
      </c>
      <c r="F45" s="259">
        <v>14436</v>
      </c>
      <c r="G45" s="259">
        <v>9846.73</v>
      </c>
      <c r="H45" s="260">
        <f t="shared" si="0"/>
      </c>
      <c r="I45" s="260">
        <f t="shared" si="1"/>
      </c>
      <c r="J45" s="260">
        <f t="shared" si="2"/>
      </c>
      <c r="K45" s="258">
        <v>5</v>
      </c>
      <c r="L45" s="258">
        <v>4788</v>
      </c>
      <c r="M45" s="258" t="s">
        <v>429</v>
      </c>
      <c r="N45" s="258">
        <v>7</v>
      </c>
      <c r="O45" s="258" t="s">
        <v>438</v>
      </c>
      <c r="P45" s="258">
        <v>7</v>
      </c>
    </row>
    <row customHeight="true" ht="16.071428571428573" r="46">
      <c r="A46" s="256" t="s">
        <v>463</v>
      </c>
      <c r="B46" s="257" t="s">
        <v>435</v>
      </c>
      <c r="C46" s="258" t="s">
        <v>432</v>
      </c>
      <c r="D46" s="258">
        <v>5</v>
      </c>
      <c r="E46" s="258">
        <v>39</v>
      </c>
      <c r="F46" s="259">
        <v>53116.8</v>
      </c>
      <c r="G46" s="259">
        <v>30711.95</v>
      </c>
      <c r="H46" s="260">
        <f t="shared" si="0"/>
      </c>
      <c r="I46" s="260">
        <f t="shared" si="1"/>
      </c>
      <c r="J46" s="260">
        <f t="shared" si="2"/>
      </c>
      <c r="K46" s="258">
        <v>6</v>
      </c>
      <c r="L46" s="258">
        <v>9228</v>
      </c>
      <c r="M46" s="258"/>
      <c r="N46" s="258"/>
      <c r="O46" s="264"/>
      <c r="P46" s="265"/>
    </row>
    <row customHeight="true" ht="16.071428571428573" r="47">
      <c r="A47" s="256" t="s">
        <v>463</v>
      </c>
      <c r="B47" s="257" t="s">
        <v>447</v>
      </c>
      <c r="C47" s="258" t="s">
        <v>434</v>
      </c>
      <c r="D47" s="258">
        <v>4</v>
      </c>
      <c r="E47" s="258">
        <v>35</v>
      </c>
      <c r="F47" s="259">
        <v>44481.59999999999</v>
      </c>
      <c r="G47" s="259">
        <v>35218.76</v>
      </c>
      <c r="H47" s="260">
        <f t="shared" si="0"/>
      </c>
      <c r="I47" s="260">
        <f t="shared" si="1"/>
      </c>
      <c r="J47" s="260">
        <f t="shared" si="2"/>
      </c>
      <c r="K47" s="258">
        <v>6</v>
      </c>
      <c r="L47" s="258">
        <v>6992.4</v>
      </c>
      <c r="M47" s="258" t="s">
        <v>449</v>
      </c>
      <c r="N47" s="258">
        <v>12</v>
      </c>
      <c r="O47" s="261" t="s">
        <v>430</v>
      </c>
      <c r="P47" s="258">
        <v>12</v>
      </c>
    </row>
    <row customHeight="true" ht="16.071428571428573" r="48">
      <c r="A48" s="256" t="s">
        <v>463</v>
      </c>
      <c r="B48" s="257" t="s">
        <v>444</v>
      </c>
      <c r="C48" s="258" t="s">
        <v>436</v>
      </c>
      <c r="D48" s="258">
        <v>5</v>
      </c>
      <c r="E48" s="258">
        <v>36</v>
      </c>
      <c r="F48" s="259">
        <v>36820.2</v>
      </c>
      <c r="G48" s="259">
        <v>31502.28</v>
      </c>
      <c r="H48" s="260">
        <f t="shared" si="0"/>
      </c>
      <c r="I48" s="260">
        <f t="shared" si="1"/>
      </c>
      <c r="J48" s="260">
        <f t="shared" si="2"/>
      </c>
      <c r="K48" s="258">
        <v>8</v>
      </c>
      <c r="L48" s="258">
        <v>4860.6</v>
      </c>
      <c r="M48" s="258"/>
      <c r="N48" s="261"/>
      <c r="O48" s="258"/>
      <c r="P48" s="258"/>
    </row>
    <row customHeight="true" ht="16.071428571428573" r="49">
      <c r="A49" s="256" t="s">
        <v>463</v>
      </c>
      <c r="B49" s="257" t="s">
        <v>431</v>
      </c>
      <c r="C49" s="258" t="s">
        <v>439</v>
      </c>
      <c r="D49" s="258">
        <v>5</v>
      </c>
      <c r="E49" s="258">
        <v>20</v>
      </c>
      <c r="F49" s="259">
        <v>26363.8</v>
      </c>
      <c r="G49" s="259">
        <v>24937.120000000003</v>
      </c>
      <c r="H49" s="260">
        <f t="shared" si="0"/>
      </c>
      <c r="I49" s="260">
        <f t="shared" si="1"/>
      </c>
      <c r="J49" s="260">
        <f t="shared" si="2"/>
      </c>
      <c r="K49" s="258">
        <v>4</v>
      </c>
      <c r="L49" s="258">
        <v>3050.2</v>
      </c>
      <c r="M49" s="258"/>
      <c r="N49" s="258"/>
      <c r="O49" s="265"/>
      <c r="P49" s="258"/>
    </row>
    <row customHeight="true" ht="16.071428571428573" r="50">
      <c r="A50" s="256" t="s">
        <v>463</v>
      </c>
      <c r="B50" s="257" t="s">
        <v>435</v>
      </c>
      <c r="C50" s="258" t="s">
        <v>441</v>
      </c>
      <c r="D50" s="258">
        <v>3</v>
      </c>
      <c r="E50" s="258">
        <v>29</v>
      </c>
      <c r="F50" s="259">
        <v>33403.2</v>
      </c>
      <c r="G50" s="259">
        <v>25299.11</v>
      </c>
      <c r="H50" s="260">
        <f t="shared" si="0"/>
      </c>
      <c r="I50" s="260">
        <f t="shared" si="1"/>
      </c>
      <c r="J50" s="260">
        <f t="shared" si="2"/>
      </c>
      <c r="K50" s="258">
        <v>3</v>
      </c>
      <c r="L50" s="258">
        <v>701</v>
      </c>
      <c r="M50" s="258" t="s">
        <v>442</v>
      </c>
      <c r="N50" s="273">
        <v>5</v>
      </c>
      <c r="O50" s="258" t="s">
        <v>438</v>
      </c>
      <c r="P50" s="258">
        <v>5</v>
      </c>
    </row>
    <row customHeight="true" ht="16.071428571428573" r="51">
      <c r="A51" s="267" t="s">
        <v>463</v>
      </c>
      <c r="B51" s="268"/>
      <c r="C51" s="268"/>
      <c r="D51" s="269">
        <f>SUM(D45:D50)</f>
      </c>
      <c r="E51" s="269">
        <f>SUM(E45:E50)</f>
      </c>
      <c r="F51" s="270">
        <f>SUM(F45:F50)</f>
      </c>
      <c r="G51" s="270">
        <f>SUM(G45:G50)</f>
      </c>
      <c r="H51" s="271">
        <f t="shared" si="0"/>
      </c>
      <c r="I51" s="271">
        <f t="shared" si="1"/>
      </c>
      <c r="J51" s="271">
        <f t="shared" si="2"/>
      </c>
      <c r="K51" s="269">
        <f>SUM(K45:K50)</f>
      </c>
      <c r="L51" s="269">
        <f>SUM(L45:L50)</f>
      </c>
      <c r="M51" s="268"/>
      <c r="N51" s="269">
        <f>SUM(N45:N50)</f>
      </c>
      <c r="O51" s="268"/>
      <c r="P51" s="269">
        <f>SUM(P45:P50)</f>
      </c>
    </row>
    <row customHeight="true" ht="16.071428571428573" r="52">
      <c r="A52" s="256" t="s">
        <v>464</v>
      </c>
      <c r="B52" s="257" t="s">
        <v>435</v>
      </c>
      <c r="C52" s="258" t="s">
        <v>428</v>
      </c>
      <c r="D52" s="258">
        <v>2</v>
      </c>
      <c r="E52" s="258">
        <v>15</v>
      </c>
      <c r="F52" s="259">
        <v>19365.6</v>
      </c>
      <c r="G52" s="259">
        <v>10974.960000000001</v>
      </c>
      <c r="H52" s="260">
        <f t="shared" si="0"/>
      </c>
      <c r="I52" s="260">
        <f t="shared" si="1"/>
      </c>
      <c r="J52" s="260">
        <f t="shared" si="2"/>
      </c>
      <c r="K52" s="258">
        <v>5</v>
      </c>
      <c r="L52" s="258">
        <v>5811.3</v>
      </c>
      <c r="M52" s="258" t="s">
        <v>429</v>
      </c>
      <c r="N52" s="258">
        <v>7</v>
      </c>
      <c r="O52" s="258" t="s">
        <v>438</v>
      </c>
      <c r="P52" s="258">
        <v>7</v>
      </c>
    </row>
    <row customHeight="true" ht="16.071428571428573" r="53">
      <c r="A53" s="256" t="s">
        <v>464</v>
      </c>
      <c r="B53" s="257" t="s">
        <v>427</v>
      </c>
      <c r="C53" s="258" t="s">
        <v>432</v>
      </c>
      <c r="D53" s="258">
        <v>5</v>
      </c>
      <c r="E53" s="258">
        <v>25</v>
      </c>
      <c r="F53" s="259">
        <v>26231.7</v>
      </c>
      <c r="G53" s="259">
        <v>21906.16</v>
      </c>
      <c r="H53" s="260">
        <f t="shared" si="0"/>
      </c>
      <c r="I53" s="260">
        <f t="shared" si="1"/>
      </c>
      <c r="J53" s="260">
        <f t="shared" si="2"/>
      </c>
      <c r="K53" s="258">
        <v>6</v>
      </c>
      <c r="L53" s="258">
        <v>5811.3</v>
      </c>
      <c r="M53" s="258"/>
      <c r="N53" s="258"/>
      <c r="O53" s="264"/>
      <c r="P53" s="265"/>
    </row>
    <row customHeight="true" ht="16.071428571428573" r="54">
      <c r="A54" s="256" t="s">
        <v>464</v>
      </c>
      <c r="B54" s="257" t="s">
        <v>447</v>
      </c>
      <c r="C54" s="258" t="s">
        <v>434</v>
      </c>
      <c r="D54" s="258">
        <v>4</v>
      </c>
      <c r="E54" s="258">
        <v>36</v>
      </c>
      <c r="F54" s="259">
        <v>41158.80000000002</v>
      </c>
      <c r="G54" s="259">
        <v>27736.63</v>
      </c>
      <c r="H54" s="260">
        <f t="shared" si="0"/>
      </c>
      <c r="I54" s="260">
        <f t="shared" si="1"/>
      </c>
      <c r="J54" s="260">
        <f t="shared" si="2"/>
      </c>
      <c r="K54" s="258">
        <v>7</v>
      </c>
      <c r="L54" s="258">
        <v>7016.8</v>
      </c>
      <c r="M54" s="258" t="s">
        <v>449</v>
      </c>
      <c r="N54" s="258">
        <v>12</v>
      </c>
      <c r="O54" s="261" t="s">
        <v>430</v>
      </c>
      <c r="P54" s="258">
        <v>12</v>
      </c>
    </row>
    <row customHeight="true" ht="16.071428571428573" r="55">
      <c r="A55" s="256" t="s">
        <v>464</v>
      </c>
      <c r="B55" s="257" t="s">
        <v>433</v>
      </c>
      <c r="C55" s="258" t="s">
        <v>436</v>
      </c>
      <c r="D55" s="258">
        <v>5</v>
      </c>
      <c r="E55" s="258">
        <v>25</v>
      </c>
      <c r="F55" s="259">
        <v>33053.2</v>
      </c>
      <c r="G55" s="259">
        <v>29587.969999999998</v>
      </c>
      <c r="H55" s="260">
        <f t="shared" si="0"/>
      </c>
      <c r="I55" s="260">
        <f t="shared" si="1"/>
      </c>
      <c r="J55" s="260">
        <f t="shared" si="2"/>
      </c>
      <c r="K55" s="258">
        <v>3</v>
      </c>
      <c r="L55" s="258">
        <v>2560.6</v>
      </c>
      <c r="M55" s="258"/>
      <c r="N55" s="261"/>
      <c r="O55" s="258"/>
      <c r="P55" s="258"/>
    </row>
    <row customHeight="true" ht="16.071428571428573" r="56">
      <c r="A56" s="256" t="s">
        <v>464</v>
      </c>
      <c r="B56" s="257" t="s">
        <v>431</v>
      </c>
      <c r="C56" s="258" t="s">
        <v>439</v>
      </c>
      <c r="D56" s="258">
        <v>5</v>
      </c>
      <c r="E56" s="258">
        <v>27</v>
      </c>
      <c r="F56" s="259">
        <v>33490.4</v>
      </c>
      <c r="G56" s="259">
        <v>25850.4</v>
      </c>
      <c r="H56" s="260">
        <f t="shared" si="0"/>
      </c>
      <c r="I56" s="260">
        <f t="shared" si="1"/>
      </c>
      <c r="J56" s="260">
        <f t="shared" si="2"/>
      </c>
      <c r="K56" s="258">
        <v>9</v>
      </c>
      <c r="L56" s="258">
        <v>8692.8</v>
      </c>
      <c r="M56" s="258"/>
      <c r="N56" s="258"/>
      <c r="O56" s="265"/>
      <c r="P56" s="258"/>
    </row>
    <row customHeight="true" ht="16.071428571428573" r="57">
      <c r="A57" s="256" t="s">
        <v>464</v>
      </c>
      <c r="B57" s="257" t="s">
        <v>435</v>
      </c>
      <c r="C57" s="258" t="s">
        <v>441</v>
      </c>
      <c r="D57" s="258">
        <v>3</v>
      </c>
      <c r="E57" s="258">
        <v>17</v>
      </c>
      <c r="F57" s="259">
        <v>24538</v>
      </c>
      <c r="G57" s="259">
        <v>20625.059999999998</v>
      </c>
      <c r="H57" s="260">
        <f t="shared" si="0"/>
      </c>
      <c r="I57" s="260">
        <f t="shared" si="1"/>
      </c>
      <c r="J57" s="260">
        <f t="shared" si="2"/>
      </c>
      <c r="K57" s="258">
        <v>4</v>
      </c>
      <c r="L57" s="258">
        <v>7270</v>
      </c>
      <c r="M57" s="258" t="s">
        <v>442</v>
      </c>
      <c r="N57" s="273">
        <v>5</v>
      </c>
      <c r="O57" s="258" t="s">
        <v>438</v>
      </c>
      <c r="P57" s="258">
        <v>5</v>
      </c>
    </row>
    <row customHeight="true" ht="16.071428571428573" r="58">
      <c r="A58" s="267" t="s">
        <v>464</v>
      </c>
      <c r="B58" s="268"/>
      <c r="C58" s="268"/>
      <c r="D58" s="269">
        <f>SUM(D52:D57)</f>
      </c>
      <c r="E58" s="269">
        <f>SUM(E52:E57)</f>
      </c>
      <c r="F58" s="270">
        <f>SUM(F52:F57)</f>
      </c>
      <c r="G58" s="270">
        <f>SUM(G52:G57)</f>
      </c>
      <c r="H58" s="271">
        <f t="shared" si="0"/>
      </c>
      <c r="I58" s="271">
        <f t="shared" si="1"/>
      </c>
      <c r="J58" s="271">
        <f t="shared" si="2"/>
      </c>
      <c r="K58" s="269">
        <f>SUM(K52:K57)</f>
      </c>
      <c r="L58" s="269">
        <f>SUM(L52:L57)</f>
      </c>
      <c r="M58" s="268"/>
      <c r="N58" s="269">
        <f>SUM(N52:N57)</f>
      </c>
      <c r="O58" s="268"/>
      <c r="P58" s="269">
        <f>SUM(P52:P57)</f>
      </c>
    </row>
    <row r="59">
      <c r="A59" s="256" t="s">
        <v>465</v>
      </c>
      <c r="B59" s="257" t="s">
        <v>435</v>
      </c>
      <c r="C59" s="258" t="s">
        <v>428</v>
      </c>
      <c r="D59" s="258">
        <v>2</v>
      </c>
      <c r="E59" s="258">
        <v>14</v>
      </c>
      <c r="F59" s="259">
        <v>17596.8</v>
      </c>
      <c r="G59" s="259">
        <v>11664</v>
      </c>
      <c r="H59" s="260">
        <f t="shared" si="0"/>
      </c>
      <c r="I59" s="260">
        <f t="shared" si="1"/>
      </c>
      <c r="J59" s="260">
        <f t="shared" si="2"/>
      </c>
      <c r="K59" s="258">
        <v>6</v>
      </c>
      <c r="L59" s="258">
        <v>8160</v>
      </c>
      <c r="M59" s="258" t="s">
        <v>429</v>
      </c>
      <c r="N59" s="258">
        <v>7</v>
      </c>
      <c r="O59" s="258" t="s">
        <v>438</v>
      </c>
      <c r="P59" s="258">
        <v>7</v>
      </c>
    </row>
    <row r="60">
      <c r="A60" s="256" t="s">
        <v>465</v>
      </c>
      <c r="B60" s="257" t="s">
        <v>427</v>
      </c>
      <c r="C60" s="258" t="s">
        <v>432</v>
      </c>
      <c r="D60" s="258">
        <v>5</v>
      </c>
      <c r="E60" s="258">
        <v>14</v>
      </c>
      <c r="F60" s="259">
        <v>10626</v>
      </c>
      <c r="G60" s="259">
        <v>17664.84</v>
      </c>
      <c r="H60" s="260">
        <f t="shared" si="0"/>
      </c>
      <c r="I60" s="260">
        <f t="shared" si="1"/>
      </c>
      <c r="J60" s="260">
        <f t="shared" si="2"/>
      </c>
      <c r="K60" s="258">
        <v>5</v>
      </c>
      <c r="L60" s="258">
        <v>2674.7999999999993</v>
      </c>
      <c r="M60" s="258"/>
      <c r="N60" s="258"/>
      <c r="O60" s="264"/>
      <c r="P60" s="265"/>
    </row>
    <row r="61">
      <c r="A61" s="256" t="s">
        <v>465</v>
      </c>
      <c r="B61" s="257" t="s">
        <v>433</v>
      </c>
      <c r="C61" s="258" t="s">
        <v>445</v>
      </c>
      <c r="D61" s="258">
        <v>5</v>
      </c>
      <c r="E61" s="258">
        <v>32</v>
      </c>
      <c r="F61" s="259">
        <v>37859</v>
      </c>
      <c r="G61" s="259">
        <v>28527.199999999997</v>
      </c>
      <c r="H61" s="260">
        <f t="shared" si="0"/>
      </c>
      <c r="I61" s="260">
        <f t="shared" si="1"/>
      </c>
      <c r="J61" s="260">
        <f t="shared" si="2"/>
      </c>
      <c r="K61" s="258">
        <v>13</v>
      </c>
      <c r="L61" s="258">
        <v>15722.4</v>
      </c>
      <c r="M61" s="258" t="s">
        <v>437</v>
      </c>
      <c r="N61" s="258">
        <v>9</v>
      </c>
      <c r="O61" s="261" t="s">
        <v>430</v>
      </c>
      <c r="P61" s="258">
        <v>12</v>
      </c>
    </row>
    <row r="62">
      <c r="A62" s="256" t="s">
        <v>465</v>
      </c>
      <c r="B62" s="257" t="s">
        <v>431</v>
      </c>
      <c r="C62" s="258" t="s">
        <v>448</v>
      </c>
      <c r="D62" s="258">
        <v>4</v>
      </c>
      <c r="E62" s="258">
        <v>16</v>
      </c>
      <c r="F62" s="259">
        <v>24814.399999999994</v>
      </c>
      <c r="G62" s="259">
        <v>21650.739999999998</v>
      </c>
      <c r="H62" s="260">
        <f t="shared" si="0"/>
      </c>
      <c r="I62" s="260">
        <f t="shared" si="1"/>
      </c>
      <c r="J62" s="260">
        <f t="shared" si="2"/>
      </c>
      <c r="K62" s="258">
        <v>4</v>
      </c>
      <c r="L62" s="258">
        <v>5770.800000000003</v>
      </c>
      <c r="M62" s="258" t="s">
        <v>466</v>
      </c>
      <c r="N62" s="261">
        <v>3</v>
      </c>
      <c r="O62" s="258"/>
      <c r="P62" s="258"/>
    </row>
    <row r="63">
      <c r="A63" s="256" t="s">
        <v>465</v>
      </c>
      <c r="B63" s="257" t="s">
        <v>435</v>
      </c>
      <c r="C63" s="258" t="s">
        <v>439</v>
      </c>
      <c r="D63" s="258">
        <v>5</v>
      </c>
      <c r="E63" s="258">
        <v>20</v>
      </c>
      <c r="F63" s="259">
        <v>25024.800000000003</v>
      </c>
      <c r="G63" s="259">
        <v>19859.61</v>
      </c>
      <c r="H63" s="260">
        <f t="shared" si="0"/>
      </c>
      <c r="I63" s="260">
        <f t="shared" si="1"/>
      </c>
      <c r="J63" s="260">
        <f t="shared" si="2"/>
      </c>
      <c r="K63" s="258">
        <v>6</v>
      </c>
      <c r="L63" s="258">
        <v>8522.399999999998</v>
      </c>
      <c r="M63" s="258"/>
      <c r="N63" s="258"/>
      <c r="O63" s="265"/>
      <c r="P63" s="258"/>
    </row>
    <row r="64">
      <c r="A64" s="256" t="s">
        <v>465</v>
      </c>
      <c r="B64" s="257" t="s">
        <v>427</v>
      </c>
      <c r="C64" s="258" t="s">
        <v>441</v>
      </c>
      <c r="D64" s="258">
        <v>3</v>
      </c>
      <c r="E64" s="258">
        <v>39</v>
      </c>
      <c r="F64" s="259">
        <v>52248</v>
      </c>
      <c r="G64" s="259">
        <v>30735.44</v>
      </c>
      <c r="H64" s="260">
        <f t="shared" si="0"/>
      </c>
      <c r="I64" s="260">
        <f t="shared" si="1"/>
      </c>
      <c r="J64" s="260">
        <f t="shared" si="2"/>
      </c>
      <c r="K64" s="258">
        <v>6</v>
      </c>
      <c r="L64" s="258">
        <v>8924.400000000012</v>
      </c>
      <c r="M64" s="258" t="s">
        <v>449</v>
      </c>
      <c r="N64" s="273">
        <v>5</v>
      </c>
      <c r="O64" s="258" t="s">
        <v>438</v>
      </c>
      <c r="P64" s="258">
        <v>5</v>
      </c>
    </row>
    <row r="65">
      <c r="A65" s="267" t="s">
        <v>465</v>
      </c>
      <c r="B65" s="268"/>
      <c r="C65" s="268"/>
      <c r="D65" s="269">
        <f>SUM(D59:D64)</f>
      </c>
      <c r="E65" s="269">
        <f>SUM(E59:E64)</f>
      </c>
      <c r="F65" s="270">
        <f>SUM(F59:F64)</f>
      </c>
      <c r="G65" s="270">
        <f>SUM(G59:G64)</f>
      </c>
      <c r="H65" s="271">
        <f t="shared" si="0"/>
      </c>
      <c r="I65" s="271">
        <f t="shared" si="1"/>
      </c>
      <c r="J65" s="271">
        <f t="shared" si="2"/>
      </c>
      <c r="K65" s="269">
        <f>SUM(K59:K64)</f>
      </c>
      <c r="L65" s="269">
        <f>SUM(L59:L64)</f>
      </c>
      <c r="M65" s="268"/>
      <c r="N65" s="269">
        <f>SUM(N59:N64)</f>
      </c>
      <c r="O65" s="268"/>
      <c r="P65" s="269">
        <f>SUM(P59:P64)</f>
      </c>
    </row>
    <row r="66">
      <c r="A66" s="256" t="s">
        <v>467</v>
      </c>
      <c r="B66" s="257" t="s">
        <v>427</v>
      </c>
      <c r="C66" s="258" t="s">
        <v>428</v>
      </c>
      <c r="D66" s="258">
        <v>2</v>
      </c>
      <c r="E66" s="258">
        <v>23</v>
      </c>
      <c r="F66" s="259">
        <v>28964.4</v>
      </c>
      <c r="G66" s="259">
        <v>14798.02</v>
      </c>
      <c r="H66" s="260">
        <f t="shared" si="0"/>
      </c>
      <c r="I66" s="260">
        <f t="shared" si="1"/>
      </c>
      <c r="J66" s="260">
        <f t="shared" si="2"/>
      </c>
      <c r="K66" s="258">
        <v>5</v>
      </c>
      <c r="L66" s="258">
        <v>8150.399999999997</v>
      </c>
      <c r="M66" s="258" t="s">
        <v>468</v>
      </c>
      <c r="N66" s="258">
        <v>7</v>
      </c>
      <c r="O66" s="258" t="s">
        <v>438</v>
      </c>
      <c r="P66" s="258">
        <v>7</v>
      </c>
    </row>
    <row r="67">
      <c r="A67" s="256" t="s">
        <v>467</v>
      </c>
      <c r="B67" s="257" t="s">
        <v>447</v>
      </c>
      <c r="C67" s="258" t="s">
        <v>432</v>
      </c>
      <c r="D67" s="258">
        <v>5</v>
      </c>
      <c r="E67" s="258">
        <v>28</v>
      </c>
      <c r="F67" s="259">
        <v>34070.4</v>
      </c>
      <c r="G67" s="259">
        <v>21451.16</v>
      </c>
      <c r="H67" s="260">
        <f t="shared" si="0"/>
      </c>
      <c r="I67" s="260">
        <f t="shared" si="1"/>
      </c>
      <c r="J67" s="260">
        <f t="shared" si="2"/>
      </c>
      <c r="K67" s="258">
        <v>1</v>
      </c>
      <c r="L67" s="258">
        <v>2011.1999999999998</v>
      </c>
      <c r="M67" s="258"/>
      <c r="N67" s="258"/>
      <c r="O67" s="264"/>
      <c r="P67" s="265"/>
    </row>
    <row r="68">
      <c r="A68" s="256" t="s">
        <v>467</v>
      </c>
      <c r="B68" s="257" t="s">
        <v>433</v>
      </c>
      <c r="C68" s="258" t="s">
        <v>434</v>
      </c>
      <c r="D68" s="258">
        <v>4</v>
      </c>
      <c r="E68" s="258">
        <v>23</v>
      </c>
      <c r="F68" s="259">
        <v>30440.399999999994</v>
      </c>
      <c r="G68" s="259">
        <v>25456.010000000002</v>
      </c>
      <c r="H68" s="260">
        <f t="shared" si="0"/>
      </c>
      <c r="I68" s="260">
        <f t="shared" si="1"/>
      </c>
      <c r="J68" s="260">
        <f t="shared" si="2"/>
      </c>
      <c r="K68" s="258">
        <v>10</v>
      </c>
      <c r="L68" s="258">
        <v>10419.600000000002</v>
      </c>
      <c r="M68" s="258" t="s">
        <v>437</v>
      </c>
      <c r="N68" s="258">
        <v>9</v>
      </c>
      <c r="O68" s="261" t="s">
        <v>430</v>
      </c>
      <c r="P68" s="258">
        <v>12</v>
      </c>
    </row>
    <row r="69">
      <c r="A69" s="256" t="s">
        <v>467</v>
      </c>
      <c r="B69" s="257" t="s">
        <v>444</v>
      </c>
      <c r="C69" s="258" t="s">
        <v>436</v>
      </c>
      <c r="D69" s="258">
        <v>5</v>
      </c>
      <c r="E69" s="258">
        <v>16</v>
      </c>
      <c r="F69" s="259">
        <v>19698.000000000015</v>
      </c>
      <c r="G69" s="259">
        <v>24325.219999999998</v>
      </c>
      <c r="H69" s="260">
        <f t="shared" si="0"/>
      </c>
      <c r="I69" s="260">
        <f t="shared" si="1"/>
      </c>
      <c r="J69" s="260">
        <f t="shared" si="2"/>
      </c>
      <c r="K69" s="258">
        <v>1</v>
      </c>
      <c r="L69" s="258">
        <v>358.7999999999993</v>
      </c>
      <c r="M69" s="258" t="s">
        <v>466</v>
      </c>
      <c r="N69" s="261">
        <v>3</v>
      </c>
      <c r="O69" s="258"/>
      <c r="P69" s="258"/>
    </row>
    <row r="70">
      <c r="A70" s="256" t="s">
        <v>467</v>
      </c>
      <c r="B70" s="257" t="s">
        <v>435</v>
      </c>
      <c r="C70" s="258" t="s">
        <v>439</v>
      </c>
      <c r="D70" s="258">
        <v>5</v>
      </c>
      <c r="E70" s="258">
        <v>33</v>
      </c>
      <c r="F70" s="259">
        <v>42714</v>
      </c>
      <c r="G70" s="259">
        <v>27242.59</v>
      </c>
      <c r="H70" s="260">
        <f t="shared" si="0"/>
      </c>
      <c r="I70" s="260">
        <f t="shared" si="1"/>
      </c>
      <c r="J70" s="260">
        <f t="shared" si="2"/>
      </c>
      <c r="K70" s="258">
        <v>10</v>
      </c>
      <c r="L70" s="258">
        <v>6651.600000000002</v>
      </c>
      <c r="M70" s="258"/>
      <c r="N70" s="258"/>
      <c r="O70" s="265"/>
      <c r="P70" s="258"/>
    </row>
    <row r="71">
      <c r="A71" s="256" t="s">
        <v>467</v>
      </c>
      <c r="B71" s="257" t="s">
        <v>427</v>
      </c>
      <c r="C71" s="258" t="s">
        <v>441</v>
      </c>
      <c r="D71" s="258">
        <v>3</v>
      </c>
      <c r="E71" s="258">
        <v>33</v>
      </c>
      <c r="F71" s="259">
        <v>41772.79999999999</v>
      </c>
      <c r="G71" s="259">
        <v>30914.149999999998</v>
      </c>
      <c r="H71" s="260">
        <f t="shared" si="0"/>
      </c>
      <c r="I71" s="260">
        <f t="shared" si="1"/>
      </c>
      <c r="J71" s="260">
        <f t="shared" si="2"/>
      </c>
      <c r="K71" s="258">
        <v>6</v>
      </c>
      <c r="L71" s="258">
        <v>8167.200000000003</v>
      </c>
      <c r="M71" s="258" t="s">
        <v>449</v>
      </c>
      <c r="N71" s="273">
        <v>5</v>
      </c>
      <c r="O71" s="258" t="s">
        <v>438</v>
      </c>
      <c r="P71" s="258">
        <v>5</v>
      </c>
    </row>
    <row r="72">
      <c r="A72" s="267" t="s">
        <v>467</v>
      </c>
      <c r="B72" s="268"/>
      <c r="C72" s="268"/>
      <c r="D72" s="269">
        <f>SUM(D66:D71)</f>
      </c>
      <c r="E72" s="269">
        <f>SUM(E66:E71)</f>
      </c>
      <c r="F72" s="270">
        <f>SUM(F66:F71)</f>
      </c>
      <c r="G72" s="270">
        <f>SUM(G66:G71)</f>
      </c>
      <c r="H72" s="271">
        <f t="shared" si="0"/>
      </c>
      <c r="I72" s="271">
        <f t="shared" si="1"/>
      </c>
      <c r="J72" s="271">
        <f t="shared" si="2"/>
      </c>
      <c r="K72" s="269">
        <f>SUM(K66:K71)</f>
      </c>
      <c r="L72" s="269">
        <f>SUM(L66:L71)</f>
      </c>
      <c r="M72" s="268"/>
      <c r="N72" s="269">
        <f>SUM(N66:N71)</f>
      </c>
      <c r="O72" s="268"/>
      <c r="P72" s="269">
        <f>SUM(P66:P71)</f>
      </c>
    </row>
    <row customHeight="true" ht="16.071428571428573" r="73">
      <c r="A73" s="256" t="s">
        <v>469</v>
      </c>
      <c r="B73" s="257" t="s">
        <v>427</v>
      </c>
      <c r="C73" s="258" t="s">
        <v>428</v>
      </c>
      <c r="D73" s="258">
        <v>2</v>
      </c>
      <c r="E73" s="258">
        <v>15</v>
      </c>
      <c r="F73" s="259">
        <v>21775</v>
      </c>
      <c r="G73" s="259">
        <v>14050.630000000001</v>
      </c>
      <c r="H73" s="260">
        <f t="shared" si="0"/>
      </c>
      <c r="I73" s="260">
        <f t="shared" si="1"/>
      </c>
      <c r="J73" s="260">
        <f t="shared" si="2"/>
      </c>
      <c r="K73" s="258">
        <v>3</v>
      </c>
      <c r="L73" s="258">
        <v>4814.2</v>
      </c>
      <c r="M73" s="258" t="s">
        <v>468</v>
      </c>
      <c r="N73" s="258">
        <v>7</v>
      </c>
      <c r="O73" s="258" t="s">
        <v>438</v>
      </c>
      <c r="P73" s="258">
        <v>7</v>
      </c>
    </row>
    <row customHeight="true" ht="16.071428571428573" r="74">
      <c r="A74" s="256" t="s">
        <v>469</v>
      </c>
      <c r="B74" s="257" t="s">
        <v>447</v>
      </c>
      <c r="C74" s="258" t="s">
        <v>432</v>
      </c>
      <c r="D74" s="258">
        <v>5</v>
      </c>
      <c r="E74" s="258">
        <v>13</v>
      </c>
      <c r="F74" s="259">
        <v>11293.199999999997</v>
      </c>
      <c r="G74" s="259">
        <v>16176.7</v>
      </c>
      <c r="H74" s="260">
        <f t="shared" si="0"/>
      </c>
      <c r="I74" s="260">
        <f t="shared" si="1"/>
      </c>
      <c r="J74" s="260">
        <f t="shared" si="2"/>
      </c>
      <c r="K74" s="258">
        <v>2</v>
      </c>
      <c r="L74" s="258">
        <v>3355.2</v>
      </c>
      <c r="M74" s="258"/>
      <c r="N74" s="258"/>
      <c r="O74" s="264"/>
      <c r="P74" s="265"/>
    </row>
    <row customHeight="true" ht="16.071428571428573" r="75">
      <c r="A75" s="256" t="s">
        <v>469</v>
      </c>
      <c r="B75" s="257" t="s">
        <v>444</v>
      </c>
      <c r="C75" s="258" t="s">
        <v>434</v>
      </c>
      <c r="D75" s="258">
        <v>4</v>
      </c>
      <c r="E75" s="258">
        <v>8</v>
      </c>
      <c r="F75" s="259">
        <v>13341.600000000006</v>
      </c>
      <c r="G75" s="259">
        <v>13050.5</v>
      </c>
      <c r="H75" s="260">
        <f t="shared" si="0"/>
      </c>
      <c r="I75" s="260">
        <f t="shared" si="1"/>
      </c>
      <c r="J75" s="260">
        <f t="shared" si="2"/>
      </c>
      <c r="K75" s="258">
        <v>1</v>
      </c>
      <c r="L75" s="258">
        <v>1663.2000000000007</v>
      </c>
      <c r="M75" s="258" t="s">
        <v>437</v>
      </c>
      <c r="N75" s="258">
        <v>9</v>
      </c>
      <c r="O75" s="261" t="s">
        <v>430</v>
      </c>
      <c r="P75" s="258">
        <v>12</v>
      </c>
    </row>
    <row customHeight="true" ht="16.071428571428573" r="76">
      <c r="A76" s="256" t="s">
        <v>469</v>
      </c>
      <c r="B76" s="257" t="s">
        <v>435</v>
      </c>
      <c r="C76" s="258" t="s">
        <v>436</v>
      </c>
      <c r="D76" s="258">
        <v>5</v>
      </c>
      <c r="E76" s="258">
        <v>39</v>
      </c>
      <c r="F76" s="259">
        <v>51913.59999999999</v>
      </c>
      <c r="G76" s="259">
        <v>34718.399999999994</v>
      </c>
      <c r="H76" s="260">
        <f t="shared" si="0"/>
      </c>
      <c r="I76" s="260">
        <f t="shared" si="1"/>
      </c>
      <c r="J76" s="260">
        <f t="shared" si="2"/>
      </c>
      <c r="K76" s="258">
        <v>8</v>
      </c>
      <c r="L76" s="258">
        <v>12213.599999999999</v>
      </c>
      <c r="M76" s="258" t="s">
        <v>466</v>
      </c>
      <c r="N76" s="261">
        <v>3</v>
      </c>
      <c r="O76" s="258"/>
      <c r="P76" s="258"/>
    </row>
    <row customHeight="true" ht="16.071428571428573" r="77">
      <c r="A77" s="256" t="s">
        <v>469</v>
      </c>
      <c r="B77" s="257" t="s">
        <v>427</v>
      </c>
      <c r="C77" s="258" t="s">
        <v>439</v>
      </c>
      <c r="D77" s="258">
        <v>5</v>
      </c>
      <c r="E77" s="258">
        <v>32</v>
      </c>
      <c r="F77" s="259">
        <v>42972</v>
      </c>
      <c r="G77" s="259">
        <v>28451.239999999998</v>
      </c>
      <c r="H77" s="260">
        <f t="shared" si="0"/>
      </c>
      <c r="I77" s="260">
        <f t="shared" si="1"/>
      </c>
      <c r="J77" s="260">
        <f t="shared" si="2"/>
      </c>
      <c r="K77" s="258">
        <v>6</v>
      </c>
      <c r="L77" s="258">
        <v>8963.999999999998</v>
      </c>
      <c r="M77" s="258"/>
      <c r="N77" s="258"/>
      <c r="O77" s="265"/>
      <c r="P77" s="258"/>
    </row>
    <row customHeight="true" ht="16.071428571428573" r="78">
      <c r="A78" s="256" t="s">
        <v>469</v>
      </c>
      <c r="B78" s="257" t="s">
        <v>447</v>
      </c>
      <c r="C78" s="258" t="s">
        <v>441</v>
      </c>
      <c r="D78" s="258">
        <v>3</v>
      </c>
      <c r="E78" s="258">
        <v>20</v>
      </c>
      <c r="F78" s="259">
        <v>20271.600000000006</v>
      </c>
      <c r="G78" s="259">
        <v>20418.21</v>
      </c>
      <c r="H78" s="260">
        <f t="shared" si="0"/>
      </c>
      <c r="I78" s="260">
        <f t="shared" si="1"/>
      </c>
      <c r="J78" s="260">
        <f t="shared" si="2"/>
      </c>
      <c r="K78" s="258">
        <v>4</v>
      </c>
      <c r="L78" s="258">
        <v>2898</v>
      </c>
      <c r="M78" s="258" t="s">
        <v>449</v>
      </c>
      <c r="N78" s="273">
        <v>5</v>
      </c>
      <c r="O78" s="258" t="s">
        <v>438</v>
      </c>
      <c r="P78" s="258">
        <v>5</v>
      </c>
    </row>
    <row customHeight="true" ht="16.071428571428573" r="79">
      <c r="A79" s="267" t="s">
        <v>469</v>
      </c>
      <c r="B79" s="268"/>
      <c r="C79" s="268"/>
      <c r="D79" s="269">
        <f>SUM(D73:D78)</f>
      </c>
      <c r="E79" s="269">
        <f>SUM(E73:E78)</f>
      </c>
      <c r="F79" s="270">
        <f>SUM(F73:F78)</f>
      </c>
      <c r="G79" s="270">
        <f>SUM(G73:G78)</f>
      </c>
      <c r="H79" s="271">
        <f t="shared" si="0"/>
      </c>
      <c r="I79" s="271">
        <f t="shared" si="1"/>
      </c>
      <c r="J79" s="271">
        <f t="shared" si="2"/>
      </c>
      <c r="K79" s="269">
        <f>SUM(K73:K78)</f>
      </c>
      <c r="L79" s="269">
        <f>SUM(L73:L78)</f>
      </c>
      <c r="M79" s="268"/>
      <c r="N79" s="269">
        <f>SUM(N73:N78)</f>
      </c>
      <c r="O79" s="268"/>
      <c r="P79" s="269">
        <f>SUM(P73:P78)</f>
      </c>
    </row>
    <row customHeight="true" ht="16.071428571428573" r="80">
      <c r="A80" s="256" t="s">
        <v>470</v>
      </c>
      <c r="B80" s="257" t="s">
        <v>447</v>
      </c>
      <c r="C80" s="258" t="s">
        <v>428</v>
      </c>
      <c r="D80" s="258">
        <v>2</v>
      </c>
      <c r="E80" s="258">
        <v>7</v>
      </c>
      <c r="F80" s="259">
        <v>7618.8</v>
      </c>
      <c r="G80" s="259">
        <v>8359.769999999999</v>
      </c>
      <c r="H80" s="260">
        <f t="shared" si="0"/>
      </c>
      <c r="I80" s="260">
        <f t="shared" si="1"/>
      </c>
      <c r="J80" s="260">
        <f t="shared" si="2"/>
      </c>
      <c r="K80" s="258">
        <v>2</v>
      </c>
      <c r="L80" s="258">
        <v>1370.4</v>
      </c>
      <c r="M80" s="258" t="s">
        <v>468</v>
      </c>
      <c r="N80" s="258">
        <v>7</v>
      </c>
      <c r="O80" s="258" t="s">
        <v>438</v>
      </c>
      <c r="P80" s="258">
        <v>7</v>
      </c>
    </row>
    <row customHeight="true" ht="16.071428571428573" r="81">
      <c r="A81" s="256" t="s">
        <v>470</v>
      </c>
      <c r="B81" s="257" t="s">
        <v>433</v>
      </c>
      <c r="C81" s="258" t="s">
        <v>432</v>
      </c>
      <c r="D81" s="258">
        <v>5</v>
      </c>
      <c r="E81" s="258">
        <v>17</v>
      </c>
      <c r="F81" s="259">
        <v>21824.4</v>
      </c>
      <c r="G81" s="259">
        <v>15618.309999999998</v>
      </c>
      <c r="H81" s="260">
        <f t="shared" si="0"/>
      </c>
      <c r="I81" s="260">
        <f t="shared" si="1"/>
      </c>
      <c r="J81" s="260">
        <f t="shared" si="2"/>
      </c>
      <c r="K81" s="258">
        <v>3</v>
      </c>
      <c r="L81" s="258">
        <v>2282.399999999997</v>
      </c>
      <c r="M81" s="258"/>
      <c r="N81" s="258"/>
      <c r="O81" s="264"/>
      <c r="P81" s="265"/>
    </row>
    <row customHeight="true" ht="16.071428571428573" r="82">
      <c r="A82" s="256" t="s">
        <v>470</v>
      </c>
      <c r="B82" s="257" t="s">
        <v>444</v>
      </c>
      <c r="C82" s="258" t="s">
        <v>434</v>
      </c>
      <c r="D82" s="258">
        <v>4</v>
      </c>
      <c r="E82" s="258">
        <v>37</v>
      </c>
      <c r="F82" s="259">
        <v>49361.4</v>
      </c>
      <c r="G82" s="259">
        <v>30568.940000000002</v>
      </c>
      <c r="H82" s="260">
        <f t="shared" si="0"/>
      </c>
      <c r="I82" s="260">
        <f t="shared" si="1"/>
      </c>
      <c r="J82" s="260">
        <f t="shared" si="2"/>
      </c>
      <c r="K82" s="258">
        <v>8</v>
      </c>
      <c r="L82" s="258">
        <v>9926</v>
      </c>
      <c r="M82" s="258" t="s">
        <v>437</v>
      </c>
      <c r="N82" s="258">
        <v>9</v>
      </c>
      <c r="O82" s="261" t="s">
        <v>430</v>
      </c>
      <c r="P82" s="258">
        <v>12</v>
      </c>
    </row>
    <row customHeight="true" ht="16.071428571428573" r="83">
      <c r="A83" s="256" t="s">
        <v>470</v>
      </c>
      <c r="B83" s="257" t="s">
        <v>431</v>
      </c>
      <c r="C83" s="258" t="s">
        <v>436</v>
      </c>
      <c r="D83" s="258">
        <v>5</v>
      </c>
      <c r="E83" s="258">
        <v>26</v>
      </c>
      <c r="F83" s="259">
        <v>50338.79999999999</v>
      </c>
      <c r="G83" s="259">
        <v>30501.640000000003</v>
      </c>
      <c r="H83" s="260">
        <f t="shared" si="0"/>
      </c>
      <c r="I83" s="260">
        <f t="shared" si="1"/>
      </c>
      <c r="J83" s="260">
        <f t="shared" si="2"/>
      </c>
      <c r="K83" s="258">
        <v>11</v>
      </c>
      <c r="L83" s="258">
        <v>19892.4</v>
      </c>
      <c r="M83" s="258" t="s">
        <v>466</v>
      </c>
      <c r="N83" s="261">
        <v>3</v>
      </c>
      <c r="O83" s="258"/>
      <c r="P83" s="258"/>
    </row>
    <row customHeight="true" ht="16.071428571428573" r="84">
      <c r="A84" s="256" t="s">
        <v>470</v>
      </c>
      <c r="B84" s="257" t="s">
        <v>427</v>
      </c>
      <c r="C84" s="258" t="s">
        <v>439</v>
      </c>
      <c r="D84" s="258">
        <v>5</v>
      </c>
      <c r="E84" s="258">
        <v>18</v>
      </c>
      <c r="F84" s="259">
        <v>20424.000000000015</v>
      </c>
      <c r="G84" s="259">
        <v>15947.89</v>
      </c>
      <c r="H84" s="260">
        <f t="shared" si="0"/>
      </c>
      <c r="I84" s="260">
        <f t="shared" si="1"/>
      </c>
      <c r="J84" s="260">
        <f t="shared" si="2"/>
      </c>
      <c r="K84" s="258">
        <v>5</v>
      </c>
      <c r="L84" s="258">
        <v>5399.999999999996</v>
      </c>
      <c r="M84" s="258"/>
      <c r="N84" s="258"/>
      <c r="O84" s="265"/>
      <c r="P84" s="258"/>
    </row>
    <row customHeight="true" ht="16.071428571428573" r="85">
      <c r="A85" s="256" t="s">
        <v>470</v>
      </c>
      <c r="B85" s="257" t="s">
        <v>435</v>
      </c>
      <c r="C85" s="258" t="s">
        <v>441</v>
      </c>
      <c r="D85" s="258">
        <v>3</v>
      </c>
      <c r="E85" s="258">
        <v>17</v>
      </c>
      <c r="F85" s="259">
        <v>20397.600000000006</v>
      </c>
      <c r="G85" s="259">
        <v>16816.61</v>
      </c>
      <c r="H85" s="260">
        <f t="shared" si="0"/>
      </c>
      <c r="I85" s="260">
        <f t="shared" si="1"/>
      </c>
      <c r="J85" s="260">
        <f t="shared" si="2"/>
      </c>
      <c r="K85" s="258">
        <v>1</v>
      </c>
      <c r="L85" s="258">
        <v>715.2000000000044</v>
      </c>
      <c r="M85" s="258" t="s">
        <v>449</v>
      </c>
      <c r="N85" s="273">
        <v>5</v>
      </c>
      <c r="O85" s="258" t="s">
        <v>438</v>
      </c>
      <c r="P85" s="258">
        <v>5</v>
      </c>
    </row>
    <row customHeight="true" ht="16.071428571428573" r="86">
      <c r="A86" s="267" t="s">
        <v>470</v>
      </c>
      <c r="B86" s="268"/>
      <c r="C86" s="268"/>
      <c r="D86" s="269">
        <f>SUM(D80:D85)</f>
      </c>
      <c r="E86" s="269">
        <f>SUM(E80:E85)</f>
      </c>
      <c r="F86" s="270">
        <f>SUM(F80:F85)</f>
      </c>
      <c r="G86" s="270">
        <f>SUM(G80:G85)</f>
      </c>
      <c r="H86" s="271">
        <f t="shared" si="0"/>
      </c>
      <c r="I86" s="271">
        <f t="shared" si="1"/>
      </c>
      <c r="J86" s="271">
        <f t="shared" si="2"/>
      </c>
      <c r="K86" s="269">
        <f>SUM(K80:K85)</f>
      </c>
      <c r="L86" s="271">
        <f>SUM(L80:L85)</f>
      </c>
      <c r="M86" s="268"/>
      <c r="N86" s="269">
        <f>SUM(N80:N85)</f>
      </c>
      <c r="O86" s="268"/>
      <c r="P86" s="269">
        <f>SUM(P80:P85)</f>
      </c>
    </row>
    <row customHeight="true" ht="16.071428571428573" r="87">
      <c r="A87" s="256" t="s">
        <v>471</v>
      </c>
      <c r="B87" s="257" t="s">
        <v>435</v>
      </c>
      <c r="C87" s="258" t="s">
        <v>428</v>
      </c>
      <c r="D87" s="258">
        <v>2</v>
      </c>
      <c r="E87" s="258">
        <v>10</v>
      </c>
      <c r="F87" s="259">
        <v>13476</v>
      </c>
      <c r="G87" s="259">
        <v>9594.99</v>
      </c>
      <c r="H87" s="260">
        <f t="shared" si="0"/>
      </c>
      <c r="I87" s="260">
        <f t="shared" si="1"/>
      </c>
      <c r="J87" s="260">
        <f t="shared" si="2"/>
      </c>
      <c r="K87" s="258">
        <v>2</v>
      </c>
      <c r="L87" s="258">
        <v>3674.3999999999996</v>
      </c>
      <c r="M87" s="258" t="s">
        <v>468</v>
      </c>
      <c r="N87" s="258">
        <v>7</v>
      </c>
      <c r="O87" s="258" t="s">
        <v>438</v>
      </c>
      <c r="P87" s="258">
        <v>7</v>
      </c>
    </row>
    <row customHeight="true" ht="16.071428571428573" r="88">
      <c r="A88" s="256" t="s">
        <v>471</v>
      </c>
      <c r="B88" s="257" t="s">
        <v>433</v>
      </c>
      <c r="C88" s="258" t="s">
        <v>432</v>
      </c>
      <c r="D88" s="258">
        <v>5</v>
      </c>
      <c r="E88" s="258">
        <v>24</v>
      </c>
      <c r="F88" s="259">
        <v>35225.6</v>
      </c>
      <c r="G88" s="259">
        <v>22733.44</v>
      </c>
      <c r="H88" s="260">
        <f t="shared" si="0"/>
      </c>
      <c r="I88" s="260">
        <f t="shared" si="1"/>
      </c>
      <c r="J88" s="260">
        <f t="shared" si="2"/>
      </c>
      <c r="K88" s="258">
        <v>4</v>
      </c>
      <c r="L88" s="258">
        <v>4680</v>
      </c>
      <c r="M88" s="258"/>
      <c r="N88" s="258"/>
      <c r="O88" s="264"/>
      <c r="P88" s="265"/>
    </row>
    <row customHeight="true" ht="16.071428571428573" r="89">
      <c r="A89" s="256" t="s">
        <v>471</v>
      </c>
      <c r="B89" s="257" t="s">
        <v>431</v>
      </c>
      <c r="C89" s="258" t="s">
        <v>434</v>
      </c>
      <c r="D89" s="258">
        <v>4</v>
      </c>
      <c r="E89" s="258">
        <v>34</v>
      </c>
      <c r="F89" s="259">
        <v>45747.6</v>
      </c>
      <c r="G89" s="259">
        <v>27093.68</v>
      </c>
      <c r="H89" s="260">
        <f t="shared" si="0"/>
      </c>
      <c r="I89" s="260">
        <f t="shared" si="1"/>
      </c>
      <c r="J89" s="260">
        <f t="shared" si="2"/>
      </c>
      <c r="K89" s="258">
        <v>5</v>
      </c>
      <c r="L89" s="258">
        <v>5304</v>
      </c>
      <c r="M89" s="258" t="s">
        <v>437</v>
      </c>
      <c r="N89" s="258">
        <v>9</v>
      </c>
      <c r="O89" s="261" t="s">
        <v>430</v>
      </c>
      <c r="P89" s="258">
        <v>12</v>
      </c>
    </row>
    <row customHeight="true" ht="16.071428571428573" r="90">
      <c r="A90" s="256" t="s">
        <v>471</v>
      </c>
      <c r="B90" s="257" t="s">
        <v>427</v>
      </c>
      <c r="C90" s="258" t="s">
        <v>455</v>
      </c>
      <c r="D90" s="258">
        <v>4</v>
      </c>
      <c r="E90" s="258">
        <v>32</v>
      </c>
      <c r="F90" s="259">
        <v>41064.4</v>
      </c>
      <c r="G90" s="259">
        <v>32310.17</v>
      </c>
      <c r="H90" s="260">
        <f t="shared" si="0"/>
      </c>
      <c r="I90" s="260">
        <f t="shared" si="1"/>
      </c>
      <c r="J90" s="260">
        <f t="shared" si="2"/>
      </c>
      <c r="K90" s="258">
        <v>7</v>
      </c>
      <c r="L90" s="258">
        <v>11062.199999999997</v>
      </c>
      <c r="M90" s="258" t="s">
        <v>442</v>
      </c>
      <c r="N90" s="261">
        <v>8</v>
      </c>
      <c r="O90" s="258"/>
      <c r="P90" s="258"/>
    </row>
    <row customHeight="true" ht="16.071428571428573" r="91">
      <c r="A91" s="256" t="s">
        <v>471</v>
      </c>
      <c r="B91" s="257" t="s">
        <v>447</v>
      </c>
      <c r="C91" s="258" t="s">
        <v>456</v>
      </c>
      <c r="D91" s="258">
        <v>4</v>
      </c>
      <c r="E91" s="258">
        <v>27</v>
      </c>
      <c r="F91" s="259">
        <v>33234.4</v>
      </c>
      <c r="G91" s="259">
        <v>27523.16</v>
      </c>
      <c r="H91" s="260">
        <f t="shared" si="0"/>
      </c>
      <c r="I91" s="260">
        <f t="shared" si="1"/>
      </c>
      <c r="J91" s="260">
        <f t="shared" si="2"/>
      </c>
      <c r="K91" s="258">
        <v>7</v>
      </c>
      <c r="L91" s="258">
        <v>7272</v>
      </c>
      <c r="M91" s="258"/>
      <c r="N91" s="258"/>
      <c r="O91" s="265"/>
      <c r="P91" s="258"/>
    </row>
    <row customHeight="true" ht="16.071428571428573" r="92">
      <c r="A92" s="256" t="s">
        <v>471</v>
      </c>
      <c r="B92" s="257" t="s">
        <v>472</v>
      </c>
      <c r="C92" s="258" t="s">
        <v>473</v>
      </c>
      <c r="D92" s="258">
        <v>2</v>
      </c>
      <c r="E92" s="258">
        <v>6</v>
      </c>
      <c r="F92" s="259">
        <v>10620</v>
      </c>
      <c r="G92" s="259">
        <v>7645.56</v>
      </c>
      <c r="H92" s="260">
        <f t="shared" si="0"/>
      </c>
      <c r="I92" s="260">
        <f t="shared" si="1"/>
      </c>
      <c r="J92" s="260">
        <f t="shared" si="2"/>
      </c>
      <c r="K92" s="258">
        <v>1</v>
      </c>
      <c r="L92" s="258">
        <v>691.2</v>
      </c>
      <c r="M92" s="258"/>
      <c r="N92" s="273"/>
      <c r="O92" s="258"/>
      <c r="P92" s="258"/>
    </row>
    <row customHeight="true" ht="16.071428571428573" r="93">
      <c r="A93" s="256" t="s">
        <v>471</v>
      </c>
      <c r="B93" s="257" t="s">
        <v>435</v>
      </c>
      <c r="C93" s="258" t="s">
        <v>441</v>
      </c>
      <c r="D93" s="258">
        <v>3</v>
      </c>
      <c r="E93" s="258">
        <v>36</v>
      </c>
      <c r="F93" s="259">
        <v>49106.4</v>
      </c>
      <c r="G93" s="259">
        <v>29609.46</v>
      </c>
      <c r="H93" s="260">
        <f t="shared" si="0"/>
      </c>
      <c r="I93" s="260">
        <f t="shared" si="1"/>
      </c>
      <c r="J93" s="260">
        <f t="shared" si="2"/>
      </c>
      <c r="K93" s="258">
        <v>6</v>
      </c>
      <c r="L93" s="258">
        <v>10327.2</v>
      </c>
      <c r="M93" s="258"/>
      <c r="N93" s="273"/>
      <c r="O93" s="258" t="s">
        <v>438</v>
      </c>
      <c r="P93" s="258">
        <v>5</v>
      </c>
    </row>
    <row customHeight="true" ht="16.071428571428573" r="94">
      <c r="A94" s="267" t="s">
        <v>471</v>
      </c>
      <c r="B94" s="268"/>
      <c r="C94" s="268"/>
      <c r="D94" s="269">
        <f>SUM(D87:D93)</f>
      </c>
      <c r="E94" s="269">
        <f>SUM(E87:E93)</f>
      </c>
      <c r="F94" s="270">
        <f>SUM(F87:F93)</f>
      </c>
      <c r="G94" s="270">
        <f>SUM(G87:G93)</f>
      </c>
      <c r="H94" s="271">
        <f t="shared" si="0"/>
      </c>
      <c r="I94" s="271">
        <f t="shared" si="1"/>
      </c>
      <c r="J94" s="271">
        <f t="shared" si="2"/>
      </c>
      <c r="K94" s="269">
        <f>SUM(K87:K93)</f>
      </c>
      <c r="L94" s="271">
        <f>SUM(L87:L93)</f>
      </c>
      <c r="M94" s="268"/>
      <c r="N94" s="269">
        <f>SUM(N87:N93)</f>
      </c>
      <c r="O94" s="268"/>
      <c r="P94" s="269">
        <f>SUM(P87:P93)</f>
      </c>
    </row>
    <row customHeight="true" ht="16.071428571428573" r="95">
      <c r="A95" s="256" t="s">
        <v>474</v>
      </c>
      <c r="B95" s="257" t="s">
        <v>435</v>
      </c>
      <c r="C95" s="258" t="s">
        <v>428</v>
      </c>
      <c r="D95" s="258">
        <v>2</v>
      </c>
      <c r="E95" s="258">
        <v>18</v>
      </c>
      <c r="F95" s="259">
        <v>22442.52</v>
      </c>
      <c r="G95" s="259">
        <v>12311.82</v>
      </c>
      <c r="H95" s="260">
        <f t="shared" si="0"/>
      </c>
      <c r="I95" s="260">
        <f t="shared" si="1"/>
      </c>
      <c r="J95" s="260">
        <f t="shared" si="2"/>
      </c>
      <c r="K95" s="258">
        <v>5</v>
      </c>
      <c r="L95" s="258">
        <v>7293.6</v>
      </c>
      <c r="M95" s="258" t="s">
        <v>468</v>
      </c>
      <c r="N95" s="258">
        <v>7</v>
      </c>
      <c r="O95" s="258" t="s">
        <v>438</v>
      </c>
      <c r="P95" s="258">
        <v>7</v>
      </c>
    </row>
    <row customHeight="true" ht="16.071428571428573" r="96">
      <c r="A96" s="256" t="s">
        <v>474</v>
      </c>
      <c r="B96" s="257" t="s">
        <v>444</v>
      </c>
      <c r="C96" s="258" t="s">
        <v>432</v>
      </c>
      <c r="D96" s="258">
        <v>5</v>
      </c>
      <c r="E96" s="258">
        <v>24</v>
      </c>
      <c r="F96" s="259">
        <v>32295.600000000002</v>
      </c>
      <c r="G96" s="259">
        <v>25071.43</v>
      </c>
      <c r="H96" s="260">
        <f t="shared" si="0"/>
      </c>
      <c r="I96" s="260">
        <f t="shared" si="1"/>
      </c>
      <c r="J96" s="260">
        <f t="shared" si="2"/>
      </c>
      <c r="K96" s="258">
        <v>4</v>
      </c>
      <c r="L96" s="258">
        <v>4490.400000000001</v>
      </c>
      <c r="M96" s="258"/>
      <c r="N96" s="258"/>
      <c r="O96" s="264"/>
      <c r="P96" s="265"/>
    </row>
    <row customHeight="true" ht="16.071428571428573" r="97">
      <c r="A97" s="256" t="s">
        <v>474</v>
      </c>
      <c r="B97" s="257" t="s">
        <v>431</v>
      </c>
      <c r="C97" s="258" t="s">
        <v>445</v>
      </c>
      <c r="D97" s="258">
        <v>5</v>
      </c>
      <c r="E97" s="258">
        <v>38</v>
      </c>
      <c r="F97" s="259">
        <v>60367.6</v>
      </c>
      <c r="G97" s="259">
        <v>39239.490000000005</v>
      </c>
      <c r="H97" s="260">
        <f t="shared" si="0"/>
      </c>
      <c r="I97" s="260">
        <f t="shared" si="1"/>
      </c>
      <c r="J97" s="260">
        <f t="shared" si="2"/>
      </c>
      <c r="K97" s="258">
        <v>8</v>
      </c>
      <c r="L97" s="258">
        <v>15518.4</v>
      </c>
      <c r="M97" s="258" t="s">
        <v>437</v>
      </c>
      <c r="N97" s="258">
        <v>9</v>
      </c>
      <c r="O97" s="261" t="s">
        <v>430</v>
      </c>
      <c r="P97" s="258">
        <v>12</v>
      </c>
    </row>
    <row customHeight="true" ht="16.071428571428573" r="98">
      <c r="A98" s="256" t="s">
        <v>474</v>
      </c>
      <c r="B98" s="257" t="s">
        <v>447</v>
      </c>
      <c r="C98" s="258" t="s">
        <v>448</v>
      </c>
      <c r="D98" s="258">
        <v>4</v>
      </c>
      <c r="E98" s="258">
        <v>39</v>
      </c>
      <c r="F98" s="259">
        <v>43633.6</v>
      </c>
      <c r="G98" s="259">
        <v>31954.27</v>
      </c>
      <c r="H98" s="260">
        <f t="shared" si="0"/>
      </c>
      <c r="I98" s="260">
        <f t="shared" si="1"/>
      </c>
      <c r="J98" s="260">
        <f t="shared" si="2"/>
      </c>
      <c r="K98" s="258">
        <v>12</v>
      </c>
      <c r="L98" s="258">
        <v>13301.400000000001</v>
      </c>
      <c r="M98" s="258" t="s">
        <v>442</v>
      </c>
      <c r="N98" s="261">
        <v>8</v>
      </c>
      <c r="O98" s="258"/>
      <c r="P98" s="258"/>
    </row>
    <row r="99">
      <c r="A99" s="256" t="s">
        <v>474</v>
      </c>
      <c r="B99" s="257" t="s">
        <v>435</v>
      </c>
      <c r="C99" s="258" t="s">
        <v>475</v>
      </c>
      <c r="D99" s="258">
        <v>4</v>
      </c>
      <c r="E99" s="258">
        <v>42</v>
      </c>
      <c r="F99" s="259">
        <v>53338.2</v>
      </c>
      <c r="G99" s="259">
        <v>30277.54</v>
      </c>
      <c r="H99" s="260">
        <f t="shared" si="0"/>
      </c>
      <c r="I99" s="260">
        <f t="shared" si="1"/>
      </c>
      <c r="J99" s="260">
        <f t="shared" si="2"/>
      </c>
      <c r="K99" s="258">
        <v>17</v>
      </c>
      <c r="L99" s="258">
        <v>16620.6</v>
      </c>
      <c r="M99" s="258"/>
      <c r="N99" s="258"/>
      <c r="O99" s="265"/>
      <c r="P99" s="258"/>
    </row>
    <row r="100">
      <c r="A100" s="256" t="s">
        <v>474</v>
      </c>
      <c r="B100" s="257" t="s">
        <v>472</v>
      </c>
      <c r="C100" s="258" t="s">
        <v>476</v>
      </c>
      <c r="D100" s="258">
        <v>2</v>
      </c>
      <c r="E100" s="258">
        <v>12</v>
      </c>
      <c r="F100" s="259">
        <v>15661.2</v>
      </c>
      <c r="G100" s="259">
        <v>12253.97</v>
      </c>
      <c r="H100" s="260">
        <f t="shared" si="0"/>
      </c>
      <c r="I100" s="260">
        <f t="shared" si="1"/>
      </c>
      <c r="J100" s="260">
        <f t="shared" si="2"/>
      </c>
      <c r="K100" s="258">
        <v>2</v>
      </c>
      <c r="L100" s="258">
        <v>1965.6</v>
      </c>
      <c r="M100" s="258"/>
      <c r="N100" s="273"/>
      <c r="O100" s="258"/>
      <c r="P100" s="258"/>
    </row>
    <row r="101">
      <c r="A101" s="256" t="s">
        <v>474</v>
      </c>
      <c r="B101" s="257" t="s">
        <v>427</v>
      </c>
      <c r="C101" s="258" t="s">
        <v>477</v>
      </c>
      <c r="D101" s="258">
        <v>2</v>
      </c>
      <c r="E101" s="258">
        <v>10</v>
      </c>
      <c r="F101" s="259">
        <v>12687.199999999999</v>
      </c>
      <c r="G101" s="259">
        <v>13260.39</v>
      </c>
      <c r="H101" s="260">
        <f t="shared" si="0"/>
      </c>
      <c r="I101" s="260">
        <f t="shared" si="1"/>
      </c>
      <c r="J101" s="260">
        <f t="shared" si="2"/>
      </c>
      <c r="K101" s="258">
        <v>1</v>
      </c>
      <c r="L101" s="258">
        <v>1663.2</v>
      </c>
      <c r="M101" s="258"/>
      <c r="N101" s="273"/>
      <c r="O101" s="258" t="s">
        <v>438</v>
      </c>
      <c r="P101" s="258">
        <v>5</v>
      </c>
    </row>
    <row r="102">
      <c r="A102" s="267" t="s">
        <v>474</v>
      </c>
      <c r="B102" s="268"/>
      <c r="C102" s="268"/>
      <c r="D102" s="269">
        <f>SUM(D95:D101)</f>
      </c>
      <c r="E102" s="269">
        <f>SUM(E95:E101)</f>
      </c>
      <c r="F102" s="270">
        <f>SUM(F95:F101)</f>
      </c>
      <c r="G102" s="270">
        <f>SUM(G95:G101)</f>
      </c>
      <c r="H102" s="271">
        <f t="shared" si="0"/>
      </c>
      <c r="I102" s="271">
        <f t="shared" si="1"/>
      </c>
      <c r="J102" s="271">
        <f t="shared" si="2"/>
      </c>
      <c r="K102" s="269">
        <f>SUM(K95:K101)</f>
      </c>
      <c r="L102" s="271">
        <f>SUM(L95:L101)</f>
      </c>
      <c r="M102" s="268"/>
      <c r="N102" s="269">
        <f>SUM(N95:N101)</f>
      </c>
      <c r="O102" s="268"/>
      <c r="P102" s="269">
        <f>SUM(P95:P101)</f>
      </c>
    </row>
    <row r="103">
      <c r="A103" s="256" t="s">
        <v>478</v>
      </c>
      <c r="B103" s="257" t="s">
        <v>427</v>
      </c>
      <c r="C103" s="258" t="s">
        <v>428</v>
      </c>
      <c r="D103" s="258">
        <v>2</v>
      </c>
      <c r="E103" s="258">
        <v>1</v>
      </c>
      <c r="F103" s="259">
        <v>2088</v>
      </c>
      <c r="G103" s="259">
        <v>3284.1600000000003</v>
      </c>
      <c r="H103" s="260">
        <f t="shared" si="0"/>
      </c>
      <c r="I103" s="260">
        <f t="shared" si="1"/>
      </c>
      <c r="J103" s="260">
        <f t="shared" si="2"/>
      </c>
      <c r="K103" s="258">
        <v>0</v>
      </c>
      <c r="L103" s="258">
        <v>0</v>
      </c>
      <c r="M103" s="258" t="s">
        <v>468</v>
      </c>
      <c r="N103" s="258">
        <v>7</v>
      </c>
      <c r="O103" s="258" t="s">
        <v>438</v>
      </c>
      <c r="P103" s="258">
        <v>7</v>
      </c>
    </row>
    <row r="104">
      <c r="A104" s="256" t="s">
        <v>478</v>
      </c>
      <c r="B104" s="257" t="s">
        <v>444</v>
      </c>
      <c r="C104" s="258" t="s">
        <v>432</v>
      </c>
      <c r="D104" s="258">
        <v>5</v>
      </c>
      <c r="E104" s="258">
        <v>22</v>
      </c>
      <c r="F104" s="259">
        <v>34203.6</v>
      </c>
      <c r="G104" s="259">
        <v>16491.57</v>
      </c>
      <c r="H104" s="260">
        <f t="shared" si="0"/>
      </c>
      <c r="I104" s="260">
        <f t="shared" si="1"/>
      </c>
      <c r="J104" s="260">
        <f t="shared" si="2"/>
      </c>
      <c r="K104" s="258">
        <v>4</v>
      </c>
      <c r="L104" s="258">
        <v>3670.8</v>
      </c>
      <c r="M104" s="258"/>
      <c r="N104" s="258"/>
      <c r="O104" s="264"/>
      <c r="P104" s="265"/>
    </row>
    <row r="105">
      <c r="A105" s="256" t="s">
        <v>478</v>
      </c>
      <c r="B105" s="257" t="s">
        <v>447</v>
      </c>
      <c r="C105" s="258" t="s">
        <v>434</v>
      </c>
      <c r="D105" s="258">
        <v>4</v>
      </c>
      <c r="E105" s="258">
        <v>17</v>
      </c>
      <c r="F105" s="259">
        <v>21838.800000000003</v>
      </c>
      <c r="G105" s="259">
        <v>18633.5</v>
      </c>
      <c r="H105" s="260">
        <f t="shared" si="0"/>
      </c>
      <c r="I105" s="260">
        <f t="shared" si="1"/>
      </c>
      <c r="J105" s="260">
        <f t="shared" si="2"/>
      </c>
      <c r="K105" s="258">
        <v>5</v>
      </c>
      <c r="L105" s="258">
        <v>7766.599999999999</v>
      </c>
      <c r="M105" s="258" t="s">
        <v>437</v>
      </c>
      <c r="N105" s="258">
        <v>9</v>
      </c>
      <c r="O105" s="261" t="s">
        <v>430</v>
      </c>
      <c r="P105" s="258">
        <v>12</v>
      </c>
    </row>
    <row r="106">
      <c r="A106" s="256" t="s">
        <v>478</v>
      </c>
      <c r="B106" s="257" t="s">
        <v>427</v>
      </c>
      <c r="C106" s="258" t="s">
        <v>455</v>
      </c>
      <c r="D106" s="258">
        <v>4</v>
      </c>
      <c r="E106" s="258">
        <v>15</v>
      </c>
      <c r="F106" s="259">
        <v>11378.799999999996</v>
      </c>
      <c r="G106" s="259">
        <v>16550.170000000002</v>
      </c>
      <c r="H106" s="260">
        <f t="shared" si="0"/>
      </c>
      <c r="I106" s="260">
        <f t="shared" si="1"/>
      </c>
      <c r="J106" s="260">
        <f t="shared" si="2"/>
      </c>
      <c r="K106" s="258">
        <v>5</v>
      </c>
      <c r="L106" s="258">
        <v>3788.4000000000005</v>
      </c>
      <c r="M106" s="258" t="s">
        <v>442</v>
      </c>
      <c r="N106" s="261">
        <v>8</v>
      </c>
      <c r="O106" s="258"/>
      <c r="P106" s="258"/>
    </row>
    <row r="107">
      <c r="A107" s="256" t="s">
        <v>478</v>
      </c>
      <c r="B107" s="257" t="s">
        <v>435</v>
      </c>
      <c r="C107" s="258" t="s">
        <v>456</v>
      </c>
      <c r="D107" s="258">
        <v>4</v>
      </c>
      <c r="E107" s="258">
        <v>22</v>
      </c>
      <c r="F107" s="259">
        <v>22902</v>
      </c>
      <c r="G107" s="259">
        <v>20116.77</v>
      </c>
      <c r="H107" s="260">
        <f t="shared" si="0"/>
      </c>
      <c r="I107" s="260">
        <f t="shared" si="1"/>
      </c>
      <c r="J107" s="260">
        <f t="shared" si="2"/>
      </c>
      <c r="K107" s="258">
        <v>8</v>
      </c>
      <c r="L107" s="258">
        <v>6933.4</v>
      </c>
      <c r="M107" s="258"/>
      <c r="N107" s="258"/>
      <c r="O107" s="265"/>
      <c r="P107" s="258"/>
    </row>
    <row r="108">
      <c r="A108" s="256" t="s">
        <v>478</v>
      </c>
      <c r="B108" s="257" t="s">
        <v>472</v>
      </c>
      <c r="C108" s="258" t="s">
        <v>473</v>
      </c>
      <c r="D108" s="258">
        <v>2</v>
      </c>
      <c r="E108" s="258">
        <v>5</v>
      </c>
      <c r="F108" s="259">
        <v>2162.4</v>
      </c>
      <c r="G108" s="259">
        <v>5618.28</v>
      </c>
      <c r="H108" s="260">
        <f t="shared" si="0"/>
      </c>
      <c r="I108" s="260">
        <f t="shared" si="1"/>
      </c>
      <c r="J108" s="260">
        <f t="shared" si="2"/>
      </c>
      <c r="K108" s="258">
        <v>1</v>
      </c>
      <c r="L108" s="258">
        <v>400.8</v>
      </c>
      <c r="M108" s="258"/>
      <c r="N108" s="273"/>
      <c r="O108" s="258"/>
      <c r="P108" s="258"/>
    </row>
    <row r="109">
      <c r="A109" s="256" t="s">
        <v>478</v>
      </c>
      <c r="B109" s="257" t="s">
        <v>433</v>
      </c>
      <c r="C109" s="258" t="s">
        <v>441</v>
      </c>
      <c r="D109" s="258">
        <v>3</v>
      </c>
      <c r="E109" s="258">
        <v>27</v>
      </c>
      <c r="F109" s="259">
        <v>28390.8</v>
      </c>
      <c r="G109" s="259">
        <v>19855.11</v>
      </c>
      <c r="H109" s="260">
        <f t="shared" si="0"/>
      </c>
      <c r="I109" s="260">
        <f t="shared" si="1"/>
      </c>
      <c r="J109" s="260">
        <f t="shared" si="2"/>
      </c>
      <c r="K109" s="258">
        <v>4</v>
      </c>
      <c r="L109" s="258">
        <v>3084</v>
      </c>
      <c r="M109" s="258"/>
      <c r="N109" s="273"/>
      <c r="O109" s="258" t="s">
        <v>438</v>
      </c>
      <c r="P109" s="258">
        <v>5</v>
      </c>
    </row>
    <row r="110">
      <c r="A110" s="267" t="s">
        <v>478</v>
      </c>
      <c r="B110" s="268"/>
      <c r="C110" s="268"/>
      <c r="D110" s="269">
        <f>SUM(D103:D109)</f>
      </c>
      <c r="E110" s="269">
        <f>SUM(E103:E109)</f>
      </c>
      <c r="F110" s="270">
        <f>SUM(F103:F109)</f>
      </c>
      <c r="G110" s="270">
        <f>SUM(G103:G109)</f>
      </c>
      <c r="H110" s="271">
        <f t="shared" si="0"/>
      </c>
      <c r="I110" s="271">
        <f t="shared" si="1"/>
      </c>
      <c r="J110" s="271">
        <f t="shared" si="2"/>
      </c>
      <c r="K110" s="269">
        <f>SUM(K103:K109)</f>
      </c>
      <c r="L110" s="271">
        <f>SUM(L103:L109)</f>
      </c>
      <c r="M110" s="268"/>
      <c r="N110" s="269">
        <f>SUM(N103:N109)</f>
      </c>
      <c r="O110" s="268"/>
      <c r="P110" s="269">
        <f>SUM(P103:P109)</f>
      </c>
    </row>
    <row r="111">
      <c r="A111" s="256" t="s">
        <v>479</v>
      </c>
      <c r="B111" s="257" t="s">
        <v>433</v>
      </c>
      <c r="C111" s="258" t="s">
        <v>428</v>
      </c>
      <c r="D111" s="258">
        <v>2</v>
      </c>
      <c r="E111" s="258">
        <v>15</v>
      </c>
      <c r="F111" s="259">
        <v>22488</v>
      </c>
      <c r="G111" s="259">
        <v>10857.48</v>
      </c>
      <c r="H111" s="260">
        <f t="shared" si="0"/>
      </c>
      <c r="I111" s="260">
        <f t="shared" si="1"/>
      </c>
      <c r="J111" s="260">
        <f t="shared" si="2"/>
      </c>
      <c r="K111" s="258">
        <v>7</v>
      </c>
      <c r="L111" s="258">
        <v>7793.999999999996</v>
      </c>
      <c r="M111" s="258" t="s">
        <v>468</v>
      </c>
      <c r="N111" s="258">
        <v>7</v>
      </c>
      <c r="O111" s="258" t="s">
        <v>438</v>
      </c>
      <c r="P111" s="258">
        <v>7</v>
      </c>
    </row>
    <row r="112">
      <c r="A112" s="256" t="s">
        <v>479</v>
      </c>
      <c r="B112" s="257" t="s">
        <v>431</v>
      </c>
      <c r="C112" s="258" t="s">
        <v>432</v>
      </c>
      <c r="D112" s="258">
        <v>5</v>
      </c>
      <c r="E112" s="258">
        <v>22</v>
      </c>
      <c r="F112" s="259">
        <v>26532</v>
      </c>
      <c r="G112" s="259">
        <v>19046.629999999997</v>
      </c>
      <c r="H112" s="260">
        <f t="shared" si="0"/>
      </c>
      <c r="I112" s="260">
        <f t="shared" si="1"/>
      </c>
      <c r="J112" s="260">
        <f t="shared" si="2"/>
      </c>
      <c r="K112" s="258">
        <v>4</v>
      </c>
      <c r="L112" s="258">
        <v>6604.799999999999</v>
      </c>
      <c r="M112" s="258"/>
      <c r="N112" s="258"/>
      <c r="O112" s="264"/>
      <c r="P112" s="265"/>
    </row>
    <row r="113">
      <c r="A113" s="256" t="s">
        <v>479</v>
      </c>
      <c r="B113" s="257" t="s">
        <v>447</v>
      </c>
      <c r="C113" s="258" t="s">
        <v>434</v>
      </c>
      <c r="D113" s="258">
        <v>4</v>
      </c>
      <c r="E113" s="258">
        <v>29</v>
      </c>
      <c r="F113" s="259">
        <v>28712.399999999994</v>
      </c>
      <c r="G113" s="259">
        <v>29345.46</v>
      </c>
      <c r="H113" s="260">
        <f t="shared" si="0"/>
      </c>
      <c r="I113" s="260">
        <f t="shared" si="1"/>
      </c>
      <c r="J113" s="260">
        <f t="shared" si="2"/>
      </c>
      <c r="K113" s="258">
        <v>7</v>
      </c>
      <c r="L113" s="258">
        <v>4899.6</v>
      </c>
      <c r="M113" s="258" t="s">
        <v>437</v>
      </c>
      <c r="N113" s="258">
        <v>9</v>
      </c>
      <c r="O113" s="261" t="s">
        <v>430</v>
      </c>
      <c r="P113" s="258">
        <v>12</v>
      </c>
    </row>
    <row r="114">
      <c r="A114" s="256" t="s">
        <v>479</v>
      </c>
      <c r="B114" s="257" t="s">
        <v>427</v>
      </c>
      <c r="C114" s="258" t="s">
        <v>455</v>
      </c>
      <c r="D114" s="258">
        <v>4</v>
      </c>
      <c r="E114" s="258">
        <v>35</v>
      </c>
      <c r="F114" s="259">
        <v>37661.20000000001</v>
      </c>
      <c r="G114" s="274">
        <v>29422.37</v>
      </c>
      <c r="H114" s="260">
        <f t="shared" si="0"/>
      </c>
      <c r="I114" s="260">
        <f t="shared" si="1"/>
      </c>
      <c r="J114" s="260">
        <f>G113/E114</f>
      </c>
      <c r="K114" s="258">
        <v>6</v>
      </c>
      <c r="L114" s="258">
        <v>7753.200000000005</v>
      </c>
      <c r="M114" s="258" t="s">
        <v>442</v>
      </c>
      <c r="N114" s="261">
        <v>8</v>
      </c>
      <c r="O114" s="258"/>
      <c r="P114" s="258"/>
    </row>
    <row r="115">
      <c r="A115" s="256" t="s">
        <v>479</v>
      </c>
      <c r="B115" s="257" t="s">
        <v>435</v>
      </c>
      <c r="C115" s="258" t="s">
        <v>456</v>
      </c>
      <c r="D115" s="258">
        <v>4</v>
      </c>
      <c r="E115" s="258">
        <v>31</v>
      </c>
      <c r="F115" s="259">
        <v>32978.4</v>
      </c>
      <c r="G115" s="259">
        <v>29232.18</v>
      </c>
      <c r="H115" s="260">
        <f t="shared" si="0"/>
      </c>
      <c r="I115" s="260">
        <f t="shared" si="1"/>
      </c>
      <c r="J115" s="260">
        <f t="shared" ref="J115:J232" si="3">G115/E115</f>
      </c>
      <c r="K115" s="258">
        <v>5</v>
      </c>
      <c r="L115" s="258">
        <v>4822.8</v>
      </c>
      <c r="M115" s="258"/>
      <c r="N115" s="258"/>
      <c r="O115" s="265"/>
      <c r="P115" s="258"/>
    </row>
    <row r="116">
      <c r="A116" s="256" t="s">
        <v>479</v>
      </c>
      <c r="B116" s="257" t="s">
        <v>472</v>
      </c>
      <c r="C116" s="258" t="s">
        <v>473</v>
      </c>
      <c r="D116" s="258">
        <v>2</v>
      </c>
      <c r="E116" s="258">
        <v>11</v>
      </c>
      <c r="F116" s="259">
        <v>15543.6</v>
      </c>
      <c r="G116" s="259">
        <v>14294.24</v>
      </c>
      <c r="H116" s="260">
        <f t="shared" si="0"/>
      </c>
      <c r="I116" s="260">
        <f t="shared" si="1"/>
      </c>
      <c r="J116" s="260">
        <f t="shared" si="3"/>
      </c>
      <c r="K116" s="258">
        <v>3</v>
      </c>
      <c r="L116" s="258">
        <v>3565.2</v>
      </c>
      <c r="M116" s="258"/>
      <c r="N116" s="273"/>
      <c r="O116" s="258"/>
      <c r="P116" s="258"/>
    </row>
    <row r="117">
      <c r="A117" s="256" t="s">
        <v>479</v>
      </c>
      <c r="B117" s="257" t="s">
        <v>433</v>
      </c>
      <c r="C117" s="258" t="s">
        <v>441</v>
      </c>
      <c r="D117" s="258">
        <v>3</v>
      </c>
      <c r="E117" s="258">
        <v>13</v>
      </c>
      <c r="F117" s="259">
        <v>12736.8</v>
      </c>
      <c r="G117" s="259">
        <v>17941.09</v>
      </c>
      <c r="H117" s="260">
        <f t="shared" si="0"/>
      </c>
      <c r="I117" s="260">
        <f t="shared" si="1"/>
      </c>
      <c r="J117" s="260">
        <f t="shared" si="3"/>
      </c>
      <c r="K117" s="258">
        <v>3</v>
      </c>
      <c r="L117" s="258">
        <v>2827.2</v>
      </c>
      <c r="M117" s="258"/>
      <c r="N117" s="273"/>
      <c r="O117" s="258" t="s">
        <v>438</v>
      </c>
      <c r="P117" s="258">
        <v>5</v>
      </c>
    </row>
    <row r="118">
      <c r="A118" s="267" t="s">
        <v>479</v>
      </c>
      <c r="B118" s="268"/>
      <c r="C118" s="268"/>
      <c r="D118" s="269">
        <f>SUM(D111:D117)</f>
      </c>
      <c r="E118" s="269">
        <f>SUM(E111:E117)</f>
      </c>
      <c r="F118" s="270">
        <f>SUM(F111:F117)</f>
      </c>
      <c r="G118" s="270">
        <f>SUM(G111:G117)</f>
      </c>
      <c r="H118" s="271">
        <f t="shared" si="0"/>
      </c>
      <c r="I118" s="271">
        <f t="shared" si="1"/>
      </c>
      <c r="J118" s="271">
        <f t="shared" si="3"/>
      </c>
      <c r="K118" s="269">
        <f>SUM(K111:K117)</f>
      </c>
      <c r="L118" s="271">
        <f>SUM(L111:L117)</f>
      </c>
      <c r="M118" s="268"/>
      <c r="N118" s="269">
        <f>SUM(N111:N117)</f>
      </c>
      <c r="O118" s="268"/>
      <c r="P118" s="269">
        <f>SUM(P111:P117)</f>
      </c>
    </row>
    <row r="119">
      <c r="A119" s="256" t="s">
        <v>480</v>
      </c>
      <c r="B119" s="257" t="s">
        <v>433</v>
      </c>
      <c r="C119" s="258" t="s">
        <v>428</v>
      </c>
      <c r="D119" s="258">
        <v>2</v>
      </c>
      <c r="E119" s="258">
        <v>14</v>
      </c>
      <c r="F119" s="259">
        <v>12466</v>
      </c>
      <c r="G119" s="259">
        <v>10008.86</v>
      </c>
      <c r="H119" s="260">
        <f t="shared" si="0"/>
      </c>
      <c r="I119" s="260">
        <f t="shared" si="1"/>
      </c>
      <c r="J119" s="260">
        <f t="shared" si="3"/>
      </c>
      <c r="K119" s="258">
        <v>3</v>
      </c>
      <c r="L119" s="258">
        <v>3290.399999999998</v>
      </c>
      <c r="M119" s="258" t="s">
        <v>468</v>
      </c>
      <c r="N119" s="258">
        <v>7</v>
      </c>
      <c r="O119" s="258" t="s">
        <v>438</v>
      </c>
      <c r="P119" s="258">
        <v>7</v>
      </c>
    </row>
    <row r="120">
      <c r="A120" s="256" t="s">
        <v>480</v>
      </c>
      <c r="B120" s="257" t="s">
        <v>431</v>
      </c>
      <c r="C120" s="258" t="s">
        <v>432</v>
      </c>
      <c r="D120" s="258">
        <v>5</v>
      </c>
      <c r="E120" s="258">
        <v>16</v>
      </c>
      <c r="F120" s="259">
        <v>26287.199999999997</v>
      </c>
      <c r="G120" s="259">
        <v>19498.350000000002</v>
      </c>
      <c r="H120" s="260">
        <f t="shared" si="0"/>
      </c>
      <c r="I120" s="260">
        <f t="shared" si="1"/>
      </c>
      <c r="J120" s="260">
        <f t="shared" si="3"/>
      </c>
      <c r="K120" s="258">
        <v>2</v>
      </c>
      <c r="L120" s="258">
        <v>2407.2</v>
      </c>
      <c r="M120" s="258"/>
      <c r="N120" s="258"/>
      <c r="O120" s="264"/>
      <c r="P120" s="265"/>
    </row>
    <row r="121">
      <c r="A121" s="256" t="s">
        <v>480</v>
      </c>
      <c r="B121" s="257" t="s">
        <v>427</v>
      </c>
      <c r="C121" s="258" t="s">
        <v>445</v>
      </c>
      <c r="D121" s="258">
        <v>5</v>
      </c>
      <c r="E121" s="258">
        <v>27</v>
      </c>
      <c r="F121" s="259">
        <v>40517.2</v>
      </c>
      <c r="G121" s="259">
        <v>31110.74</v>
      </c>
      <c r="H121" s="260">
        <f t="shared" si="0"/>
      </c>
      <c r="I121" s="260">
        <f t="shared" si="1"/>
      </c>
      <c r="J121" s="260">
        <f t="shared" si="3"/>
      </c>
      <c r="K121" s="258">
        <v>8</v>
      </c>
      <c r="L121" s="258">
        <v>16022.400000000001</v>
      </c>
      <c r="M121" s="258" t="s">
        <v>437</v>
      </c>
      <c r="N121" s="258">
        <v>9</v>
      </c>
      <c r="O121" s="261" t="s">
        <v>430</v>
      </c>
      <c r="P121" s="258">
        <v>12</v>
      </c>
    </row>
    <row r="122">
      <c r="A122" s="256" t="s">
        <v>480</v>
      </c>
      <c r="B122" s="257" t="s">
        <v>435</v>
      </c>
      <c r="C122" s="258" t="s">
        <v>448</v>
      </c>
      <c r="D122" s="258">
        <v>4</v>
      </c>
      <c r="E122" s="258">
        <v>23</v>
      </c>
      <c r="F122" s="259">
        <v>37528.8</v>
      </c>
      <c r="G122" s="275">
        <v>21549.24</v>
      </c>
      <c r="H122" s="260">
        <f t="shared" si="0"/>
      </c>
      <c r="I122" s="260">
        <f t="shared" si="1"/>
      </c>
      <c r="J122" s="260">
        <f t="shared" si="3"/>
      </c>
      <c r="K122" s="258">
        <v>6</v>
      </c>
      <c r="L122" s="258">
        <v>8500.799999999996</v>
      </c>
      <c r="M122" s="258" t="s">
        <v>442</v>
      </c>
      <c r="N122" s="261">
        <v>8</v>
      </c>
      <c r="O122" s="258"/>
      <c r="P122" s="258"/>
    </row>
    <row r="123">
      <c r="A123" s="256" t="s">
        <v>480</v>
      </c>
      <c r="B123" s="257" t="s">
        <v>472</v>
      </c>
      <c r="C123" s="258" t="s">
        <v>481</v>
      </c>
      <c r="D123" s="258">
        <v>2</v>
      </c>
      <c r="E123" s="258">
        <v>14</v>
      </c>
      <c r="F123" s="259">
        <v>21046.8</v>
      </c>
      <c r="G123" s="259">
        <v>11337.77</v>
      </c>
      <c r="H123" s="260">
        <f t="shared" si="0"/>
      </c>
      <c r="I123" s="260">
        <f t="shared" si="1"/>
      </c>
      <c r="J123" s="260">
        <f t="shared" si="3"/>
      </c>
      <c r="K123" s="258">
        <v>0</v>
      </c>
      <c r="L123" s="258">
        <v>0</v>
      </c>
      <c r="M123" s="258"/>
      <c r="N123" s="258"/>
      <c r="O123" s="265"/>
      <c r="P123" s="258"/>
    </row>
    <row r="124">
      <c r="A124" s="256" t="s">
        <v>480</v>
      </c>
      <c r="B124" s="257" t="s">
        <v>433</v>
      </c>
      <c r="C124" s="258" t="s">
        <v>482</v>
      </c>
      <c r="D124" s="258">
        <v>4</v>
      </c>
      <c r="E124" s="258">
        <v>25</v>
      </c>
      <c r="F124" s="259">
        <v>21998.72</v>
      </c>
      <c r="G124" s="259">
        <v>26135.58</v>
      </c>
      <c r="H124" s="260">
        <f t="shared" si="0"/>
      </c>
      <c r="I124" s="260">
        <f t="shared" si="1"/>
      </c>
      <c r="J124" s="260">
        <f t="shared" si="3"/>
      </c>
      <c r="K124" s="258">
        <v>6</v>
      </c>
      <c r="L124" s="258">
        <v>7833.4</v>
      </c>
      <c r="M124" s="258"/>
      <c r="N124" s="273"/>
      <c r="O124" s="258"/>
      <c r="P124" s="258"/>
    </row>
    <row r="125">
      <c r="A125" s="256" t="s">
        <v>480</v>
      </c>
      <c r="B125" s="257" t="s">
        <v>444</v>
      </c>
      <c r="C125" s="258" t="s">
        <v>477</v>
      </c>
      <c r="D125" s="258">
        <v>2</v>
      </c>
      <c r="E125" s="258">
        <v>7</v>
      </c>
      <c r="F125" s="259">
        <v>11127.6</v>
      </c>
      <c r="G125" s="259">
        <v>11607.230000000001</v>
      </c>
      <c r="H125" s="260">
        <f t="shared" si="0"/>
      </c>
      <c r="I125" s="260">
        <f t="shared" si="1"/>
      </c>
      <c r="J125" s="260">
        <f t="shared" si="3"/>
      </c>
      <c r="K125" s="258">
        <v>1</v>
      </c>
      <c r="L125" s="258">
        <v>1663.2</v>
      </c>
      <c r="M125" s="258"/>
      <c r="N125" s="273"/>
      <c r="O125" s="258" t="s">
        <v>438</v>
      </c>
      <c r="P125" s="258">
        <v>5</v>
      </c>
    </row>
    <row r="126">
      <c r="A126" s="267" t="s">
        <v>480</v>
      </c>
      <c r="B126" s="268"/>
      <c r="C126" s="268"/>
      <c r="D126" s="269">
        <f>SUM(D119:D125)</f>
      </c>
      <c r="E126" s="269">
        <f>SUM(E119:E125)</f>
      </c>
      <c r="F126" s="270">
        <f>SUM(F119:F125)</f>
      </c>
      <c r="G126" s="270">
        <f>SUM(G119:G125)</f>
      </c>
      <c r="H126" s="271">
        <f t="shared" si="0"/>
      </c>
      <c r="I126" s="271">
        <f t="shared" si="1"/>
      </c>
      <c r="J126" s="271">
        <f t="shared" si="3"/>
      </c>
      <c r="K126" s="269">
        <f>SUM(K119:K125)</f>
      </c>
      <c r="L126" s="271">
        <f>SUM(L119:L125)</f>
      </c>
      <c r="M126" s="268"/>
      <c r="N126" s="269">
        <f>SUM(N119:N125)</f>
      </c>
      <c r="O126" s="268"/>
      <c r="P126" s="269">
        <f>SUM(P119:P125)</f>
      </c>
    </row>
    <row r="127">
      <c r="A127" s="256" t="s">
        <v>483</v>
      </c>
      <c r="B127" s="257" t="s">
        <v>444</v>
      </c>
      <c r="C127" s="258" t="s">
        <v>428</v>
      </c>
      <c r="D127" s="258">
        <v>2</v>
      </c>
      <c r="E127" s="258">
        <v>26</v>
      </c>
      <c r="F127" s="259">
        <v>37272</v>
      </c>
      <c r="G127" s="259">
        <v>19964.13</v>
      </c>
      <c r="H127" s="260">
        <f t="shared" si="0"/>
      </c>
      <c r="I127" s="260">
        <f t="shared" si="1"/>
      </c>
      <c r="J127" s="260">
        <f t="shared" si="3"/>
      </c>
      <c r="K127" s="258">
        <v>12</v>
      </c>
      <c r="L127" s="258">
        <v>16510.800000000003</v>
      </c>
      <c r="M127" s="258" t="s">
        <v>468</v>
      </c>
      <c r="N127" s="258">
        <v>7</v>
      </c>
      <c r="O127" s="258" t="s">
        <v>438</v>
      </c>
      <c r="P127" s="258">
        <v>7</v>
      </c>
    </row>
    <row r="128">
      <c r="A128" s="256" t="s">
        <v>483</v>
      </c>
      <c r="B128" s="257" t="s">
        <v>447</v>
      </c>
      <c r="C128" s="258" t="s">
        <v>432</v>
      </c>
      <c r="D128" s="258">
        <v>5</v>
      </c>
      <c r="E128" s="258">
        <v>36</v>
      </c>
      <c r="F128" s="259">
        <v>39267.2</v>
      </c>
      <c r="G128" s="259">
        <v>28709.109999999997</v>
      </c>
      <c r="H128" s="260">
        <f t="shared" si="0"/>
      </c>
      <c r="I128" s="260">
        <f t="shared" si="1"/>
      </c>
      <c r="J128" s="260">
        <f t="shared" si="3"/>
      </c>
      <c r="K128" s="258">
        <v>7</v>
      </c>
      <c r="L128" s="258">
        <v>2871.6000000000004</v>
      </c>
      <c r="M128" s="258"/>
      <c r="N128" s="258"/>
      <c r="O128" s="264"/>
      <c r="P128" s="265"/>
    </row>
    <row r="129">
      <c r="A129" s="256" t="s">
        <v>483</v>
      </c>
      <c r="B129" s="257" t="s">
        <v>435</v>
      </c>
      <c r="C129" s="258" t="s">
        <v>445</v>
      </c>
      <c r="D129" s="258">
        <v>5</v>
      </c>
      <c r="E129" s="258">
        <v>36</v>
      </c>
      <c r="F129" s="259">
        <v>47268.40000000001</v>
      </c>
      <c r="G129" s="259">
        <v>35151.71</v>
      </c>
      <c r="H129" s="260">
        <f t="shared" si="0"/>
      </c>
      <c r="I129" s="260">
        <f t="shared" si="1"/>
      </c>
      <c r="J129" s="260">
        <f t="shared" si="3"/>
      </c>
      <c r="K129" s="258">
        <v>10</v>
      </c>
      <c r="L129" s="258">
        <v>15785.199999999997</v>
      </c>
      <c r="M129" s="258" t="s">
        <v>437</v>
      </c>
      <c r="N129" s="258">
        <v>9</v>
      </c>
      <c r="O129" s="261" t="s">
        <v>430</v>
      </c>
      <c r="P129" s="258">
        <v>12</v>
      </c>
    </row>
    <row customHeight="true" ht="16.071428571428573" r="130">
      <c r="A130" s="256" t="s">
        <v>483</v>
      </c>
      <c r="B130" s="257" t="s">
        <v>433</v>
      </c>
      <c r="C130" s="258" t="s">
        <v>448</v>
      </c>
      <c r="D130" s="258">
        <v>4</v>
      </c>
      <c r="E130" s="258">
        <v>22</v>
      </c>
      <c r="F130" s="259">
        <v>26461.6</v>
      </c>
      <c r="G130" s="275">
        <v>18422.14</v>
      </c>
      <c r="H130" s="260">
        <f t="shared" si="0"/>
      </c>
      <c r="I130" s="260">
        <f t="shared" si="1"/>
      </c>
      <c r="J130" s="260">
        <f t="shared" si="3"/>
      </c>
      <c r="K130" s="258">
        <v>6</v>
      </c>
      <c r="L130" s="258">
        <v>8579.8</v>
      </c>
      <c r="M130" s="258" t="s">
        <v>442</v>
      </c>
      <c r="N130" s="261">
        <v>8</v>
      </c>
      <c r="O130" s="258"/>
      <c r="P130" s="258"/>
    </row>
    <row customHeight="true" ht="16.071428571428573" r="131">
      <c r="A131" s="256" t="s">
        <v>483</v>
      </c>
      <c r="B131" s="257" t="s">
        <v>472</v>
      </c>
      <c r="C131" s="258" t="s">
        <v>481</v>
      </c>
      <c r="D131" s="258">
        <v>2</v>
      </c>
      <c r="E131" s="258">
        <v>5</v>
      </c>
      <c r="F131" s="259">
        <v>6011.8</v>
      </c>
      <c r="G131" s="259">
        <v>7850.24</v>
      </c>
      <c r="H131" s="260">
        <f t="shared" si="0"/>
      </c>
      <c r="I131" s="260">
        <f t="shared" si="1"/>
      </c>
      <c r="J131" s="260">
        <f t="shared" si="3"/>
      </c>
      <c r="K131" s="258">
        <v>2</v>
      </c>
      <c r="L131" s="258">
        <v>3674.4</v>
      </c>
      <c r="M131" s="258"/>
      <c r="N131" s="258"/>
      <c r="O131" s="265"/>
      <c r="P131" s="258"/>
    </row>
    <row customHeight="true" ht="16.071428571428573" r="132">
      <c r="A132" s="256" t="s">
        <v>483</v>
      </c>
      <c r="B132" s="257" t="s">
        <v>444</v>
      </c>
      <c r="C132" s="258" t="s">
        <v>482</v>
      </c>
      <c r="D132" s="258">
        <v>4</v>
      </c>
      <c r="E132" s="258">
        <v>13</v>
      </c>
      <c r="F132" s="259">
        <v>15380.4</v>
      </c>
      <c r="G132" s="259">
        <v>12455.53</v>
      </c>
      <c r="H132" s="260">
        <f t="shared" si="0"/>
      </c>
      <c r="I132" s="260">
        <f t="shared" si="1"/>
      </c>
      <c r="J132" s="260">
        <f t="shared" si="3"/>
      </c>
      <c r="K132" s="258">
        <v>1</v>
      </c>
      <c r="L132" s="258">
        <v>346.8</v>
      </c>
      <c r="M132" s="258"/>
      <c r="N132" s="273"/>
      <c r="O132" s="258"/>
      <c r="P132" s="258"/>
    </row>
    <row customHeight="true" ht="16.071428571428573" r="133">
      <c r="A133" s="256" t="s">
        <v>483</v>
      </c>
      <c r="B133" s="257" t="s">
        <v>431</v>
      </c>
      <c r="C133" s="258" t="s">
        <v>477</v>
      </c>
      <c r="D133" s="258">
        <v>2</v>
      </c>
      <c r="E133" s="258">
        <v>13</v>
      </c>
      <c r="F133" s="259">
        <v>18500.4</v>
      </c>
      <c r="G133" s="259">
        <v>10182.87</v>
      </c>
      <c r="H133" s="260">
        <f t="shared" si="0"/>
      </c>
      <c r="I133" s="260">
        <f t="shared" si="1"/>
      </c>
      <c r="J133" s="260">
        <f t="shared" si="3"/>
      </c>
      <c r="K133" s="258">
        <v>2</v>
      </c>
      <c r="L133" s="258">
        <v>840</v>
      </c>
      <c r="M133" s="258"/>
      <c r="N133" s="273"/>
      <c r="O133" s="258" t="s">
        <v>438</v>
      </c>
      <c r="P133" s="258">
        <v>5</v>
      </c>
    </row>
    <row customHeight="true" ht="16.071428571428573" r="134">
      <c r="A134" s="267" t="s">
        <v>483</v>
      </c>
      <c r="B134" s="268"/>
      <c r="C134" s="268"/>
      <c r="D134" s="269">
        <f>SUM(D127:D133)</f>
      </c>
      <c r="E134" s="269">
        <f>SUM(E127:E133)</f>
      </c>
      <c r="F134" s="270">
        <f>SUM(F127:F133)</f>
      </c>
      <c r="G134" s="270">
        <f>SUM(G127:G133)</f>
      </c>
      <c r="H134" s="271">
        <f t="shared" si="0"/>
      </c>
      <c r="I134" s="271">
        <f t="shared" si="1"/>
      </c>
      <c r="J134" s="271">
        <f t="shared" si="3"/>
      </c>
      <c r="K134" s="269">
        <f>SUM(K127:K133)</f>
      </c>
      <c r="L134" s="271">
        <f>SUM(L127:L133)</f>
      </c>
      <c r="M134" s="268"/>
      <c r="N134" s="269">
        <f>SUM(N127:N133)</f>
      </c>
      <c r="O134" s="268"/>
      <c r="P134" s="269">
        <f>SUM(P127:P133)</f>
      </c>
    </row>
    <row customHeight="true" ht="16.071428571428573" r="135">
      <c r="A135" s="256" t="s">
        <v>484</v>
      </c>
      <c r="B135" s="257" t="s">
        <v>431</v>
      </c>
      <c r="C135" s="258" t="s">
        <v>428</v>
      </c>
      <c r="D135" s="258">
        <v>2</v>
      </c>
      <c r="E135" s="258">
        <v>2</v>
      </c>
      <c r="F135" s="259">
        <v>4070.4</v>
      </c>
      <c r="G135" s="259">
        <v>5209.579999999999</v>
      </c>
      <c r="H135" s="260">
        <f t="shared" si="0"/>
      </c>
      <c r="I135" s="260">
        <f t="shared" si="1"/>
      </c>
      <c r="J135" s="260">
        <f t="shared" si="3"/>
      </c>
      <c r="K135" s="258">
        <v>2</v>
      </c>
      <c r="L135" s="258">
        <v>4070.6</v>
      </c>
      <c r="M135" s="258" t="s">
        <v>468</v>
      </c>
      <c r="N135" s="258">
        <v>7</v>
      </c>
      <c r="O135" s="258" t="s">
        <v>438</v>
      </c>
      <c r="P135" s="258">
        <v>7</v>
      </c>
    </row>
    <row customHeight="true" ht="16.071428571428573" r="136">
      <c r="A136" s="256" t="s">
        <v>484</v>
      </c>
      <c r="B136" s="257" t="s">
        <v>447</v>
      </c>
      <c r="C136" s="258" t="s">
        <v>432</v>
      </c>
      <c r="D136" s="258">
        <v>5</v>
      </c>
      <c r="E136" s="258">
        <v>12</v>
      </c>
      <c r="F136" s="259">
        <v>15324.000000000002</v>
      </c>
      <c r="G136" s="259">
        <v>11531.45</v>
      </c>
      <c r="H136" s="260">
        <f t="shared" si="0"/>
      </c>
      <c r="I136" s="260">
        <f t="shared" si="1"/>
      </c>
      <c r="J136" s="260">
        <f t="shared" si="3"/>
      </c>
      <c r="K136" s="258">
        <v>1</v>
      </c>
      <c r="L136" s="258">
        <v>2407.2</v>
      </c>
      <c r="M136" s="258"/>
      <c r="N136" s="258"/>
      <c r="O136" s="264"/>
      <c r="P136" s="265"/>
    </row>
    <row customHeight="true" ht="16.071428571428573" r="137">
      <c r="A137" s="256" t="s">
        <v>484</v>
      </c>
      <c r="B137" s="257" t="s">
        <v>427</v>
      </c>
      <c r="C137" s="258" t="s">
        <v>434</v>
      </c>
      <c r="D137" s="258">
        <v>4</v>
      </c>
      <c r="E137" s="258">
        <v>37</v>
      </c>
      <c r="F137" s="259">
        <v>43209.6</v>
      </c>
      <c r="G137" s="259">
        <v>28883.54</v>
      </c>
      <c r="H137" s="260">
        <f t="shared" si="0"/>
      </c>
      <c r="I137" s="260">
        <f t="shared" si="1"/>
      </c>
      <c r="J137" s="260">
        <f t="shared" si="3"/>
      </c>
      <c r="K137" s="258">
        <v>9</v>
      </c>
      <c r="L137" s="258">
        <v>12388.8</v>
      </c>
      <c r="M137" s="258" t="s">
        <v>437</v>
      </c>
      <c r="N137" s="258">
        <v>9</v>
      </c>
      <c r="O137" s="261" t="s">
        <v>430</v>
      </c>
      <c r="P137" s="258">
        <v>12</v>
      </c>
    </row>
    <row customHeight="true" ht="16.071428571428573" r="138">
      <c r="A138" s="256" t="s">
        <v>484</v>
      </c>
      <c r="B138" s="257" t="s">
        <v>433</v>
      </c>
      <c r="C138" s="258" t="s">
        <v>436</v>
      </c>
      <c r="D138" s="258">
        <v>5</v>
      </c>
      <c r="E138" s="258">
        <v>58</v>
      </c>
      <c r="F138" s="259">
        <v>62565</v>
      </c>
      <c r="G138" s="275">
        <v>40106.84</v>
      </c>
      <c r="H138" s="260">
        <f t="shared" si="0"/>
      </c>
      <c r="I138" s="260">
        <f t="shared" si="1"/>
      </c>
      <c r="J138" s="260">
        <f t="shared" si="3"/>
      </c>
      <c r="K138" s="258">
        <v>13</v>
      </c>
      <c r="L138" s="258">
        <v>13168</v>
      </c>
      <c r="M138" s="258" t="s">
        <v>442</v>
      </c>
      <c r="N138" s="261">
        <v>8</v>
      </c>
      <c r="O138" s="258"/>
      <c r="P138" s="258"/>
    </row>
    <row customHeight="true" ht="16.071428571428573" r="139">
      <c r="A139" s="256" t="s">
        <v>484</v>
      </c>
      <c r="B139" s="257" t="s">
        <v>472</v>
      </c>
      <c r="C139" s="258" t="s">
        <v>481</v>
      </c>
      <c r="D139" s="258">
        <v>2</v>
      </c>
      <c r="E139" s="258">
        <v>14</v>
      </c>
      <c r="F139" s="259">
        <v>15811.2</v>
      </c>
      <c r="G139" s="259">
        <v>14234.51</v>
      </c>
      <c r="H139" s="260">
        <f t="shared" si="0"/>
      </c>
      <c r="I139" s="260">
        <f t="shared" si="1"/>
      </c>
      <c r="J139" s="260">
        <f t="shared" si="3"/>
      </c>
      <c r="K139" s="258">
        <v>6</v>
      </c>
      <c r="L139" s="258">
        <v>7763.2</v>
      </c>
      <c r="M139" s="258"/>
      <c r="N139" s="258"/>
      <c r="O139" s="265"/>
      <c r="P139" s="258"/>
    </row>
    <row customHeight="true" ht="16.071428571428573" r="140">
      <c r="A140" s="256" t="s">
        <v>484</v>
      </c>
      <c r="B140" s="257" t="s">
        <v>444</v>
      </c>
      <c r="C140" s="258" t="s">
        <v>482</v>
      </c>
      <c r="D140" s="258">
        <v>4</v>
      </c>
      <c r="E140" s="258">
        <v>34</v>
      </c>
      <c r="F140" s="259">
        <v>36372.2</v>
      </c>
      <c r="G140" s="259">
        <v>29247.41</v>
      </c>
      <c r="H140" s="260">
        <f t="shared" si="0"/>
      </c>
      <c r="I140" s="260">
        <f t="shared" si="1"/>
      </c>
      <c r="J140" s="260">
        <f t="shared" si="3"/>
      </c>
      <c r="K140" s="258">
        <v>13</v>
      </c>
      <c r="L140" s="258">
        <v>9336</v>
      </c>
      <c r="M140" s="258"/>
      <c r="N140" s="273"/>
      <c r="O140" s="258"/>
      <c r="P140" s="258"/>
    </row>
    <row customHeight="true" ht="16.071428571428573" r="141">
      <c r="A141" s="256" t="s">
        <v>484</v>
      </c>
      <c r="B141" s="257" t="s">
        <v>431</v>
      </c>
      <c r="C141" s="258" t="s">
        <v>477</v>
      </c>
      <c r="D141" s="258">
        <v>2</v>
      </c>
      <c r="E141" s="258">
        <v>13</v>
      </c>
      <c r="F141" s="259">
        <v>19550.4</v>
      </c>
      <c r="G141" s="259">
        <v>15208.739999999998</v>
      </c>
      <c r="H141" s="260">
        <f t="shared" si="0"/>
      </c>
      <c r="I141" s="260">
        <f t="shared" si="1"/>
      </c>
      <c r="J141" s="260">
        <f t="shared" si="3"/>
      </c>
      <c r="K141" s="258">
        <v>1</v>
      </c>
      <c r="L141" s="258">
        <v>350</v>
      </c>
      <c r="M141" s="258"/>
      <c r="N141" s="273"/>
      <c r="O141" s="258" t="s">
        <v>438</v>
      </c>
      <c r="P141" s="258">
        <v>5</v>
      </c>
    </row>
    <row customHeight="true" ht="16.071428571428573" r="142">
      <c r="A142" s="267" t="s">
        <v>484</v>
      </c>
      <c r="B142" s="268"/>
      <c r="C142" s="268"/>
      <c r="D142" s="269">
        <f>SUM(D135:D141)</f>
      </c>
      <c r="E142" s="269">
        <f>SUM(E135:E141)</f>
      </c>
      <c r="F142" s="270">
        <f>SUM(F135:F141)</f>
      </c>
      <c r="G142" s="270">
        <f>SUM(G135:G141)</f>
      </c>
      <c r="H142" s="271">
        <f t="shared" si="0"/>
      </c>
      <c r="I142" s="271">
        <f t="shared" si="1"/>
      </c>
      <c r="J142" s="271">
        <f t="shared" si="3"/>
      </c>
      <c r="K142" s="269">
        <f>SUM(K135:K141)</f>
      </c>
      <c r="L142" s="271">
        <f>SUM(L135:L141)</f>
      </c>
      <c r="M142" s="268"/>
      <c r="N142" s="269">
        <f>SUM(N135:N141)</f>
      </c>
      <c r="O142" s="268"/>
      <c r="P142" s="269">
        <f>SUM(P135:P141)</f>
      </c>
    </row>
    <row customHeight="true" ht="16.071428571428573" r="143">
      <c r="A143" s="256" t="s">
        <v>485</v>
      </c>
      <c r="B143" s="257" t="s">
        <v>431</v>
      </c>
      <c r="C143" s="258" t="s">
        <v>428</v>
      </c>
      <c r="D143" s="258">
        <v>2</v>
      </c>
      <c r="E143" s="258">
        <v>20</v>
      </c>
      <c r="F143" s="259">
        <v>25335.4</v>
      </c>
      <c r="G143" s="259">
        <v>15677.77</v>
      </c>
      <c r="H143" s="260">
        <f t="shared" si="0"/>
      </c>
      <c r="I143" s="260">
        <f t="shared" si="1"/>
      </c>
      <c r="J143" s="260">
        <f t="shared" si="3"/>
      </c>
      <c r="K143" s="258">
        <v>7</v>
      </c>
      <c r="L143" s="258">
        <v>9764.199999999999</v>
      </c>
      <c r="M143" s="258" t="s">
        <v>468</v>
      </c>
      <c r="N143" s="258">
        <v>7</v>
      </c>
      <c r="O143" s="258" t="s">
        <v>438</v>
      </c>
      <c r="P143" s="258">
        <v>7</v>
      </c>
    </row>
    <row customHeight="true" ht="16.071428571428573" r="144">
      <c r="A144" s="256" t="s">
        <v>485</v>
      </c>
      <c r="B144" s="257" t="s">
        <v>435</v>
      </c>
      <c r="C144" s="258" t="s">
        <v>432</v>
      </c>
      <c r="D144" s="258">
        <v>5</v>
      </c>
      <c r="E144" s="258">
        <v>45</v>
      </c>
      <c r="F144" s="259">
        <v>48896.200000000004</v>
      </c>
      <c r="G144" s="259">
        <v>33725.99999999999</v>
      </c>
      <c r="H144" s="260">
        <f t="shared" si="0"/>
      </c>
      <c r="I144" s="260">
        <f t="shared" si="1"/>
      </c>
      <c r="J144" s="260">
        <f t="shared" si="3"/>
      </c>
      <c r="K144" s="258">
        <v>13</v>
      </c>
      <c r="L144" s="258">
        <v>10543.2</v>
      </c>
      <c r="M144" s="258" t="s">
        <v>486</v>
      </c>
      <c r="N144" s="258">
        <v>3</v>
      </c>
      <c r="O144" s="264"/>
      <c r="P144" s="265"/>
    </row>
    <row r="145">
      <c r="A145" s="256" t="s">
        <v>485</v>
      </c>
      <c r="B145" s="257" t="s">
        <v>487</v>
      </c>
      <c r="C145" s="258" t="s">
        <v>445</v>
      </c>
      <c r="D145" s="258">
        <v>5</v>
      </c>
      <c r="E145" s="258">
        <v>22</v>
      </c>
      <c r="F145" s="259">
        <v>28943.600000000006</v>
      </c>
      <c r="G145" s="259">
        <v>28371.21</v>
      </c>
      <c r="H145" s="260">
        <f t="shared" si="0"/>
      </c>
      <c r="I145" s="260">
        <f t="shared" si="1"/>
      </c>
      <c r="J145" s="260">
        <f t="shared" si="3"/>
      </c>
      <c r="K145" s="258">
        <v>12</v>
      </c>
      <c r="L145" s="258">
        <v>14553.600000000002</v>
      </c>
      <c r="M145" s="258" t="s">
        <v>437</v>
      </c>
      <c r="N145" s="258">
        <v>6</v>
      </c>
      <c r="O145" s="261" t="s">
        <v>430</v>
      </c>
      <c r="P145" s="258">
        <v>12</v>
      </c>
    </row>
    <row r="146">
      <c r="A146" s="256" t="s">
        <v>485</v>
      </c>
      <c r="B146" s="257" t="s">
        <v>433</v>
      </c>
      <c r="C146" s="258" t="s">
        <v>448</v>
      </c>
      <c r="D146" s="258">
        <v>4</v>
      </c>
      <c r="E146" s="258">
        <v>27</v>
      </c>
      <c r="F146" s="259">
        <v>26857.2</v>
      </c>
      <c r="G146" s="275">
        <v>21387.06</v>
      </c>
      <c r="H146" s="260">
        <f t="shared" si="0"/>
      </c>
      <c r="I146" s="260">
        <f t="shared" si="1"/>
      </c>
      <c r="J146" s="260">
        <f t="shared" si="3"/>
      </c>
      <c r="K146" s="258">
        <v>7</v>
      </c>
      <c r="L146" s="258">
        <v>3467.999999999999</v>
      </c>
      <c r="M146" s="258" t="s">
        <v>442</v>
      </c>
      <c r="N146" s="261">
        <v>8</v>
      </c>
      <c r="O146" s="258"/>
      <c r="P146" s="258"/>
    </row>
    <row r="147">
      <c r="A147" s="256" t="s">
        <v>485</v>
      </c>
      <c r="B147" s="257" t="s">
        <v>472</v>
      </c>
      <c r="C147" s="258" t="s">
        <v>481</v>
      </c>
      <c r="D147" s="258">
        <v>2</v>
      </c>
      <c r="E147" s="258">
        <v>6</v>
      </c>
      <c r="F147" s="259">
        <v>5467.2</v>
      </c>
      <c r="G147" s="259">
        <v>5733.59</v>
      </c>
      <c r="H147" s="260">
        <f t="shared" si="0"/>
      </c>
      <c r="I147" s="260">
        <f t="shared" si="1"/>
      </c>
      <c r="J147" s="260">
        <f t="shared" si="3"/>
      </c>
      <c r="K147" s="258">
        <v>1</v>
      </c>
      <c r="L147" s="258">
        <v>1663.2</v>
      </c>
      <c r="M147" s="258"/>
      <c r="N147" s="258"/>
      <c r="O147" s="265"/>
      <c r="P147" s="258"/>
    </row>
    <row r="148">
      <c r="A148" s="256" t="s">
        <v>485</v>
      </c>
      <c r="B148" s="257" t="s">
        <v>444</v>
      </c>
      <c r="C148" s="258" t="s">
        <v>482</v>
      </c>
      <c r="D148" s="258">
        <v>4</v>
      </c>
      <c r="E148" s="258">
        <v>31</v>
      </c>
      <c r="F148" s="259">
        <v>38716.4</v>
      </c>
      <c r="G148" s="259">
        <v>20358.27</v>
      </c>
      <c r="H148" s="260">
        <f t="shared" si="0"/>
      </c>
      <c r="I148" s="260">
        <f t="shared" si="1"/>
      </c>
      <c r="J148" s="260">
        <f t="shared" si="3"/>
      </c>
      <c r="K148" s="258">
        <v>10</v>
      </c>
      <c r="L148" s="258">
        <v>13729.4</v>
      </c>
      <c r="M148" s="258"/>
      <c r="N148" s="273"/>
      <c r="O148" s="258"/>
      <c r="P148" s="258"/>
    </row>
    <row r="149">
      <c r="A149" s="256" t="s">
        <v>485</v>
      </c>
      <c r="B149" s="257" t="s">
        <v>431</v>
      </c>
      <c r="C149" s="258" t="s">
        <v>477</v>
      </c>
      <c r="D149" s="258">
        <v>2</v>
      </c>
      <c r="E149" s="258">
        <v>19</v>
      </c>
      <c r="F149" s="259">
        <v>24688.4</v>
      </c>
      <c r="G149" s="259">
        <v>20660.42</v>
      </c>
      <c r="H149" s="260">
        <f t="shared" si="0"/>
      </c>
      <c r="I149" s="260">
        <f t="shared" si="1"/>
      </c>
      <c r="J149" s="260">
        <f t="shared" si="3"/>
      </c>
      <c r="K149" s="258">
        <v>4</v>
      </c>
      <c r="L149" s="258">
        <v>3042.8</v>
      </c>
      <c r="M149" s="258"/>
      <c r="N149" s="273"/>
      <c r="O149" s="258" t="s">
        <v>438</v>
      </c>
      <c r="P149" s="258">
        <v>5</v>
      </c>
    </row>
    <row r="150">
      <c r="A150" s="267" t="s">
        <v>485</v>
      </c>
      <c r="B150" s="268"/>
      <c r="C150" s="268"/>
      <c r="D150" s="269">
        <f>SUM(D143:D149)</f>
      </c>
      <c r="E150" s="269">
        <f>SUM(E143:E149)</f>
      </c>
      <c r="F150" s="270">
        <f>SUM(F143:F149)</f>
      </c>
      <c r="G150" s="270">
        <f>SUM(G143:G149)</f>
      </c>
      <c r="H150" s="271">
        <f t="shared" si="0"/>
      </c>
      <c r="I150" s="271">
        <f t="shared" si="1"/>
      </c>
      <c r="J150" s="271">
        <f t="shared" si="3"/>
      </c>
      <c r="K150" s="269">
        <f>SUM(K143:K149)</f>
      </c>
      <c r="L150" s="271">
        <f>SUM(L143:L149)</f>
      </c>
      <c r="M150" s="268"/>
      <c r="N150" s="269">
        <f>SUM(N143:N149)</f>
      </c>
      <c r="O150" s="268"/>
      <c r="P150" s="269">
        <f>SUM(P143:P149)</f>
      </c>
    </row>
    <row r="151">
      <c r="A151" s="256" t="s">
        <v>488</v>
      </c>
      <c r="B151" s="257" t="s">
        <v>431</v>
      </c>
      <c r="C151" s="258" t="s">
        <v>428</v>
      </c>
      <c r="D151" s="258">
        <v>2</v>
      </c>
      <c r="E151" s="258">
        <v>10</v>
      </c>
      <c r="F151" s="259">
        <v>16544.1</v>
      </c>
      <c r="G151" s="259">
        <v>11110.1</v>
      </c>
      <c r="H151" s="260">
        <f t="shared" si="0"/>
      </c>
      <c r="I151" s="260">
        <f t="shared" si="1"/>
      </c>
      <c r="J151" s="260">
        <f t="shared" si="3"/>
      </c>
      <c r="K151" s="258">
        <v>3</v>
      </c>
      <c r="L151" s="258">
        <v>4070.4</v>
      </c>
      <c r="M151" s="258" t="s">
        <v>468</v>
      </c>
      <c r="N151" s="258">
        <v>7</v>
      </c>
      <c r="O151" s="258" t="s">
        <v>438</v>
      </c>
      <c r="P151" s="258">
        <v>7</v>
      </c>
    </row>
    <row r="152">
      <c r="A152" s="256" t="s">
        <v>488</v>
      </c>
      <c r="B152" s="257" t="s">
        <v>435</v>
      </c>
      <c r="C152" s="258" t="s">
        <v>432</v>
      </c>
      <c r="D152" s="258">
        <v>5</v>
      </c>
      <c r="E152" s="258">
        <v>8</v>
      </c>
      <c r="F152" s="259">
        <v>11080.800000000003</v>
      </c>
      <c r="G152" s="259">
        <v>13119.67</v>
      </c>
      <c r="H152" s="260">
        <f t="shared" si="0"/>
      </c>
      <c r="I152" s="260">
        <f t="shared" si="1"/>
      </c>
      <c r="J152" s="260">
        <f t="shared" si="3"/>
      </c>
      <c r="K152" s="258">
        <v>0</v>
      </c>
      <c r="L152" s="258">
        <v>0</v>
      </c>
      <c r="M152" s="258"/>
      <c r="N152" s="258"/>
      <c r="O152" s="264"/>
      <c r="P152" s="265"/>
    </row>
    <row r="153">
      <c r="A153" s="256" t="s">
        <v>488</v>
      </c>
      <c r="B153" s="257" t="s">
        <v>487</v>
      </c>
      <c r="C153" s="258" t="s">
        <v>434</v>
      </c>
      <c r="D153" s="258">
        <v>4</v>
      </c>
      <c r="E153" s="258">
        <v>8</v>
      </c>
      <c r="F153" s="259">
        <v>7401.5999999999985</v>
      </c>
      <c r="G153" s="259">
        <v>14147.19</v>
      </c>
      <c r="H153" s="260">
        <f t="shared" si="0"/>
      </c>
      <c r="I153" s="260">
        <f t="shared" si="1"/>
      </c>
      <c r="J153" s="260">
        <f t="shared" si="3"/>
      </c>
      <c r="K153" s="258">
        <v>3</v>
      </c>
      <c r="L153" s="258">
        <v>4190.4</v>
      </c>
      <c r="M153" s="258" t="s">
        <v>437</v>
      </c>
      <c r="N153" s="258">
        <v>9</v>
      </c>
      <c r="O153" s="261" t="s">
        <v>430</v>
      </c>
      <c r="P153" s="258">
        <v>12</v>
      </c>
    </row>
    <row r="154">
      <c r="A154" s="256" t="s">
        <v>488</v>
      </c>
      <c r="B154" s="257" t="s">
        <v>447</v>
      </c>
      <c r="C154" s="258" t="s">
        <v>455</v>
      </c>
      <c r="D154" s="258">
        <v>4</v>
      </c>
      <c r="E154" s="258">
        <v>37</v>
      </c>
      <c r="F154" s="259">
        <v>46862.600000000006</v>
      </c>
      <c r="G154" s="275">
        <v>26730.38</v>
      </c>
      <c r="H154" s="260">
        <f t="shared" si="0"/>
      </c>
      <c r="I154" s="260">
        <f t="shared" si="1"/>
      </c>
      <c r="J154" s="260">
        <f t="shared" si="3"/>
      </c>
      <c r="K154" s="258">
        <v>9</v>
      </c>
      <c r="L154" s="258">
        <v>7383.5999999999985</v>
      </c>
      <c r="M154" s="258" t="s">
        <v>442</v>
      </c>
      <c r="N154" s="261">
        <v>8</v>
      </c>
      <c r="O154" s="258"/>
      <c r="P154" s="258"/>
    </row>
    <row r="155">
      <c r="A155" s="256" t="s">
        <v>488</v>
      </c>
      <c r="B155" s="257" t="s">
        <v>444</v>
      </c>
      <c r="C155" s="258" t="s">
        <v>456</v>
      </c>
      <c r="D155" s="258">
        <v>4</v>
      </c>
      <c r="E155" s="258">
        <v>17</v>
      </c>
      <c r="F155" s="259">
        <v>16968.2</v>
      </c>
      <c r="G155" s="259">
        <v>17954.45</v>
      </c>
      <c r="H155" s="260">
        <f t="shared" si="0"/>
      </c>
      <c r="I155" s="260">
        <f t="shared" si="1"/>
      </c>
      <c r="J155" s="260">
        <f t="shared" si="3"/>
      </c>
      <c r="K155" s="258">
        <v>5</v>
      </c>
      <c r="L155" s="258">
        <v>5820</v>
      </c>
      <c r="M155" s="258"/>
      <c r="N155" s="258"/>
      <c r="O155" s="265"/>
      <c r="P155" s="258"/>
    </row>
    <row r="156">
      <c r="A156" s="256" t="s">
        <v>488</v>
      </c>
      <c r="B156" s="257" t="s">
        <v>431</v>
      </c>
      <c r="C156" s="258" t="s">
        <v>489</v>
      </c>
      <c r="D156" s="258">
        <v>3</v>
      </c>
      <c r="E156" s="258">
        <v>14</v>
      </c>
      <c r="F156" s="259">
        <v>17730</v>
      </c>
      <c r="G156" s="259">
        <v>13902.95</v>
      </c>
      <c r="H156" s="260">
        <f t="shared" si="0"/>
      </c>
      <c r="I156" s="260">
        <f t="shared" si="1"/>
      </c>
      <c r="J156" s="260">
        <f t="shared" si="3"/>
      </c>
      <c r="K156" s="258">
        <v>6</v>
      </c>
      <c r="L156" s="258">
        <v>5648.6</v>
      </c>
      <c r="M156" s="258"/>
      <c r="N156" s="273"/>
      <c r="O156" s="258"/>
      <c r="P156" s="258"/>
    </row>
    <row r="157">
      <c r="A157" s="256" t="s">
        <v>488</v>
      </c>
      <c r="B157" s="257" t="s">
        <v>427</v>
      </c>
      <c r="C157" s="258" t="s">
        <v>477</v>
      </c>
      <c r="D157" s="258">
        <v>2</v>
      </c>
      <c r="E157" s="258">
        <v>15</v>
      </c>
      <c r="F157" s="259">
        <v>21598</v>
      </c>
      <c r="G157" s="259">
        <v>14007.7</v>
      </c>
      <c r="H157" s="260">
        <f t="shared" si="0"/>
      </c>
      <c r="I157" s="260">
        <f t="shared" si="1"/>
      </c>
      <c r="J157" s="260">
        <f t="shared" si="3"/>
      </c>
      <c r="K157" s="258">
        <v>2</v>
      </c>
      <c r="L157" s="258">
        <v>1399</v>
      </c>
      <c r="M157" s="258"/>
      <c r="N157" s="273"/>
      <c r="O157" s="258" t="s">
        <v>438</v>
      </c>
      <c r="P157" s="258">
        <v>5</v>
      </c>
    </row>
    <row r="158">
      <c r="A158" s="267" t="s">
        <v>488</v>
      </c>
      <c r="B158" s="268"/>
      <c r="C158" s="268"/>
      <c r="D158" s="269">
        <f>SUM(D151:D157)</f>
      </c>
      <c r="E158" s="269">
        <f>SUM(E151:E157)</f>
      </c>
      <c r="F158" s="270">
        <f>SUM(F151:F157)</f>
      </c>
      <c r="G158" s="270">
        <f>SUM(G151:G157)</f>
      </c>
      <c r="H158" s="271">
        <f t="shared" si="0"/>
      </c>
      <c r="I158" s="271">
        <f t="shared" si="1"/>
      </c>
      <c r="J158" s="271">
        <f t="shared" si="3"/>
      </c>
      <c r="K158" s="269">
        <f>SUM(K151:K157)</f>
      </c>
      <c r="L158" s="271">
        <f>SUM(L151:L157)</f>
      </c>
      <c r="M158" s="268"/>
      <c r="N158" s="269">
        <f>SUM(N151:N157)</f>
      </c>
      <c r="O158" s="268"/>
      <c r="P158" s="269">
        <f>SUM(P151:P157)</f>
      </c>
    </row>
    <row r="159">
      <c r="A159" s="276" t="s">
        <v>490</v>
      </c>
      <c r="B159" s="277" t="s">
        <v>427</v>
      </c>
      <c r="C159" s="278" t="s">
        <v>428</v>
      </c>
      <c r="D159" s="278">
        <v>2</v>
      </c>
      <c r="E159" s="278">
        <v>17</v>
      </c>
      <c r="F159" s="279">
        <v>18187</v>
      </c>
      <c r="G159" s="279">
        <v>9959.24</v>
      </c>
      <c r="H159" s="280">
        <f t="shared" si="0"/>
      </c>
      <c r="I159" s="280">
        <f t="shared" si="1"/>
      </c>
      <c r="J159" s="280">
        <f t="shared" si="3"/>
      </c>
      <c r="K159" s="272">
        <v>3</v>
      </c>
      <c r="L159" s="278">
        <v>3680.199999999999</v>
      </c>
      <c r="M159" s="278" t="s">
        <v>468</v>
      </c>
      <c r="N159" s="278">
        <v>7</v>
      </c>
      <c r="O159" s="278" t="s">
        <v>438</v>
      </c>
      <c r="P159" s="278">
        <v>7</v>
      </c>
    </row>
    <row r="160">
      <c r="A160" s="276" t="s">
        <v>490</v>
      </c>
      <c r="B160" s="277" t="s">
        <v>433</v>
      </c>
      <c r="C160" s="278" t="s">
        <v>432</v>
      </c>
      <c r="D160" s="278">
        <v>5</v>
      </c>
      <c r="E160" s="278">
        <v>20</v>
      </c>
      <c r="F160" s="279">
        <v>16408.6</v>
      </c>
      <c r="G160" s="279">
        <v>19511.24</v>
      </c>
      <c r="H160" s="280">
        <f t="shared" si="0"/>
      </c>
      <c r="I160" s="280">
        <f t="shared" si="1"/>
      </c>
      <c r="J160" s="280">
        <f t="shared" si="3"/>
      </c>
      <c r="K160" s="272">
        <v>2</v>
      </c>
      <c r="L160" s="278">
        <v>1159.1999999999998</v>
      </c>
      <c r="M160" s="278"/>
      <c r="N160" s="278"/>
      <c r="O160" s="281"/>
      <c r="P160" s="282"/>
    </row>
    <row customHeight="true" ht="16.071428571428573" r="161">
      <c r="A161" s="276" t="s">
        <v>490</v>
      </c>
      <c r="B161" s="277" t="s">
        <v>487</v>
      </c>
      <c r="C161" s="278" t="s">
        <v>434</v>
      </c>
      <c r="D161" s="278">
        <v>4</v>
      </c>
      <c r="E161" s="272">
        <v>38</v>
      </c>
      <c r="F161" s="279">
        <v>46064.00000000001</v>
      </c>
      <c r="G161" s="279">
        <v>30575.85</v>
      </c>
      <c r="H161" s="280">
        <f t="shared" si="0"/>
      </c>
      <c r="I161" s="280">
        <f t="shared" si="1"/>
      </c>
      <c r="J161" s="280">
        <f t="shared" si="3"/>
      </c>
      <c r="K161" s="272">
        <v>13</v>
      </c>
      <c r="L161" s="278">
        <v>13824.4</v>
      </c>
      <c r="M161" s="278" t="s">
        <v>437</v>
      </c>
      <c r="N161" s="278">
        <v>9</v>
      </c>
      <c r="O161" s="283" t="s">
        <v>430</v>
      </c>
      <c r="P161" s="278">
        <v>12</v>
      </c>
    </row>
    <row customHeight="true" ht="16.071428571428573" r="162">
      <c r="A162" s="276" t="s">
        <v>490</v>
      </c>
      <c r="B162" s="277" t="s">
        <v>427</v>
      </c>
      <c r="C162" s="278" t="s">
        <v>455</v>
      </c>
      <c r="D162" s="278">
        <v>4</v>
      </c>
      <c r="E162" s="272">
        <v>50</v>
      </c>
      <c r="F162" s="279">
        <v>52044.19999999998</v>
      </c>
      <c r="G162" s="284">
        <v>34666.380000000005</v>
      </c>
      <c r="H162" s="280">
        <f t="shared" si="0"/>
      </c>
      <c r="I162" s="280">
        <f t="shared" si="1"/>
      </c>
      <c r="J162" s="280">
        <f t="shared" si="3"/>
      </c>
      <c r="K162" s="272">
        <v>14</v>
      </c>
      <c r="L162" s="278">
        <v>16956.59999999999</v>
      </c>
      <c r="M162" s="278" t="s">
        <v>442</v>
      </c>
      <c r="N162" s="283">
        <v>8</v>
      </c>
      <c r="O162" s="278"/>
      <c r="P162" s="278"/>
    </row>
    <row customHeight="true" ht="16.071428571428573" r="163">
      <c r="A163" s="276" t="s">
        <v>490</v>
      </c>
      <c r="B163" s="277" t="s">
        <v>444</v>
      </c>
      <c r="C163" s="278" t="s">
        <v>456</v>
      </c>
      <c r="D163" s="278">
        <v>4</v>
      </c>
      <c r="E163" s="272">
        <v>28</v>
      </c>
      <c r="F163" s="285">
        <v>31014</v>
      </c>
      <c r="G163" s="285">
        <v>24699.66</v>
      </c>
      <c r="H163" s="280">
        <f t="shared" si="0"/>
      </c>
      <c r="I163" s="280">
        <f t="shared" si="1"/>
      </c>
      <c r="J163" s="280">
        <f t="shared" si="3"/>
      </c>
      <c r="K163" s="272">
        <v>2</v>
      </c>
      <c r="L163" s="278">
        <v>2693.2</v>
      </c>
      <c r="M163" s="278"/>
      <c r="N163" s="278"/>
      <c r="O163" s="282"/>
      <c r="P163" s="278"/>
    </row>
    <row customHeight="true" ht="16.071428571428573" r="164">
      <c r="A164" s="276" t="s">
        <v>490</v>
      </c>
      <c r="B164" s="277" t="s">
        <v>431</v>
      </c>
      <c r="C164" s="278" t="s">
        <v>457</v>
      </c>
      <c r="D164" s="278">
        <v>4</v>
      </c>
      <c r="E164" s="272">
        <v>34</v>
      </c>
      <c r="F164" s="285">
        <v>41878</v>
      </c>
      <c r="G164" s="285">
        <v>31229.13</v>
      </c>
      <c r="H164" s="280">
        <f t="shared" si="0"/>
      </c>
      <c r="I164" s="280">
        <f t="shared" si="1"/>
      </c>
      <c r="J164" s="280">
        <f t="shared" si="3"/>
      </c>
      <c r="K164" s="272">
        <v>7</v>
      </c>
      <c r="L164" s="278">
        <v>9112.8</v>
      </c>
      <c r="M164" s="278"/>
      <c r="N164" s="286"/>
      <c r="O164" s="278"/>
      <c r="P164" s="278"/>
    </row>
    <row customHeight="true" ht="16.071428571428573" r="165">
      <c r="A165" s="276" t="s">
        <v>490</v>
      </c>
      <c r="B165" s="277" t="s">
        <v>447</v>
      </c>
      <c r="C165" s="278" t="s">
        <v>458</v>
      </c>
      <c r="D165" s="278">
        <v>1</v>
      </c>
      <c r="E165" s="272">
        <v>11</v>
      </c>
      <c r="F165" s="279">
        <v>14869.2</v>
      </c>
      <c r="G165" s="279">
        <v>10216.17</v>
      </c>
      <c r="H165" s="280">
        <f t="shared" si="0"/>
      </c>
      <c r="I165" s="280">
        <f t="shared" si="1"/>
      </c>
      <c r="J165" s="280">
        <f t="shared" si="3"/>
      </c>
      <c r="K165" s="272">
        <v>2</v>
      </c>
      <c r="L165" s="278">
        <v>2438.4</v>
      </c>
      <c r="M165" s="278"/>
      <c r="N165" s="286"/>
      <c r="O165" s="278" t="s">
        <v>438</v>
      </c>
      <c r="P165" s="278">
        <v>5</v>
      </c>
    </row>
    <row customHeight="true" ht="16.071428571428573" r="166">
      <c r="A166" s="287" t="s">
        <v>490</v>
      </c>
      <c r="B166" s="288"/>
      <c r="C166" s="288"/>
      <c r="D166" s="289">
        <f>SUM(D159:D165)</f>
      </c>
      <c r="E166" s="289">
        <f>SUM(E159:E165)</f>
      </c>
      <c r="F166" s="290">
        <f>SUM(F159:F165)</f>
      </c>
      <c r="G166" s="290">
        <f>SUM(G159:G165)</f>
      </c>
      <c r="H166" s="291">
        <f t="shared" si="0"/>
      </c>
      <c r="I166" s="291">
        <f t="shared" si="1"/>
      </c>
      <c r="J166" s="291">
        <f t="shared" si="3"/>
      </c>
      <c r="K166" s="289">
        <f>SUM(K159:K165)</f>
      </c>
      <c r="L166" s="291">
        <f>SUM(L159:L165)</f>
      </c>
      <c r="M166" s="288"/>
      <c r="N166" s="289">
        <f>SUM(N159:N165)</f>
      </c>
      <c r="O166" s="288"/>
      <c r="P166" s="289">
        <f>SUM(P159:P165)</f>
      </c>
    </row>
    <row customHeight="true" ht="16.071428571428573" r="167">
      <c r="A167" s="292" t="s">
        <v>491</v>
      </c>
      <c r="B167" s="277" t="s">
        <v>447</v>
      </c>
      <c r="C167" s="272" t="s">
        <v>492</v>
      </c>
      <c r="D167" s="272">
        <v>3</v>
      </c>
      <c r="E167" s="278">
        <v>8</v>
      </c>
      <c r="F167" s="279">
        <v>5278.8</v>
      </c>
      <c r="G167" s="279">
        <v>12085.65</v>
      </c>
      <c r="H167" s="280">
        <f t="shared" si="0"/>
      </c>
      <c r="I167" s="280">
        <f t="shared" si="1"/>
      </c>
      <c r="J167" s="280">
        <f t="shared" si="3"/>
      </c>
      <c r="K167" s="272">
        <v>2</v>
      </c>
      <c r="L167" s="278">
        <v>615.6</v>
      </c>
      <c r="M167" s="278" t="s">
        <v>468</v>
      </c>
      <c r="N167" s="278">
        <v>7</v>
      </c>
      <c r="O167" s="278" t="s">
        <v>438</v>
      </c>
      <c r="P167" s="278">
        <v>7</v>
      </c>
    </row>
    <row customHeight="true" ht="16.071428571428573" r="168">
      <c r="A168" s="292" t="s">
        <v>491</v>
      </c>
      <c r="B168" s="277" t="s">
        <v>433</v>
      </c>
      <c r="C168" s="272" t="s">
        <v>461</v>
      </c>
      <c r="D168" s="272">
        <v>4</v>
      </c>
      <c r="E168" s="272">
        <v>12</v>
      </c>
      <c r="F168" s="279">
        <v>9856.8</v>
      </c>
      <c r="G168" s="279">
        <v>9225.279999999999</v>
      </c>
      <c r="H168" s="280">
        <f t="shared" si="0"/>
      </c>
      <c r="I168" s="280">
        <f t="shared" si="1"/>
      </c>
      <c r="J168" s="280">
        <f t="shared" si="3"/>
      </c>
      <c r="K168" s="272">
        <v>3</v>
      </c>
      <c r="L168" s="278">
        <v>3818.3999999999996</v>
      </c>
      <c r="M168" s="278"/>
      <c r="N168" s="278"/>
      <c r="O168" s="281"/>
      <c r="P168" s="282"/>
    </row>
    <row r="169">
      <c r="A169" s="292" t="s">
        <v>491</v>
      </c>
      <c r="B169" s="277" t="s">
        <v>487</v>
      </c>
      <c r="C169" s="278" t="s">
        <v>434</v>
      </c>
      <c r="D169" s="278">
        <v>4</v>
      </c>
      <c r="E169" s="272">
        <v>31</v>
      </c>
      <c r="F169" s="279">
        <v>35091.8</v>
      </c>
      <c r="G169" s="279">
        <v>27318.18</v>
      </c>
      <c r="H169" s="280">
        <f t="shared" si="0"/>
      </c>
      <c r="I169" s="280">
        <f t="shared" si="1"/>
      </c>
      <c r="J169" s="280">
        <f t="shared" si="3"/>
      </c>
      <c r="K169" s="272">
        <v>13</v>
      </c>
      <c r="L169" s="278">
        <v>7957.799999999999</v>
      </c>
      <c r="M169" s="278" t="s">
        <v>437</v>
      </c>
      <c r="N169" s="278">
        <v>9</v>
      </c>
      <c r="O169" s="283" t="s">
        <v>430</v>
      </c>
      <c r="P169" s="278">
        <v>12</v>
      </c>
    </row>
    <row r="170">
      <c r="A170" s="292" t="s">
        <v>491</v>
      </c>
      <c r="B170" s="277" t="s">
        <v>472</v>
      </c>
      <c r="C170" s="278" t="s">
        <v>455</v>
      </c>
      <c r="D170" s="278">
        <v>4</v>
      </c>
      <c r="E170" s="272">
        <v>25</v>
      </c>
      <c r="F170" s="279">
        <v>34484.59999999999</v>
      </c>
      <c r="G170" s="284">
        <v>26745.08</v>
      </c>
      <c r="H170" s="280">
        <f t="shared" si="0"/>
      </c>
      <c r="I170" s="280">
        <f t="shared" si="1"/>
      </c>
      <c r="J170" s="280">
        <f t="shared" si="3"/>
      </c>
      <c r="K170" s="272">
        <v>5</v>
      </c>
      <c r="L170" s="278">
        <v>4454.4000000000015</v>
      </c>
      <c r="M170" s="272" t="s">
        <v>493</v>
      </c>
      <c r="N170" s="283">
        <v>8</v>
      </c>
      <c r="O170" s="278"/>
      <c r="P170" s="278"/>
    </row>
    <row customHeight="true" ht="16.071428571428573" r="171">
      <c r="A171" s="292" t="s">
        <v>491</v>
      </c>
      <c r="B171" s="277" t="s">
        <v>431</v>
      </c>
      <c r="C171" s="278" t="s">
        <v>456</v>
      </c>
      <c r="D171" s="278">
        <v>4</v>
      </c>
      <c r="E171" s="272">
        <v>27</v>
      </c>
      <c r="F171" s="285">
        <v>38651.6</v>
      </c>
      <c r="G171" s="285">
        <v>27372.73</v>
      </c>
      <c r="H171" s="280">
        <f t="shared" si="0"/>
      </c>
      <c r="I171" s="280">
        <f t="shared" si="1"/>
      </c>
      <c r="J171" s="280">
        <f t="shared" si="3"/>
      </c>
      <c r="K171" s="272">
        <v>10</v>
      </c>
      <c r="L171" s="278">
        <v>10743.6</v>
      </c>
      <c r="M171" s="278"/>
      <c r="N171" s="278"/>
      <c r="O171" s="282"/>
      <c r="P171" s="278"/>
    </row>
    <row customHeight="true" ht="16.071428571428573" r="172">
      <c r="A172" s="292" t="s">
        <v>491</v>
      </c>
      <c r="B172" s="277" t="s">
        <v>447</v>
      </c>
      <c r="C172" s="278" t="s">
        <v>457</v>
      </c>
      <c r="D172" s="278">
        <v>4</v>
      </c>
      <c r="E172" s="272">
        <v>22</v>
      </c>
      <c r="F172" s="285">
        <v>26742.6</v>
      </c>
      <c r="G172" s="285">
        <v>22403.21</v>
      </c>
      <c r="H172" s="280">
        <f t="shared" si="0"/>
      </c>
      <c r="I172" s="280">
        <f t="shared" si="1"/>
      </c>
      <c r="J172" s="280">
        <f t="shared" si="3"/>
      </c>
      <c r="K172" s="272">
        <v>6</v>
      </c>
      <c r="L172" s="278">
        <v>5209.2</v>
      </c>
      <c r="M172" s="278"/>
      <c r="N172" s="286"/>
      <c r="O172" s="278"/>
      <c r="P172" s="278"/>
    </row>
    <row customHeight="true" ht="16.071428571428573" r="173">
      <c r="A173" s="292" t="s">
        <v>491</v>
      </c>
      <c r="B173" s="277" t="s">
        <v>435</v>
      </c>
      <c r="C173" s="278" t="s">
        <v>458</v>
      </c>
      <c r="D173" s="278">
        <v>1</v>
      </c>
      <c r="E173" s="272">
        <v>4</v>
      </c>
      <c r="F173" s="279">
        <v>5742</v>
      </c>
      <c r="G173" s="279">
        <v>4684.91</v>
      </c>
      <c r="H173" s="280">
        <f t="shared" si="0"/>
      </c>
      <c r="I173" s="280">
        <f t="shared" si="1"/>
      </c>
      <c r="J173" s="280">
        <f t="shared" si="3"/>
      </c>
      <c r="K173" s="272">
        <v>1</v>
      </c>
      <c r="L173" s="278">
        <v>1692</v>
      </c>
      <c r="M173" s="278"/>
      <c r="N173" s="286"/>
      <c r="O173" s="278" t="s">
        <v>438</v>
      </c>
      <c r="P173" s="278">
        <v>5</v>
      </c>
    </row>
    <row customHeight="true" ht="16.071428571428573" r="174">
      <c r="A174" s="293" t="s">
        <v>491</v>
      </c>
      <c r="B174" s="288"/>
      <c r="C174" s="288"/>
      <c r="D174" s="289">
        <f>SUM(D167:D173)</f>
      </c>
      <c r="E174" s="289">
        <f>SUM(E167:E173)</f>
      </c>
      <c r="F174" s="290">
        <f>SUM(F167:F173)</f>
      </c>
      <c r="G174" s="290">
        <f>SUM(G167:G173)</f>
      </c>
      <c r="H174" s="291">
        <f t="shared" si="0"/>
      </c>
      <c r="I174" s="291">
        <f t="shared" si="1"/>
      </c>
      <c r="J174" s="291">
        <f t="shared" si="3"/>
      </c>
      <c r="K174" s="289">
        <f>SUM(K167:K173)</f>
      </c>
      <c r="L174" s="291">
        <f>SUM(L167:L173)</f>
      </c>
      <c r="M174" s="288"/>
      <c r="N174" s="289">
        <f>SUM(N167:N173)</f>
      </c>
      <c r="O174" s="288"/>
      <c r="P174" s="289">
        <f>SUM(P167:P173)</f>
      </c>
    </row>
    <row customHeight="true" ht="16.071428571428573" r="175">
      <c r="A175" s="292" t="s">
        <v>494</v>
      </c>
      <c r="B175" s="277" t="s">
        <v>435</v>
      </c>
      <c r="C175" s="272" t="s">
        <v>492</v>
      </c>
      <c r="D175" s="272">
        <v>3</v>
      </c>
      <c r="E175" s="272">
        <v>23</v>
      </c>
      <c r="F175" s="279">
        <v>29794.8</v>
      </c>
      <c r="G175" s="279">
        <v>18350.2</v>
      </c>
      <c r="H175" s="280">
        <f t="shared" si="0"/>
      </c>
      <c r="I175" s="280">
        <f t="shared" si="1"/>
      </c>
      <c r="J175" s="280">
        <f t="shared" si="3"/>
      </c>
      <c r="K175" s="272">
        <v>8</v>
      </c>
      <c r="L175" s="278">
        <v>14077.199999999999</v>
      </c>
      <c r="M175" s="278" t="s">
        <v>468</v>
      </c>
      <c r="N175" s="278">
        <v>7</v>
      </c>
      <c r="O175" s="278" t="s">
        <v>438</v>
      </c>
      <c r="P175" s="278">
        <v>7</v>
      </c>
    </row>
    <row customHeight="true" ht="16.071428571428573" r="176">
      <c r="A176" s="292" t="s">
        <v>494</v>
      </c>
      <c r="B176" s="277" t="s">
        <v>427</v>
      </c>
      <c r="C176" s="272" t="s">
        <v>461</v>
      </c>
      <c r="D176" s="272">
        <v>4</v>
      </c>
      <c r="E176" s="272">
        <v>14</v>
      </c>
      <c r="F176" s="279">
        <v>19826.399999999998</v>
      </c>
      <c r="G176" s="279">
        <v>16556.28</v>
      </c>
      <c r="H176" s="280">
        <f t="shared" si="0"/>
      </c>
      <c r="I176" s="280">
        <f t="shared" si="1"/>
      </c>
      <c r="J176" s="280">
        <f t="shared" si="3"/>
      </c>
      <c r="K176" s="272">
        <v>3</v>
      </c>
      <c r="L176" s="278">
        <v>2407.2</v>
      </c>
      <c r="M176" s="272" t="s">
        <v>440</v>
      </c>
      <c r="N176" s="272">
        <v>8</v>
      </c>
      <c r="O176" s="281"/>
      <c r="P176" s="282"/>
    </row>
    <row customHeight="true" ht="16.071428571428573" r="177">
      <c r="A177" s="292" t="s">
        <v>494</v>
      </c>
      <c r="B177" s="277" t="s">
        <v>487</v>
      </c>
      <c r="C177" s="278" t="s">
        <v>434</v>
      </c>
      <c r="D177" s="278">
        <v>4</v>
      </c>
      <c r="E177" s="272">
        <v>23</v>
      </c>
      <c r="F177" s="279">
        <v>28403.199999999997</v>
      </c>
      <c r="G177" s="279">
        <v>22940.559999999998</v>
      </c>
      <c r="H177" s="280">
        <f t="shared" si="0"/>
      </c>
      <c r="I177" s="280">
        <f t="shared" si="1"/>
      </c>
      <c r="J177" s="280">
        <f t="shared" si="3"/>
      </c>
      <c r="K177" s="272">
        <v>8</v>
      </c>
      <c r="L177" s="278">
        <v>11409.4</v>
      </c>
      <c r="M177" s="272" t="s">
        <v>495</v>
      </c>
      <c r="N177" s="272">
        <v>1</v>
      </c>
      <c r="O177" s="283" t="s">
        <v>430</v>
      </c>
      <c r="P177" s="278">
        <v>12</v>
      </c>
    </row>
    <row customHeight="true" ht="16.071428571428573" r="178">
      <c r="A178" s="292" t="s">
        <v>494</v>
      </c>
      <c r="B178" s="277" t="s">
        <v>431</v>
      </c>
      <c r="C178" s="278" t="s">
        <v>455</v>
      </c>
      <c r="D178" s="278">
        <v>4</v>
      </c>
      <c r="E178" s="272">
        <v>36</v>
      </c>
      <c r="F178" s="279">
        <v>42792</v>
      </c>
      <c r="G178" s="284">
        <v>25366.13</v>
      </c>
      <c r="H178" s="280">
        <f t="shared" si="0"/>
      </c>
      <c r="I178" s="280">
        <f t="shared" si="1"/>
      </c>
      <c r="J178" s="280">
        <f t="shared" si="3"/>
      </c>
      <c r="K178" s="272">
        <v>12</v>
      </c>
      <c r="L178" s="278">
        <v>9370.8</v>
      </c>
      <c r="M178" s="272" t="s">
        <v>493</v>
      </c>
      <c r="N178" s="283">
        <v>8</v>
      </c>
      <c r="O178" s="278"/>
      <c r="P178" s="278"/>
    </row>
    <row customHeight="true" ht="16.071428571428573" r="179">
      <c r="A179" s="292" t="s">
        <v>494</v>
      </c>
      <c r="B179" s="277" t="s">
        <v>447</v>
      </c>
      <c r="C179" s="278" t="s">
        <v>456</v>
      </c>
      <c r="D179" s="278">
        <v>4</v>
      </c>
      <c r="E179" s="272">
        <v>23</v>
      </c>
      <c r="F179" s="285">
        <v>29372.4</v>
      </c>
      <c r="G179" s="285">
        <v>23435.74</v>
      </c>
      <c r="H179" s="280">
        <f t="shared" si="0"/>
      </c>
      <c r="I179" s="280">
        <f t="shared" si="1"/>
      </c>
      <c r="J179" s="280">
        <f t="shared" si="3"/>
      </c>
      <c r="K179" s="272">
        <v>6</v>
      </c>
      <c r="L179" s="278">
        <v>3236.3999999999996</v>
      </c>
      <c r="M179" s="278"/>
      <c r="N179" s="278"/>
      <c r="O179" s="282"/>
      <c r="P179" s="278"/>
    </row>
    <row customHeight="true" ht="16.071428571428573" r="180">
      <c r="A180" s="292" t="s">
        <v>494</v>
      </c>
      <c r="B180" s="277" t="s">
        <v>435</v>
      </c>
      <c r="C180" s="278" t="s">
        <v>457</v>
      </c>
      <c r="D180" s="278">
        <v>4</v>
      </c>
      <c r="E180" s="272">
        <v>9</v>
      </c>
      <c r="F180" s="285">
        <v>9584.4</v>
      </c>
      <c r="G180" s="285">
        <v>9786.42</v>
      </c>
      <c r="H180" s="280">
        <f t="shared" si="0"/>
      </c>
      <c r="I180" s="280">
        <f t="shared" si="1"/>
      </c>
      <c r="J180" s="280">
        <f t="shared" si="3"/>
      </c>
      <c r="K180" s="272">
        <v>4</v>
      </c>
      <c r="L180" s="278">
        <v>2896.8</v>
      </c>
      <c r="M180" s="278"/>
      <c r="N180" s="286"/>
      <c r="O180" s="278"/>
      <c r="P180" s="278"/>
    </row>
    <row customHeight="true" ht="16.071428571428573" r="181">
      <c r="A181" s="292" t="s">
        <v>494</v>
      </c>
      <c r="B181" s="277" t="s">
        <v>433</v>
      </c>
      <c r="C181" s="278" t="s">
        <v>458</v>
      </c>
      <c r="D181" s="278">
        <v>1</v>
      </c>
      <c r="E181" s="272">
        <v>4</v>
      </c>
      <c r="F181" s="279">
        <v>5837.4</v>
      </c>
      <c r="G181" s="279">
        <v>4303.71</v>
      </c>
      <c r="H181" s="280">
        <f t="shared" si="0"/>
      </c>
      <c r="I181" s="280">
        <f t="shared" si="1"/>
      </c>
      <c r="J181" s="280">
        <f t="shared" si="3"/>
      </c>
      <c r="K181" s="272">
        <v>0</v>
      </c>
      <c r="L181" s="272">
        <v>0</v>
      </c>
      <c r="M181" s="278"/>
      <c r="N181" s="286"/>
      <c r="O181" s="278" t="s">
        <v>438</v>
      </c>
      <c r="P181" s="278">
        <v>5</v>
      </c>
    </row>
    <row customHeight="true" ht="16.071428571428573" r="182">
      <c r="A182" s="293" t="s">
        <v>494</v>
      </c>
      <c r="B182" s="288"/>
      <c r="C182" s="288"/>
      <c r="D182" s="289">
        <f>SUM(D175:D181)</f>
      </c>
      <c r="E182" s="289">
        <f>SUM(E175:E181)</f>
      </c>
      <c r="F182" s="290">
        <f>SUM(F175:F181)</f>
      </c>
      <c r="G182" s="290">
        <f>SUM(G175:G181)</f>
      </c>
      <c r="H182" s="291">
        <f t="shared" si="0"/>
      </c>
      <c r="I182" s="291">
        <f t="shared" si="1"/>
      </c>
      <c r="J182" s="291">
        <f t="shared" si="3"/>
      </c>
      <c r="K182" s="289">
        <f>SUM(K175:K181)</f>
      </c>
      <c r="L182" s="291">
        <f>SUM(L175:L181)</f>
      </c>
      <c r="M182" s="288"/>
      <c r="N182" s="289">
        <f>SUM(N175:N181)</f>
      </c>
      <c r="O182" s="288"/>
      <c r="P182" s="289">
        <f>SUM(P175:P181)</f>
      </c>
    </row>
    <row customHeight="true" ht="16.071428571428573" r="183">
      <c r="A183" s="292" t="s">
        <v>496</v>
      </c>
      <c r="B183" s="277" t="s">
        <v>433</v>
      </c>
      <c r="C183" s="272" t="s">
        <v>492</v>
      </c>
      <c r="D183" s="272">
        <v>3</v>
      </c>
      <c r="E183" s="272">
        <v>22</v>
      </c>
      <c r="F183" s="279">
        <v>24220.2</v>
      </c>
      <c r="G183" s="279">
        <v>14167.860000000002</v>
      </c>
      <c r="H183" s="280">
        <f t="shared" si="0"/>
      </c>
      <c r="I183" s="280">
        <f t="shared" si="1"/>
      </c>
      <c r="J183" s="280">
        <f t="shared" si="3"/>
      </c>
      <c r="K183" s="272">
        <v>5</v>
      </c>
      <c r="L183" s="272">
        <v>5943.6</v>
      </c>
      <c r="M183" s="272" t="s">
        <v>429</v>
      </c>
      <c r="N183" s="272">
        <v>7</v>
      </c>
      <c r="O183" s="278" t="s">
        <v>438</v>
      </c>
      <c r="P183" s="278">
        <v>7</v>
      </c>
    </row>
    <row customHeight="true" ht="16.071428571428573" r="184">
      <c r="A184" s="292" t="s">
        <v>496</v>
      </c>
      <c r="B184" s="277" t="s">
        <v>427</v>
      </c>
      <c r="C184" s="272" t="s">
        <v>461</v>
      </c>
      <c r="D184" s="272">
        <v>4</v>
      </c>
      <c r="E184" s="272">
        <v>20</v>
      </c>
      <c r="F184" s="279">
        <v>27129.999999999996</v>
      </c>
      <c r="G184" s="279">
        <v>21197.41</v>
      </c>
      <c r="H184" s="280">
        <f t="shared" si="0"/>
      </c>
      <c r="I184" s="280">
        <f t="shared" si="1"/>
      </c>
      <c r="J184" s="280">
        <f t="shared" si="3"/>
      </c>
      <c r="K184" s="272">
        <v>4</v>
      </c>
      <c r="L184" s="272">
        <v>7588.8</v>
      </c>
      <c r="M184" s="272" t="s">
        <v>440</v>
      </c>
      <c r="N184" s="272">
        <v>9</v>
      </c>
      <c r="O184" s="281"/>
      <c r="P184" s="282"/>
    </row>
    <row r="185">
      <c r="A185" s="292" t="s">
        <v>496</v>
      </c>
      <c r="B185" s="277" t="s">
        <v>487</v>
      </c>
      <c r="C185" s="278" t="s">
        <v>434</v>
      </c>
      <c r="D185" s="278">
        <v>4</v>
      </c>
      <c r="E185" s="272">
        <v>19</v>
      </c>
      <c r="F185" s="279">
        <v>29127.600000000006</v>
      </c>
      <c r="G185" s="279">
        <v>22530.58</v>
      </c>
      <c r="H185" s="280">
        <f t="shared" si="0"/>
      </c>
      <c r="I185" s="280">
        <f t="shared" si="1"/>
      </c>
      <c r="J185" s="280">
        <f t="shared" si="3"/>
      </c>
      <c r="K185" s="272">
        <v>7</v>
      </c>
      <c r="L185" s="272">
        <v>9164.4</v>
      </c>
      <c r="M185" s="272" t="s">
        <v>437</v>
      </c>
      <c r="N185" s="283">
        <v>8</v>
      </c>
      <c r="O185" s="283" t="s">
        <v>430</v>
      </c>
      <c r="P185" s="278">
        <v>12</v>
      </c>
    </row>
    <row r="186">
      <c r="A186" s="292" t="s">
        <v>496</v>
      </c>
      <c r="B186" s="277" t="s">
        <v>444</v>
      </c>
      <c r="C186" s="278" t="s">
        <v>455</v>
      </c>
      <c r="D186" s="278">
        <v>4</v>
      </c>
      <c r="E186" s="272">
        <v>23</v>
      </c>
      <c r="F186" s="279">
        <v>27835.2</v>
      </c>
      <c r="G186" s="284">
        <v>20687.17</v>
      </c>
      <c r="H186" s="280">
        <f t="shared" si="0"/>
      </c>
      <c r="I186" s="280">
        <f t="shared" si="1"/>
      </c>
      <c r="J186" s="280">
        <f t="shared" si="3"/>
      </c>
      <c r="K186" s="272">
        <v>3</v>
      </c>
      <c r="L186" s="272">
        <v>5443.2</v>
      </c>
      <c r="M186" s="272"/>
      <c r="N186" s="283"/>
      <c r="O186" s="278"/>
      <c r="P186" s="278"/>
    </row>
    <row r="187">
      <c r="A187" s="292" t="s">
        <v>496</v>
      </c>
      <c r="B187" s="277" t="s">
        <v>472</v>
      </c>
      <c r="C187" s="278" t="s">
        <v>456</v>
      </c>
      <c r="D187" s="294">
        <v>3.5</v>
      </c>
      <c r="E187" s="272">
        <v>14</v>
      </c>
      <c r="F187" s="285">
        <v>15007.199999999997</v>
      </c>
      <c r="G187" s="285">
        <v>17033.75</v>
      </c>
      <c r="H187" s="280">
        <f t="shared" si="0"/>
      </c>
      <c r="I187" s="280">
        <f t="shared" si="1"/>
      </c>
      <c r="J187" s="280">
        <f t="shared" si="3"/>
      </c>
      <c r="K187" s="272">
        <v>5</v>
      </c>
      <c r="L187" s="272">
        <v>4159.2</v>
      </c>
      <c r="M187" s="278"/>
      <c r="N187" s="278"/>
      <c r="O187" s="282"/>
      <c r="P187" s="278"/>
    </row>
    <row r="188">
      <c r="A188" s="292" t="s">
        <v>496</v>
      </c>
      <c r="B188" s="277" t="s">
        <v>435</v>
      </c>
      <c r="C188" s="278" t="s">
        <v>457</v>
      </c>
      <c r="D188" s="278">
        <v>4</v>
      </c>
      <c r="E188" s="272">
        <v>21</v>
      </c>
      <c r="F188" s="285">
        <v>37507.2</v>
      </c>
      <c r="G188" s="285">
        <v>19441.71</v>
      </c>
      <c r="H188" s="280">
        <f t="shared" si="0"/>
      </c>
      <c r="I188" s="280">
        <f t="shared" si="1"/>
      </c>
      <c r="J188" s="280">
        <f t="shared" si="3"/>
      </c>
      <c r="K188" s="272">
        <v>5</v>
      </c>
      <c r="L188" s="272">
        <v>9420</v>
      </c>
      <c r="M188" s="278"/>
      <c r="N188" s="286"/>
      <c r="O188" s="278"/>
      <c r="P188" s="278"/>
    </row>
    <row r="189">
      <c r="A189" s="292" t="s">
        <v>496</v>
      </c>
      <c r="B189" s="277" t="s">
        <v>433</v>
      </c>
      <c r="C189" s="278" t="s">
        <v>458</v>
      </c>
      <c r="D189" s="278">
        <v>1</v>
      </c>
      <c r="E189" s="272">
        <v>8</v>
      </c>
      <c r="F189" s="285">
        <v>10173.6</v>
      </c>
      <c r="G189" s="285">
        <v>7594.91</v>
      </c>
      <c r="H189" s="280">
        <f t="shared" si="0"/>
      </c>
      <c r="I189" s="280">
        <f t="shared" si="1"/>
      </c>
      <c r="J189" s="280">
        <f t="shared" si="3"/>
      </c>
      <c r="K189" s="272">
        <v>0</v>
      </c>
      <c r="L189" s="272">
        <v>0</v>
      </c>
      <c r="M189" s="278"/>
      <c r="N189" s="286"/>
      <c r="O189" s="278" t="s">
        <v>438</v>
      </c>
      <c r="P189" s="278">
        <v>5</v>
      </c>
    </row>
    <row r="190">
      <c r="A190" s="293" t="s">
        <v>496</v>
      </c>
      <c r="B190" s="288"/>
      <c r="C190" s="288"/>
      <c r="D190" s="289">
        <f>SUM(D183:D189)</f>
      </c>
      <c r="E190" s="289">
        <f>SUM(E183:E189)</f>
      </c>
      <c r="F190" s="290">
        <f>SUM(F183:F189)</f>
      </c>
      <c r="G190" s="290">
        <f>SUM(G183:G189)</f>
      </c>
      <c r="H190" s="291">
        <f t="shared" si="0"/>
      </c>
      <c r="I190" s="291">
        <f t="shared" si="1"/>
      </c>
      <c r="J190" s="291">
        <f t="shared" si="3"/>
      </c>
      <c r="K190" s="289">
        <f>SUM(K183:K189)</f>
      </c>
      <c r="L190" s="291">
        <f>SUM(L183:L189)</f>
      </c>
      <c r="M190" s="288"/>
      <c r="N190" s="289">
        <f>SUM(N183:N189)</f>
      </c>
      <c r="O190" s="288"/>
      <c r="P190" s="289">
        <f>SUM(P183:P189)</f>
      </c>
    </row>
    <row r="191">
      <c r="A191" s="292" t="s">
        <v>497</v>
      </c>
      <c r="B191" s="277" t="s">
        <v>433</v>
      </c>
      <c r="C191" s="272" t="s">
        <v>492</v>
      </c>
      <c r="D191" s="272">
        <v>3</v>
      </c>
      <c r="E191" s="272">
        <v>12</v>
      </c>
      <c r="F191" s="285">
        <v>11419.8</v>
      </c>
      <c r="G191" s="285">
        <v>12589.15</v>
      </c>
      <c r="H191" s="280">
        <f t="shared" si="0"/>
      </c>
      <c r="I191" s="280">
        <f t="shared" si="1"/>
      </c>
      <c r="J191" s="280">
        <f t="shared" si="3"/>
      </c>
      <c r="K191" s="278">
        <v>5</v>
      </c>
      <c r="L191" s="278">
        <v>3900.600000000006</v>
      </c>
      <c r="M191" s="272" t="s">
        <v>429</v>
      </c>
      <c r="N191" s="272">
        <v>7</v>
      </c>
      <c r="O191" s="278" t="s">
        <v>438</v>
      </c>
      <c r="P191" s="278">
        <v>7</v>
      </c>
    </row>
    <row r="192">
      <c r="A192" s="292" t="s">
        <v>497</v>
      </c>
      <c r="B192" s="277" t="s">
        <v>431</v>
      </c>
      <c r="C192" s="272" t="s">
        <v>461</v>
      </c>
      <c r="D192" s="272">
        <v>4</v>
      </c>
      <c r="E192" s="272">
        <v>20</v>
      </c>
      <c r="F192" s="279">
        <v>26186.4</v>
      </c>
      <c r="G192" s="279">
        <v>14731.79</v>
      </c>
      <c r="H192" s="280">
        <f t="shared" si="0"/>
      </c>
      <c r="I192" s="280">
        <f t="shared" si="1"/>
      </c>
      <c r="J192" s="280">
        <f t="shared" si="3"/>
      </c>
      <c r="K192" s="278">
        <v>8</v>
      </c>
      <c r="L192" s="278">
        <v>15565.199999999997</v>
      </c>
      <c r="M192" s="272" t="s">
        <v>498</v>
      </c>
      <c r="N192" s="272">
        <v>9</v>
      </c>
      <c r="O192" s="281"/>
      <c r="P192" s="282"/>
    </row>
    <row r="193">
      <c r="A193" s="292" t="s">
        <v>497</v>
      </c>
      <c r="B193" s="277" t="s">
        <v>487</v>
      </c>
      <c r="C193" s="272" t="s">
        <v>445</v>
      </c>
      <c r="D193" s="272">
        <v>5</v>
      </c>
      <c r="E193" s="272">
        <v>42</v>
      </c>
      <c r="F193" s="279">
        <v>35434.69999999999</v>
      </c>
      <c r="G193" s="279">
        <v>35408.340000000004</v>
      </c>
      <c r="H193" s="280">
        <f t="shared" si="0"/>
      </c>
      <c r="I193" s="280">
        <f t="shared" si="1"/>
      </c>
      <c r="J193" s="280">
        <f t="shared" si="3"/>
      </c>
      <c r="K193" s="278">
        <v>11</v>
      </c>
      <c r="L193" s="278">
        <v>10759.4</v>
      </c>
      <c r="M193" s="272" t="s">
        <v>437</v>
      </c>
      <c r="N193" s="283">
        <v>8</v>
      </c>
      <c r="O193" s="283" t="s">
        <v>430</v>
      </c>
      <c r="P193" s="278">
        <v>12</v>
      </c>
    </row>
    <row r="194">
      <c r="A194" s="292" t="s">
        <v>497</v>
      </c>
      <c r="B194" s="277" t="s">
        <v>447</v>
      </c>
      <c r="C194" s="272" t="s">
        <v>448</v>
      </c>
      <c r="D194" s="278">
        <v>4</v>
      </c>
      <c r="E194" s="272">
        <v>14</v>
      </c>
      <c r="F194" s="279">
        <v>19178.40000000001</v>
      </c>
      <c r="G194" s="284">
        <v>15577.92</v>
      </c>
      <c r="H194" s="280">
        <f t="shared" si="0"/>
      </c>
      <c r="I194" s="280">
        <f t="shared" si="1"/>
      </c>
      <c r="J194" s="280">
        <f t="shared" si="3"/>
      </c>
      <c r="K194" s="278">
        <v>5</v>
      </c>
      <c r="L194" s="278">
        <v>9436.800000000001</v>
      </c>
      <c r="M194" s="272"/>
      <c r="N194" s="283"/>
      <c r="O194" s="278"/>
      <c r="P194" s="278"/>
    </row>
    <row r="195">
      <c r="A195" s="292" t="s">
        <v>497</v>
      </c>
      <c r="B195" s="277" t="s">
        <v>435</v>
      </c>
      <c r="C195" s="272" t="s">
        <v>439</v>
      </c>
      <c r="D195" s="272">
        <v>5</v>
      </c>
      <c r="E195" s="272">
        <v>26</v>
      </c>
      <c r="F195" s="285">
        <v>38420.399999999994</v>
      </c>
      <c r="G195" s="285">
        <v>22761.91</v>
      </c>
      <c r="H195" s="280">
        <f t="shared" si="0"/>
      </c>
      <c r="I195" s="280">
        <f t="shared" si="1"/>
      </c>
      <c r="J195" s="280">
        <f t="shared" si="3"/>
      </c>
      <c r="K195" s="278">
        <v>6</v>
      </c>
      <c r="L195" s="278">
        <v>6676.799999999998</v>
      </c>
      <c r="M195" s="278"/>
      <c r="N195" s="278"/>
      <c r="O195" s="282"/>
      <c r="P195" s="278"/>
    </row>
    <row r="196">
      <c r="A196" s="292" t="s">
        <v>497</v>
      </c>
      <c r="B196" s="277" t="s">
        <v>433</v>
      </c>
      <c r="C196" s="272" t="s">
        <v>441</v>
      </c>
      <c r="D196" s="272">
        <v>3</v>
      </c>
      <c r="E196" s="272">
        <v>40</v>
      </c>
      <c r="F196" s="285">
        <v>43843.800000000025</v>
      </c>
      <c r="G196" s="285">
        <v>26060.05</v>
      </c>
      <c r="H196" s="280">
        <f t="shared" si="0"/>
      </c>
      <c r="I196" s="280">
        <f t="shared" si="1"/>
      </c>
      <c r="J196" s="280">
        <f t="shared" si="3"/>
      </c>
      <c r="K196" s="278">
        <v>10</v>
      </c>
      <c r="L196" s="278">
        <v>10893.599999999999</v>
      </c>
      <c r="M196" s="278"/>
      <c r="N196" s="286"/>
      <c r="O196" s="278"/>
      <c r="P196" s="278"/>
    </row>
    <row r="197">
      <c r="A197" s="293" t="s">
        <v>497</v>
      </c>
      <c r="B197" s="288"/>
      <c r="C197" s="288"/>
      <c r="D197" s="289">
        <f>SUM(D191:D196)</f>
      </c>
      <c r="E197" s="289">
        <f>SUM(E191:E196)</f>
      </c>
      <c r="F197" s="290">
        <f>SUM(F191:F196)</f>
      </c>
      <c r="G197" s="290">
        <f>SUM(G191:G196)</f>
      </c>
      <c r="H197" s="291">
        <f t="shared" si="0"/>
      </c>
      <c r="I197" s="291">
        <f t="shared" si="1"/>
      </c>
      <c r="J197" s="291">
        <f t="shared" si="3"/>
      </c>
      <c r="K197" s="289">
        <f>SUM(K191:K196)</f>
      </c>
      <c r="L197" s="291">
        <f>SUM(L191:L196)</f>
      </c>
      <c r="M197" s="288"/>
      <c r="N197" s="289">
        <f>SUM(N191:N196)</f>
      </c>
      <c r="O197" s="288"/>
      <c r="P197" s="289">
        <f>SUM(P191:P196)</f>
      </c>
    </row>
    <row r="198">
      <c r="A198" s="292" t="s">
        <v>499</v>
      </c>
      <c r="B198" s="277" t="s">
        <v>433</v>
      </c>
      <c r="C198" s="272" t="s">
        <v>492</v>
      </c>
      <c r="D198" s="272">
        <v>3</v>
      </c>
      <c r="E198" s="272">
        <v>5</v>
      </c>
      <c r="F198" s="285">
        <v>7951.2</v>
      </c>
      <c r="G198" s="285">
        <v>7321.719999999999</v>
      </c>
      <c r="H198" s="280">
        <f t="shared" si="0"/>
      </c>
      <c r="I198" s="280">
        <f t="shared" si="1"/>
      </c>
      <c r="J198" s="280">
        <f t="shared" si="3"/>
      </c>
      <c r="K198" s="272">
        <v>2</v>
      </c>
      <c r="L198" s="272">
        <v>3060</v>
      </c>
      <c r="M198" s="272" t="s">
        <v>429</v>
      </c>
      <c r="N198" s="272">
        <v>7</v>
      </c>
      <c r="O198" s="278" t="s">
        <v>438</v>
      </c>
      <c r="P198" s="278">
        <v>7</v>
      </c>
    </row>
    <row r="199">
      <c r="A199" s="292" t="s">
        <v>499</v>
      </c>
      <c r="B199" s="277" t="s">
        <v>431</v>
      </c>
      <c r="C199" s="272" t="s">
        <v>461</v>
      </c>
      <c r="D199" s="272">
        <v>4</v>
      </c>
      <c r="E199" s="272">
        <v>21</v>
      </c>
      <c r="F199" s="279">
        <v>32305.200000000004</v>
      </c>
      <c r="G199" s="279">
        <v>20015.489999999998</v>
      </c>
      <c r="H199" s="280">
        <f t="shared" si="0"/>
      </c>
      <c r="I199" s="280">
        <f t="shared" si="1"/>
      </c>
      <c r="J199" s="280">
        <f t="shared" si="3"/>
      </c>
      <c r="K199" s="272">
        <v>7</v>
      </c>
      <c r="L199" s="272">
        <v>11823.6</v>
      </c>
      <c r="M199" s="272" t="s">
        <v>498</v>
      </c>
      <c r="N199" s="272">
        <v>9</v>
      </c>
      <c r="O199" s="281"/>
      <c r="P199" s="282"/>
    </row>
    <row r="200">
      <c r="A200" s="292" t="s">
        <v>499</v>
      </c>
      <c r="B200" s="277" t="s">
        <v>487</v>
      </c>
      <c r="C200" s="272" t="s">
        <v>445</v>
      </c>
      <c r="D200" s="272">
        <v>5</v>
      </c>
      <c r="E200" s="272">
        <v>33</v>
      </c>
      <c r="F200" s="279">
        <v>47352.4</v>
      </c>
      <c r="G200" s="279">
        <v>31241.690000000002</v>
      </c>
      <c r="H200" s="280">
        <f t="shared" si="0"/>
      </c>
      <c r="I200" s="280">
        <f t="shared" si="1"/>
      </c>
      <c r="J200" s="280">
        <f t="shared" si="3"/>
      </c>
      <c r="K200" s="272">
        <v>4</v>
      </c>
      <c r="L200" s="272">
        <v>8044.8</v>
      </c>
      <c r="M200" s="272" t="s">
        <v>437</v>
      </c>
      <c r="N200" s="283">
        <v>8</v>
      </c>
      <c r="O200" s="283" t="s">
        <v>430</v>
      </c>
      <c r="P200" s="278">
        <v>12</v>
      </c>
    </row>
    <row customHeight="true" ht="16.071428571428573" r="201">
      <c r="A201" s="292" t="s">
        <v>499</v>
      </c>
      <c r="B201" s="277" t="s">
        <v>447</v>
      </c>
      <c r="C201" s="272" t="s">
        <v>448</v>
      </c>
      <c r="D201" s="278">
        <v>4</v>
      </c>
      <c r="E201" s="272">
        <v>11</v>
      </c>
      <c r="F201" s="285">
        <v>18482.399999999994</v>
      </c>
      <c r="G201" s="284">
        <v>19861.39</v>
      </c>
      <c r="H201" s="280">
        <f t="shared" si="0"/>
      </c>
      <c r="I201" s="280">
        <f t="shared" si="1"/>
      </c>
      <c r="J201" s="280">
        <f t="shared" si="3"/>
      </c>
      <c r="K201" s="272">
        <v>4</v>
      </c>
      <c r="L201" s="272">
        <v>5767.2</v>
      </c>
      <c r="M201" s="272"/>
      <c r="N201" s="283"/>
      <c r="O201" s="278"/>
      <c r="P201" s="278"/>
    </row>
    <row customHeight="true" ht="16.071428571428573" r="202">
      <c r="A202" s="292" t="s">
        <v>499</v>
      </c>
      <c r="B202" s="277" t="s">
        <v>435</v>
      </c>
      <c r="C202" s="272" t="s">
        <v>439</v>
      </c>
      <c r="D202" s="272">
        <v>5</v>
      </c>
      <c r="E202" s="272">
        <v>28</v>
      </c>
      <c r="F202" s="285">
        <v>31030.800000000003</v>
      </c>
      <c r="G202" s="285">
        <v>19012.739999999998</v>
      </c>
      <c r="H202" s="280">
        <f t="shared" si="0"/>
      </c>
      <c r="I202" s="280">
        <f t="shared" si="1"/>
      </c>
      <c r="J202" s="280">
        <f t="shared" si="3"/>
      </c>
      <c r="K202" s="272">
        <v>9</v>
      </c>
      <c r="L202" s="272">
        <v>10479</v>
      </c>
      <c r="M202" s="278"/>
      <c r="N202" s="278"/>
      <c r="O202" s="282"/>
      <c r="P202" s="278"/>
    </row>
    <row customHeight="true" ht="16.071428571428573" r="203">
      <c r="A203" s="292" t="s">
        <v>499</v>
      </c>
      <c r="B203" s="277" t="s">
        <v>433</v>
      </c>
      <c r="C203" s="272" t="s">
        <v>441</v>
      </c>
      <c r="D203" s="272">
        <v>3</v>
      </c>
      <c r="E203" s="272">
        <v>24</v>
      </c>
      <c r="F203" s="285">
        <v>24008.4</v>
      </c>
      <c r="G203" s="285">
        <v>23357.26</v>
      </c>
      <c r="H203" s="280">
        <f t="shared" si="0"/>
      </c>
      <c r="I203" s="280">
        <f t="shared" si="1"/>
      </c>
      <c r="J203" s="280">
        <f t="shared" si="3"/>
      </c>
      <c r="K203" s="272">
        <v>6</v>
      </c>
      <c r="L203" s="272">
        <v>5824.8</v>
      </c>
      <c r="M203" s="278"/>
      <c r="N203" s="286"/>
      <c r="O203" s="278"/>
      <c r="P203" s="278"/>
    </row>
    <row r="204">
      <c r="A204" s="293" t="s">
        <v>499</v>
      </c>
      <c r="B204" s="288"/>
      <c r="C204" s="288"/>
      <c r="D204" s="289">
        <f>SUM(D198:D203)</f>
      </c>
      <c r="E204" s="289">
        <f>SUM(E198:E203)</f>
      </c>
      <c r="F204" s="290">
        <f>SUM(F198:F203)</f>
      </c>
      <c r="G204" s="290">
        <f>SUM(G198:G203)</f>
      </c>
      <c r="H204" s="291">
        <f t="shared" si="0"/>
      </c>
      <c r="I204" s="291">
        <f t="shared" si="1"/>
      </c>
      <c r="J204" s="291">
        <f t="shared" si="3"/>
      </c>
      <c r="K204" s="289">
        <f>SUM(K198:K203)</f>
      </c>
      <c r="L204" s="291">
        <f>SUM(L198:L203)</f>
      </c>
      <c r="M204" s="288"/>
      <c r="N204" s="289">
        <f>SUM(N198:N203)</f>
      </c>
      <c r="O204" s="288"/>
      <c r="P204" s="289">
        <f>SUM(P198:P203)</f>
      </c>
    </row>
    <row customHeight="true" ht="16.071428571428573" r="205">
      <c r="A205" s="292" t="s">
        <v>500</v>
      </c>
      <c r="B205" s="277" t="s">
        <v>433</v>
      </c>
      <c r="C205" s="272" t="s">
        <v>492</v>
      </c>
      <c r="D205" s="272">
        <v>3</v>
      </c>
      <c r="E205" s="272">
        <v>4</v>
      </c>
      <c r="F205" s="272">
        <v>5073.6</v>
      </c>
      <c r="G205" s="285">
        <v>8690.34</v>
      </c>
      <c r="H205" s="280">
        <f t="shared" si="0"/>
      </c>
      <c r="I205" s="280">
        <f t="shared" si="1"/>
      </c>
      <c r="J205" s="280">
        <f t="shared" si="3"/>
      </c>
      <c r="K205" s="272">
        <v>2</v>
      </c>
      <c r="L205" s="272">
        <v>1370.4</v>
      </c>
      <c r="M205" s="272" t="s">
        <v>429</v>
      </c>
      <c r="N205" s="272">
        <v>7</v>
      </c>
      <c r="O205" s="278" t="s">
        <v>438</v>
      </c>
      <c r="P205" s="278">
        <v>7</v>
      </c>
    </row>
    <row r="206">
      <c r="A206" s="292" t="s">
        <v>500</v>
      </c>
      <c r="B206" s="277" t="s">
        <v>431</v>
      </c>
      <c r="C206" s="272" t="s">
        <v>461</v>
      </c>
      <c r="D206" s="294">
        <v>3.5</v>
      </c>
      <c r="E206" s="272">
        <v>6</v>
      </c>
      <c r="F206" s="279">
        <v>10299.6</v>
      </c>
      <c r="G206" s="279">
        <v>12613.98</v>
      </c>
      <c r="H206" s="280">
        <f t="shared" si="0"/>
      </c>
      <c r="I206" s="280">
        <f t="shared" si="1"/>
      </c>
      <c r="J206" s="280">
        <f t="shared" si="3"/>
      </c>
      <c r="K206" s="278">
        <v>1</v>
      </c>
      <c r="L206" s="278">
        <v>2011.2</v>
      </c>
      <c r="M206" s="272" t="s">
        <v>498</v>
      </c>
      <c r="N206" s="272">
        <v>9</v>
      </c>
      <c r="O206" s="281"/>
      <c r="P206" s="282"/>
    </row>
    <row customHeight="true" ht="16.071428571428573" r="207">
      <c r="A207" s="292" t="s">
        <v>500</v>
      </c>
      <c r="B207" s="277" t="s">
        <v>487</v>
      </c>
      <c r="C207" s="272" t="s">
        <v>445</v>
      </c>
      <c r="D207" s="272">
        <v>5</v>
      </c>
      <c r="E207" s="272">
        <v>59</v>
      </c>
      <c r="F207" s="279">
        <v>66042</v>
      </c>
      <c r="G207" s="279">
        <v>38248.05</v>
      </c>
      <c r="H207" s="280">
        <f t="shared" si="0"/>
      </c>
      <c r="I207" s="280">
        <f t="shared" si="1"/>
      </c>
      <c r="J207" s="280">
        <f t="shared" si="3"/>
      </c>
      <c r="K207" s="272">
        <v>14</v>
      </c>
      <c r="L207" s="272">
        <v>19020</v>
      </c>
      <c r="M207" s="272" t="s">
        <v>437</v>
      </c>
      <c r="N207" s="283">
        <v>8</v>
      </c>
      <c r="O207" s="283" t="s">
        <v>430</v>
      </c>
      <c r="P207" s="278">
        <v>12</v>
      </c>
    </row>
    <row customHeight="true" ht="16.071428571428573" r="208">
      <c r="A208" s="292" t="s">
        <v>500</v>
      </c>
      <c r="B208" s="277" t="s">
        <v>435</v>
      </c>
      <c r="C208" s="272" t="s">
        <v>448</v>
      </c>
      <c r="D208" s="278">
        <v>4</v>
      </c>
      <c r="E208" s="272">
        <v>39</v>
      </c>
      <c r="F208" s="285">
        <v>46688.499999999985</v>
      </c>
      <c r="G208" s="295">
        <v>38175.44</v>
      </c>
      <c r="H208" s="280">
        <f t="shared" si="0"/>
      </c>
      <c r="I208" s="280">
        <f t="shared" si="1"/>
      </c>
      <c r="J208" s="280">
        <f t="shared" si="3"/>
      </c>
      <c r="K208" s="272">
        <v>12</v>
      </c>
      <c r="L208" s="272">
        <v>13125.6</v>
      </c>
      <c r="M208" s="272"/>
      <c r="N208" s="283"/>
      <c r="O208" s="278"/>
      <c r="P208" s="278"/>
    </row>
    <row customHeight="true" ht="16.071428571428573" r="209">
      <c r="A209" s="292" t="s">
        <v>500</v>
      </c>
      <c r="B209" s="277" t="s">
        <v>427</v>
      </c>
      <c r="C209" s="272" t="s">
        <v>439</v>
      </c>
      <c r="D209" s="272">
        <v>5</v>
      </c>
      <c r="E209" s="272">
        <v>37</v>
      </c>
      <c r="F209" s="285">
        <v>55562.2</v>
      </c>
      <c r="G209" s="285">
        <v>28043.21</v>
      </c>
      <c r="H209" s="280">
        <f t="shared" si="0"/>
      </c>
      <c r="I209" s="280">
        <f t="shared" si="1"/>
      </c>
      <c r="J209" s="280">
        <f t="shared" si="3"/>
      </c>
      <c r="K209" s="272">
        <v>8</v>
      </c>
      <c r="L209" s="272">
        <v>13569.6</v>
      </c>
      <c r="M209" s="278"/>
      <c r="N209" s="278"/>
      <c r="O209" s="282"/>
      <c r="P209" s="278"/>
    </row>
    <row customHeight="true" ht="16.071428571428573" r="210">
      <c r="A210" s="292" t="s">
        <v>500</v>
      </c>
      <c r="B210" s="277" t="s">
        <v>444</v>
      </c>
      <c r="C210" s="272" t="s">
        <v>441</v>
      </c>
      <c r="D210" s="272">
        <v>3</v>
      </c>
      <c r="E210" s="272">
        <v>13</v>
      </c>
      <c r="F210" s="285">
        <v>16489.2</v>
      </c>
      <c r="G210" s="285">
        <v>15725.75</v>
      </c>
      <c r="H210" s="280">
        <f t="shared" si="0"/>
      </c>
      <c r="I210" s="280">
        <f t="shared" si="1"/>
      </c>
      <c r="J210" s="280">
        <f t="shared" si="3"/>
      </c>
      <c r="K210" s="272">
        <v>4</v>
      </c>
      <c r="L210" s="272">
        <v>1832.4</v>
      </c>
      <c r="M210" s="278"/>
      <c r="N210" s="286"/>
      <c r="O210" s="278"/>
      <c r="P210" s="278"/>
    </row>
    <row customHeight="true" ht="16.071428571428573" r="211">
      <c r="A211" s="293" t="s">
        <v>500</v>
      </c>
      <c r="B211" s="288"/>
      <c r="C211" s="288"/>
      <c r="D211" s="289">
        <f>SUM(D205:D210)</f>
      </c>
      <c r="E211" s="289">
        <f>SUM(E205:E210)</f>
      </c>
      <c r="F211" s="290">
        <f>SUM(F205:F210)</f>
      </c>
      <c r="G211" s="290">
        <f>SUM(G205:G210)</f>
      </c>
      <c r="H211" s="291">
        <f t="shared" si="0"/>
      </c>
      <c r="I211" s="291">
        <f t="shared" si="1"/>
      </c>
      <c r="J211" s="291">
        <f t="shared" si="3"/>
      </c>
      <c r="K211" s="289">
        <f>SUM(K205:K210)</f>
      </c>
      <c r="L211" s="291">
        <f>SUM(L205:L210)</f>
      </c>
      <c r="M211" s="288"/>
      <c r="N211" s="289">
        <f>SUM(N205:N210)</f>
      </c>
      <c r="O211" s="288"/>
      <c r="P211" s="289">
        <f>SUM(P205:P210)</f>
      </c>
    </row>
    <row customHeight="true" ht="16.071428571428573" r="212">
      <c r="A212" s="292" t="s">
        <v>501</v>
      </c>
      <c r="B212" s="277" t="s">
        <v>444</v>
      </c>
      <c r="C212" s="272" t="s">
        <v>428</v>
      </c>
      <c r="D212" s="272">
        <v>2</v>
      </c>
      <c r="E212" s="272">
        <v>11</v>
      </c>
      <c r="F212" s="272">
        <v>10683.6</v>
      </c>
      <c r="G212" s="285">
        <v>8142.22</v>
      </c>
      <c r="H212" s="280">
        <f t="shared" si="0"/>
      </c>
      <c r="I212" s="280">
        <f t="shared" si="1"/>
      </c>
      <c r="J212" s="280">
        <f t="shared" si="3"/>
      </c>
      <c r="K212" s="272">
        <v>6</v>
      </c>
      <c r="L212" s="272">
        <v>6712.8</v>
      </c>
      <c r="M212" s="272" t="s">
        <v>429</v>
      </c>
      <c r="N212" s="272">
        <v>7</v>
      </c>
      <c r="O212" s="278" t="s">
        <v>438</v>
      </c>
      <c r="P212" s="278">
        <v>7</v>
      </c>
    </row>
    <row customHeight="true" ht="16.071428571428573" r="213">
      <c r="A213" s="292" t="s">
        <v>501</v>
      </c>
      <c r="B213" s="277" t="s">
        <v>447</v>
      </c>
      <c r="C213" s="272" t="s">
        <v>432</v>
      </c>
      <c r="D213" s="272">
        <v>5</v>
      </c>
      <c r="E213" s="272">
        <v>13</v>
      </c>
      <c r="F213" s="279">
        <v>11863.2</v>
      </c>
      <c r="G213" s="279">
        <v>12596.4</v>
      </c>
      <c r="H213" s="280">
        <f t="shared" si="0"/>
      </c>
      <c r="I213" s="280">
        <f t="shared" si="1"/>
      </c>
      <c r="J213" s="280">
        <f t="shared" si="3"/>
      </c>
      <c r="K213" s="272">
        <v>3</v>
      </c>
      <c r="L213" s="272">
        <v>973.2</v>
      </c>
      <c r="M213" s="272" t="s">
        <v>502</v>
      </c>
      <c r="N213" s="272">
        <v>9</v>
      </c>
      <c r="O213" s="281"/>
      <c r="P213" s="282"/>
    </row>
    <row customHeight="true" ht="16.071428571428573" r="214">
      <c r="A214" s="292" t="s">
        <v>501</v>
      </c>
      <c r="B214" s="277" t="s">
        <v>487</v>
      </c>
      <c r="C214" s="272" t="s">
        <v>445</v>
      </c>
      <c r="D214" s="272">
        <v>5</v>
      </c>
      <c r="E214" s="272">
        <v>22</v>
      </c>
      <c r="F214" s="279">
        <v>30066</v>
      </c>
      <c r="G214" s="279">
        <v>21498.93</v>
      </c>
      <c r="H214" s="280">
        <f t="shared" si="0"/>
      </c>
      <c r="I214" s="280">
        <f t="shared" si="1"/>
      </c>
      <c r="J214" s="280">
        <f t="shared" si="3"/>
      </c>
      <c r="K214" s="272">
        <v>7</v>
      </c>
      <c r="L214" s="272">
        <v>10858.8</v>
      </c>
      <c r="M214" s="272" t="s">
        <v>437</v>
      </c>
      <c r="N214" s="283">
        <v>8</v>
      </c>
      <c r="O214" s="283" t="s">
        <v>430</v>
      </c>
      <c r="P214" s="278">
        <v>12</v>
      </c>
    </row>
    <row customHeight="true" ht="16.071428571428573" r="215">
      <c r="A215" s="292" t="s">
        <v>501</v>
      </c>
      <c r="B215" s="277" t="s">
        <v>435</v>
      </c>
      <c r="C215" s="272" t="s">
        <v>451</v>
      </c>
      <c r="D215" s="294">
        <v>4</v>
      </c>
      <c r="E215" s="272">
        <v>15</v>
      </c>
      <c r="F215" s="285">
        <v>18384.600000000002</v>
      </c>
      <c r="G215" s="295">
        <v>17577.58</v>
      </c>
      <c r="H215" s="280">
        <f t="shared" si="0"/>
      </c>
      <c r="I215" s="280">
        <f t="shared" si="1"/>
      </c>
      <c r="J215" s="280">
        <f t="shared" si="3"/>
      </c>
      <c r="K215" s="272">
        <v>3</v>
      </c>
      <c r="L215" s="272">
        <v>4449.6</v>
      </c>
      <c r="M215" s="272"/>
      <c r="N215" s="283"/>
      <c r="O215" s="278"/>
      <c r="P215" s="278"/>
    </row>
    <row customHeight="true" ht="16.071428571428573" r="216">
      <c r="A216" s="292" t="s">
        <v>501</v>
      </c>
      <c r="B216" s="277" t="s">
        <v>427</v>
      </c>
      <c r="C216" s="272" t="s">
        <v>503</v>
      </c>
      <c r="D216" s="272">
        <v>4</v>
      </c>
      <c r="E216" s="272">
        <v>17</v>
      </c>
      <c r="F216" s="285">
        <v>19803.59999999999</v>
      </c>
      <c r="G216" s="285">
        <v>16825.44</v>
      </c>
      <c r="H216" s="280">
        <f t="shared" si="0"/>
      </c>
      <c r="I216" s="280">
        <f t="shared" si="1"/>
      </c>
      <c r="J216" s="280">
        <f t="shared" si="3"/>
      </c>
      <c r="K216" s="272">
        <v>4</v>
      </c>
      <c r="L216" s="272">
        <v>3266.4</v>
      </c>
      <c r="M216" s="278"/>
      <c r="N216" s="278"/>
      <c r="O216" s="282"/>
      <c r="P216" s="278"/>
    </row>
    <row customHeight="true" ht="15.875135488181513" r="217">
      <c r="A217" s="292" t="s">
        <v>501</v>
      </c>
      <c r="B217" s="277" t="s">
        <v>444</v>
      </c>
      <c r="C217" s="272" t="s">
        <v>441</v>
      </c>
      <c r="D217" s="272">
        <v>3</v>
      </c>
      <c r="E217" s="272">
        <v>20</v>
      </c>
      <c r="F217" s="285">
        <v>24075.4</v>
      </c>
      <c r="G217" s="285">
        <v>23445.97</v>
      </c>
      <c r="H217" s="280">
        <f t="shared" si="0"/>
      </c>
      <c r="I217" s="280">
        <f t="shared" si="1"/>
      </c>
      <c r="J217" s="280">
        <f t="shared" si="3"/>
      </c>
      <c r="K217" s="272">
        <v>5</v>
      </c>
      <c r="L217" s="272">
        <v>3804</v>
      </c>
      <c r="M217" s="278"/>
      <c r="N217" s="286"/>
      <c r="O217" s="278"/>
      <c r="P217" s="278"/>
    </row>
    <row r="218">
      <c r="A218" s="293" t="s">
        <v>501</v>
      </c>
      <c r="B218" s="288"/>
      <c r="C218" s="288"/>
      <c r="D218" s="289">
        <f>SUM(D212:D217)</f>
      </c>
      <c r="E218" s="289">
        <f>SUM(E212:E217)</f>
      </c>
      <c r="F218" s="290">
        <f>SUM(F212:F217)</f>
      </c>
      <c r="G218" s="290">
        <f>SUM(G212:G217)</f>
      </c>
      <c r="H218" s="291">
        <f t="shared" si="0"/>
      </c>
      <c r="I218" s="291">
        <f t="shared" si="1"/>
      </c>
      <c r="J218" s="291">
        <f t="shared" si="3"/>
      </c>
      <c r="K218" s="289">
        <f>SUM(K212:K217)</f>
      </c>
      <c r="L218" s="291">
        <f>SUM(L212:L217)</f>
      </c>
      <c r="M218" s="288"/>
      <c r="N218" s="289">
        <f>SUM(N212:N217)</f>
      </c>
      <c r="O218" s="288"/>
      <c r="P218" s="289">
        <f>SUM(P212:P217)</f>
      </c>
    </row>
    <row r="219">
      <c r="A219" s="292" t="s">
        <v>504</v>
      </c>
      <c r="B219" s="277" t="s">
        <v>444</v>
      </c>
      <c r="C219" s="272" t="s">
        <v>428</v>
      </c>
      <c r="D219" s="272">
        <v>2</v>
      </c>
      <c r="E219" s="272">
        <v>16</v>
      </c>
      <c r="F219" s="272">
        <v>23024.4</v>
      </c>
      <c r="G219" s="285">
        <v>10567.650000000001</v>
      </c>
      <c r="H219" s="280">
        <f t="shared" si="0"/>
      </c>
      <c r="I219" s="280">
        <f t="shared" si="1"/>
      </c>
      <c r="J219" s="280">
        <f t="shared" si="3"/>
      </c>
      <c r="K219" s="272">
        <v>6</v>
      </c>
      <c r="L219" s="272">
        <v>7720.8</v>
      </c>
      <c r="M219" s="272" t="s">
        <v>429</v>
      </c>
      <c r="N219" s="272">
        <v>7</v>
      </c>
      <c r="O219" s="278" t="s">
        <v>438</v>
      </c>
      <c r="P219" s="278">
        <v>7</v>
      </c>
    </row>
    <row r="220">
      <c r="A220" s="292" t="s">
        <v>504</v>
      </c>
      <c r="B220" s="277" t="s">
        <v>447</v>
      </c>
      <c r="C220" s="272" t="s">
        <v>432</v>
      </c>
      <c r="D220" s="272">
        <v>5</v>
      </c>
      <c r="E220" s="272">
        <v>27</v>
      </c>
      <c r="F220" s="279">
        <v>30057.2</v>
      </c>
      <c r="G220" s="279">
        <v>24785.94</v>
      </c>
      <c r="H220" s="280">
        <f t="shared" si="0"/>
      </c>
      <c r="I220" s="280">
        <f t="shared" si="1"/>
      </c>
      <c r="J220" s="280">
        <f t="shared" si="3"/>
      </c>
      <c r="K220" s="272">
        <v>6</v>
      </c>
      <c r="L220" s="272">
        <v>5542.8</v>
      </c>
      <c r="M220" s="272" t="s">
        <v>502</v>
      </c>
      <c r="N220" s="272">
        <v>9</v>
      </c>
      <c r="O220" s="281"/>
      <c r="P220" s="282"/>
    </row>
    <row r="221">
      <c r="A221" s="292" t="s">
        <v>504</v>
      </c>
      <c r="B221" s="277" t="s">
        <v>487</v>
      </c>
      <c r="C221" s="272" t="s">
        <v>445</v>
      </c>
      <c r="D221" s="272">
        <v>5</v>
      </c>
      <c r="E221" s="272">
        <v>31</v>
      </c>
      <c r="F221" s="279">
        <v>34251.600000000006</v>
      </c>
      <c r="G221" s="279">
        <v>33588.42</v>
      </c>
      <c r="H221" s="280">
        <f t="shared" si="0"/>
      </c>
      <c r="I221" s="280">
        <f t="shared" si="1"/>
      </c>
      <c r="J221" s="280">
        <f t="shared" si="3"/>
      </c>
      <c r="K221" s="272">
        <v>9</v>
      </c>
      <c r="L221" s="272">
        <v>8233.2</v>
      </c>
      <c r="M221" s="272" t="s">
        <v>437</v>
      </c>
      <c r="N221" s="283">
        <v>8</v>
      </c>
      <c r="O221" s="283" t="s">
        <v>430</v>
      </c>
      <c r="P221" s="278">
        <v>12</v>
      </c>
    </row>
    <row r="222">
      <c r="A222" s="292" t="s">
        <v>504</v>
      </c>
      <c r="B222" s="277" t="s">
        <v>427</v>
      </c>
      <c r="C222" s="272" t="s">
        <v>448</v>
      </c>
      <c r="D222" s="272">
        <v>4</v>
      </c>
      <c r="E222" s="272">
        <v>35</v>
      </c>
      <c r="F222" s="285">
        <v>44301.4</v>
      </c>
      <c r="G222" s="284">
        <v>29445.690000000002</v>
      </c>
      <c r="H222" s="280">
        <f t="shared" si="0"/>
      </c>
      <c r="I222" s="280">
        <f t="shared" si="1"/>
      </c>
      <c r="J222" s="280">
        <f t="shared" si="3"/>
      </c>
      <c r="K222" s="272">
        <v>10</v>
      </c>
      <c r="L222" s="272">
        <v>10992</v>
      </c>
      <c r="M222" s="272"/>
      <c r="N222" s="283"/>
      <c r="O222" s="278"/>
      <c r="P222" s="278"/>
    </row>
    <row customHeight="true" ht="16.071428571428573" r="223">
      <c r="A223" s="292" t="s">
        <v>504</v>
      </c>
      <c r="B223" s="277" t="s">
        <v>444</v>
      </c>
      <c r="C223" s="272" t="s">
        <v>439</v>
      </c>
      <c r="D223" s="272">
        <v>5</v>
      </c>
      <c r="E223" s="272">
        <v>32</v>
      </c>
      <c r="F223" s="285">
        <v>41839.79999999999</v>
      </c>
      <c r="G223" s="285">
        <v>32024.13</v>
      </c>
      <c r="H223" s="280">
        <f t="shared" si="0"/>
      </c>
      <c r="I223" s="280">
        <f t="shared" si="1"/>
      </c>
      <c r="J223" s="280">
        <f t="shared" si="3"/>
      </c>
      <c r="K223" s="272">
        <v>7</v>
      </c>
      <c r="L223" s="272">
        <v>9549.6</v>
      </c>
      <c r="M223" s="278"/>
      <c r="N223" s="278"/>
      <c r="O223" s="282"/>
      <c r="P223" s="278"/>
    </row>
    <row customHeight="true" ht="16.071428571428573" r="224">
      <c r="A224" s="292" t="s">
        <v>504</v>
      </c>
      <c r="B224" s="277" t="s">
        <v>433</v>
      </c>
      <c r="C224" s="272" t="s">
        <v>441</v>
      </c>
      <c r="D224" s="272">
        <v>3</v>
      </c>
      <c r="E224" s="272">
        <v>15</v>
      </c>
      <c r="F224" s="285">
        <v>17074.24</v>
      </c>
      <c r="G224" s="285">
        <v>16575.87</v>
      </c>
      <c r="H224" s="280">
        <f t="shared" si="0"/>
      </c>
      <c r="I224" s="280">
        <f t="shared" si="1"/>
      </c>
      <c r="J224" s="280">
        <f t="shared" si="3"/>
      </c>
      <c r="K224" s="272">
        <v>3</v>
      </c>
      <c r="L224" s="272">
        <v>4785.6</v>
      </c>
      <c r="M224" s="278"/>
      <c r="N224" s="286"/>
      <c r="O224" s="278"/>
      <c r="P224" s="278"/>
    </row>
    <row customHeight="true" ht="16.071428571428573" r="225">
      <c r="A225" s="293" t="s">
        <v>504</v>
      </c>
      <c r="B225" s="288"/>
      <c r="C225" s="288"/>
      <c r="D225" s="289">
        <f>SUM(D219:D224)</f>
      </c>
      <c r="E225" s="289">
        <f>SUM(E219:E224)</f>
      </c>
      <c r="F225" s="290">
        <f>SUM(F219:F224)</f>
      </c>
      <c r="G225" s="290">
        <f>SUM(G219:G224)</f>
      </c>
      <c r="H225" s="291">
        <f t="shared" si="0"/>
      </c>
      <c r="I225" s="291">
        <f t="shared" si="1"/>
      </c>
      <c r="J225" s="291">
        <f t="shared" si="3"/>
      </c>
      <c r="K225" s="289">
        <f>SUM(K219:K224)</f>
      </c>
      <c r="L225" s="291">
        <f>SUM(L219:L224)</f>
      </c>
      <c r="M225" s="288"/>
      <c r="N225" s="289">
        <f>SUM(N219:N224)</f>
      </c>
      <c r="O225" s="288"/>
      <c r="P225" s="289">
        <f>SUM(P219:P224)</f>
      </c>
    </row>
    <row customHeight="true" ht="16.071428571428573" r="226">
      <c r="A226" s="292" t="s">
        <v>505</v>
      </c>
      <c r="B226" s="277" t="s">
        <v>433</v>
      </c>
      <c r="C226" s="272" t="s">
        <v>428</v>
      </c>
      <c r="D226" s="272">
        <v>2</v>
      </c>
      <c r="E226" s="272">
        <v>10</v>
      </c>
      <c r="F226" s="272">
        <v>23024.4</v>
      </c>
      <c r="G226" s="285">
        <v>8960.67</v>
      </c>
      <c r="H226" s="280">
        <f t="shared" si="0"/>
      </c>
      <c r="I226" s="280">
        <f t="shared" si="1"/>
      </c>
      <c r="J226" s="280">
        <f t="shared" si="3"/>
      </c>
      <c r="K226" s="272">
        <v>6</v>
      </c>
      <c r="L226" s="272">
        <v>3397.2</v>
      </c>
      <c r="M226" s="272" t="s">
        <v>429</v>
      </c>
      <c r="N226" s="272">
        <v>7</v>
      </c>
      <c r="O226" s="278" t="s">
        <v>438</v>
      </c>
      <c r="P226" s="278">
        <v>7</v>
      </c>
    </row>
    <row customHeight="true" ht="16.071428571428573" r="227">
      <c r="A227" s="292" t="s">
        <v>505</v>
      </c>
      <c r="B227" s="277" t="s">
        <v>447</v>
      </c>
      <c r="C227" s="272" t="s">
        <v>432</v>
      </c>
      <c r="D227" s="294">
        <v>4.5</v>
      </c>
      <c r="E227" s="272">
        <v>10</v>
      </c>
      <c r="F227" s="285">
        <v>8478.8</v>
      </c>
      <c r="G227" s="285">
        <v>11472.89</v>
      </c>
      <c r="H227" s="280">
        <f t="shared" si="0"/>
      </c>
      <c r="I227" s="280">
        <f t="shared" si="1"/>
      </c>
      <c r="J227" s="280">
        <f t="shared" si="3"/>
      </c>
      <c r="K227" s="272">
        <v>1</v>
      </c>
      <c r="L227" s="272">
        <v>176.4</v>
      </c>
      <c r="M227" s="272" t="s">
        <v>502</v>
      </c>
      <c r="N227" s="272">
        <v>9</v>
      </c>
      <c r="O227" s="281"/>
      <c r="P227" s="282"/>
    </row>
    <row customHeight="true" ht="16.071428571428573" r="228">
      <c r="A228" s="292" t="s">
        <v>505</v>
      </c>
      <c r="B228" s="277" t="s">
        <v>487</v>
      </c>
      <c r="C228" s="272" t="s">
        <v>445</v>
      </c>
      <c r="D228" s="294">
        <v>4.5</v>
      </c>
      <c r="E228" s="272">
        <v>23</v>
      </c>
      <c r="F228" s="285">
        <v>28252.4</v>
      </c>
      <c r="G228" s="279">
        <v>24140.129999999997</v>
      </c>
      <c r="H228" s="280">
        <f t="shared" si="0"/>
      </c>
      <c r="I228" s="280">
        <f t="shared" si="1"/>
      </c>
      <c r="J228" s="280">
        <f t="shared" si="3"/>
      </c>
      <c r="K228" s="278">
        <v>9</v>
      </c>
      <c r="L228" s="278">
        <v>8667.2</v>
      </c>
      <c r="M228" s="272" t="s">
        <v>437</v>
      </c>
      <c r="N228" s="283">
        <v>8</v>
      </c>
      <c r="O228" s="283" t="s">
        <v>430</v>
      </c>
      <c r="P228" s="278">
        <v>12</v>
      </c>
    </row>
    <row r="229">
      <c r="A229" s="292" t="s">
        <v>505</v>
      </c>
      <c r="B229" s="277" t="s">
        <v>427</v>
      </c>
      <c r="C229" s="272" t="s">
        <v>448</v>
      </c>
      <c r="D229" s="294">
        <v>3</v>
      </c>
      <c r="E229" s="272">
        <v>7</v>
      </c>
      <c r="F229" s="285">
        <v>12061.2</v>
      </c>
      <c r="G229" s="284">
        <v>11141.769999999999</v>
      </c>
      <c r="H229" s="280">
        <f t="shared" si="0"/>
      </c>
      <c r="I229" s="280">
        <f t="shared" si="1"/>
      </c>
      <c r="J229" s="280">
        <f t="shared" si="3"/>
      </c>
      <c r="K229" s="272">
        <v>1</v>
      </c>
      <c r="L229" s="272">
        <v>1663.2</v>
      </c>
      <c r="M229" s="272"/>
      <c r="N229" s="283"/>
      <c r="O229" s="278"/>
      <c r="P229" s="278"/>
    </row>
    <row r="230">
      <c r="A230" s="292" t="s">
        <v>505</v>
      </c>
      <c r="B230" s="277" t="s">
        <v>444</v>
      </c>
      <c r="C230" s="272" t="s">
        <v>439</v>
      </c>
      <c r="D230" s="294">
        <v>4</v>
      </c>
      <c r="E230" s="272">
        <v>20</v>
      </c>
      <c r="F230" s="285">
        <v>28538.399999999994</v>
      </c>
      <c r="G230" s="285">
        <v>16925.71</v>
      </c>
      <c r="H230" s="280">
        <f t="shared" si="0"/>
      </c>
      <c r="I230" s="280">
        <f t="shared" si="1"/>
      </c>
      <c r="J230" s="280">
        <f t="shared" si="3"/>
      </c>
      <c r="K230" s="272">
        <v>7</v>
      </c>
      <c r="L230" s="272">
        <v>9486</v>
      </c>
      <c r="M230" s="278"/>
      <c r="N230" s="278"/>
      <c r="O230" s="282"/>
      <c r="P230" s="278"/>
    </row>
    <row r="231">
      <c r="A231" s="292" t="s">
        <v>505</v>
      </c>
      <c r="B231" s="277" t="s">
        <v>433</v>
      </c>
      <c r="C231" s="272" t="s">
        <v>441</v>
      </c>
      <c r="D231" s="294">
        <v>2</v>
      </c>
      <c r="E231" s="272">
        <v>13</v>
      </c>
      <c r="F231" s="285">
        <v>16134</v>
      </c>
      <c r="G231" s="285">
        <v>14623</v>
      </c>
      <c r="H231" s="280">
        <f t="shared" si="0"/>
      </c>
      <c r="I231" s="280">
        <f t="shared" si="1"/>
      </c>
      <c r="J231" s="280">
        <f t="shared" si="3"/>
      </c>
      <c r="K231" s="272">
        <v>0</v>
      </c>
      <c r="L231" s="272">
        <v>0</v>
      </c>
      <c r="M231" s="278"/>
      <c r="N231" s="286"/>
      <c r="O231" s="278"/>
      <c r="P231" s="278"/>
    </row>
    <row r="232">
      <c r="A232" s="293" t="s">
        <v>505</v>
      </c>
      <c r="B232" s="288"/>
      <c r="C232" s="288"/>
      <c r="D232" s="289">
        <f>SUM(D226:D231)</f>
      </c>
      <c r="E232" s="289">
        <f>SUM(E226:E231)</f>
      </c>
      <c r="F232" s="290">
        <f>SUM(F226:F231)</f>
      </c>
      <c r="G232" s="290">
        <f>SUM(G226:G231)</f>
      </c>
      <c r="H232" s="291">
        <f t="shared" si="0"/>
      </c>
      <c r="I232" s="291">
        <f t="shared" si="1"/>
      </c>
      <c r="J232" s="291">
        <f t="shared" si="3"/>
      </c>
      <c r="K232" s="289">
        <f>SUM(K226:K231)</f>
      </c>
      <c r="L232" s="291">
        <f>SUM(L226:L231)</f>
      </c>
      <c r="M232" s="288"/>
      <c r="N232" s="289">
        <f>SUM(N226:N231)</f>
      </c>
      <c r="O232" s="288"/>
      <c r="P232" s="289">
        <f>SUM(P226:P231)</f>
      </c>
    </row>
    <row r="233">
      <c r="H233" s="296"/>
      <c r="O233" s="296"/>
    </row>
    <row customHeight="true" ht="16.071428571428573" r="234">
      <c r="H234" s="296"/>
      <c r="O234" s="296"/>
    </row>
    <row customHeight="true" ht="16.071428571428573" r="235">
      <c r="H235" s="296"/>
      <c r="O235" s="296"/>
    </row>
    <row customHeight="true" ht="16.071428571428573" r="236">
      <c r="H236" s="296"/>
      <c r="O236" s="296"/>
    </row>
    <row r="237">
      <c r="H237" s="296"/>
      <c r="O237" s="296"/>
    </row>
    <row r="238">
      <c r="H238" s="296"/>
    </row>
    <row r="239">
      <c r="F239" s="296"/>
      <c r="G239" s="296"/>
      <c r="H239" s="296"/>
    </row>
    <row r="240">
      <c r="F240" s="296"/>
      <c r="G240" s="296"/>
      <c r="H240" s="296"/>
      <c r="I240" s="296"/>
    </row>
    <row r="241">
      <c r="F241" s="296"/>
      <c r="G241" s="296"/>
      <c r="H241" s="296"/>
      <c r="I241" s="296"/>
    </row>
    <row r="242">
      <c r="F242" s="296"/>
      <c r="G242" s="296"/>
      <c r="H242" s="296"/>
      <c r="I242" s="296"/>
    </row>
    <row r="243">
      <c r="F243" s="296"/>
      <c r="G243" s="296"/>
      <c r="H243" s="296"/>
      <c r="I243" s="296"/>
    </row>
    <row r="244">
      <c r="F244" s="296"/>
      <c r="G244" s="296"/>
      <c r="H244" s="296"/>
      <c r="I244" s="296"/>
    </row>
    <row r="245">
      <c r="F245" s="296"/>
      <c r="G245" s="296"/>
      <c r="H245" s="296"/>
      <c r="I245" s="296"/>
    </row>
    <row r="246">
      <c r="F246" s="296"/>
      <c r="G246" s="296"/>
      <c r="H246" s="296"/>
      <c r="I246" s="296"/>
    </row>
    <row r="247">
      <c r="F247" s="296"/>
      <c r="G247" s="296"/>
      <c r="I247" s="296"/>
    </row>
    <row r="248">
      <c r="D248" s="297"/>
      <c r="E248" s="298"/>
      <c r="F248" s="296"/>
      <c r="G248" s="296"/>
      <c r="H248" s="299"/>
      <c r="I248" s="299"/>
      <c r="J248" s="299"/>
    </row>
    <row r="249">
      <c r="F249" s="296"/>
      <c r="G249" s="296"/>
      <c r="I249" s="300"/>
      <c r="J249" s="300"/>
    </row>
    <row r="250">
      <c r="F250" s="296"/>
      <c r="G250" s="296"/>
      <c r="I250" s="296"/>
      <c r="J250" s="296"/>
    </row>
    <row r="251">
      <c r="F251" s="296"/>
      <c r="G251" s="296"/>
      <c r="I251" s="296"/>
      <c r="J251" s="296"/>
    </row>
    <row r="252">
      <c r="F252" s="296"/>
      <c r="G252" s="296"/>
      <c r="I252" s="296"/>
      <c r="J252" s="296"/>
    </row>
    <row r="253">
      <c r="F253" s="296"/>
      <c r="G253" s="296"/>
      <c r="I253" s="296"/>
      <c r="J253" s="296"/>
    </row>
    <row r="254">
      <c r="F254" s="296"/>
      <c r="G254" s="296"/>
      <c r="I254" s="296"/>
      <c r="J254" s="296"/>
    </row>
    <row r="255">
      <c r="F255" s="296"/>
      <c r="G255" s="296"/>
      <c r="I255" s="296"/>
      <c r="J255" s="296"/>
    </row>
    <row r="256">
      <c r="F256" s="296"/>
      <c r="G256" s="296"/>
      <c r="I256" s="296"/>
      <c r="J256" s="296"/>
    </row>
    <row r="257">
      <c r="F257" s="296"/>
      <c r="G257" s="296"/>
      <c r="I257" s="296"/>
      <c r="J257" s="296"/>
    </row>
    <row r="258">
      <c r="F258" s="296"/>
      <c r="G258" s="296"/>
      <c r="I258" s="296"/>
      <c r="J258" s="296"/>
    </row>
    <row r="259">
      <c r="F259" s="296"/>
      <c r="G259" s="296"/>
    </row>
    <row r="260">
      <c r="F260" s="296"/>
      <c r="G260" s="296"/>
    </row>
    <row r="261">
      <c r="F261" s="296"/>
      <c r="G261" s="296"/>
    </row>
    <row r="262">
      <c r="F262" s="296"/>
      <c r="G262" s="296"/>
    </row>
    <row r="263">
      <c r="F263" s="296"/>
      <c r="G263" s="296"/>
    </row>
    <row r="264">
      <c r="F264" s="296"/>
      <c r="G264" s="296"/>
    </row>
    <row r="265">
      <c r="F265" s="296"/>
      <c r="G265" s="296"/>
    </row>
    <row r="266">
      <c r="F266" s="296"/>
      <c r="G266" s="296"/>
    </row>
    <row r="267">
      <c r="F267" s="296"/>
      <c r="G267" s="296"/>
    </row>
    <row r="268">
      <c r="F268" s="296"/>
      <c r="G268" s="296"/>
    </row>
    <row r="269">
      <c r="F269" s="296"/>
      <c r="G269" s="296"/>
    </row>
    <row r="270">
      <c r="F270" s="296"/>
      <c r="G270" s="296"/>
    </row>
    <row r="271">
      <c r="F271" s="296"/>
      <c r="G271" s="296"/>
    </row>
    <row r="272">
      <c r="F272" s="296"/>
      <c r="G272" s="296"/>
    </row>
    <row r="273">
      <c r="F273" s="296"/>
      <c r="G273" s="296"/>
    </row>
    <row r="274">
      <c r="F274" s="296"/>
      <c r="G274" s="296"/>
    </row>
    <row r="275">
      <c r="F275" s="296"/>
      <c r="G275" s="296"/>
    </row>
    <row r="276">
      <c r="F276" s="296"/>
      <c r="G276" s="296"/>
    </row>
    <row r="277">
      <c r="F277" s="296"/>
      <c r="G277" s="296"/>
    </row>
    <row r="278">
      <c r="F278" s="296"/>
      <c r="G278" s="296"/>
    </row>
    <row r="279">
      <c r="F279" s="296"/>
      <c r="G279" s="296"/>
    </row>
    <row r="280">
      <c r="F280" s="296"/>
      <c r="G280" s="296"/>
    </row>
    <row r="281">
      <c r="F281" s="296"/>
      <c r="G281" s="296"/>
    </row>
    <row r="282">
      <c r="F282" s="296"/>
      <c r="G282" s="296"/>
    </row>
    <row r="283">
      <c r="F283" s="296"/>
      <c r="G283" s="296"/>
    </row>
    <row r="284">
      <c r="F284" s="296"/>
      <c r="G284" s="296"/>
    </row>
    <row r="285">
      <c r="F285" s="296"/>
      <c r="G285" s="296"/>
    </row>
    <row r="286">
      <c r="F286" s="296"/>
      <c r="G286" s="296"/>
    </row>
    <row r="287">
      <c r="F287" s="296"/>
      <c r="G287" s="296"/>
    </row>
    <row r="288">
      <c r="F288" s="296"/>
      <c r="G288" s="296"/>
    </row>
    <row r="289">
      <c r="F289" s="296"/>
      <c r="G289" s="296"/>
    </row>
    <row r="290">
      <c r="F290" s="296"/>
      <c r="G290" s="296"/>
    </row>
    <row r="291">
      <c r="F291" s="296"/>
      <c r="G291" s="296"/>
    </row>
    <row r="292">
      <c r="F292" s="296"/>
      <c r="G292" s="296"/>
    </row>
    <row r="293">
      <c r="F293" s="296"/>
      <c r="G293" s="296"/>
    </row>
    <row r="294">
      <c r="F294" s="296"/>
      <c r="G294" s="296"/>
    </row>
    <row r="295">
      <c r="F295" s="296"/>
      <c r="G295" s="296"/>
    </row>
    <row r="296">
      <c r="F296" s="296"/>
      <c r="G296" s="296"/>
    </row>
    <row r="297">
      <c r="F297" s="296"/>
      <c r="G297" s="296"/>
    </row>
    <row r="298">
      <c r="F298" s="296"/>
      <c r="G298" s="296"/>
    </row>
    <row r="299">
      <c r="F299" s="296"/>
      <c r="G299" s="296"/>
    </row>
    <row r="300">
      <c r="F300" s="296"/>
      <c r="G300" s="296"/>
    </row>
    <row r="301">
      <c r="F301" s="296"/>
      <c r="G301" s="296"/>
    </row>
    <row r="302">
      <c r="F302" s="296"/>
      <c r="G302" s="296"/>
    </row>
    <row r="303">
      <c r="F303" s="296"/>
      <c r="G303" s="296"/>
    </row>
    <row r="304">
      <c r="F304" s="296"/>
      <c r="G304" s="296"/>
    </row>
    <row r="305">
      <c r="F305" s="296"/>
      <c r="G305" s="296"/>
    </row>
    <row r="306">
      <c r="F306" s="296"/>
      <c r="G306" s="296"/>
    </row>
    <row r="307">
      <c r="F307" s="296"/>
      <c r="G307" s="296"/>
    </row>
    <row r="308">
      <c r="F308" s="296"/>
      <c r="G308" s="296"/>
    </row>
    <row r="309">
      <c r="F309" s="296"/>
      <c r="G309" s="296"/>
    </row>
    <row r="310">
      <c r="F310" s="296"/>
      <c r="G310" s="296"/>
    </row>
    <row r="311">
      <c r="F311" s="296"/>
      <c r="G311" s="296"/>
    </row>
    <row r="312">
      <c r="F312" s="296"/>
      <c r="G312" s="296"/>
    </row>
    <row r="313">
      <c r="F313" s="296"/>
      <c r="G313" s="296"/>
    </row>
    <row r="314">
      <c r="F314" s="296"/>
      <c r="G314" s="296"/>
    </row>
    <row r="315">
      <c r="F315" s="296"/>
      <c r="G315" s="296"/>
    </row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>
      <c r="F330" s="296"/>
      <c r="G330" s="296"/>
    </row>
    <row r="331">
      <c r="F331" s="296"/>
      <c r="G331" s="296"/>
    </row>
    <row r="332">
      <c r="F332" s="296"/>
      <c r="G332" s="296"/>
    </row>
    <row r="333">
      <c r="F333" s="296"/>
      <c r="G333" s="296"/>
    </row>
    <row r="334">
      <c r="F334" s="296"/>
      <c r="G334" s="296"/>
    </row>
    <row r="335">
      <c r="F335" s="296"/>
      <c r="G335" s="296"/>
    </row>
    <row r="336">
      <c r="F336" s="296"/>
      <c r="G336" s="296"/>
    </row>
    <row r="337">
      <c r="F337" s="296"/>
      <c r="G337" s="296"/>
    </row>
    <row r="338">
      <c r="F338" s="296"/>
      <c r="G338" s="296"/>
    </row>
    <row r="339">
      <c r="F339" s="296"/>
      <c r="G339" s="296"/>
    </row>
    <row r="340">
      <c r="F340" s="296"/>
      <c r="G340" s="296"/>
    </row>
    <row r="341">
      <c r="F341" s="296"/>
      <c r="G341" s="296"/>
    </row>
    <row r="342">
      <c r="F342" s="296"/>
      <c r="G342" s="296"/>
    </row>
    <row r="343">
      <c r="F343" s="296"/>
      <c r="G343" s="296"/>
    </row>
    <row r="344">
      <c r="F344" s="296"/>
      <c r="G344" s="296"/>
    </row>
    <row r="345">
      <c r="F345" s="296"/>
      <c r="G345" s="296"/>
    </row>
    <row r="346">
      <c r="F346" s="296"/>
      <c r="G346" s="296"/>
    </row>
    <row r="347">
      <c r="F347" s="296"/>
      <c r="G347" s="296"/>
    </row>
    <row r="348">
      <c r="F348" s="296"/>
      <c r="G348" s="296"/>
    </row>
    <row r="349">
      <c r="F349" s="296"/>
      <c r="G349" s="296"/>
    </row>
    <row r="350">
      <c r="F350" s="296"/>
      <c r="G350" s="296"/>
    </row>
    <row r="351">
      <c r="F351" s="296"/>
      <c r="G351" s="296"/>
    </row>
    <row r="352">
      <c r="F352" s="296"/>
      <c r="G352" s="296"/>
    </row>
    <row r="353">
      <c r="F353" s="296"/>
      <c r="G353" s="296"/>
    </row>
    <row r="354">
      <c r="F354" s="296"/>
      <c r="G354" s="296"/>
    </row>
    <row r="355">
      <c r="F355" s="296"/>
      <c r="G355" s="296"/>
    </row>
    <row r="356">
      <c r="F356" s="296"/>
      <c r="G356" s="296"/>
    </row>
    <row r="357">
      <c r="F357" s="296"/>
      <c r="G357" s="296"/>
    </row>
    <row r="358">
      <c r="F358" s="296"/>
      <c r="G358" s="296"/>
    </row>
    <row r="359">
      <c r="F359" s="296"/>
      <c r="G359" s="296"/>
    </row>
    <row r="360">
      <c r="F360" s="296"/>
      <c r="G360" s="296"/>
    </row>
    <row r="361">
      <c r="F361" s="296"/>
      <c r="G361" s="296"/>
    </row>
    <row r="362">
      <c r="F362" s="296"/>
      <c r="G362" s="296"/>
    </row>
    <row r="363">
      <c r="F363" s="296"/>
      <c r="G363" s="296"/>
    </row>
    <row r="364">
      <c r="F364" s="296"/>
      <c r="G364" s="296"/>
    </row>
    <row r="365">
      <c r="F365" s="296"/>
      <c r="G365" s="296"/>
    </row>
    <row r="366">
      <c r="F366" s="296"/>
      <c r="G366" s="296"/>
    </row>
    <row r="367">
      <c r="F367" s="296"/>
      <c r="G367" s="296"/>
    </row>
    <row r="368">
      <c r="F368" s="296"/>
      <c r="G368" s="296"/>
    </row>
    <row r="369">
      <c r="F369" s="296"/>
      <c r="G369" s="296"/>
    </row>
    <row r="370">
      <c r="F370" s="296"/>
      <c r="G370" s="296"/>
    </row>
    <row r="371">
      <c r="F371" s="296"/>
      <c r="G371" s="296"/>
    </row>
    <row r="372">
      <c r="F372" s="296"/>
      <c r="G372" s="296"/>
    </row>
    <row r="373">
      <c r="F373" s="296"/>
      <c r="G373" s="296"/>
    </row>
    <row r="374">
      <c r="F374" s="296"/>
      <c r="G374" s="296"/>
    </row>
    <row r="375">
      <c r="F375" s="296"/>
      <c r="G375" s="296"/>
    </row>
    <row r="376">
      <c r="F376" s="296"/>
      <c r="G376" s="296"/>
    </row>
    <row r="377">
      <c r="F377" s="296"/>
      <c r="G377" s="296"/>
    </row>
    <row r="378">
      <c r="F378" s="296"/>
      <c r="G378" s="296"/>
    </row>
    <row r="379">
      <c r="F379" s="296"/>
      <c r="G379" s="296"/>
    </row>
    <row r="380">
      <c r="F380" s="296"/>
      <c r="G380" s="296"/>
    </row>
    <row r="381">
      <c r="F381" s="296"/>
      <c r="G381" s="296"/>
    </row>
    <row r="382">
      <c r="F382" s="296"/>
      <c r="G382" s="296"/>
    </row>
    <row r="383">
      <c r="F383" s="296"/>
      <c r="G383" s="296"/>
    </row>
    <row r="384">
      <c r="F384" s="296"/>
      <c r="G384" s="296"/>
    </row>
    <row r="385">
      <c r="F385" s="296"/>
      <c r="G385" s="296"/>
    </row>
    <row r="386">
      <c r="F386" s="296"/>
      <c r="G386" s="296"/>
    </row>
    <row r="387">
      <c r="F387" s="296"/>
      <c r="G387" s="296"/>
    </row>
    <row r="388">
      <c r="F388" s="296"/>
      <c r="G388" s="296"/>
    </row>
    <row r="389">
      <c r="F389" s="296"/>
      <c r="G389" s="296"/>
    </row>
    <row r="390">
      <c r="F390" s="296"/>
      <c r="G390" s="296"/>
    </row>
    <row r="391">
      <c r="F391" s="296"/>
      <c r="G391" s="296"/>
    </row>
    <row r="392">
      <c r="F392" s="296"/>
      <c r="G392" s="296"/>
    </row>
    <row r="393">
      <c r="F393" s="296"/>
      <c r="G393" s="296"/>
    </row>
    <row r="394">
      <c r="F394" s="296"/>
      <c r="G394" s="296"/>
    </row>
    <row r="395">
      <c r="F395" s="296"/>
      <c r="G395" s="296"/>
    </row>
    <row r="396">
      <c r="F396" s="296"/>
      <c r="G396" s="296"/>
    </row>
    <row r="397">
      <c r="F397" s="296"/>
      <c r="G397" s="296"/>
    </row>
    <row r="398">
      <c r="F398" s="296"/>
      <c r="G398" s="296"/>
    </row>
    <row r="399">
      <c r="F399" s="296"/>
      <c r="G399" s="296"/>
    </row>
    <row r="400">
      <c r="F400" s="296"/>
      <c r="G400" s="296"/>
    </row>
    <row r="401">
      <c r="F401" s="296"/>
      <c r="G401" s="296"/>
    </row>
    <row r="402">
      <c r="F402" s="296"/>
      <c r="G402" s="296"/>
    </row>
    <row r="403">
      <c r="F403" s="296"/>
      <c r="G403" s="296"/>
    </row>
    <row r="404">
      <c r="F404" s="296"/>
      <c r="G404" s="296"/>
    </row>
    <row r="405">
      <c r="F405" s="296"/>
      <c r="G405" s="296"/>
    </row>
    <row r="406">
      <c r="F406" s="296"/>
      <c r="G406" s="296"/>
    </row>
    <row r="407">
      <c r="F407" s="296"/>
      <c r="G407" s="296"/>
    </row>
    <row r="408">
      <c r="F408" s="296"/>
      <c r="G408" s="296"/>
    </row>
    <row r="409">
      <c r="F409" s="296"/>
      <c r="G409" s="296"/>
    </row>
    <row r="410">
      <c r="F410" s="296"/>
      <c r="G410" s="296"/>
    </row>
    <row r="411">
      <c r="F411" s="296"/>
      <c r="G411" s="296"/>
    </row>
    <row r="412">
      <c r="F412" s="296"/>
      <c r="G412" s="296"/>
    </row>
    <row r="413">
      <c r="F413" s="296"/>
      <c r="G413" s="296"/>
    </row>
    <row r="414">
      <c r="F414" s="296"/>
      <c r="G414" s="296"/>
    </row>
    <row r="415">
      <c r="F415" s="296"/>
      <c r="G415" s="296"/>
    </row>
    <row r="416">
      <c r="F416" s="296"/>
      <c r="G416" s="296"/>
    </row>
    <row r="417">
      <c r="F417" s="296"/>
      <c r="G417" s="296"/>
    </row>
    <row r="418">
      <c r="F418" s="296"/>
      <c r="G418" s="296"/>
    </row>
    <row r="419">
      <c r="F419" s="296"/>
      <c r="G419" s="296"/>
    </row>
    <row r="420">
      <c r="F420" s="296"/>
      <c r="G420" s="296"/>
    </row>
    <row r="421">
      <c r="F421" s="296"/>
      <c r="G421" s="296"/>
    </row>
    <row r="422">
      <c r="F422" s="296"/>
      <c r="G422" s="296"/>
    </row>
    <row r="423">
      <c r="F423" s="296"/>
      <c r="G423" s="296"/>
    </row>
    <row r="424">
      <c r="F424" s="296"/>
      <c r="G424" s="296"/>
    </row>
    <row r="425">
      <c r="F425" s="296"/>
      <c r="G425" s="296"/>
    </row>
    <row r="426">
      <c r="F426" s="296"/>
      <c r="G426" s="296"/>
    </row>
    <row r="427">
      <c r="F427" s="296"/>
      <c r="G427" s="296"/>
    </row>
    <row r="428">
      <c r="F428" s="296"/>
      <c r="G428" s="296"/>
    </row>
    <row r="429">
      <c r="F429" s="296"/>
      <c r="G429" s="296"/>
    </row>
    <row r="430">
      <c r="F430" s="296"/>
      <c r="G430" s="296"/>
    </row>
    <row r="431">
      <c r="F431" s="296"/>
      <c r="G431" s="296"/>
    </row>
    <row r="432">
      <c r="F432" s="296"/>
      <c r="G432" s="296"/>
    </row>
    <row r="433">
      <c r="F433" s="296"/>
      <c r="G433" s="296"/>
    </row>
    <row r="434">
      <c r="F434" s="296"/>
      <c r="G434" s="296"/>
    </row>
    <row r="435">
      <c r="F435" s="296"/>
      <c r="G435" s="296"/>
    </row>
    <row r="436">
      <c r="F436" s="296"/>
      <c r="G436" s="296"/>
    </row>
    <row r="437">
      <c r="F437" s="296"/>
      <c r="G437" s="296"/>
    </row>
    <row r="438">
      <c r="F438" s="296"/>
      <c r="G438" s="296"/>
    </row>
    <row r="439">
      <c r="F439" s="296"/>
      <c r="G439" s="296"/>
    </row>
    <row r="440">
      <c r="F440" s="296"/>
      <c r="G440" s="296"/>
    </row>
    <row r="441">
      <c r="F441" s="296"/>
      <c r="G441" s="296"/>
    </row>
    <row r="442">
      <c r="F442" s="296"/>
      <c r="G442" s="296"/>
    </row>
    <row r="443">
      <c r="F443" s="296"/>
      <c r="G443" s="296"/>
    </row>
    <row r="444">
      <c r="F444" s="296"/>
      <c r="G444" s="296"/>
    </row>
    <row r="445">
      <c r="F445" s="296"/>
      <c r="G445" s="296"/>
    </row>
    <row r="446">
      <c r="F446" s="296"/>
      <c r="G446" s="296"/>
    </row>
    <row r="447">
      <c r="F447" s="296"/>
      <c r="G447" s="296"/>
    </row>
    <row r="448">
      <c r="F448" s="296"/>
      <c r="G448" s="296"/>
    </row>
    <row r="449">
      <c r="F449" s="296"/>
      <c r="G449" s="296"/>
    </row>
    <row r="450">
      <c r="F450" s="296"/>
      <c r="G450" s="296"/>
    </row>
    <row r="451">
      <c r="F451" s="296"/>
      <c r="G451" s="296"/>
    </row>
    <row r="452">
      <c r="F452" s="296"/>
      <c r="G452" s="296"/>
    </row>
    <row r="453">
      <c r="F453" s="296"/>
      <c r="G453" s="296"/>
    </row>
    <row r="454">
      <c r="F454" s="296"/>
      <c r="G454" s="296"/>
    </row>
    <row r="455">
      <c r="F455" s="296"/>
      <c r="G455" s="296"/>
    </row>
    <row r="456">
      <c r="F456" s="296"/>
      <c r="G456" s="296"/>
    </row>
    <row r="457">
      <c r="F457" s="296"/>
      <c r="G457" s="296"/>
    </row>
    <row r="458">
      <c r="F458" s="296"/>
      <c r="G458" s="296"/>
    </row>
    <row r="459">
      <c r="F459" s="296"/>
      <c r="G459" s="296"/>
    </row>
    <row r="460">
      <c r="F460" s="296"/>
      <c r="G460" s="296"/>
    </row>
    <row r="461">
      <c r="F461" s="296"/>
      <c r="G461" s="296"/>
    </row>
    <row r="462">
      <c r="F462" s="296"/>
      <c r="G462" s="296"/>
    </row>
    <row r="463">
      <c r="F463" s="296"/>
      <c r="G463" s="296"/>
    </row>
    <row r="464">
      <c r="F464" s="296"/>
      <c r="G464" s="296"/>
    </row>
    <row r="465">
      <c r="F465" s="296"/>
      <c r="G465" s="296"/>
    </row>
    <row r="466">
      <c r="F466" s="296"/>
      <c r="G466" s="296"/>
    </row>
    <row r="467">
      <c r="F467" s="296"/>
      <c r="G467" s="296"/>
    </row>
    <row r="468">
      <c r="F468" s="296"/>
      <c r="G468" s="296"/>
    </row>
    <row r="469">
      <c r="F469" s="296"/>
      <c r="G469" s="296"/>
    </row>
    <row r="470">
      <c r="F470" s="296"/>
      <c r="G470" s="296"/>
    </row>
    <row r="471">
      <c r="F471" s="296"/>
      <c r="G471" s="296"/>
    </row>
    <row r="472">
      <c r="F472" s="296"/>
      <c r="G472" s="296"/>
    </row>
    <row r="473">
      <c r="F473" s="296"/>
      <c r="G473" s="296"/>
    </row>
    <row r="474">
      <c r="F474" s="296"/>
      <c r="G474" s="296"/>
    </row>
    <row r="475">
      <c r="F475" s="296"/>
      <c r="G475" s="296"/>
    </row>
    <row r="476">
      <c r="F476" s="296"/>
      <c r="G476" s="296"/>
    </row>
    <row r="477">
      <c r="F477" s="296"/>
      <c r="G477" s="296"/>
    </row>
    <row r="478">
      <c r="F478" s="296"/>
      <c r="G478" s="296"/>
    </row>
    <row r="479">
      <c r="F479" s="296"/>
      <c r="G479" s="296"/>
    </row>
    <row r="480">
      <c r="F480" s="296"/>
      <c r="G480" s="296"/>
    </row>
    <row r="481">
      <c r="F481" s="296"/>
      <c r="G481" s="296"/>
    </row>
    <row r="482">
      <c r="F482" s="296"/>
      <c r="G482" s="296"/>
    </row>
    <row r="483">
      <c r="F483" s="296"/>
      <c r="G483" s="296"/>
    </row>
    <row r="484">
      <c r="F484" s="296"/>
      <c r="G484" s="296"/>
    </row>
    <row r="485">
      <c r="F485" s="296"/>
      <c r="G485" s="296"/>
    </row>
    <row r="486">
      <c r="F486" s="296"/>
      <c r="G486" s="296"/>
    </row>
    <row r="487">
      <c r="F487" s="296"/>
      <c r="G487" s="296"/>
    </row>
    <row r="488">
      <c r="F488" s="296"/>
      <c r="G488" s="296"/>
    </row>
    <row r="489">
      <c r="F489" s="296"/>
      <c r="G489" s="296"/>
    </row>
    <row r="490">
      <c r="F490" s="296"/>
      <c r="G490" s="296"/>
    </row>
    <row r="491">
      <c r="F491" s="296"/>
      <c r="G491" s="296"/>
    </row>
    <row r="492">
      <c r="F492" s="296"/>
      <c r="G492" s="296"/>
    </row>
    <row r="493">
      <c r="F493" s="296"/>
      <c r="G493" s="296"/>
    </row>
    <row r="494">
      <c r="F494" s="296"/>
      <c r="G494" s="296"/>
    </row>
    <row r="495">
      <c r="F495" s="296"/>
      <c r="G495" s="296"/>
    </row>
    <row r="496">
      <c r="F496" s="296"/>
      <c r="G496" s="296"/>
    </row>
    <row r="497">
      <c r="F497" s="296"/>
      <c r="G497" s="296"/>
    </row>
    <row r="498">
      <c r="F498" s="296"/>
      <c r="G498" s="296"/>
    </row>
    <row r="499">
      <c r="F499" s="296"/>
      <c r="G499" s="296"/>
    </row>
    <row r="500">
      <c r="F500" s="296"/>
      <c r="G500" s="296"/>
    </row>
    <row r="501">
      <c r="F501" s="296"/>
      <c r="G501" s="296"/>
    </row>
    <row r="502">
      <c r="F502" s="296"/>
      <c r="G502" s="296"/>
    </row>
    <row r="503">
      <c r="F503" s="296"/>
      <c r="G503" s="296"/>
    </row>
    <row r="504">
      <c r="F504" s="296"/>
      <c r="G504" s="296"/>
    </row>
    <row r="505">
      <c r="F505" s="296"/>
      <c r="G505" s="296"/>
    </row>
    <row r="506">
      <c r="F506" s="296"/>
      <c r="G506" s="296"/>
    </row>
    <row r="507">
      <c r="F507" s="296"/>
      <c r="G507" s="296"/>
    </row>
    <row r="508">
      <c r="F508" s="296"/>
      <c r="G508" s="296"/>
    </row>
    <row r="509">
      <c r="F509" s="296"/>
      <c r="G509" s="296"/>
    </row>
    <row r="510">
      <c r="F510" s="296"/>
      <c r="G510" s="296"/>
    </row>
    <row r="511">
      <c r="F511" s="296"/>
      <c r="G511" s="296"/>
    </row>
    <row r="512">
      <c r="F512" s="296"/>
      <c r="G512" s="296"/>
    </row>
    <row r="513">
      <c r="F513" s="296"/>
      <c r="G513" s="296"/>
    </row>
  </sheetData>
  <autoFilter ref="A1:P314"/>
  <dataValidations count="3">
    <dataValidation allowBlank="true" errorStyle="stop" showErrorMessage="true" sqref="B2:B7 B9:B14 B16:B21 B23:B29 B31:B36 B38:B43 B45:B50 B52:B57 B59:B64 B66:B71" type="list">
      <formula1>"王硕硕,蒲奕西,郝旭靓,刘杰宇,郭子硕,刘梦,井欣阅,陈旭,田宇尚,王亚倩,高娟"</formula1>
    </dataValidation>
    <dataValidation allowBlank="true" errorStyle="stop" showErrorMessage="true" sqref="B73:B78 B80:B85 B87:B93 B95:B101 B103:B109 B111:B117 B119:B125 B127:B133" type="list">
      <formula1>"王硕硕,蒲奕西,郝旭靓,刘杰宇,郭子硕,刘梦,井欣阅,陈旭,田宇尚,王亚倩,高娟,王蕊"</formula1>
    </dataValidation>
    <dataValidation allowBlank="true" errorStyle="stop" showErrorMessage="true" sqref="B135:B141 B143:B149 B151:B157 B159:B165 B167:B173 B175:B181 B183:B189 B191:B196 B198:B203 B205:B210 B212:B217 B219:B224 B226:B231" type="list">
      <formula1>"王硕硕,蒲奕西,郝旭靓,刘杰宇,郭子硕,刘梦,井欣阅,陈旭,田宇尚,王亚倩,高娟,王蕊,于慧"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6" min="6" style="0" width="12.56338028169014"/>
    <col collapsed="false" customWidth="true" hidden="false" max="10" min="10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4" min="4" style="0" width="12.64480633802817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5" min="5" style="0" width="12.56338028169014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301" t="s">
        <v>506</v>
      </c>
      <c r="B1" s="301" t="s">
        <v>507</v>
      </c>
      <c r="C1" s="301" t="s">
        <v>508</v>
      </c>
      <c r="D1" s="301" t="s">
        <v>509</v>
      </c>
      <c r="E1" s="301" t="s">
        <v>510</v>
      </c>
      <c r="F1" s="302" t="s">
        <v>511</v>
      </c>
      <c r="G1" s="302" t="s">
        <v>512</v>
      </c>
      <c r="H1" s="302" t="s">
        <v>513</v>
      </c>
      <c r="I1" s="302" t="s">
        <v>514</v>
      </c>
      <c r="J1" s="302" t="s">
        <v>515</v>
      </c>
      <c r="K1" s="301" t="s">
        <v>516</v>
      </c>
      <c r="L1" s="301" t="s">
        <v>517</v>
      </c>
      <c r="M1" s="301" t="s">
        <v>518</v>
      </c>
      <c r="N1" s="301" t="s">
        <v>519</v>
      </c>
      <c r="O1" s="301" t="s">
        <v>520</v>
      </c>
      <c r="P1" s="301" t="s">
        <v>521</v>
      </c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</row>
    <row hidden="true" r="2">
      <c r="A2" s="303" t="s">
        <v>522</v>
      </c>
      <c r="B2" s="304" t="s">
        <v>523</v>
      </c>
      <c r="C2" s="305" t="s">
        <v>524</v>
      </c>
      <c r="D2" s="305">
        <v>5</v>
      </c>
      <c r="E2" s="306">
        <v>10</v>
      </c>
      <c r="F2" s="306">
        <v>13885.8</v>
      </c>
      <c r="G2" s="306">
        <v>16461.84</v>
      </c>
      <c r="H2" s="307">
        <f t="shared" ref="H2:H175" si="0">F2/G2</f>
      </c>
      <c r="I2" s="307">
        <f t="shared" ref="I2:I175" si="3">F2/E2</f>
      </c>
      <c r="J2" s="307">
        <f t="shared" ref="J2:J8" si="1">G2/E2</f>
      </c>
      <c r="K2" s="306">
        <v>2</v>
      </c>
      <c r="L2" s="306">
        <v>2494.8</v>
      </c>
      <c r="M2" s="306" t="s">
        <v>525</v>
      </c>
      <c r="N2" s="306">
        <v>10</v>
      </c>
      <c r="O2" s="305" t="s">
        <v>526</v>
      </c>
      <c r="P2" s="305">
        <v>10</v>
      </c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</row>
    <row hidden="true" r="3">
      <c r="A3" s="303" t="s">
        <v>522</v>
      </c>
      <c r="B3" s="304" t="s">
        <v>527</v>
      </c>
      <c r="C3" s="305" t="s">
        <v>528</v>
      </c>
      <c r="D3" s="305">
        <v>5</v>
      </c>
      <c r="E3" s="306">
        <v>35</v>
      </c>
      <c r="F3" s="306">
        <v>43545.6</v>
      </c>
      <c r="G3" s="306">
        <v>23024.23</v>
      </c>
      <c r="H3" s="307">
        <f t="shared" si="0"/>
      </c>
      <c r="I3" s="307">
        <f t="shared" si="3"/>
      </c>
      <c r="J3" s="307">
        <f t="shared" si="1"/>
      </c>
      <c r="K3" s="306">
        <v>5</v>
      </c>
      <c r="L3" s="306">
        <v>6313.2</v>
      </c>
      <c r="M3" s="305"/>
      <c r="N3" s="305"/>
      <c r="O3" s="308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</row>
    <row hidden="true" r="4">
      <c r="A4" s="303" t="s">
        <v>522</v>
      </c>
      <c r="B4" s="304" t="s">
        <v>529</v>
      </c>
      <c r="C4" s="306" t="s">
        <v>530</v>
      </c>
      <c r="D4" s="306">
        <v>2</v>
      </c>
      <c r="E4" s="306">
        <v>2</v>
      </c>
      <c r="F4" s="306">
        <v>768.0000000000073</v>
      </c>
      <c r="G4" s="306">
        <v>4468.37</v>
      </c>
      <c r="H4" s="307">
        <f t="shared" si="0"/>
      </c>
      <c r="I4" s="307">
        <f t="shared" si="3"/>
      </c>
      <c r="J4" s="307">
        <f t="shared" si="1"/>
      </c>
      <c r="K4" s="306">
        <v>1</v>
      </c>
      <c r="L4" s="306">
        <v>396</v>
      </c>
      <c r="M4" s="305"/>
      <c r="N4" s="305"/>
      <c r="O4" s="308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5"/>
      <c r="AI4" s="305"/>
      <c r="AJ4" s="305"/>
    </row>
    <row hidden="true" r="5">
      <c r="A5" s="303" t="s">
        <v>522</v>
      </c>
      <c r="B5" s="304" t="s">
        <v>531</v>
      </c>
      <c r="C5" s="306" t="s">
        <v>532</v>
      </c>
      <c r="D5" s="306">
        <v>3</v>
      </c>
      <c r="E5" s="306">
        <v>6</v>
      </c>
      <c r="F5" s="306">
        <v>7040.199999999997</v>
      </c>
      <c r="G5" s="306">
        <v>6168.97</v>
      </c>
      <c r="H5" s="307">
        <f t="shared" si="0"/>
      </c>
      <c r="I5" s="307">
        <f t="shared" si="3"/>
      </c>
      <c r="J5" s="307">
        <f t="shared" si="1"/>
      </c>
      <c r="K5" s="306">
        <v>3</v>
      </c>
      <c r="L5" s="306">
        <v>2602.600000000002</v>
      </c>
      <c r="M5" s="306"/>
      <c r="N5" s="306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</row>
    <row hidden="true" r="6">
      <c r="A6" s="303" t="s">
        <v>522</v>
      </c>
      <c r="B6" s="304" t="s">
        <v>533</v>
      </c>
      <c r="C6" s="306" t="s">
        <v>534</v>
      </c>
      <c r="D6" s="306">
        <v>5</v>
      </c>
      <c r="E6" s="306">
        <v>25</v>
      </c>
      <c r="F6" s="306">
        <v>26139.79999999998</v>
      </c>
      <c r="G6" s="306">
        <v>24413.59</v>
      </c>
      <c r="H6" s="307">
        <f t="shared" si="0"/>
      </c>
      <c r="I6" s="307">
        <f t="shared" si="3"/>
      </c>
      <c r="J6" s="307">
        <f t="shared" si="1"/>
      </c>
      <c r="K6" s="306">
        <v>1</v>
      </c>
      <c r="L6" s="306">
        <v>443.9999999999982</v>
      </c>
      <c r="M6" s="306" t="s">
        <v>535</v>
      </c>
      <c r="N6" s="306">
        <v>10</v>
      </c>
      <c r="O6" s="305" t="s">
        <v>536</v>
      </c>
      <c r="P6" s="305">
        <v>10</v>
      </c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</row>
    <row r="7">
      <c r="A7" s="309" t="s">
        <v>522</v>
      </c>
      <c r="B7" s="310"/>
      <c r="C7" s="310"/>
      <c r="D7" s="311">
        <f>SUM(D2:D6)</f>
      </c>
      <c r="E7" s="311">
        <f>SUM(E2:E6)</f>
      </c>
      <c r="F7" s="311">
        <f>SUM(F2:F6)</f>
      </c>
      <c r="G7" s="311">
        <f>SUM(G2:G6)</f>
      </c>
      <c r="H7" s="312">
        <f t="shared" si="0"/>
      </c>
      <c r="I7" s="312">
        <f t="shared" si="3"/>
      </c>
      <c r="J7" s="312">
        <f t="shared" si="1"/>
      </c>
      <c r="K7" s="311">
        <f>SUM(K2:K6)</f>
      </c>
      <c r="L7" s="311">
        <f>SUM(L2:L6)</f>
      </c>
      <c r="M7" s="310"/>
      <c r="N7" s="311">
        <f>SUM(N2:N6)</f>
      </c>
      <c r="O7" s="310"/>
      <c r="P7" s="310">
        <f>SUM(P2:P6)</f>
      </c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310"/>
      <c r="AJ7" s="310"/>
    </row>
    <row hidden="true" r="8">
      <c r="A8" s="303" t="s">
        <v>537</v>
      </c>
      <c r="B8" s="304" t="s">
        <v>523</v>
      </c>
      <c r="C8" s="305" t="s">
        <v>524</v>
      </c>
      <c r="D8" s="305">
        <v>5</v>
      </c>
      <c r="E8" s="306">
        <v>27</v>
      </c>
      <c r="F8" s="306">
        <v>26174.96</v>
      </c>
      <c r="G8" s="306">
        <v>23144.8</v>
      </c>
      <c r="H8" s="307">
        <f t="shared" si="0"/>
      </c>
      <c r="I8" s="307">
        <f t="shared" si="3"/>
      </c>
      <c r="J8" s="307">
        <f t="shared" si="1"/>
      </c>
      <c r="K8" s="306">
        <v>6</v>
      </c>
      <c r="L8" s="306">
        <v>4502.4</v>
      </c>
      <c r="M8" s="306" t="s">
        <v>525</v>
      </c>
      <c r="N8" s="306">
        <v>10</v>
      </c>
      <c r="O8" s="305" t="s">
        <v>526</v>
      </c>
      <c r="P8" s="305">
        <v>10</v>
      </c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</row>
    <row hidden="true" r="9">
      <c r="A9" s="303" t="s">
        <v>537</v>
      </c>
      <c r="B9" s="304" t="s">
        <v>538</v>
      </c>
      <c r="C9" s="305" t="s">
        <v>528</v>
      </c>
      <c r="D9" s="305">
        <v>5</v>
      </c>
      <c r="E9" s="306">
        <v>15</v>
      </c>
      <c r="F9" s="306">
        <v>15482.4</v>
      </c>
      <c r="G9" s="306">
        <v>10296.09</v>
      </c>
      <c r="H9" s="307">
        <f t="shared" si="0"/>
      </c>
      <c r="I9" s="307">
        <f t="shared" si="3"/>
      </c>
      <c r="J9" s="307">
        <f>G8/E9</f>
      </c>
      <c r="K9" s="306">
        <v>3</v>
      </c>
      <c r="L9" s="306">
        <v>2553.6000000000004</v>
      </c>
      <c r="M9" s="305"/>
      <c r="N9" s="305"/>
      <c r="O9" s="308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</row>
    <row hidden="true" r="10">
      <c r="A10" s="303" t="s">
        <v>537</v>
      </c>
      <c r="B10" s="304" t="s">
        <v>527</v>
      </c>
      <c r="C10" s="306" t="s">
        <v>534</v>
      </c>
      <c r="D10" s="306">
        <v>5</v>
      </c>
      <c r="E10" s="306">
        <v>21</v>
      </c>
      <c r="F10" s="306">
        <v>30943.399999999987</v>
      </c>
      <c r="G10" s="306">
        <v>22627.25</v>
      </c>
      <c r="H10" s="307">
        <f t="shared" si="0"/>
      </c>
      <c r="I10" s="307">
        <f t="shared" si="3"/>
      </c>
      <c r="J10" s="307">
        <f t="shared" ref="J10:J175" si="2">G10/E10</f>
      </c>
      <c r="K10" s="306">
        <v>4</v>
      </c>
      <c r="L10" s="306">
        <v>5203.200000000001</v>
      </c>
      <c r="M10" s="306" t="s">
        <v>539</v>
      </c>
      <c r="N10" s="306">
        <v>5</v>
      </c>
      <c r="O10" s="305" t="s">
        <v>536</v>
      </c>
      <c r="P10" s="306">
        <v>5</v>
      </c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</row>
    <row r="11">
      <c r="A11" s="309" t="s">
        <v>537</v>
      </c>
      <c r="B11" s="310"/>
      <c r="C11" s="310"/>
      <c r="D11" s="311">
        <f>SUM(D8:D10)</f>
      </c>
      <c r="E11" s="311">
        <f>SUM(E8:E10)</f>
      </c>
      <c r="F11" s="311">
        <f>SUM(F8:F10)</f>
      </c>
      <c r="G11" s="311">
        <f>SUM(G8:G10)</f>
      </c>
      <c r="H11" s="312">
        <f t="shared" si="0"/>
      </c>
      <c r="I11" s="312">
        <f t="shared" si="3"/>
      </c>
      <c r="J11" s="312">
        <f t="shared" si="2"/>
      </c>
      <c r="K11" s="311">
        <f>SUM(K8:K10)</f>
      </c>
      <c r="L11" s="311">
        <f>SUM(L8:L10)</f>
      </c>
      <c r="M11" s="310"/>
      <c r="N11" s="311">
        <f>SUM(N8:N10)</f>
      </c>
      <c r="O11" s="310"/>
      <c r="P11" s="310">
        <f>SUM(P8:P10)</f>
      </c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</row>
    <row hidden="true" r="12">
      <c r="A12" s="303" t="s">
        <v>540</v>
      </c>
      <c r="B12" s="304" t="s">
        <v>533</v>
      </c>
      <c r="C12" s="305" t="s">
        <v>524</v>
      </c>
      <c r="D12" s="305">
        <v>5</v>
      </c>
      <c r="E12" s="306">
        <v>30</v>
      </c>
      <c r="F12" s="306">
        <v>44603.8</v>
      </c>
      <c r="G12" s="306">
        <v>32813.07</v>
      </c>
      <c r="H12" s="307">
        <f t="shared" si="0"/>
      </c>
      <c r="I12" s="307">
        <f t="shared" si="3"/>
      </c>
      <c r="J12" s="307">
        <f t="shared" si="2"/>
      </c>
      <c r="K12" s="306">
        <v>9</v>
      </c>
      <c r="L12" s="306">
        <v>13430.4</v>
      </c>
      <c r="M12" s="306" t="s">
        <v>525</v>
      </c>
      <c r="N12" s="306">
        <v>10</v>
      </c>
      <c r="O12" s="305" t="s">
        <v>526</v>
      </c>
      <c r="P12" s="305">
        <v>10</v>
      </c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</row>
    <row hidden="true" r="13">
      <c r="A13" s="303" t="s">
        <v>540</v>
      </c>
      <c r="B13" s="304" t="s">
        <v>523</v>
      </c>
      <c r="C13" s="305" t="s">
        <v>528</v>
      </c>
      <c r="D13" s="305">
        <v>5</v>
      </c>
      <c r="E13" s="306">
        <v>23</v>
      </c>
      <c r="F13" s="306">
        <v>22056</v>
      </c>
      <c r="G13" s="306">
        <v>20021.12</v>
      </c>
      <c r="H13" s="307">
        <f t="shared" si="0"/>
      </c>
      <c r="I13" s="307">
        <f t="shared" si="3"/>
      </c>
      <c r="J13" s="307">
        <f t="shared" si="2"/>
      </c>
      <c r="K13" s="306">
        <v>4</v>
      </c>
      <c r="L13" s="306">
        <v>3244.8</v>
      </c>
      <c r="M13" s="305"/>
      <c r="N13" s="305"/>
      <c r="O13" s="308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</row>
    <row hidden="true" r="14">
      <c r="A14" s="303" t="s">
        <v>540</v>
      </c>
      <c r="B14" s="304" t="s">
        <v>529</v>
      </c>
      <c r="C14" s="306" t="s">
        <v>530</v>
      </c>
      <c r="D14" s="306">
        <v>2</v>
      </c>
      <c r="E14" s="306">
        <v>11</v>
      </c>
      <c r="F14" s="306">
        <v>9163.800000000017</v>
      </c>
      <c r="G14" s="306">
        <v>8390.84</v>
      </c>
      <c r="H14" s="307">
        <f t="shared" si="0"/>
      </c>
      <c r="I14" s="307">
        <f t="shared" si="3"/>
      </c>
      <c r="J14" s="307">
        <f t="shared" si="2"/>
      </c>
      <c r="K14" s="306">
        <v>2</v>
      </c>
      <c r="L14" s="306">
        <v>1051.2000000000044</v>
      </c>
      <c r="M14" s="305"/>
      <c r="N14" s="305"/>
      <c r="O14" s="308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</row>
    <row hidden="true" r="15">
      <c r="A15" s="303" t="s">
        <v>540</v>
      </c>
      <c r="B15" s="304" t="s">
        <v>538</v>
      </c>
      <c r="C15" s="306" t="s">
        <v>541</v>
      </c>
      <c r="D15" s="306">
        <v>4</v>
      </c>
      <c r="E15" s="306">
        <v>13</v>
      </c>
      <c r="F15" s="306">
        <v>10312</v>
      </c>
      <c r="G15" s="306">
        <v>12913.09</v>
      </c>
      <c r="H15" s="307">
        <f t="shared" si="0"/>
      </c>
      <c r="I15" s="307">
        <f t="shared" si="3"/>
      </c>
      <c r="J15" s="307">
        <f t="shared" si="2"/>
      </c>
      <c r="K15" s="306">
        <v>2</v>
      </c>
      <c r="L15" s="306">
        <v>1623.5999999999979</v>
      </c>
      <c r="M15" s="306"/>
      <c r="N15" s="306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</row>
    <row hidden="true" r="16">
      <c r="A16" s="303" t="s">
        <v>540</v>
      </c>
      <c r="B16" s="304" t="s">
        <v>527</v>
      </c>
      <c r="C16" s="306" t="s">
        <v>542</v>
      </c>
      <c r="D16" s="306">
        <v>4</v>
      </c>
      <c r="E16" s="306">
        <v>21</v>
      </c>
      <c r="F16" s="306">
        <v>22255.199999999997</v>
      </c>
      <c r="G16" s="306">
        <v>14863.130000000001</v>
      </c>
      <c r="H16" s="307">
        <f t="shared" si="0"/>
      </c>
      <c r="I16" s="307">
        <f t="shared" si="3"/>
      </c>
      <c r="J16" s="307">
        <f t="shared" si="2"/>
      </c>
      <c r="K16" s="306">
        <v>3</v>
      </c>
      <c r="L16" s="306">
        <v>1026</v>
      </c>
      <c r="M16" s="306" t="s">
        <v>535</v>
      </c>
      <c r="N16" s="306">
        <v>10</v>
      </c>
      <c r="O16" s="305" t="s">
        <v>536</v>
      </c>
      <c r="P16" s="305">
        <v>10</v>
      </c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</row>
    <row r="17">
      <c r="A17" s="309" t="s">
        <v>540</v>
      </c>
      <c r="B17" s="310"/>
      <c r="C17" s="310"/>
      <c r="D17" s="311">
        <f>SUM(D12:D16)</f>
      </c>
      <c r="E17" s="311">
        <f>SUM(E12:E16)</f>
      </c>
      <c r="F17" s="311">
        <f>SUM(F12:F16)</f>
      </c>
      <c r="G17" s="311">
        <f>SUM(G12:G16)</f>
      </c>
      <c r="H17" s="312">
        <f t="shared" si="0"/>
      </c>
      <c r="I17" s="312">
        <f t="shared" si="3"/>
      </c>
      <c r="J17" s="312">
        <f t="shared" si="2"/>
      </c>
      <c r="K17" s="311">
        <f>SUM(K12:K16)</f>
      </c>
      <c r="L17" s="311">
        <f>SUM(L12:L16)</f>
      </c>
      <c r="M17" s="310"/>
      <c r="N17" s="311">
        <f>SUM(N12:N16)</f>
      </c>
      <c r="O17" s="310"/>
      <c r="P17" s="310">
        <f>SUM(P12:P16)</f>
      </c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</row>
    <row hidden="true" r="18">
      <c r="A18" s="303" t="s">
        <v>543</v>
      </c>
      <c r="B18" s="304" t="s">
        <v>533</v>
      </c>
      <c r="C18" s="305" t="s">
        <v>524</v>
      </c>
      <c r="D18" s="305">
        <v>5</v>
      </c>
      <c r="E18" s="306">
        <v>16</v>
      </c>
      <c r="F18" s="306">
        <v>21703.2</v>
      </c>
      <c r="G18" s="306">
        <v>17757.660000000003</v>
      </c>
      <c r="H18" s="307">
        <f t="shared" si="0"/>
      </c>
      <c r="I18" s="307">
        <f t="shared" si="3"/>
      </c>
      <c r="J18" s="307">
        <f t="shared" si="2"/>
      </c>
      <c r="K18" s="306">
        <v>5</v>
      </c>
      <c r="L18" s="306">
        <v>6592.8</v>
      </c>
      <c r="M18" s="306" t="s">
        <v>525</v>
      </c>
      <c r="N18" s="306">
        <v>10</v>
      </c>
      <c r="O18" s="306" t="s">
        <v>544</v>
      </c>
      <c r="P18" s="305">
        <v>10</v>
      </c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</row>
    <row hidden="true" r="19">
      <c r="A19" s="303" t="s">
        <v>543</v>
      </c>
      <c r="B19" s="304" t="s">
        <v>523</v>
      </c>
      <c r="C19" s="305" t="s">
        <v>528</v>
      </c>
      <c r="D19" s="305">
        <v>5</v>
      </c>
      <c r="E19" s="306">
        <v>21</v>
      </c>
      <c r="F19" s="306">
        <v>35266.8</v>
      </c>
      <c r="G19" s="306">
        <v>15869.240000000003</v>
      </c>
      <c r="H19" s="307">
        <f t="shared" si="0"/>
      </c>
      <c r="I19" s="307">
        <f t="shared" si="3"/>
      </c>
      <c r="J19" s="307">
        <f t="shared" si="2"/>
      </c>
      <c r="K19" s="306">
        <v>3</v>
      </c>
      <c r="L19" s="306">
        <v>3571.2</v>
      </c>
      <c r="M19" s="305"/>
      <c r="N19" s="305"/>
      <c r="O19" s="308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305"/>
      <c r="AB19" s="305"/>
      <c r="AC19" s="305"/>
      <c r="AD19" s="305"/>
      <c r="AE19" s="305"/>
      <c r="AF19" s="305"/>
      <c r="AG19" s="305"/>
      <c r="AH19" s="305"/>
      <c r="AI19" s="305"/>
      <c r="AJ19" s="305"/>
    </row>
    <row hidden="true" r="20">
      <c r="A20" s="303" t="s">
        <v>543</v>
      </c>
      <c r="B20" s="304" t="s">
        <v>529</v>
      </c>
      <c r="C20" s="306" t="s">
        <v>530</v>
      </c>
      <c r="D20" s="306">
        <v>2</v>
      </c>
      <c r="E20" s="306">
        <v>8</v>
      </c>
      <c r="F20" s="306">
        <v>9552.199999999997</v>
      </c>
      <c r="G20" s="306">
        <v>10839.8</v>
      </c>
      <c r="H20" s="307">
        <f t="shared" si="0"/>
      </c>
      <c r="I20" s="307">
        <f t="shared" si="3"/>
      </c>
      <c r="J20" s="307">
        <f t="shared" si="2"/>
      </c>
      <c r="K20" s="306">
        <v>2</v>
      </c>
      <c r="L20" s="306">
        <v>1370.3999999999996</v>
      </c>
      <c r="M20" s="305"/>
      <c r="N20" s="305"/>
      <c r="O20" s="308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</row>
    <row hidden="true" r="21">
      <c r="A21" s="303" t="s">
        <v>543</v>
      </c>
      <c r="B21" s="304" t="s">
        <v>527</v>
      </c>
      <c r="C21" s="306" t="s">
        <v>541</v>
      </c>
      <c r="D21" s="306">
        <v>4</v>
      </c>
      <c r="E21" s="306">
        <v>24</v>
      </c>
      <c r="F21" s="306">
        <v>33101.40000000001</v>
      </c>
      <c r="G21" s="306">
        <v>18284.579999999998</v>
      </c>
      <c r="H21" s="307">
        <f t="shared" si="0"/>
      </c>
      <c r="I21" s="307">
        <f t="shared" si="3"/>
      </c>
      <c r="J21" s="307">
        <f t="shared" si="2"/>
      </c>
      <c r="K21" s="306">
        <v>5</v>
      </c>
      <c r="L21" s="306">
        <v>4875.6</v>
      </c>
      <c r="M21" s="306"/>
      <c r="N21" s="306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</row>
    <row hidden="true" r="22">
      <c r="A22" s="303" t="s">
        <v>543</v>
      </c>
      <c r="B22" s="304" t="s">
        <v>538</v>
      </c>
      <c r="C22" s="306" t="s">
        <v>542</v>
      </c>
      <c r="D22" s="306">
        <v>4</v>
      </c>
      <c r="E22" s="306">
        <v>18</v>
      </c>
      <c r="F22" s="306">
        <v>19928.899999999994</v>
      </c>
      <c r="G22" s="306">
        <v>19876.36</v>
      </c>
      <c r="H22" s="307">
        <f t="shared" si="0"/>
      </c>
      <c r="I22" s="307">
        <f t="shared" si="3"/>
      </c>
      <c r="J22" s="307">
        <f t="shared" si="2"/>
      </c>
      <c r="K22" s="306">
        <v>2</v>
      </c>
      <c r="L22" s="306">
        <v>1516.7999999999993</v>
      </c>
      <c r="M22" s="306" t="s">
        <v>535</v>
      </c>
      <c r="N22" s="306">
        <v>10</v>
      </c>
      <c r="O22" s="305" t="s">
        <v>536</v>
      </c>
      <c r="P22" s="305">
        <v>10</v>
      </c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</row>
    <row r="23">
      <c r="A23" s="309" t="s">
        <v>543</v>
      </c>
      <c r="B23" s="310"/>
      <c r="C23" s="310"/>
      <c r="D23" s="311">
        <f>SUM(D18:D22)</f>
      </c>
      <c r="E23" s="311">
        <f>SUM(E18:E22)</f>
      </c>
      <c r="F23" s="311">
        <f>SUM(F18:F22)</f>
      </c>
      <c r="G23" s="311">
        <f>SUM(G18:G22)</f>
      </c>
      <c r="H23" s="312">
        <f t="shared" si="0"/>
      </c>
      <c r="I23" s="312">
        <f t="shared" si="3"/>
      </c>
      <c r="J23" s="312">
        <f t="shared" si="2"/>
      </c>
      <c r="K23" s="311">
        <f>SUM(K18:K22)</f>
      </c>
      <c r="L23" s="311">
        <f>SUM(L18:L22)</f>
      </c>
      <c r="M23" s="310"/>
      <c r="N23" s="311">
        <f>SUM(N18:N22)</f>
      </c>
      <c r="O23" s="310"/>
      <c r="P23" s="310">
        <f>SUM(P18:P22)</f>
      </c>
      <c r="Q23" s="310"/>
      <c r="R23" s="310"/>
      <c r="S23" s="310"/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  <c r="AF23" s="310"/>
      <c r="AG23" s="310"/>
      <c r="AH23" s="310"/>
      <c r="AI23" s="310"/>
      <c r="AJ23" s="310"/>
    </row>
    <row hidden="true" r="24">
      <c r="A24" s="303" t="s">
        <v>545</v>
      </c>
      <c r="B24" s="304" t="s">
        <v>533</v>
      </c>
      <c r="C24" s="306" t="s">
        <v>546</v>
      </c>
      <c r="D24" s="306">
        <v>4</v>
      </c>
      <c r="E24" s="306">
        <v>21</v>
      </c>
      <c r="F24" s="306">
        <v>28473</v>
      </c>
      <c r="G24" s="306">
        <v>16877.03</v>
      </c>
      <c r="H24" s="307">
        <f t="shared" si="0"/>
      </c>
      <c r="I24" s="307">
        <f t="shared" si="3"/>
      </c>
      <c r="J24" s="307">
        <f t="shared" si="2"/>
      </c>
      <c r="K24" s="306">
        <v>5</v>
      </c>
      <c r="L24" s="306">
        <v>7557.6</v>
      </c>
      <c r="M24" s="306" t="s">
        <v>525</v>
      </c>
      <c r="N24" s="306">
        <v>11</v>
      </c>
      <c r="O24" s="306" t="s">
        <v>544</v>
      </c>
      <c r="P24" s="306">
        <v>11</v>
      </c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</row>
    <row hidden="true" r="25">
      <c r="A25" s="303" t="s">
        <v>545</v>
      </c>
      <c r="B25" s="304" t="s">
        <v>531</v>
      </c>
      <c r="C25" s="306" t="s">
        <v>547</v>
      </c>
      <c r="D25" s="305">
        <v>5</v>
      </c>
      <c r="E25" s="306">
        <v>26</v>
      </c>
      <c r="F25" s="306">
        <v>29558.16</v>
      </c>
      <c r="G25" s="306">
        <v>26129.93</v>
      </c>
      <c r="H25" s="307">
        <f t="shared" si="0"/>
      </c>
      <c r="I25" s="307">
        <f t="shared" si="3"/>
      </c>
      <c r="J25" s="307">
        <f t="shared" si="2"/>
      </c>
      <c r="K25" s="306">
        <v>3</v>
      </c>
      <c r="L25" s="306">
        <v>2043.2</v>
      </c>
      <c r="M25" s="305"/>
      <c r="N25" s="305"/>
      <c r="O25" s="308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</row>
    <row hidden="true" r="26">
      <c r="A26" s="303" t="s">
        <v>545</v>
      </c>
      <c r="B26" s="304" t="s">
        <v>529</v>
      </c>
      <c r="C26" s="306" t="s">
        <v>548</v>
      </c>
      <c r="D26" s="306">
        <v>4</v>
      </c>
      <c r="E26" s="306">
        <v>18</v>
      </c>
      <c r="F26" s="306">
        <v>20220</v>
      </c>
      <c r="G26" s="306">
        <v>13781.899999999998</v>
      </c>
      <c r="H26" s="307">
        <f t="shared" si="0"/>
      </c>
      <c r="I26" s="307">
        <f t="shared" si="3"/>
      </c>
      <c r="J26" s="307">
        <f t="shared" si="2"/>
      </c>
      <c r="K26" s="306">
        <v>2</v>
      </c>
      <c r="L26" s="306">
        <v>2059.2</v>
      </c>
      <c r="M26" s="305"/>
      <c r="N26" s="305"/>
      <c r="O26" s="308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5"/>
    </row>
    <row hidden="true" r="27">
      <c r="A27" s="303" t="s">
        <v>545</v>
      </c>
      <c r="B27" s="304" t="s">
        <v>538</v>
      </c>
      <c r="C27" s="306" t="s">
        <v>549</v>
      </c>
      <c r="D27" s="306">
        <v>4</v>
      </c>
      <c r="E27" s="306">
        <v>11</v>
      </c>
      <c r="F27" s="306">
        <v>7602</v>
      </c>
      <c r="G27" s="306">
        <v>9822.490000000002</v>
      </c>
      <c r="H27" s="307">
        <f t="shared" si="0"/>
      </c>
      <c r="I27" s="307">
        <f t="shared" si="3"/>
      </c>
      <c r="J27" s="307">
        <f t="shared" si="2"/>
      </c>
      <c r="K27" s="306">
        <v>3</v>
      </c>
      <c r="L27" s="306">
        <v>3451.2000000000007</v>
      </c>
      <c r="M27" s="306"/>
      <c r="N27" s="306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</row>
    <row hidden="true" r="28">
      <c r="A28" s="303" t="s">
        <v>545</v>
      </c>
      <c r="B28" s="304" t="s">
        <v>527</v>
      </c>
      <c r="C28" s="306" t="s">
        <v>534</v>
      </c>
      <c r="D28" s="306">
        <v>5</v>
      </c>
      <c r="E28" s="306">
        <v>20</v>
      </c>
      <c r="F28" s="306">
        <v>29386.199999999997</v>
      </c>
      <c r="G28" s="306">
        <v>20660.329999999998</v>
      </c>
      <c r="H28" s="307">
        <f t="shared" si="0"/>
      </c>
      <c r="I28" s="307">
        <f t="shared" si="3"/>
      </c>
      <c r="J28" s="307">
        <f t="shared" si="2"/>
      </c>
      <c r="K28" s="306">
        <v>2</v>
      </c>
      <c r="L28" s="306">
        <v>2305.2000000000007</v>
      </c>
      <c r="M28" s="306" t="s">
        <v>539</v>
      </c>
      <c r="N28" s="306">
        <v>11</v>
      </c>
      <c r="O28" s="305" t="s">
        <v>536</v>
      </c>
      <c r="P28" s="306">
        <v>11</v>
      </c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6"/>
    </row>
    <row r="29">
      <c r="A29" s="309" t="s">
        <v>545</v>
      </c>
      <c r="B29" s="310"/>
      <c r="C29" s="310"/>
      <c r="D29" s="311">
        <f>SUM(D24:D28)</f>
      </c>
      <c r="E29" s="311">
        <f>SUM(E24:E28)</f>
      </c>
      <c r="F29" s="311">
        <f>SUM(F24:F28)</f>
      </c>
      <c r="G29" s="311">
        <f>SUM(G24:G28)</f>
      </c>
      <c r="H29" s="312">
        <f t="shared" si="0"/>
      </c>
      <c r="I29" s="312">
        <f t="shared" si="3"/>
      </c>
      <c r="J29" s="312">
        <f t="shared" si="2"/>
      </c>
      <c r="K29" s="311">
        <f>SUM(K24:K28)</f>
      </c>
      <c r="L29" s="311">
        <f>SUM(L24:L28)</f>
      </c>
      <c r="M29" s="310"/>
      <c r="N29" s="311">
        <f>SUM(N24:N28)</f>
      </c>
      <c r="O29" s="310"/>
      <c r="P29" s="310">
        <f>SUM(P24:P28)</f>
      </c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310"/>
      <c r="AE29" s="310"/>
      <c r="AF29" s="310"/>
      <c r="AG29" s="310"/>
      <c r="AH29" s="310"/>
      <c r="AI29" s="310"/>
      <c r="AJ29" s="310"/>
    </row>
    <row hidden="true" r="30">
      <c r="A30" s="303" t="s">
        <v>550</v>
      </c>
      <c r="B30" s="304" t="s">
        <v>531</v>
      </c>
      <c r="C30" s="306" t="s">
        <v>546</v>
      </c>
      <c r="D30" s="306">
        <v>4</v>
      </c>
      <c r="E30" s="306">
        <v>18</v>
      </c>
      <c r="F30" s="306">
        <v>21408</v>
      </c>
      <c r="G30" s="306">
        <v>18919.39</v>
      </c>
      <c r="H30" s="307">
        <f t="shared" si="0"/>
      </c>
      <c r="I30" s="307">
        <f t="shared" si="3"/>
      </c>
      <c r="J30" s="307">
        <f t="shared" si="2"/>
      </c>
      <c r="K30" s="306">
        <v>6</v>
      </c>
      <c r="L30" s="306">
        <v>7543.200000000001</v>
      </c>
      <c r="M30" s="306" t="s">
        <v>525</v>
      </c>
      <c r="N30" s="306">
        <v>11</v>
      </c>
      <c r="O30" s="306" t="s">
        <v>544</v>
      </c>
      <c r="P30" s="306">
        <v>11</v>
      </c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</row>
    <row hidden="true" r="31">
      <c r="A31" s="303" t="s">
        <v>550</v>
      </c>
      <c r="B31" s="304" t="s">
        <v>533</v>
      </c>
      <c r="C31" s="306" t="s">
        <v>547</v>
      </c>
      <c r="D31" s="305">
        <v>5</v>
      </c>
      <c r="E31" s="306">
        <v>23</v>
      </c>
      <c r="F31" s="306">
        <v>31364.4</v>
      </c>
      <c r="G31" s="306">
        <v>27958.34</v>
      </c>
      <c r="H31" s="307">
        <f t="shared" si="0"/>
      </c>
      <c r="I31" s="307">
        <f t="shared" si="3"/>
      </c>
      <c r="J31" s="307">
        <f t="shared" si="2"/>
      </c>
      <c r="K31" s="306">
        <v>4</v>
      </c>
      <c r="L31" s="306">
        <v>5138.4</v>
      </c>
      <c r="M31" s="305"/>
      <c r="N31" s="305"/>
      <c r="O31" s="308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</row>
    <row hidden="true" r="32">
      <c r="A32" s="303" t="s">
        <v>550</v>
      </c>
      <c r="B32" s="304" t="s">
        <v>529</v>
      </c>
      <c r="C32" s="306" t="s">
        <v>548</v>
      </c>
      <c r="D32" s="306">
        <v>4</v>
      </c>
      <c r="E32" s="306">
        <v>11</v>
      </c>
      <c r="F32" s="306">
        <v>15961.200000000003</v>
      </c>
      <c r="G32" s="306">
        <v>13256.849999999999</v>
      </c>
      <c r="H32" s="307">
        <f t="shared" si="0"/>
      </c>
      <c r="I32" s="307">
        <f t="shared" si="3"/>
      </c>
      <c r="J32" s="307">
        <f t="shared" si="2"/>
      </c>
      <c r="K32" s="306">
        <v>3</v>
      </c>
      <c r="L32" s="306">
        <v>1628.4000000000015</v>
      </c>
      <c r="M32" s="305"/>
      <c r="N32" s="305"/>
      <c r="O32" s="308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  <c r="AF32" s="305"/>
      <c r="AG32" s="305"/>
      <c r="AH32" s="305"/>
      <c r="AI32" s="305"/>
      <c r="AJ32" s="305"/>
    </row>
    <row hidden="true" r="33">
      <c r="A33" s="303" t="s">
        <v>550</v>
      </c>
      <c r="B33" s="304" t="s">
        <v>527</v>
      </c>
      <c r="C33" s="306" t="s">
        <v>549</v>
      </c>
      <c r="D33" s="306">
        <v>4</v>
      </c>
      <c r="E33" s="306">
        <v>23</v>
      </c>
      <c r="F33" s="306">
        <v>32697.600000000006</v>
      </c>
      <c r="G33" s="306">
        <v>10620.28</v>
      </c>
      <c r="H33" s="307">
        <f t="shared" si="0"/>
      </c>
      <c r="I33" s="307">
        <f t="shared" si="3"/>
      </c>
      <c r="J33" s="307">
        <f t="shared" si="2"/>
      </c>
      <c r="K33" s="306">
        <v>4</v>
      </c>
      <c r="L33" s="306">
        <v>4934.4</v>
      </c>
      <c r="M33" s="306"/>
      <c r="N33" s="306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5"/>
      <c r="AG33" s="305"/>
      <c r="AH33" s="305"/>
      <c r="AI33" s="305"/>
      <c r="AJ33" s="305"/>
    </row>
    <row hidden="true" r="34">
      <c r="A34" s="303" t="s">
        <v>550</v>
      </c>
      <c r="B34" s="304" t="s">
        <v>523</v>
      </c>
      <c r="C34" s="306" t="s">
        <v>534</v>
      </c>
      <c r="D34" s="306">
        <v>5</v>
      </c>
      <c r="E34" s="306">
        <v>45</v>
      </c>
      <c r="F34" s="306">
        <v>60383.519999999975</v>
      </c>
      <c r="G34" s="306">
        <v>31950.99</v>
      </c>
      <c r="H34" s="307">
        <f t="shared" si="0"/>
      </c>
      <c r="I34" s="307">
        <f t="shared" si="3"/>
      </c>
      <c r="J34" s="307">
        <f t="shared" si="2"/>
      </c>
      <c r="K34" s="306">
        <v>9</v>
      </c>
      <c r="L34" s="306">
        <v>8463.119999999999</v>
      </c>
      <c r="M34" s="306" t="s">
        <v>535</v>
      </c>
      <c r="N34" s="306">
        <v>11</v>
      </c>
      <c r="O34" s="305" t="s">
        <v>536</v>
      </c>
      <c r="P34" s="306">
        <v>11</v>
      </c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</row>
    <row r="35">
      <c r="A35" s="309" t="s">
        <v>550</v>
      </c>
      <c r="B35" s="310"/>
      <c r="C35" s="310"/>
      <c r="D35" s="311">
        <f>SUM(D30:D34)</f>
      </c>
      <c r="E35" s="311">
        <f>SUM(E30:E34)</f>
      </c>
      <c r="F35" s="311">
        <f>SUM(F30:F34)</f>
      </c>
      <c r="G35" s="311">
        <f>SUM(G30:G34)</f>
      </c>
      <c r="H35" s="312">
        <f t="shared" si="0"/>
      </c>
      <c r="I35" s="312">
        <f t="shared" si="3"/>
      </c>
      <c r="J35" s="312">
        <f t="shared" si="2"/>
      </c>
      <c r="K35" s="311">
        <f>SUM(K30:K34)</f>
      </c>
      <c r="L35" s="311">
        <f>SUM(L30:L34)</f>
      </c>
      <c r="M35" s="310"/>
      <c r="N35" s="311">
        <f>SUM(N30:N34)</f>
      </c>
      <c r="O35" s="310"/>
      <c r="P35" s="310">
        <f>SUM(P30:P34)</f>
      </c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</row>
    <row hidden="true" r="36">
      <c r="A36" s="303" t="s">
        <v>551</v>
      </c>
      <c r="B36" s="304" t="s">
        <v>531</v>
      </c>
      <c r="C36" s="306" t="s">
        <v>546</v>
      </c>
      <c r="D36" s="306">
        <v>4</v>
      </c>
      <c r="E36" s="306">
        <v>30</v>
      </c>
      <c r="F36" s="306">
        <v>39837.6</v>
      </c>
      <c r="G36" s="306">
        <v>23776.77</v>
      </c>
      <c r="H36" s="307">
        <f t="shared" si="0"/>
      </c>
      <c r="I36" s="307">
        <f t="shared" si="3"/>
      </c>
      <c r="J36" s="307">
        <f t="shared" si="2"/>
      </c>
      <c r="K36" s="306">
        <v>7</v>
      </c>
      <c r="L36" s="306">
        <v>9870</v>
      </c>
      <c r="M36" s="306" t="s">
        <v>525</v>
      </c>
      <c r="N36" s="306">
        <v>11</v>
      </c>
      <c r="O36" s="313" t="s">
        <v>544</v>
      </c>
      <c r="P36" s="306">
        <v>11</v>
      </c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</row>
    <row hidden="true" r="37">
      <c r="A37" s="303" t="s">
        <v>551</v>
      </c>
      <c r="B37" s="304" t="s">
        <v>533</v>
      </c>
      <c r="C37" s="306" t="s">
        <v>552</v>
      </c>
      <c r="D37" s="306">
        <v>4</v>
      </c>
      <c r="E37" s="306">
        <v>10</v>
      </c>
      <c r="F37" s="306">
        <v>14697.96</v>
      </c>
      <c r="G37" s="306">
        <v>12531.98</v>
      </c>
      <c r="H37" s="307">
        <f t="shared" si="0"/>
      </c>
      <c r="I37" s="307">
        <f t="shared" si="3"/>
      </c>
      <c r="J37" s="307">
        <f t="shared" si="2"/>
      </c>
      <c r="K37" s="306">
        <v>4</v>
      </c>
      <c r="L37" s="306">
        <v>6129.599999999999</v>
      </c>
      <c r="M37" s="305"/>
      <c r="N37" s="314"/>
      <c r="O37" s="315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</row>
    <row hidden="true" r="38">
      <c r="A38" s="303" t="s">
        <v>551</v>
      </c>
      <c r="B38" s="304" t="s">
        <v>523</v>
      </c>
      <c r="C38" s="306" t="s">
        <v>553</v>
      </c>
      <c r="D38" s="306">
        <v>5</v>
      </c>
      <c r="E38" s="306">
        <v>6</v>
      </c>
      <c r="F38" s="306">
        <v>5013.600000000004</v>
      </c>
      <c r="G38" s="306">
        <v>8943.83</v>
      </c>
      <c r="H38" s="307">
        <f t="shared" si="0"/>
      </c>
      <c r="I38" s="307">
        <f t="shared" si="3"/>
      </c>
      <c r="J38" s="307">
        <f t="shared" si="2"/>
      </c>
      <c r="K38" s="306">
        <v>1</v>
      </c>
      <c r="L38" s="306">
        <v>715.2</v>
      </c>
      <c r="M38" s="305"/>
      <c r="N38" s="305"/>
      <c r="O38" s="308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5"/>
      <c r="AG38" s="305"/>
      <c r="AH38" s="305"/>
      <c r="AI38" s="305"/>
      <c r="AJ38" s="305"/>
    </row>
    <row hidden="true" r="39">
      <c r="A39" s="303" t="s">
        <v>551</v>
      </c>
      <c r="B39" s="304" t="s">
        <v>529</v>
      </c>
      <c r="C39" s="306" t="s">
        <v>549</v>
      </c>
      <c r="D39" s="306">
        <v>4</v>
      </c>
      <c r="E39" s="306">
        <v>7</v>
      </c>
      <c r="F39" s="306">
        <v>8517.119999999995</v>
      </c>
      <c r="G39" s="306">
        <v>7209.889999999999</v>
      </c>
      <c r="H39" s="307">
        <f t="shared" si="0"/>
      </c>
      <c r="I39" s="307">
        <f t="shared" si="3"/>
      </c>
      <c r="J39" s="307">
        <f t="shared" si="2"/>
      </c>
      <c r="K39" s="306">
        <v>3</v>
      </c>
      <c r="L39" s="306">
        <v>6583.200000000001</v>
      </c>
      <c r="M39" s="306"/>
      <c r="N39" s="306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</row>
    <row hidden="true" r="40">
      <c r="A40" s="303" t="s">
        <v>551</v>
      </c>
      <c r="B40" s="304" t="s">
        <v>527</v>
      </c>
      <c r="C40" s="306" t="s">
        <v>534</v>
      </c>
      <c r="D40" s="306">
        <v>5</v>
      </c>
      <c r="E40" s="306">
        <v>19</v>
      </c>
      <c r="F40" s="306">
        <v>19793.199999999997</v>
      </c>
      <c r="G40" s="306">
        <v>17575.62</v>
      </c>
      <c r="H40" s="307">
        <f t="shared" si="0"/>
      </c>
      <c r="I40" s="307">
        <f t="shared" si="3"/>
      </c>
      <c r="J40" s="307">
        <f t="shared" si="2"/>
      </c>
      <c r="K40" s="306">
        <v>8</v>
      </c>
      <c r="L40" s="306">
        <v>4638</v>
      </c>
      <c r="M40" s="306" t="s">
        <v>535</v>
      </c>
      <c r="N40" s="306">
        <v>11</v>
      </c>
      <c r="O40" s="305" t="s">
        <v>536</v>
      </c>
      <c r="P40" s="306">
        <v>11</v>
      </c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</row>
    <row r="41">
      <c r="A41" s="309" t="s">
        <v>551</v>
      </c>
      <c r="B41" s="310"/>
      <c r="C41" s="310"/>
      <c r="D41" s="311">
        <f>SUM(D36:D40)</f>
      </c>
      <c r="E41" s="311">
        <f>SUM(E36:E40)</f>
      </c>
      <c r="F41" s="311">
        <f>SUM(F36:F40)</f>
      </c>
      <c r="G41" s="311">
        <f>SUM(G36:G40)</f>
      </c>
      <c r="H41" s="312">
        <f t="shared" si="0"/>
      </c>
      <c r="I41" s="312">
        <f t="shared" si="3"/>
      </c>
      <c r="J41" s="312">
        <f t="shared" si="2"/>
      </c>
      <c r="K41" s="311">
        <f>SUM(K36:K40)</f>
      </c>
      <c r="L41" s="311">
        <f>SUM(L36:L40)</f>
      </c>
      <c r="M41" s="310"/>
      <c r="N41" s="311">
        <f>SUM(N36:N40)</f>
      </c>
      <c r="O41" s="310"/>
      <c r="P41" s="310">
        <f>SUM(P36:P40)</f>
      </c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</row>
    <row hidden="true" r="42">
      <c r="A42" s="303" t="s">
        <v>554</v>
      </c>
      <c r="B42" s="304" t="s">
        <v>531</v>
      </c>
      <c r="C42" s="306" t="s">
        <v>546</v>
      </c>
      <c r="D42" s="306">
        <v>4</v>
      </c>
      <c r="E42" s="306">
        <v>14</v>
      </c>
      <c r="F42" s="306">
        <v>24225.6</v>
      </c>
      <c r="G42" s="306">
        <v>17555.22</v>
      </c>
      <c r="H42" s="307">
        <f t="shared" si="0"/>
      </c>
      <c r="I42" s="307">
        <f t="shared" si="3"/>
      </c>
      <c r="J42" s="307">
        <f t="shared" si="2"/>
      </c>
      <c r="K42" s="306">
        <v>2</v>
      </c>
      <c r="L42" s="306">
        <v>1550.4</v>
      </c>
      <c r="M42" s="306" t="s">
        <v>525</v>
      </c>
      <c r="N42" s="306">
        <v>11</v>
      </c>
      <c r="O42" s="313" t="s">
        <v>544</v>
      </c>
      <c r="P42" s="306">
        <v>11</v>
      </c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</row>
    <row hidden="true" r="43">
      <c r="A43" s="303" t="s">
        <v>554</v>
      </c>
      <c r="B43" s="304" t="s">
        <v>523</v>
      </c>
      <c r="C43" s="306" t="s">
        <v>547</v>
      </c>
      <c r="D43" s="306">
        <v>5</v>
      </c>
      <c r="E43" s="306">
        <v>18</v>
      </c>
      <c r="F43" s="306">
        <v>28524.2</v>
      </c>
      <c r="G43" s="306">
        <v>18092.82</v>
      </c>
      <c r="H43" s="307">
        <f t="shared" si="0"/>
      </c>
      <c r="I43" s="307">
        <f t="shared" si="3"/>
      </c>
      <c r="J43" s="307">
        <f t="shared" si="2"/>
      </c>
      <c r="K43" s="306">
        <v>6</v>
      </c>
      <c r="L43" s="306">
        <v>9876.2</v>
      </c>
      <c r="M43" s="305"/>
      <c r="N43" s="314"/>
      <c r="O43" s="315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</row>
    <row hidden="true" r="44">
      <c r="A44" s="303" t="s">
        <v>554</v>
      </c>
      <c r="B44" s="304" t="s">
        <v>538</v>
      </c>
      <c r="C44" s="306" t="s">
        <v>548</v>
      </c>
      <c r="D44" s="306">
        <v>4</v>
      </c>
      <c r="E44" s="306">
        <v>8</v>
      </c>
      <c r="F44" s="306">
        <v>5083.799999999996</v>
      </c>
      <c r="G44" s="306">
        <v>10948.72</v>
      </c>
      <c r="H44" s="307">
        <f t="shared" si="0"/>
      </c>
      <c r="I44" s="307">
        <f t="shared" si="3"/>
      </c>
      <c r="J44" s="307">
        <f t="shared" si="2"/>
      </c>
      <c r="K44" s="306">
        <v>5</v>
      </c>
      <c r="L44" s="306">
        <v>2698.7999999999993</v>
      </c>
      <c r="M44" s="305"/>
      <c r="N44" s="305"/>
      <c r="O44" s="308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</row>
    <row hidden="true" r="45">
      <c r="A45" s="303" t="s">
        <v>554</v>
      </c>
      <c r="B45" s="304" t="s">
        <v>533</v>
      </c>
      <c r="C45" s="306" t="s">
        <v>549</v>
      </c>
      <c r="D45" s="306">
        <v>4</v>
      </c>
      <c r="E45" s="306">
        <v>10</v>
      </c>
      <c r="F45" s="306">
        <v>8877.600000000006</v>
      </c>
      <c r="G45" s="306">
        <v>11636.960000000001</v>
      </c>
      <c r="H45" s="307">
        <f t="shared" si="0"/>
      </c>
      <c r="I45" s="307">
        <f t="shared" si="3"/>
      </c>
      <c r="J45" s="307">
        <f t="shared" si="2"/>
      </c>
      <c r="K45" s="306">
        <v>3</v>
      </c>
      <c r="L45" s="306">
        <v>4250.400000000001</v>
      </c>
      <c r="M45" s="306"/>
      <c r="N45" s="306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</row>
    <row hidden="true" r="46">
      <c r="A46" s="303" t="s">
        <v>554</v>
      </c>
      <c r="B46" s="304" t="s">
        <v>527</v>
      </c>
      <c r="C46" s="306" t="s">
        <v>534</v>
      </c>
      <c r="D46" s="306">
        <v>5</v>
      </c>
      <c r="E46" s="306">
        <v>32</v>
      </c>
      <c r="F46" s="306">
        <v>35272.38999999999</v>
      </c>
      <c r="G46" s="306">
        <v>25994.99</v>
      </c>
      <c r="H46" s="307">
        <f t="shared" si="0"/>
      </c>
      <c r="I46" s="307">
        <f t="shared" si="3"/>
      </c>
      <c r="J46" s="307">
        <f t="shared" si="2"/>
      </c>
      <c r="K46" s="306">
        <v>4</v>
      </c>
      <c r="L46" s="306">
        <v>4966.199999999997</v>
      </c>
      <c r="M46" s="306" t="s">
        <v>535</v>
      </c>
      <c r="N46" s="306">
        <v>11</v>
      </c>
      <c r="O46" s="305" t="s">
        <v>536</v>
      </c>
      <c r="P46" s="306">
        <v>11</v>
      </c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</row>
    <row r="47">
      <c r="A47" s="309" t="s">
        <v>554</v>
      </c>
      <c r="B47" s="310"/>
      <c r="C47" s="310"/>
      <c r="D47" s="311">
        <f>SUM(D42:D46)</f>
      </c>
      <c r="E47" s="311">
        <f>SUM(E42:E46)</f>
      </c>
      <c r="F47" s="311">
        <f>SUM(F42:F46)</f>
      </c>
      <c r="G47" s="311">
        <f>SUM(G42:G46)</f>
      </c>
      <c r="H47" s="312">
        <f t="shared" si="0"/>
      </c>
      <c r="I47" s="312">
        <f t="shared" si="3"/>
      </c>
      <c r="J47" s="312">
        <f t="shared" si="2"/>
      </c>
      <c r="K47" s="311">
        <f>SUM(K42:K46)</f>
      </c>
      <c r="L47" s="311">
        <f>SUM(L42:L46)</f>
      </c>
      <c r="M47" s="310"/>
      <c r="N47" s="311">
        <f>SUM(N42:N46)</f>
      </c>
      <c r="O47" s="310"/>
      <c r="P47" s="310">
        <f>SUM(P42:P46)</f>
      </c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310"/>
      <c r="AF47" s="310"/>
      <c r="AG47" s="310"/>
      <c r="AH47" s="310"/>
      <c r="AI47" s="310"/>
      <c r="AJ47" s="310"/>
    </row>
    <row hidden="true" r="48">
      <c r="A48" s="303" t="s">
        <v>555</v>
      </c>
      <c r="B48" s="304" t="s">
        <v>523</v>
      </c>
      <c r="C48" s="306" t="s">
        <v>546</v>
      </c>
      <c r="D48" s="306">
        <v>4</v>
      </c>
      <c r="E48" s="306">
        <v>15</v>
      </c>
      <c r="F48" s="306">
        <v>10339.08</v>
      </c>
      <c r="G48" s="306">
        <v>14530.09</v>
      </c>
      <c r="H48" s="307">
        <f t="shared" si="0"/>
      </c>
      <c r="I48" s="307">
        <f t="shared" si="3"/>
      </c>
      <c r="J48" s="307">
        <f t="shared" si="2"/>
      </c>
      <c r="K48" s="306">
        <v>6</v>
      </c>
      <c r="L48" s="306">
        <v>2494.6800000000003</v>
      </c>
      <c r="M48" s="306" t="s">
        <v>556</v>
      </c>
      <c r="N48" s="306">
        <v>11</v>
      </c>
      <c r="O48" s="313" t="s">
        <v>544</v>
      </c>
      <c r="P48" s="306">
        <v>11</v>
      </c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</row>
    <row hidden="true" r="49">
      <c r="A49" s="303" t="s">
        <v>555</v>
      </c>
      <c r="B49" s="304" t="s">
        <v>531</v>
      </c>
      <c r="C49" s="306" t="s">
        <v>547</v>
      </c>
      <c r="D49" s="306">
        <v>5</v>
      </c>
      <c r="E49" s="306">
        <v>19</v>
      </c>
      <c r="F49" s="306">
        <v>31105.199999999997</v>
      </c>
      <c r="G49" s="306">
        <v>19539.53</v>
      </c>
      <c r="H49" s="307">
        <f t="shared" si="0"/>
      </c>
      <c r="I49" s="307">
        <f t="shared" si="3"/>
      </c>
      <c r="J49" s="307">
        <f t="shared" si="2"/>
      </c>
      <c r="K49" s="306">
        <v>4</v>
      </c>
      <c r="L49" s="306">
        <v>4111.200000000001</v>
      </c>
      <c r="M49" s="305"/>
      <c r="N49" s="314"/>
      <c r="O49" s="315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</row>
    <row hidden="true" r="50">
      <c r="A50" s="303" t="s">
        <v>555</v>
      </c>
      <c r="B50" s="304" t="s">
        <v>538</v>
      </c>
      <c r="C50" s="306" t="s">
        <v>548</v>
      </c>
      <c r="D50" s="306">
        <v>4</v>
      </c>
      <c r="E50" s="306">
        <v>14</v>
      </c>
      <c r="F50" s="306">
        <v>13003.200000000004</v>
      </c>
      <c r="G50" s="306">
        <v>12105.91</v>
      </c>
      <c r="H50" s="307">
        <f t="shared" si="0"/>
      </c>
      <c r="I50" s="307">
        <f t="shared" si="3"/>
      </c>
      <c r="J50" s="307">
        <f t="shared" si="2"/>
      </c>
      <c r="K50" s="306">
        <v>2</v>
      </c>
      <c r="L50" s="306">
        <v>2367.599999999999</v>
      </c>
      <c r="M50" s="305"/>
      <c r="N50" s="305"/>
      <c r="O50" s="308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</row>
    <row hidden="true" r="51">
      <c r="A51" s="303" t="s">
        <v>555</v>
      </c>
      <c r="B51" s="304" t="s">
        <v>527</v>
      </c>
      <c r="C51" s="306" t="s">
        <v>549</v>
      </c>
      <c r="D51" s="306">
        <v>4</v>
      </c>
      <c r="E51" s="306">
        <v>15</v>
      </c>
      <c r="F51" s="306">
        <v>16275.999999999993</v>
      </c>
      <c r="G51" s="306">
        <v>16390.620000000003</v>
      </c>
      <c r="H51" s="307">
        <f t="shared" si="0"/>
      </c>
      <c r="I51" s="307">
        <f t="shared" si="3"/>
      </c>
      <c r="J51" s="307">
        <f t="shared" si="2"/>
      </c>
      <c r="K51" s="306">
        <v>4</v>
      </c>
      <c r="L51" s="306">
        <v>4718.4</v>
      </c>
      <c r="M51" s="306"/>
      <c r="N51" s="306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</row>
    <row hidden="true" r="52">
      <c r="A52" s="303" t="s">
        <v>555</v>
      </c>
      <c r="B52" s="304" t="s">
        <v>533</v>
      </c>
      <c r="C52" s="306" t="s">
        <v>534</v>
      </c>
      <c r="D52" s="306">
        <v>5</v>
      </c>
      <c r="E52" s="306">
        <v>16</v>
      </c>
      <c r="F52" s="306">
        <v>18776.400000000023</v>
      </c>
      <c r="G52" s="306">
        <v>14455.55</v>
      </c>
      <c r="H52" s="307">
        <f t="shared" si="0"/>
      </c>
      <c r="I52" s="307">
        <f t="shared" si="3"/>
      </c>
      <c r="J52" s="307">
        <f t="shared" si="2"/>
      </c>
      <c r="K52" s="306">
        <v>3</v>
      </c>
      <c r="L52" s="306">
        <v>2887.2000000000025</v>
      </c>
      <c r="M52" s="306" t="s">
        <v>535</v>
      </c>
      <c r="N52" s="306">
        <v>11</v>
      </c>
      <c r="O52" s="305" t="s">
        <v>536</v>
      </c>
      <c r="P52" s="306">
        <v>11</v>
      </c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</row>
    <row r="53">
      <c r="A53" s="309" t="s">
        <v>555</v>
      </c>
      <c r="B53" s="310"/>
      <c r="C53" s="310"/>
      <c r="D53" s="311">
        <f>SUM(D48:D52)</f>
      </c>
      <c r="E53" s="311">
        <f>SUM(E48:E52)</f>
      </c>
      <c r="F53" s="311">
        <f>SUM(F48:F52)</f>
      </c>
      <c r="G53" s="311">
        <f>SUM(G48:G52)</f>
      </c>
      <c r="H53" s="312">
        <f t="shared" si="0"/>
      </c>
      <c r="I53" s="312">
        <f t="shared" si="3"/>
      </c>
      <c r="J53" s="312">
        <f t="shared" si="2"/>
      </c>
      <c r="K53" s="311">
        <f>SUM(K48:K52)</f>
      </c>
      <c r="L53" s="311">
        <f>SUM(L48:L52)</f>
      </c>
      <c r="M53" s="310"/>
      <c r="N53" s="311">
        <f>SUM(N48:N52)</f>
      </c>
      <c r="O53" s="310"/>
      <c r="P53" s="310">
        <f>SUM(P48:P52)</f>
      </c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</row>
    <row hidden="true" r="54">
      <c r="A54" s="303" t="s">
        <v>557</v>
      </c>
      <c r="B54" s="304" t="s">
        <v>531</v>
      </c>
      <c r="C54" s="306" t="s">
        <v>546</v>
      </c>
      <c r="D54" s="306">
        <v>4</v>
      </c>
      <c r="E54" s="306">
        <v>18</v>
      </c>
      <c r="F54" s="306">
        <v>30520.4</v>
      </c>
      <c r="G54" s="306">
        <v>17807.920000000002</v>
      </c>
      <c r="H54" s="307">
        <f t="shared" si="0"/>
      </c>
      <c r="I54" s="307">
        <f t="shared" si="3"/>
      </c>
      <c r="J54" s="307">
        <f t="shared" si="2"/>
      </c>
      <c r="K54" s="306">
        <v>5</v>
      </c>
      <c r="L54" s="306">
        <v>9769.2</v>
      </c>
      <c r="M54" s="306" t="s">
        <v>556</v>
      </c>
      <c r="N54" s="306">
        <v>11</v>
      </c>
      <c r="O54" s="313" t="s">
        <v>544</v>
      </c>
      <c r="P54" s="306">
        <v>11</v>
      </c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</row>
    <row hidden="true" r="55">
      <c r="A55" s="303" t="s">
        <v>557</v>
      </c>
      <c r="B55" s="304" t="s">
        <v>538</v>
      </c>
      <c r="C55" s="306" t="s">
        <v>547</v>
      </c>
      <c r="D55" s="306">
        <v>4</v>
      </c>
      <c r="E55" s="306">
        <v>12</v>
      </c>
      <c r="F55" s="306">
        <v>9592.400000000001</v>
      </c>
      <c r="G55" s="306">
        <v>10510.819999999998</v>
      </c>
      <c r="H55" s="307">
        <f t="shared" si="0"/>
      </c>
      <c r="I55" s="307">
        <f t="shared" si="3"/>
      </c>
      <c r="J55" s="307">
        <f t="shared" si="2"/>
      </c>
      <c r="K55" s="306">
        <v>3</v>
      </c>
      <c r="L55" s="306">
        <v>1306.8</v>
      </c>
      <c r="M55" s="305"/>
      <c r="N55" s="314"/>
      <c r="O55" s="315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</row>
    <row hidden="true" r="56">
      <c r="A56" s="303" t="s">
        <v>557</v>
      </c>
      <c r="B56" s="304" t="s">
        <v>527</v>
      </c>
      <c r="C56" s="306" t="s">
        <v>548</v>
      </c>
      <c r="D56" s="306">
        <v>5</v>
      </c>
      <c r="E56" s="306">
        <v>9</v>
      </c>
      <c r="F56" s="306">
        <v>8346.399999999994</v>
      </c>
      <c r="G56" s="306">
        <v>8729.59</v>
      </c>
      <c r="H56" s="307">
        <f t="shared" si="0"/>
      </c>
      <c r="I56" s="307">
        <f t="shared" si="3"/>
      </c>
      <c r="J56" s="307">
        <f t="shared" si="2"/>
      </c>
      <c r="K56" s="306">
        <v>1</v>
      </c>
      <c r="L56" s="306">
        <v>246</v>
      </c>
      <c r="M56" s="305"/>
      <c r="N56" s="305"/>
      <c r="O56" s="308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</row>
    <row hidden="true" r="57">
      <c r="A57" s="303" t="s">
        <v>557</v>
      </c>
      <c r="B57" s="304" t="s">
        <v>529</v>
      </c>
      <c r="C57" s="306" t="s">
        <v>549</v>
      </c>
      <c r="D57" s="306">
        <v>4</v>
      </c>
      <c r="E57" s="306">
        <v>7</v>
      </c>
      <c r="F57" s="306">
        <v>12357.600000000006</v>
      </c>
      <c r="G57" s="306">
        <v>8217.589999999998</v>
      </c>
      <c r="H57" s="307">
        <f t="shared" si="0"/>
      </c>
      <c r="I57" s="307">
        <f t="shared" si="3"/>
      </c>
      <c r="J57" s="307">
        <f t="shared" si="2"/>
      </c>
      <c r="K57" s="306">
        <v>1</v>
      </c>
      <c r="L57" s="306">
        <v>1143.6000000000004</v>
      </c>
      <c r="M57" s="306"/>
      <c r="N57" s="306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</row>
    <row hidden="true" r="58">
      <c r="A58" s="303" t="s">
        <v>557</v>
      </c>
      <c r="B58" s="304" t="s">
        <v>523</v>
      </c>
      <c r="C58" s="306" t="s">
        <v>534</v>
      </c>
      <c r="D58" s="306">
        <v>5</v>
      </c>
      <c r="E58" s="306">
        <v>36</v>
      </c>
      <c r="F58" s="306">
        <v>45686.2</v>
      </c>
      <c r="G58" s="306">
        <v>18758.839999999997</v>
      </c>
      <c r="H58" s="307">
        <f t="shared" si="0"/>
      </c>
      <c r="I58" s="307">
        <f t="shared" si="3"/>
      </c>
      <c r="J58" s="307">
        <f t="shared" si="2"/>
      </c>
      <c r="K58" s="306">
        <v>3</v>
      </c>
      <c r="L58" s="306">
        <v>2045</v>
      </c>
      <c r="M58" s="306" t="s">
        <v>535</v>
      </c>
      <c r="N58" s="306">
        <v>11</v>
      </c>
      <c r="O58" s="305" t="s">
        <v>536</v>
      </c>
      <c r="P58" s="306">
        <v>11</v>
      </c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</row>
    <row r="59">
      <c r="A59" s="309" t="s">
        <v>557</v>
      </c>
      <c r="B59" s="310"/>
      <c r="C59" s="310"/>
      <c r="D59" s="311">
        <f>SUM(D54:D58)</f>
      </c>
      <c r="E59" s="311">
        <f>SUM(E54:E58)</f>
      </c>
      <c r="F59" s="311">
        <f>SUM(F54:F58)</f>
      </c>
      <c r="G59" s="311">
        <f>SUM(G54:G58)</f>
      </c>
      <c r="H59" s="312">
        <f t="shared" si="0"/>
      </c>
      <c r="I59" s="312">
        <f t="shared" si="3"/>
      </c>
      <c r="J59" s="312">
        <f t="shared" si="2"/>
      </c>
      <c r="K59" s="311">
        <f>SUM(K54:K58)</f>
      </c>
      <c r="L59" s="311">
        <f>SUM(L54:L58)</f>
      </c>
      <c r="M59" s="310"/>
      <c r="N59" s="311">
        <f>SUM(N54:N58)</f>
      </c>
      <c r="O59" s="310"/>
      <c r="P59" s="310">
        <f>SUM(P54:P58)</f>
      </c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310"/>
      <c r="AF59" s="310"/>
      <c r="AG59" s="310"/>
      <c r="AH59" s="310"/>
      <c r="AI59" s="310"/>
      <c r="AJ59" s="310"/>
    </row>
    <row hidden="true" r="60">
      <c r="A60" s="303" t="s">
        <v>558</v>
      </c>
      <c r="B60" s="304" t="s">
        <v>527</v>
      </c>
      <c r="C60" s="306" t="s">
        <v>559</v>
      </c>
      <c r="D60" s="306">
        <v>5</v>
      </c>
      <c r="E60" s="306">
        <v>27</v>
      </c>
      <c r="F60" s="306">
        <v>35534.4</v>
      </c>
      <c r="G60" s="306">
        <v>37353.45</v>
      </c>
      <c r="H60" s="307">
        <f t="shared" si="0"/>
      </c>
      <c r="I60" s="307">
        <f t="shared" si="3"/>
      </c>
      <c r="J60" s="307">
        <f t="shared" si="2"/>
      </c>
      <c r="K60" s="306">
        <v>4</v>
      </c>
      <c r="L60" s="306">
        <v>6849.599999999999</v>
      </c>
      <c r="M60" s="306" t="s">
        <v>525</v>
      </c>
      <c r="N60" s="306">
        <v>11</v>
      </c>
      <c r="O60" s="313" t="s">
        <v>544</v>
      </c>
      <c r="P60" s="306">
        <v>11</v>
      </c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</row>
    <row hidden="true" r="61">
      <c r="A61" s="303" t="s">
        <v>558</v>
      </c>
      <c r="B61" s="304" t="s">
        <v>531</v>
      </c>
      <c r="C61" s="306" t="s">
        <v>560</v>
      </c>
      <c r="D61" s="306">
        <v>5</v>
      </c>
      <c r="E61" s="306">
        <v>16</v>
      </c>
      <c r="F61" s="306">
        <v>22026</v>
      </c>
      <c r="G61" s="306">
        <v>19184.67</v>
      </c>
      <c r="H61" s="307">
        <f t="shared" si="0"/>
      </c>
      <c r="I61" s="307">
        <f t="shared" si="3"/>
      </c>
      <c r="J61" s="307">
        <f t="shared" si="2"/>
      </c>
      <c r="K61" s="306">
        <v>2</v>
      </c>
      <c r="L61" s="306">
        <v>4022.4</v>
      </c>
      <c r="M61" s="305"/>
      <c r="N61" s="314"/>
      <c r="O61" s="315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</row>
    <row hidden="true" r="62">
      <c r="A62" s="303" t="s">
        <v>558</v>
      </c>
      <c r="B62" s="304" t="s">
        <v>523</v>
      </c>
      <c r="C62" s="306" t="s">
        <v>561</v>
      </c>
      <c r="D62" s="306">
        <v>4</v>
      </c>
      <c r="E62" s="306">
        <v>20</v>
      </c>
      <c r="F62" s="306">
        <v>22187.279999999984</v>
      </c>
      <c r="G62" s="306">
        <v>10385.13</v>
      </c>
      <c r="H62" s="307">
        <f t="shared" si="0"/>
      </c>
      <c r="I62" s="307">
        <f t="shared" si="3"/>
      </c>
      <c r="J62" s="307">
        <f t="shared" si="2"/>
      </c>
      <c r="K62" s="306">
        <v>4</v>
      </c>
      <c r="L62" s="306">
        <v>1291.6799999999998</v>
      </c>
      <c r="M62" s="305"/>
      <c r="N62" s="305"/>
      <c r="O62" s="308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</row>
    <row hidden="true" r="63">
      <c r="A63" s="303" t="s">
        <v>558</v>
      </c>
      <c r="B63" s="304" t="s">
        <v>529</v>
      </c>
      <c r="C63" s="306" t="s">
        <v>541</v>
      </c>
      <c r="D63" s="306">
        <v>4</v>
      </c>
      <c r="E63" s="306">
        <v>31</v>
      </c>
      <c r="F63" s="306">
        <v>39316.200000000026</v>
      </c>
      <c r="G63" s="306">
        <v>22855.269999999997</v>
      </c>
      <c r="H63" s="307">
        <f t="shared" si="0"/>
      </c>
      <c r="I63" s="307">
        <f t="shared" si="3"/>
      </c>
      <c r="J63" s="307">
        <f t="shared" si="2"/>
      </c>
      <c r="K63" s="306">
        <v>8</v>
      </c>
      <c r="L63" s="306">
        <v>7518.000000000002</v>
      </c>
      <c r="M63" s="306"/>
      <c r="N63" s="306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</row>
    <row hidden="true" r="64">
      <c r="A64" s="303" t="s">
        <v>558</v>
      </c>
      <c r="B64" s="304" t="s">
        <v>538</v>
      </c>
      <c r="C64" s="306" t="s">
        <v>542</v>
      </c>
      <c r="D64" s="306">
        <v>4</v>
      </c>
      <c r="E64" s="306">
        <v>38</v>
      </c>
      <c r="F64" s="306">
        <v>54676.60000000002</v>
      </c>
      <c r="G64" s="306">
        <v>26789.24</v>
      </c>
      <c r="H64" s="307">
        <f t="shared" si="0"/>
      </c>
      <c r="I64" s="307">
        <f t="shared" si="3"/>
      </c>
      <c r="J64" s="307">
        <f t="shared" si="2"/>
      </c>
      <c r="K64" s="306">
        <v>4</v>
      </c>
      <c r="L64" s="306">
        <v>4734</v>
      </c>
      <c r="M64" s="306" t="s">
        <v>535</v>
      </c>
      <c r="N64" s="306">
        <v>11</v>
      </c>
      <c r="O64" s="305" t="s">
        <v>536</v>
      </c>
      <c r="P64" s="306">
        <v>11</v>
      </c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</row>
    <row r="65">
      <c r="A65" s="309" t="s">
        <v>558</v>
      </c>
      <c r="B65" s="310"/>
      <c r="C65" s="310"/>
      <c r="D65" s="311">
        <f>SUM(D60:D64)</f>
      </c>
      <c r="E65" s="311">
        <f>SUM(E60:E64)</f>
      </c>
      <c r="F65" s="311">
        <f>SUM(F60:F64)</f>
      </c>
      <c r="G65" s="311">
        <f>SUM(G60:G64)</f>
      </c>
      <c r="H65" s="312">
        <f t="shared" si="0"/>
      </c>
      <c r="I65" s="312">
        <f t="shared" si="3"/>
      </c>
      <c r="J65" s="312">
        <f t="shared" si="2"/>
      </c>
      <c r="K65" s="311">
        <f>SUM(K60:K64)</f>
      </c>
      <c r="L65" s="311">
        <f>SUM(L60:L64)</f>
      </c>
      <c r="M65" s="310"/>
      <c r="N65" s="311">
        <f>SUM(N60:N64)</f>
      </c>
      <c r="O65" s="310"/>
      <c r="P65" s="310">
        <f>SUM(P60:P64)</f>
      </c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  <c r="AI65" s="310"/>
      <c r="AJ65" s="310"/>
    </row>
    <row hidden="true" r="66">
      <c r="A66" s="303" t="s">
        <v>562</v>
      </c>
      <c r="B66" s="304" t="s">
        <v>527</v>
      </c>
      <c r="C66" s="306" t="s">
        <v>559</v>
      </c>
      <c r="D66" s="306">
        <v>5</v>
      </c>
      <c r="E66" s="306">
        <v>32</v>
      </c>
      <c r="F66" s="306">
        <v>33440.2</v>
      </c>
      <c r="G66" s="306">
        <v>25278.710000000003</v>
      </c>
      <c r="H66" s="307">
        <f t="shared" si="0"/>
      </c>
      <c r="I66" s="307">
        <f t="shared" si="3"/>
      </c>
      <c r="J66" s="307">
        <f t="shared" si="2"/>
      </c>
      <c r="K66" s="306">
        <v>9</v>
      </c>
      <c r="L66" s="306">
        <v>8307.599999999999</v>
      </c>
      <c r="M66" s="306" t="s">
        <v>525</v>
      </c>
      <c r="N66" s="306">
        <v>12</v>
      </c>
      <c r="O66" s="313" t="s">
        <v>544</v>
      </c>
      <c r="P66" s="306">
        <v>11</v>
      </c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</row>
    <row hidden="true" r="67">
      <c r="A67" s="303" t="s">
        <v>562</v>
      </c>
      <c r="B67" s="304" t="s">
        <v>538</v>
      </c>
      <c r="C67" s="306" t="s">
        <v>563</v>
      </c>
      <c r="D67" s="306">
        <v>4</v>
      </c>
      <c r="E67" s="306">
        <v>9</v>
      </c>
      <c r="F67" s="306">
        <v>9326</v>
      </c>
      <c r="G67" s="306">
        <v>11895.550000000001</v>
      </c>
      <c r="H67" s="307">
        <f t="shared" si="0"/>
      </c>
      <c r="I67" s="307">
        <f t="shared" si="3"/>
      </c>
      <c r="J67" s="307">
        <f t="shared" si="2"/>
      </c>
      <c r="K67" s="306">
        <v>1</v>
      </c>
      <c r="L67" s="306">
        <v>1663.2</v>
      </c>
      <c r="M67" s="305"/>
      <c r="N67" s="314"/>
      <c r="O67" s="315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  <c r="AG67" s="316"/>
      <c r="AH67" s="316"/>
      <c r="AI67" s="316"/>
      <c r="AJ67" s="316"/>
    </row>
    <row hidden="true" r="68">
      <c r="A68" s="303" t="s">
        <v>562</v>
      </c>
      <c r="B68" s="304" t="s">
        <v>531</v>
      </c>
      <c r="C68" s="306" t="s">
        <v>564</v>
      </c>
      <c r="D68" s="306">
        <v>5</v>
      </c>
      <c r="E68" s="306">
        <v>8</v>
      </c>
      <c r="F68" s="306">
        <v>11653.200000000003</v>
      </c>
      <c r="G68" s="306">
        <v>10810.380000000001</v>
      </c>
      <c r="H68" s="307">
        <f t="shared" si="0"/>
      </c>
      <c r="I68" s="307">
        <f t="shared" si="3"/>
      </c>
      <c r="J68" s="307">
        <f t="shared" si="2"/>
      </c>
      <c r="K68" s="306">
        <v>1</v>
      </c>
      <c r="L68" s="306">
        <v>2011.2000000000007</v>
      </c>
      <c r="M68" s="305"/>
      <c r="N68" s="305"/>
      <c r="O68" s="308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</row>
    <row hidden="true" r="69">
      <c r="A69" s="303" t="s">
        <v>562</v>
      </c>
      <c r="B69" s="304" t="s">
        <v>529</v>
      </c>
      <c r="C69" s="306" t="s">
        <v>541</v>
      </c>
      <c r="D69" s="306">
        <v>4</v>
      </c>
      <c r="E69" s="306">
        <v>3</v>
      </c>
      <c r="F69" s="306">
        <v>3205.199999999997</v>
      </c>
      <c r="G69" s="306">
        <v>6888.43</v>
      </c>
      <c r="H69" s="307">
        <f t="shared" si="0"/>
      </c>
      <c r="I69" s="307">
        <f t="shared" si="3"/>
      </c>
      <c r="J69" s="307">
        <f t="shared" si="2"/>
      </c>
      <c r="K69" s="306">
        <v>1</v>
      </c>
      <c r="L69" s="306">
        <v>396</v>
      </c>
      <c r="M69" s="306"/>
      <c r="N69" s="306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</row>
    <row hidden="true" r="70">
      <c r="A70" s="303" t="s">
        <v>562</v>
      </c>
      <c r="B70" s="304" t="s">
        <v>523</v>
      </c>
      <c r="C70" s="306" t="s">
        <v>542</v>
      </c>
      <c r="D70" s="306">
        <v>4</v>
      </c>
      <c r="E70" s="306">
        <v>25</v>
      </c>
      <c r="F70" s="306">
        <v>32762.400000000016</v>
      </c>
      <c r="G70" s="306">
        <v>13093.980000000001</v>
      </c>
      <c r="H70" s="307">
        <f t="shared" si="0"/>
      </c>
      <c r="I70" s="307">
        <f t="shared" si="3"/>
      </c>
      <c r="J70" s="307">
        <f t="shared" si="2"/>
      </c>
      <c r="K70" s="306">
        <v>3</v>
      </c>
      <c r="L70" s="306">
        <v>2572.800000000001</v>
      </c>
      <c r="M70" s="306" t="s">
        <v>535</v>
      </c>
      <c r="N70" s="306">
        <v>10</v>
      </c>
      <c r="O70" s="305" t="s">
        <v>536</v>
      </c>
      <c r="P70" s="306">
        <v>11</v>
      </c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</row>
    <row r="71">
      <c r="A71" s="309" t="s">
        <v>562</v>
      </c>
      <c r="B71" s="310"/>
      <c r="C71" s="310"/>
      <c r="D71" s="311">
        <f>SUM(D66:D70)</f>
      </c>
      <c r="E71" s="311">
        <f>SUM(E66:E70)</f>
      </c>
      <c r="F71" s="312">
        <f>SUM(F66:F70)</f>
      </c>
      <c r="G71" s="311">
        <f>SUM(G66:G70)</f>
      </c>
      <c r="H71" s="312">
        <f t="shared" si="0"/>
      </c>
      <c r="I71" s="312">
        <f t="shared" si="3"/>
      </c>
      <c r="J71" s="312">
        <f t="shared" si="2"/>
      </c>
      <c r="K71" s="311">
        <f>SUM(K66:K70)</f>
      </c>
      <c r="L71" s="311">
        <f>SUM(L66:L70)</f>
      </c>
      <c r="M71" s="310"/>
      <c r="N71" s="311">
        <f>SUM(N66:N70)</f>
      </c>
      <c r="O71" s="310"/>
      <c r="P71" s="310">
        <f>SUM(P66:P70)</f>
      </c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310"/>
      <c r="AF71" s="310"/>
      <c r="AG71" s="310"/>
      <c r="AH71" s="310"/>
      <c r="AI71" s="310"/>
      <c r="AJ71" s="310"/>
    </row>
    <row hidden="true" r="72">
      <c r="A72" s="303" t="s">
        <v>565</v>
      </c>
      <c r="B72" s="304" t="s">
        <v>527</v>
      </c>
      <c r="C72" s="306" t="s">
        <v>559</v>
      </c>
      <c r="D72" s="306">
        <v>5</v>
      </c>
      <c r="E72" s="306">
        <v>30</v>
      </c>
      <c r="F72" s="306">
        <v>41594.4</v>
      </c>
      <c r="G72" s="306">
        <v>30393.65</v>
      </c>
      <c r="H72" s="307">
        <f t="shared" si="0"/>
      </c>
      <c r="I72" s="307">
        <f t="shared" si="3"/>
      </c>
      <c r="J72" s="307">
        <f t="shared" si="2"/>
      </c>
      <c r="K72" s="306">
        <v>8</v>
      </c>
      <c r="L72" s="306">
        <v>9146.599999999999</v>
      </c>
      <c r="M72" s="306" t="s">
        <v>525</v>
      </c>
      <c r="N72" s="306">
        <v>12</v>
      </c>
      <c r="O72" s="313" t="s">
        <v>544</v>
      </c>
      <c r="P72" s="306">
        <v>11</v>
      </c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</row>
    <row hidden="true" r="73">
      <c r="A73" s="303" t="s">
        <v>565</v>
      </c>
      <c r="B73" s="304" t="s">
        <v>538</v>
      </c>
      <c r="C73" s="306" t="s">
        <v>563</v>
      </c>
      <c r="D73" s="306">
        <v>4</v>
      </c>
      <c r="E73" s="306">
        <v>16</v>
      </c>
      <c r="F73" s="306">
        <v>24796.6</v>
      </c>
      <c r="G73" s="306">
        <v>19177.04</v>
      </c>
      <c r="H73" s="307">
        <f t="shared" si="0"/>
      </c>
      <c r="I73" s="307">
        <f t="shared" si="3"/>
      </c>
      <c r="J73" s="307">
        <f t="shared" si="2"/>
      </c>
      <c r="K73" s="306">
        <v>3</v>
      </c>
      <c r="L73" s="306">
        <v>3818.3999999999996</v>
      </c>
      <c r="M73" s="305"/>
      <c r="N73" s="314"/>
      <c r="O73" s="315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</row>
    <row hidden="true" r="74">
      <c r="A74" s="303" t="s">
        <v>565</v>
      </c>
      <c r="B74" s="304" t="s">
        <v>523</v>
      </c>
      <c r="C74" s="306" t="s">
        <v>564</v>
      </c>
      <c r="D74" s="306">
        <v>5</v>
      </c>
      <c r="E74" s="306">
        <v>26</v>
      </c>
      <c r="F74" s="306">
        <v>31374.000000000004</v>
      </c>
      <c r="G74" s="306">
        <v>21476.710000000003</v>
      </c>
      <c r="H74" s="307">
        <f t="shared" si="0"/>
      </c>
      <c r="I74" s="307">
        <f t="shared" si="3"/>
      </c>
      <c r="J74" s="307">
        <f t="shared" si="2"/>
      </c>
      <c r="K74" s="306">
        <v>7</v>
      </c>
      <c r="L74" s="306">
        <v>8091.6</v>
      </c>
      <c r="M74" s="305"/>
      <c r="N74" s="305"/>
      <c r="O74" s="308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</row>
    <row hidden="true" r="75">
      <c r="A75" s="303" t="s">
        <v>565</v>
      </c>
      <c r="B75" s="304" t="s">
        <v>531</v>
      </c>
      <c r="C75" s="306" t="s">
        <v>541</v>
      </c>
      <c r="D75" s="306">
        <v>4</v>
      </c>
      <c r="E75" s="306">
        <v>15</v>
      </c>
      <c r="F75" s="306">
        <v>21758.600000000006</v>
      </c>
      <c r="G75" s="306">
        <v>13491.12</v>
      </c>
      <c r="H75" s="307">
        <f t="shared" si="0"/>
      </c>
      <c r="I75" s="307">
        <f t="shared" si="3"/>
      </c>
      <c r="J75" s="307">
        <f t="shared" si="2"/>
      </c>
      <c r="K75" s="306">
        <v>1</v>
      </c>
      <c r="L75" s="306">
        <v>1.2000000000007276</v>
      </c>
      <c r="M75" s="306"/>
      <c r="N75" s="306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</row>
    <row hidden="true" r="76">
      <c r="A76" s="303" t="s">
        <v>565</v>
      </c>
      <c r="B76" s="304" t="s">
        <v>533</v>
      </c>
      <c r="C76" s="306" t="s">
        <v>542</v>
      </c>
      <c r="D76" s="306">
        <v>4</v>
      </c>
      <c r="E76" s="306">
        <v>22</v>
      </c>
      <c r="F76" s="306">
        <v>29523.600000000006</v>
      </c>
      <c r="G76" s="306">
        <v>16389.62</v>
      </c>
      <c r="H76" s="307">
        <f t="shared" si="0"/>
      </c>
      <c r="I76" s="307">
        <f t="shared" si="3"/>
      </c>
      <c r="J76" s="307">
        <f t="shared" si="2"/>
      </c>
      <c r="K76" s="306">
        <v>4</v>
      </c>
      <c r="L76" s="306">
        <v>5709.600000000002</v>
      </c>
      <c r="M76" s="306" t="s">
        <v>535</v>
      </c>
      <c r="N76" s="306">
        <v>10</v>
      </c>
      <c r="O76" s="305" t="s">
        <v>536</v>
      </c>
      <c r="P76" s="306">
        <v>11</v>
      </c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</row>
    <row r="77">
      <c r="A77" s="309" t="s">
        <v>565</v>
      </c>
      <c r="B77" s="310"/>
      <c r="C77" s="310"/>
      <c r="D77" s="311">
        <f>SUM(D72:D76)</f>
      </c>
      <c r="E77" s="311">
        <f>SUM(E72:E76)</f>
      </c>
      <c r="F77" s="311">
        <f>SUM(F72:F76)</f>
      </c>
      <c r="G77" s="311">
        <f>SUM(G72:G76)</f>
      </c>
      <c r="H77" s="312">
        <f t="shared" si="0"/>
      </c>
      <c r="I77" s="312">
        <f t="shared" si="3"/>
      </c>
      <c r="J77" s="312">
        <f t="shared" si="2"/>
      </c>
      <c r="K77" s="311">
        <f>SUM(K72:K76)</f>
      </c>
      <c r="L77" s="311">
        <f>SUM(L72:L76)</f>
      </c>
      <c r="M77" s="310"/>
      <c r="N77" s="311">
        <f>SUM(N72:N76)</f>
      </c>
      <c r="O77" s="310"/>
      <c r="P77" s="310">
        <f>SUM(P72:P76)</f>
      </c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310"/>
      <c r="AF77" s="310"/>
      <c r="AG77" s="310"/>
      <c r="AH77" s="310"/>
      <c r="AI77" s="310"/>
      <c r="AJ77" s="310"/>
    </row>
    <row hidden="true" r="78">
      <c r="A78" s="303" t="s">
        <v>566</v>
      </c>
      <c r="B78" s="304" t="s">
        <v>523</v>
      </c>
      <c r="C78" s="306" t="s">
        <v>546</v>
      </c>
      <c r="D78" s="306">
        <v>4</v>
      </c>
      <c r="E78" s="306">
        <v>17</v>
      </c>
      <c r="F78" s="306">
        <v>18680.8</v>
      </c>
      <c r="G78" s="306">
        <v>18229.63</v>
      </c>
      <c r="H78" s="307">
        <f t="shared" si="0"/>
      </c>
      <c r="I78" s="307">
        <f t="shared" si="3"/>
      </c>
      <c r="J78" s="307">
        <f t="shared" si="2"/>
      </c>
      <c r="K78" s="306">
        <v>9</v>
      </c>
      <c r="L78" s="306">
        <v>10892.8</v>
      </c>
      <c r="M78" s="306" t="s">
        <v>525</v>
      </c>
      <c r="N78" s="306">
        <v>12</v>
      </c>
      <c r="O78" s="313" t="s">
        <v>544</v>
      </c>
      <c r="P78" s="306">
        <v>11</v>
      </c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</row>
    <row hidden="true" r="79">
      <c r="A79" s="303" t="s">
        <v>566</v>
      </c>
      <c r="B79" s="304" t="s">
        <v>531</v>
      </c>
      <c r="C79" s="306" t="s">
        <v>552</v>
      </c>
      <c r="D79" s="306">
        <v>4</v>
      </c>
      <c r="E79" s="306">
        <v>10</v>
      </c>
      <c r="F79" s="306">
        <v>15433.2</v>
      </c>
      <c r="G79" s="306">
        <v>10842.66</v>
      </c>
      <c r="H79" s="307">
        <f t="shared" si="0"/>
      </c>
      <c r="I79" s="307">
        <f t="shared" si="3"/>
      </c>
      <c r="J79" s="307">
        <f t="shared" si="2"/>
      </c>
      <c r="K79" s="306">
        <v>4</v>
      </c>
      <c r="L79" s="306">
        <v>8325.599999999999</v>
      </c>
      <c r="M79" s="305"/>
      <c r="N79" s="314"/>
      <c r="O79" s="315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6"/>
      <c r="AI79" s="316"/>
      <c r="AJ79" s="316"/>
    </row>
    <row hidden="true" r="80">
      <c r="A80" s="303" t="s">
        <v>566</v>
      </c>
      <c r="B80" s="304" t="s">
        <v>527</v>
      </c>
      <c r="C80" s="306" t="s">
        <v>553</v>
      </c>
      <c r="D80" s="306">
        <v>5</v>
      </c>
      <c r="E80" s="306">
        <v>30</v>
      </c>
      <c r="F80" s="306">
        <v>38229.6</v>
      </c>
      <c r="G80" s="306">
        <v>20287.260000000002</v>
      </c>
      <c r="H80" s="307">
        <f t="shared" si="0"/>
      </c>
      <c r="I80" s="307">
        <f t="shared" si="3"/>
      </c>
      <c r="J80" s="307">
        <f t="shared" si="2"/>
      </c>
      <c r="K80" s="306">
        <v>12</v>
      </c>
      <c r="L80" s="306">
        <v>17812.800000000003</v>
      </c>
      <c r="M80" s="305"/>
      <c r="N80" s="305"/>
      <c r="O80" s="308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</row>
    <row hidden="true" r="81">
      <c r="A81" s="303" t="s">
        <v>566</v>
      </c>
      <c r="B81" s="304" t="s">
        <v>538</v>
      </c>
      <c r="C81" s="306" t="s">
        <v>567</v>
      </c>
      <c r="D81" s="317">
        <v>2</v>
      </c>
      <c r="E81" s="306">
        <v>5</v>
      </c>
      <c r="F81" s="306">
        <v>5262.000000000015</v>
      </c>
      <c r="G81" s="306">
        <v>6608.639999999999</v>
      </c>
      <c r="H81" s="307">
        <f t="shared" si="0"/>
      </c>
      <c r="I81" s="307">
        <f t="shared" si="3"/>
      </c>
      <c r="J81" s="307">
        <f t="shared" si="2"/>
      </c>
      <c r="K81" s="306">
        <v>1</v>
      </c>
      <c r="L81" s="306">
        <v>1663.1999999999998</v>
      </c>
      <c r="M81" s="306"/>
      <c r="N81" s="306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</row>
    <row hidden="true" r="82">
      <c r="A82" s="303" t="s">
        <v>566</v>
      </c>
      <c r="B82" s="304" t="s">
        <v>533</v>
      </c>
      <c r="C82" s="306" t="s">
        <v>568</v>
      </c>
      <c r="D82" s="306">
        <v>4.5</v>
      </c>
      <c r="E82" s="306">
        <v>14</v>
      </c>
      <c r="F82" s="306">
        <v>20314.39999999998</v>
      </c>
      <c r="G82" s="306">
        <v>11709.119999999999</v>
      </c>
      <c r="H82" s="307">
        <f t="shared" si="0"/>
      </c>
      <c r="I82" s="307">
        <f t="shared" si="3"/>
      </c>
      <c r="J82" s="307">
        <f t="shared" si="2"/>
      </c>
      <c r="K82" s="306">
        <v>0</v>
      </c>
      <c r="L82" s="306">
        <v>0</v>
      </c>
      <c r="M82" s="306" t="s">
        <v>535</v>
      </c>
      <c r="N82" s="306">
        <v>8</v>
      </c>
      <c r="O82" s="305" t="s">
        <v>536</v>
      </c>
      <c r="P82" s="306">
        <v>9</v>
      </c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</row>
    <row r="83">
      <c r="A83" s="309" t="s">
        <v>566</v>
      </c>
      <c r="B83" s="310"/>
      <c r="C83" s="310"/>
      <c r="D83" s="311">
        <f>SUM(D78:D82)</f>
      </c>
      <c r="E83" s="311">
        <f>SUM(E78:E82)</f>
      </c>
      <c r="F83" s="312">
        <f>SUM(F78:F82)</f>
      </c>
      <c r="G83" s="311">
        <f>SUM(G78:G82)</f>
      </c>
      <c r="H83" s="312">
        <f t="shared" si="0"/>
      </c>
      <c r="I83" s="312">
        <f t="shared" si="3"/>
      </c>
      <c r="J83" s="312">
        <f t="shared" si="2"/>
      </c>
      <c r="K83" s="311">
        <f>SUM(K78:K82)</f>
      </c>
      <c r="L83" s="311">
        <f>SUM(L78:L82)</f>
      </c>
      <c r="M83" s="310"/>
      <c r="N83" s="311">
        <f>SUM(N78:N82)</f>
      </c>
      <c r="O83" s="310"/>
      <c r="P83" s="310">
        <f>SUM(P78:P82)</f>
      </c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  <c r="AF83" s="310"/>
      <c r="AG83" s="310"/>
      <c r="AH83" s="310"/>
      <c r="AI83" s="310"/>
      <c r="AJ83" s="310"/>
    </row>
    <row hidden="true" r="84">
      <c r="A84" s="303" t="s">
        <v>569</v>
      </c>
      <c r="B84" s="304" t="s">
        <v>531</v>
      </c>
      <c r="C84" s="306" t="s">
        <v>559</v>
      </c>
      <c r="D84" s="306">
        <v>5</v>
      </c>
      <c r="E84" s="306">
        <v>8</v>
      </c>
      <c r="F84" s="306">
        <v>13573.2</v>
      </c>
      <c r="G84" s="306">
        <v>11373.41</v>
      </c>
      <c r="H84" s="307">
        <f t="shared" si="0"/>
      </c>
      <c r="I84" s="307">
        <f t="shared" si="3"/>
      </c>
      <c r="J84" s="307">
        <f t="shared" si="2"/>
      </c>
      <c r="K84" s="306">
        <v>1</v>
      </c>
      <c r="L84" s="306">
        <v>1411.2</v>
      </c>
      <c r="M84" s="306" t="s">
        <v>525</v>
      </c>
      <c r="N84" s="306">
        <v>12</v>
      </c>
      <c r="O84" s="313" t="s">
        <v>544</v>
      </c>
      <c r="P84" s="306">
        <v>11</v>
      </c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</row>
    <row hidden="true" r="85">
      <c r="A85" s="303" t="s">
        <v>569</v>
      </c>
      <c r="B85" s="304" t="s">
        <v>523</v>
      </c>
      <c r="C85" s="306" t="s">
        <v>560</v>
      </c>
      <c r="D85" s="306">
        <v>5</v>
      </c>
      <c r="E85" s="306">
        <v>18</v>
      </c>
      <c r="F85" s="306">
        <v>19841.199999999997</v>
      </c>
      <c r="G85" s="306">
        <v>15023.25</v>
      </c>
      <c r="H85" s="307">
        <f t="shared" si="0"/>
      </c>
      <c r="I85" s="307">
        <f t="shared" si="3"/>
      </c>
      <c r="J85" s="307">
        <f t="shared" si="2"/>
      </c>
      <c r="K85" s="306">
        <v>6</v>
      </c>
      <c r="L85" s="306">
        <v>2345.2</v>
      </c>
      <c r="M85" s="305"/>
      <c r="N85" s="314"/>
      <c r="O85" s="315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</row>
    <row hidden="true" r="86">
      <c r="A86" s="303" t="s">
        <v>569</v>
      </c>
      <c r="B86" s="304" t="s">
        <v>533</v>
      </c>
      <c r="C86" s="306" t="s">
        <v>561</v>
      </c>
      <c r="D86" s="306">
        <v>4</v>
      </c>
      <c r="E86" s="306">
        <v>8</v>
      </c>
      <c r="F86" s="306">
        <v>6885.600000000009</v>
      </c>
      <c r="G86" s="306">
        <v>9890.93</v>
      </c>
      <c r="H86" s="307">
        <f t="shared" si="0"/>
      </c>
      <c r="I86" s="307">
        <f t="shared" si="3"/>
      </c>
      <c r="J86" s="307">
        <f t="shared" si="2"/>
      </c>
      <c r="K86" s="306">
        <v>2</v>
      </c>
      <c r="L86" s="306">
        <v>1288.8</v>
      </c>
      <c r="M86" s="305"/>
      <c r="N86" s="305"/>
      <c r="O86" s="308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</row>
    <row hidden="true" r="87">
      <c r="A87" s="303" t="s">
        <v>569</v>
      </c>
      <c r="B87" s="304" t="s">
        <v>529</v>
      </c>
      <c r="C87" s="306" t="s">
        <v>541</v>
      </c>
      <c r="D87" s="306">
        <v>4</v>
      </c>
      <c r="E87" s="306">
        <v>20</v>
      </c>
      <c r="F87" s="306">
        <v>27624</v>
      </c>
      <c r="G87" s="306">
        <v>15757.130000000001</v>
      </c>
      <c r="H87" s="307">
        <f t="shared" si="0"/>
      </c>
      <c r="I87" s="307">
        <f t="shared" si="3"/>
      </c>
      <c r="J87" s="307">
        <f t="shared" si="2"/>
      </c>
      <c r="K87" s="306">
        <v>5</v>
      </c>
      <c r="L87" s="306">
        <v>6590.400000000001</v>
      </c>
      <c r="M87" s="306"/>
      <c r="N87" s="306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</row>
    <row hidden="true" r="88">
      <c r="A88" s="303" t="s">
        <v>569</v>
      </c>
      <c r="B88" s="304" t="s">
        <v>527</v>
      </c>
      <c r="C88" s="306" t="s">
        <v>542</v>
      </c>
      <c r="D88" s="306">
        <v>4</v>
      </c>
      <c r="E88" s="306">
        <v>24</v>
      </c>
      <c r="F88" s="306">
        <v>30156.600000000006</v>
      </c>
      <c r="G88" s="306">
        <v>17726.809999999998</v>
      </c>
      <c r="H88" s="307">
        <f t="shared" si="0"/>
      </c>
      <c r="I88" s="307">
        <f t="shared" si="3"/>
      </c>
      <c r="J88" s="307">
        <f t="shared" si="2"/>
      </c>
      <c r="K88" s="306">
        <v>3</v>
      </c>
      <c r="L88" s="306">
        <v>3105.6000000000013</v>
      </c>
      <c r="M88" s="306" t="s">
        <v>535</v>
      </c>
      <c r="N88" s="306">
        <v>10</v>
      </c>
      <c r="O88" s="305" t="s">
        <v>536</v>
      </c>
      <c r="P88" s="306">
        <v>11</v>
      </c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</row>
    <row r="89">
      <c r="A89" s="309" t="s">
        <v>569</v>
      </c>
      <c r="B89" s="310"/>
      <c r="C89" s="310"/>
      <c r="D89" s="311">
        <f>SUM(D84:D88)</f>
      </c>
      <c r="E89" s="311">
        <f>SUM(E84:E88)</f>
      </c>
      <c r="F89" s="312">
        <f>SUM(F84:F88)</f>
      </c>
      <c r="G89" s="311">
        <f>SUM(G84:G88)</f>
      </c>
      <c r="H89" s="312">
        <f t="shared" si="0"/>
      </c>
      <c r="I89" s="312">
        <f t="shared" si="3"/>
      </c>
      <c r="J89" s="312">
        <f t="shared" si="2"/>
      </c>
      <c r="K89" s="311">
        <f>SUM(K84:K88)</f>
      </c>
      <c r="L89" s="311">
        <f>SUM(L84:L88)</f>
      </c>
      <c r="M89" s="310"/>
      <c r="N89" s="311">
        <f>SUM(N84:N88)</f>
      </c>
      <c r="O89" s="310"/>
      <c r="P89" s="310">
        <f>SUM(P84:P88)</f>
      </c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10"/>
      <c r="AG89" s="310"/>
      <c r="AH89" s="310"/>
      <c r="AI89" s="310"/>
      <c r="AJ89" s="310"/>
    </row>
    <row hidden="true" r="90">
      <c r="A90" s="303" t="s">
        <v>570</v>
      </c>
      <c r="B90" s="304" t="s">
        <v>531</v>
      </c>
      <c r="C90" s="306" t="s">
        <v>559</v>
      </c>
      <c r="D90" s="306">
        <v>5</v>
      </c>
      <c r="E90" s="306">
        <v>11</v>
      </c>
      <c r="F90" s="306">
        <v>17655.6</v>
      </c>
      <c r="G90" s="306">
        <v>18413.88</v>
      </c>
      <c r="H90" s="307">
        <f t="shared" si="0"/>
      </c>
      <c r="I90" s="307">
        <f t="shared" si="3"/>
      </c>
      <c r="J90" s="307">
        <f t="shared" si="2"/>
      </c>
      <c r="K90" s="306">
        <v>1</v>
      </c>
      <c r="L90" s="306">
        <v>2011.2</v>
      </c>
      <c r="M90" s="306" t="s">
        <v>525</v>
      </c>
      <c r="N90" s="306">
        <v>11</v>
      </c>
      <c r="O90" s="313" t="s">
        <v>544</v>
      </c>
      <c r="P90" s="306">
        <v>11</v>
      </c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</row>
    <row hidden="true" r="91">
      <c r="A91" s="303" t="s">
        <v>570</v>
      </c>
      <c r="B91" s="304" t="s">
        <v>523</v>
      </c>
      <c r="C91" s="306" t="s">
        <v>560</v>
      </c>
      <c r="D91" s="306">
        <v>5</v>
      </c>
      <c r="E91" s="306">
        <v>15</v>
      </c>
      <c r="F91" s="306">
        <v>23854.8</v>
      </c>
      <c r="G91" s="306">
        <v>16684.25</v>
      </c>
      <c r="H91" s="307">
        <f t="shared" si="0"/>
      </c>
      <c r="I91" s="307">
        <f t="shared" si="3"/>
      </c>
      <c r="J91" s="307">
        <f t="shared" si="2"/>
      </c>
      <c r="K91" s="306">
        <v>4</v>
      </c>
      <c r="L91" s="306">
        <v>6724.799999999999</v>
      </c>
      <c r="M91" s="305"/>
      <c r="N91" s="314"/>
      <c r="O91" s="315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</row>
    <row hidden="true" r="92">
      <c r="A92" s="303" t="s">
        <v>570</v>
      </c>
      <c r="B92" s="304" t="s">
        <v>529</v>
      </c>
      <c r="C92" s="306" t="s">
        <v>561</v>
      </c>
      <c r="D92" s="306">
        <v>4</v>
      </c>
      <c r="E92" s="306">
        <v>15</v>
      </c>
      <c r="F92" s="306">
        <v>15025.2</v>
      </c>
      <c r="G92" s="306">
        <v>9139.88</v>
      </c>
      <c r="H92" s="307">
        <f t="shared" si="0"/>
      </c>
      <c r="I92" s="307">
        <f t="shared" si="3"/>
      </c>
      <c r="J92" s="307">
        <f t="shared" si="2"/>
      </c>
      <c r="K92" s="306">
        <v>6</v>
      </c>
      <c r="L92" s="306">
        <v>4749.6</v>
      </c>
      <c r="M92" s="305"/>
      <c r="N92" s="305"/>
      <c r="O92" s="308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</row>
    <row hidden="true" r="93">
      <c r="A93" s="303" t="s">
        <v>570</v>
      </c>
      <c r="B93" s="304" t="s">
        <v>527</v>
      </c>
      <c r="C93" s="306" t="s">
        <v>541</v>
      </c>
      <c r="D93" s="306">
        <v>4</v>
      </c>
      <c r="E93" s="306">
        <v>13</v>
      </c>
      <c r="F93" s="306">
        <v>14902.799999999988</v>
      </c>
      <c r="G93" s="306">
        <v>13727.019999999999</v>
      </c>
      <c r="H93" s="307">
        <f t="shared" si="0"/>
      </c>
      <c r="I93" s="307">
        <f t="shared" si="3"/>
      </c>
      <c r="J93" s="307">
        <f t="shared" si="2"/>
      </c>
      <c r="K93" s="306">
        <v>2</v>
      </c>
      <c r="L93" s="306">
        <v>3355.199999999999</v>
      </c>
      <c r="M93" s="306"/>
      <c r="N93" s="306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</row>
    <row customHeight="true" hidden="true" ht="16.071428571428573" r="94">
      <c r="A94" s="303" t="s">
        <v>570</v>
      </c>
      <c r="B94" s="304" t="s">
        <v>533</v>
      </c>
      <c r="C94" s="306" t="s">
        <v>542</v>
      </c>
      <c r="D94" s="306">
        <v>4</v>
      </c>
      <c r="E94" s="306">
        <v>20</v>
      </c>
      <c r="F94" s="306">
        <v>23569.48000000001</v>
      </c>
      <c r="G94" s="306">
        <v>14294</v>
      </c>
      <c r="H94" s="307">
        <f t="shared" si="0"/>
      </c>
      <c r="I94" s="307">
        <f t="shared" si="3"/>
      </c>
      <c r="J94" s="307">
        <f t="shared" si="2"/>
      </c>
      <c r="K94" s="306">
        <v>5</v>
      </c>
      <c r="L94" s="306">
        <v>4540.080000000002</v>
      </c>
      <c r="M94" s="306" t="s">
        <v>535</v>
      </c>
      <c r="N94" s="306">
        <v>11</v>
      </c>
      <c r="O94" s="305" t="s">
        <v>536</v>
      </c>
      <c r="P94" s="306">
        <v>11</v>
      </c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</row>
    <row customHeight="true" ht="16.071428571428573" r="95">
      <c r="A95" s="309" t="s">
        <v>570</v>
      </c>
      <c r="B95" s="310"/>
      <c r="C95" s="310"/>
      <c r="D95" s="311">
        <f>SUM(D90:D94)</f>
      </c>
      <c r="E95" s="311">
        <f>SUM(E90:E94)</f>
      </c>
      <c r="F95" s="311">
        <f>SUM(F90:F94)</f>
      </c>
      <c r="G95" s="311">
        <f>SUM(G90:G94)</f>
      </c>
      <c r="H95" s="312">
        <f t="shared" si="0"/>
      </c>
      <c r="I95" s="312">
        <f t="shared" si="3"/>
      </c>
      <c r="J95" s="312">
        <f t="shared" si="2"/>
      </c>
      <c r="K95" s="311">
        <f>SUM(K90:K94)</f>
      </c>
      <c r="L95" s="311">
        <f>SUM(L90:L94)</f>
      </c>
      <c r="M95" s="310"/>
      <c r="N95" s="311">
        <f>SUM(N90:N94)</f>
      </c>
      <c r="O95" s="310"/>
      <c r="P95" s="310">
        <f>SUM(P90:P94)</f>
      </c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10"/>
      <c r="AG95" s="310"/>
      <c r="AH95" s="310"/>
      <c r="AI95" s="310"/>
      <c r="AJ95" s="310"/>
    </row>
    <row customHeight="true" hidden="true" ht="16.071428571428573" r="96">
      <c r="A96" s="303" t="s">
        <v>571</v>
      </c>
      <c r="B96" s="304" t="s">
        <v>531</v>
      </c>
      <c r="C96" s="306" t="s">
        <v>546</v>
      </c>
      <c r="D96" s="306">
        <v>4</v>
      </c>
      <c r="E96" s="306">
        <v>12</v>
      </c>
      <c r="F96" s="306">
        <v>14903.4</v>
      </c>
      <c r="G96" s="306">
        <v>18960.89</v>
      </c>
      <c r="H96" s="307">
        <f t="shared" si="0"/>
      </c>
      <c r="I96" s="307">
        <f t="shared" si="3"/>
      </c>
      <c r="J96" s="307">
        <f t="shared" si="2"/>
      </c>
      <c r="K96" s="306">
        <v>3</v>
      </c>
      <c r="L96" s="306">
        <v>1756.8000000000002</v>
      </c>
      <c r="M96" s="306" t="s">
        <v>525</v>
      </c>
      <c r="N96" s="306">
        <v>11</v>
      </c>
      <c r="O96" s="313" t="s">
        <v>544</v>
      </c>
      <c r="P96" s="306">
        <v>11</v>
      </c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</row>
    <row customHeight="true" hidden="true" ht="16.071428571428573" r="97">
      <c r="A97" s="303" t="s">
        <v>571</v>
      </c>
      <c r="B97" s="304" t="s">
        <v>527</v>
      </c>
      <c r="C97" s="306" t="s">
        <v>552</v>
      </c>
      <c r="D97" s="306">
        <v>4</v>
      </c>
      <c r="E97" s="306">
        <v>15</v>
      </c>
      <c r="F97" s="306">
        <v>18980.2</v>
      </c>
      <c r="G97" s="306">
        <v>10501.87</v>
      </c>
      <c r="H97" s="307">
        <f t="shared" si="0"/>
      </c>
      <c r="I97" s="307">
        <f t="shared" si="3"/>
      </c>
      <c r="J97" s="307">
        <f t="shared" si="2"/>
      </c>
      <c r="K97" s="306">
        <v>4</v>
      </c>
      <c r="L97" s="306">
        <v>6281.400000000001</v>
      </c>
      <c r="M97" s="305"/>
      <c r="N97" s="314"/>
      <c r="O97" s="315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  <c r="AJ97" s="316"/>
    </row>
    <row customHeight="true" hidden="true" ht="16.071428571428573" r="98">
      <c r="A98" s="303" t="s">
        <v>571</v>
      </c>
      <c r="B98" s="304" t="s">
        <v>523</v>
      </c>
      <c r="C98" s="306" t="s">
        <v>553</v>
      </c>
      <c r="D98" s="306">
        <v>5</v>
      </c>
      <c r="E98" s="306">
        <v>8</v>
      </c>
      <c r="F98" s="306">
        <v>6538.99999999999</v>
      </c>
      <c r="G98" s="306">
        <v>12127.13</v>
      </c>
      <c r="H98" s="307">
        <f t="shared" si="0"/>
      </c>
      <c r="I98" s="307">
        <f t="shared" si="3"/>
      </c>
      <c r="J98" s="307">
        <f t="shared" si="2"/>
      </c>
      <c r="K98" s="306">
        <v>2</v>
      </c>
      <c r="L98" s="306">
        <v>1842.0000000000002</v>
      </c>
      <c r="M98" s="305"/>
      <c r="N98" s="305"/>
      <c r="O98" s="308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  <c r="AB98" s="305"/>
      <c r="AC98" s="305"/>
      <c r="AD98" s="305"/>
      <c r="AE98" s="305"/>
      <c r="AF98" s="305"/>
      <c r="AG98" s="305"/>
      <c r="AH98" s="305"/>
      <c r="AI98" s="305"/>
      <c r="AJ98" s="305"/>
    </row>
    <row hidden="true" r="99">
      <c r="A99" s="303" t="s">
        <v>571</v>
      </c>
      <c r="B99" s="304" t="s">
        <v>529</v>
      </c>
      <c r="C99" s="306" t="s">
        <v>549</v>
      </c>
      <c r="D99" s="306">
        <v>4</v>
      </c>
      <c r="E99" s="306">
        <v>6</v>
      </c>
      <c r="F99" s="306">
        <v>8076.000000000007</v>
      </c>
      <c r="G99" s="306">
        <v>5594.39</v>
      </c>
      <c r="H99" s="307">
        <f t="shared" si="0"/>
      </c>
      <c r="I99" s="307">
        <f t="shared" si="3"/>
      </c>
      <c r="J99" s="307">
        <f t="shared" si="2"/>
      </c>
      <c r="K99" s="306">
        <v>1</v>
      </c>
      <c r="L99" s="306">
        <v>621.5999999999985</v>
      </c>
      <c r="M99" s="306"/>
      <c r="N99" s="306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  <c r="AB99" s="305"/>
      <c r="AC99" s="305"/>
      <c r="AD99" s="305"/>
      <c r="AE99" s="305"/>
      <c r="AF99" s="305"/>
      <c r="AG99" s="305"/>
      <c r="AH99" s="305"/>
      <c r="AI99" s="305"/>
      <c r="AJ99" s="305"/>
    </row>
    <row customHeight="true" hidden="true" ht="16.071428571428573" r="100">
      <c r="A100" s="303" t="s">
        <v>571</v>
      </c>
      <c r="B100" s="304" t="s">
        <v>533</v>
      </c>
      <c r="C100" s="306" t="s">
        <v>572</v>
      </c>
      <c r="D100" s="306">
        <v>3</v>
      </c>
      <c r="E100" s="306">
        <v>1</v>
      </c>
      <c r="F100" s="306">
        <v>372</v>
      </c>
      <c r="G100" s="306">
        <v>3353.7900000000004</v>
      </c>
      <c r="H100" s="307">
        <f t="shared" si="0"/>
      </c>
      <c r="I100" s="307">
        <f t="shared" si="3"/>
      </c>
      <c r="J100" s="307">
        <f t="shared" si="2"/>
      </c>
      <c r="K100" s="306">
        <v>0</v>
      </c>
      <c r="L100" s="306">
        <v>0</v>
      </c>
      <c r="M100" s="306" t="s">
        <v>573</v>
      </c>
      <c r="N100" s="306">
        <v>9</v>
      </c>
      <c r="O100" s="305" t="s">
        <v>536</v>
      </c>
      <c r="P100" s="306">
        <v>9</v>
      </c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</row>
    <row customHeight="true" ht="16.071428571428573" r="101">
      <c r="A101" s="309" t="s">
        <v>571</v>
      </c>
      <c r="B101" s="310"/>
      <c r="C101" s="310"/>
      <c r="D101" s="311">
        <f>SUM(D96:D100)</f>
      </c>
      <c r="E101" s="311">
        <f>SUM(E96:E100)</f>
      </c>
      <c r="F101" s="312">
        <f>SUM(F96:F100)</f>
      </c>
      <c r="G101" s="311">
        <f>SUM(G96:G100)</f>
      </c>
      <c r="H101" s="312">
        <f t="shared" si="0"/>
      </c>
      <c r="I101" s="312">
        <f t="shared" si="3"/>
      </c>
      <c r="J101" s="312">
        <f t="shared" si="2"/>
      </c>
      <c r="K101" s="311">
        <f>SUM(K96:K100)</f>
      </c>
      <c r="L101" s="311">
        <f>SUM(L96:L100)</f>
      </c>
      <c r="M101" s="310"/>
      <c r="N101" s="311">
        <f>SUM(N96:N100)</f>
      </c>
      <c r="O101" s="310"/>
      <c r="P101" s="310">
        <f>SUM(P96:P100)</f>
      </c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10"/>
      <c r="AG101" s="310"/>
      <c r="AH101" s="310"/>
      <c r="AI101" s="310"/>
      <c r="AJ101" s="310"/>
    </row>
    <row customHeight="true" hidden="true" ht="16.071428571428573" r="102">
      <c r="A102" s="303" t="s">
        <v>574</v>
      </c>
      <c r="B102" s="304" t="s">
        <v>527</v>
      </c>
      <c r="C102" s="306" t="s">
        <v>559</v>
      </c>
      <c r="D102" s="306">
        <v>5</v>
      </c>
      <c r="E102" s="306">
        <v>36</v>
      </c>
      <c r="F102" s="306">
        <v>58996.6</v>
      </c>
      <c r="G102" s="306">
        <v>35543.35</v>
      </c>
      <c r="H102" s="307">
        <f t="shared" si="0"/>
      </c>
      <c r="I102" s="307">
        <f t="shared" si="3"/>
      </c>
      <c r="J102" s="307">
        <f t="shared" si="2"/>
      </c>
      <c r="K102" s="306">
        <v>5</v>
      </c>
      <c r="L102" s="306">
        <v>7888.8</v>
      </c>
      <c r="M102" s="306" t="s">
        <v>525</v>
      </c>
      <c r="N102" s="306">
        <v>11</v>
      </c>
      <c r="O102" s="313" t="s">
        <v>544</v>
      </c>
      <c r="P102" s="306">
        <v>11</v>
      </c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</row>
    <row customHeight="true" hidden="true" ht="16.071428571428573" r="103">
      <c r="A103" s="303" t="s">
        <v>574</v>
      </c>
      <c r="B103" s="304" t="s">
        <v>529</v>
      </c>
      <c r="C103" s="306" t="s">
        <v>560</v>
      </c>
      <c r="D103" s="306">
        <v>5</v>
      </c>
      <c r="E103" s="306">
        <v>33</v>
      </c>
      <c r="F103" s="306">
        <v>37423.200000000004</v>
      </c>
      <c r="G103" s="306">
        <v>28333.779999999995</v>
      </c>
      <c r="H103" s="307">
        <f t="shared" si="0"/>
      </c>
      <c r="I103" s="307">
        <f t="shared" si="3"/>
      </c>
      <c r="J103" s="307">
        <f t="shared" si="2"/>
      </c>
      <c r="K103" s="306">
        <v>4</v>
      </c>
      <c r="L103" s="306">
        <v>5187.6</v>
      </c>
      <c r="M103" s="305"/>
      <c r="N103" s="314"/>
      <c r="O103" s="315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</row>
    <row customHeight="true" hidden="true" ht="16.071428571428573" r="104">
      <c r="A104" s="303" t="s">
        <v>574</v>
      </c>
      <c r="B104" s="304" t="s">
        <v>523</v>
      </c>
      <c r="C104" s="306" t="s">
        <v>561</v>
      </c>
      <c r="D104" s="306">
        <v>4</v>
      </c>
      <c r="E104" s="306">
        <v>28</v>
      </c>
      <c r="F104" s="306">
        <v>29017.2</v>
      </c>
      <c r="G104" s="306">
        <v>24062.809999999998</v>
      </c>
      <c r="H104" s="307">
        <f t="shared" si="0"/>
      </c>
      <c r="I104" s="307">
        <f t="shared" si="3"/>
      </c>
      <c r="J104" s="307">
        <f t="shared" si="2"/>
      </c>
      <c r="K104" s="306">
        <v>6</v>
      </c>
      <c r="L104" s="306">
        <v>6532.799999999999</v>
      </c>
      <c r="M104" s="305"/>
      <c r="N104" s="305"/>
      <c r="O104" s="308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5"/>
      <c r="AH104" s="305"/>
      <c r="AI104" s="305"/>
      <c r="AJ104" s="305"/>
    </row>
    <row customHeight="true" hidden="true" ht="16.071428571428573" r="105">
      <c r="A105" s="303" t="s">
        <v>574</v>
      </c>
      <c r="B105" s="304" t="s">
        <v>531</v>
      </c>
      <c r="C105" s="306" t="s">
        <v>541</v>
      </c>
      <c r="D105" s="306">
        <v>4</v>
      </c>
      <c r="E105" s="306">
        <v>60</v>
      </c>
      <c r="F105" s="306">
        <v>75254.79999999996</v>
      </c>
      <c r="G105" s="306">
        <v>38075.47</v>
      </c>
      <c r="H105" s="307">
        <f t="shared" si="0"/>
      </c>
      <c r="I105" s="307">
        <f t="shared" si="3"/>
      </c>
      <c r="J105" s="307">
        <f t="shared" si="2"/>
      </c>
      <c r="K105" s="306">
        <v>14</v>
      </c>
      <c r="L105" s="306">
        <v>14640.000000000004</v>
      </c>
      <c r="M105" s="306"/>
      <c r="N105" s="306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</row>
    <row customHeight="true" hidden="true" ht="16.071428571428573" r="106">
      <c r="A106" s="303" t="s">
        <v>574</v>
      </c>
      <c r="B106" s="304" t="s">
        <v>533</v>
      </c>
      <c r="C106" s="306" t="s">
        <v>542</v>
      </c>
      <c r="D106" s="306">
        <v>4</v>
      </c>
      <c r="E106" s="306">
        <v>42</v>
      </c>
      <c r="F106" s="306">
        <v>47996.40000000002</v>
      </c>
      <c r="G106" s="306">
        <v>35211.64</v>
      </c>
      <c r="H106" s="307">
        <f t="shared" si="0"/>
      </c>
      <c r="I106" s="307">
        <f t="shared" si="3"/>
      </c>
      <c r="J106" s="307">
        <f t="shared" si="2"/>
      </c>
      <c r="K106" s="306">
        <v>8</v>
      </c>
      <c r="L106" s="306">
        <v>7130.399999999994</v>
      </c>
      <c r="M106" s="306" t="s">
        <v>535</v>
      </c>
      <c r="N106" s="306">
        <v>11</v>
      </c>
      <c r="O106" s="305" t="s">
        <v>536</v>
      </c>
      <c r="P106" s="306">
        <v>11</v>
      </c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</row>
    <row customHeight="true" ht="16.071428571428573" r="107">
      <c r="A107" s="309" t="s">
        <v>574</v>
      </c>
      <c r="B107" s="310"/>
      <c r="C107" s="310"/>
      <c r="D107" s="311">
        <f>SUM(D102:D106)</f>
      </c>
      <c r="E107" s="311">
        <f>SUM(E102:E106)</f>
      </c>
      <c r="F107" s="312">
        <f>SUM(F102:F106)</f>
      </c>
      <c r="G107" s="311">
        <f>SUM(G102:G106)</f>
      </c>
      <c r="H107" s="312">
        <f t="shared" si="0"/>
      </c>
      <c r="I107" s="312">
        <f t="shared" si="3"/>
      </c>
      <c r="J107" s="312">
        <f t="shared" si="2"/>
      </c>
      <c r="K107" s="311">
        <f>SUM(K102:K106)</f>
      </c>
      <c r="L107" s="311">
        <f>SUM(L102:L106)</f>
      </c>
      <c r="M107" s="310"/>
      <c r="N107" s="311">
        <f>SUM(N102:N106)</f>
      </c>
      <c r="O107" s="310"/>
      <c r="P107" s="310">
        <f>SUM(P102:P106)</f>
      </c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10"/>
      <c r="AG107" s="310"/>
      <c r="AH107" s="310"/>
      <c r="AI107" s="310"/>
      <c r="AJ107" s="310"/>
    </row>
    <row customHeight="true" hidden="true" ht="16.071428571428573" r="108">
      <c r="A108" s="303" t="s">
        <v>575</v>
      </c>
      <c r="B108" s="304" t="s">
        <v>527</v>
      </c>
      <c r="C108" s="306" t="s">
        <v>559</v>
      </c>
      <c r="D108" s="306">
        <v>5</v>
      </c>
      <c r="E108" s="306">
        <v>31</v>
      </c>
      <c r="F108" s="306">
        <v>39484.8</v>
      </c>
      <c r="G108" s="306">
        <v>29704.05</v>
      </c>
      <c r="H108" s="307">
        <f t="shared" si="0"/>
      </c>
      <c r="I108" s="307">
        <f t="shared" si="3"/>
      </c>
      <c r="J108" s="307">
        <f t="shared" si="2"/>
      </c>
      <c r="K108" s="306">
        <v>8</v>
      </c>
      <c r="L108" s="306">
        <v>9295.199999999995</v>
      </c>
      <c r="M108" s="306" t="s">
        <v>525</v>
      </c>
      <c r="N108" s="306">
        <v>11</v>
      </c>
      <c r="O108" s="313" t="s">
        <v>544</v>
      </c>
      <c r="P108" s="306">
        <v>11</v>
      </c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</row>
    <row customHeight="true" hidden="true" ht="16.071428571428573" r="109">
      <c r="A109" s="303" t="s">
        <v>575</v>
      </c>
      <c r="B109" s="304" t="s">
        <v>523</v>
      </c>
      <c r="C109" s="306" t="s">
        <v>560</v>
      </c>
      <c r="D109" s="306">
        <v>5</v>
      </c>
      <c r="E109" s="306">
        <v>29</v>
      </c>
      <c r="F109" s="306">
        <v>36877.2</v>
      </c>
      <c r="G109" s="306">
        <v>25789.96</v>
      </c>
      <c r="H109" s="307">
        <f t="shared" si="0"/>
      </c>
      <c r="I109" s="307">
        <f t="shared" si="3"/>
      </c>
      <c r="J109" s="307">
        <f t="shared" si="2"/>
      </c>
      <c r="K109" s="306">
        <v>9</v>
      </c>
      <c r="L109" s="306">
        <v>12774</v>
      </c>
      <c r="M109" s="305"/>
      <c r="N109" s="314"/>
      <c r="O109" s="315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</row>
    <row customHeight="true" hidden="true" ht="16.071428571428573" r="110">
      <c r="A110" s="303" t="s">
        <v>575</v>
      </c>
      <c r="B110" s="304" t="s">
        <v>533</v>
      </c>
      <c r="C110" s="306" t="s">
        <v>561</v>
      </c>
      <c r="D110" s="306">
        <v>4</v>
      </c>
      <c r="E110" s="306">
        <v>14</v>
      </c>
      <c r="F110" s="306">
        <v>20265.800000000003</v>
      </c>
      <c r="G110" s="306">
        <v>14790.73</v>
      </c>
      <c r="H110" s="307">
        <f t="shared" si="0"/>
      </c>
      <c r="I110" s="307">
        <f t="shared" si="3"/>
      </c>
      <c r="J110" s="307">
        <f t="shared" si="2"/>
      </c>
      <c r="K110" s="306">
        <v>4</v>
      </c>
      <c r="L110" s="306">
        <v>5568.000000000002</v>
      </c>
      <c r="M110" s="305"/>
      <c r="N110" s="305"/>
      <c r="O110" s="308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</row>
    <row customHeight="true" hidden="true" ht="16.071428571428573" r="111">
      <c r="A111" s="303" t="s">
        <v>575</v>
      </c>
      <c r="B111" s="304" t="s">
        <v>531</v>
      </c>
      <c r="C111" s="306" t="s">
        <v>541</v>
      </c>
      <c r="D111" s="306">
        <v>4</v>
      </c>
      <c r="E111" s="306">
        <v>13</v>
      </c>
      <c r="F111" s="306">
        <v>15794.399999999994</v>
      </c>
      <c r="G111" s="306">
        <v>17712.999999999996</v>
      </c>
      <c r="H111" s="307">
        <f t="shared" si="0"/>
      </c>
      <c r="I111" s="307">
        <f t="shared" si="3"/>
      </c>
      <c r="J111" s="307">
        <f t="shared" si="2"/>
      </c>
      <c r="K111" s="306">
        <v>3</v>
      </c>
      <c r="L111" s="306">
        <v>4664.400000000005</v>
      </c>
      <c r="M111" s="306"/>
      <c r="N111" s="306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</row>
    <row customHeight="true" hidden="true" ht="16.071428571428573" r="112">
      <c r="A112" s="303" t="s">
        <v>575</v>
      </c>
      <c r="B112" s="304" t="s">
        <v>529</v>
      </c>
      <c r="C112" s="306" t="s">
        <v>542</v>
      </c>
      <c r="D112" s="306">
        <v>4</v>
      </c>
      <c r="E112" s="306">
        <v>32</v>
      </c>
      <c r="F112" s="306">
        <v>31984.800000000003</v>
      </c>
      <c r="G112" s="306">
        <v>16474.07</v>
      </c>
      <c r="H112" s="307">
        <f t="shared" si="0"/>
      </c>
      <c r="I112" s="307">
        <f t="shared" si="3"/>
      </c>
      <c r="J112" s="307">
        <f t="shared" si="2"/>
      </c>
      <c r="K112" s="306">
        <v>5</v>
      </c>
      <c r="L112" s="306">
        <v>3218.4000000000015</v>
      </c>
      <c r="M112" s="306" t="s">
        <v>535</v>
      </c>
      <c r="N112" s="306">
        <v>11</v>
      </c>
      <c r="O112" s="305" t="s">
        <v>536</v>
      </c>
      <c r="P112" s="306">
        <v>11</v>
      </c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</row>
    <row customHeight="true" ht="16.071428571428573" r="113">
      <c r="A113" s="309" t="s">
        <v>575</v>
      </c>
      <c r="B113" s="310"/>
      <c r="C113" s="310"/>
      <c r="D113" s="311">
        <f>SUM(D108:D112)</f>
      </c>
      <c r="E113" s="311">
        <f>SUM(E108:E112)</f>
      </c>
      <c r="F113" s="312">
        <f>SUM(F108:F112)</f>
      </c>
      <c r="G113" s="311">
        <f>SUM(G108:G112)</f>
      </c>
      <c r="H113" s="312">
        <f t="shared" si="0"/>
      </c>
      <c r="I113" s="312">
        <f t="shared" si="3"/>
      </c>
      <c r="J113" s="312">
        <f t="shared" si="2"/>
      </c>
      <c r="K113" s="311">
        <f>SUM(K108:K112)</f>
      </c>
      <c r="L113" s="311">
        <f>SUM(L108:L112)</f>
      </c>
      <c r="M113" s="310"/>
      <c r="N113" s="311">
        <f>SUM(N108:N112)</f>
      </c>
      <c r="O113" s="310"/>
      <c r="P113" s="310">
        <f>SUM(P108:P112)</f>
      </c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</row>
    <row customHeight="true" hidden="true" ht="16.071428571428573" r="114">
      <c r="A114" s="303" t="s">
        <v>576</v>
      </c>
      <c r="B114" s="304" t="s">
        <v>533</v>
      </c>
      <c r="C114" s="306" t="s">
        <v>546</v>
      </c>
      <c r="D114" s="306">
        <v>4</v>
      </c>
      <c r="E114" s="306">
        <v>29</v>
      </c>
      <c r="F114" s="306">
        <v>37694</v>
      </c>
      <c r="G114" s="306">
        <v>26192.469999999998</v>
      </c>
      <c r="H114" s="307">
        <f t="shared" si="0"/>
      </c>
      <c r="I114" s="307">
        <f t="shared" si="3"/>
      </c>
      <c r="J114" s="307">
        <f t="shared" si="2"/>
      </c>
      <c r="K114" s="306">
        <v>10</v>
      </c>
      <c r="L114" s="306">
        <v>11584</v>
      </c>
      <c r="M114" s="306" t="s">
        <v>577</v>
      </c>
      <c r="N114" s="306">
        <v>11</v>
      </c>
      <c r="O114" s="313" t="s">
        <v>544</v>
      </c>
      <c r="P114" s="306">
        <v>11</v>
      </c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</row>
    <row customHeight="true" hidden="true" ht="16.071428571428573" r="115">
      <c r="A115" s="303" t="s">
        <v>576</v>
      </c>
      <c r="B115" s="304" t="s">
        <v>531</v>
      </c>
      <c r="C115" s="306" t="s">
        <v>552</v>
      </c>
      <c r="D115" s="306">
        <v>4</v>
      </c>
      <c r="E115" s="306">
        <v>16</v>
      </c>
      <c r="F115" s="306">
        <v>19787.4</v>
      </c>
      <c r="G115" s="306">
        <v>26287.22</v>
      </c>
      <c r="H115" s="307">
        <f t="shared" si="0"/>
      </c>
      <c r="I115" s="307">
        <f t="shared" si="3"/>
      </c>
      <c r="J115" s="307">
        <f t="shared" si="2"/>
      </c>
      <c r="K115" s="306">
        <v>6</v>
      </c>
      <c r="L115" s="306">
        <v>7587.8</v>
      </c>
      <c r="M115" s="305"/>
      <c r="N115" s="314"/>
      <c r="O115" s="315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  <c r="AG115" s="316"/>
      <c r="AH115" s="316"/>
      <c r="AI115" s="316"/>
      <c r="AJ115" s="316"/>
    </row>
    <row customHeight="true" hidden="true" ht="16.071428571428573" r="116">
      <c r="A116" s="303" t="s">
        <v>576</v>
      </c>
      <c r="B116" s="304" t="s">
        <v>527</v>
      </c>
      <c r="C116" s="306" t="s">
        <v>553</v>
      </c>
      <c r="D116" s="306">
        <v>5</v>
      </c>
      <c r="E116" s="306">
        <v>21</v>
      </c>
      <c r="F116" s="306">
        <v>23742.8</v>
      </c>
      <c r="G116" s="306">
        <v>22385.94</v>
      </c>
      <c r="H116" s="307">
        <f t="shared" si="0"/>
      </c>
      <c r="I116" s="307">
        <f t="shared" si="3"/>
      </c>
      <c r="J116" s="307">
        <f t="shared" si="2"/>
      </c>
      <c r="K116" s="306">
        <v>6</v>
      </c>
      <c r="L116" s="306">
        <v>4815.6</v>
      </c>
      <c r="M116" s="305"/>
      <c r="N116" s="305"/>
      <c r="O116" s="308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</row>
    <row customHeight="true" hidden="true" ht="16.071428571428573" r="117">
      <c r="A117" s="303" t="s">
        <v>576</v>
      </c>
      <c r="B117" s="304" t="s">
        <v>523</v>
      </c>
      <c r="C117" s="306" t="s">
        <v>549</v>
      </c>
      <c r="D117" s="306">
        <v>4</v>
      </c>
      <c r="E117" s="306">
        <v>15</v>
      </c>
      <c r="F117" s="306">
        <v>20827.2</v>
      </c>
      <c r="G117" s="306">
        <v>17386.98</v>
      </c>
      <c r="H117" s="307">
        <f t="shared" si="0"/>
      </c>
      <c r="I117" s="307">
        <f t="shared" si="3"/>
      </c>
      <c r="J117" s="307">
        <f t="shared" si="2"/>
      </c>
      <c r="K117" s="306">
        <v>2</v>
      </c>
      <c r="L117" s="306">
        <v>1207.2</v>
      </c>
      <c r="M117" s="306"/>
      <c r="N117" s="306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5"/>
      <c r="AH117" s="305"/>
      <c r="AI117" s="305"/>
      <c r="AJ117" s="305"/>
    </row>
    <row hidden="true" r="118">
      <c r="A118" s="303" t="s">
        <v>576</v>
      </c>
      <c r="B118" s="304" t="s">
        <v>529</v>
      </c>
      <c r="C118" s="306" t="s">
        <v>534</v>
      </c>
      <c r="D118" s="306">
        <v>5</v>
      </c>
      <c r="E118" s="306">
        <v>34</v>
      </c>
      <c r="F118" s="306">
        <v>41139.8</v>
      </c>
      <c r="G118" s="306">
        <v>25183.930000000004</v>
      </c>
      <c r="H118" s="307">
        <f t="shared" si="0"/>
      </c>
      <c r="I118" s="307">
        <f t="shared" si="3"/>
      </c>
      <c r="J118" s="307">
        <f t="shared" si="2"/>
      </c>
      <c r="K118" s="306">
        <v>7</v>
      </c>
      <c r="L118" s="306">
        <v>4967.4</v>
      </c>
      <c r="M118" s="306" t="s">
        <v>578</v>
      </c>
      <c r="N118" s="306">
        <v>11</v>
      </c>
      <c r="O118" s="305" t="s">
        <v>536</v>
      </c>
      <c r="P118" s="306">
        <v>11</v>
      </c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</row>
    <row r="119">
      <c r="A119" s="309" t="s">
        <v>576</v>
      </c>
      <c r="B119" s="310"/>
      <c r="C119" s="310"/>
      <c r="D119" s="311">
        <f>SUM(D114:D118)</f>
      </c>
      <c r="E119" s="311">
        <f>SUM(E114:E118)</f>
      </c>
      <c r="F119" s="312">
        <f>SUM(F114:F118)</f>
      </c>
      <c r="G119" s="311">
        <f>SUM(G114:G118)</f>
      </c>
      <c r="H119" s="312">
        <f t="shared" si="0"/>
      </c>
      <c r="I119" s="312">
        <f t="shared" si="3"/>
      </c>
      <c r="J119" s="312">
        <f t="shared" si="2"/>
      </c>
      <c r="K119" s="311">
        <f>SUM(K114:K118)</f>
      </c>
      <c r="L119" s="311">
        <f>SUM(L114:L118)</f>
      </c>
      <c r="M119" s="310"/>
      <c r="N119" s="311">
        <f>SUM(N114:N118)</f>
      </c>
      <c r="O119" s="310"/>
      <c r="P119" s="310">
        <f>SUM(P114:P118)</f>
      </c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</row>
    <row hidden="true" r="120">
      <c r="A120" s="303" t="s">
        <v>579</v>
      </c>
      <c r="B120" s="304" t="s">
        <v>533</v>
      </c>
      <c r="C120" s="306" t="s">
        <v>546</v>
      </c>
      <c r="D120" s="306">
        <v>4</v>
      </c>
      <c r="E120" s="306">
        <v>18</v>
      </c>
      <c r="F120" s="306">
        <v>25894.8</v>
      </c>
      <c r="G120" s="306">
        <v>16685.1</v>
      </c>
      <c r="H120" s="307">
        <f t="shared" si="0"/>
      </c>
      <c r="I120" s="307">
        <f t="shared" si="3"/>
      </c>
      <c r="J120" s="307">
        <f t="shared" si="2"/>
      </c>
      <c r="K120" s="306">
        <v>4</v>
      </c>
      <c r="L120" s="306">
        <v>5226</v>
      </c>
      <c r="M120" s="306" t="s">
        <v>580</v>
      </c>
      <c r="N120" s="306">
        <v>12</v>
      </c>
      <c r="O120" s="313" t="s">
        <v>544</v>
      </c>
      <c r="P120" s="306">
        <v>11</v>
      </c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</row>
    <row hidden="true" r="121">
      <c r="A121" s="303" t="s">
        <v>579</v>
      </c>
      <c r="B121" s="304" t="s">
        <v>527</v>
      </c>
      <c r="C121" s="306" t="s">
        <v>552</v>
      </c>
      <c r="D121" s="306">
        <v>4</v>
      </c>
      <c r="E121" s="306">
        <v>15</v>
      </c>
      <c r="F121" s="306">
        <v>13830.000000000004</v>
      </c>
      <c r="G121" s="306">
        <v>18324.52</v>
      </c>
      <c r="H121" s="307">
        <f t="shared" si="0"/>
      </c>
      <c r="I121" s="307">
        <f t="shared" si="3"/>
      </c>
      <c r="J121" s="307">
        <f t="shared" si="2"/>
      </c>
      <c r="K121" s="306">
        <v>3</v>
      </c>
      <c r="L121" s="306">
        <v>3744</v>
      </c>
      <c r="M121" s="305"/>
      <c r="N121" s="314"/>
      <c r="O121" s="315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  <c r="AG121" s="316"/>
      <c r="AH121" s="316"/>
      <c r="AI121" s="316"/>
      <c r="AJ121" s="316"/>
    </row>
    <row hidden="true" r="122">
      <c r="A122" s="303" t="s">
        <v>579</v>
      </c>
      <c r="B122" s="304" t="s">
        <v>523</v>
      </c>
      <c r="C122" s="306" t="s">
        <v>581</v>
      </c>
      <c r="D122" s="306">
        <v>4</v>
      </c>
      <c r="E122" s="306">
        <v>9</v>
      </c>
      <c r="F122" s="306">
        <v>9416.4</v>
      </c>
      <c r="G122" s="306">
        <v>14020.69</v>
      </c>
      <c r="H122" s="307">
        <f t="shared" si="0"/>
      </c>
      <c r="I122" s="307">
        <f t="shared" si="3"/>
      </c>
      <c r="J122" s="307">
        <f t="shared" si="2"/>
      </c>
      <c r="K122" s="306">
        <v>1</v>
      </c>
      <c r="L122" s="306">
        <v>2011.2</v>
      </c>
      <c r="M122" s="305"/>
      <c r="N122" s="305"/>
      <c r="O122" s="308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5"/>
      <c r="AH122" s="305"/>
      <c r="AI122" s="305"/>
      <c r="AJ122" s="305"/>
    </row>
    <row hidden="true" r="123">
      <c r="A123" s="303" t="s">
        <v>579</v>
      </c>
      <c r="B123" s="304" t="s">
        <v>529</v>
      </c>
      <c r="C123" s="306" t="s">
        <v>582</v>
      </c>
      <c r="D123" s="306">
        <v>0.5</v>
      </c>
      <c r="E123" s="306">
        <v>2</v>
      </c>
      <c r="F123" s="306">
        <v>3780</v>
      </c>
      <c r="G123" s="306">
        <v>857.6</v>
      </c>
      <c r="H123" s="307">
        <f t="shared" si="0"/>
      </c>
      <c r="I123" s="307">
        <f t="shared" si="3"/>
      </c>
      <c r="J123" s="307">
        <f t="shared" si="2"/>
      </c>
      <c r="K123" s="306">
        <v>0</v>
      </c>
      <c r="L123" s="306">
        <v>0</v>
      </c>
      <c r="M123" s="306" t="s">
        <v>583</v>
      </c>
      <c r="N123" s="306">
        <v>0.5</v>
      </c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5"/>
      <c r="AH123" s="305"/>
      <c r="AI123" s="305"/>
      <c r="AJ123" s="305"/>
    </row>
    <row r="124">
      <c r="A124" s="309" t="s">
        <v>579</v>
      </c>
      <c r="B124" s="310"/>
      <c r="C124" s="310"/>
      <c r="D124" s="311">
        <f>SUM(D120:D123)</f>
      </c>
      <c r="E124" s="311">
        <f>SUM(E120:E123)</f>
      </c>
      <c r="F124" s="312">
        <f>SUM(F120:F123)</f>
      </c>
      <c r="G124" s="311">
        <f>SUM(G120:G123)</f>
      </c>
      <c r="H124" s="312">
        <f t="shared" si="0"/>
      </c>
      <c r="I124" s="312">
        <f t="shared" si="3"/>
      </c>
      <c r="J124" s="312">
        <f t="shared" si="2"/>
      </c>
      <c r="K124" s="311">
        <f>SUM(K120:K123)</f>
      </c>
      <c r="L124" s="311">
        <f>SUM(L120:L123)</f>
      </c>
      <c r="M124" s="310"/>
      <c r="N124" s="311">
        <f>SUM(N120:N123)</f>
      </c>
      <c r="O124" s="310"/>
      <c r="P124" s="310">
        <f>SUM(P120:P123)</f>
      </c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10"/>
      <c r="AG124" s="310"/>
      <c r="AH124" s="310"/>
      <c r="AI124" s="310"/>
      <c r="AJ124" s="310"/>
    </row>
    <row hidden="true" r="125">
      <c r="A125" s="303" t="s">
        <v>584</v>
      </c>
      <c r="B125" s="304" t="s">
        <v>531</v>
      </c>
      <c r="C125" s="306" t="s">
        <v>585</v>
      </c>
      <c r="D125" s="306">
        <v>5</v>
      </c>
      <c r="E125" s="306">
        <v>15</v>
      </c>
      <c r="F125" s="306">
        <v>24159.8</v>
      </c>
      <c r="G125" s="306">
        <v>12825.4</v>
      </c>
      <c r="H125" s="307">
        <f t="shared" si="0"/>
      </c>
      <c r="I125" s="307">
        <f t="shared" si="3"/>
      </c>
      <c r="J125" s="307">
        <f t="shared" si="2"/>
      </c>
      <c r="K125" s="306">
        <v>0</v>
      </c>
      <c r="L125" s="306">
        <v>0</v>
      </c>
      <c r="M125" s="306" t="s">
        <v>573</v>
      </c>
      <c r="N125" s="306">
        <v>7</v>
      </c>
      <c r="O125" s="313" t="s">
        <v>536</v>
      </c>
      <c r="P125" s="306">
        <v>7</v>
      </c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6"/>
      <c r="AH125" s="306"/>
      <c r="AI125" s="306"/>
      <c r="AJ125" s="306"/>
    </row>
    <row hidden="true" r="126">
      <c r="A126" s="303" t="s">
        <v>584</v>
      </c>
      <c r="B126" s="304" t="s">
        <v>527</v>
      </c>
      <c r="C126" s="306" t="s">
        <v>586</v>
      </c>
      <c r="D126" s="306">
        <v>2</v>
      </c>
      <c r="E126" s="306">
        <v>9</v>
      </c>
      <c r="F126" s="306">
        <v>12784.8</v>
      </c>
      <c r="G126" s="306">
        <v>7229.96</v>
      </c>
      <c r="H126" s="307">
        <f t="shared" si="0"/>
      </c>
      <c r="I126" s="307">
        <f t="shared" si="3"/>
      </c>
      <c r="J126" s="307">
        <f t="shared" si="2"/>
      </c>
      <c r="K126" s="306">
        <v>0</v>
      </c>
      <c r="L126" s="306">
        <v>0</v>
      </c>
      <c r="M126" s="305"/>
      <c r="N126" s="314"/>
      <c r="O126" s="315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  <c r="AG126" s="316"/>
      <c r="AH126" s="316"/>
      <c r="AI126" s="316"/>
      <c r="AJ126" s="316"/>
    </row>
    <row r="127">
      <c r="A127" s="309" t="s">
        <v>584</v>
      </c>
      <c r="B127" s="310"/>
      <c r="C127" s="310"/>
      <c r="D127" s="311">
        <f>SUM(D125:D126)</f>
      </c>
      <c r="E127" s="311">
        <f>SUM(E125:E126)</f>
      </c>
      <c r="F127" s="312">
        <f>SUM(F125:F126)</f>
      </c>
      <c r="G127" s="311">
        <f>SUM(G125:G126)</f>
      </c>
      <c r="H127" s="312">
        <f t="shared" si="0"/>
      </c>
      <c r="I127" s="312">
        <f t="shared" si="3"/>
      </c>
      <c r="J127" s="312">
        <f t="shared" si="2"/>
      </c>
      <c r="K127" s="311">
        <f>SUM(K125:K126)</f>
      </c>
      <c r="L127" s="311">
        <f>SUM(L125:L126)</f>
      </c>
      <c r="M127" s="310"/>
      <c r="N127" s="311">
        <f>SUM(N125:N126)</f>
      </c>
      <c r="O127" s="310"/>
      <c r="P127" s="310">
        <f>SUM(P125:P126)</f>
      </c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0"/>
      <c r="AI127" s="310"/>
      <c r="AJ127" s="310"/>
    </row>
    <row hidden="true" r="128">
      <c r="A128" s="303" t="s">
        <v>587</v>
      </c>
      <c r="B128" s="304" t="s">
        <v>527</v>
      </c>
      <c r="C128" s="306" t="s">
        <v>588</v>
      </c>
      <c r="D128" s="306">
        <v>3</v>
      </c>
      <c r="E128" s="306">
        <v>16</v>
      </c>
      <c r="F128" s="306">
        <v>20826</v>
      </c>
      <c r="G128" s="306">
        <v>10897.4</v>
      </c>
      <c r="H128" s="307">
        <f t="shared" si="0"/>
      </c>
      <c r="I128" s="307">
        <f t="shared" si="3"/>
      </c>
      <c r="J128" s="307">
        <f t="shared" si="2"/>
      </c>
      <c r="K128" s="306">
        <v>7</v>
      </c>
      <c r="L128" s="306">
        <v>12540</v>
      </c>
      <c r="M128" s="306" t="s">
        <v>535</v>
      </c>
      <c r="N128" s="306">
        <v>7.5</v>
      </c>
      <c r="O128" s="313" t="s">
        <v>536</v>
      </c>
      <c r="P128" s="306">
        <v>7</v>
      </c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</row>
    <row hidden="true" r="129">
      <c r="A129" s="303" t="s">
        <v>587</v>
      </c>
      <c r="B129" s="304" t="s">
        <v>533</v>
      </c>
      <c r="C129" s="306" t="s">
        <v>589</v>
      </c>
      <c r="D129" s="306">
        <v>4</v>
      </c>
      <c r="E129" s="306">
        <v>9</v>
      </c>
      <c r="F129" s="306">
        <v>13106.400000000001</v>
      </c>
      <c r="G129" s="306">
        <v>9606.61</v>
      </c>
      <c r="H129" s="307">
        <f t="shared" si="0"/>
      </c>
      <c r="I129" s="307">
        <f t="shared" si="3"/>
      </c>
      <c r="J129" s="307">
        <f t="shared" si="2"/>
      </c>
      <c r="K129" s="306">
        <v>3</v>
      </c>
      <c r="L129" s="306">
        <v>4130.4000000000015</v>
      </c>
      <c r="M129" s="305"/>
      <c r="N129" s="314"/>
      <c r="O129" s="315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  <c r="AG129" s="316"/>
      <c r="AH129" s="316"/>
      <c r="AI129" s="316"/>
      <c r="AJ129" s="316"/>
    </row>
    <row hidden="true" r="130">
      <c r="A130" s="303" t="s">
        <v>587</v>
      </c>
      <c r="B130" s="304" t="s">
        <v>529</v>
      </c>
      <c r="C130" s="306" t="s">
        <v>590</v>
      </c>
      <c r="D130" s="306">
        <v>4</v>
      </c>
      <c r="E130" s="306">
        <v>15</v>
      </c>
      <c r="F130" s="306">
        <v>13412.6</v>
      </c>
      <c r="G130" s="306">
        <v>14257.47</v>
      </c>
      <c r="H130" s="307">
        <f t="shared" si="0"/>
      </c>
      <c r="I130" s="307">
        <f t="shared" si="3"/>
      </c>
      <c r="J130" s="307">
        <f t="shared" si="2"/>
      </c>
      <c r="K130" s="306">
        <v>4</v>
      </c>
      <c r="L130" s="306">
        <v>4673.999999999998</v>
      </c>
      <c r="M130" s="305"/>
      <c r="N130" s="305"/>
      <c r="O130" s="308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5"/>
      <c r="AH130" s="305"/>
      <c r="AI130" s="305"/>
      <c r="AJ130" s="305"/>
    </row>
    <row hidden="true" r="131">
      <c r="A131" s="303" t="s">
        <v>587</v>
      </c>
      <c r="B131" s="304" t="s">
        <v>531</v>
      </c>
      <c r="C131" s="306" t="s">
        <v>591</v>
      </c>
      <c r="D131" s="306">
        <v>4</v>
      </c>
      <c r="E131" s="306">
        <v>10</v>
      </c>
      <c r="F131" s="306">
        <v>13876.8</v>
      </c>
      <c r="G131" s="306">
        <v>7181.48</v>
      </c>
      <c r="H131" s="307">
        <f t="shared" si="0"/>
      </c>
      <c r="I131" s="307">
        <f t="shared" si="3"/>
      </c>
      <c r="J131" s="307">
        <f t="shared" si="2"/>
      </c>
      <c r="K131" s="306">
        <v>1</v>
      </c>
      <c r="L131" s="306">
        <v>2011.2</v>
      </c>
      <c r="M131" s="306" t="s">
        <v>592</v>
      </c>
      <c r="N131" s="306">
        <v>11.5</v>
      </c>
      <c r="O131" s="306" t="s">
        <v>544</v>
      </c>
      <c r="P131" s="306">
        <v>12</v>
      </c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6"/>
      <c r="AH131" s="306"/>
      <c r="AI131" s="306"/>
      <c r="AJ131" s="306"/>
    </row>
    <row hidden="true" r="132">
      <c r="A132" s="303" t="s">
        <v>587</v>
      </c>
      <c r="B132" s="304" t="s">
        <v>593</v>
      </c>
      <c r="C132" s="306" t="s">
        <v>594</v>
      </c>
      <c r="D132" s="306">
        <v>2</v>
      </c>
      <c r="E132" s="306">
        <v>1</v>
      </c>
      <c r="F132" s="306">
        <v>360</v>
      </c>
      <c r="G132" s="306">
        <v>3780.43</v>
      </c>
      <c r="H132" s="307">
        <f t="shared" si="0"/>
      </c>
      <c r="I132" s="307">
        <f t="shared" si="3"/>
      </c>
      <c r="J132" s="307">
        <f t="shared" si="2"/>
      </c>
      <c r="K132" s="306">
        <v>0</v>
      </c>
      <c r="L132" s="306">
        <v>0</v>
      </c>
      <c r="M132" s="306"/>
      <c r="N132" s="306"/>
      <c r="O132" s="305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6"/>
      <c r="AH132" s="306"/>
      <c r="AI132" s="306"/>
      <c r="AJ132" s="306"/>
    </row>
    <row customHeight="true" hidden="true" ht="16.071428571428573" r="133">
      <c r="A133" s="303" t="s">
        <v>587</v>
      </c>
      <c r="B133" s="304" t="s">
        <v>527</v>
      </c>
      <c r="C133" s="306" t="s">
        <v>549</v>
      </c>
      <c r="D133" s="306">
        <v>4</v>
      </c>
      <c r="E133" s="306">
        <v>12</v>
      </c>
      <c r="F133" s="306">
        <v>14238.799999999997</v>
      </c>
      <c r="G133" s="306">
        <v>13372.79</v>
      </c>
      <c r="H133" s="307">
        <f t="shared" si="0"/>
      </c>
      <c r="I133" s="307">
        <f t="shared" si="3"/>
      </c>
      <c r="J133" s="307">
        <f t="shared" si="2"/>
      </c>
      <c r="K133" s="306">
        <v>2</v>
      </c>
      <c r="L133" s="306">
        <v>4418.400000000001</v>
      </c>
      <c r="M133" s="306" t="s">
        <v>573</v>
      </c>
      <c r="N133" s="306">
        <v>5</v>
      </c>
      <c r="O133" s="313" t="s">
        <v>536</v>
      </c>
      <c r="P133" s="306">
        <v>5</v>
      </c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6"/>
      <c r="AH133" s="306"/>
      <c r="AI133" s="306"/>
      <c r="AJ133" s="306"/>
    </row>
    <row customHeight="true" hidden="true" ht="16.071428571428573" r="134">
      <c r="A134" s="303" t="s">
        <v>587</v>
      </c>
      <c r="B134" s="304" t="s">
        <v>523</v>
      </c>
      <c r="C134" s="306" t="s">
        <v>572</v>
      </c>
      <c r="D134" s="306">
        <v>3</v>
      </c>
      <c r="E134" s="306">
        <v>12</v>
      </c>
      <c r="F134" s="306">
        <v>16196.599999999991</v>
      </c>
      <c r="G134" s="306">
        <v>10435.16</v>
      </c>
      <c r="H134" s="307">
        <f t="shared" si="0"/>
      </c>
      <c r="I134" s="307">
        <f t="shared" si="3"/>
      </c>
      <c r="J134" s="307">
        <f t="shared" si="2"/>
      </c>
      <c r="K134" s="306">
        <v>3</v>
      </c>
      <c r="L134" s="306">
        <v>4113.599999999998</v>
      </c>
      <c r="M134" s="306"/>
      <c r="N134" s="306"/>
      <c r="O134" s="305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6"/>
      <c r="AH134" s="306"/>
      <c r="AI134" s="306"/>
      <c r="AJ134" s="306"/>
    </row>
    <row r="135">
      <c r="A135" s="309" t="s">
        <v>587</v>
      </c>
      <c r="B135" s="310"/>
      <c r="C135" s="310"/>
      <c r="D135" s="311">
        <f>SUM(D128:D134)</f>
      </c>
      <c r="E135" s="311">
        <f>SUM(E128:E134)</f>
      </c>
      <c r="F135" s="311">
        <f>SUM(F128:F134)</f>
      </c>
      <c r="G135" s="311">
        <f>SUM(G128:G134)</f>
      </c>
      <c r="H135" s="312">
        <f t="shared" si="0"/>
      </c>
      <c r="I135" s="312">
        <f t="shared" si="3"/>
      </c>
      <c r="J135" s="312">
        <f t="shared" si="2"/>
      </c>
      <c r="K135" s="311">
        <f>SUM(K128:K134)</f>
      </c>
      <c r="L135" s="311">
        <f>SUM(L128:L134)</f>
      </c>
      <c r="M135" s="310"/>
      <c r="N135" s="311">
        <f>SUM(N128:N134)</f>
      </c>
      <c r="O135" s="310"/>
      <c r="P135" s="311">
        <f>SUM(P128:P134)</f>
      </c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</row>
    <row hidden="true" r="136">
      <c r="A136" s="303" t="s">
        <v>595</v>
      </c>
      <c r="B136" s="304" t="s">
        <v>523</v>
      </c>
      <c r="C136" s="306" t="s">
        <v>596</v>
      </c>
      <c r="D136" s="306">
        <v>2</v>
      </c>
      <c r="E136" s="306">
        <v>12</v>
      </c>
      <c r="F136" s="306">
        <v>17767.2</v>
      </c>
      <c r="G136" s="306">
        <v>7113.570000000001</v>
      </c>
      <c r="H136" s="307">
        <f t="shared" si="0"/>
      </c>
      <c r="I136" s="307">
        <f t="shared" si="3"/>
      </c>
      <c r="J136" s="307">
        <f t="shared" si="2"/>
      </c>
      <c r="K136" s="306">
        <v>3</v>
      </c>
      <c r="L136" s="306">
        <v>4075.2</v>
      </c>
      <c r="M136" s="306" t="s">
        <v>535</v>
      </c>
      <c r="N136" s="306">
        <v>7</v>
      </c>
      <c r="O136" s="313" t="s">
        <v>536</v>
      </c>
      <c r="P136" s="306">
        <v>7</v>
      </c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6"/>
      <c r="AH136" s="306"/>
      <c r="AI136" s="306"/>
      <c r="AJ136" s="306"/>
    </row>
    <row hidden="true" r="137">
      <c r="A137" s="303" t="s">
        <v>595</v>
      </c>
      <c r="B137" s="304" t="s">
        <v>533</v>
      </c>
      <c r="C137" s="306" t="s">
        <v>597</v>
      </c>
      <c r="D137" s="306">
        <v>5</v>
      </c>
      <c r="E137" s="306">
        <v>33</v>
      </c>
      <c r="F137" s="306">
        <v>36699.6</v>
      </c>
      <c r="G137" s="306">
        <v>25805.2</v>
      </c>
      <c r="H137" s="307">
        <f t="shared" si="0"/>
      </c>
      <c r="I137" s="307">
        <f t="shared" si="3"/>
      </c>
      <c r="J137" s="307">
        <f t="shared" si="2"/>
      </c>
      <c r="K137" s="306">
        <v>7</v>
      </c>
      <c r="L137" s="306">
        <v>8777.999999999998</v>
      </c>
      <c r="M137" s="305"/>
      <c r="N137" s="314"/>
      <c r="O137" s="315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</row>
    <row hidden="true" r="138">
      <c r="A138" s="303" t="s">
        <v>595</v>
      </c>
      <c r="B138" s="304" t="s">
        <v>529</v>
      </c>
      <c r="C138" s="306" t="s">
        <v>590</v>
      </c>
      <c r="D138" s="306">
        <v>4</v>
      </c>
      <c r="E138" s="306">
        <v>10</v>
      </c>
      <c r="F138" s="306">
        <v>10364.4</v>
      </c>
      <c r="G138" s="306">
        <v>16223.74</v>
      </c>
      <c r="H138" s="307">
        <f t="shared" si="0"/>
      </c>
      <c r="I138" s="307">
        <f t="shared" si="3"/>
      </c>
      <c r="J138" s="307">
        <f t="shared" si="2"/>
      </c>
      <c r="K138" s="306">
        <v>2</v>
      </c>
      <c r="L138" s="306">
        <v>3602.4000000000005</v>
      </c>
      <c r="M138" s="305"/>
      <c r="N138" s="305"/>
      <c r="O138" s="308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5"/>
      <c r="AH138" s="305"/>
      <c r="AI138" s="305"/>
      <c r="AJ138" s="305"/>
    </row>
    <row hidden="true" r="139">
      <c r="A139" s="303" t="s">
        <v>595</v>
      </c>
      <c r="B139" s="304" t="s">
        <v>531</v>
      </c>
      <c r="C139" s="306" t="s">
        <v>591</v>
      </c>
      <c r="D139" s="306">
        <v>4</v>
      </c>
      <c r="E139" s="306">
        <v>16</v>
      </c>
      <c r="F139" s="306">
        <v>19569.6</v>
      </c>
      <c r="G139" s="306">
        <v>16344.56</v>
      </c>
      <c r="H139" s="307">
        <f t="shared" si="0"/>
      </c>
      <c r="I139" s="307">
        <f t="shared" si="3"/>
      </c>
      <c r="J139" s="307">
        <f t="shared" si="2"/>
      </c>
      <c r="K139" s="306">
        <v>7</v>
      </c>
      <c r="L139" s="306">
        <v>4862.400000000001</v>
      </c>
      <c r="M139" s="306" t="s">
        <v>592</v>
      </c>
      <c r="N139" s="306">
        <v>12</v>
      </c>
      <c r="O139" s="306" t="s">
        <v>544</v>
      </c>
      <c r="P139" s="306">
        <v>12</v>
      </c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6"/>
      <c r="AH139" s="306"/>
      <c r="AI139" s="306"/>
      <c r="AJ139" s="306"/>
    </row>
    <row hidden="true" r="140">
      <c r="A140" s="303" t="s">
        <v>595</v>
      </c>
      <c r="B140" s="304" t="s">
        <v>593</v>
      </c>
      <c r="C140" s="306" t="s">
        <v>594</v>
      </c>
      <c r="D140" s="306">
        <v>2</v>
      </c>
      <c r="E140" s="306">
        <v>12</v>
      </c>
      <c r="F140" s="306">
        <v>9076.8</v>
      </c>
      <c r="G140" s="306">
        <v>7160.02</v>
      </c>
      <c r="H140" s="307">
        <f t="shared" si="0"/>
      </c>
      <c r="I140" s="307">
        <f t="shared" si="3"/>
      </c>
      <c r="J140" s="307">
        <f t="shared" si="2"/>
      </c>
      <c r="K140" s="306">
        <v>0</v>
      </c>
      <c r="L140" s="306">
        <v>0</v>
      </c>
      <c r="M140" s="306"/>
      <c r="N140" s="306"/>
      <c r="O140" s="305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6"/>
      <c r="AH140" s="306"/>
      <c r="AI140" s="306"/>
      <c r="AJ140" s="306"/>
    </row>
    <row hidden="true" r="141">
      <c r="A141" s="303" t="s">
        <v>595</v>
      </c>
      <c r="B141" s="304" t="s">
        <v>527</v>
      </c>
      <c r="C141" s="306" t="s">
        <v>549</v>
      </c>
      <c r="D141" s="306">
        <v>4</v>
      </c>
      <c r="E141" s="306">
        <v>13</v>
      </c>
      <c r="F141" s="306">
        <v>14975.799999999994</v>
      </c>
      <c r="G141" s="306">
        <v>15810.969999999998</v>
      </c>
      <c r="H141" s="307">
        <f t="shared" si="0"/>
      </c>
      <c r="I141" s="307">
        <f t="shared" si="3"/>
      </c>
      <c r="J141" s="307">
        <f t="shared" si="2"/>
      </c>
      <c r="K141" s="306">
        <v>2</v>
      </c>
      <c r="L141" s="306">
        <v>2064</v>
      </c>
      <c r="M141" s="306" t="s">
        <v>573</v>
      </c>
      <c r="N141" s="306">
        <v>5</v>
      </c>
      <c r="O141" s="313" t="s">
        <v>536</v>
      </c>
      <c r="P141" s="306">
        <v>5</v>
      </c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6"/>
      <c r="AH141" s="306"/>
      <c r="AI141" s="306"/>
      <c r="AJ141" s="306"/>
    </row>
    <row hidden="true" r="142">
      <c r="A142" s="303" t="s">
        <v>595</v>
      </c>
      <c r="B142" s="304" t="s">
        <v>523</v>
      </c>
      <c r="C142" s="306" t="s">
        <v>572</v>
      </c>
      <c r="D142" s="306">
        <v>3</v>
      </c>
      <c r="E142" s="306">
        <v>11</v>
      </c>
      <c r="F142" s="306">
        <v>17826.240000000005</v>
      </c>
      <c r="G142" s="306">
        <v>17408.4</v>
      </c>
      <c r="H142" s="307">
        <f t="shared" si="0"/>
      </c>
      <c r="I142" s="307">
        <f t="shared" si="3"/>
      </c>
      <c r="J142" s="307">
        <f t="shared" si="2"/>
      </c>
      <c r="K142" s="306">
        <v>1</v>
      </c>
      <c r="L142" s="306">
        <v>364.7999999999993</v>
      </c>
      <c r="M142" s="306"/>
      <c r="N142" s="306"/>
      <c r="O142" s="305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6"/>
      <c r="AH142" s="306"/>
      <c r="AI142" s="306"/>
      <c r="AJ142" s="306"/>
    </row>
    <row r="143">
      <c r="A143" s="309" t="s">
        <v>595</v>
      </c>
      <c r="B143" s="310"/>
      <c r="C143" s="310"/>
      <c r="D143" s="311">
        <f>SUM(D136:D142)</f>
      </c>
      <c r="E143" s="311">
        <f>SUM(E136:E142)</f>
      </c>
      <c r="F143" s="311">
        <f>SUM(F136:F142)</f>
      </c>
      <c r="G143" s="311">
        <f>SUM(G136:G142)</f>
      </c>
      <c r="H143" s="312">
        <f t="shared" si="0"/>
      </c>
      <c r="I143" s="312">
        <f t="shared" si="3"/>
      </c>
      <c r="J143" s="312">
        <f t="shared" si="2"/>
      </c>
      <c r="K143" s="311">
        <f>SUM(K136:K142)</f>
      </c>
      <c r="L143" s="311">
        <f>SUM(L136:L142)</f>
      </c>
      <c r="M143" s="310"/>
      <c r="N143" s="311">
        <f>SUM(N136:N142)</f>
      </c>
      <c r="O143" s="310"/>
      <c r="P143" s="311">
        <f>SUM(P136:P142)</f>
      </c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</row>
    <row hidden="true" r="144">
      <c r="A144" s="303" t="s">
        <v>598</v>
      </c>
      <c r="B144" s="304" t="s">
        <v>523</v>
      </c>
      <c r="C144" s="306" t="s">
        <v>596</v>
      </c>
      <c r="D144" s="306">
        <v>2</v>
      </c>
      <c r="E144" s="306">
        <v>6</v>
      </c>
      <c r="F144" s="306">
        <v>4460.4</v>
      </c>
      <c r="G144" s="306">
        <v>5887.67</v>
      </c>
      <c r="H144" s="307">
        <f t="shared" si="0"/>
      </c>
      <c r="I144" s="307">
        <f t="shared" si="3"/>
      </c>
      <c r="J144" s="307">
        <f t="shared" si="2"/>
      </c>
      <c r="K144" s="306">
        <v>2</v>
      </c>
      <c r="L144" s="306">
        <v>2899.2000000000007</v>
      </c>
      <c r="M144" s="306" t="s">
        <v>535</v>
      </c>
      <c r="N144" s="306">
        <v>7.5</v>
      </c>
      <c r="O144" s="313" t="s">
        <v>536</v>
      </c>
      <c r="P144" s="306">
        <v>7</v>
      </c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6"/>
      <c r="AH144" s="306"/>
      <c r="AI144" s="306"/>
      <c r="AJ144" s="306"/>
    </row>
    <row hidden="true" r="145">
      <c r="A145" s="303" t="s">
        <v>598</v>
      </c>
      <c r="B145" s="304" t="s">
        <v>533</v>
      </c>
      <c r="C145" s="306" t="s">
        <v>597</v>
      </c>
      <c r="D145" s="306">
        <v>5</v>
      </c>
      <c r="E145" s="306">
        <v>15</v>
      </c>
      <c r="F145" s="306">
        <v>13447.199999999999</v>
      </c>
      <c r="G145" s="306">
        <v>16170.68</v>
      </c>
      <c r="H145" s="307">
        <f t="shared" si="0"/>
      </c>
      <c r="I145" s="307">
        <f t="shared" si="3"/>
      </c>
      <c r="J145" s="307">
        <f t="shared" si="2"/>
      </c>
      <c r="K145" s="306">
        <v>5</v>
      </c>
      <c r="L145" s="306">
        <v>6544.8</v>
      </c>
      <c r="M145" s="305"/>
      <c r="N145" s="314"/>
      <c r="O145" s="315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</row>
    <row hidden="true" r="146">
      <c r="A146" s="303" t="s">
        <v>598</v>
      </c>
      <c r="B146" s="304" t="s">
        <v>531</v>
      </c>
      <c r="C146" s="306" t="s">
        <v>590</v>
      </c>
      <c r="D146" s="306">
        <v>4</v>
      </c>
      <c r="E146" s="306">
        <v>12</v>
      </c>
      <c r="F146" s="306">
        <v>16303.6</v>
      </c>
      <c r="G146" s="306">
        <v>16142.28</v>
      </c>
      <c r="H146" s="307">
        <f t="shared" si="0"/>
      </c>
      <c r="I146" s="307">
        <f t="shared" si="3"/>
      </c>
      <c r="J146" s="307">
        <f t="shared" si="2"/>
      </c>
      <c r="K146" s="306">
        <v>4</v>
      </c>
      <c r="L146" s="306">
        <v>5552.4</v>
      </c>
      <c r="M146" s="305"/>
      <c r="N146" s="305"/>
      <c r="O146" s="308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5"/>
      <c r="AH146" s="305"/>
      <c r="AI146" s="305"/>
      <c r="AJ146" s="305"/>
    </row>
    <row hidden="true" r="147">
      <c r="A147" s="303" t="s">
        <v>598</v>
      </c>
      <c r="B147" s="304" t="s">
        <v>527</v>
      </c>
      <c r="C147" s="306" t="s">
        <v>591</v>
      </c>
      <c r="D147" s="306">
        <v>4</v>
      </c>
      <c r="E147" s="306">
        <v>27</v>
      </c>
      <c r="F147" s="306">
        <v>36801.6</v>
      </c>
      <c r="G147" s="306">
        <v>20343.26</v>
      </c>
      <c r="H147" s="307">
        <f t="shared" si="0"/>
      </c>
      <c r="I147" s="307">
        <f t="shared" si="3"/>
      </c>
      <c r="J147" s="307">
        <f t="shared" si="2"/>
      </c>
      <c r="K147" s="306">
        <v>8</v>
      </c>
      <c r="L147" s="306">
        <v>10099.2</v>
      </c>
      <c r="M147" s="306" t="s">
        <v>592</v>
      </c>
      <c r="N147" s="306">
        <v>11.5</v>
      </c>
      <c r="O147" s="306" t="s">
        <v>544</v>
      </c>
      <c r="P147" s="306">
        <v>12</v>
      </c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6"/>
      <c r="AH147" s="306"/>
      <c r="AI147" s="306"/>
      <c r="AJ147" s="306"/>
    </row>
    <row hidden="true" r="148">
      <c r="A148" s="303" t="s">
        <v>598</v>
      </c>
      <c r="B148" s="304" t="s">
        <v>593</v>
      </c>
      <c r="C148" s="306" t="s">
        <v>594</v>
      </c>
      <c r="D148" s="306">
        <v>2</v>
      </c>
      <c r="E148" s="306">
        <v>14</v>
      </c>
      <c r="F148" s="306">
        <v>18018</v>
      </c>
      <c r="G148" s="306">
        <v>12271.410000000002</v>
      </c>
      <c r="H148" s="307">
        <f t="shared" si="0"/>
      </c>
      <c r="I148" s="307">
        <f t="shared" si="3"/>
      </c>
      <c r="J148" s="307">
        <f t="shared" si="2"/>
      </c>
      <c r="K148" s="306">
        <v>4</v>
      </c>
      <c r="L148" s="306">
        <v>3733.2</v>
      </c>
      <c r="M148" s="306"/>
      <c r="N148" s="306"/>
      <c r="O148" s="305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6"/>
      <c r="AH148" s="306"/>
      <c r="AI148" s="306"/>
      <c r="AJ148" s="306"/>
    </row>
    <row hidden="true" r="149">
      <c r="A149" s="303" t="s">
        <v>598</v>
      </c>
      <c r="B149" s="304" t="s">
        <v>523</v>
      </c>
      <c r="C149" s="306" t="s">
        <v>549</v>
      </c>
      <c r="D149" s="306">
        <v>4</v>
      </c>
      <c r="E149" s="306">
        <v>22</v>
      </c>
      <c r="F149" s="306">
        <v>23490</v>
      </c>
      <c r="G149" s="306">
        <v>27430.33</v>
      </c>
      <c r="H149" s="307">
        <f t="shared" si="0"/>
      </c>
      <c r="I149" s="307">
        <f t="shared" si="3"/>
      </c>
      <c r="J149" s="307">
        <f t="shared" si="2"/>
      </c>
      <c r="K149" s="306">
        <v>7</v>
      </c>
      <c r="L149" s="306">
        <v>4220.399999999997</v>
      </c>
      <c r="M149" s="306" t="s">
        <v>573</v>
      </c>
      <c r="N149" s="306">
        <v>5</v>
      </c>
      <c r="O149" s="313" t="s">
        <v>536</v>
      </c>
      <c r="P149" s="306">
        <v>5</v>
      </c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6"/>
      <c r="AH149" s="306"/>
      <c r="AI149" s="306"/>
      <c r="AJ149" s="306"/>
    </row>
    <row hidden="true" r="150">
      <c r="A150" s="303" t="s">
        <v>598</v>
      </c>
      <c r="B150" s="304" t="s">
        <v>533</v>
      </c>
      <c r="C150" s="306" t="s">
        <v>572</v>
      </c>
      <c r="D150" s="306">
        <v>3</v>
      </c>
      <c r="E150" s="306">
        <v>25</v>
      </c>
      <c r="F150" s="306">
        <v>33025.8</v>
      </c>
      <c r="G150" s="306">
        <v>23234.380000000005</v>
      </c>
      <c r="H150" s="307">
        <f t="shared" si="0"/>
      </c>
      <c r="I150" s="307">
        <f t="shared" si="3"/>
      </c>
      <c r="J150" s="307">
        <f t="shared" si="2"/>
      </c>
      <c r="K150" s="306">
        <v>2</v>
      </c>
      <c r="L150" s="306">
        <v>3274.2000000000044</v>
      </c>
      <c r="M150" s="306"/>
      <c r="N150" s="306"/>
      <c r="O150" s="305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6"/>
      <c r="AH150" s="306"/>
      <c r="AI150" s="306"/>
      <c r="AJ150" s="306"/>
    </row>
    <row r="151">
      <c r="A151" s="309" t="s">
        <v>598</v>
      </c>
      <c r="B151" s="310"/>
      <c r="C151" s="310"/>
      <c r="D151" s="311">
        <f>SUM(D144:D150)</f>
      </c>
      <c r="E151" s="311">
        <f>SUM(E144:E150)</f>
      </c>
      <c r="F151" s="311">
        <f>SUM(F144:F150)</f>
      </c>
      <c r="G151" s="311">
        <f>SUM(G144:G150)</f>
      </c>
      <c r="H151" s="312">
        <f t="shared" si="0"/>
      </c>
      <c r="I151" s="312">
        <f t="shared" si="3"/>
      </c>
      <c r="J151" s="312">
        <f t="shared" si="2"/>
      </c>
      <c r="K151" s="311">
        <f>SUM(K144:K150)</f>
      </c>
      <c r="L151" s="311">
        <f>SUM(L144:L150)</f>
      </c>
      <c r="M151" s="310"/>
      <c r="N151" s="311">
        <f>SUM(N144:N150)</f>
      </c>
      <c r="O151" s="310"/>
      <c r="P151" s="311">
        <f>SUM(P144:P150)</f>
      </c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</row>
    <row hidden="true" r="152">
      <c r="A152" s="303" t="s">
        <v>599</v>
      </c>
      <c r="B152" s="304" t="s">
        <v>533</v>
      </c>
      <c r="C152" s="306" t="s">
        <v>596</v>
      </c>
      <c r="D152" s="306">
        <v>2</v>
      </c>
      <c r="E152" s="306">
        <v>7</v>
      </c>
      <c r="F152" s="306">
        <v>9103</v>
      </c>
      <c r="G152" s="306">
        <v>9487.36</v>
      </c>
      <c r="H152" s="307">
        <f t="shared" si="0"/>
      </c>
      <c r="I152" s="307">
        <f t="shared" si="3"/>
      </c>
      <c r="J152" s="307">
        <f t="shared" si="2"/>
      </c>
      <c r="K152" s="306">
        <v>3</v>
      </c>
      <c r="L152" s="306">
        <v>1937.4</v>
      </c>
      <c r="M152" s="306" t="s">
        <v>535</v>
      </c>
      <c r="N152" s="306">
        <v>7</v>
      </c>
      <c r="O152" s="313" t="s">
        <v>536</v>
      </c>
      <c r="P152" s="306">
        <v>7</v>
      </c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6"/>
      <c r="AH152" s="306"/>
      <c r="AI152" s="306"/>
      <c r="AJ152" s="306"/>
    </row>
    <row hidden="true" r="153">
      <c r="A153" s="303" t="s">
        <v>599</v>
      </c>
      <c r="B153" s="304" t="s">
        <v>529</v>
      </c>
      <c r="C153" s="306" t="s">
        <v>597</v>
      </c>
      <c r="D153" s="306">
        <v>5</v>
      </c>
      <c r="E153" s="306">
        <v>16</v>
      </c>
      <c r="F153" s="306">
        <v>22588.8</v>
      </c>
      <c r="G153" s="306">
        <v>10561.31</v>
      </c>
      <c r="H153" s="307">
        <f t="shared" si="0"/>
      </c>
      <c r="I153" s="307">
        <f t="shared" si="3"/>
      </c>
      <c r="J153" s="307">
        <f t="shared" si="2"/>
      </c>
      <c r="K153" s="306">
        <v>6</v>
      </c>
      <c r="L153" s="306">
        <v>10116</v>
      </c>
      <c r="M153" s="305"/>
      <c r="N153" s="314"/>
      <c r="O153" s="315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316"/>
    </row>
    <row hidden="true" r="154">
      <c r="A154" s="303" t="s">
        <v>599</v>
      </c>
      <c r="B154" s="304" t="s">
        <v>531</v>
      </c>
      <c r="C154" s="306" t="s">
        <v>590</v>
      </c>
      <c r="D154" s="306">
        <v>4</v>
      </c>
      <c r="E154" s="306">
        <v>15</v>
      </c>
      <c r="F154" s="306">
        <v>14578.8</v>
      </c>
      <c r="G154" s="306">
        <v>16882.82</v>
      </c>
      <c r="H154" s="307">
        <f t="shared" si="0"/>
      </c>
      <c r="I154" s="307">
        <f t="shared" si="3"/>
      </c>
      <c r="J154" s="307">
        <f t="shared" si="2"/>
      </c>
      <c r="K154" s="306">
        <v>4</v>
      </c>
      <c r="L154" s="306">
        <v>6376.8</v>
      </c>
      <c r="M154" s="305"/>
      <c r="N154" s="305"/>
      <c r="O154" s="308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5"/>
      <c r="AH154" s="305"/>
      <c r="AI154" s="305"/>
      <c r="AJ154" s="305"/>
    </row>
    <row hidden="true" r="155">
      <c r="A155" s="303" t="s">
        <v>599</v>
      </c>
      <c r="B155" s="304" t="s">
        <v>523</v>
      </c>
      <c r="C155" s="306" t="s">
        <v>591</v>
      </c>
      <c r="D155" s="317">
        <v>3</v>
      </c>
      <c r="E155" s="306">
        <v>13</v>
      </c>
      <c r="F155" s="306">
        <v>12398.4</v>
      </c>
      <c r="G155" s="306">
        <v>14967.86</v>
      </c>
      <c r="H155" s="307">
        <f t="shared" si="0"/>
      </c>
      <c r="I155" s="307">
        <f t="shared" si="3"/>
      </c>
      <c r="J155" s="307">
        <f t="shared" si="2"/>
      </c>
      <c r="K155" s="306">
        <v>2</v>
      </c>
      <c r="L155" s="306">
        <v>2688</v>
      </c>
      <c r="M155" s="306" t="s">
        <v>592</v>
      </c>
      <c r="N155" s="306">
        <v>12</v>
      </c>
      <c r="O155" s="306" t="s">
        <v>544</v>
      </c>
      <c r="P155" s="306">
        <v>12</v>
      </c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6"/>
      <c r="AH155" s="306"/>
      <c r="AI155" s="306"/>
      <c r="AJ155" s="306"/>
    </row>
    <row hidden="true" r="156">
      <c r="A156" s="303" t="s">
        <v>599</v>
      </c>
      <c r="B156" s="304" t="s">
        <v>593</v>
      </c>
      <c r="C156" s="306" t="s">
        <v>594</v>
      </c>
      <c r="D156" s="306">
        <v>2</v>
      </c>
      <c r="E156" s="306">
        <v>13</v>
      </c>
      <c r="F156" s="306">
        <v>18100.8</v>
      </c>
      <c r="G156" s="306">
        <v>11446.09</v>
      </c>
      <c r="H156" s="307">
        <f t="shared" si="0"/>
      </c>
      <c r="I156" s="307">
        <f t="shared" si="3"/>
      </c>
      <c r="J156" s="307">
        <f t="shared" si="2"/>
      </c>
      <c r="K156" s="306">
        <v>2</v>
      </c>
      <c r="L156" s="306">
        <v>2022</v>
      </c>
      <c r="M156" s="306"/>
      <c r="N156" s="306"/>
      <c r="O156" s="305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6"/>
      <c r="AH156" s="306"/>
      <c r="AI156" s="306"/>
      <c r="AJ156" s="306"/>
    </row>
    <row hidden="true" r="157">
      <c r="A157" s="303" t="s">
        <v>599</v>
      </c>
      <c r="B157" s="304" t="s">
        <v>533</v>
      </c>
      <c r="C157" s="306" t="s">
        <v>549</v>
      </c>
      <c r="D157" s="317">
        <v>3.5</v>
      </c>
      <c r="E157" s="306">
        <v>30</v>
      </c>
      <c r="F157" s="306">
        <v>38846.399999999994</v>
      </c>
      <c r="G157" s="306">
        <v>27703.079999999998</v>
      </c>
      <c r="H157" s="307">
        <f t="shared" si="0"/>
      </c>
      <c r="I157" s="307">
        <f t="shared" si="3"/>
      </c>
      <c r="J157" s="307">
        <f t="shared" si="2"/>
      </c>
      <c r="K157" s="306">
        <v>10</v>
      </c>
      <c r="L157" s="306">
        <v>15273.6</v>
      </c>
      <c r="M157" s="306" t="s">
        <v>573</v>
      </c>
      <c r="N157" s="306">
        <v>5</v>
      </c>
      <c r="O157" s="313" t="s">
        <v>536</v>
      </c>
      <c r="P157" s="306">
        <v>5</v>
      </c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6"/>
      <c r="AH157" s="306"/>
      <c r="AI157" s="306"/>
      <c r="AJ157" s="306"/>
    </row>
    <row hidden="true" r="158">
      <c r="A158" s="303" t="s">
        <v>599</v>
      </c>
      <c r="B158" s="304" t="s">
        <v>529</v>
      </c>
      <c r="C158" s="306" t="s">
        <v>572</v>
      </c>
      <c r="D158" s="306">
        <v>3</v>
      </c>
      <c r="E158" s="306">
        <v>48</v>
      </c>
      <c r="F158" s="306">
        <v>61984.2</v>
      </c>
      <c r="G158" s="306">
        <v>32514.09</v>
      </c>
      <c r="H158" s="307">
        <f t="shared" si="0"/>
      </c>
      <c r="I158" s="307">
        <f t="shared" si="3"/>
      </c>
      <c r="J158" s="307">
        <f t="shared" si="2"/>
      </c>
      <c r="K158" s="306">
        <v>4</v>
      </c>
      <c r="L158" s="306">
        <v>5859.599999999996</v>
      </c>
      <c r="M158" s="306"/>
      <c r="N158" s="306"/>
      <c r="O158" s="305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6"/>
      <c r="AH158" s="306"/>
      <c r="AI158" s="306"/>
      <c r="AJ158" s="306"/>
    </row>
    <row r="159">
      <c r="A159" s="309" t="s">
        <v>599</v>
      </c>
      <c r="B159" s="310"/>
      <c r="C159" s="310"/>
      <c r="D159" s="311">
        <f>SUM(D152:D158)</f>
      </c>
      <c r="E159" s="311">
        <f>SUM(E152:E158)</f>
      </c>
      <c r="F159" s="311">
        <f>SUM(F152:F158)</f>
      </c>
      <c r="G159" s="311">
        <f>SUM(G152:G158)</f>
      </c>
      <c r="H159" s="312">
        <f t="shared" si="0"/>
      </c>
      <c r="I159" s="312">
        <f t="shared" si="3"/>
      </c>
      <c r="J159" s="312">
        <f t="shared" si="2"/>
      </c>
      <c r="K159" s="311">
        <f>SUM(K152:K158)</f>
      </c>
      <c r="L159" s="311">
        <f>SUM(L152:L158)</f>
      </c>
      <c r="M159" s="310"/>
      <c r="N159" s="311">
        <f>SUM(N152:N158)</f>
      </c>
      <c r="O159" s="310"/>
      <c r="P159" s="311">
        <f>SUM(P152:P158)</f>
      </c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</row>
    <row hidden="true" r="160">
      <c r="A160" s="303" t="s">
        <v>600</v>
      </c>
      <c r="B160" s="304" t="s">
        <v>529</v>
      </c>
      <c r="C160" s="306" t="s">
        <v>596</v>
      </c>
      <c r="D160" s="306">
        <v>2</v>
      </c>
      <c r="E160" s="306">
        <v>8</v>
      </c>
      <c r="F160" s="306">
        <v>9620.4</v>
      </c>
      <c r="G160" s="306">
        <v>12562.779999999999</v>
      </c>
      <c r="H160" s="307">
        <f t="shared" si="0"/>
      </c>
      <c r="I160" s="307">
        <f t="shared" si="3"/>
      </c>
      <c r="J160" s="307">
        <f t="shared" si="2"/>
      </c>
      <c r="K160" s="306">
        <v>3</v>
      </c>
      <c r="L160" s="306">
        <v>2419.2</v>
      </c>
      <c r="M160" s="306" t="s">
        <v>535</v>
      </c>
      <c r="N160" s="306">
        <v>7</v>
      </c>
      <c r="O160" s="313" t="s">
        <v>536</v>
      </c>
      <c r="P160" s="306">
        <v>7</v>
      </c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6"/>
      <c r="AH160" s="306"/>
      <c r="AI160" s="306"/>
      <c r="AJ160" s="306"/>
    </row>
    <row hidden="true" r="161">
      <c r="A161" s="303" t="s">
        <v>600</v>
      </c>
      <c r="B161" s="304" t="s">
        <v>527</v>
      </c>
      <c r="C161" s="306" t="s">
        <v>597</v>
      </c>
      <c r="D161" s="306">
        <v>5</v>
      </c>
      <c r="E161" s="306">
        <v>25</v>
      </c>
      <c r="F161" s="306">
        <v>31041.000000000004</v>
      </c>
      <c r="G161" s="306">
        <v>23336.989999999998</v>
      </c>
      <c r="H161" s="307">
        <f t="shared" si="0"/>
      </c>
      <c r="I161" s="307">
        <f t="shared" si="3"/>
      </c>
      <c r="J161" s="307">
        <f t="shared" si="2"/>
      </c>
      <c r="K161" s="306">
        <v>5</v>
      </c>
      <c r="L161" s="306">
        <v>5781.6</v>
      </c>
      <c r="M161" s="305"/>
      <c r="N161" s="314"/>
      <c r="O161" s="315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  <c r="AG161" s="316"/>
      <c r="AH161" s="316"/>
      <c r="AI161" s="316"/>
      <c r="AJ161" s="316"/>
    </row>
    <row hidden="true" r="162">
      <c r="A162" s="318" t="s">
        <v>600</v>
      </c>
      <c r="B162" s="304" t="s">
        <v>601</v>
      </c>
      <c r="C162" s="306" t="s">
        <v>590</v>
      </c>
      <c r="D162" s="306">
        <v>4</v>
      </c>
      <c r="E162" s="306">
        <v>19</v>
      </c>
      <c r="F162" s="306">
        <v>28549.399999999994</v>
      </c>
      <c r="G162" s="306">
        <v>21433.25</v>
      </c>
      <c r="H162" s="307">
        <f t="shared" si="0"/>
      </c>
      <c r="I162" s="307">
        <f t="shared" si="3"/>
      </c>
      <c r="J162" s="307">
        <f t="shared" si="2"/>
      </c>
      <c r="K162" s="306">
        <v>1</v>
      </c>
      <c r="L162" s="306">
        <v>1411.2</v>
      </c>
      <c r="M162" s="306" t="s">
        <v>602</v>
      </c>
      <c r="N162" s="306">
        <v>8</v>
      </c>
      <c r="O162" s="308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5"/>
      <c r="AH162" s="305"/>
      <c r="AI162" s="305"/>
      <c r="AJ162" s="305"/>
    </row>
    <row hidden="true" r="163">
      <c r="A163" s="318" t="s">
        <v>600</v>
      </c>
      <c r="B163" s="304" t="s">
        <v>603</v>
      </c>
      <c r="C163" s="306" t="s">
        <v>591</v>
      </c>
      <c r="D163" s="306">
        <v>4</v>
      </c>
      <c r="E163" s="306">
        <v>29</v>
      </c>
      <c r="F163" s="306">
        <v>34697.80000000001</v>
      </c>
      <c r="G163" s="306">
        <v>22833.53</v>
      </c>
      <c r="H163" s="307">
        <f t="shared" si="0"/>
      </c>
      <c r="I163" s="307">
        <f t="shared" si="3"/>
      </c>
      <c r="J163" s="307">
        <f t="shared" si="2"/>
      </c>
      <c r="K163" s="306">
        <v>5</v>
      </c>
      <c r="L163" s="306">
        <v>6429.4</v>
      </c>
      <c r="M163" s="306" t="s">
        <v>604</v>
      </c>
      <c r="N163" s="306">
        <v>4</v>
      </c>
      <c r="O163" s="306" t="s">
        <v>544</v>
      </c>
      <c r="P163" s="306">
        <v>12</v>
      </c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6"/>
      <c r="AH163" s="306"/>
      <c r="AI163" s="306"/>
      <c r="AJ163" s="306"/>
    </row>
    <row hidden="true" r="164">
      <c r="A164" s="318" t="s">
        <v>600</v>
      </c>
      <c r="B164" s="304" t="s">
        <v>593</v>
      </c>
      <c r="C164" s="306" t="s">
        <v>594</v>
      </c>
      <c r="D164" s="306">
        <v>2</v>
      </c>
      <c r="E164" s="306">
        <v>5</v>
      </c>
      <c r="F164" s="306">
        <v>5156</v>
      </c>
      <c r="G164" s="306">
        <v>8048.25</v>
      </c>
      <c r="H164" s="307">
        <f t="shared" si="0"/>
      </c>
      <c r="I164" s="307">
        <f t="shared" si="3"/>
      </c>
      <c r="J164" s="307">
        <f t="shared" si="2"/>
      </c>
      <c r="K164" s="306">
        <v>2</v>
      </c>
      <c r="L164" s="306">
        <v>2391.2</v>
      </c>
      <c r="M164" s="306"/>
      <c r="N164" s="306"/>
      <c r="O164" s="305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6"/>
      <c r="AH164" s="306"/>
      <c r="AI164" s="306"/>
      <c r="AJ164" s="306"/>
    </row>
    <row hidden="true" r="165">
      <c r="A165" s="318" t="s">
        <v>600</v>
      </c>
      <c r="B165" s="304" t="s">
        <v>529</v>
      </c>
      <c r="C165" s="306" t="s">
        <v>549</v>
      </c>
      <c r="D165" s="306">
        <v>4</v>
      </c>
      <c r="E165" s="306">
        <v>15</v>
      </c>
      <c r="F165" s="306">
        <v>19490.4</v>
      </c>
      <c r="G165" s="306">
        <v>15934.99</v>
      </c>
      <c r="H165" s="307">
        <f t="shared" si="0"/>
      </c>
      <c r="I165" s="307">
        <f t="shared" si="3"/>
      </c>
      <c r="J165" s="307">
        <f t="shared" si="2"/>
      </c>
      <c r="K165" s="306">
        <v>2</v>
      </c>
      <c r="L165" s="306">
        <v>2354.4</v>
      </c>
      <c r="M165" s="306" t="s">
        <v>592</v>
      </c>
      <c r="N165" s="306">
        <v>5</v>
      </c>
      <c r="O165" s="313" t="s">
        <v>536</v>
      </c>
      <c r="P165" s="306">
        <v>5</v>
      </c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6"/>
      <c r="AH165" s="306"/>
      <c r="AI165" s="306"/>
      <c r="AJ165" s="306"/>
    </row>
    <row hidden="true" r="166">
      <c r="A166" s="318" t="s">
        <v>600</v>
      </c>
      <c r="B166" s="304" t="s">
        <v>527</v>
      </c>
      <c r="C166" s="306" t="s">
        <v>572</v>
      </c>
      <c r="D166" s="306">
        <v>3</v>
      </c>
      <c r="E166" s="306">
        <v>12</v>
      </c>
      <c r="F166" s="306">
        <v>19705.2</v>
      </c>
      <c r="G166" s="306">
        <v>12677.74</v>
      </c>
      <c r="H166" s="307">
        <f t="shared" si="0"/>
      </c>
      <c r="I166" s="307">
        <f t="shared" si="3"/>
      </c>
      <c r="J166" s="307">
        <f t="shared" si="2"/>
      </c>
      <c r="K166" s="306">
        <v>0</v>
      </c>
      <c r="L166" s="306">
        <v>0</v>
      </c>
      <c r="M166" s="306"/>
      <c r="N166" s="306"/>
      <c r="O166" s="305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6"/>
      <c r="AH166" s="306"/>
      <c r="AI166" s="306"/>
      <c r="AJ166" s="306"/>
    </row>
    <row r="167">
      <c r="A167" s="309" t="s">
        <v>600</v>
      </c>
      <c r="B167" s="310"/>
      <c r="C167" s="310"/>
      <c r="D167" s="311">
        <f>SUM(D160:D166)</f>
      </c>
      <c r="E167" s="311">
        <f>SUM(E160:E166)</f>
      </c>
      <c r="F167" s="311">
        <f>SUM(F160:F166)</f>
      </c>
      <c r="G167" s="311">
        <f>SUM(G160:G166)</f>
      </c>
      <c r="H167" s="312">
        <f t="shared" si="0"/>
      </c>
      <c r="I167" s="312">
        <f t="shared" si="3"/>
      </c>
      <c r="J167" s="312">
        <f t="shared" si="2"/>
      </c>
      <c r="K167" s="311">
        <f>SUM(K160:K166)</f>
      </c>
      <c r="L167" s="311">
        <f>SUM(L160:L166)</f>
      </c>
      <c r="M167" s="310"/>
      <c r="N167" s="311">
        <f>SUM(N160:N166)</f>
      </c>
      <c r="O167" s="310"/>
      <c r="P167" s="311">
        <f>SUM(P160:P166)</f>
      </c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</row>
    <row hidden="true" r="168">
      <c r="A168" s="303" t="s">
        <v>605</v>
      </c>
      <c r="B168" s="304" t="s">
        <v>527</v>
      </c>
      <c r="C168" s="306" t="s">
        <v>596</v>
      </c>
      <c r="D168" s="317">
        <v>1</v>
      </c>
      <c r="E168" s="306">
        <v>7</v>
      </c>
      <c r="F168" s="306">
        <v>7371.6</v>
      </c>
      <c r="G168" s="306">
        <v>8397.21</v>
      </c>
      <c r="H168" s="307">
        <f t="shared" si="0"/>
      </c>
      <c r="I168" s="307">
        <f t="shared" si="3"/>
      </c>
      <c r="J168" s="307">
        <f t="shared" si="2"/>
      </c>
      <c r="K168" s="306">
        <v>1</v>
      </c>
      <c r="L168" s="306">
        <v>1692</v>
      </c>
      <c r="M168" s="306" t="s">
        <v>578</v>
      </c>
      <c r="N168" s="306">
        <v>7</v>
      </c>
      <c r="O168" s="313" t="s">
        <v>536</v>
      </c>
      <c r="P168" s="306">
        <v>7</v>
      </c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6"/>
      <c r="AH168" s="306"/>
      <c r="AI168" s="306"/>
      <c r="AJ168" s="306"/>
    </row>
    <row hidden="true" r="169">
      <c r="A169" s="303" t="s">
        <v>605</v>
      </c>
      <c r="B169" s="304" t="s">
        <v>531</v>
      </c>
      <c r="C169" s="306" t="s">
        <v>597</v>
      </c>
      <c r="D169" s="317">
        <v>3.5</v>
      </c>
      <c r="E169" s="306">
        <v>17</v>
      </c>
      <c r="F169" s="306">
        <v>20531.800000000003</v>
      </c>
      <c r="G169" s="306">
        <v>18042.75</v>
      </c>
      <c r="H169" s="307">
        <f t="shared" si="0"/>
      </c>
      <c r="I169" s="307">
        <f t="shared" si="3"/>
      </c>
      <c r="J169" s="307">
        <f t="shared" si="2"/>
      </c>
      <c r="K169" s="306">
        <v>1</v>
      </c>
      <c r="L169" s="306">
        <v>296.4</v>
      </c>
      <c r="M169" s="305"/>
      <c r="N169" s="314"/>
      <c r="O169" s="315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  <c r="AG169" s="316"/>
      <c r="AH169" s="316"/>
      <c r="AI169" s="316"/>
      <c r="AJ169" s="316"/>
    </row>
    <row hidden="true" r="170">
      <c r="A170" s="303" t="s">
        <v>605</v>
      </c>
      <c r="B170" s="304" t="s">
        <v>601</v>
      </c>
      <c r="C170" s="306" t="s">
        <v>590</v>
      </c>
      <c r="D170" s="306">
        <v>4</v>
      </c>
      <c r="E170" s="306">
        <v>20</v>
      </c>
      <c r="F170" s="306">
        <v>21692.199999999997</v>
      </c>
      <c r="G170" s="306">
        <v>17116.190000000002</v>
      </c>
      <c r="H170" s="307">
        <f t="shared" si="0"/>
      </c>
      <c r="I170" s="307">
        <f t="shared" si="3"/>
      </c>
      <c r="J170" s="307">
        <f t="shared" si="2"/>
      </c>
      <c r="K170" s="306">
        <v>4</v>
      </c>
      <c r="L170" s="306">
        <v>5313.6</v>
      </c>
      <c r="M170" s="306" t="s">
        <v>606</v>
      </c>
      <c r="N170" s="306">
        <v>8</v>
      </c>
      <c r="O170" s="308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5"/>
      <c r="AH170" s="305"/>
      <c r="AI170" s="305"/>
      <c r="AJ170" s="305"/>
    </row>
    <row hidden="true" r="171">
      <c r="A171" s="303" t="s">
        <v>605</v>
      </c>
      <c r="B171" s="304" t="s">
        <v>603</v>
      </c>
      <c r="C171" s="306" t="s">
        <v>591</v>
      </c>
      <c r="D171" s="306">
        <v>4</v>
      </c>
      <c r="E171" s="306">
        <v>26</v>
      </c>
      <c r="F171" s="306">
        <v>36170.20000000001</v>
      </c>
      <c r="G171" s="306">
        <v>21311.619999999995</v>
      </c>
      <c r="H171" s="307">
        <f t="shared" si="0"/>
      </c>
      <c r="I171" s="307">
        <f t="shared" si="3"/>
      </c>
      <c r="J171" s="307">
        <f t="shared" si="2"/>
      </c>
      <c r="K171" s="306">
        <v>9</v>
      </c>
      <c r="L171" s="306">
        <v>13428.2</v>
      </c>
      <c r="M171" s="306" t="s">
        <v>604</v>
      </c>
      <c r="N171" s="306">
        <v>1</v>
      </c>
      <c r="O171" s="306" t="s">
        <v>544</v>
      </c>
      <c r="P171" s="306">
        <v>12</v>
      </c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6"/>
      <c r="AH171" s="306"/>
      <c r="AI171" s="306"/>
      <c r="AJ171" s="306"/>
    </row>
    <row hidden="true" r="172">
      <c r="A172" s="303" t="s">
        <v>605</v>
      </c>
      <c r="B172" s="304" t="s">
        <v>593</v>
      </c>
      <c r="C172" s="306" t="s">
        <v>594</v>
      </c>
      <c r="D172" s="306">
        <v>2</v>
      </c>
      <c r="E172" s="306">
        <v>13</v>
      </c>
      <c r="F172" s="306">
        <v>18334.8</v>
      </c>
      <c r="G172" s="306">
        <v>9361.02</v>
      </c>
      <c r="H172" s="307">
        <f t="shared" si="0"/>
      </c>
      <c r="I172" s="307">
        <f t="shared" si="3"/>
      </c>
      <c r="J172" s="307">
        <f t="shared" si="2"/>
      </c>
      <c r="K172" s="306">
        <v>1</v>
      </c>
      <c r="L172" s="306">
        <v>1692</v>
      </c>
      <c r="M172" s="306" t="s">
        <v>607</v>
      </c>
      <c r="N172" s="306">
        <v>3</v>
      </c>
      <c r="O172" s="305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6"/>
      <c r="AH172" s="306"/>
      <c r="AI172" s="306"/>
      <c r="AJ172" s="306"/>
    </row>
    <row hidden="true" r="173">
      <c r="A173" s="303" t="s">
        <v>605</v>
      </c>
      <c r="B173" s="304" t="s">
        <v>527</v>
      </c>
      <c r="C173" s="306" t="s">
        <v>608</v>
      </c>
      <c r="D173" s="306">
        <v>3</v>
      </c>
      <c r="E173" s="306">
        <v>14</v>
      </c>
      <c r="F173" s="306">
        <v>15168</v>
      </c>
      <c r="G173" s="306">
        <v>13835.6</v>
      </c>
      <c r="H173" s="307">
        <f t="shared" si="0"/>
      </c>
      <c r="I173" s="307">
        <f t="shared" si="3"/>
      </c>
      <c r="J173" s="307">
        <f t="shared" si="2"/>
      </c>
      <c r="K173" s="306">
        <v>2</v>
      </c>
      <c r="L173" s="306">
        <v>2702.4</v>
      </c>
      <c r="M173" s="306" t="s">
        <v>592</v>
      </c>
      <c r="N173" s="306">
        <v>3.5</v>
      </c>
      <c r="O173" s="313" t="s">
        <v>536</v>
      </c>
      <c r="P173" s="306">
        <v>5</v>
      </c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6"/>
      <c r="AH173" s="306"/>
      <c r="AI173" s="306"/>
      <c r="AJ173" s="306"/>
    </row>
    <row hidden="true" r="174">
      <c r="A174" s="303" t="s">
        <v>605</v>
      </c>
      <c r="B174" s="304" t="s">
        <v>529</v>
      </c>
      <c r="C174" s="306" t="s">
        <v>609</v>
      </c>
      <c r="D174" s="317">
        <v>2</v>
      </c>
      <c r="E174" s="306">
        <v>18</v>
      </c>
      <c r="F174" s="306">
        <v>22063.44</v>
      </c>
      <c r="G174" s="306">
        <v>17684.51</v>
      </c>
      <c r="H174" s="307">
        <f t="shared" si="0"/>
      </c>
      <c r="I174" s="307">
        <f t="shared" si="3"/>
      </c>
      <c r="J174" s="307">
        <f t="shared" si="2"/>
      </c>
      <c r="K174" s="306">
        <v>6</v>
      </c>
      <c r="L174" s="306">
        <v>7375.24</v>
      </c>
      <c r="M174" s="306"/>
      <c r="N174" s="306"/>
      <c r="O174" s="305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6"/>
      <c r="AH174" s="306"/>
      <c r="AI174" s="306"/>
      <c r="AJ174" s="306"/>
    </row>
    <row r="175">
      <c r="A175" s="309" t="s">
        <v>605</v>
      </c>
      <c r="B175" s="310"/>
      <c r="C175" s="310"/>
      <c r="D175" s="311">
        <f>SUM(D168:D174)</f>
      </c>
      <c r="E175" s="311">
        <f>SUM(E168:E174)</f>
      </c>
      <c r="F175" s="311">
        <f>SUM(F168:F174)</f>
      </c>
      <c r="G175" s="311">
        <f>SUM(G168:G174)</f>
      </c>
      <c r="H175" s="312">
        <f t="shared" si="0"/>
      </c>
      <c r="I175" s="312">
        <f t="shared" si="3"/>
      </c>
      <c r="J175" s="312">
        <f t="shared" si="2"/>
      </c>
      <c r="K175" s="311">
        <f>SUM(K168:K174)</f>
      </c>
      <c r="L175" s="311">
        <f>SUM(L168:L174)</f>
      </c>
      <c r="M175" s="310"/>
      <c r="N175" s="311">
        <f>SUM(N168:N174)</f>
      </c>
      <c r="O175" s="310"/>
      <c r="P175" s="311">
        <f>SUM(P168:P174)</f>
      </c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</row>
    <row r="176"/>
    <row r="177"/>
    <row r="178"/>
    <row r="179"/>
    <row r="180"/>
    <row r="181"/>
    <row r="182"/>
    <row r="183"/>
    <row r="184">
      <c r="G184" s="319"/>
    </row>
    <row r="185">
      <c r="G185" s="320"/>
    </row>
    <row r="186">
      <c r="G186" s="320"/>
    </row>
    <row r="187">
      <c r="G187" s="320"/>
    </row>
    <row r="188">
      <c r="G188" s="320"/>
    </row>
    <row r="189">
      <c r="G189" s="320"/>
    </row>
    <row r="190">
      <c r="G190" s="320"/>
    </row>
    <row r="191">
      <c r="G191" s="320"/>
    </row>
    <row r="192">
      <c r="G192" s="320"/>
    </row>
    <row r="193">
      <c r="G193" s="320"/>
    </row>
    <row r="194">
      <c r="G194" s="320"/>
    </row>
    <row r="195"/>
    <row r="196"/>
    <row r="197"/>
    <row r="198"/>
    <row r="199">
      <c r="D199" s="321"/>
    </row>
    <row r="200">
      <c r="D200" s="321"/>
    </row>
    <row r="201">
      <c r="C201" s="321" t="s">
        <v>521</v>
      </c>
      <c r="D201" s="321" t="s">
        <v>610</v>
      </c>
      <c r="E201" s="321" t="s">
        <v>611</v>
      </c>
      <c r="F201" s="321" t="s">
        <v>512</v>
      </c>
      <c r="G201" s="321" t="s">
        <v>612</v>
      </c>
    </row>
    <row r="202">
      <c r="B202" s="321" t="s">
        <v>529</v>
      </c>
      <c r="C202">
        <v>12</v>
      </c>
      <c r="D202">
        <v>55</v>
      </c>
      <c r="E202">
        <v>67487.6</v>
      </c>
      <c r="F202">
        <v>45654.21000000001</v>
      </c>
      <c r="G202" s="320">
        <f>E202/F202</f>
      </c>
    </row>
  </sheetData>
  <autoFilter ref="A1:P175">
    <filterColumn colId="1">
      <filters blank="true"/>
    </filterColumn>
  </autoFilter>
  <dataValidations count="3">
    <dataValidation allowBlank="true" errorStyle="stop" showErrorMessage="true" sqref="B2:B6 B8:B10 B12:B16 B18:B22 B24:B28 B30:B34 B36:B40 B42:B46 B48:B52 B54:B58 B60:B64 B66:B70 B72:B76 B78:B82 B84:B88 B90:B94 B96:B100 B102:B106 B108:B112 B114:B118 B120:B123" type="list">
      <formula1>"王硕硕,蒲奕西,郝旭靓,刘杰宇,郭子硕,刘梦,井欣阅,陈旭"</formula1>
    </dataValidation>
    <dataValidation allowBlank="true" errorStyle="stop" showErrorMessage="true" sqref="B125:B126 B128:B134 B136:B142 B144:B150 B152:B158" type="list">
      <formula1>"王硕硕,蒲奕西,郝旭靓,刘杰宇,郭子硕,刘梦,井欣阅,陈旭,田宇尚"</formula1>
    </dataValidation>
    <dataValidation allowBlank="true" errorStyle="stop" showErrorMessage="true" sqref="B160:B166 B168:B174" type="list">
      <formula1>"王硕硕,蒲奕西,郝旭靓,刘杰宇,郭子硕,刘梦,井欣阅,陈旭,田宇尚,王亚倩,高娟"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" min="2" style="0" width="11.211267605633802"/>
    <col collapsed="false" customWidth="true" hidden="false" max="6" min="6" style="0" width="12.64480633802817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</cols>
  <sheetData>
    <row r="1">
      <c r="A1" s="322" t="s">
        <v>613</v>
      </c>
      <c r="B1" s="323" t="s">
        <v>614</v>
      </c>
      <c r="C1" s="323" t="s">
        <v>615</v>
      </c>
      <c r="D1" s="323" t="s">
        <v>616</v>
      </c>
      <c r="E1" s="323" t="s">
        <v>617</v>
      </c>
      <c r="F1" s="324" t="s">
        <v>618</v>
      </c>
      <c r="G1" s="324" t="s">
        <v>619</v>
      </c>
      <c r="H1" s="324" t="s">
        <v>620</v>
      </c>
      <c r="I1" s="324" t="s">
        <v>621</v>
      </c>
      <c r="J1" s="324" t="s">
        <v>622</v>
      </c>
      <c r="K1" s="323" t="s">
        <v>623</v>
      </c>
      <c r="L1" s="323" t="s">
        <v>624</v>
      </c>
      <c r="M1" s="323" t="s">
        <v>625</v>
      </c>
      <c r="N1" s="323" t="s">
        <v>626</v>
      </c>
      <c r="O1" s="323" t="s">
        <v>627</v>
      </c>
      <c r="P1" s="323" t="s">
        <v>628</v>
      </c>
    </row>
    <row hidden="true" r="2">
      <c r="A2" s="325" t="s">
        <v>629</v>
      </c>
      <c r="B2" s="326" t="s">
        <v>630</v>
      </c>
      <c r="C2" s="327" t="s">
        <v>631</v>
      </c>
      <c r="D2" s="327">
        <v>5</v>
      </c>
      <c r="E2" s="327">
        <v>53</v>
      </c>
      <c r="F2" s="327">
        <v>33214</v>
      </c>
      <c r="G2" s="327">
        <v>34465.18</v>
      </c>
      <c r="H2" s="328">
        <f t="shared" ref="H2:H165" si="36">F2/G2</f>
      </c>
      <c r="I2" s="328">
        <f t="shared" ref="I2:I165" si="38">F2/E2</f>
      </c>
      <c r="J2" s="328">
        <f>G2/E2</f>
      </c>
      <c r="K2" s="327">
        <v>6</v>
      </c>
      <c r="L2" s="327">
        <v>2476.2</v>
      </c>
      <c r="M2" s="327" t="s">
        <v>632</v>
      </c>
      <c r="N2" s="327">
        <v>10</v>
      </c>
      <c r="O2" s="329" t="s">
        <v>633</v>
      </c>
      <c r="P2" s="327">
        <v>10</v>
      </c>
    </row>
    <row hidden="true" r="3">
      <c r="A3" s="325" t="s">
        <v>629</v>
      </c>
      <c r="B3" s="330" t="s">
        <v>634</v>
      </c>
      <c r="C3" s="327" t="s">
        <v>635</v>
      </c>
      <c r="D3" s="331">
        <v>5</v>
      </c>
      <c r="E3" s="327">
        <v>38</v>
      </c>
      <c r="F3" s="327">
        <v>24510.2</v>
      </c>
      <c r="G3" s="327">
        <v>17068.71</v>
      </c>
      <c r="H3" s="328">
        <f t="shared" si="36"/>
      </c>
      <c r="I3" s="328">
        <f t="shared" si="38"/>
      </c>
      <c r="J3" s="328">
        <f>G2/E3</f>
      </c>
      <c r="K3" s="327">
        <v>2</v>
      </c>
      <c r="L3" s="327">
        <v>599.9999999999998</v>
      </c>
      <c r="M3" s="329"/>
      <c r="N3" s="329"/>
      <c r="O3" s="332"/>
      <c r="P3" s="329"/>
    </row>
    <row hidden="true" r="4">
      <c r="A4" s="325" t="s">
        <v>629</v>
      </c>
      <c r="B4" s="326" t="s">
        <v>636</v>
      </c>
      <c r="C4" s="330" t="s">
        <v>637</v>
      </c>
      <c r="D4" s="327">
        <v>5</v>
      </c>
      <c r="E4" s="327">
        <v>41</v>
      </c>
      <c r="F4" s="327">
        <v>26051.800000000003</v>
      </c>
      <c r="G4" s="327">
        <v>23364.55</v>
      </c>
      <c r="H4" s="328">
        <f t="shared" si="36"/>
      </c>
      <c r="I4" s="328">
        <f t="shared" si="38"/>
      </c>
      <c r="J4" s="328">
        <f t="shared" ref="J4:J7" si="0">G4/E4</f>
      </c>
      <c r="K4" s="327">
        <v>2</v>
      </c>
      <c r="L4" s="327">
        <v>1200.0000000000005</v>
      </c>
      <c r="M4" s="329"/>
      <c r="N4" s="329"/>
      <c r="O4" s="329"/>
      <c r="P4" s="329"/>
    </row>
    <row hidden="true" r="5">
      <c r="A5" s="325" t="s">
        <v>629</v>
      </c>
      <c r="B5" s="326" t="s">
        <v>638</v>
      </c>
      <c r="C5" s="327" t="s">
        <v>639</v>
      </c>
      <c r="D5" s="327">
        <v>3</v>
      </c>
      <c r="E5" s="327">
        <v>30</v>
      </c>
      <c r="F5" s="327">
        <v>22392.399999999994</v>
      </c>
      <c r="G5" s="327">
        <v>14452.6</v>
      </c>
      <c r="H5" s="328">
        <f t="shared" si="36"/>
      </c>
      <c r="I5" s="328">
        <f t="shared" si="38"/>
      </c>
      <c r="J5" s="328">
        <f t="shared" si="0"/>
      </c>
      <c r="K5" s="327">
        <v>1</v>
      </c>
      <c r="L5" s="327">
        <v>356</v>
      </c>
      <c r="M5" s="327" t="s">
        <v>640</v>
      </c>
      <c r="N5" s="327">
        <v>8</v>
      </c>
      <c r="O5" s="327" t="s">
        <v>641</v>
      </c>
      <c r="P5" s="327">
        <v>8</v>
      </c>
    </row>
    <row r="6">
      <c r="A6" s="333" t="s">
        <v>629</v>
      </c>
      <c r="B6" s="334"/>
      <c r="C6" s="334"/>
      <c r="D6" s="335">
        <f>SUM(D2:D5)</f>
      </c>
      <c r="E6" s="335">
        <f>SUM(E2:E5)</f>
      </c>
      <c r="F6" s="335">
        <f>SUM(F2:F5)</f>
      </c>
      <c r="G6" s="335">
        <f>SUM(G2:G5)</f>
      </c>
      <c r="H6" s="336">
        <f t="shared" si="36"/>
      </c>
      <c r="I6" s="336">
        <f t="shared" si="38"/>
      </c>
      <c r="J6" s="336">
        <f t="shared" si="0"/>
      </c>
      <c r="K6" s="335">
        <f>SUM(K2:K5)</f>
      </c>
      <c r="L6" s="335">
        <f>SUM(L2:L5)</f>
      </c>
      <c r="M6" s="334"/>
      <c r="N6" s="335">
        <f>SUM(N2:N5)</f>
      </c>
      <c r="O6" s="334"/>
      <c r="P6" s="334">
        <f>SUM(P2:P5)</f>
      </c>
    </row>
    <row hidden="true" r="7">
      <c r="A7" s="325" t="s">
        <v>642</v>
      </c>
      <c r="B7" s="326" t="s">
        <v>634</v>
      </c>
      <c r="C7" s="327" t="s">
        <v>631</v>
      </c>
      <c r="D7" s="327">
        <v>5</v>
      </c>
      <c r="E7" s="327">
        <v>39</v>
      </c>
      <c r="F7" s="327">
        <v>21379.2</v>
      </c>
      <c r="G7" s="327">
        <v>25750.14</v>
      </c>
      <c r="H7" s="328">
        <f t="shared" si="36"/>
      </c>
      <c r="I7" s="328">
        <f t="shared" si="38"/>
      </c>
      <c r="J7" s="328">
        <f t="shared" si="0"/>
      </c>
      <c r="K7" s="327">
        <v>6</v>
      </c>
      <c r="L7" s="327">
        <v>4032.6</v>
      </c>
      <c r="M7" s="327" t="s">
        <v>632</v>
      </c>
      <c r="N7" s="327">
        <v>10</v>
      </c>
      <c r="O7" s="329" t="s">
        <v>633</v>
      </c>
      <c r="P7" s="327">
        <v>10</v>
      </c>
    </row>
    <row hidden="true" r="8">
      <c r="A8" s="325" t="s">
        <v>642</v>
      </c>
      <c r="B8" s="326" t="s">
        <v>630</v>
      </c>
      <c r="C8" s="327" t="s">
        <v>635</v>
      </c>
      <c r="D8" s="327">
        <v>5</v>
      </c>
      <c r="E8" s="327">
        <v>67</v>
      </c>
      <c r="F8" s="327">
        <v>49991.19999999999</v>
      </c>
      <c r="G8" s="327">
        <v>42987.34</v>
      </c>
      <c r="H8" s="328">
        <f t="shared" si="36"/>
      </c>
      <c r="I8" s="328">
        <f t="shared" si="38"/>
      </c>
      <c r="J8" s="328">
        <f>G7/E8</f>
      </c>
      <c r="K8" s="327">
        <v>4</v>
      </c>
      <c r="L8" s="327">
        <v>3276.0000000000005</v>
      </c>
      <c r="M8" s="329"/>
      <c r="N8" s="329"/>
      <c r="O8" s="332"/>
      <c r="P8" s="329"/>
    </row>
    <row hidden="true" r="9">
      <c r="A9" s="325" t="s">
        <v>642</v>
      </c>
      <c r="B9" s="326" t="s">
        <v>636</v>
      </c>
      <c r="C9" s="327" t="s">
        <v>637</v>
      </c>
      <c r="D9" s="327">
        <v>5</v>
      </c>
      <c r="E9" s="327">
        <v>62</v>
      </c>
      <c r="F9" s="327">
        <v>34914.28</v>
      </c>
      <c r="G9" s="327">
        <v>28306.12</v>
      </c>
      <c r="H9" s="328">
        <f t="shared" si="36"/>
      </c>
      <c r="I9" s="328">
        <f t="shared" si="38"/>
      </c>
      <c r="J9" s="328">
        <f t="shared" ref="J9:J12" si="1">G9/E9</f>
      </c>
      <c r="K9" s="327">
        <v>8</v>
      </c>
      <c r="L9" s="327">
        <v>4465.6</v>
      </c>
      <c r="M9" s="329"/>
      <c r="N9" s="329"/>
      <c r="O9" s="329"/>
      <c r="P9" s="329"/>
    </row>
    <row hidden="true" r="10">
      <c r="A10" s="325" t="s">
        <v>642</v>
      </c>
      <c r="B10" s="326" t="s">
        <v>638</v>
      </c>
      <c r="C10" s="327" t="s">
        <v>643</v>
      </c>
      <c r="D10" s="327">
        <v>5</v>
      </c>
      <c r="E10" s="327">
        <v>61</v>
      </c>
      <c r="F10" s="327">
        <v>43719.20000000001</v>
      </c>
      <c r="G10" s="327">
        <v>33805.96</v>
      </c>
      <c r="H10" s="328">
        <f t="shared" si="36"/>
      </c>
      <c r="I10" s="328">
        <f t="shared" si="38"/>
      </c>
      <c r="J10" s="328">
        <f t="shared" si="1"/>
      </c>
      <c r="K10" s="327">
        <v>5</v>
      </c>
      <c r="L10" s="327">
        <v>2946.7999999999993</v>
      </c>
      <c r="M10" s="327" t="s">
        <v>640</v>
      </c>
      <c r="N10" s="327">
        <v>10</v>
      </c>
      <c r="O10" s="327" t="s">
        <v>641</v>
      </c>
      <c r="P10" s="327">
        <v>10</v>
      </c>
    </row>
    <row r="11">
      <c r="A11" s="333" t="s">
        <v>642</v>
      </c>
      <c r="B11" s="334"/>
      <c r="C11" s="334"/>
      <c r="D11" s="335">
        <f>SUM(D7:D10)</f>
      </c>
      <c r="E11" s="335">
        <f>SUM(E7:E10)</f>
      </c>
      <c r="F11" s="335">
        <f>SUM(F7:F10)</f>
      </c>
      <c r="G11" s="335">
        <f>SUM(G7:G10)</f>
      </c>
      <c r="H11" s="336">
        <f t="shared" si="36"/>
      </c>
      <c r="I11" s="336">
        <f t="shared" si="38"/>
      </c>
      <c r="J11" s="336">
        <f t="shared" si="1"/>
      </c>
      <c r="K11" s="335">
        <f>SUM(K7:K10)</f>
      </c>
      <c r="L11" s="335">
        <f>SUM(L7:L10)</f>
      </c>
      <c r="M11" s="334"/>
      <c r="N11" s="335">
        <f>SUM(N7:N10)</f>
      </c>
      <c r="O11" s="334"/>
      <c r="P11" s="334">
        <f>SUM(P7:P10)</f>
      </c>
    </row>
    <row hidden="true" r="12">
      <c r="A12" s="325" t="s">
        <v>644</v>
      </c>
      <c r="B12" s="337" t="s">
        <v>634</v>
      </c>
      <c r="C12" s="329" t="s">
        <v>631</v>
      </c>
      <c r="D12" s="329">
        <v>5</v>
      </c>
      <c r="E12" s="327">
        <v>24</v>
      </c>
      <c r="F12" s="329">
        <v>21176.4</v>
      </c>
      <c r="G12" s="329">
        <v>20805.05</v>
      </c>
      <c r="H12" s="328">
        <f t="shared" si="36"/>
      </c>
      <c r="I12" s="328">
        <f t="shared" si="38"/>
      </c>
      <c r="J12" s="328">
        <f t="shared" si="1"/>
      </c>
      <c r="K12" s="327">
        <v>5</v>
      </c>
      <c r="L12" s="327">
        <v>3724.8</v>
      </c>
      <c r="M12" s="327" t="s">
        <v>645</v>
      </c>
      <c r="N12" s="329">
        <v>10</v>
      </c>
      <c r="O12" s="329" t="s">
        <v>633</v>
      </c>
      <c r="P12" s="329">
        <v>10</v>
      </c>
    </row>
    <row hidden="true" r="13">
      <c r="A13" s="338" t="s">
        <v>644</v>
      </c>
      <c r="B13" s="337" t="s">
        <v>630</v>
      </c>
      <c r="C13" s="329" t="s">
        <v>635</v>
      </c>
      <c r="D13" s="329">
        <v>5</v>
      </c>
      <c r="E13" s="327">
        <v>20</v>
      </c>
      <c r="F13" s="327">
        <v>18002.99</v>
      </c>
      <c r="G13" s="327">
        <v>12660.43</v>
      </c>
      <c r="H13" s="328">
        <f t="shared" si="36"/>
      </c>
      <c r="I13" s="328">
        <f t="shared" si="38"/>
      </c>
      <c r="J13" s="328">
        <f>G12/E13</f>
      </c>
      <c r="K13" s="327">
        <v>4</v>
      </c>
      <c r="L13" s="327">
        <v>2522.19</v>
      </c>
      <c r="M13" s="329"/>
      <c r="N13" s="329"/>
      <c r="O13" s="332"/>
      <c r="P13" s="329"/>
    </row>
    <row hidden="true" r="14">
      <c r="A14" s="338" t="s">
        <v>644</v>
      </c>
      <c r="B14" s="337" t="s">
        <v>636</v>
      </c>
      <c r="C14" s="329" t="s">
        <v>637</v>
      </c>
      <c r="D14" s="329">
        <v>5</v>
      </c>
      <c r="E14" s="327">
        <v>16</v>
      </c>
      <c r="F14" s="327">
        <v>13241.6</v>
      </c>
      <c r="G14" s="327">
        <v>10650.26</v>
      </c>
      <c r="H14" s="328">
        <f t="shared" si="36"/>
      </c>
      <c r="I14" s="328">
        <f t="shared" si="38"/>
      </c>
      <c r="J14" s="328">
        <f t="shared" ref="J14:J17" si="2">G14/E14</f>
      </c>
      <c r="K14" s="327">
        <v>4</v>
      </c>
      <c r="L14" s="327">
        <v>4425.6</v>
      </c>
      <c r="M14" s="329"/>
      <c r="N14" s="329"/>
      <c r="O14" s="329"/>
      <c r="P14" s="329"/>
    </row>
    <row hidden="true" r="15">
      <c r="A15" s="338" t="s">
        <v>644</v>
      </c>
      <c r="B15" s="337" t="s">
        <v>638</v>
      </c>
      <c r="C15" s="327" t="s">
        <v>643</v>
      </c>
      <c r="D15" s="329">
        <v>5</v>
      </c>
      <c r="E15" s="327">
        <v>15</v>
      </c>
      <c r="F15" s="327">
        <v>11768.4</v>
      </c>
      <c r="G15" s="327">
        <v>10251.11</v>
      </c>
      <c r="H15" s="328">
        <f t="shared" si="36"/>
      </c>
      <c r="I15" s="328">
        <f t="shared" si="38"/>
      </c>
      <c r="J15" s="328">
        <f t="shared" si="2"/>
      </c>
      <c r="K15" s="327">
        <v>0</v>
      </c>
      <c r="L15" s="327">
        <v>0</v>
      </c>
      <c r="M15" s="327" t="s">
        <v>646</v>
      </c>
      <c r="N15" s="329">
        <v>10</v>
      </c>
      <c r="O15" s="329" t="s">
        <v>641</v>
      </c>
      <c r="P15" s="329">
        <v>10</v>
      </c>
    </row>
    <row r="16">
      <c r="A16" s="339" t="s">
        <v>644</v>
      </c>
      <c r="B16" s="334"/>
      <c r="C16" s="334"/>
      <c r="D16" s="335">
        <f>SUM(D12:D15)</f>
      </c>
      <c r="E16" s="335">
        <f>SUM(E12:E15)</f>
      </c>
      <c r="F16" s="335">
        <f>SUM(F12:F15)</f>
      </c>
      <c r="G16" s="335">
        <f>SUM(G12:G15)</f>
      </c>
      <c r="H16" s="336">
        <f t="shared" si="36"/>
      </c>
      <c r="I16" s="336">
        <f t="shared" si="38"/>
      </c>
      <c r="J16" s="336">
        <f t="shared" si="2"/>
      </c>
      <c r="K16" s="335">
        <f>SUM(K12:K15)</f>
      </c>
      <c r="L16" s="335">
        <f>SUM(L12:L15)</f>
      </c>
      <c r="M16" s="334"/>
      <c r="N16" s="335">
        <f>SUM(N12:N15)</f>
      </c>
      <c r="O16" s="334"/>
      <c r="P16" s="334">
        <f>SUM(P12:P15)</f>
      </c>
    </row>
    <row hidden="true" r="17">
      <c r="A17" s="325" t="s">
        <v>647</v>
      </c>
      <c r="B17" s="337" t="s">
        <v>634</v>
      </c>
      <c r="C17" s="329" t="s">
        <v>631</v>
      </c>
      <c r="D17" s="329">
        <v>5</v>
      </c>
      <c r="E17" s="327">
        <v>24</v>
      </c>
      <c r="F17" s="327">
        <v>12547.4</v>
      </c>
      <c r="G17" s="327">
        <v>16409.24</v>
      </c>
      <c r="H17" s="328">
        <f t="shared" si="36"/>
      </c>
      <c r="I17" s="328">
        <f t="shared" si="38"/>
      </c>
      <c r="J17" s="328">
        <f t="shared" si="2"/>
      </c>
      <c r="K17" s="327">
        <v>3</v>
      </c>
      <c r="L17" s="327">
        <v>1974</v>
      </c>
      <c r="M17" s="327" t="s">
        <v>648</v>
      </c>
      <c r="N17" s="329">
        <v>10</v>
      </c>
      <c r="O17" s="329" t="s">
        <v>633</v>
      </c>
      <c r="P17" s="329">
        <v>10</v>
      </c>
    </row>
    <row hidden="true" r="18">
      <c r="A18" s="325" t="s">
        <v>647</v>
      </c>
      <c r="B18" s="337" t="s">
        <v>630</v>
      </c>
      <c r="C18" s="329" t="s">
        <v>635</v>
      </c>
      <c r="D18" s="329">
        <v>5</v>
      </c>
      <c r="E18" s="327">
        <v>18</v>
      </c>
      <c r="F18" s="327">
        <v>14496.4</v>
      </c>
      <c r="G18" s="327">
        <v>13778.15</v>
      </c>
      <c r="H18" s="328">
        <f t="shared" si="36"/>
      </c>
      <c r="I18" s="328">
        <f t="shared" si="38"/>
      </c>
      <c r="J18" s="328">
        <f>G17/E18</f>
      </c>
      <c r="K18" s="327">
        <v>2</v>
      </c>
      <c r="L18" s="327">
        <v>2707.2</v>
      </c>
      <c r="M18" s="329"/>
      <c r="N18" s="329"/>
      <c r="O18" s="332"/>
      <c r="P18" s="329"/>
    </row>
    <row hidden="true" r="19">
      <c r="A19" s="325" t="s">
        <v>647</v>
      </c>
      <c r="B19" s="337" t="s">
        <v>636</v>
      </c>
      <c r="C19" s="329" t="s">
        <v>637</v>
      </c>
      <c r="D19" s="329">
        <v>5</v>
      </c>
      <c r="E19" s="327">
        <v>39</v>
      </c>
      <c r="F19" s="327">
        <v>31084.22</v>
      </c>
      <c r="G19" s="327">
        <v>22066.57</v>
      </c>
      <c r="H19" s="328">
        <f t="shared" si="36"/>
      </c>
      <c r="I19" s="328">
        <f t="shared" si="38"/>
      </c>
      <c r="J19" s="328">
        <f t="shared" ref="J19:J22" si="3">G19/E19</f>
      </c>
      <c r="K19" s="327">
        <v>2</v>
      </c>
      <c r="L19" s="327">
        <v>2734.8</v>
      </c>
      <c r="M19" s="329"/>
      <c r="N19" s="329"/>
      <c r="O19" s="329"/>
      <c r="P19" s="329"/>
    </row>
    <row hidden="true" r="20">
      <c r="A20" s="325" t="s">
        <v>647</v>
      </c>
      <c r="B20" s="337" t="s">
        <v>638</v>
      </c>
      <c r="C20" s="327" t="s">
        <v>643</v>
      </c>
      <c r="D20" s="329">
        <v>5</v>
      </c>
      <c r="E20" s="327">
        <v>46</v>
      </c>
      <c r="F20" s="327">
        <v>32758.6</v>
      </c>
      <c r="G20" s="327">
        <v>24557.23</v>
      </c>
      <c r="H20" s="328">
        <f t="shared" si="36"/>
      </c>
      <c r="I20" s="328">
        <f t="shared" si="38"/>
      </c>
      <c r="J20" s="328">
        <f t="shared" si="3"/>
      </c>
      <c r="K20" s="327">
        <v>2</v>
      </c>
      <c r="L20" s="327">
        <v>2222.4</v>
      </c>
      <c r="M20" s="327" t="s">
        <v>646</v>
      </c>
      <c r="N20" s="329">
        <v>10</v>
      </c>
      <c r="O20" s="329" t="s">
        <v>641</v>
      </c>
      <c r="P20" s="329">
        <v>10</v>
      </c>
    </row>
    <row r="21">
      <c r="A21" s="333" t="s">
        <v>647</v>
      </c>
      <c r="B21" s="334"/>
      <c r="C21" s="334"/>
      <c r="D21" s="335">
        <f>SUM(D17:D20)</f>
      </c>
      <c r="E21" s="335">
        <f>SUM(E17:E20)</f>
      </c>
      <c r="F21" s="335">
        <f>SUM(F17:F20)</f>
      </c>
      <c r="G21" s="335">
        <f>SUM(G17:G20)</f>
      </c>
      <c r="H21" s="336">
        <f t="shared" si="36"/>
      </c>
      <c r="I21" s="336">
        <f t="shared" si="38"/>
      </c>
      <c r="J21" s="336">
        <f t="shared" si="3"/>
      </c>
      <c r="K21" s="335">
        <f>SUM(K17:K20)</f>
      </c>
      <c r="L21" s="335">
        <f>SUM(L17:L20)</f>
      </c>
      <c r="M21" s="334"/>
      <c r="N21" s="335">
        <f>SUM(N17:N20)</f>
      </c>
      <c r="O21" s="334"/>
      <c r="P21" s="334">
        <f>SUM(P17:P20)</f>
      </c>
    </row>
    <row hidden="true" r="22">
      <c r="A22" s="325" t="s">
        <v>649</v>
      </c>
      <c r="B22" s="337" t="s">
        <v>630</v>
      </c>
      <c r="C22" s="329" t="s">
        <v>631</v>
      </c>
      <c r="D22" s="329">
        <v>5</v>
      </c>
      <c r="E22" s="327">
        <v>29</v>
      </c>
      <c r="F22" s="327">
        <v>22339.6</v>
      </c>
      <c r="G22" s="327">
        <v>23481.51</v>
      </c>
      <c r="H22" s="328">
        <f t="shared" si="36"/>
      </c>
      <c r="I22" s="328">
        <f t="shared" si="38"/>
      </c>
      <c r="J22" s="328">
        <f t="shared" si="3"/>
      </c>
      <c r="K22" s="327">
        <v>3</v>
      </c>
      <c r="L22" s="327">
        <v>2592</v>
      </c>
      <c r="M22" s="327" t="s">
        <v>648</v>
      </c>
      <c r="N22" s="329">
        <v>10</v>
      </c>
      <c r="O22" s="329" t="s">
        <v>633</v>
      </c>
      <c r="P22" s="329">
        <v>10</v>
      </c>
    </row>
    <row hidden="true" r="23">
      <c r="A23" s="325" t="s">
        <v>649</v>
      </c>
      <c r="B23" s="337" t="s">
        <v>638</v>
      </c>
      <c r="C23" s="329" t="s">
        <v>635</v>
      </c>
      <c r="D23" s="329">
        <v>5</v>
      </c>
      <c r="E23" s="327">
        <v>10</v>
      </c>
      <c r="F23" s="327">
        <v>5689</v>
      </c>
      <c r="G23" s="327">
        <v>10907.65</v>
      </c>
      <c r="H23" s="328">
        <f t="shared" si="36"/>
      </c>
      <c r="I23" s="328">
        <f t="shared" si="38"/>
      </c>
      <c r="J23" s="328">
        <f>G22/E23</f>
      </c>
      <c r="K23" s="327">
        <v>1</v>
      </c>
      <c r="L23" s="327">
        <v>453.6</v>
      </c>
      <c r="M23" s="329"/>
      <c r="N23" s="329"/>
      <c r="O23" s="332"/>
      <c r="P23" s="329"/>
    </row>
    <row hidden="true" r="24">
      <c r="A24" s="325" t="s">
        <v>649</v>
      </c>
      <c r="B24" s="337" t="s">
        <v>634</v>
      </c>
      <c r="C24" s="329" t="s">
        <v>637</v>
      </c>
      <c r="D24" s="329">
        <v>5</v>
      </c>
      <c r="E24" s="327">
        <v>14</v>
      </c>
      <c r="F24" s="327">
        <v>10586.4</v>
      </c>
      <c r="G24" s="327">
        <v>9637.91</v>
      </c>
      <c r="H24" s="328">
        <f t="shared" si="36"/>
      </c>
      <c r="I24" s="328">
        <f t="shared" si="38"/>
      </c>
      <c r="J24" s="328">
        <f t="shared" ref="J24:J27" si="4">G24/E24</f>
      </c>
      <c r="K24" s="327">
        <v>1</v>
      </c>
      <c r="L24" s="327">
        <v>619.2</v>
      </c>
      <c r="M24" s="329"/>
      <c r="N24" s="329"/>
      <c r="O24" s="329"/>
      <c r="P24" s="329"/>
    </row>
    <row hidden="true" r="25">
      <c r="A25" s="325" t="s">
        <v>649</v>
      </c>
      <c r="B25" s="337" t="s">
        <v>636</v>
      </c>
      <c r="C25" s="327" t="s">
        <v>643</v>
      </c>
      <c r="D25" s="329">
        <v>5</v>
      </c>
      <c r="E25" s="327">
        <v>36</v>
      </c>
      <c r="F25" s="327">
        <v>22371.4</v>
      </c>
      <c r="G25" s="327">
        <v>21342.58</v>
      </c>
      <c r="H25" s="328">
        <f t="shared" si="36"/>
      </c>
      <c r="I25" s="328">
        <f t="shared" si="38"/>
      </c>
      <c r="J25" s="328">
        <f t="shared" si="4"/>
      </c>
      <c r="K25" s="327">
        <v>1</v>
      </c>
      <c r="L25" s="327">
        <v>1411.2</v>
      </c>
      <c r="M25" s="327" t="s">
        <v>646</v>
      </c>
      <c r="N25" s="329">
        <v>10</v>
      </c>
      <c r="O25" s="329" t="s">
        <v>641</v>
      </c>
      <c r="P25" s="329">
        <v>10</v>
      </c>
    </row>
    <row r="26">
      <c r="A26" s="333" t="s">
        <v>649</v>
      </c>
      <c r="B26" s="334"/>
      <c r="C26" s="334"/>
      <c r="D26" s="335">
        <f>SUM(D22:D25)</f>
      </c>
      <c r="E26" s="335">
        <f>SUM(E22:E25)</f>
      </c>
      <c r="F26" s="335">
        <f>SUM(F22:F25)</f>
      </c>
      <c r="G26" s="335">
        <f>SUM(G22:G25)</f>
      </c>
      <c r="H26" s="336">
        <f t="shared" si="36"/>
      </c>
      <c r="I26" s="336">
        <f t="shared" si="38"/>
      </c>
      <c r="J26" s="336">
        <f t="shared" si="4"/>
      </c>
      <c r="K26" s="335">
        <f>SUM(K22:K25)</f>
      </c>
      <c r="L26" s="335">
        <f>SUM(L22:L25)</f>
      </c>
      <c r="M26" s="334"/>
      <c r="N26" s="335">
        <f>SUM(N22:N25)</f>
      </c>
      <c r="O26" s="334"/>
      <c r="P26" s="334">
        <f>SUM(P22:P25)</f>
      </c>
    </row>
    <row hidden="true" r="27">
      <c r="A27" s="325" t="s">
        <v>650</v>
      </c>
      <c r="B27" s="337" t="s">
        <v>630</v>
      </c>
      <c r="C27" s="329" t="s">
        <v>631</v>
      </c>
      <c r="D27" s="329">
        <v>5</v>
      </c>
      <c r="E27" s="327">
        <v>25</v>
      </c>
      <c r="F27" s="327">
        <v>19497.8</v>
      </c>
      <c r="G27" s="327">
        <v>15637.039999999999</v>
      </c>
      <c r="H27" s="328">
        <f t="shared" si="36"/>
      </c>
      <c r="I27" s="328">
        <f t="shared" si="38"/>
      </c>
      <c r="J27" s="328">
        <f t="shared" si="4"/>
      </c>
      <c r="K27" s="327">
        <v>6</v>
      </c>
      <c r="L27" s="327">
        <v>4779.4</v>
      </c>
      <c r="M27" s="327" t="s">
        <v>651</v>
      </c>
      <c r="N27" s="329">
        <v>10</v>
      </c>
      <c r="O27" s="329" t="s">
        <v>633</v>
      </c>
      <c r="P27" s="329">
        <v>10</v>
      </c>
    </row>
    <row hidden="true" r="28">
      <c r="A28" s="325" t="s">
        <v>650</v>
      </c>
      <c r="B28" s="337" t="s">
        <v>638</v>
      </c>
      <c r="C28" s="329" t="s">
        <v>635</v>
      </c>
      <c r="D28" s="329">
        <v>5</v>
      </c>
      <c r="E28" s="327">
        <v>25</v>
      </c>
      <c r="F28" s="327">
        <v>20550.4</v>
      </c>
      <c r="G28" s="327">
        <v>13223.25</v>
      </c>
      <c r="H28" s="328">
        <f t="shared" si="36"/>
      </c>
      <c r="I28" s="328">
        <f t="shared" si="38"/>
      </c>
      <c r="J28" s="328">
        <f>G27/E28</f>
      </c>
      <c r="K28" s="327">
        <v>3</v>
      </c>
      <c r="L28" s="327">
        <v>3236.4</v>
      </c>
      <c r="M28" s="329"/>
      <c r="N28" s="329"/>
      <c r="O28" s="332"/>
      <c r="P28" s="329"/>
    </row>
    <row hidden="true" r="29">
      <c r="A29" s="325" t="s">
        <v>650</v>
      </c>
      <c r="B29" s="337" t="s">
        <v>636</v>
      </c>
      <c r="C29" s="329" t="s">
        <v>637</v>
      </c>
      <c r="D29" s="329">
        <v>5</v>
      </c>
      <c r="E29" s="327">
        <v>37</v>
      </c>
      <c r="F29" s="327">
        <v>27495.2</v>
      </c>
      <c r="G29" s="327">
        <v>11637.96</v>
      </c>
      <c r="H29" s="328">
        <f t="shared" si="36"/>
      </c>
      <c r="I29" s="328">
        <f t="shared" si="38"/>
      </c>
      <c r="J29" s="328">
        <f t="shared" ref="J29:J32" si="5">G29/E29</f>
      </c>
      <c r="K29" s="327">
        <v>7</v>
      </c>
      <c r="L29" s="327">
        <v>5778</v>
      </c>
      <c r="M29" s="329"/>
      <c r="N29" s="329"/>
      <c r="O29" s="329"/>
      <c r="P29" s="329"/>
    </row>
    <row hidden="true" r="30">
      <c r="A30" s="325" t="s">
        <v>650</v>
      </c>
      <c r="B30" s="337" t="s">
        <v>634</v>
      </c>
      <c r="C30" s="327" t="s">
        <v>643</v>
      </c>
      <c r="D30" s="329">
        <v>5</v>
      </c>
      <c r="E30" s="327">
        <v>31</v>
      </c>
      <c r="F30" s="327">
        <v>23724.4</v>
      </c>
      <c r="G30" s="327">
        <v>15261.35</v>
      </c>
      <c r="H30" s="328">
        <f t="shared" si="36"/>
      </c>
      <c r="I30" s="328">
        <f t="shared" si="38"/>
      </c>
      <c r="J30" s="328">
        <f t="shared" si="5"/>
      </c>
      <c r="K30" s="327">
        <v>2</v>
      </c>
      <c r="L30" s="327">
        <v>1975.2</v>
      </c>
      <c r="M30" s="327" t="s">
        <v>646</v>
      </c>
      <c r="N30" s="329">
        <v>10</v>
      </c>
      <c r="O30" s="329" t="s">
        <v>641</v>
      </c>
      <c r="P30" s="329">
        <v>10</v>
      </c>
    </row>
    <row r="31">
      <c r="A31" s="333" t="s">
        <v>650</v>
      </c>
      <c r="B31" s="334"/>
      <c r="C31" s="334"/>
      <c r="D31" s="335">
        <f>SUM(D27:D30)</f>
      </c>
      <c r="E31" s="335">
        <f>SUM(E27:E30)</f>
      </c>
      <c r="F31" s="335">
        <f>SUM(F27:F30)</f>
      </c>
      <c r="G31" s="335">
        <f>SUM(G27:G30)</f>
      </c>
      <c r="H31" s="336">
        <f t="shared" si="36"/>
      </c>
      <c r="I31" s="336">
        <f t="shared" si="38"/>
      </c>
      <c r="J31" s="336">
        <f t="shared" si="5"/>
      </c>
      <c r="K31" s="335">
        <f>SUM(K27:K30)</f>
      </c>
      <c r="L31" s="335">
        <f>SUM(L27:L30)</f>
      </c>
      <c r="M31" s="334"/>
      <c r="N31" s="335">
        <f>SUM(N27:N30)</f>
      </c>
      <c r="O31" s="334"/>
      <c r="P31" s="334">
        <f>SUM(P27:P30)</f>
      </c>
    </row>
    <row hidden="true" r="32">
      <c r="A32" s="325" t="s">
        <v>652</v>
      </c>
      <c r="B32" s="337" t="s">
        <v>630</v>
      </c>
      <c r="C32" s="329" t="s">
        <v>631</v>
      </c>
      <c r="D32" s="329">
        <v>5</v>
      </c>
      <c r="E32" s="327">
        <v>23</v>
      </c>
      <c r="F32" s="327">
        <v>14218</v>
      </c>
      <c r="G32" s="327">
        <v>13313.349999999999</v>
      </c>
      <c r="H32" s="328">
        <f t="shared" si="36"/>
      </c>
      <c r="I32" s="328">
        <f t="shared" si="38"/>
      </c>
      <c r="J32" s="328">
        <f t="shared" si="5"/>
      </c>
      <c r="K32" s="327">
        <v>6</v>
      </c>
      <c r="L32" s="327">
        <v>3448</v>
      </c>
      <c r="M32" s="327" t="s">
        <v>651</v>
      </c>
      <c r="N32" s="329">
        <v>10</v>
      </c>
      <c r="O32" s="329" t="s">
        <v>633</v>
      </c>
      <c r="P32" s="329">
        <v>10</v>
      </c>
    </row>
    <row hidden="true" r="33">
      <c r="A33" s="325" t="s">
        <v>652</v>
      </c>
      <c r="B33" s="337" t="s">
        <v>638</v>
      </c>
      <c r="C33" s="329" t="s">
        <v>635</v>
      </c>
      <c r="D33" s="329">
        <v>5</v>
      </c>
      <c r="E33" s="327">
        <v>7</v>
      </c>
      <c r="F33" s="327">
        <v>7082.4</v>
      </c>
      <c r="G33" s="327">
        <v>10672.12</v>
      </c>
      <c r="H33" s="328">
        <f t="shared" si="36"/>
      </c>
      <c r="I33" s="328">
        <f t="shared" si="38"/>
      </c>
      <c r="J33" s="328">
        <f>G32/E33</f>
      </c>
      <c r="K33" s="327">
        <v>2</v>
      </c>
      <c r="L33" s="327">
        <v>3424.8</v>
      </c>
      <c r="M33" s="329"/>
      <c r="N33" s="329"/>
      <c r="O33" s="332"/>
      <c r="P33" s="329"/>
    </row>
    <row hidden="true" r="34">
      <c r="A34" s="325" t="s">
        <v>652</v>
      </c>
      <c r="B34" s="337" t="s">
        <v>636</v>
      </c>
      <c r="C34" s="329" t="s">
        <v>637</v>
      </c>
      <c r="D34" s="329">
        <v>5</v>
      </c>
      <c r="E34" s="327">
        <v>14</v>
      </c>
      <c r="F34" s="327">
        <v>7870.8</v>
      </c>
      <c r="G34" s="327">
        <v>7876.62</v>
      </c>
      <c r="H34" s="328">
        <f t="shared" si="36"/>
      </c>
      <c r="I34" s="328">
        <f t="shared" si="38"/>
      </c>
      <c r="J34" s="328">
        <f t="shared" ref="J34:J37" si="6">G34/E34</f>
      </c>
      <c r="K34" s="327">
        <v>1</v>
      </c>
      <c r="L34" s="327">
        <v>278.4</v>
      </c>
      <c r="M34" s="329"/>
      <c r="N34" s="329"/>
      <c r="O34" s="329"/>
      <c r="P34" s="329"/>
    </row>
    <row hidden="true" r="35">
      <c r="A35" s="325" t="s">
        <v>652</v>
      </c>
      <c r="B35" s="337" t="s">
        <v>634</v>
      </c>
      <c r="C35" s="327" t="s">
        <v>643</v>
      </c>
      <c r="D35" s="329">
        <v>5</v>
      </c>
      <c r="E35" s="327">
        <v>28</v>
      </c>
      <c r="F35" s="327">
        <v>14128.8</v>
      </c>
      <c r="G35" s="327">
        <v>10634.26</v>
      </c>
      <c r="H35" s="328">
        <f t="shared" si="36"/>
      </c>
      <c r="I35" s="328">
        <f t="shared" si="38"/>
      </c>
      <c r="J35" s="328">
        <f t="shared" si="6"/>
      </c>
      <c r="K35" s="327">
        <v>6</v>
      </c>
      <c r="L35" s="327">
        <v>2758.8</v>
      </c>
      <c r="M35" s="327" t="s">
        <v>646</v>
      </c>
      <c r="N35" s="329">
        <v>10</v>
      </c>
      <c r="O35" s="329" t="s">
        <v>641</v>
      </c>
      <c r="P35" s="329">
        <v>10</v>
      </c>
    </row>
    <row r="36">
      <c r="A36" s="333" t="s">
        <v>652</v>
      </c>
      <c r="B36" s="334"/>
      <c r="C36" s="334"/>
      <c r="D36" s="335">
        <f>SUM(D32:D35)</f>
      </c>
      <c r="E36" s="335">
        <f>SUM(E32:E35)</f>
      </c>
      <c r="F36" s="335">
        <f>SUM(F32:F35)</f>
      </c>
      <c r="G36" s="335">
        <f>SUM(G32:G35)</f>
      </c>
      <c r="H36" s="336">
        <f t="shared" si="36"/>
      </c>
      <c r="I36" s="336">
        <f t="shared" si="38"/>
      </c>
      <c r="J36" s="336">
        <f t="shared" si="6"/>
      </c>
      <c r="K36" s="335">
        <f>SUM(K32:K35)</f>
      </c>
      <c r="L36" s="335">
        <f>SUM(L32:L35)</f>
      </c>
      <c r="M36" s="334"/>
      <c r="N36" s="335">
        <f>SUM(N32:N35)</f>
      </c>
      <c r="O36" s="334"/>
      <c r="P36" s="334">
        <f>SUM(P32:P35)</f>
      </c>
    </row>
    <row hidden="true" r="37">
      <c r="A37" s="325" t="s">
        <v>653</v>
      </c>
      <c r="B37" s="337" t="s">
        <v>638</v>
      </c>
      <c r="C37" s="329" t="s">
        <v>631</v>
      </c>
      <c r="D37" s="329">
        <v>5</v>
      </c>
      <c r="E37" s="327">
        <v>9</v>
      </c>
      <c r="F37" s="327">
        <v>3576.2</v>
      </c>
      <c r="G37" s="327">
        <v>15219.5</v>
      </c>
      <c r="H37" s="328">
        <f t="shared" si="36"/>
      </c>
      <c r="I37" s="328">
        <f t="shared" si="38"/>
      </c>
      <c r="J37" s="328">
        <f t="shared" si="6"/>
      </c>
      <c r="K37" s="327">
        <v>1</v>
      </c>
      <c r="L37" s="327">
        <v>327.6</v>
      </c>
      <c r="M37" s="327" t="s">
        <v>651</v>
      </c>
      <c r="N37" s="329">
        <v>10</v>
      </c>
      <c r="O37" s="329" t="s">
        <v>633</v>
      </c>
      <c r="P37" s="329">
        <v>10</v>
      </c>
    </row>
    <row hidden="true" r="38">
      <c r="A38" s="325" t="s">
        <v>653</v>
      </c>
      <c r="B38" s="337" t="s">
        <v>636</v>
      </c>
      <c r="C38" s="329" t="s">
        <v>635</v>
      </c>
      <c r="D38" s="329">
        <v>5</v>
      </c>
      <c r="E38" s="327">
        <v>26</v>
      </c>
      <c r="F38" s="327">
        <v>17581.6</v>
      </c>
      <c r="G38" s="327">
        <v>12709.65</v>
      </c>
      <c r="H38" s="328">
        <f t="shared" si="36"/>
      </c>
      <c r="I38" s="328">
        <f t="shared" si="38"/>
      </c>
      <c r="J38" s="328">
        <f>G37/E38</f>
      </c>
      <c r="K38" s="327">
        <v>4</v>
      </c>
      <c r="L38" s="327">
        <v>1894.8</v>
      </c>
      <c r="M38" s="329"/>
      <c r="N38" s="329"/>
      <c r="O38" s="332"/>
      <c r="P38" s="329"/>
    </row>
    <row hidden="true" r="39">
      <c r="A39" s="325" t="s">
        <v>653</v>
      </c>
      <c r="B39" s="337" t="s">
        <v>630</v>
      </c>
      <c r="C39" s="329" t="s">
        <v>637</v>
      </c>
      <c r="D39" s="329">
        <v>5</v>
      </c>
      <c r="E39" s="327">
        <v>21</v>
      </c>
      <c r="F39" s="327">
        <v>15248.2</v>
      </c>
      <c r="G39" s="327">
        <v>10111.22</v>
      </c>
      <c r="H39" s="328">
        <f t="shared" si="36"/>
      </c>
      <c r="I39" s="328">
        <f t="shared" si="38"/>
      </c>
      <c r="J39" s="328">
        <f t="shared" ref="J39:J42" si="7">G39/E39</f>
      </c>
      <c r="K39" s="327">
        <v>3</v>
      </c>
      <c r="L39" s="327">
        <v>1474.8</v>
      </c>
      <c r="M39" s="329"/>
      <c r="N39" s="329"/>
      <c r="O39" s="329"/>
      <c r="P39" s="329"/>
    </row>
    <row hidden="true" r="40">
      <c r="A40" s="325" t="s">
        <v>653</v>
      </c>
      <c r="B40" s="337" t="s">
        <v>634</v>
      </c>
      <c r="C40" s="327" t="s">
        <v>643</v>
      </c>
      <c r="D40" s="327">
        <v>5</v>
      </c>
      <c r="E40" s="327">
        <v>38</v>
      </c>
      <c r="F40" s="327">
        <v>27057.2</v>
      </c>
      <c r="G40" s="327">
        <v>19427.15</v>
      </c>
      <c r="H40" s="328">
        <f t="shared" si="36"/>
      </c>
      <c r="I40" s="328">
        <f t="shared" si="38"/>
      </c>
      <c r="J40" s="328">
        <f t="shared" si="7"/>
      </c>
      <c r="K40" s="327">
        <v>8</v>
      </c>
      <c r="L40" s="327">
        <v>5816.4</v>
      </c>
      <c r="M40" s="327" t="s">
        <v>646</v>
      </c>
      <c r="N40" s="327">
        <v>10</v>
      </c>
      <c r="O40" s="329" t="s">
        <v>641</v>
      </c>
      <c r="P40" s="329">
        <v>10</v>
      </c>
    </row>
    <row r="41">
      <c r="A41" s="333" t="s">
        <v>653</v>
      </c>
      <c r="B41" s="334"/>
      <c r="C41" s="334"/>
      <c r="D41" s="335">
        <f>SUM(D37:D40)</f>
      </c>
      <c r="E41" s="335">
        <f>SUM(E37:E40)</f>
      </c>
      <c r="F41" s="335">
        <f>SUM(F37:F40)</f>
      </c>
      <c r="G41" s="335">
        <f>SUM(G37:G40)</f>
      </c>
      <c r="H41" s="336">
        <f t="shared" si="36"/>
      </c>
      <c r="I41" s="336">
        <f t="shared" si="38"/>
      </c>
      <c r="J41" s="336">
        <f t="shared" si="7"/>
      </c>
      <c r="K41" s="335">
        <f>SUM(K37:K40)</f>
      </c>
      <c r="L41" s="335">
        <f>SUM(L37:L40)</f>
      </c>
      <c r="M41" s="334"/>
      <c r="N41" s="335">
        <f>SUM(N37:N40)</f>
      </c>
      <c r="O41" s="334"/>
      <c r="P41" s="334">
        <f>SUM(P37:P40)</f>
      </c>
    </row>
    <row hidden="true" r="42">
      <c r="A42" s="325" t="s">
        <v>654</v>
      </c>
      <c r="B42" s="337" t="s">
        <v>636</v>
      </c>
      <c r="C42" s="329" t="s">
        <v>631</v>
      </c>
      <c r="D42" s="329">
        <v>5</v>
      </c>
      <c r="E42" s="327">
        <v>43</v>
      </c>
      <c r="F42" s="327">
        <v>30758.6</v>
      </c>
      <c r="G42" s="327">
        <v>35697.61</v>
      </c>
      <c r="H42" s="328">
        <f t="shared" si="36"/>
      </c>
      <c r="I42" s="328">
        <f t="shared" si="38"/>
      </c>
      <c r="J42" s="328">
        <f t="shared" si="7"/>
      </c>
      <c r="K42" s="327">
        <v>7</v>
      </c>
      <c r="L42" s="327">
        <v>4241</v>
      </c>
      <c r="M42" s="327" t="s">
        <v>655</v>
      </c>
      <c r="N42" s="329">
        <v>10</v>
      </c>
      <c r="O42" s="329" t="s">
        <v>633</v>
      </c>
      <c r="P42" s="329">
        <v>10</v>
      </c>
    </row>
    <row hidden="true" r="43">
      <c r="A43" s="325" t="s">
        <v>654</v>
      </c>
      <c r="B43" s="337" t="s">
        <v>630</v>
      </c>
      <c r="C43" s="329" t="s">
        <v>635</v>
      </c>
      <c r="D43" s="329">
        <v>5</v>
      </c>
      <c r="E43" s="327">
        <v>21</v>
      </c>
      <c r="F43" s="327">
        <v>16770.4</v>
      </c>
      <c r="G43" s="327">
        <v>15316.35</v>
      </c>
      <c r="H43" s="328">
        <f t="shared" si="36"/>
      </c>
      <c r="I43" s="328">
        <f t="shared" si="38"/>
      </c>
      <c r="J43" s="328">
        <f>G42/E43</f>
      </c>
      <c r="K43" s="327">
        <v>1</v>
      </c>
      <c r="L43" s="327">
        <v>444</v>
      </c>
      <c r="M43" s="329"/>
      <c r="N43" s="329"/>
      <c r="O43" s="332"/>
      <c r="P43" s="329"/>
    </row>
    <row hidden="true" r="44">
      <c r="A44" s="325" t="s">
        <v>654</v>
      </c>
      <c r="B44" s="337" t="s">
        <v>634</v>
      </c>
      <c r="C44" s="329" t="s">
        <v>637</v>
      </c>
      <c r="D44" s="329">
        <v>5</v>
      </c>
      <c r="E44" s="327">
        <v>27</v>
      </c>
      <c r="F44" s="327">
        <v>20675.089999999997</v>
      </c>
      <c r="G44" s="327">
        <v>9164.12</v>
      </c>
      <c r="H44" s="328">
        <f t="shared" si="36"/>
      </c>
      <c r="I44" s="328">
        <f t="shared" si="38"/>
      </c>
      <c r="J44" s="328">
        <f t="shared" ref="J44:J47" si="8">G44/E44</f>
      </c>
      <c r="K44" s="327">
        <v>5</v>
      </c>
      <c r="L44" s="327">
        <v>5172.4</v>
      </c>
      <c r="M44" s="329"/>
      <c r="N44" s="329"/>
      <c r="O44" s="329"/>
      <c r="P44" s="329"/>
    </row>
    <row hidden="true" r="45">
      <c r="A45" s="325" t="s">
        <v>654</v>
      </c>
      <c r="B45" s="337" t="s">
        <v>638</v>
      </c>
      <c r="C45" s="327" t="s">
        <v>643</v>
      </c>
      <c r="D45" s="327">
        <v>5</v>
      </c>
      <c r="E45" s="327">
        <v>25</v>
      </c>
      <c r="F45" s="327">
        <v>14480.600000000006</v>
      </c>
      <c r="G45" s="327">
        <v>16969.62</v>
      </c>
      <c r="H45" s="328">
        <f t="shared" si="36"/>
      </c>
      <c r="I45" s="328">
        <f t="shared" si="38"/>
      </c>
      <c r="J45" s="328">
        <f t="shared" si="8"/>
      </c>
      <c r="K45" s="327">
        <v>4</v>
      </c>
      <c r="L45" s="327">
        <v>4512</v>
      </c>
      <c r="M45" s="327" t="s">
        <v>640</v>
      </c>
      <c r="N45" s="327">
        <v>10</v>
      </c>
      <c r="O45" s="329" t="s">
        <v>641</v>
      </c>
      <c r="P45" s="329">
        <v>10</v>
      </c>
    </row>
    <row r="46">
      <c r="A46" s="333" t="s">
        <v>654</v>
      </c>
      <c r="B46" s="334"/>
      <c r="C46" s="334"/>
      <c r="D46" s="335">
        <f>SUM(D42:D45)</f>
      </c>
      <c r="E46" s="335">
        <f>SUM(E42:E45)</f>
      </c>
      <c r="F46" s="335">
        <f>SUM(F42:F45)</f>
      </c>
      <c r="G46" s="335">
        <f>SUM(G42:G45)</f>
      </c>
      <c r="H46" s="336">
        <f t="shared" si="36"/>
      </c>
      <c r="I46" s="336">
        <f t="shared" si="38"/>
      </c>
      <c r="J46" s="336">
        <f t="shared" si="8"/>
      </c>
      <c r="K46" s="335">
        <f>SUM(K42:K45)</f>
      </c>
      <c r="L46" s="335">
        <f>SUM(L42:L45)</f>
      </c>
      <c r="M46" s="334"/>
      <c r="N46" s="335">
        <f>SUM(N42:N45)</f>
      </c>
      <c r="O46" s="334"/>
      <c r="P46" s="334">
        <f>SUM(P42:P45)</f>
      </c>
    </row>
    <row hidden="true" r="47">
      <c r="A47" s="325" t="s">
        <v>656</v>
      </c>
      <c r="B47" s="337" t="s">
        <v>636</v>
      </c>
      <c r="C47" s="329" t="s">
        <v>631</v>
      </c>
      <c r="D47" s="329">
        <v>5</v>
      </c>
      <c r="E47" s="327">
        <v>42</v>
      </c>
      <c r="F47" s="327">
        <v>26262.6</v>
      </c>
      <c r="G47" s="327">
        <v>27410.980000000003</v>
      </c>
      <c r="H47" s="328">
        <f t="shared" si="36"/>
      </c>
      <c r="I47" s="328">
        <f t="shared" si="38"/>
      </c>
      <c r="J47" s="328">
        <f t="shared" si="8"/>
      </c>
      <c r="K47" s="327">
        <v>4</v>
      </c>
      <c r="L47" s="327">
        <v>1571.6</v>
      </c>
      <c r="M47" s="327" t="s">
        <v>655</v>
      </c>
      <c r="N47" s="329">
        <v>10</v>
      </c>
      <c r="O47" s="329" t="s">
        <v>633</v>
      </c>
      <c r="P47" s="329">
        <v>10</v>
      </c>
    </row>
    <row hidden="true" r="48">
      <c r="A48" s="325" t="s">
        <v>656</v>
      </c>
      <c r="B48" s="337" t="s">
        <v>638</v>
      </c>
      <c r="C48" s="329" t="s">
        <v>635</v>
      </c>
      <c r="D48" s="329">
        <v>5</v>
      </c>
      <c r="E48" s="327">
        <v>55</v>
      </c>
      <c r="F48" s="327">
        <v>38315.8</v>
      </c>
      <c r="G48" s="327">
        <v>31646.77</v>
      </c>
      <c r="H48" s="328">
        <f t="shared" si="36"/>
      </c>
      <c r="I48" s="328">
        <f t="shared" si="38"/>
      </c>
      <c r="J48" s="328">
        <f>G47/E48</f>
      </c>
      <c r="K48" s="327">
        <v>10</v>
      </c>
      <c r="L48" s="327">
        <v>5210.8</v>
      </c>
      <c r="M48" s="329"/>
      <c r="N48" s="329"/>
      <c r="O48" s="332"/>
      <c r="P48" s="329"/>
    </row>
    <row hidden="true" r="49">
      <c r="A49" s="325" t="s">
        <v>656</v>
      </c>
      <c r="B49" s="337" t="s">
        <v>634</v>
      </c>
      <c r="C49" s="329" t="s">
        <v>637</v>
      </c>
      <c r="D49" s="329">
        <v>5</v>
      </c>
      <c r="E49" s="327">
        <v>28</v>
      </c>
      <c r="F49" s="327">
        <v>27358.799999999996</v>
      </c>
      <c r="G49" s="327">
        <v>16487.88</v>
      </c>
      <c r="H49" s="328">
        <f t="shared" si="36"/>
      </c>
      <c r="I49" s="328">
        <f t="shared" si="38"/>
      </c>
      <c r="J49" s="328">
        <f t="shared" ref="J49:J52" si="9">G49/E49</f>
      </c>
      <c r="K49" s="327">
        <v>3</v>
      </c>
      <c r="L49" s="327">
        <v>3268.8</v>
      </c>
      <c r="M49" s="329"/>
      <c r="N49" s="329"/>
      <c r="O49" s="329"/>
      <c r="P49" s="329"/>
    </row>
    <row hidden="true" r="50">
      <c r="A50" s="325" t="s">
        <v>656</v>
      </c>
      <c r="B50" s="337" t="s">
        <v>630</v>
      </c>
      <c r="C50" s="327" t="s">
        <v>643</v>
      </c>
      <c r="D50" s="327">
        <v>5</v>
      </c>
      <c r="E50" s="327">
        <v>36</v>
      </c>
      <c r="F50" s="327">
        <v>20294.800000000003</v>
      </c>
      <c r="G50" s="327">
        <v>20499.670000000002</v>
      </c>
      <c r="H50" s="328">
        <f t="shared" si="36"/>
      </c>
      <c r="I50" s="328">
        <f t="shared" si="38"/>
      </c>
      <c r="J50" s="328">
        <f t="shared" si="9"/>
      </c>
      <c r="K50" s="327">
        <v>2</v>
      </c>
      <c r="L50" s="327">
        <v>650.3999999999996</v>
      </c>
      <c r="M50" s="327" t="s">
        <v>640</v>
      </c>
      <c r="N50" s="327">
        <v>10</v>
      </c>
      <c r="O50" s="329" t="s">
        <v>641</v>
      </c>
      <c r="P50" s="329">
        <v>10</v>
      </c>
    </row>
    <row r="51">
      <c r="A51" s="333" t="s">
        <v>656</v>
      </c>
      <c r="B51" s="334"/>
      <c r="C51" s="334"/>
      <c r="D51" s="335">
        <f>SUM(D47:D50)</f>
      </c>
      <c r="E51" s="335">
        <f>SUM(E47:E50)</f>
      </c>
      <c r="F51" s="335">
        <f>SUM(F47:F50)</f>
      </c>
      <c r="G51" s="335">
        <f>SUM(G47:G50)</f>
      </c>
      <c r="H51" s="336">
        <f t="shared" si="36"/>
      </c>
      <c r="I51" s="336">
        <f t="shared" si="38"/>
      </c>
      <c r="J51" s="336">
        <f t="shared" si="9"/>
      </c>
      <c r="K51" s="335">
        <f>SUM(K47:K50)</f>
      </c>
      <c r="L51" s="335">
        <f>SUM(L47:L50)</f>
      </c>
      <c r="M51" s="334"/>
      <c r="N51" s="335">
        <f>SUM(N47:N50)</f>
      </c>
      <c r="O51" s="334"/>
      <c r="P51" s="334">
        <f>SUM(P47:P50)</f>
      </c>
    </row>
    <row hidden="true" r="52">
      <c r="A52" s="325" t="s">
        <v>657</v>
      </c>
      <c r="B52" s="337" t="s">
        <v>636</v>
      </c>
      <c r="C52" s="329" t="s">
        <v>631</v>
      </c>
      <c r="D52" s="329">
        <v>5</v>
      </c>
      <c r="E52" s="327">
        <v>54</v>
      </c>
      <c r="F52" s="327">
        <v>39376.58</v>
      </c>
      <c r="G52" s="327">
        <v>29234.86</v>
      </c>
      <c r="H52" s="328">
        <f t="shared" si="36"/>
      </c>
      <c r="I52" s="328">
        <f t="shared" si="38"/>
      </c>
      <c r="J52" s="328">
        <f t="shared" si="9"/>
      </c>
      <c r="K52" s="327">
        <v>5</v>
      </c>
      <c r="L52" s="327">
        <v>5220</v>
      </c>
      <c r="M52" s="327" t="s">
        <v>658</v>
      </c>
      <c r="N52" s="329">
        <v>10</v>
      </c>
      <c r="O52" s="329" t="s">
        <v>633</v>
      </c>
      <c r="P52" s="329">
        <v>10</v>
      </c>
    </row>
    <row hidden="true" r="53">
      <c r="A53" s="325" t="s">
        <v>657</v>
      </c>
      <c r="B53" s="337" t="s">
        <v>634</v>
      </c>
      <c r="C53" s="329" t="s">
        <v>635</v>
      </c>
      <c r="D53" s="329">
        <v>5</v>
      </c>
      <c r="E53" s="327">
        <v>25</v>
      </c>
      <c r="F53" s="327">
        <v>19108.400000000005</v>
      </c>
      <c r="G53" s="327">
        <v>23658.839999999997</v>
      </c>
      <c r="H53" s="328">
        <f t="shared" si="36"/>
      </c>
      <c r="I53" s="328">
        <f t="shared" si="38"/>
      </c>
      <c r="J53" s="328">
        <f>G52/E53</f>
      </c>
      <c r="K53" s="327">
        <v>6</v>
      </c>
      <c r="L53" s="327">
        <v>2753.6</v>
      </c>
      <c r="M53" s="329"/>
      <c r="N53" s="329"/>
      <c r="O53" s="332"/>
      <c r="P53" s="329"/>
    </row>
    <row hidden="true" r="54">
      <c r="A54" s="325" t="s">
        <v>657</v>
      </c>
      <c r="B54" s="337" t="s">
        <v>630</v>
      </c>
      <c r="C54" s="329" t="s">
        <v>637</v>
      </c>
      <c r="D54" s="329">
        <v>5</v>
      </c>
      <c r="E54" s="327">
        <v>27</v>
      </c>
      <c r="F54" s="327">
        <v>23569.999999999993</v>
      </c>
      <c r="G54" s="327">
        <v>14030.279999999999</v>
      </c>
      <c r="H54" s="328">
        <f t="shared" si="36"/>
      </c>
      <c r="I54" s="328">
        <f t="shared" si="38"/>
      </c>
      <c r="J54" s="328">
        <f t="shared" ref="J54:J57" si="10">G54/E54</f>
      </c>
      <c r="K54" s="327">
        <v>5</v>
      </c>
      <c r="L54" s="327">
        <v>3339.5999999999985</v>
      </c>
      <c r="M54" s="329"/>
      <c r="N54" s="329"/>
      <c r="O54" s="329"/>
      <c r="P54" s="329"/>
    </row>
    <row hidden="true" r="55">
      <c r="A55" s="325" t="s">
        <v>657</v>
      </c>
      <c r="B55" s="337" t="s">
        <v>638</v>
      </c>
      <c r="C55" s="327" t="s">
        <v>643</v>
      </c>
      <c r="D55" s="327">
        <v>5</v>
      </c>
      <c r="E55" s="327">
        <v>28</v>
      </c>
      <c r="F55" s="327">
        <v>21120.040000000008</v>
      </c>
      <c r="G55" s="327">
        <v>18005.33</v>
      </c>
      <c r="H55" s="328">
        <f t="shared" si="36"/>
      </c>
      <c r="I55" s="328">
        <f t="shared" si="38"/>
      </c>
      <c r="J55" s="328">
        <f t="shared" si="10"/>
      </c>
      <c r="K55" s="327">
        <v>5</v>
      </c>
      <c r="L55" s="327">
        <v>6675.160000000002</v>
      </c>
      <c r="M55" s="327" t="s">
        <v>640</v>
      </c>
      <c r="N55" s="327">
        <v>10</v>
      </c>
      <c r="O55" s="329" t="s">
        <v>641</v>
      </c>
      <c r="P55" s="329">
        <v>10</v>
      </c>
    </row>
    <row r="56">
      <c r="A56" s="333" t="s">
        <v>657</v>
      </c>
      <c r="B56" s="334"/>
      <c r="C56" s="334"/>
      <c r="D56" s="335">
        <f>SUM(D52:D55)</f>
      </c>
      <c r="E56" s="335">
        <f>SUM(E52:E55)</f>
      </c>
      <c r="F56" s="335">
        <f>SUM(F52:F55)</f>
      </c>
      <c r="G56" s="335">
        <f>SUM(G52:G55)</f>
      </c>
      <c r="H56" s="336">
        <f t="shared" si="36"/>
      </c>
      <c r="I56" s="336">
        <f t="shared" si="38"/>
      </c>
      <c r="J56" s="336">
        <f t="shared" si="10"/>
      </c>
      <c r="K56" s="335">
        <f>SUM(K52:K55)</f>
      </c>
      <c r="L56" s="335">
        <f>SUM(L52:L55)</f>
      </c>
      <c r="M56" s="334"/>
      <c r="N56" s="335">
        <f>SUM(N52:N55)</f>
      </c>
      <c r="O56" s="334"/>
      <c r="P56" s="334">
        <f>SUM(P52:P55)</f>
      </c>
    </row>
    <row hidden="true" r="57">
      <c r="A57" s="325" t="s">
        <v>659</v>
      </c>
      <c r="B57" s="337" t="s">
        <v>634</v>
      </c>
      <c r="C57" s="329" t="s">
        <v>631</v>
      </c>
      <c r="D57" s="329">
        <v>5</v>
      </c>
      <c r="E57" s="327">
        <v>15</v>
      </c>
      <c r="F57" s="327">
        <v>9554</v>
      </c>
      <c r="G57" s="327">
        <v>10349.91</v>
      </c>
      <c r="H57" s="328">
        <f t="shared" si="36"/>
      </c>
      <c r="I57" s="328">
        <f t="shared" si="38"/>
      </c>
      <c r="J57" s="328">
        <f t="shared" si="10"/>
      </c>
      <c r="K57" s="327">
        <v>1</v>
      </c>
      <c r="L57" s="327">
        <v>2407.2</v>
      </c>
      <c r="M57" s="327" t="s">
        <v>658</v>
      </c>
      <c r="N57" s="329">
        <v>10</v>
      </c>
      <c r="O57" s="329" t="s">
        <v>633</v>
      </c>
      <c r="P57" s="329">
        <v>10</v>
      </c>
    </row>
    <row hidden="true" r="58">
      <c r="A58" s="325" t="s">
        <v>659</v>
      </c>
      <c r="B58" s="337" t="s">
        <v>630</v>
      </c>
      <c r="C58" s="329" t="s">
        <v>635</v>
      </c>
      <c r="D58" s="329">
        <v>5</v>
      </c>
      <c r="E58" s="327">
        <v>20</v>
      </c>
      <c r="F58" s="327">
        <v>15220.399999999998</v>
      </c>
      <c r="G58" s="327">
        <v>13344.7</v>
      </c>
      <c r="H58" s="328">
        <f t="shared" si="36"/>
      </c>
      <c r="I58" s="328">
        <f t="shared" si="38"/>
      </c>
      <c r="J58" s="328">
        <f>G57/E58</f>
      </c>
      <c r="K58" s="327">
        <v>4</v>
      </c>
      <c r="L58" s="327">
        <v>2919.6</v>
      </c>
      <c r="M58" s="329"/>
      <c r="N58" s="329"/>
      <c r="O58" s="332"/>
      <c r="P58" s="329"/>
    </row>
    <row hidden="true" r="59">
      <c r="A59" s="325" t="s">
        <v>659</v>
      </c>
      <c r="B59" s="337" t="s">
        <v>636</v>
      </c>
      <c r="C59" s="327" t="s">
        <v>660</v>
      </c>
      <c r="D59" s="327">
        <v>4</v>
      </c>
      <c r="E59" s="327">
        <v>26</v>
      </c>
      <c r="F59" s="327">
        <v>17012.589999999997</v>
      </c>
      <c r="G59" s="327">
        <v>9845.04</v>
      </c>
      <c r="H59" s="328">
        <f t="shared" si="36"/>
      </c>
      <c r="I59" s="328">
        <f t="shared" si="38"/>
      </c>
      <c r="J59" s="328">
        <f t="shared" ref="J59:J63" si="11">G59/E59</f>
      </c>
      <c r="K59" s="327">
        <v>5</v>
      </c>
      <c r="L59" s="327">
        <v>3969</v>
      </c>
      <c r="M59" s="340"/>
      <c r="N59" s="340"/>
      <c r="O59" s="340"/>
      <c r="P59" s="340"/>
    </row>
    <row hidden="true" r="60">
      <c r="A60" s="325" t="s">
        <v>659</v>
      </c>
      <c r="B60" s="337" t="s">
        <v>661</v>
      </c>
      <c r="C60" s="327" t="s">
        <v>662</v>
      </c>
      <c r="D60" s="327">
        <v>2</v>
      </c>
      <c r="E60" s="327">
        <v>29</v>
      </c>
      <c r="F60" s="327">
        <v>24712.799999999996</v>
      </c>
      <c r="G60" s="327">
        <v>10995.04</v>
      </c>
      <c r="H60" s="328">
        <f t="shared" si="36"/>
      </c>
      <c r="I60" s="328">
        <f t="shared" si="38"/>
      </c>
      <c r="J60" s="328">
        <f t="shared" si="11"/>
      </c>
      <c r="K60" s="327">
        <v>3</v>
      </c>
      <c r="L60" s="341">
        <v>2882.4000000000015</v>
      </c>
      <c r="M60" s="342"/>
      <c r="N60" s="342"/>
      <c r="O60" s="342"/>
      <c r="P60" s="342"/>
    </row>
    <row customHeight="true" hidden="true" ht="16.071428571428573" r="61">
      <c r="A61" s="325" t="s">
        <v>659</v>
      </c>
      <c r="B61" s="337" t="s">
        <v>638</v>
      </c>
      <c r="C61" s="327" t="s">
        <v>663</v>
      </c>
      <c r="D61" s="327">
        <v>4</v>
      </c>
      <c r="E61" s="327">
        <v>34</v>
      </c>
      <c r="F61" s="327">
        <v>27123.800000000003</v>
      </c>
      <c r="G61" s="327">
        <v>15711.26</v>
      </c>
      <c r="H61" s="328">
        <f t="shared" si="36"/>
      </c>
      <c r="I61" s="328">
        <f t="shared" si="38"/>
      </c>
      <c r="J61" s="328">
        <f t="shared" si="11"/>
      </c>
      <c r="K61" s="327">
        <v>7</v>
      </c>
      <c r="L61" s="327">
        <v>6220.599999999997</v>
      </c>
      <c r="M61" s="343" t="s">
        <v>640</v>
      </c>
      <c r="N61" s="343">
        <v>10</v>
      </c>
      <c r="O61" s="344" t="s">
        <v>641</v>
      </c>
      <c r="P61" s="344">
        <v>10</v>
      </c>
    </row>
    <row r="62">
      <c r="A62" s="333" t="s">
        <v>659</v>
      </c>
      <c r="B62" s="334"/>
      <c r="C62" s="334"/>
      <c r="D62" s="335">
        <f>SUM(D57:D61)</f>
      </c>
      <c r="E62" s="335">
        <f>SUM(E57:E61)</f>
      </c>
      <c r="F62" s="335">
        <f>SUM(F57:F61)</f>
      </c>
      <c r="G62" s="335">
        <f>SUM(G57:G61)</f>
      </c>
      <c r="H62" s="336">
        <f t="shared" si="36"/>
      </c>
      <c r="I62" s="336">
        <f t="shared" si="38"/>
      </c>
      <c r="J62" s="336">
        <f t="shared" si="11"/>
      </c>
      <c r="K62" s="335">
        <f>SUM(K57:K61)</f>
      </c>
      <c r="L62" s="335">
        <f>SUM(L57:L61)</f>
      </c>
      <c r="M62" s="334"/>
      <c r="N62" s="335">
        <f>SUM(N57:N61)</f>
      </c>
      <c r="O62" s="334"/>
      <c r="P62" s="334">
        <f>SUM(P57:P61)</f>
      </c>
    </row>
    <row hidden="true" r="63">
      <c r="A63" s="325" t="s">
        <v>664</v>
      </c>
      <c r="B63" s="337" t="s">
        <v>630</v>
      </c>
      <c r="C63" s="329" t="s">
        <v>631</v>
      </c>
      <c r="D63" s="329">
        <v>5</v>
      </c>
      <c r="E63" s="327">
        <v>29</v>
      </c>
      <c r="F63" s="327">
        <v>18421.4</v>
      </c>
      <c r="G63" s="327">
        <v>16776.57</v>
      </c>
      <c r="H63" s="328">
        <f t="shared" si="36"/>
      </c>
      <c r="I63" s="328">
        <f t="shared" si="38"/>
      </c>
      <c r="J63" s="328">
        <f t="shared" si="11"/>
      </c>
      <c r="K63" s="327">
        <v>3</v>
      </c>
      <c r="L63" s="327">
        <v>3033.4000000000005</v>
      </c>
      <c r="M63" s="327" t="s">
        <v>658</v>
      </c>
      <c r="N63" s="329">
        <v>10</v>
      </c>
      <c r="O63" s="329" t="s">
        <v>633</v>
      </c>
      <c r="P63" s="329">
        <v>10</v>
      </c>
    </row>
    <row hidden="true" r="64">
      <c r="A64" s="325" t="s">
        <v>664</v>
      </c>
      <c r="B64" s="337" t="s">
        <v>636</v>
      </c>
      <c r="C64" s="329" t="s">
        <v>635</v>
      </c>
      <c r="D64" s="329">
        <v>5</v>
      </c>
      <c r="E64" s="327">
        <v>34</v>
      </c>
      <c r="F64" s="327">
        <v>18245.72</v>
      </c>
      <c r="G64" s="327">
        <v>20918.13</v>
      </c>
      <c r="H64" s="328">
        <f t="shared" si="36"/>
      </c>
      <c r="I64" s="328">
        <f t="shared" si="38"/>
      </c>
      <c r="J64" s="328">
        <f>G63/E64</f>
      </c>
      <c r="K64" s="327">
        <v>4</v>
      </c>
      <c r="L64" s="327">
        <v>1316.3999999999999</v>
      </c>
      <c r="M64" s="329"/>
      <c r="N64" s="329"/>
      <c r="O64" s="332"/>
      <c r="P64" s="329"/>
    </row>
    <row hidden="true" r="65">
      <c r="A65" s="325" t="s">
        <v>664</v>
      </c>
      <c r="B65" s="337" t="s">
        <v>634</v>
      </c>
      <c r="C65" s="327" t="s">
        <v>660</v>
      </c>
      <c r="D65" s="327">
        <v>4</v>
      </c>
      <c r="E65" s="327">
        <v>12</v>
      </c>
      <c r="F65" s="327">
        <v>9886.799999999996</v>
      </c>
      <c r="G65" s="327">
        <v>10255.14</v>
      </c>
      <c r="H65" s="328">
        <f t="shared" si="36"/>
      </c>
      <c r="I65" s="328">
        <f t="shared" si="38"/>
      </c>
      <c r="J65" s="328">
        <f t="shared" ref="J65:J69" si="12">G65/E65</f>
      </c>
      <c r="K65" s="327">
        <v>3</v>
      </c>
      <c r="L65" s="327">
        <v>4706.6</v>
      </c>
      <c r="M65" s="340"/>
      <c r="N65" s="340"/>
      <c r="O65" s="340"/>
      <c r="P65" s="340"/>
    </row>
    <row hidden="true" r="66">
      <c r="A66" s="325" t="s">
        <v>664</v>
      </c>
      <c r="B66" s="337" t="s">
        <v>661</v>
      </c>
      <c r="C66" s="327" t="s">
        <v>662</v>
      </c>
      <c r="D66" s="327">
        <v>2</v>
      </c>
      <c r="E66" s="327">
        <v>18</v>
      </c>
      <c r="F66" s="327">
        <v>10500.599999999999</v>
      </c>
      <c r="G66" s="327">
        <v>9955.260000000002</v>
      </c>
      <c r="H66" s="328">
        <f t="shared" si="36"/>
      </c>
      <c r="I66" s="328">
        <f t="shared" si="38"/>
      </c>
      <c r="J66" s="328">
        <f t="shared" si="12"/>
      </c>
      <c r="K66" s="327">
        <v>2</v>
      </c>
      <c r="L66" s="341">
        <v>967.1999999999998</v>
      </c>
      <c r="M66" s="342"/>
      <c r="N66" s="342"/>
      <c r="O66" s="342"/>
      <c r="P66" s="342"/>
    </row>
    <row hidden="true" r="67">
      <c r="A67" s="325" t="s">
        <v>664</v>
      </c>
      <c r="B67" s="337" t="s">
        <v>638</v>
      </c>
      <c r="C67" s="327" t="s">
        <v>663</v>
      </c>
      <c r="D67" s="327">
        <v>4</v>
      </c>
      <c r="E67" s="327">
        <v>20</v>
      </c>
      <c r="F67" s="327">
        <v>12546.200000000004</v>
      </c>
      <c r="G67" s="327">
        <v>12431.9</v>
      </c>
      <c r="H67" s="328">
        <f t="shared" si="36"/>
      </c>
      <c r="I67" s="328">
        <f t="shared" si="38"/>
      </c>
      <c r="J67" s="328">
        <f t="shared" si="12"/>
      </c>
      <c r="K67" s="327">
        <v>0</v>
      </c>
      <c r="L67" s="327">
        <v>0</v>
      </c>
      <c r="M67" s="343" t="s">
        <v>640</v>
      </c>
      <c r="N67" s="343">
        <v>10</v>
      </c>
      <c r="O67" s="344" t="s">
        <v>641</v>
      </c>
      <c r="P67" s="344">
        <v>10</v>
      </c>
    </row>
    <row r="68">
      <c r="A68" s="333" t="s">
        <v>664</v>
      </c>
      <c r="B68" s="334"/>
      <c r="C68" s="334"/>
      <c r="D68" s="335">
        <f>SUM(D63:D67)</f>
      </c>
      <c r="E68" s="335">
        <f>SUM(E63:E67)</f>
      </c>
      <c r="F68" s="335">
        <f>SUM(F63:F67)</f>
      </c>
      <c r="G68" s="335">
        <f>SUM(G63:G67)</f>
      </c>
      <c r="H68" s="336">
        <f t="shared" si="36"/>
      </c>
      <c r="I68" s="336">
        <f t="shared" si="38"/>
      </c>
      <c r="J68" s="336">
        <f t="shared" si="12"/>
      </c>
      <c r="K68" s="335">
        <f>SUM(K63:K67)</f>
      </c>
      <c r="L68" s="335">
        <f>SUM(L63:L67)</f>
      </c>
      <c r="M68" s="334"/>
      <c r="N68" s="335">
        <f>SUM(N63:N67)</f>
      </c>
      <c r="O68" s="334"/>
      <c r="P68" s="334">
        <f>SUM(P63:P67)</f>
      </c>
    </row>
    <row hidden="true" r="69">
      <c r="A69" s="325" t="s">
        <v>665</v>
      </c>
      <c r="B69" s="337" t="s">
        <v>630</v>
      </c>
      <c r="C69" s="327" t="s">
        <v>666</v>
      </c>
      <c r="D69" s="327">
        <v>6</v>
      </c>
      <c r="E69" s="327">
        <v>22</v>
      </c>
      <c r="F69" s="327">
        <v>15390.2</v>
      </c>
      <c r="G69" s="327">
        <v>21144.28</v>
      </c>
      <c r="H69" s="328">
        <f t="shared" si="36"/>
      </c>
      <c r="I69" s="328">
        <f t="shared" si="38"/>
      </c>
      <c r="J69" s="328">
        <f t="shared" si="12"/>
      </c>
      <c r="K69" s="327">
        <v>4</v>
      </c>
      <c r="L69" s="327">
        <v>2704.8</v>
      </c>
      <c r="M69" s="327" t="s">
        <v>658</v>
      </c>
      <c r="N69" s="329">
        <v>10</v>
      </c>
      <c r="O69" s="329" t="s">
        <v>633</v>
      </c>
      <c r="P69" s="329">
        <v>10</v>
      </c>
    </row>
    <row hidden="true" r="70">
      <c r="A70" s="325" t="s">
        <v>665</v>
      </c>
      <c r="B70" s="337" t="s">
        <v>634</v>
      </c>
      <c r="C70" s="327" t="s">
        <v>667</v>
      </c>
      <c r="D70" s="327">
        <v>6</v>
      </c>
      <c r="E70" s="327">
        <v>40</v>
      </c>
      <c r="F70" s="327">
        <v>28430.399999999998</v>
      </c>
      <c r="G70" s="327">
        <v>24115.57</v>
      </c>
      <c r="H70" s="328">
        <f t="shared" si="36"/>
      </c>
      <c r="I70" s="328">
        <f t="shared" si="38"/>
      </c>
      <c r="J70" s="328">
        <f>G69/E70</f>
      </c>
      <c r="K70" s="327">
        <v>7</v>
      </c>
      <c r="L70" s="327">
        <v>5596.8</v>
      </c>
      <c r="M70" s="329"/>
      <c r="N70" s="329"/>
      <c r="O70" s="332"/>
      <c r="P70" s="329"/>
    </row>
    <row hidden="true" r="71">
      <c r="A71" s="325" t="s">
        <v>665</v>
      </c>
      <c r="B71" s="337" t="s">
        <v>661</v>
      </c>
      <c r="C71" s="327" t="s">
        <v>668</v>
      </c>
      <c r="D71" s="327">
        <v>3</v>
      </c>
      <c r="E71" s="327">
        <v>19</v>
      </c>
      <c r="F71" s="327">
        <v>12524.600000000006</v>
      </c>
      <c r="G71" s="327">
        <v>11458.189999999999</v>
      </c>
      <c r="H71" s="328">
        <f t="shared" si="36"/>
      </c>
      <c r="I71" s="328">
        <f t="shared" si="38"/>
      </c>
      <c r="J71" s="328">
        <f t="shared" ref="J71:J74" si="13">G71/E71</f>
      </c>
      <c r="K71" s="327">
        <v>0</v>
      </c>
      <c r="L71" s="341">
        <v>0</v>
      </c>
      <c r="M71" s="342"/>
      <c r="N71" s="342"/>
      <c r="O71" s="342"/>
      <c r="P71" s="342"/>
    </row>
    <row hidden="true" r="72">
      <c r="A72" s="325" t="s">
        <v>665</v>
      </c>
      <c r="B72" s="337" t="s">
        <v>638</v>
      </c>
      <c r="C72" s="327" t="s">
        <v>643</v>
      </c>
      <c r="D72" s="327">
        <v>5</v>
      </c>
      <c r="E72" s="327">
        <v>24</v>
      </c>
      <c r="F72" s="327">
        <v>23671.40000000001</v>
      </c>
      <c r="G72" s="327">
        <v>14194.619999999999</v>
      </c>
      <c r="H72" s="328">
        <f t="shared" si="36"/>
      </c>
      <c r="I72" s="328">
        <f t="shared" si="38"/>
      </c>
      <c r="J72" s="328">
        <f t="shared" si="13"/>
      </c>
      <c r="K72" s="327">
        <v>2</v>
      </c>
      <c r="L72" s="327">
        <v>2498.3999999999996</v>
      </c>
      <c r="M72" s="343" t="s">
        <v>640</v>
      </c>
      <c r="N72" s="343">
        <v>10</v>
      </c>
      <c r="O72" s="344" t="s">
        <v>641</v>
      </c>
      <c r="P72" s="344">
        <v>10</v>
      </c>
    </row>
    <row r="73">
      <c r="A73" s="333" t="s">
        <v>665</v>
      </c>
      <c r="B73" s="334"/>
      <c r="C73" s="334"/>
      <c r="D73" s="335">
        <f>SUM(D69:D72)</f>
      </c>
      <c r="E73" s="335">
        <f>SUM(E69:E72)</f>
      </c>
      <c r="F73" s="335">
        <f>SUM(F69:F72)</f>
      </c>
      <c r="G73" s="335">
        <f>SUM(G69:G72)</f>
      </c>
      <c r="H73" s="336">
        <f t="shared" si="36"/>
      </c>
      <c r="I73" s="336">
        <f t="shared" si="38"/>
      </c>
      <c r="J73" s="336">
        <f t="shared" si="13"/>
      </c>
      <c r="K73" s="335">
        <f>SUM(K69:K72)</f>
      </c>
      <c r="L73" s="335">
        <f>SUM(L69:L72)</f>
      </c>
      <c r="M73" s="334"/>
      <c r="N73" s="335">
        <f>SUM(N69:N72)</f>
      </c>
      <c r="O73" s="334"/>
      <c r="P73" s="334">
        <f>SUM(P69:P72)</f>
      </c>
    </row>
    <row hidden="true" r="74">
      <c r="A74" s="325" t="s">
        <v>669</v>
      </c>
      <c r="B74" s="337" t="s">
        <v>630</v>
      </c>
      <c r="C74" s="327" t="s">
        <v>631</v>
      </c>
      <c r="D74" s="327">
        <v>5</v>
      </c>
      <c r="E74" s="327">
        <v>19</v>
      </c>
      <c r="F74" s="327">
        <v>16703.69</v>
      </c>
      <c r="G74" s="327">
        <v>16061.16</v>
      </c>
      <c r="H74" s="328">
        <f t="shared" si="36"/>
      </c>
      <c r="I74" s="328">
        <f t="shared" si="38"/>
      </c>
      <c r="J74" s="328">
        <f t="shared" si="13"/>
      </c>
      <c r="K74" s="327">
        <v>4</v>
      </c>
      <c r="L74" s="327">
        <v>4410.799999999999</v>
      </c>
      <c r="M74" s="327" t="s">
        <v>658</v>
      </c>
      <c r="N74" s="329">
        <v>10</v>
      </c>
      <c r="O74" s="329" t="s">
        <v>633</v>
      </c>
      <c r="P74" s="329">
        <v>10</v>
      </c>
    </row>
    <row hidden="true" r="75">
      <c r="A75" s="325" t="s">
        <v>669</v>
      </c>
      <c r="B75" s="337" t="s">
        <v>634</v>
      </c>
      <c r="C75" s="327" t="s">
        <v>670</v>
      </c>
      <c r="D75" s="327">
        <v>6</v>
      </c>
      <c r="E75" s="327">
        <v>22</v>
      </c>
      <c r="F75" s="327">
        <v>20732.2</v>
      </c>
      <c r="G75" s="327">
        <v>16557.760000000002</v>
      </c>
      <c r="H75" s="328">
        <f t="shared" si="36"/>
      </c>
      <c r="I75" s="328">
        <f t="shared" si="38"/>
      </c>
      <c r="J75" s="328">
        <f>G74/E75</f>
      </c>
      <c r="K75" s="327">
        <v>2</v>
      </c>
      <c r="L75" s="327">
        <v>3033</v>
      </c>
      <c r="M75" s="329"/>
      <c r="N75" s="329"/>
      <c r="O75" s="332"/>
      <c r="P75" s="329"/>
    </row>
    <row hidden="true" r="76">
      <c r="A76" s="325" t="s">
        <v>669</v>
      </c>
      <c r="B76" s="337" t="s">
        <v>661</v>
      </c>
      <c r="C76" s="327" t="s">
        <v>671</v>
      </c>
      <c r="D76" s="327">
        <v>3</v>
      </c>
      <c r="E76" s="327">
        <v>4</v>
      </c>
      <c r="F76" s="327">
        <v>3903.5999999999985</v>
      </c>
      <c r="G76" s="327">
        <v>4251.89</v>
      </c>
      <c r="H76" s="328">
        <f t="shared" si="36"/>
      </c>
      <c r="I76" s="328">
        <f t="shared" si="38"/>
      </c>
      <c r="J76" s="328">
        <f t="shared" ref="J76:J79" si="14">G76/E76</f>
      </c>
      <c r="K76" s="327">
        <v>0</v>
      </c>
      <c r="L76" s="341">
        <v>0</v>
      </c>
      <c r="M76" s="342"/>
      <c r="N76" s="342"/>
      <c r="O76" s="342"/>
      <c r="P76" s="342"/>
    </row>
    <row hidden="true" r="77">
      <c r="A77" s="325" t="s">
        <v>669</v>
      </c>
      <c r="B77" s="337" t="s">
        <v>638</v>
      </c>
      <c r="C77" s="327" t="s">
        <v>672</v>
      </c>
      <c r="D77" s="327">
        <v>6</v>
      </c>
      <c r="E77" s="327">
        <v>25</v>
      </c>
      <c r="F77" s="327">
        <v>17494.799999999996</v>
      </c>
      <c r="G77" s="327">
        <v>14230.710000000001</v>
      </c>
      <c r="H77" s="328">
        <f t="shared" si="36"/>
      </c>
      <c r="I77" s="328">
        <f t="shared" si="38"/>
      </c>
      <c r="J77" s="328">
        <f t="shared" si="14"/>
      </c>
      <c r="K77" s="327">
        <v>4</v>
      </c>
      <c r="L77" s="327">
        <v>4282.800000000002</v>
      </c>
      <c r="M77" s="343" t="s">
        <v>640</v>
      </c>
      <c r="N77" s="343">
        <v>10</v>
      </c>
      <c r="O77" s="344" t="s">
        <v>641</v>
      </c>
      <c r="P77" s="344">
        <v>10</v>
      </c>
    </row>
    <row r="78">
      <c r="A78" s="333" t="s">
        <v>669</v>
      </c>
      <c r="B78" s="334"/>
      <c r="C78" s="334"/>
      <c r="D78" s="335">
        <f>SUM(D74:D77)</f>
      </c>
      <c r="E78" s="335">
        <f>SUM(E74:E77)</f>
      </c>
      <c r="F78" s="335">
        <f>SUM(F74:F77)</f>
      </c>
      <c r="G78" s="335">
        <f>SUM(G74:G77)</f>
      </c>
      <c r="H78" s="336">
        <f t="shared" si="36"/>
      </c>
      <c r="I78" s="336">
        <f t="shared" si="38"/>
      </c>
      <c r="J78" s="336">
        <f t="shared" si="14"/>
      </c>
      <c r="K78" s="335">
        <f>SUM(K74:K77)</f>
      </c>
      <c r="L78" s="335">
        <f>SUM(L74:L77)</f>
      </c>
      <c r="M78" s="334"/>
      <c r="N78" s="335">
        <f>SUM(N74:N77)</f>
      </c>
      <c r="O78" s="334"/>
      <c r="P78" s="334">
        <f>SUM(P74:P77)</f>
      </c>
    </row>
    <row hidden="true" r="79">
      <c r="A79" s="325" t="s">
        <v>673</v>
      </c>
      <c r="B79" s="337" t="s">
        <v>630</v>
      </c>
      <c r="C79" s="327" t="s">
        <v>631</v>
      </c>
      <c r="D79" s="327">
        <v>5</v>
      </c>
      <c r="E79" s="327">
        <v>16</v>
      </c>
      <c r="F79" s="327">
        <v>9459.4</v>
      </c>
      <c r="G79" s="327">
        <v>11624.62</v>
      </c>
      <c r="H79" s="328">
        <f t="shared" si="36"/>
      </c>
      <c r="I79" s="328">
        <f t="shared" si="38"/>
      </c>
      <c r="J79" s="328">
        <f t="shared" si="14"/>
      </c>
      <c r="K79" s="327">
        <v>5</v>
      </c>
      <c r="L79" s="327">
        <v>3278.1999999999994</v>
      </c>
      <c r="M79" s="327" t="s">
        <v>658</v>
      </c>
      <c r="N79" s="329">
        <v>10</v>
      </c>
      <c r="O79" s="340" t="s">
        <v>633</v>
      </c>
      <c r="P79" s="329">
        <v>10</v>
      </c>
    </row>
    <row hidden="true" r="80">
      <c r="A80" s="325" t="s">
        <v>673</v>
      </c>
      <c r="B80" s="337" t="s">
        <v>634</v>
      </c>
      <c r="C80" s="327" t="s">
        <v>635</v>
      </c>
      <c r="D80" s="327">
        <v>5</v>
      </c>
      <c r="E80" s="327">
        <v>72</v>
      </c>
      <c r="F80" s="327">
        <v>44025.380000000005</v>
      </c>
      <c r="G80" s="327">
        <v>34572.47</v>
      </c>
      <c r="H80" s="328">
        <f t="shared" si="36"/>
      </c>
      <c r="I80" s="328">
        <f t="shared" si="38"/>
      </c>
      <c r="J80" s="328">
        <f t="shared" ref="J80:J81" si="31">G79/E80</f>
      </c>
      <c r="K80" s="327">
        <v>19</v>
      </c>
      <c r="L80" s="327">
        <v>12644.49</v>
      </c>
      <c r="M80" s="329"/>
      <c r="N80" s="345"/>
      <c r="O80" s="346"/>
      <c r="P80" s="347"/>
    </row>
    <row customHeight="true" hidden="true" ht="16.071428571428573" r="81">
      <c r="A81" s="325" t="s">
        <v>673</v>
      </c>
      <c r="B81" s="337" t="s">
        <v>636</v>
      </c>
      <c r="C81" s="327" t="s">
        <v>660</v>
      </c>
      <c r="D81" s="327">
        <v>4</v>
      </c>
      <c r="E81" s="327">
        <v>37</v>
      </c>
      <c r="F81" s="327">
        <v>26068.999999999993</v>
      </c>
      <c r="G81" s="327">
        <v>22854.98</v>
      </c>
      <c r="H81" s="328">
        <f t="shared" si="36"/>
      </c>
      <c r="I81" s="328">
        <f t="shared" si="38"/>
      </c>
      <c r="J81" s="328">
        <f t="shared" si="31"/>
      </c>
      <c r="K81" s="327">
        <v>5</v>
      </c>
      <c r="L81" s="327">
        <v>5826.600000000002</v>
      </c>
      <c r="M81" s="329"/>
      <c r="N81" s="345"/>
      <c r="O81" s="346"/>
      <c r="P81" s="347"/>
    </row>
    <row hidden="true" r="82">
      <c r="A82" s="325" t="s">
        <v>673</v>
      </c>
      <c r="B82" s="337" t="s">
        <v>661</v>
      </c>
      <c r="C82" s="327" t="s">
        <v>662</v>
      </c>
      <c r="D82" s="327">
        <v>2</v>
      </c>
      <c r="E82" s="327">
        <v>36</v>
      </c>
      <c r="F82" s="327">
        <v>24919.800000000003</v>
      </c>
      <c r="G82" s="327">
        <v>20216.75</v>
      </c>
      <c r="H82" s="328">
        <f t="shared" si="36"/>
      </c>
      <c r="I82" s="328">
        <f t="shared" si="38"/>
      </c>
      <c r="J82" s="328">
        <f t="shared" ref="J82:J85" si="15">G82/E82</f>
      </c>
      <c r="K82" s="327">
        <v>7</v>
      </c>
      <c r="L82" s="341">
        <v>4976.999999999998</v>
      </c>
      <c r="M82" s="342"/>
      <c r="N82" s="342"/>
      <c r="O82" s="348"/>
      <c r="P82" s="342"/>
    </row>
    <row hidden="true" r="83">
      <c r="A83" s="325" t="s">
        <v>673</v>
      </c>
      <c r="B83" s="337" t="s">
        <v>638</v>
      </c>
      <c r="C83" s="327" t="s">
        <v>663</v>
      </c>
      <c r="D83" s="327">
        <v>4</v>
      </c>
      <c r="E83" s="327">
        <v>48</v>
      </c>
      <c r="F83" s="327">
        <v>38620.59999999999</v>
      </c>
      <c r="G83" s="327">
        <v>32660.219999999998</v>
      </c>
      <c r="H83" s="328">
        <f t="shared" si="36"/>
      </c>
      <c r="I83" s="328">
        <f t="shared" si="38"/>
      </c>
      <c r="J83" s="328">
        <f t="shared" si="15"/>
      </c>
      <c r="K83" s="327">
        <v>6</v>
      </c>
      <c r="L83" s="327">
        <v>3054.5999999999985</v>
      </c>
      <c r="M83" s="343" t="s">
        <v>640</v>
      </c>
      <c r="N83" s="343">
        <v>10</v>
      </c>
      <c r="O83" s="344" t="s">
        <v>641</v>
      </c>
      <c r="P83" s="344">
        <v>10</v>
      </c>
    </row>
    <row r="84">
      <c r="A84" s="333" t="s">
        <v>673</v>
      </c>
      <c r="B84" s="334"/>
      <c r="C84" s="334"/>
      <c r="D84" s="335">
        <f>SUM(D79:D83)</f>
      </c>
      <c r="E84" s="335">
        <f>SUM(E79:E83)</f>
      </c>
      <c r="F84" s="335">
        <f>SUM(F79:F83)</f>
      </c>
      <c r="G84" s="335">
        <f>SUM(G79:G83)</f>
      </c>
      <c r="H84" s="336">
        <f t="shared" si="36"/>
      </c>
      <c r="I84" s="336">
        <f t="shared" si="38"/>
      </c>
      <c r="J84" s="336">
        <f t="shared" si="15"/>
      </c>
      <c r="K84" s="335">
        <f>SUM(K79:K83)</f>
      </c>
      <c r="L84" s="335">
        <f>SUM(L79:L83)</f>
      </c>
      <c r="M84" s="334"/>
      <c r="N84" s="335">
        <f>SUM(N79:N83)</f>
      </c>
      <c r="O84" s="334"/>
      <c r="P84" s="334">
        <f>SUM(P79:P83)</f>
      </c>
    </row>
    <row hidden="true" r="85">
      <c r="A85" s="325" t="s">
        <v>674</v>
      </c>
      <c r="B85" s="337" t="s">
        <v>636</v>
      </c>
      <c r="C85" s="327" t="s">
        <v>631</v>
      </c>
      <c r="D85" s="327">
        <v>5</v>
      </c>
      <c r="E85" s="327">
        <v>44</v>
      </c>
      <c r="F85" s="327">
        <v>31266.4</v>
      </c>
      <c r="G85" s="327">
        <v>22768.96</v>
      </c>
      <c r="H85" s="328">
        <f t="shared" si="36"/>
      </c>
      <c r="I85" s="328">
        <f t="shared" si="38"/>
      </c>
      <c r="J85" s="328">
        <f t="shared" si="15"/>
      </c>
      <c r="K85" s="327">
        <v>9</v>
      </c>
      <c r="L85" s="327">
        <v>8289.8</v>
      </c>
      <c r="M85" s="327" t="s">
        <v>658</v>
      </c>
      <c r="N85" s="329">
        <v>10</v>
      </c>
      <c r="O85" s="340" t="s">
        <v>633</v>
      </c>
      <c r="P85" s="329">
        <v>10</v>
      </c>
    </row>
    <row hidden="true" r="86">
      <c r="A86" s="325" t="s">
        <v>674</v>
      </c>
      <c r="B86" s="337" t="s">
        <v>638</v>
      </c>
      <c r="C86" s="327" t="s">
        <v>635</v>
      </c>
      <c r="D86" s="327">
        <v>5</v>
      </c>
      <c r="E86" s="327">
        <v>32</v>
      </c>
      <c r="F86" s="327">
        <v>22318.999999999996</v>
      </c>
      <c r="G86" s="327">
        <v>24827.949999999997</v>
      </c>
      <c r="H86" s="328">
        <f t="shared" si="36"/>
      </c>
      <c r="I86" s="328">
        <f t="shared" si="38"/>
      </c>
      <c r="J86" s="328">
        <f t="shared" ref="J86:J87" si="32">G85/E86</f>
      </c>
      <c r="K86" s="327">
        <v>4</v>
      </c>
      <c r="L86" s="327">
        <v>2849.6</v>
      </c>
      <c r="M86" s="329"/>
      <c r="N86" s="345"/>
      <c r="O86" s="346"/>
      <c r="P86" s="347"/>
    </row>
    <row hidden="true" r="87">
      <c r="A87" s="325" t="s">
        <v>674</v>
      </c>
      <c r="B87" s="337" t="s">
        <v>630</v>
      </c>
      <c r="C87" s="327" t="s">
        <v>660</v>
      </c>
      <c r="D87" s="327">
        <v>4</v>
      </c>
      <c r="E87" s="327">
        <v>9</v>
      </c>
      <c r="F87" s="327">
        <v>5624.600000000006</v>
      </c>
      <c r="G87" s="327">
        <v>11110.920000000002</v>
      </c>
      <c r="H87" s="328">
        <f t="shared" si="36"/>
      </c>
      <c r="I87" s="328">
        <f t="shared" si="38"/>
      </c>
      <c r="J87" s="328">
        <f t="shared" si="32"/>
      </c>
      <c r="K87" s="327">
        <v>2</v>
      </c>
      <c r="L87" s="327">
        <v>795.6000000000004</v>
      </c>
      <c r="M87" s="329"/>
      <c r="N87" s="345"/>
      <c r="O87" s="346"/>
      <c r="P87" s="347"/>
    </row>
    <row hidden="true" r="88">
      <c r="A88" s="325" t="s">
        <v>674</v>
      </c>
      <c r="B88" s="337" t="s">
        <v>661</v>
      </c>
      <c r="C88" s="327" t="s">
        <v>662</v>
      </c>
      <c r="D88" s="327">
        <v>2</v>
      </c>
      <c r="E88" s="327">
        <v>20</v>
      </c>
      <c r="F88" s="327">
        <v>10718.999999999993</v>
      </c>
      <c r="G88" s="327">
        <v>10927.07</v>
      </c>
      <c r="H88" s="328">
        <f t="shared" si="36"/>
      </c>
      <c r="I88" s="328">
        <f t="shared" si="38"/>
      </c>
      <c r="J88" s="328">
        <f t="shared" ref="J88:J91" si="16">G88/E88</f>
      </c>
      <c r="K88" s="327">
        <v>1</v>
      </c>
      <c r="L88" s="341">
        <v>252</v>
      </c>
      <c r="M88" s="342"/>
      <c r="N88" s="342"/>
      <c r="O88" s="348"/>
      <c r="P88" s="342"/>
    </row>
    <row hidden="true" r="89">
      <c r="A89" s="325" t="s">
        <v>674</v>
      </c>
      <c r="B89" s="337" t="s">
        <v>634</v>
      </c>
      <c r="C89" s="327" t="s">
        <v>663</v>
      </c>
      <c r="D89" s="327">
        <v>4</v>
      </c>
      <c r="E89" s="327">
        <v>45</v>
      </c>
      <c r="F89" s="327">
        <v>28498.08</v>
      </c>
      <c r="G89" s="327">
        <v>20630.32</v>
      </c>
      <c r="H89" s="328">
        <f t="shared" si="36"/>
      </c>
      <c r="I89" s="328">
        <f t="shared" si="38"/>
      </c>
      <c r="J89" s="328">
        <f t="shared" si="16"/>
      </c>
      <c r="K89" s="327">
        <v>11</v>
      </c>
      <c r="L89" s="327">
        <v>6947.4000000000015</v>
      </c>
      <c r="M89" s="343" t="s">
        <v>640</v>
      </c>
      <c r="N89" s="343">
        <v>10</v>
      </c>
      <c r="O89" s="344" t="s">
        <v>641</v>
      </c>
      <c r="P89" s="344">
        <v>10</v>
      </c>
    </row>
    <row r="90">
      <c r="A90" s="333" t="s">
        <v>674</v>
      </c>
      <c r="B90" s="334"/>
      <c r="C90" s="334"/>
      <c r="D90" s="335">
        <f>SUM(D85:D89)</f>
      </c>
      <c r="E90" s="335">
        <f>SUM(E85:E89)</f>
      </c>
      <c r="F90" s="335">
        <f>SUM(F85:F89)</f>
      </c>
      <c r="G90" s="335">
        <f>SUM(G85:G89)</f>
      </c>
      <c r="H90" s="336">
        <f t="shared" si="36"/>
      </c>
      <c r="I90" s="336">
        <f t="shared" si="38"/>
      </c>
      <c r="J90" s="336">
        <f t="shared" si="16"/>
      </c>
      <c r="K90" s="335">
        <f>SUM(K85:K89)</f>
      </c>
      <c r="L90" s="335">
        <f>SUM(L85:L89)</f>
      </c>
      <c r="M90" s="334"/>
      <c r="N90" s="335">
        <f>SUM(N85:N89)</f>
      </c>
      <c r="O90" s="334"/>
      <c r="P90" s="334">
        <f>SUM(P85:P89)</f>
      </c>
    </row>
    <row hidden="true" r="91">
      <c r="A91" s="325" t="s">
        <v>675</v>
      </c>
      <c r="B91" s="337" t="s">
        <v>636</v>
      </c>
      <c r="C91" s="327" t="s">
        <v>631</v>
      </c>
      <c r="D91" s="327">
        <v>5</v>
      </c>
      <c r="E91" s="327">
        <v>39</v>
      </c>
      <c r="F91" s="327">
        <v>35408.8</v>
      </c>
      <c r="G91" s="327">
        <v>30495.79</v>
      </c>
      <c r="H91" s="328">
        <f t="shared" si="36"/>
      </c>
      <c r="I91" s="328">
        <f t="shared" si="38"/>
      </c>
      <c r="J91" s="328">
        <f t="shared" si="16"/>
      </c>
      <c r="K91" s="327">
        <v>5</v>
      </c>
      <c r="L91" s="327">
        <v>4998</v>
      </c>
      <c r="M91" s="327" t="s">
        <v>658</v>
      </c>
      <c r="N91" s="329">
        <v>10</v>
      </c>
      <c r="O91" s="340" t="s">
        <v>633</v>
      </c>
      <c r="P91" s="329">
        <v>10</v>
      </c>
    </row>
    <row hidden="true" r="92">
      <c r="A92" s="325" t="s">
        <v>675</v>
      </c>
      <c r="B92" s="337" t="s">
        <v>638</v>
      </c>
      <c r="C92" s="327" t="s">
        <v>635</v>
      </c>
      <c r="D92" s="327">
        <v>5</v>
      </c>
      <c r="E92" s="327">
        <v>37</v>
      </c>
      <c r="F92" s="327">
        <v>24125.6</v>
      </c>
      <c r="G92" s="327">
        <v>23310.359999999997</v>
      </c>
      <c r="H92" s="328">
        <f t="shared" si="36"/>
      </c>
      <c r="I92" s="328">
        <f t="shared" si="38"/>
      </c>
      <c r="J92" s="328">
        <f t="shared" ref="J92:J93" si="33">G91/E92</f>
      </c>
      <c r="K92" s="327">
        <v>9</v>
      </c>
      <c r="L92" s="327">
        <v>6505.200000000001</v>
      </c>
      <c r="M92" s="329"/>
      <c r="N92" s="345"/>
      <c r="O92" s="346"/>
      <c r="P92" s="347"/>
    </row>
    <row hidden="true" r="93">
      <c r="A93" s="325" t="s">
        <v>675</v>
      </c>
      <c r="B93" s="337" t="s">
        <v>630</v>
      </c>
      <c r="C93" s="327" t="s">
        <v>660</v>
      </c>
      <c r="D93" s="327">
        <v>4</v>
      </c>
      <c r="E93" s="327">
        <v>32</v>
      </c>
      <c r="F93" s="327">
        <v>28239.200000000004</v>
      </c>
      <c r="G93" s="327">
        <v>17952.210000000003</v>
      </c>
      <c r="H93" s="328">
        <f t="shared" si="36"/>
      </c>
      <c r="I93" s="328">
        <f t="shared" si="38"/>
      </c>
      <c r="J93" s="328">
        <f t="shared" si="33"/>
      </c>
      <c r="K93" s="327">
        <v>7</v>
      </c>
      <c r="L93" s="327">
        <v>7715.399999999998</v>
      </c>
      <c r="M93" s="329"/>
      <c r="N93" s="345"/>
      <c r="O93" s="346"/>
      <c r="P93" s="347"/>
    </row>
    <row hidden="true" r="94">
      <c r="A94" s="325" t="s">
        <v>675</v>
      </c>
      <c r="B94" s="337" t="s">
        <v>661</v>
      </c>
      <c r="C94" s="327" t="s">
        <v>662</v>
      </c>
      <c r="D94" s="327">
        <v>2</v>
      </c>
      <c r="E94" s="327">
        <v>26</v>
      </c>
      <c r="F94" s="327">
        <v>17516.399999999994</v>
      </c>
      <c r="G94" s="327">
        <v>11481.92</v>
      </c>
      <c r="H94" s="328">
        <f t="shared" si="36"/>
      </c>
      <c r="I94" s="328">
        <f t="shared" si="38"/>
      </c>
      <c r="J94" s="328">
        <f t="shared" ref="J94:J97" si="17">G94/E94</f>
      </c>
      <c r="K94" s="327">
        <v>10</v>
      </c>
      <c r="L94" s="341">
        <v>5902.399999999998</v>
      </c>
      <c r="M94" s="342"/>
      <c r="N94" s="342"/>
      <c r="O94" s="348"/>
      <c r="P94" s="342"/>
    </row>
    <row hidden="true" r="95">
      <c r="A95" s="325" t="s">
        <v>675</v>
      </c>
      <c r="B95" s="337" t="s">
        <v>634</v>
      </c>
      <c r="C95" s="327" t="s">
        <v>663</v>
      </c>
      <c r="D95" s="327">
        <v>4</v>
      </c>
      <c r="E95" s="327">
        <v>59</v>
      </c>
      <c r="F95" s="327">
        <v>48334.8</v>
      </c>
      <c r="G95" s="327">
        <v>26850.460000000003</v>
      </c>
      <c r="H95" s="328">
        <f t="shared" si="36"/>
      </c>
      <c r="I95" s="328">
        <f t="shared" si="38"/>
      </c>
      <c r="J95" s="328">
        <f t="shared" si="17"/>
      </c>
      <c r="K95" s="327">
        <v>7</v>
      </c>
      <c r="L95" s="327">
        <v>5748.400000000003</v>
      </c>
      <c r="M95" s="343" t="s">
        <v>640</v>
      </c>
      <c r="N95" s="343">
        <v>10</v>
      </c>
      <c r="O95" s="344" t="s">
        <v>641</v>
      </c>
      <c r="P95" s="344">
        <v>10</v>
      </c>
    </row>
    <row r="96">
      <c r="A96" s="333" t="s">
        <v>675</v>
      </c>
      <c r="B96" s="334"/>
      <c r="C96" s="334"/>
      <c r="D96" s="335">
        <f>SUM(D91:D95)</f>
      </c>
      <c r="E96" s="335">
        <f>SUM(E91:E95)</f>
      </c>
      <c r="F96" s="335">
        <f>SUM(F91:F95)</f>
      </c>
      <c r="G96" s="335">
        <f>SUM(G91:G95)</f>
      </c>
      <c r="H96" s="336">
        <f t="shared" si="36"/>
      </c>
      <c r="I96" s="336">
        <f t="shared" si="38"/>
      </c>
      <c r="J96" s="336">
        <f t="shared" si="17"/>
      </c>
      <c r="K96" s="335">
        <f>SUM(K91:K95)</f>
      </c>
      <c r="L96" s="335">
        <f>SUM(L91:L95)</f>
      </c>
      <c r="M96" s="334"/>
      <c r="N96" s="335">
        <f>SUM(N91:N95)</f>
      </c>
      <c r="O96" s="334"/>
      <c r="P96" s="334">
        <f>SUM(P91:P95)</f>
      </c>
    </row>
    <row hidden="true" r="97">
      <c r="A97" s="325" t="s">
        <v>676</v>
      </c>
      <c r="B97" s="337" t="s">
        <v>636</v>
      </c>
      <c r="C97" s="327" t="s">
        <v>631</v>
      </c>
      <c r="D97" s="327">
        <v>5</v>
      </c>
      <c r="E97" s="327">
        <v>49</v>
      </c>
      <c r="F97" s="327">
        <v>38430</v>
      </c>
      <c r="G97" s="327">
        <v>34929.28</v>
      </c>
      <c r="H97" s="328">
        <f t="shared" si="36"/>
      </c>
      <c r="I97" s="328">
        <f t="shared" si="38"/>
      </c>
      <c r="J97" s="328">
        <f t="shared" si="17"/>
      </c>
      <c r="K97" s="327">
        <v>6</v>
      </c>
      <c r="L97" s="327">
        <v>4716.4</v>
      </c>
      <c r="M97" s="327" t="s">
        <v>658</v>
      </c>
      <c r="N97" s="329">
        <v>10</v>
      </c>
      <c r="O97" s="340" t="s">
        <v>633</v>
      </c>
      <c r="P97" s="329">
        <v>10</v>
      </c>
    </row>
    <row hidden="true" r="98">
      <c r="A98" s="325" t="s">
        <v>676</v>
      </c>
      <c r="B98" s="337" t="s">
        <v>638</v>
      </c>
      <c r="C98" s="327" t="s">
        <v>635</v>
      </c>
      <c r="D98" s="327">
        <v>5</v>
      </c>
      <c r="E98" s="327">
        <v>25</v>
      </c>
      <c r="F98" s="327">
        <v>14926.999999999996</v>
      </c>
      <c r="G98" s="327">
        <v>13911.7</v>
      </c>
      <c r="H98" s="328">
        <f t="shared" si="36"/>
      </c>
      <c r="I98" s="328">
        <f t="shared" si="38"/>
      </c>
      <c r="J98" s="328">
        <f t="shared" ref="J98:J99" si="34">G97/E98</f>
      </c>
      <c r="K98" s="327">
        <v>4</v>
      </c>
      <c r="L98" s="327">
        <v>2157.6</v>
      </c>
      <c r="M98" s="329"/>
      <c r="N98" s="345"/>
      <c r="O98" s="346"/>
      <c r="P98" s="347"/>
    </row>
    <row hidden="true" r="99">
      <c r="A99" s="325" t="s">
        <v>676</v>
      </c>
      <c r="B99" s="337" t="s">
        <v>630</v>
      </c>
      <c r="C99" s="327" t="s">
        <v>660</v>
      </c>
      <c r="D99" s="327">
        <v>4</v>
      </c>
      <c r="E99" s="327">
        <v>14</v>
      </c>
      <c r="F99" s="327">
        <v>8335.800000000003</v>
      </c>
      <c r="G99" s="327">
        <v>9289.369999999999</v>
      </c>
      <c r="H99" s="328">
        <f t="shared" si="36"/>
      </c>
      <c r="I99" s="328">
        <f t="shared" si="38"/>
      </c>
      <c r="J99" s="328">
        <f t="shared" si="34"/>
      </c>
      <c r="K99" s="327">
        <v>4</v>
      </c>
      <c r="L99" s="327">
        <v>1465.2000000000007</v>
      </c>
      <c r="M99" s="329"/>
      <c r="N99" s="345"/>
      <c r="O99" s="346"/>
      <c r="P99" s="347"/>
    </row>
    <row hidden="true" r="100">
      <c r="A100" s="325" t="s">
        <v>676</v>
      </c>
      <c r="B100" s="337" t="s">
        <v>661</v>
      </c>
      <c r="C100" s="327" t="s">
        <v>662</v>
      </c>
      <c r="D100" s="327">
        <v>2</v>
      </c>
      <c r="E100" s="327">
        <v>23</v>
      </c>
      <c r="F100" s="327">
        <v>12823.599999999991</v>
      </c>
      <c r="G100" s="327">
        <v>11392.240000000002</v>
      </c>
      <c r="H100" s="328">
        <f t="shared" si="36"/>
      </c>
      <c r="I100" s="328">
        <f t="shared" si="38"/>
      </c>
      <c r="J100" s="328">
        <f t="shared" ref="J100:J103" si="18">G100/E100</f>
      </c>
      <c r="K100" s="327">
        <v>7</v>
      </c>
      <c r="L100" s="341">
        <v>3224.199999999999</v>
      </c>
      <c r="M100" s="342"/>
      <c r="N100" s="342"/>
      <c r="O100" s="348"/>
      <c r="P100" s="342"/>
    </row>
    <row hidden="true" r="101">
      <c r="A101" s="325" t="s">
        <v>676</v>
      </c>
      <c r="B101" s="337" t="s">
        <v>634</v>
      </c>
      <c r="C101" s="327" t="s">
        <v>677</v>
      </c>
      <c r="D101" s="327">
        <v>1</v>
      </c>
      <c r="E101" s="327">
        <v>10</v>
      </c>
      <c r="F101" s="327">
        <v>8715</v>
      </c>
      <c r="G101" s="327">
        <v>4119.5</v>
      </c>
      <c r="H101" s="328">
        <f t="shared" si="36"/>
      </c>
      <c r="I101" s="328">
        <f t="shared" si="38"/>
      </c>
      <c r="J101" s="328">
        <f t="shared" si="18"/>
      </c>
      <c r="K101" s="327">
        <v>0</v>
      </c>
      <c r="L101" s="327">
        <v>0</v>
      </c>
      <c r="M101" s="343" t="s">
        <v>678</v>
      </c>
      <c r="N101" s="343">
        <v>7</v>
      </c>
      <c r="O101" s="344" t="s">
        <v>641</v>
      </c>
      <c r="P101" s="344">
        <v>10</v>
      </c>
    </row>
    <row r="102">
      <c r="A102" s="333" t="s">
        <v>676</v>
      </c>
      <c r="B102" s="334"/>
      <c r="C102" s="334"/>
      <c r="D102" s="335">
        <f>SUM(D97:D101)</f>
      </c>
      <c r="E102" s="335">
        <f>SUM(E97:E101)</f>
      </c>
      <c r="F102" s="335">
        <f>SUM(F97:F101)</f>
      </c>
      <c r="G102" s="335">
        <f>SUM(G97:G101)</f>
      </c>
      <c r="H102" s="336">
        <f t="shared" si="36"/>
      </c>
      <c r="I102" s="336">
        <f t="shared" si="38"/>
      </c>
      <c r="J102" s="336">
        <f t="shared" si="18"/>
      </c>
      <c r="K102" s="335">
        <f>SUM(K97:K101)</f>
      </c>
      <c r="L102" s="335">
        <f>SUM(L97:L101)</f>
      </c>
      <c r="M102" s="334"/>
      <c r="N102" s="335">
        <f>SUM(N97:N101)</f>
      </c>
      <c r="O102" s="334"/>
      <c r="P102" s="334">
        <f>SUM(P97:P101)</f>
      </c>
    </row>
    <row hidden="true" r="103">
      <c r="A103" s="325" t="s">
        <v>679</v>
      </c>
      <c r="B103" s="337" t="s">
        <v>630</v>
      </c>
      <c r="C103" s="329" t="s">
        <v>680</v>
      </c>
      <c r="D103" s="327">
        <v>4</v>
      </c>
      <c r="E103" s="327">
        <v>8</v>
      </c>
      <c r="F103" s="327">
        <v>9156</v>
      </c>
      <c r="G103" s="327">
        <v>6683.95</v>
      </c>
      <c r="H103" s="328">
        <f t="shared" si="36"/>
      </c>
      <c r="I103" s="328">
        <f t="shared" si="38"/>
      </c>
      <c r="J103" s="328">
        <f t="shared" si="18"/>
      </c>
      <c r="K103" s="327">
        <v>2</v>
      </c>
      <c r="L103" s="327">
        <v>2851.2</v>
      </c>
      <c r="M103" s="327" t="s">
        <v>640</v>
      </c>
      <c r="N103" s="327">
        <v>12</v>
      </c>
      <c r="O103" s="329" t="s">
        <v>633</v>
      </c>
      <c r="P103" s="327">
        <v>12</v>
      </c>
    </row>
    <row hidden="true" r="104">
      <c r="A104" s="325" t="s">
        <v>679</v>
      </c>
      <c r="B104" s="337" t="s">
        <v>634</v>
      </c>
      <c r="C104" s="329" t="s">
        <v>681</v>
      </c>
      <c r="D104" s="327">
        <v>4</v>
      </c>
      <c r="E104" s="327">
        <v>7</v>
      </c>
      <c r="F104" s="327">
        <v>9373.2</v>
      </c>
      <c r="G104" s="327">
        <v>9126.79</v>
      </c>
      <c r="H104" s="328">
        <f t="shared" si="36"/>
      </c>
      <c r="I104" s="328">
        <f t="shared" si="38"/>
      </c>
      <c r="J104" s="328">
        <f>G103/E104</f>
      </c>
      <c r="K104" s="327">
        <v>0</v>
      </c>
      <c r="L104" s="327">
        <v>0</v>
      </c>
      <c r="M104" s="329"/>
      <c r="N104" s="329"/>
      <c r="O104" s="332"/>
      <c r="P104" s="329"/>
    </row>
    <row hidden="true" r="105">
      <c r="A105" s="325" t="s">
        <v>679</v>
      </c>
      <c r="B105" s="337" t="s">
        <v>638</v>
      </c>
      <c r="C105" s="329" t="s">
        <v>682</v>
      </c>
      <c r="D105" s="327">
        <v>4</v>
      </c>
      <c r="E105" s="327">
        <v>5</v>
      </c>
      <c r="F105" s="327">
        <v>5191.200000000001</v>
      </c>
      <c r="G105" s="327">
        <v>7131.84</v>
      </c>
      <c r="H105" s="328">
        <f t="shared" si="36"/>
      </c>
      <c r="I105" s="328">
        <f t="shared" si="38"/>
      </c>
      <c r="J105" s="328">
        <f t="shared" ref="J105:J109" si="19">G105/E105</f>
      </c>
      <c r="K105" s="327">
        <v>1</v>
      </c>
      <c r="L105" s="327">
        <v>567.6000000000004</v>
      </c>
      <c r="M105" s="329"/>
      <c r="N105" s="329"/>
      <c r="O105" s="329"/>
      <c r="P105" s="329"/>
    </row>
    <row r="106">
      <c r="A106" s="333" t="s">
        <v>679</v>
      </c>
      <c r="B106" s="334"/>
      <c r="C106" s="334"/>
      <c r="D106" s="335">
        <f>SUM(D103:D105)</f>
      </c>
      <c r="E106" s="335">
        <f>SUM(E103:E105)</f>
      </c>
      <c r="F106" s="335">
        <f>SUM(F103:F105)</f>
      </c>
      <c r="G106" s="335">
        <f>SUM(G103:G105)</f>
      </c>
      <c r="H106" s="336">
        <f t="shared" si="36"/>
      </c>
      <c r="I106" s="336">
        <f t="shared" si="38"/>
      </c>
      <c r="J106" s="336">
        <f t="shared" si="19"/>
      </c>
      <c r="K106" s="335">
        <f>SUM(K103:K105)</f>
      </c>
      <c r="L106" s="335">
        <f>SUM(L103:L105)</f>
      </c>
      <c r="M106" s="334"/>
      <c r="N106" s="335">
        <f>SUM(N103:N105)</f>
      </c>
      <c r="O106" s="334"/>
      <c r="P106" s="334">
        <f>SUM(P103:P105)</f>
      </c>
    </row>
    <row customHeight="true" hidden="true" ht="16.071428571428573" r="107">
      <c r="A107" s="325" t="s">
        <v>683</v>
      </c>
      <c r="B107" s="337" t="s">
        <v>634</v>
      </c>
      <c r="C107" s="327" t="s">
        <v>684</v>
      </c>
      <c r="D107" s="327">
        <v>4</v>
      </c>
      <c r="E107" s="327">
        <v>6</v>
      </c>
      <c r="F107" s="327">
        <v>6526.6</v>
      </c>
      <c r="G107" s="327">
        <v>5018.28</v>
      </c>
      <c r="H107" s="328">
        <f t="shared" si="36"/>
      </c>
      <c r="I107" s="328">
        <f t="shared" si="38"/>
      </c>
      <c r="J107" s="328">
        <f t="shared" si="19"/>
      </c>
      <c r="K107" s="327">
        <v>0</v>
      </c>
      <c r="L107" s="327">
        <v>0</v>
      </c>
      <c r="M107" s="327" t="s">
        <v>658</v>
      </c>
      <c r="N107" s="327">
        <v>10</v>
      </c>
      <c r="O107" s="329" t="s">
        <v>633</v>
      </c>
      <c r="P107" s="327"/>
    </row>
    <row customHeight="true" hidden="true" ht="16.071428571428573" r="108">
      <c r="A108" s="325" t="s">
        <v>683</v>
      </c>
      <c r="B108" s="337" t="s">
        <v>630</v>
      </c>
      <c r="C108" s="327" t="s">
        <v>685</v>
      </c>
      <c r="D108" s="327">
        <v>3</v>
      </c>
      <c r="E108" s="327">
        <v>5</v>
      </c>
      <c r="F108" s="327">
        <v>8162.4</v>
      </c>
      <c r="G108" s="327">
        <v>3011.82</v>
      </c>
      <c r="H108" s="328">
        <f t="shared" si="36"/>
      </c>
      <c r="I108" s="328">
        <f t="shared" si="38"/>
      </c>
      <c r="J108" s="328">
        <f t="shared" si="19"/>
      </c>
      <c r="K108" s="327">
        <v>1</v>
      </c>
      <c r="L108" s="327">
        <v>2407.2</v>
      </c>
      <c r="M108" s="349"/>
      <c r="N108" s="349"/>
      <c r="O108" s="340"/>
      <c r="P108" s="327"/>
    </row>
    <row hidden="true" r="109">
      <c r="A109" s="325" t="s">
        <v>683</v>
      </c>
      <c r="B109" s="337" t="s">
        <v>636</v>
      </c>
      <c r="C109" s="327" t="s">
        <v>686</v>
      </c>
      <c r="D109" s="327">
        <v>4</v>
      </c>
      <c r="E109" s="327">
        <v>6</v>
      </c>
      <c r="F109" s="327">
        <v>6940.799999999998</v>
      </c>
      <c r="G109" s="327">
        <v>5961.58</v>
      </c>
      <c r="H109" s="328">
        <f t="shared" si="36"/>
      </c>
      <c r="I109" s="328">
        <f t="shared" si="38"/>
      </c>
      <c r="J109" s="328">
        <f t="shared" si="19"/>
      </c>
      <c r="K109" s="327">
        <v>2</v>
      </c>
      <c r="L109" s="341">
        <v>2068.8</v>
      </c>
      <c r="M109" s="342"/>
      <c r="N109" s="342"/>
      <c r="O109" s="342"/>
      <c r="P109" s="350">
        <v>12</v>
      </c>
    </row>
    <row hidden="true" r="110">
      <c r="A110" s="325" t="s">
        <v>683</v>
      </c>
      <c r="B110" s="337" t="s">
        <v>661</v>
      </c>
      <c r="C110" s="327" t="s">
        <v>687</v>
      </c>
      <c r="D110" s="327">
        <v>4</v>
      </c>
      <c r="E110" s="327">
        <v>7</v>
      </c>
      <c r="F110" s="327">
        <v>5897.799999999999</v>
      </c>
      <c r="G110" s="327">
        <v>6942.87</v>
      </c>
      <c r="H110" s="328">
        <f t="shared" si="36"/>
      </c>
      <c r="I110" s="328">
        <f t="shared" si="38"/>
      </c>
      <c r="J110" s="328">
        <f>G109/E110</f>
      </c>
      <c r="K110" s="327">
        <v>0</v>
      </c>
      <c r="L110" s="341">
        <v>0</v>
      </c>
      <c r="M110" s="351"/>
      <c r="N110" s="351"/>
      <c r="O110" s="346"/>
      <c r="P110" s="347"/>
    </row>
    <row hidden="true" r="111">
      <c r="A111" s="325" t="s">
        <v>683</v>
      </c>
      <c r="B111" s="337" t="s">
        <v>638</v>
      </c>
      <c r="C111" s="327" t="s">
        <v>688</v>
      </c>
      <c r="D111" s="327">
        <v>5</v>
      </c>
      <c r="E111" s="327">
        <v>23</v>
      </c>
      <c r="F111" s="327">
        <v>26950.6</v>
      </c>
      <c r="G111" s="327">
        <v>18264.923000000003</v>
      </c>
      <c r="H111" s="328">
        <f t="shared" si="36"/>
      </c>
      <c r="I111" s="328">
        <f t="shared" si="38"/>
      </c>
      <c r="J111" s="328">
        <f t="shared" ref="J111:J115" si="20">G111/E111</f>
      </c>
      <c r="K111" s="327">
        <v>1</v>
      </c>
      <c r="L111" s="327">
        <v>567.6000000000004</v>
      </c>
      <c r="M111" s="343" t="s">
        <v>640</v>
      </c>
      <c r="N111" s="343">
        <v>10</v>
      </c>
      <c r="O111" s="344"/>
      <c r="P111" s="329"/>
    </row>
    <row r="112">
      <c r="A112" s="333" t="s">
        <v>683</v>
      </c>
      <c r="B112" s="334"/>
      <c r="C112" s="334"/>
      <c r="D112" s="335">
        <f>SUM(D107:D111)</f>
      </c>
      <c r="E112" s="335">
        <f>SUM(E107:E111)</f>
      </c>
      <c r="F112" s="335">
        <f>SUM(F107:F111)</f>
      </c>
      <c r="G112" s="335">
        <f>SUM(G107:G111)</f>
      </c>
      <c r="H112" s="336">
        <f t="shared" si="36"/>
      </c>
      <c r="I112" s="336">
        <f t="shared" si="38"/>
      </c>
      <c r="J112" s="336">
        <f t="shared" si="20"/>
      </c>
      <c r="K112" s="335">
        <f>SUM(K107:K111)</f>
      </c>
      <c r="L112" s="335">
        <f>SUM(L107:L111)</f>
      </c>
      <c r="M112" s="334"/>
      <c r="N112" s="335">
        <f>SUM(N107:N111)</f>
      </c>
      <c r="O112" s="334"/>
      <c r="P112" s="334">
        <f>SUM(P109:P111)</f>
      </c>
    </row>
    <row hidden="true" r="113">
      <c r="A113" s="325" t="s">
        <v>689</v>
      </c>
      <c r="B113" s="337" t="s">
        <v>634</v>
      </c>
      <c r="C113" s="327" t="s">
        <v>684</v>
      </c>
      <c r="D113" s="327">
        <v>4</v>
      </c>
      <c r="E113" s="327">
        <v>24</v>
      </c>
      <c r="F113" s="327">
        <v>21654</v>
      </c>
      <c r="G113" s="327">
        <v>10420.91</v>
      </c>
      <c r="H113" s="328">
        <f t="shared" si="36"/>
      </c>
      <c r="I113" s="328">
        <f t="shared" si="38"/>
      </c>
      <c r="J113" s="328">
        <f t="shared" si="20"/>
      </c>
      <c r="K113" s="327">
        <v>2</v>
      </c>
      <c r="L113" s="327">
        <v>1634.3999999999999</v>
      </c>
      <c r="M113" s="327" t="s">
        <v>658</v>
      </c>
      <c r="N113" s="327">
        <v>10</v>
      </c>
      <c r="O113" s="329" t="s">
        <v>633</v>
      </c>
      <c r="P113" s="327"/>
    </row>
    <row customHeight="true" hidden="true" ht="16.071428571428573" r="114">
      <c r="A114" s="325" t="s">
        <v>689</v>
      </c>
      <c r="B114" s="337" t="s">
        <v>636</v>
      </c>
      <c r="C114" s="327" t="s">
        <v>690</v>
      </c>
      <c r="D114" s="327">
        <v>4</v>
      </c>
      <c r="E114" s="327">
        <v>29</v>
      </c>
      <c r="F114" s="327">
        <v>37528.8</v>
      </c>
      <c r="G114" s="327">
        <v>25845.01</v>
      </c>
      <c r="H114" s="328">
        <f t="shared" si="36"/>
      </c>
      <c r="I114" s="328">
        <f t="shared" si="38"/>
      </c>
      <c r="J114" s="328">
        <f t="shared" si="20"/>
      </c>
      <c r="K114" s="327">
        <v>9</v>
      </c>
      <c r="L114" s="327">
        <v>8947.2</v>
      </c>
      <c r="M114" s="349"/>
      <c r="N114" s="349"/>
      <c r="O114" s="340"/>
      <c r="P114" s="327"/>
    </row>
    <row customHeight="true" hidden="true" ht="16.071428571428573" r="115">
      <c r="A115" s="325" t="s">
        <v>689</v>
      </c>
      <c r="B115" s="337" t="s">
        <v>630</v>
      </c>
      <c r="C115" s="327" t="s">
        <v>680</v>
      </c>
      <c r="D115" s="327">
        <v>4</v>
      </c>
      <c r="E115" s="327">
        <v>16</v>
      </c>
      <c r="F115" s="327">
        <v>28736.800000000003</v>
      </c>
      <c r="G115" s="327">
        <v>12445.18</v>
      </c>
      <c r="H115" s="328">
        <f t="shared" si="36"/>
      </c>
      <c r="I115" s="328">
        <f t="shared" si="38"/>
      </c>
      <c r="J115" s="328">
        <f t="shared" si="20"/>
      </c>
      <c r="K115" s="327">
        <v>4</v>
      </c>
      <c r="L115" s="341">
        <v>8436.399999999998</v>
      </c>
      <c r="M115" s="342"/>
      <c r="N115" s="342"/>
      <c r="O115" s="342"/>
      <c r="P115" s="350">
        <v>12</v>
      </c>
    </row>
    <row customHeight="true" hidden="true" ht="16.071428571428573" r="116">
      <c r="A116" s="325" t="s">
        <v>689</v>
      </c>
      <c r="B116" s="337" t="s">
        <v>638</v>
      </c>
      <c r="C116" s="327" t="s">
        <v>681</v>
      </c>
      <c r="D116" s="327">
        <v>4</v>
      </c>
      <c r="E116" s="327">
        <v>11</v>
      </c>
      <c r="F116" s="327">
        <v>8186.399999999994</v>
      </c>
      <c r="G116" s="327">
        <v>13272.41</v>
      </c>
      <c r="H116" s="328">
        <f t="shared" si="36"/>
      </c>
      <c r="I116" s="328">
        <f t="shared" si="38"/>
      </c>
      <c r="J116" s="328">
        <f>G115/E116</f>
      </c>
      <c r="K116" s="327">
        <v>2</v>
      </c>
      <c r="L116" s="341">
        <v>1172.400000000005</v>
      </c>
      <c r="M116" s="351"/>
      <c r="N116" s="351"/>
      <c r="O116" s="346"/>
      <c r="P116" s="347"/>
    </row>
    <row customHeight="true" hidden="true" ht="16.071428571428573" r="117">
      <c r="A117" s="325" t="s">
        <v>689</v>
      </c>
      <c r="B117" s="337" t="s">
        <v>661</v>
      </c>
      <c r="C117" s="327" t="s">
        <v>682</v>
      </c>
      <c r="D117" s="327">
        <v>4</v>
      </c>
      <c r="E117" s="327">
        <v>29</v>
      </c>
      <c r="F117" s="327">
        <v>39811.399999999994</v>
      </c>
      <c r="G117" s="327">
        <v>20244.14</v>
      </c>
      <c r="H117" s="328">
        <f t="shared" si="36"/>
      </c>
      <c r="I117" s="328">
        <f t="shared" si="38"/>
      </c>
      <c r="J117" s="328">
        <f t="shared" ref="J117:J121" si="21">G117/E117</f>
      </c>
      <c r="K117" s="327">
        <v>3</v>
      </c>
      <c r="L117" s="327">
        <v>4785.5999999999985</v>
      </c>
      <c r="M117" s="343" t="s">
        <v>640</v>
      </c>
      <c r="N117" s="343">
        <v>10</v>
      </c>
      <c r="O117" s="344"/>
      <c r="P117" s="329"/>
    </row>
    <row customHeight="true" ht="16.071428571428573" r="118">
      <c r="A118" s="333" t="s">
        <v>689</v>
      </c>
      <c r="B118" s="334"/>
      <c r="C118" s="334"/>
      <c r="D118" s="335">
        <f>SUM(D113:D117)</f>
      </c>
      <c r="E118" s="335">
        <f>SUM(E113:E117)</f>
      </c>
      <c r="F118" s="335">
        <f>SUM(F113:F117)</f>
      </c>
      <c r="G118" s="335">
        <f>SUM(G113:G117)</f>
      </c>
      <c r="H118" s="336">
        <f t="shared" si="36"/>
      </c>
      <c r="I118" s="336">
        <f t="shared" si="38"/>
      </c>
      <c r="J118" s="336">
        <f t="shared" si="21"/>
      </c>
      <c r="K118" s="335">
        <f>SUM(K113:K117)</f>
      </c>
      <c r="L118" s="335">
        <f>SUM(L113:L117)</f>
      </c>
      <c r="M118" s="334"/>
      <c r="N118" s="335">
        <f>SUM(N113:N117)</f>
      </c>
      <c r="O118" s="334"/>
      <c r="P118" s="334">
        <f>SUM(P115:P117)</f>
      </c>
    </row>
    <row customHeight="true" hidden="true" ht="16.071428571428573" r="119">
      <c r="A119" s="325" t="s">
        <v>691</v>
      </c>
      <c r="B119" s="337" t="s">
        <v>636</v>
      </c>
      <c r="C119" s="327" t="s">
        <v>684</v>
      </c>
      <c r="D119" s="327">
        <v>4</v>
      </c>
      <c r="E119" s="327">
        <v>9</v>
      </c>
      <c r="F119" s="327">
        <v>11150.4</v>
      </c>
      <c r="G119" s="327">
        <v>8489.02</v>
      </c>
      <c r="H119" s="328">
        <f t="shared" si="36"/>
      </c>
      <c r="I119" s="328">
        <f t="shared" si="38"/>
      </c>
      <c r="J119" s="328">
        <f t="shared" si="21"/>
      </c>
      <c r="K119" s="327">
        <v>1</v>
      </c>
      <c r="L119" s="327">
        <v>2088</v>
      </c>
      <c r="M119" s="327" t="s">
        <v>658</v>
      </c>
      <c r="N119" s="327">
        <v>10</v>
      </c>
      <c r="O119" s="329" t="s">
        <v>633</v>
      </c>
      <c r="P119" s="327"/>
    </row>
    <row customHeight="true" hidden="true" ht="16.071428571428573" r="120">
      <c r="A120" s="325" t="s">
        <v>691</v>
      </c>
      <c r="B120" s="337" t="s">
        <v>634</v>
      </c>
      <c r="C120" s="327" t="s">
        <v>690</v>
      </c>
      <c r="D120" s="327">
        <v>4</v>
      </c>
      <c r="E120" s="327">
        <v>15</v>
      </c>
      <c r="F120" s="327">
        <v>19354.6</v>
      </c>
      <c r="G120" s="327">
        <v>13766.38</v>
      </c>
      <c r="H120" s="328">
        <f t="shared" si="36"/>
      </c>
      <c r="I120" s="328">
        <f t="shared" si="38"/>
      </c>
      <c r="J120" s="328">
        <f t="shared" si="21"/>
      </c>
      <c r="K120" s="327">
        <v>1</v>
      </c>
      <c r="L120" s="327">
        <v>918</v>
      </c>
      <c r="M120" s="349"/>
      <c r="N120" s="349"/>
      <c r="O120" s="340"/>
      <c r="P120" s="327"/>
    </row>
    <row customHeight="true" hidden="true" ht="16.071428571428573" r="121">
      <c r="A121" s="325" t="s">
        <v>691</v>
      </c>
      <c r="B121" s="337" t="s">
        <v>638</v>
      </c>
      <c r="C121" s="327" t="s">
        <v>680</v>
      </c>
      <c r="D121" s="327">
        <v>4</v>
      </c>
      <c r="E121" s="327">
        <v>6</v>
      </c>
      <c r="F121" s="327">
        <v>9445.800000000005</v>
      </c>
      <c r="G121" s="327">
        <v>8902.21</v>
      </c>
      <c r="H121" s="328">
        <f t="shared" si="36"/>
      </c>
      <c r="I121" s="328">
        <f t="shared" si="38"/>
      </c>
      <c r="J121" s="328">
        <f t="shared" si="21"/>
      </c>
      <c r="K121" s="327">
        <v>0</v>
      </c>
      <c r="L121" s="341">
        <v>0</v>
      </c>
      <c r="M121" s="342"/>
      <c r="N121" s="342"/>
      <c r="O121" s="342"/>
      <c r="P121" s="350">
        <v>12</v>
      </c>
    </row>
    <row customHeight="true" hidden="true" ht="16.071428571428573" r="122">
      <c r="A122" s="325" t="s">
        <v>691</v>
      </c>
      <c r="B122" s="337" t="s">
        <v>661</v>
      </c>
      <c r="C122" s="327" t="s">
        <v>681</v>
      </c>
      <c r="D122" s="327">
        <v>4</v>
      </c>
      <c r="E122" s="327">
        <v>16</v>
      </c>
      <c r="F122" s="327">
        <v>29806.800000000003</v>
      </c>
      <c r="G122" s="327">
        <v>13147.34</v>
      </c>
      <c r="H122" s="328">
        <f t="shared" si="36"/>
      </c>
      <c r="I122" s="328">
        <f t="shared" si="38"/>
      </c>
      <c r="J122" s="328">
        <f>G121/E122</f>
      </c>
      <c r="K122" s="327">
        <v>4</v>
      </c>
      <c r="L122" s="341">
        <v>6958.799999999999</v>
      </c>
      <c r="M122" s="351"/>
      <c r="N122" s="351"/>
      <c r="O122" s="346"/>
      <c r="P122" s="347"/>
    </row>
    <row customHeight="true" hidden="true" ht="16.071428571428573" r="123">
      <c r="A123" s="325" t="s">
        <v>691</v>
      </c>
      <c r="B123" s="337" t="s">
        <v>630</v>
      </c>
      <c r="C123" s="327" t="s">
        <v>682</v>
      </c>
      <c r="D123" s="327">
        <v>4</v>
      </c>
      <c r="E123" s="327">
        <v>25</v>
      </c>
      <c r="F123" s="327">
        <v>26252</v>
      </c>
      <c r="G123" s="327">
        <v>18228.859999999997</v>
      </c>
      <c r="H123" s="328">
        <f t="shared" si="36"/>
      </c>
      <c r="I123" s="328">
        <f t="shared" si="38"/>
      </c>
      <c r="J123" s="328">
        <f t="shared" ref="J123:J125" si="22">G123/E123</f>
      </c>
      <c r="K123" s="327">
        <v>4</v>
      </c>
      <c r="L123" s="327">
        <v>4656</v>
      </c>
      <c r="M123" s="343" t="s">
        <v>640</v>
      </c>
      <c r="N123" s="343">
        <v>10</v>
      </c>
      <c r="O123" s="344"/>
      <c r="P123" s="329"/>
    </row>
    <row r="124">
      <c r="A124" s="333" t="s">
        <v>691</v>
      </c>
      <c r="B124" s="334"/>
      <c r="C124" s="334"/>
      <c r="D124" s="335">
        <f>SUM(D119:D123)</f>
      </c>
      <c r="E124" s="335">
        <f>SUM(E119:E123)</f>
      </c>
      <c r="F124" s="335">
        <f>SUM(F119:F123)</f>
      </c>
      <c r="G124" s="335">
        <f>SUM(G119:G123)</f>
      </c>
      <c r="H124" s="336">
        <f t="shared" si="36"/>
      </c>
      <c r="I124" s="336">
        <f t="shared" si="38"/>
      </c>
      <c r="J124" s="336">
        <f t="shared" si="22"/>
      </c>
      <c r="K124" s="335">
        <f>SUM(K119:K123)</f>
      </c>
      <c r="L124" s="335">
        <f>SUM(L119:L123)</f>
      </c>
      <c r="M124" s="334"/>
      <c r="N124" s="335">
        <f>SUM(N119:N123)</f>
      </c>
      <c r="O124" s="334"/>
      <c r="P124" s="334">
        <f>SUM(P121:P123)</f>
      </c>
    </row>
    <row hidden="true" r="125">
      <c r="A125" s="325" t="s">
        <v>692</v>
      </c>
      <c r="B125" s="337" t="s">
        <v>636</v>
      </c>
      <c r="C125" s="329" t="s">
        <v>631</v>
      </c>
      <c r="D125" s="329">
        <v>5</v>
      </c>
      <c r="E125" s="327">
        <v>27</v>
      </c>
      <c r="F125" s="327">
        <v>39645.6</v>
      </c>
      <c r="G125" s="327">
        <v>30913.07</v>
      </c>
      <c r="H125" s="328">
        <f t="shared" si="36"/>
      </c>
      <c r="I125" s="328">
        <f t="shared" si="38"/>
      </c>
      <c r="J125" s="328">
        <f t="shared" si="22"/>
      </c>
      <c r="K125" s="327">
        <v>6</v>
      </c>
      <c r="L125" s="327">
        <v>8904</v>
      </c>
      <c r="M125" s="327" t="s">
        <v>658</v>
      </c>
      <c r="N125" s="327">
        <v>9</v>
      </c>
      <c r="O125" s="329" t="s">
        <v>633</v>
      </c>
      <c r="P125" s="329">
        <v>10</v>
      </c>
    </row>
    <row customHeight="true" hidden="true" ht="16.071428571428573" r="126">
      <c r="A126" s="325" t="s">
        <v>692</v>
      </c>
      <c r="B126" s="337" t="s">
        <v>634</v>
      </c>
      <c r="C126" s="329" t="s">
        <v>635</v>
      </c>
      <c r="D126" s="329">
        <v>5</v>
      </c>
      <c r="E126" s="327">
        <v>20</v>
      </c>
      <c r="F126" s="327">
        <v>25245.6</v>
      </c>
      <c r="G126" s="327">
        <v>17140.469999999998</v>
      </c>
      <c r="H126" s="328">
        <f t="shared" si="36"/>
      </c>
      <c r="I126" s="328">
        <f t="shared" si="38"/>
      </c>
      <c r="J126" s="328">
        <f>G125/E126</f>
      </c>
      <c r="K126" s="327">
        <v>4</v>
      </c>
      <c r="L126" s="327">
        <v>2830.8</v>
      </c>
      <c r="M126" s="329"/>
      <c r="N126" s="329"/>
      <c r="O126" s="332"/>
      <c r="P126" s="329"/>
    </row>
    <row customHeight="true" hidden="true" ht="16.071428571428573" r="127">
      <c r="A127" s="325" t="s">
        <v>692</v>
      </c>
      <c r="B127" s="337" t="s">
        <v>661</v>
      </c>
      <c r="C127" s="329" t="s">
        <v>637</v>
      </c>
      <c r="D127" s="329">
        <v>5</v>
      </c>
      <c r="E127" s="327">
        <v>14</v>
      </c>
      <c r="F127" s="327">
        <v>10358</v>
      </c>
      <c r="G127" s="327">
        <v>14944.74</v>
      </c>
      <c r="H127" s="328">
        <f t="shared" si="36"/>
      </c>
      <c r="I127" s="328">
        <f t="shared" si="38"/>
      </c>
      <c r="J127" s="328">
        <f t="shared" ref="J127:J130" si="23">G127/E127</f>
      </c>
      <c r="K127" s="327">
        <v>3</v>
      </c>
      <c r="L127" s="327">
        <v>2419.2</v>
      </c>
      <c r="M127" s="327" t="s">
        <v>693</v>
      </c>
      <c r="N127" s="327">
        <v>2</v>
      </c>
      <c r="O127" s="329"/>
      <c r="P127" s="329"/>
    </row>
    <row customHeight="true" hidden="true" ht="16.071428571428573" r="128">
      <c r="A128" s="325" t="s">
        <v>692</v>
      </c>
      <c r="B128" s="337" t="s">
        <v>630</v>
      </c>
      <c r="C128" s="327" t="s">
        <v>643</v>
      </c>
      <c r="D128" s="327">
        <v>5</v>
      </c>
      <c r="E128" s="327">
        <v>23</v>
      </c>
      <c r="F128" s="327">
        <v>25187.2</v>
      </c>
      <c r="G128" s="327">
        <v>23053.86</v>
      </c>
      <c r="H128" s="328">
        <f t="shared" si="36"/>
      </c>
      <c r="I128" s="328">
        <f t="shared" si="38"/>
      </c>
      <c r="J128" s="328">
        <f t="shared" si="23"/>
      </c>
      <c r="K128" s="327">
        <v>4</v>
      </c>
      <c r="L128" s="327">
        <v>2986.8</v>
      </c>
      <c r="M128" s="327" t="s">
        <v>678</v>
      </c>
      <c r="N128" s="327">
        <v>9</v>
      </c>
      <c r="O128" s="329" t="s">
        <v>641</v>
      </c>
      <c r="P128" s="329">
        <v>10</v>
      </c>
    </row>
    <row customHeight="true" ht="16.071428571428573" r="129">
      <c r="A129" s="333" t="s">
        <v>692</v>
      </c>
      <c r="B129" s="334"/>
      <c r="C129" s="334"/>
      <c r="D129" s="335">
        <f>SUM(D125:D128)</f>
      </c>
      <c r="E129" s="335">
        <f>SUM(E125:E128)</f>
      </c>
      <c r="F129" s="335">
        <f>SUM(F125:F128)</f>
      </c>
      <c r="G129" s="335">
        <f>SUM(G125:G128)</f>
      </c>
      <c r="H129" s="336">
        <f t="shared" si="36"/>
      </c>
      <c r="I129" s="336">
        <f t="shared" si="38"/>
      </c>
      <c r="J129" s="336">
        <f t="shared" si="23"/>
      </c>
      <c r="K129" s="335">
        <f>SUM(K125:K128)</f>
      </c>
      <c r="L129" s="335">
        <f>SUM(L125:L128)</f>
      </c>
      <c r="M129" s="334"/>
      <c r="N129" s="335">
        <f>SUM(N125:N128)</f>
      </c>
      <c r="O129" s="334"/>
      <c r="P129" s="334">
        <f>SUM(P125:P128)</f>
      </c>
    </row>
    <row customHeight="true" hidden="true" ht="16.071428571428573" r="130">
      <c r="A130" s="325" t="s">
        <v>694</v>
      </c>
      <c r="B130" s="337" t="s">
        <v>634</v>
      </c>
      <c r="C130" s="329" t="s">
        <v>631</v>
      </c>
      <c r="D130" s="329">
        <v>5</v>
      </c>
      <c r="E130" s="327">
        <v>14</v>
      </c>
      <c r="F130" s="327">
        <v>18912.2</v>
      </c>
      <c r="G130" s="327">
        <v>13529.07</v>
      </c>
      <c r="H130" s="328">
        <f t="shared" si="36"/>
      </c>
      <c r="I130" s="328">
        <f t="shared" si="38"/>
      </c>
      <c r="J130" s="328">
        <f t="shared" si="23"/>
      </c>
      <c r="K130" s="327">
        <v>4</v>
      </c>
      <c r="L130" s="327">
        <v>4143.6</v>
      </c>
      <c r="M130" s="327" t="s">
        <v>658</v>
      </c>
      <c r="N130" s="327">
        <v>9</v>
      </c>
      <c r="O130" s="329" t="s">
        <v>633</v>
      </c>
      <c r="P130" s="329">
        <v>10</v>
      </c>
    </row>
    <row customHeight="true" hidden="true" ht="16.071428571428573" r="131">
      <c r="A131" s="325" t="s">
        <v>694</v>
      </c>
      <c r="B131" s="337" t="s">
        <v>661</v>
      </c>
      <c r="C131" s="329" t="s">
        <v>635</v>
      </c>
      <c r="D131" s="329">
        <v>5</v>
      </c>
      <c r="E131" s="327">
        <v>20</v>
      </c>
      <c r="F131" s="327">
        <v>33606.799999999996</v>
      </c>
      <c r="G131" s="327">
        <v>17010.68</v>
      </c>
      <c r="H131" s="328">
        <f t="shared" si="36"/>
      </c>
      <c r="I131" s="328">
        <f t="shared" si="38"/>
      </c>
      <c r="J131" s="328">
        <f>G130/E131</f>
      </c>
      <c r="K131" s="327">
        <v>3</v>
      </c>
      <c r="L131" s="327">
        <v>5018.4</v>
      </c>
      <c r="M131" s="329"/>
      <c r="N131" s="329"/>
      <c r="O131" s="332"/>
      <c r="P131" s="329"/>
    </row>
    <row customHeight="true" hidden="true" ht="16.071428571428573" r="132">
      <c r="A132" s="325" t="s">
        <v>694</v>
      </c>
      <c r="B132" s="337" t="s">
        <v>630</v>
      </c>
      <c r="C132" s="329" t="s">
        <v>637</v>
      </c>
      <c r="D132" s="329">
        <v>5</v>
      </c>
      <c r="E132" s="327">
        <v>4</v>
      </c>
      <c r="F132" s="327">
        <v>6703.199999999997</v>
      </c>
      <c r="G132" s="327">
        <v>6513.639999999999</v>
      </c>
      <c r="H132" s="328">
        <f t="shared" si="36"/>
      </c>
      <c r="I132" s="328">
        <f t="shared" si="38"/>
      </c>
      <c r="J132" s="328">
        <f t="shared" ref="J132:J135" si="24">G132/E132</f>
      </c>
      <c r="K132" s="327">
        <v>2</v>
      </c>
      <c r="L132" s="327">
        <v>4070.4</v>
      </c>
      <c r="M132" s="327" t="s">
        <v>693</v>
      </c>
      <c r="N132" s="327">
        <v>2</v>
      </c>
      <c r="O132" s="329"/>
      <c r="P132" s="329"/>
    </row>
    <row customHeight="true" hidden="true" ht="16.071428571428573" r="133">
      <c r="A133" s="325" t="s">
        <v>694</v>
      </c>
      <c r="B133" s="337" t="s">
        <v>638</v>
      </c>
      <c r="C133" s="327" t="s">
        <v>643</v>
      </c>
      <c r="D133" s="327">
        <v>5</v>
      </c>
      <c r="E133" s="327">
        <v>19</v>
      </c>
      <c r="F133" s="327">
        <v>14463.6</v>
      </c>
      <c r="G133" s="327">
        <v>16623.9</v>
      </c>
      <c r="H133" s="328">
        <f t="shared" si="36"/>
      </c>
      <c r="I133" s="328">
        <f t="shared" si="38"/>
      </c>
      <c r="J133" s="328">
        <f t="shared" si="24"/>
      </c>
      <c r="K133" s="327">
        <v>5</v>
      </c>
      <c r="L133" s="327">
        <v>3015.6</v>
      </c>
      <c r="M133" s="327" t="s">
        <v>678</v>
      </c>
      <c r="N133" s="327">
        <v>9</v>
      </c>
      <c r="O133" s="329" t="s">
        <v>641</v>
      </c>
      <c r="P133" s="329">
        <v>10</v>
      </c>
    </row>
    <row customHeight="true" ht="16.071428571428573" r="134">
      <c r="A134" s="333" t="s">
        <v>694</v>
      </c>
      <c r="B134" s="334"/>
      <c r="C134" s="334"/>
      <c r="D134" s="335">
        <f>SUM(D130:D133)</f>
      </c>
      <c r="E134" s="335">
        <f>SUM(E130:E133)</f>
      </c>
      <c r="F134" s="335">
        <f>SUM(F130:F133)</f>
      </c>
      <c r="G134" s="335">
        <f>SUM(G130:G133)</f>
      </c>
      <c r="H134" s="336">
        <f t="shared" si="36"/>
      </c>
      <c r="I134" s="336">
        <f t="shared" si="38"/>
      </c>
      <c r="J134" s="336">
        <f t="shared" si="24"/>
      </c>
      <c r="K134" s="335">
        <f>SUM(K130:K133)</f>
      </c>
      <c r="L134" s="335">
        <f>SUM(L130:L133)</f>
      </c>
      <c r="M134" s="334"/>
      <c r="N134" s="335">
        <f>SUM(N130:N133)</f>
      </c>
      <c r="O134" s="334"/>
      <c r="P134" s="334">
        <f>SUM(P130:P133)</f>
      </c>
    </row>
    <row customHeight="true" hidden="true" ht="16.071428571428573" r="135">
      <c r="A135" s="325" t="s">
        <v>695</v>
      </c>
      <c r="B135" s="337" t="s">
        <v>630</v>
      </c>
      <c r="C135" s="329" t="s">
        <v>631</v>
      </c>
      <c r="D135" s="329">
        <v>5</v>
      </c>
      <c r="E135" s="327">
        <v>14</v>
      </c>
      <c r="F135" s="327">
        <v>20316</v>
      </c>
      <c r="G135" s="327">
        <v>13799.76</v>
      </c>
      <c r="H135" s="328">
        <f t="shared" si="36"/>
      </c>
      <c r="I135" s="328">
        <f t="shared" si="38"/>
      </c>
      <c r="J135" s="328">
        <f t="shared" si="24"/>
      </c>
      <c r="K135" s="327">
        <v>5</v>
      </c>
      <c r="L135" s="327">
        <v>8227.199999999999</v>
      </c>
      <c r="M135" s="327" t="s">
        <v>658</v>
      </c>
      <c r="N135" s="327">
        <v>9</v>
      </c>
      <c r="O135" s="329" t="s">
        <v>633</v>
      </c>
      <c r="P135" s="329">
        <v>10</v>
      </c>
    </row>
    <row customHeight="true" hidden="true" ht="16.071428571428573" r="136">
      <c r="A136" s="325" t="s">
        <v>695</v>
      </c>
      <c r="B136" s="337" t="s">
        <v>636</v>
      </c>
      <c r="C136" s="329" t="s">
        <v>635</v>
      </c>
      <c r="D136" s="329">
        <v>5</v>
      </c>
      <c r="E136" s="327">
        <v>9</v>
      </c>
      <c r="F136" s="327">
        <v>11134.8</v>
      </c>
      <c r="G136" s="327">
        <v>11724.52</v>
      </c>
      <c r="H136" s="328">
        <f t="shared" si="36"/>
      </c>
      <c r="I136" s="328">
        <f t="shared" si="38"/>
      </c>
      <c r="J136" s="328">
        <f>G135/E136</f>
      </c>
      <c r="K136" s="327">
        <v>2</v>
      </c>
      <c r="L136" s="327">
        <v>825.6</v>
      </c>
      <c r="M136" s="329"/>
      <c r="N136" s="329"/>
      <c r="O136" s="332"/>
      <c r="P136" s="329"/>
    </row>
    <row customHeight="true" hidden="true" ht="16.071428571428573" r="137">
      <c r="A137" s="325" t="s">
        <v>695</v>
      </c>
      <c r="B137" s="337" t="s">
        <v>661</v>
      </c>
      <c r="C137" s="329" t="s">
        <v>637</v>
      </c>
      <c r="D137" s="329">
        <v>5</v>
      </c>
      <c r="E137" s="327">
        <v>16</v>
      </c>
      <c r="F137" s="327">
        <v>19690.8</v>
      </c>
      <c r="G137" s="327">
        <v>11499.51</v>
      </c>
      <c r="H137" s="328">
        <f t="shared" si="36"/>
      </c>
      <c r="I137" s="328">
        <f t="shared" si="38"/>
      </c>
      <c r="J137" s="328">
        <f t="shared" ref="J137:J140" si="25">G137/E137</f>
      </c>
      <c r="K137" s="327">
        <v>4</v>
      </c>
      <c r="L137" s="327">
        <v>4531.200000000001</v>
      </c>
      <c r="M137" s="327" t="s">
        <v>693</v>
      </c>
      <c r="N137" s="327">
        <v>2</v>
      </c>
      <c r="O137" s="329"/>
      <c r="P137" s="329"/>
    </row>
    <row customHeight="true" hidden="true" ht="16.071428571428573" r="138">
      <c r="A138" s="325" t="s">
        <v>695</v>
      </c>
      <c r="B138" s="337" t="s">
        <v>638</v>
      </c>
      <c r="C138" s="327" t="s">
        <v>643</v>
      </c>
      <c r="D138" s="327">
        <v>5</v>
      </c>
      <c r="E138" s="327">
        <v>17</v>
      </c>
      <c r="F138" s="327">
        <v>21562.8</v>
      </c>
      <c r="G138" s="327">
        <v>18652.23</v>
      </c>
      <c r="H138" s="328">
        <f t="shared" si="36"/>
      </c>
      <c r="I138" s="328">
        <f t="shared" si="38"/>
      </c>
      <c r="J138" s="328">
        <f t="shared" si="25"/>
      </c>
      <c r="K138" s="327">
        <v>0</v>
      </c>
      <c r="L138" s="327">
        <v>0</v>
      </c>
      <c r="M138" s="327" t="s">
        <v>678</v>
      </c>
      <c r="N138" s="327">
        <v>9</v>
      </c>
      <c r="O138" s="329" t="s">
        <v>641</v>
      </c>
      <c r="P138" s="329">
        <v>10</v>
      </c>
    </row>
    <row customHeight="true" ht="16.071428571428573" r="139">
      <c r="A139" s="333" t="s">
        <v>695</v>
      </c>
      <c r="B139" s="334"/>
      <c r="C139" s="334"/>
      <c r="D139" s="335">
        <f>SUM(D135:D138)</f>
      </c>
      <c r="E139" s="335">
        <f>SUM(E135:E138)</f>
      </c>
      <c r="F139" s="335">
        <f>SUM(F135:F138)</f>
      </c>
      <c r="G139" s="335">
        <f>SUM(G135:G138)</f>
      </c>
      <c r="H139" s="336">
        <f t="shared" si="36"/>
      </c>
      <c r="I139" s="336">
        <f t="shared" si="38"/>
      </c>
      <c r="J139" s="336">
        <f t="shared" si="25"/>
      </c>
      <c r="K139" s="335">
        <f>SUM(K135:K138)</f>
      </c>
      <c r="L139" s="335">
        <f>SUM(L135:L138)</f>
      </c>
      <c r="M139" s="334"/>
      <c r="N139" s="335">
        <f>SUM(N135:N138)</f>
      </c>
      <c r="O139" s="334"/>
      <c r="P139" s="334">
        <f>SUM(P135:P138)</f>
      </c>
    </row>
    <row customHeight="true" hidden="true" ht="16.071428571428573" r="140">
      <c r="A140" s="325" t="s">
        <v>696</v>
      </c>
      <c r="B140" s="337" t="s">
        <v>636</v>
      </c>
      <c r="C140" s="329" t="s">
        <v>631</v>
      </c>
      <c r="D140" s="329">
        <v>5</v>
      </c>
      <c r="E140" s="327">
        <v>22</v>
      </c>
      <c r="F140" s="327">
        <v>26769.6</v>
      </c>
      <c r="G140" s="327">
        <v>23500.11</v>
      </c>
      <c r="H140" s="328">
        <f t="shared" si="36"/>
      </c>
      <c r="I140" s="328">
        <f t="shared" si="38"/>
      </c>
      <c r="J140" s="328">
        <f t="shared" si="25"/>
      </c>
      <c r="K140" s="327">
        <v>10</v>
      </c>
      <c r="L140" s="327">
        <v>11001.6</v>
      </c>
      <c r="M140" s="327" t="s">
        <v>658</v>
      </c>
      <c r="N140" s="327">
        <v>9</v>
      </c>
      <c r="O140" s="329" t="s">
        <v>633</v>
      </c>
      <c r="P140" s="329">
        <v>10</v>
      </c>
    </row>
    <row customHeight="true" hidden="true" ht="16.071428571428573" r="141">
      <c r="A141" s="325" t="s">
        <v>696</v>
      </c>
      <c r="B141" s="337" t="s">
        <v>634</v>
      </c>
      <c r="C141" s="329" t="s">
        <v>635</v>
      </c>
      <c r="D141" s="329">
        <v>5</v>
      </c>
      <c r="E141" s="327">
        <v>12</v>
      </c>
      <c r="F141" s="327">
        <v>7864.800000000001</v>
      </c>
      <c r="G141" s="327">
        <v>13169.44</v>
      </c>
      <c r="H141" s="328">
        <f t="shared" si="36"/>
      </c>
      <c r="I141" s="328">
        <f t="shared" si="38"/>
      </c>
      <c r="J141" s="328">
        <f>G140/E141</f>
      </c>
      <c r="K141" s="327">
        <v>2</v>
      </c>
      <c r="L141" s="327">
        <v>840</v>
      </c>
      <c r="M141" s="329"/>
      <c r="N141" s="329"/>
      <c r="O141" s="332"/>
      <c r="P141" s="329"/>
    </row>
    <row customHeight="true" hidden="true" ht="16.071428571428573" r="142">
      <c r="A142" s="325" t="s">
        <v>696</v>
      </c>
      <c r="B142" s="337" t="s">
        <v>661</v>
      </c>
      <c r="C142" s="329" t="s">
        <v>637</v>
      </c>
      <c r="D142" s="329">
        <v>5</v>
      </c>
      <c r="E142" s="327">
        <v>12</v>
      </c>
      <c r="F142" s="327">
        <v>18164.4</v>
      </c>
      <c r="G142" s="327">
        <v>7989.620000000001</v>
      </c>
      <c r="H142" s="328">
        <f t="shared" si="36"/>
      </c>
      <c r="I142" s="328">
        <f t="shared" si="38"/>
      </c>
      <c r="J142" s="328">
        <f t="shared" ref="J142:J145" si="26">G142/E142</f>
      </c>
      <c r="K142" s="327">
        <v>5</v>
      </c>
      <c r="L142" s="327">
        <v>6897.6</v>
      </c>
      <c r="M142" s="327" t="s">
        <v>693</v>
      </c>
      <c r="N142" s="327">
        <v>2</v>
      </c>
      <c r="O142" s="329"/>
      <c r="P142" s="329"/>
    </row>
    <row customHeight="true" hidden="true" ht="16.071428571428573" r="143">
      <c r="A143" s="325" t="s">
        <v>696</v>
      </c>
      <c r="B143" s="337" t="s">
        <v>630</v>
      </c>
      <c r="C143" s="327" t="s">
        <v>643</v>
      </c>
      <c r="D143" s="327">
        <v>5</v>
      </c>
      <c r="E143" s="327">
        <v>16</v>
      </c>
      <c r="F143" s="327">
        <v>24783</v>
      </c>
      <c r="G143" s="327">
        <v>15584.63</v>
      </c>
      <c r="H143" s="328">
        <f t="shared" si="36"/>
      </c>
      <c r="I143" s="328">
        <f t="shared" si="38"/>
      </c>
      <c r="J143" s="328">
        <f t="shared" si="26"/>
      </c>
      <c r="K143" s="327">
        <v>1</v>
      </c>
      <c r="L143" s="327">
        <v>2011.2000000000007</v>
      </c>
      <c r="M143" s="327" t="s">
        <v>678</v>
      </c>
      <c r="N143" s="327">
        <v>9</v>
      </c>
      <c r="O143" s="329" t="s">
        <v>641</v>
      </c>
      <c r="P143" s="329">
        <v>10</v>
      </c>
    </row>
    <row customHeight="true" ht="16.071428571428573" r="144">
      <c r="A144" s="333" t="s">
        <v>696</v>
      </c>
      <c r="B144" s="334"/>
      <c r="C144" s="334"/>
      <c r="D144" s="335">
        <f>SUM(D140:D143)</f>
      </c>
      <c r="E144" s="335">
        <f>SUM(E140:E143)</f>
      </c>
      <c r="F144" s="335">
        <f>SUM(F140:F143)</f>
      </c>
      <c r="G144" s="335">
        <f>SUM(G140:G143)</f>
      </c>
      <c r="H144" s="336">
        <f t="shared" si="36"/>
      </c>
      <c r="I144" s="336">
        <f t="shared" si="38"/>
      </c>
      <c r="J144" s="336">
        <f t="shared" si="26"/>
      </c>
      <c r="K144" s="335">
        <f>SUM(K140:K143)</f>
      </c>
      <c r="L144" s="335">
        <f>SUM(L140:L143)</f>
      </c>
      <c r="M144" s="334"/>
      <c r="N144" s="335">
        <f>SUM(N140:N143)</f>
      </c>
      <c r="O144" s="334"/>
      <c r="P144" s="334">
        <f>SUM(P140:P143)</f>
      </c>
    </row>
    <row customHeight="true" hidden="true" ht="16.071428571428573" r="145">
      <c r="A145" s="325" t="s">
        <v>697</v>
      </c>
      <c r="B145" s="337" t="s">
        <v>636</v>
      </c>
      <c r="C145" s="329" t="s">
        <v>631</v>
      </c>
      <c r="D145" s="329">
        <v>5</v>
      </c>
      <c r="E145" s="327">
        <v>36</v>
      </c>
      <c r="F145" s="327">
        <v>48800</v>
      </c>
      <c r="G145" s="327">
        <v>32155.22</v>
      </c>
      <c r="H145" s="328">
        <f t="shared" si="36"/>
      </c>
      <c r="I145" s="328">
        <f t="shared" si="38"/>
      </c>
      <c r="J145" s="328">
        <f t="shared" si="26"/>
      </c>
      <c r="K145" s="327">
        <v>8</v>
      </c>
      <c r="L145" s="327">
        <v>10424.4</v>
      </c>
      <c r="M145" s="327" t="s">
        <v>658</v>
      </c>
      <c r="N145" s="327">
        <v>9</v>
      </c>
      <c r="O145" s="329" t="s">
        <v>633</v>
      </c>
      <c r="P145" s="329">
        <v>10</v>
      </c>
    </row>
    <row customHeight="true" hidden="true" ht="16.071428571428573" r="146">
      <c r="A146" s="325" t="s">
        <v>697</v>
      </c>
      <c r="B146" s="337" t="s">
        <v>638</v>
      </c>
      <c r="C146" s="329" t="s">
        <v>635</v>
      </c>
      <c r="D146" s="329">
        <v>5</v>
      </c>
      <c r="E146" s="327">
        <v>10</v>
      </c>
      <c r="F146" s="327">
        <v>12236.199999999997</v>
      </c>
      <c r="G146" s="327">
        <v>14153.36</v>
      </c>
      <c r="H146" s="328">
        <f t="shared" si="36"/>
      </c>
      <c r="I146" s="328">
        <f t="shared" si="38"/>
      </c>
      <c r="J146" s="328">
        <f>G145/E146</f>
      </c>
      <c r="K146" s="327">
        <v>3</v>
      </c>
      <c r="L146" s="327">
        <v>4442.400000000001</v>
      </c>
      <c r="M146" s="329"/>
      <c r="N146" s="329"/>
      <c r="O146" s="332"/>
      <c r="P146" s="329"/>
    </row>
    <row customHeight="true" hidden="true" ht="16.071428571428573" r="147">
      <c r="A147" s="325" t="s">
        <v>697</v>
      </c>
      <c r="B147" s="337" t="s">
        <v>630</v>
      </c>
      <c r="C147" s="329" t="s">
        <v>637</v>
      </c>
      <c r="D147" s="329">
        <v>5</v>
      </c>
      <c r="E147" s="327">
        <v>13</v>
      </c>
      <c r="F147" s="327">
        <v>17842.40000000001</v>
      </c>
      <c r="G147" s="327">
        <v>9018.93</v>
      </c>
      <c r="H147" s="328">
        <f t="shared" si="36"/>
      </c>
      <c r="I147" s="328">
        <f t="shared" si="38"/>
      </c>
      <c r="J147" s="328">
        <f t="shared" ref="J147:J150" si="27">G147/E147</f>
      </c>
      <c r="K147" s="327">
        <v>2</v>
      </c>
      <c r="L147" s="327">
        <v>2851.2000000000007</v>
      </c>
      <c r="M147" s="327"/>
      <c r="N147" s="327"/>
      <c r="O147" s="329"/>
      <c r="P147" s="329"/>
    </row>
    <row customHeight="true" hidden="true" ht="16.071428571428573" r="148">
      <c r="A148" s="325" t="s">
        <v>697</v>
      </c>
      <c r="B148" s="337" t="s">
        <v>634</v>
      </c>
      <c r="C148" s="327" t="s">
        <v>643</v>
      </c>
      <c r="D148" s="327">
        <v>5</v>
      </c>
      <c r="E148" s="327">
        <v>14</v>
      </c>
      <c r="F148" s="327">
        <v>14870.399999999994</v>
      </c>
      <c r="G148" s="327">
        <v>12125.02</v>
      </c>
      <c r="H148" s="328">
        <f t="shared" si="36"/>
      </c>
      <c r="I148" s="328">
        <f t="shared" si="38"/>
      </c>
      <c r="J148" s="328">
        <f t="shared" si="27"/>
      </c>
      <c r="K148" s="327">
        <v>1</v>
      </c>
      <c r="L148" s="327">
        <v>488.40000000000146</v>
      </c>
      <c r="M148" s="327" t="s">
        <v>640</v>
      </c>
      <c r="N148" s="327">
        <v>11</v>
      </c>
      <c r="O148" s="329" t="s">
        <v>641</v>
      </c>
      <c r="P148" s="329">
        <v>10</v>
      </c>
    </row>
    <row customHeight="true" ht="16.071428571428573" r="149">
      <c r="A149" s="333" t="s">
        <v>697</v>
      </c>
      <c r="B149" s="334"/>
      <c r="C149" s="334"/>
      <c r="D149" s="335">
        <f>SUM(D145:D148)</f>
      </c>
      <c r="E149" s="335">
        <f>SUM(E145:E148)</f>
      </c>
      <c r="F149" s="335">
        <f>SUM(F145:F148)</f>
      </c>
      <c r="G149" s="335">
        <f>SUM(G145:G148)</f>
      </c>
      <c r="H149" s="336">
        <f t="shared" si="36"/>
      </c>
      <c r="I149" s="336">
        <f t="shared" si="38"/>
      </c>
      <c r="J149" s="336">
        <f t="shared" si="27"/>
      </c>
      <c r="K149" s="335">
        <f>SUM(K145:K148)</f>
      </c>
      <c r="L149" s="335">
        <f>SUM(L145:L148)</f>
      </c>
      <c r="M149" s="334"/>
      <c r="N149" s="335">
        <f>SUM(N145:N148)</f>
      </c>
      <c r="O149" s="334"/>
      <c r="P149" s="334">
        <f>SUM(P145:P148)</f>
      </c>
    </row>
    <row hidden="true" r="150">
      <c r="A150" s="325" t="s">
        <v>698</v>
      </c>
      <c r="B150" s="337" t="s">
        <v>636</v>
      </c>
      <c r="C150" s="329" t="s">
        <v>631</v>
      </c>
      <c r="D150" s="329">
        <v>5</v>
      </c>
      <c r="E150" s="327">
        <v>26</v>
      </c>
      <c r="F150" s="327">
        <v>30456</v>
      </c>
      <c r="G150" s="327">
        <v>19911.05</v>
      </c>
      <c r="H150" s="328">
        <f t="shared" si="36"/>
      </c>
      <c r="I150" s="328">
        <f t="shared" si="38"/>
      </c>
      <c r="J150" s="328">
        <f t="shared" si="27"/>
      </c>
      <c r="K150" s="327">
        <v>6</v>
      </c>
      <c r="L150" s="327">
        <v>4581.6</v>
      </c>
      <c r="M150" s="327" t="s">
        <v>658</v>
      </c>
      <c r="N150" s="327">
        <v>10</v>
      </c>
      <c r="O150" s="329" t="s">
        <v>633</v>
      </c>
      <c r="P150" s="329">
        <v>10</v>
      </c>
    </row>
    <row hidden="true" r="151">
      <c r="A151" s="325" t="s">
        <v>698</v>
      </c>
      <c r="B151" s="337" t="s">
        <v>634</v>
      </c>
      <c r="C151" s="329" t="s">
        <v>635</v>
      </c>
      <c r="D151" s="329">
        <v>5</v>
      </c>
      <c r="E151" s="327">
        <v>18</v>
      </c>
      <c r="F151" s="327">
        <v>23024.6</v>
      </c>
      <c r="G151" s="327">
        <v>9670.060000000001</v>
      </c>
      <c r="H151" s="328">
        <f t="shared" si="36"/>
      </c>
      <c r="I151" s="328">
        <f t="shared" si="38"/>
      </c>
      <c r="J151" s="328">
        <f>G150/E151</f>
      </c>
      <c r="K151" s="327">
        <v>4</v>
      </c>
      <c r="L151" s="327">
        <v>6648.6</v>
      </c>
      <c r="M151" s="329"/>
      <c r="N151" s="329"/>
      <c r="O151" s="332"/>
      <c r="P151" s="329"/>
    </row>
    <row hidden="true" r="152">
      <c r="A152" s="325" t="s">
        <v>698</v>
      </c>
      <c r="B152" s="337" t="s">
        <v>638</v>
      </c>
      <c r="C152" s="329" t="s">
        <v>637</v>
      </c>
      <c r="D152" s="329">
        <v>5</v>
      </c>
      <c r="E152" s="327">
        <v>4</v>
      </c>
      <c r="F152" s="327">
        <v>6274.800000000003</v>
      </c>
      <c r="G152" s="327">
        <v>6158.4400000000005</v>
      </c>
      <c r="H152" s="328">
        <f t="shared" si="36"/>
      </c>
      <c r="I152" s="328">
        <f t="shared" si="38"/>
      </c>
      <c r="J152" s="328">
        <f t="shared" ref="J152:J155" si="28">G152/E152</f>
      </c>
      <c r="K152" s="327">
        <v>2</v>
      </c>
      <c r="L152" s="327">
        <v>2175.5999999999985</v>
      </c>
      <c r="M152" s="327"/>
      <c r="N152" s="327"/>
      <c r="O152" s="329"/>
      <c r="P152" s="329"/>
    </row>
    <row hidden="true" r="153">
      <c r="A153" s="325" t="s">
        <v>698</v>
      </c>
      <c r="B153" s="337" t="s">
        <v>661</v>
      </c>
      <c r="C153" s="327" t="s">
        <v>643</v>
      </c>
      <c r="D153" s="327">
        <v>5</v>
      </c>
      <c r="E153" s="327">
        <v>16</v>
      </c>
      <c r="F153" s="327">
        <v>24993.6</v>
      </c>
      <c r="G153" s="327">
        <v>13550.31</v>
      </c>
      <c r="H153" s="328">
        <f t="shared" si="36"/>
      </c>
      <c r="I153" s="328">
        <f t="shared" si="38"/>
      </c>
      <c r="J153" s="328">
        <f t="shared" si="28"/>
      </c>
      <c r="K153" s="327">
        <v>0</v>
      </c>
      <c r="L153" s="327">
        <v>0</v>
      </c>
      <c r="M153" s="327" t="s">
        <v>640</v>
      </c>
      <c r="N153" s="327">
        <v>10</v>
      </c>
      <c r="O153" s="329" t="s">
        <v>641</v>
      </c>
      <c r="P153" s="329">
        <v>10</v>
      </c>
    </row>
    <row r="154">
      <c r="A154" s="333" t="s">
        <v>698</v>
      </c>
      <c r="B154" s="334"/>
      <c r="C154" s="334"/>
      <c r="D154" s="335">
        <f>SUM(D150:D153)</f>
      </c>
      <c r="E154" s="335">
        <f>SUM(E150:E153)</f>
      </c>
      <c r="F154" s="335">
        <f>SUM(F150:F153)</f>
      </c>
      <c r="G154" s="335">
        <f>SUM(G150:G153)</f>
      </c>
      <c r="H154" s="336">
        <f t="shared" si="36"/>
      </c>
      <c r="I154" s="336">
        <f t="shared" si="38"/>
      </c>
      <c r="J154" s="336">
        <f t="shared" si="28"/>
      </c>
      <c r="K154" s="335">
        <f>SUM(K150:K153)</f>
      </c>
      <c r="L154" s="335">
        <f>SUM(L150:L153)</f>
      </c>
      <c r="M154" s="334"/>
      <c r="N154" s="335">
        <f>SUM(N150:N153)</f>
      </c>
      <c r="O154" s="334"/>
      <c r="P154" s="334">
        <f>SUM(P150:P153)</f>
      </c>
    </row>
    <row hidden="true" r="155">
      <c r="A155" s="325" t="s">
        <v>699</v>
      </c>
      <c r="B155" s="337" t="s">
        <v>634</v>
      </c>
      <c r="C155" s="329" t="s">
        <v>631</v>
      </c>
      <c r="D155" s="329">
        <v>5</v>
      </c>
      <c r="E155" s="327">
        <v>15</v>
      </c>
      <c r="F155" s="327">
        <v>36830.4</v>
      </c>
      <c r="G155" s="327">
        <v>10424.36</v>
      </c>
      <c r="H155" s="328">
        <f t="shared" si="36"/>
      </c>
      <c r="I155" s="328">
        <f t="shared" si="38"/>
      </c>
      <c r="J155" s="328">
        <f t="shared" si="28"/>
      </c>
      <c r="K155" s="327">
        <v>5</v>
      </c>
      <c r="L155" s="327">
        <v>16182</v>
      </c>
      <c r="M155" s="327" t="s">
        <v>658</v>
      </c>
      <c r="N155" s="327">
        <v>10</v>
      </c>
      <c r="O155" s="329" t="s">
        <v>633</v>
      </c>
      <c r="P155" s="329">
        <v>10</v>
      </c>
    </row>
    <row hidden="true" r="156">
      <c r="A156" s="325" t="s">
        <v>699</v>
      </c>
      <c r="B156" s="337" t="s">
        <v>661</v>
      </c>
      <c r="C156" s="329" t="s">
        <v>635</v>
      </c>
      <c r="D156" s="329">
        <v>5</v>
      </c>
      <c r="E156" s="327">
        <v>16</v>
      </c>
      <c r="F156" s="327">
        <v>23246.71</v>
      </c>
      <c r="G156" s="327">
        <v>12477.1</v>
      </c>
      <c r="H156" s="328">
        <f t="shared" si="36"/>
      </c>
      <c r="I156" s="328">
        <f t="shared" si="38"/>
      </c>
      <c r="J156" s="328">
        <f>G155/E156</f>
      </c>
      <c r="K156" s="327">
        <v>3</v>
      </c>
      <c r="L156" s="327">
        <v>6033.6</v>
      </c>
      <c r="M156" s="329"/>
      <c r="N156" s="329"/>
      <c r="O156" s="332"/>
      <c r="P156" s="329"/>
    </row>
    <row hidden="true" r="157">
      <c r="A157" s="325" t="s">
        <v>699</v>
      </c>
      <c r="B157" s="337" t="s">
        <v>638</v>
      </c>
      <c r="C157" s="329" t="s">
        <v>637</v>
      </c>
      <c r="D157" s="352">
        <v>4</v>
      </c>
      <c r="E157" s="327">
        <v>12</v>
      </c>
      <c r="F157" s="327">
        <v>11666.199999999997</v>
      </c>
      <c r="G157" s="327">
        <v>13461.560000000001</v>
      </c>
      <c r="H157" s="328">
        <f t="shared" si="36"/>
      </c>
      <c r="I157" s="328">
        <f t="shared" si="38"/>
      </c>
      <c r="J157" s="328">
        <f t="shared" ref="J157:J160" si="29">G157/E157</f>
      </c>
      <c r="K157" s="327">
        <v>2</v>
      </c>
      <c r="L157" s="327">
        <v>699.6000000000022</v>
      </c>
      <c r="M157" s="327"/>
      <c r="N157" s="327"/>
      <c r="O157" s="329"/>
      <c r="P157" s="329"/>
    </row>
    <row customHeight="true" hidden="true" ht="16.071428571428573" r="158">
      <c r="A158" s="325" t="s">
        <v>699</v>
      </c>
      <c r="B158" s="337" t="s">
        <v>636</v>
      </c>
      <c r="C158" s="327" t="s">
        <v>643</v>
      </c>
      <c r="D158" s="327">
        <v>5</v>
      </c>
      <c r="E158" s="327">
        <v>29</v>
      </c>
      <c r="F158" s="327">
        <v>28402.800000000003</v>
      </c>
      <c r="G158" s="327">
        <v>22121.38</v>
      </c>
      <c r="H158" s="328">
        <f t="shared" si="36"/>
      </c>
      <c r="I158" s="328">
        <f t="shared" si="38"/>
      </c>
      <c r="J158" s="328">
        <f t="shared" si="29"/>
      </c>
      <c r="K158" s="327">
        <v>8</v>
      </c>
      <c r="L158" s="327">
        <v>6682.799999999996</v>
      </c>
      <c r="M158" s="327" t="s">
        <v>640</v>
      </c>
      <c r="N158" s="327">
        <v>10</v>
      </c>
      <c r="O158" s="329" t="s">
        <v>641</v>
      </c>
      <c r="P158" s="329">
        <v>10</v>
      </c>
    </row>
    <row customHeight="true" ht="16.071428571428573" r="159">
      <c r="A159" s="333" t="s">
        <v>699</v>
      </c>
      <c r="B159" s="334"/>
      <c r="C159" s="334"/>
      <c r="D159" s="335">
        <f>SUM(D155:D158)</f>
      </c>
      <c r="E159" s="335">
        <f>SUM(E155:E158)</f>
      </c>
      <c r="F159" s="335">
        <f>SUM(F155:F158)</f>
      </c>
      <c r="G159" s="335">
        <f>SUM(G155:G158)</f>
      </c>
      <c r="H159" s="336">
        <f t="shared" si="36"/>
      </c>
      <c r="I159" s="336">
        <f t="shared" si="38"/>
      </c>
      <c r="J159" s="336">
        <f t="shared" si="29"/>
      </c>
      <c r="K159" s="335">
        <f>SUM(K155:K158)</f>
      </c>
      <c r="L159" s="335">
        <f>SUM(L155:L158)</f>
      </c>
      <c r="M159" s="334"/>
      <c r="N159" s="335">
        <f>SUM(N155:N158)</f>
      </c>
      <c r="O159" s="334"/>
      <c r="P159" s="334">
        <f>SUM(P155:P158)</f>
      </c>
    </row>
    <row customHeight="true" hidden="true" ht="16.071428571428573" r="160">
      <c r="A160" s="325" t="s">
        <v>700</v>
      </c>
      <c r="B160" s="337" t="s">
        <v>634</v>
      </c>
      <c r="C160" s="329" t="s">
        <v>631</v>
      </c>
      <c r="D160" s="352">
        <v>4.5</v>
      </c>
      <c r="E160" s="327">
        <v>37</v>
      </c>
      <c r="F160" s="327">
        <v>39240</v>
      </c>
      <c r="G160" s="327">
        <v>33254.11</v>
      </c>
      <c r="H160" s="328">
        <f t="shared" si="36"/>
      </c>
      <c r="I160" s="328">
        <f t="shared" si="38"/>
      </c>
      <c r="J160" s="328">
        <f t="shared" si="29"/>
      </c>
      <c r="K160" s="327">
        <v>8</v>
      </c>
      <c r="L160" s="327">
        <v>8456.4</v>
      </c>
      <c r="M160" s="327" t="s">
        <v>658</v>
      </c>
      <c r="N160" s="327">
        <v>10</v>
      </c>
      <c r="O160" s="329" t="s">
        <v>633</v>
      </c>
      <c r="P160" s="329">
        <v>10</v>
      </c>
    </row>
    <row customHeight="true" hidden="true" ht="16.071428571428573" r="161">
      <c r="A161" s="325" t="s">
        <v>700</v>
      </c>
      <c r="B161" s="337" t="s">
        <v>661</v>
      </c>
      <c r="C161" s="329" t="s">
        <v>635</v>
      </c>
      <c r="D161" s="352">
        <v>4.5</v>
      </c>
      <c r="E161" s="327">
        <v>19</v>
      </c>
      <c r="F161" s="327">
        <v>29864.2</v>
      </c>
      <c r="G161" s="327">
        <v>20793.030000000002</v>
      </c>
      <c r="H161" s="328">
        <f t="shared" si="36"/>
      </c>
      <c r="I161" s="328">
        <f t="shared" si="38"/>
      </c>
      <c r="J161" s="328">
        <f t="shared" ref="J161:J162" si="35">G160/E161</f>
      </c>
      <c r="K161" s="327">
        <v>3</v>
      </c>
      <c r="L161" s="327">
        <v>7195.4000000000015</v>
      </c>
      <c r="M161" s="329"/>
      <c r="N161" s="329"/>
      <c r="O161" s="332"/>
      <c r="P161" s="329"/>
    </row>
    <row customHeight="true" hidden="true" ht="16.071428571428573" r="162">
      <c r="A162" s="325" t="s">
        <v>700</v>
      </c>
      <c r="B162" s="337" t="s">
        <v>701</v>
      </c>
      <c r="C162" s="327" t="s">
        <v>702</v>
      </c>
      <c r="D162" s="327">
        <v>2</v>
      </c>
      <c r="E162" s="327">
        <v>16</v>
      </c>
      <c r="F162" s="327">
        <v>27783.600000000006</v>
      </c>
      <c r="G162" s="327">
        <v>8173.3</v>
      </c>
      <c r="H162" s="328">
        <f t="shared" si="36"/>
      </c>
      <c r="I162" s="328">
        <f t="shared" si="38"/>
      </c>
      <c r="J162" s="328">
        <f t="shared" si="35"/>
      </c>
      <c r="K162" s="327">
        <v>2</v>
      </c>
      <c r="L162" s="327">
        <v>2584.7999999999993</v>
      </c>
      <c r="M162" s="329"/>
      <c r="N162" s="329"/>
      <c r="O162" s="332"/>
      <c r="P162" s="329"/>
    </row>
    <row customHeight="true" hidden="true" ht="16.071428571428573" r="163">
      <c r="A163" s="325" t="s">
        <v>700</v>
      </c>
      <c r="B163" s="337" t="s">
        <v>630</v>
      </c>
      <c r="C163" s="327" t="s">
        <v>681</v>
      </c>
      <c r="D163" s="352">
        <v>3</v>
      </c>
      <c r="E163" s="327">
        <v>18</v>
      </c>
      <c r="F163" s="327">
        <v>25287.59999999999</v>
      </c>
      <c r="G163" s="327">
        <v>18596.61</v>
      </c>
      <c r="H163" s="328">
        <f t="shared" si="36"/>
      </c>
      <c r="I163" s="328">
        <f t="shared" si="38"/>
      </c>
      <c r="J163" s="328">
        <f t="shared" ref="J163:J165" si="30">G163/E163</f>
      </c>
      <c r="K163" s="327">
        <v>3</v>
      </c>
      <c r="L163" s="327">
        <v>6429.6</v>
      </c>
      <c r="M163" s="327"/>
      <c r="N163" s="327"/>
      <c r="O163" s="329"/>
      <c r="P163" s="329"/>
    </row>
    <row customHeight="true" hidden="true" ht="16.071428571428573" r="164">
      <c r="A164" s="325" t="s">
        <v>700</v>
      </c>
      <c r="B164" s="337" t="s">
        <v>636</v>
      </c>
      <c r="C164" s="327" t="s">
        <v>663</v>
      </c>
      <c r="D164" s="327">
        <v>4</v>
      </c>
      <c r="E164" s="327">
        <v>14</v>
      </c>
      <c r="F164" s="327">
        <v>12123.200000000012</v>
      </c>
      <c r="G164" s="327">
        <v>11721.62</v>
      </c>
      <c r="H164" s="328">
        <f t="shared" si="36"/>
      </c>
      <c r="I164" s="328">
        <f t="shared" si="38"/>
      </c>
      <c r="J164" s="328">
        <f t="shared" si="30"/>
      </c>
      <c r="K164" s="327">
        <v>2</v>
      </c>
      <c r="L164" s="327">
        <v>2157.5999999999985</v>
      </c>
      <c r="M164" s="327" t="s">
        <v>640</v>
      </c>
      <c r="N164" s="327">
        <v>10</v>
      </c>
      <c r="O164" s="329" t="s">
        <v>641</v>
      </c>
      <c r="P164" s="329">
        <v>10</v>
      </c>
    </row>
    <row customHeight="true" ht="16.071428571428573" r="165">
      <c r="A165" s="333" t="s">
        <v>699</v>
      </c>
      <c r="B165" s="334"/>
      <c r="C165" s="334"/>
      <c r="D165" s="335">
        <f>SUM(D160:D164)</f>
      </c>
      <c r="E165" s="335">
        <f>SUM(E160:E164)</f>
      </c>
      <c r="F165" s="335">
        <f>SUM(F160:F164)</f>
      </c>
      <c r="G165" s="335">
        <f>SUM(G160:G164)</f>
      </c>
      <c r="H165" s="336">
        <f t="shared" si="36"/>
      </c>
      <c r="I165" s="336">
        <f t="shared" si="38"/>
      </c>
      <c r="J165" s="336">
        <f t="shared" si="30"/>
      </c>
      <c r="K165" s="335">
        <f>SUM(K160:K164)</f>
      </c>
      <c r="L165" s="335">
        <f>SUM(L160:L164)</f>
      </c>
      <c r="M165" s="334"/>
      <c r="N165" s="335">
        <f>SUM(N160:N164)</f>
      </c>
      <c r="O165" s="334"/>
      <c r="P165" s="334">
        <f>SUM(P160:P164)</f>
      </c>
    </row>
    <row customHeight="true" ht="16.071428571428573" r="166">
      <c r="G166" s="353"/>
    </row>
    <row customHeight="true" ht="16.071428571428573" r="167">
      <c r="F167" s="354"/>
      <c r="G167" s="355"/>
      <c r="J167" s="356"/>
    </row>
    <row customHeight="true" ht="16.071428571428573" r="168">
      <c r="G168" s="353"/>
    </row>
    <row customHeight="true" ht="16.071428571428573" r="169">
      <c r="D169" s="357" t="s">
        <v>703</v>
      </c>
      <c r="E169" s="358"/>
      <c r="F169" s="358"/>
      <c r="G169" s="358"/>
      <c r="H169" s="358"/>
      <c r="I169" s="358"/>
    </row>
    <row customHeight="true" ht="16.071428571428573" r="170">
      <c r="G170" s="353"/>
      <c r="I170" s="359" t="s">
        <v>704</v>
      </c>
    </row>
    <row customHeight="true" ht="16.071428571428573" r="171">
      <c r="E171" s="360"/>
      <c r="F171" s="360"/>
      <c r="G171" s="361"/>
      <c r="H171" s="360"/>
      <c r="I171" s="362">
        <f t="shared" ref="I171:I177" si="37">G171/H171</f>
      </c>
    </row>
    <row customHeight="true" ht="16.071428571428573" r="172">
      <c r="D172" s="360"/>
      <c r="E172" s="360"/>
      <c r="G172" s="353"/>
      <c r="I172" s="362">
        <f t="shared" si="37"/>
      </c>
    </row>
    <row customHeight="true" ht="16.071428571428573" r="173">
      <c r="D173" s="360"/>
      <c r="E173" s="360"/>
      <c r="G173" s="353"/>
      <c r="I173" s="362">
        <f t="shared" si="37"/>
      </c>
    </row>
    <row r="174">
      <c r="G174" s="353"/>
      <c r="I174" s="362">
        <f t="shared" si="37"/>
      </c>
    </row>
    <row r="175">
      <c r="G175" s="353"/>
      <c r="I175" s="362">
        <f t="shared" si="37"/>
      </c>
    </row>
    <row r="176">
      <c r="G176" s="353"/>
      <c r="I176" s="362">
        <f t="shared" si="37"/>
      </c>
    </row>
    <row r="177">
      <c r="I177" s="362">
        <f t="shared" si="37"/>
      </c>
    </row>
    <row r="178"/>
    <row r="179"/>
    <row r="180"/>
    <row r="181"/>
    <row r="182">
      <c r="D182" s="360"/>
      <c r="E182" s="360"/>
    </row>
  </sheetData>
  <autoFilter ref="A1:P165">
    <filterColumn colId="1">
      <filters blank="true"/>
    </filterColumn>
  </autoFilter>
  <mergeCells>
    <mergeCell ref="D169:I169"/>
  </mergeCells>
  <dataValidations count="3">
    <dataValidation allowBlank="true" errorStyle="stop" showErrorMessage="true" sqref="B160:B164" type="list">
      <formula1>"王硕硕,蒲奕西,郝旭靓,刘杰宇,郭子硕,刘梦,井欣阅,陈旭"</formula1>
    </dataValidation>
    <dataValidation allowBlank="true" errorStyle="stop" showErrorMessage="true" sqref="B2:B5 B7:B10 B12:B15 B17:B20 B22:B25 B27:B30 B32:B35 B37:B40 B42:B45 B47:B50 B52:B55 B103:B105 B107:B109 B111:B111" type="list">
      <formula1>"王硕硕,蒲奕西,郝旭靓,刘杰宇,郭子硕,刘梦"</formula1>
    </dataValidation>
    <dataValidation allowBlank="true" errorStyle="stop" showErrorMessage="true" sqref="B57:B61 B63:B67 B69:B72 B74:B77 B79:B83 B85:B89 B91:B95 B97:B101 B110:B110 B113:B117 B119:B123 B125:B128 B130:B133 B135:B138 B140:B143 B145:B148 B150:B153 B155:B158" type="list">
      <formula1>"王硕硕,蒲奕西,郝旭靓,刘杰宇,郭子硕,刘梦,井欣阅"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2.64480633802817"/>
    <col collapsed="false" customWidth="true" hidden="false" max="7" min="7" style="0" width="11.211267605633802"/>
  </cols>
  <sheetData>
    <row customHeight="true" ht="16.071428571428573" r="1">
      <c r="A1" s="363" t="s">
        <v>705</v>
      </c>
      <c r="B1" s="364" t="s">
        <v>706</v>
      </c>
      <c r="C1" s="364" t="s">
        <v>707</v>
      </c>
      <c r="D1" s="364" t="s">
        <v>708</v>
      </c>
      <c r="E1" s="364" t="s">
        <v>709</v>
      </c>
      <c r="F1" s="365" t="s">
        <v>710</v>
      </c>
      <c r="G1" s="365" t="s">
        <v>711</v>
      </c>
      <c r="H1" s="365" t="s">
        <v>712</v>
      </c>
      <c r="I1" s="365" t="s">
        <v>713</v>
      </c>
      <c r="J1" s="365" t="s">
        <v>714</v>
      </c>
      <c r="K1" s="364" t="s">
        <v>715</v>
      </c>
      <c r="L1" s="364" t="s">
        <v>716</v>
      </c>
      <c r="M1" s="364" t="s">
        <v>717</v>
      </c>
      <c r="N1" s="364" t="s">
        <v>718</v>
      </c>
      <c r="O1" s="364" t="s">
        <v>719</v>
      </c>
      <c r="P1" s="364" t="s">
        <v>720</v>
      </c>
    </row>
    <row r="2">
      <c r="A2" s="366" t="s">
        <v>721</v>
      </c>
      <c r="B2" s="367" t="s">
        <v>722</v>
      </c>
      <c r="C2" s="368" t="s">
        <v>723</v>
      </c>
      <c r="D2" s="368">
        <v>4</v>
      </c>
      <c r="E2" s="368">
        <v>21</v>
      </c>
      <c r="F2" s="368">
        <v>15279.2</v>
      </c>
      <c r="G2" s="368">
        <v>11860.45</v>
      </c>
      <c r="H2" s="369">
        <f t="shared" ref="H2:H103" si="0">F2/G2</f>
      </c>
      <c r="I2" s="369">
        <f t="shared" ref="I2:I103" si="20">F2/E2</f>
      </c>
      <c r="J2" s="369">
        <f t="shared" ref="J2:J34" si="2">G2/E2</f>
      </c>
      <c r="K2" s="368">
        <v>1</v>
      </c>
      <c r="L2" s="368">
        <v>294</v>
      </c>
      <c r="M2" s="368" t="s">
        <v>724</v>
      </c>
      <c r="N2" s="368">
        <v>3.2</v>
      </c>
      <c r="O2" s="370" t="s">
        <v>725</v>
      </c>
      <c r="P2" s="368">
        <v>8</v>
      </c>
    </row>
    <row r="3">
      <c r="A3" s="366" t="s">
        <v>721</v>
      </c>
      <c r="B3" s="367" t="s">
        <v>726</v>
      </c>
      <c r="C3" s="368" t="s">
        <v>727</v>
      </c>
      <c r="D3" s="368">
        <v>4</v>
      </c>
      <c r="E3" s="368">
        <v>21</v>
      </c>
      <c r="F3" s="368">
        <v>13296</v>
      </c>
      <c r="G3" s="368">
        <v>14872.79</v>
      </c>
      <c r="H3" s="369">
        <f t="shared" si="0"/>
      </c>
      <c r="I3" s="369">
        <f t="shared" si="20"/>
      </c>
      <c r="J3" s="369">
        <f t="shared" si="2"/>
      </c>
      <c r="K3" s="368">
        <v>3</v>
      </c>
      <c r="L3" s="368">
        <v>1235.8</v>
      </c>
      <c r="M3" s="368"/>
      <c r="N3" s="368"/>
      <c r="O3" s="368"/>
      <c r="P3" s="368"/>
    </row>
    <row r="4">
      <c r="A4" s="371" t="s">
        <v>721</v>
      </c>
      <c r="B4" s="372"/>
      <c r="C4" s="372"/>
      <c r="D4" s="373">
        <f>SUM(D2:D3)</f>
      </c>
      <c r="E4" s="373">
        <f>SUM(E2:E3)</f>
      </c>
      <c r="F4" s="373">
        <f>SUM(F2:F3)</f>
      </c>
      <c r="G4" s="373">
        <f>SUM(G2:G3)</f>
      </c>
      <c r="H4" s="374">
        <f t="shared" si="0"/>
      </c>
      <c r="I4" s="374">
        <f t="shared" si="20"/>
      </c>
      <c r="J4" s="374">
        <f t="shared" si="2"/>
      </c>
      <c r="K4" s="373">
        <f>SUM(K2:K3)</f>
      </c>
      <c r="L4" s="373">
        <f>SUM(L2:L3)</f>
      </c>
      <c r="M4" s="372"/>
      <c r="N4" s="373">
        <f>SUM(N2:N3)</f>
      </c>
      <c r="O4" s="372"/>
      <c r="P4" s="372">
        <f>SUM(P2:P3)</f>
      </c>
    </row>
    <row r="5">
      <c r="A5" s="366" t="s">
        <v>728</v>
      </c>
      <c r="B5" s="367" t="s">
        <v>722</v>
      </c>
      <c r="C5" s="368" t="s">
        <v>723</v>
      </c>
      <c r="D5" s="368">
        <v>4</v>
      </c>
      <c r="E5" s="368">
        <v>20</v>
      </c>
      <c r="F5" s="368">
        <v>17449.2</v>
      </c>
      <c r="G5" s="368">
        <v>11840.95</v>
      </c>
      <c r="H5" s="369">
        <f t="shared" si="0"/>
      </c>
      <c r="I5" s="369">
        <f t="shared" si="20"/>
      </c>
      <c r="J5" s="369">
        <f t="shared" si="2"/>
      </c>
      <c r="K5" s="368">
        <v>1</v>
      </c>
      <c r="L5" s="368">
        <v>591.6</v>
      </c>
      <c r="M5" s="368" t="s">
        <v>724</v>
      </c>
      <c r="N5" s="368">
        <v>3.2</v>
      </c>
      <c r="O5" s="370" t="s">
        <v>725</v>
      </c>
      <c r="P5" s="368">
        <v>8</v>
      </c>
    </row>
    <row r="6">
      <c r="A6" s="366" t="s">
        <v>728</v>
      </c>
      <c r="B6" s="367" t="s">
        <v>726</v>
      </c>
      <c r="C6" s="368" t="s">
        <v>727</v>
      </c>
      <c r="D6" s="368">
        <v>4</v>
      </c>
      <c r="E6" s="368">
        <v>27</v>
      </c>
      <c r="F6" s="368">
        <v>20271.8</v>
      </c>
      <c r="G6" s="368">
        <v>15587.48</v>
      </c>
      <c r="H6" s="369">
        <f t="shared" si="0"/>
      </c>
      <c r="I6" s="369">
        <f t="shared" si="20"/>
      </c>
      <c r="J6" s="369">
        <f t="shared" si="2"/>
      </c>
      <c r="K6" s="368">
        <v>1</v>
      </c>
      <c r="L6" s="368">
        <v>416.4</v>
      </c>
      <c r="M6" s="368"/>
      <c r="N6" s="368"/>
      <c r="O6" s="368"/>
      <c r="P6" s="368"/>
    </row>
    <row r="7">
      <c r="A7" s="371" t="s">
        <v>728</v>
      </c>
      <c r="B7" s="372"/>
      <c r="C7" s="372"/>
      <c r="D7" s="373">
        <f>SUM(D5:D6)</f>
      </c>
      <c r="E7" s="373">
        <f>SUM(E5:E6)</f>
      </c>
      <c r="F7" s="373">
        <f>SUM(F5:F6)</f>
      </c>
      <c r="G7" s="373">
        <f>SUM(G5:G6)</f>
      </c>
      <c r="H7" s="374">
        <f t="shared" si="0"/>
      </c>
      <c r="I7" s="374">
        <f t="shared" si="20"/>
      </c>
      <c r="J7" s="374">
        <f t="shared" si="2"/>
      </c>
      <c r="K7" s="373">
        <f>SUM(K5:K6)</f>
      </c>
      <c r="L7" s="373">
        <f>SUM(L5:L6)</f>
      </c>
      <c r="M7" s="372"/>
      <c r="N7" s="373">
        <f>SUM(N5:N6)</f>
      </c>
      <c r="O7" s="372"/>
      <c r="P7" s="372">
        <f>SUM(P5:P6)</f>
      </c>
    </row>
    <row r="8">
      <c r="A8" s="366" t="s">
        <v>729</v>
      </c>
      <c r="B8" s="367" t="s">
        <v>726</v>
      </c>
      <c r="C8" s="368" t="s">
        <v>723</v>
      </c>
      <c r="D8" s="368">
        <v>4</v>
      </c>
      <c r="E8" s="368">
        <v>28</v>
      </c>
      <c r="F8" s="368">
        <v>18883.2</v>
      </c>
      <c r="G8" s="368">
        <v>15577.570000000002</v>
      </c>
      <c r="H8" s="369">
        <f t="shared" si="0"/>
      </c>
      <c r="I8" s="369">
        <f t="shared" si="20"/>
      </c>
      <c r="J8" s="369">
        <f t="shared" si="2"/>
      </c>
      <c r="K8" s="368">
        <v>1</v>
      </c>
      <c r="L8" s="368">
        <v>465.6</v>
      </c>
      <c r="M8" s="368" t="s">
        <v>730</v>
      </c>
      <c r="N8" s="368">
        <v>8</v>
      </c>
      <c r="O8" s="370" t="s">
        <v>725</v>
      </c>
      <c r="P8" s="368">
        <v>8</v>
      </c>
    </row>
    <row r="9">
      <c r="A9" s="366" t="s">
        <v>729</v>
      </c>
      <c r="B9" s="367" t="s">
        <v>722</v>
      </c>
      <c r="C9" s="368" t="s">
        <v>727</v>
      </c>
      <c r="D9" s="368">
        <v>4</v>
      </c>
      <c r="E9" s="368">
        <v>9</v>
      </c>
      <c r="F9" s="368">
        <v>5626.799999999999</v>
      </c>
      <c r="G9" s="368">
        <v>13278.98</v>
      </c>
      <c r="H9" s="369">
        <f t="shared" si="0"/>
      </c>
      <c r="I9" s="369">
        <f t="shared" si="20"/>
      </c>
      <c r="J9" s="369">
        <f t="shared" si="2"/>
      </c>
      <c r="K9" s="368">
        <v>0</v>
      </c>
      <c r="L9" s="368">
        <v>0</v>
      </c>
      <c r="M9" s="368"/>
      <c r="N9" s="368"/>
      <c r="O9" s="368"/>
      <c r="P9" s="368"/>
    </row>
    <row r="10">
      <c r="A10" s="371" t="s">
        <v>729</v>
      </c>
      <c r="B10" s="372"/>
      <c r="C10" s="372"/>
      <c r="D10" s="373">
        <f>SUM(D8:D9)</f>
      </c>
      <c r="E10" s="373">
        <f>SUM(E8:E9)</f>
      </c>
      <c r="F10" s="373">
        <f>SUM(F8:F9)</f>
      </c>
      <c r="G10" s="373">
        <f>SUM(G8:G9)</f>
      </c>
      <c r="H10" s="374">
        <f t="shared" si="0"/>
      </c>
      <c r="I10" s="374">
        <f t="shared" si="20"/>
      </c>
      <c r="J10" s="374">
        <f t="shared" si="2"/>
      </c>
      <c r="K10" s="373">
        <f>SUM(K8:K9)</f>
      </c>
      <c r="L10" s="373">
        <f>SUM(L8:L9)</f>
      </c>
      <c r="M10" s="372"/>
      <c r="N10" s="373">
        <f>SUM(N8:N9)</f>
      </c>
      <c r="O10" s="372"/>
      <c r="P10" s="372">
        <f>SUM(P8:P9)</f>
      </c>
    </row>
    <row r="11">
      <c r="A11" s="366" t="s">
        <v>731</v>
      </c>
      <c r="B11" s="367" t="s">
        <v>726</v>
      </c>
      <c r="C11" s="368" t="s">
        <v>723</v>
      </c>
      <c r="D11" s="368">
        <v>4</v>
      </c>
      <c r="E11" s="368">
        <v>12</v>
      </c>
      <c r="F11" s="368">
        <v>9657.8</v>
      </c>
      <c r="G11" s="368">
        <v>9903.09</v>
      </c>
      <c r="H11" s="369">
        <f t="shared" si="0"/>
      </c>
      <c r="I11" s="369">
        <f t="shared" si="20"/>
      </c>
      <c r="J11" s="369">
        <f t="shared" si="2"/>
      </c>
      <c r="K11" s="368">
        <v>1</v>
      </c>
      <c r="L11" s="368">
        <v>2136</v>
      </c>
      <c r="M11" s="368" t="s">
        <v>730</v>
      </c>
      <c r="N11" s="368">
        <v>8</v>
      </c>
      <c r="O11" s="370" t="s">
        <v>725</v>
      </c>
      <c r="P11" s="368">
        <v>8</v>
      </c>
    </row>
    <row r="12">
      <c r="A12" s="366" t="s">
        <v>731</v>
      </c>
      <c r="B12" s="367" t="s">
        <v>722</v>
      </c>
      <c r="C12" s="368" t="s">
        <v>727</v>
      </c>
      <c r="D12" s="368">
        <v>4</v>
      </c>
      <c r="E12" s="368">
        <v>22</v>
      </c>
      <c r="F12" s="368">
        <v>13961.400000000001</v>
      </c>
      <c r="G12" s="368">
        <v>12288.1</v>
      </c>
      <c r="H12" s="369">
        <f t="shared" si="0"/>
      </c>
      <c r="I12" s="369">
        <f t="shared" si="20"/>
      </c>
      <c r="J12" s="369">
        <f t="shared" si="2"/>
      </c>
      <c r="K12" s="368">
        <v>1</v>
      </c>
      <c r="L12" s="368">
        <v>270</v>
      </c>
      <c r="M12" s="368"/>
      <c r="N12" s="368"/>
      <c r="O12" s="368"/>
      <c r="P12" s="368"/>
    </row>
    <row r="13">
      <c r="A13" s="371" t="s">
        <v>731</v>
      </c>
      <c r="B13" s="372"/>
      <c r="C13" s="372"/>
      <c r="D13" s="373">
        <f>SUM(D11:D12)</f>
      </c>
      <c r="E13" s="373">
        <f>SUM(E11:E12)</f>
      </c>
      <c r="F13" s="373">
        <f>SUM(F11:F12)</f>
      </c>
      <c r="G13" s="373">
        <f>SUM(G11:G12)</f>
      </c>
      <c r="H13" s="374">
        <f t="shared" si="0"/>
      </c>
      <c r="I13" s="374">
        <f t="shared" si="20"/>
      </c>
      <c r="J13" s="374">
        <f t="shared" si="2"/>
      </c>
      <c r="K13" s="373">
        <f>SUM(K11:K12)</f>
      </c>
      <c r="L13" s="373">
        <f>SUM(L11:L12)</f>
      </c>
      <c r="M13" s="372"/>
      <c r="N13" s="373">
        <f>SUM(N11:N12)</f>
      </c>
      <c r="O13" s="372"/>
      <c r="P13" s="372">
        <f>SUM(P11:P12)</f>
      </c>
    </row>
    <row r="14">
      <c r="A14" s="366" t="s">
        <v>732</v>
      </c>
      <c r="B14" s="367" t="s">
        <v>722</v>
      </c>
      <c r="C14" s="368" t="s">
        <v>723</v>
      </c>
      <c r="D14" s="368">
        <v>4</v>
      </c>
      <c r="E14" s="368">
        <v>26</v>
      </c>
      <c r="F14" s="368">
        <v>29720.4</v>
      </c>
      <c r="G14" s="368">
        <v>15433.789999999999</v>
      </c>
      <c r="H14" s="369">
        <f t="shared" si="0"/>
      </c>
      <c r="I14" s="369">
        <f t="shared" si="20"/>
      </c>
      <c r="J14" s="369">
        <f t="shared" si="2"/>
      </c>
      <c r="K14" s="368">
        <v>2</v>
      </c>
      <c r="L14" s="368">
        <v>1203.6</v>
      </c>
      <c r="M14" s="368" t="s">
        <v>733</v>
      </c>
      <c r="N14" s="368">
        <v>8</v>
      </c>
      <c r="O14" s="370" t="s">
        <v>725</v>
      </c>
      <c r="P14" s="368">
        <v>8</v>
      </c>
    </row>
    <row r="15">
      <c r="A15" s="366" t="s">
        <v>732</v>
      </c>
      <c r="B15" s="367" t="s">
        <v>726</v>
      </c>
      <c r="C15" s="368" t="s">
        <v>727</v>
      </c>
      <c r="D15" s="368">
        <v>4</v>
      </c>
      <c r="E15" s="368">
        <v>38</v>
      </c>
      <c r="F15" s="368">
        <v>19035.6</v>
      </c>
      <c r="G15" s="368">
        <v>14742.12</v>
      </c>
      <c r="H15" s="369">
        <f t="shared" si="0"/>
      </c>
      <c r="I15" s="369">
        <f t="shared" si="20"/>
      </c>
      <c r="J15" s="369">
        <f t="shared" si="2"/>
      </c>
      <c r="K15" s="368">
        <v>5</v>
      </c>
      <c r="L15" s="368">
        <v>1983.4</v>
      </c>
      <c r="M15" s="368"/>
      <c r="N15" s="368"/>
      <c r="O15" s="368"/>
      <c r="P15" s="368"/>
    </row>
    <row r="16">
      <c r="A16" s="371" t="s">
        <v>732</v>
      </c>
      <c r="B16" s="372"/>
      <c r="C16" s="372"/>
      <c r="D16" s="373">
        <f>SUM(D14:D15)</f>
      </c>
      <c r="E16" s="373">
        <f>SUM(E14:E15)</f>
      </c>
      <c r="F16" s="373">
        <f>SUM(F14:F15)</f>
      </c>
      <c r="G16" s="373">
        <f>SUM(G14:G15)</f>
      </c>
      <c r="H16" s="374">
        <f t="shared" si="0"/>
      </c>
      <c r="I16" s="374">
        <f t="shared" si="20"/>
      </c>
      <c r="J16" s="374">
        <f t="shared" si="2"/>
      </c>
      <c r="K16" s="373">
        <f>SUM(K14:K15)</f>
      </c>
      <c r="L16" s="373">
        <f>SUM(L14:L15)</f>
      </c>
      <c r="M16" s="372"/>
      <c r="N16" s="373">
        <f>SUM(N14:N15)</f>
      </c>
      <c r="O16" s="372"/>
      <c r="P16" s="372">
        <f>SUM(P14:P15)</f>
      </c>
    </row>
    <row r="17">
      <c r="A17" s="366" t="s">
        <v>734</v>
      </c>
      <c r="B17" s="367" t="s">
        <v>722</v>
      </c>
      <c r="C17" s="368" t="s">
        <v>723</v>
      </c>
      <c r="D17" s="368">
        <v>4</v>
      </c>
      <c r="E17" s="368">
        <v>27</v>
      </c>
      <c r="F17" s="368">
        <v>11769</v>
      </c>
      <c r="G17" s="368">
        <v>14478.779999999999</v>
      </c>
      <c r="H17" s="369">
        <f t="shared" si="0"/>
      </c>
      <c r="I17" s="369">
        <f t="shared" si="20"/>
      </c>
      <c r="J17" s="369">
        <f t="shared" si="2"/>
      </c>
      <c r="K17" s="368">
        <v>3</v>
      </c>
      <c r="L17" s="368">
        <v>789.6000000000001</v>
      </c>
      <c r="M17" s="368" t="s">
        <v>733</v>
      </c>
      <c r="N17" s="368">
        <v>8</v>
      </c>
      <c r="O17" s="370" t="s">
        <v>725</v>
      </c>
      <c r="P17" s="368">
        <v>8</v>
      </c>
    </row>
    <row r="18">
      <c r="A18" s="366" t="s">
        <v>734</v>
      </c>
      <c r="B18" s="367" t="s">
        <v>726</v>
      </c>
      <c r="C18" s="368" t="s">
        <v>727</v>
      </c>
      <c r="D18" s="368">
        <v>4</v>
      </c>
      <c r="E18" s="368">
        <v>18</v>
      </c>
      <c r="F18" s="368">
        <v>12217.880000000001</v>
      </c>
      <c r="G18" s="368">
        <v>12360.43</v>
      </c>
      <c r="H18" s="369">
        <f t="shared" si="0"/>
      </c>
      <c r="I18" s="369">
        <f t="shared" si="20"/>
      </c>
      <c r="J18" s="369">
        <f t="shared" si="2"/>
      </c>
      <c r="K18" s="368">
        <v>2</v>
      </c>
      <c r="L18" s="368">
        <v>1079.08</v>
      </c>
      <c r="M18" s="368"/>
      <c r="N18" s="368"/>
      <c r="O18" s="368"/>
      <c r="P18" s="368"/>
    </row>
    <row r="19">
      <c r="A19" s="371" t="s">
        <v>734</v>
      </c>
      <c r="B19" s="372"/>
      <c r="C19" s="372"/>
      <c r="D19" s="373">
        <f>SUM(D17:D18)</f>
      </c>
      <c r="E19" s="373">
        <f>SUM(E17:E18)</f>
      </c>
      <c r="F19" s="373">
        <f>SUM(F17:F18)</f>
      </c>
      <c r="G19" s="373">
        <f>SUM(G17:G18)</f>
      </c>
      <c r="H19" s="374">
        <f t="shared" si="0"/>
      </c>
      <c r="I19" s="374">
        <f t="shared" si="20"/>
      </c>
      <c r="J19" s="374">
        <f t="shared" si="2"/>
      </c>
      <c r="K19" s="373">
        <f>SUM(K17:K18)</f>
      </c>
      <c r="L19" s="373">
        <f>SUM(L17:L18)</f>
      </c>
      <c r="M19" s="372"/>
      <c r="N19" s="373">
        <f>SUM(N17:N18)</f>
      </c>
      <c r="O19" s="372"/>
      <c r="P19" s="372">
        <f>SUM(P17:P18)</f>
      </c>
    </row>
    <row r="20">
      <c r="A20" s="366" t="s">
        <v>735</v>
      </c>
      <c r="B20" s="367" t="s">
        <v>726</v>
      </c>
      <c r="C20" s="368" t="s">
        <v>723</v>
      </c>
      <c r="D20" s="368">
        <v>4</v>
      </c>
      <c r="E20" s="368">
        <v>15</v>
      </c>
      <c r="F20" s="368">
        <v>12904.2</v>
      </c>
      <c r="G20" s="368">
        <v>11487.93</v>
      </c>
      <c r="H20" s="369">
        <f t="shared" si="0"/>
      </c>
      <c r="I20" s="369">
        <f t="shared" si="20"/>
      </c>
      <c r="J20" s="369">
        <f t="shared" si="2"/>
      </c>
      <c r="K20" s="368">
        <v>4</v>
      </c>
      <c r="L20" s="368">
        <v>3504.2</v>
      </c>
      <c r="M20" s="368" t="s">
        <v>733</v>
      </c>
      <c r="N20" s="368">
        <v>8</v>
      </c>
      <c r="O20" s="370" t="s">
        <v>725</v>
      </c>
      <c r="P20" s="368">
        <v>8</v>
      </c>
    </row>
    <row r="21">
      <c r="A21" s="366" t="s">
        <v>735</v>
      </c>
      <c r="B21" s="367" t="s">
        <v>722</v>
      </c>
      <c r="C21" s="368" t="s">
        <v>727</v>
      </c>
      <c r="D21" s="368">
        <v>4</v>
      </c>
      <c r="E21" s="368">
        <v>23</v>
      </c>
      <c r="F21" s="368">
        <v>18374.6</v>
      </c>
      <c r="G21" s="368">
        <v>11857.689999999999</v>
      </c>
      <c r="H21" s="369">
        <f t="shared" si="0"/>
      </c>
      <c r="I21" s="369">
        <f t="shared" si="20"/>
      </c>
      <c r="J21" s="369">
        <f t="shared" si="2"/>
      </c>
      <c r="K21" s="368">
        <v>3</v>
      </c>
      <c r="L21" s="368">
        <v>1288.6000000000004</v>
      </c>
      <c r="M21" s="368"/>
      <c r="N21" s="368"/>
      <c r="O21" s="368"/>
      <c r="P21" s="368"/>
    </row>
    <row r="22">
      <c r="A22" s="371" t="s">
        <v>735</v>
      </c>
      <c r="B22" s="372"/>
      <c r="C22" s="372"/>
      <c r="D22" s="373">
        <f>SUM(D20:D21)</f>
      </c>
      <c r="E22" s="373">
        <f>SUM(E20:E21)</f>
      </c>
      <c r="F22" s="373">
        <f>SUM(F20:F21)</f>
      </c>
      <c r="G22" s="373">
        <f>SUM(G20:G21)</f>
      </c>
      <c r="H22" s="374">
        <f t="shared" si="0"/>
      </c>
      <c r="I22" s="374">
        <f t="shared" si="20"/>
      </c>
      <c r="J22" s="374">
        <f t="shared" si="2"/>
      </c>
      <c r="K22" s="373">
        <f>SUM(K20:K21)</f>
      </c>
      <c r="L22" s="373">
        <f>SUM(L20:L21)</f>
      </c>
      <c r="M22" s="372"/>
      <c r="N22" s="373">
        <f>SUM(N20:N21)</f>
      </c>
      <c r="O22" s="372"/>
      <c r="P22" s="372">
        <f>SUM(P20:P21)</f>
      </c>
    </row>
    <row r="23">
      <c r="A23" s="366" t="s">
        <v>736</v>
      </c>
      <c r="B23" s="367" t="s">
        <v>722</v>
      </c>
      <c r="C23" s="368" t="s">
        <v>723</v>
      </c>
      <c r="D23" s="368">
        <v>4</v>
      </c>
      <c r="E23" s="368">
        <v>11</v>
      </c>
      <c r="F23" s="368">
        <v>5684.2</v>
      </c>
      <c r="G23" s="368">
        <v>10603.400000000001</v>
      </c>
      <c r="H23" s="369">
        <f t="shared" si="0"/>
      </c>
      <c r="I23" s="369">
        <f t="shared" si="20"/>
      </c>
      <c r="J23" s="369">
        <f t="shared" si="2"/>
      </c>
      <c r="K23" s="368">
        <v>2</v>
      </c>
      <c r="L23" s="368">
        <v>1008</v>
      </c>
      <c r="M23" s="368" t="s">
        <v>733</v>
      </c>
      <c r="N23" s="368">
        <v>8</v>
      </c>
      <c r="O23" s="370" t="s">
        <v>725</v>
      </c>
      <c r="P23" s="368">
        <v>8</v>
      </c>
    </row>
    <row r="24">
      <c r="A24" s="366" t="s">
        <v>736</v>
      </c>
      <c r="B24" s="367" t="s">
        <v>726</v>
      </c>
      <c r="C24" s="368" t="s">
        <v>727</v>
      </c>
      <c r="D24" s="368">
        <v>4</v>
      </c>
      <c r="E24" s="368">
        <v>27</v>
      </c>
      <c r="F24" s="368">
        <v>19212.8</v>
      </c>
      <c r="G24" s="368">
        <v>15046.43</v>
      </c>
      <c r="H24" s="369">
        <f t="shared" si="0"/>
      </c>
      <c r="I24" s="369">
        <f t="shared" si="20"/>
      </c>
      <c r="J24" s="369">
        <f t="shared" si="2"/>
      </c>
      <c r="K24" s="368">
        <v>4</v>
      </c>
      <c r="L24" s="368">
        <v>4159.2</v>
      </c>
      <c r="M24" s="368"/>
      <c r="N24" s="368"/>
      <c r="O24" s="368"/>
      <c r="P24" s="368"/>
    </row>
    <row r="25">
      <c r="A25" s="371" t="s">
        <v>736</v>
      </c>
      <c r="B25" s="372"/>
      <c r="C25" s="372"/>
      <c r="D25" s="373">
        <f>SUM(D23:D24)</f>
      </c>
      <c r="E25" s="373">
        <f>SUM(E23:E24)</f>
      </c>
      <c r="F25" s="373">
        <f>SUM(F23:F24)</f>
      </c>
      <c r="G25" s="373">
        <f>SUM(G23:G24)</f>
      </c>
      <c r="H25" s="374">
        <f t="shared" si="0"/>
      </c>
      <c r="I25" s="374">
        <f t="shared" si="20"/>
      </c>
      <c r="J25" s="374">
        <f t="shared" si="2"/>
      </c>
      <c r="K25" s="373">
        <f>SUM(K23:K24)</f>
      </c>
      <c r="L25" s="373">
        <f>SUM(L23:L24)</f>
      </c>
      <c r="M25" s="372"/>
      <c r="N25" s="373">
        <f>SUM(N23:N24)</f>
      </c>
      <c r="O25" s="372"/>
      <c r="P25" s="372">
        <f>SUM(P23:P24)</f>
      </c>
    </row>
    <row r="26">
      <c r="A26" s="366" t="s">
        <v>737</v>
      </c>
      <c r="B26" s="367" t="s">
        <v>726</v>
      </c>
      <c r="C26" s="368" t="s">
        <v>738</v>
      </c>
      <c r="D26" s="368">
        <v>5</v>
      </c>
      <c r="E26" s="368">
        <v>16</v>
      </c>
      <c r="F26" s="368">
        <v>10335.8</v>
      </c>
      <c r="G26" s="368">
        <v>11292.749999999998</v>
      </c>
      <c r="H26" s="369">
        <f t="shared" si="0"/>
      </c>
      <c r="I26" s="369">
        <f t="shared" si="20"/>
      </c>
      <c r="J26" s="369">
        <f t="shared" si="2"/>
      </c>
      <c r="K26" s="368">
        <v>2</v>
      </c>
      <c r="L26" s="368">
        <v>540</v>
      </c>
      <c r="M26" s="368" t="s">
        <v>733</v>
      </c>
      <c r="N26" s="368">
        <v>5</v>
      </c>
      <c r="O26" s="370" t="s">
        <v>725</v>
      </c>
      <c r="P26" s="368">
        <v>5</v>
      </c>
    </row>
    <row r="27">
      <c r="A27" s="371" t="s">
        <v>737</v>
      </c>
      <c r="B27" s="372"/>
      <c r="C27" s="372"/>
      <c r="D27" s="373">
        <f>SUM(D26)</f>
      </c>
      <c r="E27" s="373">
        <f>SUM(E26)</f>
      </c>
      <c r="F27" s="373">
        <f>SUM(F26)</f>
      </c>
      <c r="G27" s="373">
        <f>SUM(G26)</f>
      </c>
      <c r="H27" s="374">
        <f t="shared" si="0"/>
      </c>
      <c r="I27" s="374">
        <f t="shared" si="20"/>
      </c>
      <c r="J27" s="374">
        <f t="shared" si="2"/>
      </c>
      <c r="K27" s="373">
        <f>SUM(K26)</f>
      </c>
      <c r="L27" s="373">
        <f>SUM(L26)</f>
      </c>
      <c r="M27" s="372"/>
      <c r="N27" s="373">
        <f>SUM(N26)</f>
      </c>
      <c r="O27" s="372"/>
      <c r="P27" s="372">
        <f>SUM(P26)</f>
      </c>
    </row>
    <row r="28">
      <c r="A28" s="366" t="s">
        <v>739</v>
      </c>
      <c r="B28" s="367" t="s">
        <v>726</v>
      </c>
      <c r="C28" s="368" t="s">
        <v>723</v>
      </c>
      <c r="D28" s="368">
        <v>4</v>
      </c>
      <c r="E28" s="368">
        <v>9</v>
      </c>
      <c r="F28" s="368">
        <v>5167.4</v>
      </c>
      <c r="G28" s="368">
        <v>15159.219999999998</v>
      </c>
      <c r="H28" s="369">
        <f t="shared" si="0"/>
      </c>
      <c r="I28" s="369">
        <f t="shared" si="20"/>
      </c>
      <c r="J28" s="369">
        <f t="shared" si="2"/>
      </c>
      <c r="K28" s="368">
        <v>0</v>
      </c>
      <c r="L28" s="368">
        <v>0</v>
      </c>
      <c r="M28" s="368" t="s">
        <v>733</v>
      </c>
      <c r="N28" s="368">
        <v>8</v>
      </c>
      <c r="O28" s="370" t="s">
        <v>725</v>
      </c>
      <c r="P28" s="368">
        <v>8</v>
      </c>
    </row>
    <row r="29">
      <c r="A29" s="366" t="s">
        <v>739</v>
      </c>
      <c r="B29" s="367" t="s">
        <v>722</v>
      </c>
      <c r="C29" s="368" t="s">
        <v>727</v>
      </c>
      <c r="D29" s="368">
        <v>4</v>
      </c>
      <c r="E29" s="368">
        <v>4</v>
      </c>
      <c r="F29" s="368">
        <v>2369.4000000000005</v>
      </c>
      <c r="G29" s="368">
        <v>8068.070000000001</v>
      </c>
      <c r="H29" s="369">
        <f t="shared" si="0"/>
      </c>
      <c r="I29" s="369">
        <f t="shared" si="20"/>
      </c>
      <c r="J29" s="369">
        <f t="shared" si="2"/>
      </c>
      <c r="K29" s="368">
        <v>0</v>
      </c>
      <c r="L29" s="368">
        <v>0</v>
      </c>
      <c r="M29" s="368"/>
      <c r="N29" s="368"/>
      <c r="O29" s="368"/>
      <c r="P29" s="368"/>
    </row>
    <row r="30">
      <c r="A30" s="371" t="s">
        <v>739</v>
      </c>
      <c r="B30" s="372"/>
      <c r="C30" s="372"/>
      <c r="D30" s="373">
        <f>SUM(D28:D29)</f>
      </c>
      <c r="E30" s="373">
        <f>SUM(E28:E29)</f>
      </c>
      <c r="F30" s="373">
        <f>SUM(F28:F29)</f>
      </c>
      <c r="G30" s="373">
        <f>SUM(G28:G29)</f>
      </c>
      <c r="H30" s="374">
        <f t="shared" si="0"/>
      </c>
      <c r="I30" s="374">
        <f t="shared" si="20"/>
      </c>
      <c r="J30" s="374">
        <f t="shared" si="2"/>
      </c>
      <c r="K30" s="373">
        <f>SUM(K28:K29)</f>
      </c>
      <c r="L30" s="373">
        <f>SUM(L28:L29)</f>
      </c>
      <c r="M30" s="372"/>
      <c r="N30" s="373">
        <f>SUM(N28:N29)</f>
      </c>
      <c r="O30" s="372"/>
      <c r="P30" s="372">
        <f>SUM(P28:P29)</f>
      </c>
    </row>
    <row r="31">
      <c r="A31" s="366" t="s">
        <v>740</v>
      </c>
      <c r="B31" s="367" t="s">
        <v>726</v>
      </c>
      <c r="C31" s="368" t="s">
        <v>723</v>
      </c>
      <c r="D31" s="368">
        <v>4</v>
      </c>
      <c r="E31" s="368">
        <v>28</v>
      </c>
      <c r="F31" s="368">
        <v>18219.6</v>
      </c>
      <c r="G31" s="368">
        <v>11836.460000000001</v>
      </c>
      <c r="H31" s="369">
        <f t="shared" si="0"/>
      </c>
      <c r="I31" s="369">
        <f t="shared" si="20"/>
      </c>
      <c r="J31" s="369">
        <f t="shared" si="2"/>
      </c>
      <c r="K31" s="368">
        <v>6</v>
      </c>
      <c r="L31" s="368">
        <v>3886.8</v>
      </c>
      <c r="M31" s="368" t="s">
        <v>733</v>
      </c>
      <c r="N31" s="368">
        <v>8</v>
      </c>
      <c r="O31" s="370" t="s">
        <v>725</v>
      </c>
      <c r="P31" s="368">
        <v>8</v>
      </c>
    </row>
    <row r="32">
      <c r="A32" s="366" t="s">
        <v>740</v>
      </c>
      <c r="B32" s="367" t="s">
        <v>722</v>
      </c>
      <c r="C32" s="368" t="s">
        <v>727</v>
      </c>
      <c r="D32" s="368">
        <v>4</v>
      </c>
      <c r="E32" s="368">
        <v>20</v>
      </c>
      <c r="F32" s="368">
        <v>12644.400000000001</v>
      </c>
      <c r="G32" s="368">
        <v>13382.349999999999</v>
      </c>
      <c r="H32" s="369">
        <f t="shared" si="0"/>
      </c>
      <c r="I32" s="369">
        <f t="shared" si="20"/>
      </c>
      <c r="J32" s="369">
        <f t="shared" si="2"/>
      </c>
      <c r="K32" s="368">
        <v>1</v>
      </c>
      <c r="L32" s="368">
        <v>481.1999999999998</v>
      </c>
      <c r="M32" s="368"/>
      <c r="N32" s="368"/>
      <c r="O32" s="368"/>
      <c r="P32" s="368"/>
    </row>
    <row r="33">
      <c r="A33" s="371" t="s">
        <v>740</v>
      </c>
      <c r="B33" s="372"/>
      <c r="C33" s="372"/>
      <c r="D33" s="373">
        <f>SUM(D31:D32)</f>
      </c>
      <c r="E33" s="373">
        <f>SUM(E31:E32)</f>
      </c>
      <c r="F33" s="373">
        <f>SUM(F31:F32)</f>
      </c>
      <c r="G33" s="373">
        <f>SUM(G31:G32)</f>
      </c>
      <c r="H33" s="374">
        <f t="shared" si="0"/>
      </c>
      <c r="I33" s="374">
        <f t="shared" si="20"/>
      </c>
      <c r="J33" s="374">
        <f t="shared" si="2"/>
      </c>
      <c r="K33" s="373">
        <f>SUM(K31:K32)</f>
      </c>
      <c r="L33" s="373">
        <f>SUM(L31:L32)</f>
      </c>
      <c r="M33" s="372"/>
      <c r="N33" s="373">
        <f>SUM(N31:N32)</f>
      </c>
      <c r="O33" s="372"/>
      <c r="P33" s="372">
        <f>SUM(P31:P32)</f>
      </c>
    </row>
    <row r="34">
      <c r="A34" s="366" t="s">
        <v>741</v>
      </c>
      <c r="B34" s="367" t="s">
        <v>726</v>
      </c>
      <c r="C34" s="368" t="s">
        <v>742</v>
      </c>
      <c r="D34" s="368">
        <v>3.5</v>
      </c>
      <c r="E34" s="368">
        <v>14</v>
      </c>
      <c r="F34" s="368">
        <v>7895.2</v>
      </c>
      <c r="G34" s="368">
        <v>7539.420000000001</v>
      </c>
      <c r="H34" s="369">
        <f t="shared" si="0"/>
      </c>
      <c r="I34" s="369">
        <f t="shared" si="20"/>
      </c>
      <c r="J34" s="369">
        <f t="shared" si="2"/>
      </c>
      <c r="K34" s="368">
        <v>1</v>
      </c>
      <c r="L34" s="368">
        <v>567.5999999999999</v>
      </c>
      <c r="M34" s="368" t="s">
        <v>743</v>
      </c>
      <c r="N34" s="368">
        <v>3</v>
      </c>
      <c r="O34" s="370" t="s">
        <v>725</v>
      </c>
      <c r="P34" s="368">
        <v>7.5</v>
      </c>
    </row>
    <row r="35">
      <c r="A35" s="366" t="s">
        <v>741</v>
      </c>
      <c r="B35" s="367" t="s">
        <v>722</v>
      </c>
      <c r="C35" s="368" t="s">
        <v>744</v>
      </c>
      <c r="D35" s="368">
        <v>4</v>
      </c>
      <c r="E35" s="368">
        <v>11</v>
      </c>
      <c r="F35" s="368">
        <v>9346.2</v>
      </c>
      <c r="G35" s="368">
        <v>6398.35</v>
      </c>
      <c r="H35" s="369">
        <f t="shared" si="0"/>
      </c>
      <c r="I35" s="369">
        <f t="shared" si="20"/>
      </c>
      <c r="J35" s="369">
        <f>G34/E35</f>
      </c>
      <c r="K35" s="368">
        <v>2</v>
      </c>
      <c r="L35" s="368">
        <v>1794</v>
      </c>
      <c r="M35" s="370"/>
      <c r="N35" s="370"/>
      <c r="O35" s="375"/>
      <c r="P35" s="370"/>
    </row>
    <row r="36">
      <c r="A36" s="366" t="s">
        <v>741</v>
      </c>
      <c r="B36" s="367" t="s">
        <v>745</v>
      </c>
      <c r="C36" s="368" t="s">
        <v>723</v>
      </c>
      <c r="D36" s="368">
        <v>4</v>
      </c>
      <c r="E36" s="368">
        <v>9</v>
      </c>
      <c r="F36" s="368">
        <v>8788.599999999999</v>
      </c>
      <c r="G36" s="368">
        <v>8019.62</v>
      </c>
      <c r="H36" s="369">
        <f t="shared" si="0"/>
      </c>
      <c r="I36" s="369">
        <f t="shared" si="20"/>
      </c>
      <c r="J36" s="369">
        <f t="shared" ref="J36:J39" si="3">G36/E36</f>
      </c>
      <c r="K36" s="368">
        <v>0</v>
      </c>
      <c r="L36" s="368">
        <v>0</v>
      </c>
      <c r="M36" s="370"/>
      <c r="N36" s="370"/>
      <c r="O36" s="370"/>
      <c r="P36" s="370"/>
    </row>
    <row r="37">
      <c r="A37" s="366" t="s">
        <v>741</v>
      </c>
      <c r="B37" s="367" t="s">
        <v>746</v>
      </c>
      <c r="C37" s="368" t="s">
        <v>727</v>
      </c>
      <c r="D37" s="368">
        <v>4</v>
      </c>
      <c r="E37" s="368">
        <v>43</v>
      </c>
      <c r="F37" s="368">
        <v>36376.80000000001</v>
      </c>
      <c r="G37" s="368">
        <v>20865.899999999998</v>
      </c>
      <c r="H37" s="369">
        <f t="shared" si="0"/>
      </c>
      <c r="I37" s="369">
        <f t="shared" si="20"/>
      </c>
      <c r="J37" s="369">
        <f t="shared" si="3"/>
      </c>
      <c r="K37" s="368">
        <v>7</v>
      </c>
      <c r="L37" s="368">
        <v>10819.199999999999</v>
      </c>
      <c r="M37" s="368" t="s">
        <v>733</v>
      </c>
      <c r="N37" s="368">
        <v>8</v>
      </c>
      <c r="O37" s="368" t="s">
        <v>747</v>
      </c>
      <c r="P37" s="368">
        <v>8</v>
      </c>
    </row>
    <row r="38">
      <c r="A38" s="371" t="s">
        <v>741</v>
      </c>
      <c r="B38" s="372"/>
      <c r="C38" s="372"/>
      <c r="D38" s="373">
        <f>SUM(D34:D37)</f>
      </c>
      <c r="E38" s="373">
        <f>SUM(E34:E37)</f>
      </c>
      <c r="F38" s="373">
        <f>SUM(F34:F37)</f>
      </c>
      <c r="G38" s="373">
        <f>SUM(G34:G37)</f>
      </c>
      <c r="H38" s="374">
        <f t="shared" si="0"/>
      </c>
      <c r="I38" s="374">
        <f t="shared" si="20"/>
      </c>
      <c r="J38" s="374">
        <f t="shared" si="3"/>
      </c>
      <c r="K38" s="373">
        <f>SUM(K34:K37)</f>
      </c>
      <c r="L38" s="373">
        <f>SUM(L34:L37)</f>
      </c>
      <c r="M38" s="372"/>
      <c r="N38" s="373">
        <f>SUM(N34:N37)</f>
      </c>
      <c r="O38" s="372"/>
      <c r="P38" s="372">
        <f>SUM(P34:P37)</f>
      </c>
    </row>
    <row r="39">
      <c r="A39" s="366" t="s">
        <v>748</v>
      </c>
      <c r="B39" s="367" t="s">
        <v>726</v>
      </c>
      <c r="C39" s="368" t="s">
        <v>749</v>
      </c>
      <c r="D39" s="368">
        <v>4</v>
      </c>
      <c r="E39" s="368">
        <v>23</v>
      </c>
      <c r="F39" s="368">
        <v>9850.2</v>
      </c>
      <c r="G39" s="368">
        <v>15391.64</v>
      </c>
      <c r="H39" s="369">
        <f t="shared" si="0"/>
      </c>
      <c r="I39" s="369">
        <f t="shared" si="20"/>
      </c>
      <c r="J39" s="369">
        <f t="shared" si="3"/>
      </c>
      <c r="K39" s="368">
        <v>5</v>
      </c>
      <c r="L39" s="368">
        <v>2719.2</v>
      </c>
      <c r="M39" s="368" t="s">
        <v>750</v>
      </c>
      <c r="N39" s="368">
        <v>8</v>
      </c>
      <c r="O39" s="370" t="s">
        <v>725</v>
      </c>
      <c r="P39" s="368">
        <v>7.5</v>
      </c>
    </row>
    <row r="40">
      <c r="A40" s="366" t="s">
        <v>748</v>
      </c>
      <c r="B40" s="367" t="s">
        <v>722</v>
      </c>
      <c r="C40" s="368" t="s">
        <v>744</v>
      </c>
      <c r="D40" s="368">
        <v>4</v>
      </c>
      <c r="E40" s="368">
        <v>18</v>
      </c>
      <c r="F40" s="368">
        <v>14779.399999999998</v>
      </c>
      <c r="G40" s="368">
        <v>7350.77</v>
      </c>
      <c r="H40" s="369">
        <f t="shared" si="0"/>
      </c>
      <c r="I40" s="369">
        <f t="shared" si="20"/>
      </c>
      <c r="J40" s="369">
        <f>G39/E40</f>
      </c>
      <c r="K40" s="368">
        <v>3</v>
      </c>
      <c r="L40" s="368">
        <v>3522</v>
      </c>
      <c r="M40" s="370"/>
      <c r="N40" s="370"/>
      <c r="O40" s="375"/>
      <c r="P40" s="370"/>
    </row>
    <row r="41">
      <c r="A41" s="366" t="s">
        <v>748</v>
      </c>
      <c r="B41" s="367" t="s">
        <v>745</v>
      </c>
      <c r="C41" s="368" t="s">
        <v>723</v>
      </c>
      <c r="D41" s="368">
        <v>4</v>
      </c>
      <c r="E41" s="368">
        <v>13</v>
      </c>
      <c r="F41" s="368">
        <v>8332.200000000004</v>
      </c>
      <c r="G41" s="368">
        <v>6424.74</v>
      </c>
      <c r="H41" s="369">
        <f t="shared" si="0"/>
      </c>
      <c r="I41" s="369">
        <f t="shared" si="20"/>
      </c>
      <c r="J41" s="369">
        <f t="shared" ref="J41:J44" si="4">G41/E41</f>
      </c>
      <c r="K41" s="368">
        <v>3</v>
      </c>
      <c r="L41" s="368">
        <v>2490.000000000001</v>
      </c>
      <c r="M41" s="370"/>
      <c r="N41" s="370"/>
      <c r="O41" s="370"/>
      <c r="P41" s="370"/>
    </row>
    <row r="42">
      <c r="A42" s="366" t="s">
        <v>748</v>
      </c>
      <c r="B42" s="367" t="s">
        <v>746</v>
      </c>
      <c r="C42" s="368" t="s">
        <v>727</v>
      </c>
      <c r="D42" s="368">
        <v>4</v>
      </c>
      <c r="E42" s="368">
        <v>31</v>
      </c>
      <c r="F42" s="368">
        <v>18811.199999999997</v>
      </c>
      <c r="G42" s="368">
        <v>16532.9</v>
      </c>
      <c r="H42" s="369">
        <f t="shared" si="0"/>
      </c>
      <c r="I42" s="369">
        <f t="shared" si="20"/>
      </c>
      <c r="J42" s="369">
        <f t="shared" si="4"/>
      </c>
      <c r="K42" s="368">
        <v>6</v>
      </c>
      <c r="L42" s="368">
        <v>2436</v>
      </c>
      <c r="M42" s="368" t="s">
        <v>733</v>
      </c>
      <c r="N42" s="368">
        <v>8</v>
      </c>
      <c r="O42" s="368" t="s">
        <v>747</v>
      </c>
      <c r="P42" s="368">
        <v>8</v>
      </c>
    </row>
    <row r="43">
      <c r="A43" s="371" t="s">
        <v>748</v>
      </c>
      <c r="B43" s="372"/>
      <c r="C43" s="372"/>
      <c r="D43" s="373">
        <f>SUM(D39:D42)</f>
      </c>
      <c r="E43" s="373">
        <f>SUM(E39:E42)</f>
      </c>
      <c r="F43" s="373">
        <f>SUM(F39:F42)</f>
      </c>
      <c r="G43" s="373">
        <f>SUM(G39:G42)</f>
      </c>
      <c r="H43" s="374">
        <f t="shared" si="0"/>
      </c>
      <c r="I43" s="374">
        <f t="shared" si="20"/>
      </c>
      <c r="J43" s="374">
        <f t="shared" si="4"/>
      </c>
      <c r="K43" s="373">
        <f>SUM(K39:K42)</f>
      </c>
      <c r="L43" s="373">
        <f>SUM(L39:L42)</f>
      </c>
      <c r="M43" s="372"/>
      <c r="N43" s="373">
        <f>SUM(N39:N42)</f>
      </c>
      <c r="O43" s="372"/>
      <c r="P43" s="372">
        <f>SUM(P39:P42)</f>
      </c>
    </row>
    <row r="44">
      <c r="A44" s="366" t="s">
        <v>751</v>
      </c>
      <c r="B44" s="367" t="s">
        <v>722</v>
      </c>
      <c r="C44" s="368" t="s">
        <v>749</v>
      </c>
      <c r="D44" s="368">
        <v>4</v>
      </c>
      <c r="E44" s="368">
        <v>19</v>
      </c>
      <c r="F44" s="368">
        <v>10849.24</v>
      </c>
      <c r="G44" s="368">
        <v>10861.48</v>
      </c>
      <c r="H44" s="369">
        <f t="shared" si="0"/>
      </c>
      <c r="I44" s="369">
        <f t="shared" si="20"/>
      </c>
      <c r="J44" s="369">
        <f t="shared" si="4"/>
      </c>
      <c r="K44" s="368">
        <v>1</v>
      </c>
      <c r="L44" s="368">
        <v>612</v>
      </c>
      <c r="M44" s="368" t="s">
        <v>752</v>
      </c>
      <c r="N44" s="368">
        <v>3.2</v>
      </c>
      <c r="O44" s="370" t="s">
        <v>725</v>
      </c>
      <c r="P44" s="368">
        <v>8</v>
      </c>
    </row>
    <row r="45">
      <c r="A45" s="366" t="s">
        <v>751</v>
      </c>
      <c r="B45" s="367" t="s">
        <v>726</v>
      </c>
      <c r="C45" s="368" t="s">
        <v>744</v>
      </c>
      <c r="D45" s="368">
        <v>4</v>
      </c>
      <c r="E45" s="368">
        <v>16</v>
      </c>
      <c r="F45" s="368">
        <v>15633.000000000002</v>
      </c>
      <c r="G45" s="368">
        <v>8030.460000000001</v>
      </c>
      <c r="H45" s="369">
        <f t="shared" si="0"/>
      </c>
      <c r="I45" s="369">
        <f t="shared" si="20"/>
      </c>
      <c r="J45" s="369">
        <f>G44/E45</f>
      </c>
      <c r="K45" s="368">
        <v>4</v>
      </c>
      <c r="L45" s="368">
        <v>7922.6</v>
      </c>
      <c r="M45" s="370"/>
      <c r="N45" s="370"/>
      <c r="O45" s="375"/>
      <c r="P45" s="370"/>
    </row>
    <row r="46">
      <c r="A46" s="366" t="s">
        <v>751</v>
      </c>
      <c r="B46" s="367" t="s">
        <v>745</v>
      </c>
      <c r="C46" s="368" t="s">
        <v>723</v>
      </c>
      <c r="D46" s="368">
        <v>4</v>
      </c>
      <c r="E46" s="368">
        <v>7</v>
      </c>
      <c r="F46" s="368">
        <v>3400.0000000000036</v>
      </c>
      <c r="G46" s="368">
        <v>6288.96</v>
      </c>
      <c r="H46" s="369">
        <f t="shared" si="0"/>
      </c>
      <c r="I46" s="369">
        <f t="shared" si="20"/>
      </c>
      <c r="J46" s="369">
        <f t="shared" ref="J46:J49" si="5">G46/E46</f>
      </c>
      <c r="K46" s="368">
        <v>1</v>
      </c>
      <c r="L46" s="368">
        <v>379</v>
      </c>
      <c r="M46" s="370"/>
      <c r="N46" s="370"/>
      <c r="O46" s="370"/>
      <c r="P46" s="370"/>
    </row>
    <row r="47">
      <c r="A47" s="366" t="s">
        <v>751</v>
      </c>
      <c r="B47" s="367" t="s">
        <v>746</v>
      </c>
      <c r="C47" s="368" t="s">
        <v>727</v>
      </c>
      <c r="D47" s="368">
        <v>4</v>
      </c>
      <c r="E47" s="368">
        <v>15</v>
      </c>
      <c r="F47" s="368">
        <v>10698.599999999995</v>
      </c>
      <c r="G47" s="368">
        <v>11428.529999999999</v>
      </c>
      <c r="H47" s="369">
        <f t="shared" si="0"/>
      </c>
      <c r="I47" s="369">
        <f t="shared" si="20"/>
      </c>
      <c r="J47" s="369">
        <f t="shared" si="5"/>
      </c>
      <c r="K47" s="368">
        <v>2</v>
      </c>
      <c r="L47" s="368">
        <v>1247.7999999999993</v>
      </c>
      <c r="M47" s="368" t="s">
        <v>733</v>
      </c>
      <c r="N47" s="368">
        <v>8</v>
      </c>
      <c r="O47" s="368" t="s">
        <v>747</v>
      </c>
      <c r="P47" s="368">
        <v>8</v>
      </c>
    </row>
    <row r="48">
      <c r="A48" s="371" t="s">
        <v>751</v>
      </c>
      <c r="B48" s="372"/>
      <c r="C48" s="372"/>
      <c r="D48" s="373">
        <f>SUM(D44:D47)</f>
      </c>
      <c r="E48" s="373">
        <f>SUM(E44:E47)</f>
      </c>
      <c r="F48" s="373">
        <f>SUM(F44:F47)</f>
      </c>
      <c r="G48" s="373">
        <f>SUM(G44:G47)</f>
      </c>
      <c r="H48" s="374">
        <f t="shared" si="0"/>
      </c>
      <c r="I48" s="374">
        <f t="shared" si="20"/>
      </c>
      <c r="J48" s="374">
        <f t="shared" si="5"/>
      </c>
      <c r="K48" s="373">
        <f>SUM(K44:K47)</f>
      </c>
      <c r="L48" s="373">
        <f>SUM(L44:L47)</f>
      </c>
      <c r="M48" s="372"/>
      <c r="N48" s="373">
        <f>SUM(N44:N47)</f>
      </c>
      <c r="O48" s="372"/>
      <c r="P48" s="372">
        <f>SUM(P44:P47)</f>
      </c>
    </row>
    <row r="49">
      <c r="A49" s="366" t="s">
        <v>753</v>
      </c>
      <c r="B49" s="367" t="s">
        <v>726</v>
      </c>
      <c r="C49" s="368" t="s">
        <v>754</v>
      </c>
      <c r="D49" s="368">
        <v>5</v>
      </c>
      <c r="E49" s="368">
        <v>35</v>
      </c>
      <c r="F49" s="368">
        <v>23963.4</v>
      </c>
      <c r="G49" s="368">
        <v>18806.83</v>
      </c>
      <c r="H49" s="369">
        <f t="shared" si="0"/>
      </c>
      <c r="I49" s="369">
        <f t="shared" si="20"/>
      </c>
      <c r="J49" s="369">
        <f t="shared" si="5"/>
      </c>
      <c r="K49" s="368">
        <v>5</v>
      </c>
      <c r="L49" s="368">
        <v>2526.4</v>
      </c>
      <c r="M49" s="368" t="s">
        <v>755</v>
      </c>
      <c r="N49" s="368">
        <v>2.8</v>
      </c>
      <c r="O49" s="370" t="s">
        <v>725</v>
      </c>
      <c r="P49" s="368">
        <v>15</v>
      </c>
    </row>
    <row r="50">
      <c r="A50" s="366" t="s">
        <v>753</v>
      </c>
      <c r="B50" s="367" t="s">
        <v>746</v>
      </c>
      <c r="C50" s="368" t="s">
        <v>756</v>
      </c>
      <c r="D50" s="368">
        <v>5</v>
      </c>
      <c r="E50" s="368">
        <v>47</v>
      </c>
      <c r="F50" s="368">
        <v>22660.8</v>
      </c>
      <c r="G50" s="368">
        <v>20146.1</v>
      </c>
      <c r="H50" s="369">
        <f t="shared" si="0"/>
      </c>
      <c r="I50" s="369">
        <f t="shared" si="20"/>
      </c>
      <c r="J50" s="369">
        <f>G49/E50</f>
      </c>
      <c r="K50" s="368">
        <v>7</v>
      </c>
      <c r="L50" s="368">
        <v>5417.2</v>
      </c>
      <c r="M50" s="370"/>
      <c r="N50" s="370"/>
      <c r="O50" s="375"/>
      <c r="P50" s="370"/>
    </row>
    <row r="51">
      <c r="A51" s="366" t="s">
        <v>753</v>
      </c>
      <c r="B51" s="367" t="s">
        <v>745</v>
      </c>
      <c r="C51" s="368" t="s">
        <v>738</v>
      </c>
      <c r="D51" s="368">
        <v>5</v>
      </c>
      <c r="E51" s="368">
        <v>61</v>
      </c>
      <c r="F51" s="368">
        <v>34290</v>
      </c>
      <c r="G51" s="368">
        <v>24409.63</v>
      </c>
      <c r="H51" s="369">
        <f t="shared" si="0"/>
      </c>
      <c r="I51" s="369">
        <f t="shared" si="20"/>
      </c>
      <c r="J51" s="369">
        <f t="shared" ref="J51:J53" si="6">G51/E51</f>
      </c>
      <c r="K51" s="368">
        <v>4</v>
      </c>
      <c r="L51" s="368">
        <v>1564.4</v>
      </c>
      <c r="M51" s="368" t="s">
        <v>757</v>
      </c>
      <c r="N51" s="368">
        <v>8</v>
      </c>
      <c r="O51" s="370"/>
      <c r="P51" s="370"/>
    </row>
    <row r="52">
      <c r="A52" s="371" t="s">
        <v>753</v>
      </c>
      <c r="B52" s="372"/>
      <c r="C52" s="372"/>
      <c r="D52" s="373">
        <f>SUM(D49:D51)</f>
      </c>
      <c r="E52" s="373">
        <f>SUM(E49:E51)</f>
      </c>
      <c r="F52" s="373">
        <f>SUM(F49:F51)</f>
      </c>
      <c r="G52" s="373">
        <f>SUM(G49:G51)</f>
      </c>
      <c r="H52" s="374">
        <f t="shared" si="0"/>
      </c>
      <c r="I52" s="374">
        <f t="shared" si="20"/>
      </c>
      <c r="J52" s="374">
        <f t="shared" si="6"/>
      </c>
      <c r="K52" s="373">
        <f>SUM(K49:K51)</f>
      </c>
      <c r="L52" s="373">
        <f>SUM(L49:L51)</f>
      </c>
      <c r="M52" s="372"/>
      <c r="N52" s="373">
        <f>SUM(N49:N51)</f>
      </c>
      <c r="O52" s="372"/>
      <c r="P52" s="372">
        <f>SUM(P49:P51)</f>
      </c>
    </row>
    <row r="53">
      <c r="A53" s="366" t="s">
        <v>758</v>
      </c>
      <c r="B53" s="367" t="s">
        <v>746</v>
      </c>
      <c r="C53" s="368" t="s">
        <v>756</v>
      </c>
      <c r="D53" s="368">
        <v>5</v>
      </c>
      <c r="E53" s="368">
        <v>40</v>
      </c>
      <c r="F53" s="368">
        <v>22008</v>
      </c>
      <c r="G53" s="368">
        <v>22475.65</v>
      </c>
      <c r="H53" s="369">
        <f t="shared" si="0"/>
      </c>
      <c r="I53" s="369">
        <f t="shared" si="20"/>
      </c>
      <c r="J53" s="369">
        <f t="shared" si="6"/>
      </c>
      <c r="K53" s="368">
        <v>2</v>
      </c>
      <c r="L53" s="368">
        <v>756</v>
      </c>
      <c r="M53" s="368" t="s">
        <v>759</v>
      </c>
      <c r="N53" s="368">
        <v>2</v>
      </c>
      <c r="O53" s="370" t="s">
        <v>725</v>
      </c>
      <c r="P53" s="368">
        <v>10</v>
      </c>
    </row>
    <row r="54">
      <c r="A54" s="366" t="s">
        <v>758</v>
      </c>
      <c r="B54" s="367" t="s">
        <v>745</v>
      </c>
      <c r="C54" s="368" t="s">
        <v>738</v>
      </c>
      <c r="D54" s="368">
        <v>5</v>
      </c>
      <c r="E54" s="368">
        <v>30</v>
      </c>
      <c r="F54" s="368">
        <v>18967.199999999997</v>
      </c>
      <c r="G54" s="368">
        <v>13779.45</v>
      </c>
      <c r="H54" s="369">
        <f t="shared" si="0"/>
      </c>
      <c r="I54" s="369">
        <f t="shared" si="20"/>
      </c>
      <c r="J54" s="369">
        <f>G53/E54</f>
      </c>
      <c r="K54" s="368">
        <v>7</v>
      </c>
      <c r="L54" s="368">
        <v>3853.3999999999996</v>
      </c>
      <c r="M54" s="368" t="s">
        <v>760</v>
      </c>
      <c r="N54" s="368">
        <v>3.2</v>
      </c>
      <c r="O54" s="375"/>
      <c r="P54" s="370"/>
    </row>
    <row r="55">
      <c r="A55" s="371" t="s">
        <v>758</v>
      </c>
      <c r="B55" s="372"/>
      <c r="C55" s="372"/>
      <c r="D55" s="373">
        <f>SUM(D53:D54)</f>
      </c>
      <c r="E55" s="373">
        <f>SUM(E53:E54)</f>
      </c>
      <c r="F55" s="373">
        <f>SUM(F53:F54)</f>
      </c>
      <c r="G55" s="373">
        <f>SUM(G53:G54)</f>
      </c>
      <c r="H55" s="374">
        <f t="shared" si="0"/>
      </c>
      <c r="I55" s="374">
        <f t="shared" si="20"/>
      </c>
      <c r="J55" s="374">
        <f t="shared" ref="J55:J56" si="7">G55/E55</f>
      </c>
      <c r="K55" s="373">
        <f>SUM(K53:K54)</f>
      </c>
      <c r="L55" s="373">
        <f>SUM(L53:L54)</f>
      </c>
      <c r="M55" s="372"/>
      <c r="N55" s="373">
        <f>SUM(N53:N54)</f>
      </c>
      <c r="O55" s="372"/>
      <c r="P55" s="372">
        <f>SUM(P53:P54)</f>
      </c>
    </row>
    <row r="56">
      <c r="A56" s="366" t="s">
        <v>761</v>
      </c>
      <c r="B56" s="367" t="s">
        <v>745</v>
      </c>
      <c r="C56" s="368" t="s">
        <v>756</v>
      </c>
      <c r="D56" s="368">
        <v>5</v>
      </c>
      <c r="E56" s="368">
        <v>19</v>
      </c>
      <c r="F56" s="368">
        <v>12818.2</v>
      </c>
      <c r="G56" s="368">
        <v>10152.6</v>
      </c>
      <c r="H56" s="369">
        <f t="shared" si="0"/>
      </c>
      <c r="I56" s="369">
        <f t="shared" si="20"/>
      </c>
      <c r="J56" s="369">
        <f t="shared" si="7"/>
      </c>
      <c r="K56" s="368">
        <v>3</v>
      </c>
      <c r="L56" s="368">
        <v>2116.8</v>
      </c>
      <c r="M56" s="368" t="s">
        <v>759</v>
      </c>
      <c r="N56" s="368">
        <v>2</v>
      </c>
      <c r="O56" s="370" t="s">
        <v>725</v>
      </c>
      <c r="P56" s="368">
        <v>10</v>
      </c>
    </row>
    <row r="57">
      <c r="A57" s="366" t="s">
        <v>761</v>
      </c>
      <c r="B57" s="367" t="s">
        <v>746</v>
      </c>
      <c r="C57" s="368" t="s">
        <v>738</v>
      </c>
      <c r="D57" s="368">
        <v>5</v>
      </c>
      <c r="E57" s="368">
        <v>71</v>
      </c>
      <c r="F57" s="368">
        <v>51531.200000000004</v>
      </c>
      <c r="G57" s="368">
        <v>30839.879999999997</v>
      </c>
      <c r="H57" s="369">
        <f t="shared" si="0"/>
      </c>
      <c r="I57" s="369">
        <f t="shared" si="20"/>
      </c>
      <c r="J57" s="369">
        <f>G56/E57</f>
      </c>
      <c r="K57" s="368">
        <v>6</v>
      </c>
      <c r="L57" s="368">
        <v>2753.5999999999995</v>
      </c>
      <c r="M57" s="368" t="s">
        <v>760</v>
      </c>
      <c r="N57" s="368">
        <v>3.2</v>
      </c>
      <c r="O57" s="375"/>
      <c r="P57" s="370"/>
    </row>
    <row r="58">
      <c r="A58" s="371" t="s">
        <v>761</v>
      </c>
      <c r="B58" s="372"/>
      <c r="C58" s="372"/>
      <c r="D58" s="373">
        <f>SUM(D56:D57)</f>
      </c>
      <c r="E58" s="373">
        <f>SUM(E56:E57)</f>
      </c>
      <c r="F58" s="373">
        <f>SUM(F56:F57)</f>
      </c>
      <c r="G58" s="373">
        <f>SUM(G56:G57)</f>
      </c>
      <c r="H58" s="374">
        <f t="shared" si="0"/>
      </c>
      <c r="I58" s="374">
        <f t="shared" si="20"/>
      </c>
      <c r="J58" s="374">
        <f t="shared" ref="J58:J59" si="8">G58/E58</f>
      </c>
      <c r="K58" s="373">
        <f>SUM(K56:K57)</f>
      </c>
      <c r="L58" s="373">
        <f>SUM(L56:L57)</f>
      </c>
      <c r="M58" s="372"/>
      <c r="N58" s="373">
        <f>SUM(N56:N57)</f>
      </c>
      <c r="O58" s="372"/>
      <c r="P58" s="372">
        <f>SUM(P56:P57)</f>
      </c>
    </row>
    <row r="59">
      <c r="A59" s="366" t="s">
        <v>762</v>
      </c>
      <c r="B59" s="367" t="s">
        <v>745</v>
      </c>
      <c r="C59" s="368" t="s">
        <v>756</v>
      </c>
      <c r="D59" s="368">
        <v>5</v>
      </c>
      <c r="E59" s="368">
        <v>50</v>
      </c>
      <c r="F59" s="368">
        <v>41498.8</v>
      </c>
      <c r="G59" s="368">
        <v>21942.07</v>
      </c>
      <c r="H59" s="369">
        <f t="shared" si="0"/>
      </c>
      <c r="I59" s="369">
        <f t="shared" si="20"/>
      </c>
      <c r="J59" s="369">
        <f t="shared" si="8"/>
      </c>
      <c r="K59" s="368">
        <v>5</v>
      </c>
      <c r="L59" s="368">
        <v>2631.7999999999997</v>
      </c>
      <c r="M59" s="368" t="s">
        <v>755</v>
      </c>
      <c r="N59" s="368">
        <v>0.8</v>
      </c>
      <c r="O59" s="370" t="s">
        <v>725</v>
      </c>
      <c r="P59" s="368">
        <v>10</v>
      </c>
    </row>
    <row r="60">
      <c r="A60" s="366" t="s">
        <v>762</v>
      </c>
      <c r="B60" s="367" t="s">
        <v>746</v>
      </c>
      <c r="C60" s="368" t="s">
        <v>738</v>
      </c>
      <c r="D60" s="368">
        <v>5</v>
      </c>
      <c r="E60" s="368">
        <v>49</v>
      </c>
      <c r="F60" s="368">
        <v>30918.399999999994</v>
      </c>
      <c r="G60" s="368">
        <v>24627.539999999997</v>
      </c>
      <c r="H60" s="369">
        <f t="shared" si="0"/>
      </c>
      <c r="I60" s="369">
        <f t="shared" si="20"/>
      </c>
      <c r="J60" s="369">
        <f>G59/E60</f>
      </c>
      <c r="K60" s="368">
        <v>3</v>
      </c>
      <c r="L60" s="368">
        <v>1881.6</v>
      </c>
      <c r="M60" s="368" t="s">
        <v>760</v>
      </c>
      <c r="N60" s="368">
        <v>3.2</v>
      </c>
      <c r="O60" s="375"/>
      <c r="P60" s="370"/>
    </row>
    <row r="61">
      <c r="A61" s="371" t="s">
        <v>762</v>
      </c>
      <c r="B61" s="372"/>
      <c r="C61" s="372"/>
      <c r="D61" s="373">
        <f>SUM(D59:D60)</f>
      </c>
      <c r="E61" s="373">
        <f>SUM(E59:E60)</f>
      </c>
      <c r="F61" s="373">
        <f>SUM(F59:F60)</f>
      </c>
      <c r="G61" s="373">
        <f>SUM(G59:G60)</f>
      </c>
      <c r="H61" s="374">
        <f t="shared" si="0"/>
      </c>
      <c r="I61" s="374">
        <f t="shared" si="20"/>
      </c>
      <c r="J61" s="374">
        <f t="shared" ref="J61:J62" si="9">G61/E61</f>
      </c>
      <c r="K61" s="373">
        <f>SUM(K59:K60)</f>
      </c>
      <c r="L61" s="373">
        <f>SUM(L59:L60)</f>
      </c>
      <c r="M61" s="372"/>
      <c r="N61" s="373">
        <f>SUM(N59:N60)</f>
      </c>
      <c r="O61" s="372"/>
      <c r="P61" s="372">
        <f>SUM(P59:P60)</f>
      </c>
    </row>
    <row r="62">
      <c r="A62" s="366" t="s">
        <v>763</v>
      </c>
      <c r="B62" s="367" t="s">
        <v>746</v>
      </c>
      <c r="C62" s="368" t="s">
        <v>754</v>
      </c>
      <c r="D62" s="368">
        <v>5</v>
      </c>
      <c r="E62" s="368">
        <v>37</v>
      </c>
      <c r="F62" s="368">
        <v>28382</v>
      </c>
      <c r="G62" s="368">
        <v>21738.55</v>
      </c>
      <c r="H62" s="369">
        <f t="shared" si="0"/>
      </c>
      <c r="I62" s="369">
        <f t="shared" si="20"/>
      </c>
      <c r="J62" s="369">
        <f t="shared" si="9"/>
      </c>
      <c r="K62" s="368">
        <v>3</v>
      </c>
      <c r="L62" s="368">
        <v>1281.6</v>
      </c>
      <c r="M62" s="368" t="s">
        <v>759</v>
      </c>
      <c r="N62" s="368">
        <v>7</v>
      </c>
      <c r="O62" s="370" t="s">
        <v>725</v>
      </c>
      <c r="P62" s="368">
        <v>15</v>
      </c>
    </row>
    <row r="63">
      <c r="A63" s="366" t="s">
        <v>763</v>
      </c>
      <c r="B63" s="367" t="s">
        <v>745</v>
      </c>
      <c r="C63" s="368" t="s">
        <v>756</v>
      </c>
      <c r="D63" s="368">
        <v>5</v>
      </c>
      <c r="E63" s="368">
        <v>15</v>
      </c>
      <c r="F63" s="368">
        <v>5586.199999999997</v>
      </c>
      <c r="G63" s="368">
        <v>12093.79</v>
      </c>
      <c r="H63" s="369">
        <f t="shared" si="0"/>
      </c>
      <c r="I63" s="369">
        <f t="shared" si="20"/>
      </c>
      <c r="J63" s="369">
        <f>G62/E63</f>
      </c>
      <c r="K63" s="368">
        <v>3</v>
      </c>
      <c r="L63" s="368">
        <v>1009.2</v>
      </c>
      <c r="M63" s="370"/>
      <c r="N63" s="370"/>
      <c r="O63" s="375"/>
      <c r="P63" s="370"/>
    </row>
    <row r="64">
      <c r="A64" s="366" t="s">
        <v>763</v>
      </c>
      <c r="B64" s="367" t="s">
        <v>726</v>
      </c>
      <c r="C64" s="368" t="s">
        <v>738</v>
      </c>
      <c r="D64" s="368">
        <v>5</v>
      </c>
      <c r="E64" s="368">
        <v>30</v>
      </c>
      <c r="F64" s="368">
        <v>25446.200000000004</v>
      </c>
      <c r="G64" s="368">
        <v>12830.859999999997</v>
      </c>
      <c r="H64" s="369">
        <f t="shared" si="0"/>
      </c>
      <c r="I64" s="369">
        <f t="shared" si="20"/>
      </c>
      <c r="J64" s="369">
        <f t="shared" ref="J64:J66" si="10">G64/E64</f>
      </c>
      <c r="K64" s="368">
        <v>0</v>
      </c>
      <c r="L64" s="368">
        <v>0</v>
      </c>
      <c r="M64" s="368" t="s">
        <v>764</v>
      </c>
      <c r="N64" s="368">
        <v>8</v>
      </c>
      <c r="O64" s="370"/>
      <c r="P64" s="370"/>
    </row>
    <row r="65">
      <c r="A65" s="371" t="s">
        <v>763</v>
      </c>
      <c r="B65" s="372"/>
      <c r="C65" s="372"/>
      <c r="D65" s="373">
        <f>SUM(D62:D64)</f>
      </c>
      <c r="E65" s="373">
        <f>SUM(E62:E64)</f>
      </c>
      <c r="F65" s="373">
        <f>SUM(F62:F64)</f>
      </c>
      <c r="G65" s="373">
        <f>SUM(G62:G64)</f>
      </c>
      <c r="H65" s="374">
        <f t="shared" si="0"/>
      </c>
      <c r="I65" s="374">
        <f t="shared" si="20"/>
      </c>
      <c r="J65" s="374">
        <f t="shared" si="10"/>
      </c>
      <c r="K65" s="373">
        <f>SUM(K62:K64)</f>
      </c>
      <c r="L65" s="373">
        <f>SUM(L62:L64)</f>
      </c>
      <c r="M65" s="372"/>
      <c r="N65" s="373">
        <f>SUM(N62:N64)</f>
      </c>
      <c r="O65" s="372"/>
      <c r="P65" s="372">
        <f>SUM(P62:P64)</f>
      </c>
    </row>
    <row r="66">
      <c r="A66" s="366" t="s">
        <v>765</v>
      </c>
      <c r="B66" s="367" t="s">
        <v>746</v>
      </c>
      <c r="C66" s="368" t="s">
        <v>754</v>
      </c>
      <c r="D66" s="368">
        <v>5</v>
      </c>
      <c r="E66" s="368">
        <v>26</v>
      </c>
      <c r="F66" s="368">
        <v>18940.399999999998</v>
      </c>
      <c r="G66" s="368">
        <v>14246.51</v>
      </c>
      <c r="H66" s="369">
        <f t="shared" si="0"/>
      </c>
      <c r="I66" s="369">
        <f t="shared" si="20"/>
      </c>
      <c r="J66" s="369">
        <f t="shared" si="10"/>
      </c>
      <c r="K66" s="368">
        <v>2</v>
      </c>
      <c r="L66" s="368">
        <v>3054</v>
      </c>
      <c r="M66" s="368" t="s">
        <v>766</v>
      </c>
      <c r="N66" s="368">
        <v>2.8</v>
      </c>
      <c r="O66" s="370" t="s">
        <v>725</v>
      </c>
      <c r="P66" s="368">
        <v>15</v>
      </c>
    </row>
    <row r="67">
      <c r="A67" s="366" t="s">
        <v>765</v>
      </c>
      <c r="B67" s="367" t="s">
        <v>722</v>
      </c>
      <c r="C67" s="368" t="s">
        <v>756</v>
      </c>
      <c r="D67" s="368">
        <v>5</v>
      </c>
      <c r="E67" s="368">
        <v>13</v>
      </c>
      <c r="F67" s="368">
        <v>9354.400000000001</v>
      </c>
      <c r="G67" s="368">
        <v>8196.740000000002</v>
      </c>
      <c r="H67" s="369">
        <f t="shared" si="0"/>
      </c>
      <c r="I67" s="369">
        <f t="shared" si="20"/>
      </c>
      <c r="J67" s="369">
        <f>G66/E67</f>
      </c>
      <c r="K67" s="368">
        <v>3</v>
      </c>
      <c r="L67" s="368">
        <v>1454.3999999999996</v>
      </c>
      <c r="M67" s="370"/>
      <c r="N67" s="370"/>
      <c r="O67" s="375"/>
      <c r="P67" s="370"/>
    </row>
    <row r="68">
      <c r="A68" s="366" t="s">
        <v>765</v>
      </c>
      <c r="B68" s="367" t="s">
        <v>745</v>
      </c>
      <c r="C68" s="368" t="s">
        <v>738</v>
      </c>
      <c r="D68" s="368">
        <v>5</v>
      </c>
      <c r="E68" s="368">
        <v>47</v>
      </c>
      <c r="F68" s="368">
        <v>34737.600000000006</v>
      </c>
      <c r="G68" s="368">
        <v>22969.63</v>
      </c>
      <c r="H68" s="369">
        <f t="shared" si="0"/>
      </c>
      <c r="I68" s="369">
        <f t="shared" si="20"/>
      </c>
      <c r="J68" s="369">
        <f t="shared" ref="J68:J70" si="11">G68/E68</f>
      </c>
      <c r="K68" s="368">
        <v>12</v>
      </c>
      <c r="L68" s="368">
        <v>8262</v>
      </c>
      <c r="M68" s="368" t="s">
        <v>760</v>
      </c>
      <c r="N68" s="368">
        <v>3.2</v>
      </c>
      <c r="O68" s="370"/>
      <c r="P68" s="370"/>
    </row>
    <row r="69">
      <c r="A69" s="371" t="s">
        <v>765</v>
      </c>
      <c r="B69" s="372"/>
      <c r="C69" s="372"/>
      <c r="D69" s="373">
        <f>SUM(D66:D68)</f>
      </c>
      <c r="E69" s="373">
        <f>SUM(E66:E68)</f>
      </c>
      <c r="F69" s="373">
        <f>SUM(F66:F68)</f>
      </c>
      <c r="G69" s="373">
        <f>SUM(G66:G68)</f>
      </c>
      <c r="H69" s="374">
        <f t="shared" si="0"/>
      </c>
      <c r="I69" s="374">
        <f t="shared" si="20"/>
      </c>
      <c r="J69" s="374">
        <f t="shared" si="11"/>
      </c>
      <c r="K69" s="373">
        <f>SUM(K66:K68)</f>
      </c>
      <c r="L69" s="373">
        <f>SUM(L66:L68)</f>
      </c>
      <c r="M69" s="372"/>
      <c r="N69" s="373">
        <f>SUM(N66:N68)</f>
      </c>
      <c r="O69" s="372"/>
      <c r="P69" s="372">
        <f>SUM(P66:P68)</f>
      </c>
    </row>
    <row r="70">
      <c r="A70" s="366" t="s">
        <v>767</v>
      </c>
      <c r="B70" s="367" t="s">
        <v>746</v>
      </c>
      <c r="C70" s="368" t="s">
        <v>756</v>
      </c>
      <c r="D70" s="368">
        <v>5</v>
      </c>
      <c r="E70" s="368">
        <v>21</v>
      </c>
      <c r="F70" s="368">
        <v>13186</v>
      </c>
      <c r="G70" s="368">
        <v>12315.189999999999</v>
      </c>
      <c r="H70" s="369">
        <f t="shared" si="0"/>
      </c>
      <c r="I70" s="369">
        <f t="shared" si="20"/>
      </c>
      <c r="J70" s="369">
        <f t="shared" si="11"/>
      </c>
      <c r="K70" s="368">
        <v>2</v>
      </c>
      <c r="L70" s="368">
        <v>2473</v>
      </c>
      <c r="M70" s="368" t="s">
        <v>768</v>
      </c>
      <c r="N70" s="368">
        <v>10</v>
      </c>
      <c r="O70" s="370" t="s">
        <v>725</v>
      </c>
      <c r="P70" s="368">
        <v>10</v>
      </c>
    </row>
    <row r="71">
      <c r="A71" s="366" t="s">
        <v>767</v>
      </c>
      <c r="B71" s="367" t="s">
        <v>722</v>
      </c>
      <c r="C71" s="368" t="s">
        <v>738</v>
      </c>
      <c r="D71" s="368">
        <v>5</v>
      </c>
      <c r="E71" s="368">
        <v>25</v>
      </c>
      <c r="F71" s="368">
        <v>26318.6</v>
      </c>
      <c r="G71" s="368">
        <v>13640.420000000002</v>
      </c>
      <c r="H71" s="369">
        <f t="shared" si="0"/>
      </c>
      <c r="I71" s="369">
        <f t="shared" si="20"/>
      </c>
      <c r="J71" s="369">
        <f>G70/E71</f>
      </c>
      <c r="K71" s="368">
        <v>4</v>
      </c>
      <c r="L71" s="368">
        <v>5428</v>
      </c>
      <c r="M71" s="370"/>
      <c r="N71" s="370"/>
      <c r="O71" s="375"/>
      <c r="P71" s="370"/>
    </row>
    <row r="72">
      <c r="A72" s="371" t="s">
        <v>767</v>
      </c>
      <c r="B72" s="372"/>
      <c r="C72" s="372"/>
      <c r="D72" s="373">
        <f>SUM(D70:D71)</f>
      </c>
      <c r="E72" s="373">
        <f>SUM(E70:E71)</f>
      </c>
      <c r="F72" s="373">
        <f>SUM(F70:F71)</f>
      </c>
      <c r="G72" s="373">
        <f>SUM(G70:G71)</f>
      </c>
      <c r="H72" s="374">
        <f t="shared" si="0"/>
      </c>
      <c r="I72" s="374">
        <f t="shared" si="20"/>
      </c>
      <c r="J72" s="374">
        <f t="shared" ref="J72:J73" si="12">G72/E72</f>
      </c>
      <c r="K72" s="373">
        <f>SUM(K70:K71)</f>
      </c>
      <c r="L72" s="373">
        <f>SUM(L70:L71)</f>
      </c>
      <c r="M72" s="372"/>
      <c r="N72" s="373">
        <f>SUM(N70:N71)</f>
      </c>
      <c r="O72" s="372"/>
      <c r="P72" s="372">
        <f>SUM(P70:P71)</f>
      </c>
    </row>
    <row r="73">
      <c r="A73" s="366" t="s">
        <v>769</v>
      </c>
      <c r="B73" s="367" t="s">
        <v>746</v>
      </c>
      <c r="C73" s="368" t="s">
        <v>756</v>
      </c>
      <c r="D73" s="368">
        <v>5</v>
      </c>
      <c r="E73" s="368">
        <v>17</v>
      </c>
      <c r="F73" s="368">
        <v>11832.92</v>
      </c>
      <c r="G73" s="368">
        <v>8254.53</v>
      </c>
      <c r="H73" s="369">
        <f t="shared" si="0"/>
      </c>
      <c r="I73" s="369">
        <f t="shared" si="20"/>
      </c>
      <c r="J73" s="369">
        <f t="shared" si="12"/>
      </c>
      <c r="K73" s="368">
        <v>2</v>
      </c>
      <c r="L73" s="368">
        <v>1100.6</v>
      </c>
      <c r="M73" s="368" t="s">
        <v>768</v>
      </c>
      <c r="N73" s="368">
        <v>10</v>
      </c>
      <c r="O73" s="370" t="s">
        <v>725</v>
      </c>
      <c r="P73" s="368">
        <v>10</v>
      </c>
    </row>
    <row r="74">
      <c r="A74" s="366" t="s">
        <v>769</v>
      </c>
      <c r="B74" s="367" t="s">
        <v>722</v>
      </c>
      <c r="C74" s="368" t="s">
        <v>738</v>
      </c>
      <c r="D74" s="368">
        <v>5</v>
      </c>
      <c r="E74" s="368">
        <v>15</v>
      </c>
      <c r="F74" s="368">
        <v>12015.4</v>
      </c>
      <c r="G74" s="368">
        <v>11690.08</v>
      </c>
      <c r="H74" s="369">
        <f t="shared" si="0"/>
      </c>
      <c r="I74" s="369">
        <f t="shared" si="20"/>
      </c>
      <c r="J74" s="369">
        <f>G73/E74</f>
      </c>
      <c r="K74" s="368">
        <v>0</v>
      </c>
      <c r="L74" s="368">
        <v>0</v>
      </c>
      <c r="M74" s="370"/>
      <c r="N74" s="370"/>
      <c r="O74" s="375"/>
      <c r="P74" s="370"/>
    </row>
    <row r="75">
      <c r="A75" s="371" t="s">
        <v>769</v>
      </c>
      <c r="B75" s="372"/>
      <c r="C75" s="372"/>
      <c r="D75" s="373">
        <f>SUM(D73:D74)</f>
      </c>
      <c r="E75" s="373">
        <f>SUM(E73:E74)</f>
      </c>
      <c r="F75" s="373">
        <f>SUM(F73:F74)</f>
      </c>
      <c r="G75" s="373">
        <f>SUM(G73:G74)</f>
      </c>
      <c r="H75" s="374">
        <f t="shared" si="0"/>
      </c>
      <c r="I75" s="374">
        <f t="shared" si="20"/>
      </c>
      <c r="J75" s="374">
        <f t="shared" ref="J75:J76" si="13">G75/E75</f>
      </c>
      <c r="K75" s="373">
        <f>SUM(K73:K74)</f>
      </c>
      <c r="L75" s="373">
        <f>SUM(L73:L74)</f>
      </c>
      <c r="M75" s="372"/>
      <c r="N75" s="373">
        <f>SUM(N73:N74)</f>
      </c>
      <c r="O75" s="372"/>
      <c r="P75" s="372">
        <f>SUM(P73:P74)</f>
      </c>
    </row>
    <row r="76">
      <c r="A76" s="366" t="s">
        <v>770</v>
      </c>
      <c r="B76" s="367" t="s">
        <v>746</v>
      </c>
      <c r="C76" s="368" t="s">
        <v>756</v>
      </c>
      <c r="D76" s="368">
        <v>5</v>
      </c>
      <c r="E76" s="368">
        <v>15</v>
      </c>
      <c r="F76" s="368">
        <v>7783.4</v>
      </c>
      <c r="G76" s="368">
        <v>10955.79</v>
      </c>
      <c r="H76" s="369">
        <f t="shared" si="0"/>
      </c>
      <c r="I76" s="369">
        <f t="shared" si="20"/>
      </c>
      <c r="J76" s="369">
        <f t="shared" si="13"/>
      </c>
      <c r="K76" s="368">
        <v>0</v>
      </c>
      <c r="L76" s="368">
        <v>0</v>
      </c>
      <c r="M76" s="368" t="s">
        <v>768</v>
      </c>
      <c r="N76" s="368">
        <v>2</v>
      </c>
      <c r="O76" s="370" t="s">
        <v>725</v>
      </c>
      <c r="P76" s="368">
        <v>10</v>
      </c>
    </row>
    <row r="77">
      <c r="A77" s="366" t="s">
        <v>770</v>
      </c>
      <c r="B77" s="367" t="s">
        <v>722</v>
      </c>
      <c r="C77" s="368" t="s">
        <v>738</v>
      </c>
      <c r="D77" s="368">
        <v>5</v>
      </c>
      <c r="E77" s="368">
        <v>46</v>
      </c>
      <c r="F77" s="368">
        <v>35344.4</v>
      </c>
      <c r="G77" s="368">
        <v>20763.16</v>
      </c>
      <c r="H77" s="369">
        <f t="shared" si="0"/>
      </c>
      <c r="I77" s="369">
        <f t="shared" si="20"/>
      </c>
      <c r="J77" s="369">
        <f>G76/E77</f>
      </c>
      <c r="K77" s="368">
        <v>3</v>
      </c>
      <c r="L77" s="368">
        <v>3880.2</v>
      </c>
      <c r="M77" s="368" t="s">
        <v>724</v>
      </c>
      <c r="N77" s="368">
        <v>3.2</v>
      </c>
      <c r="O77" s="375"/>
      <c r="P77" s="370"/>
    </row>
    <row r="78">
      <c r="A78" s="371" t="s">
        <v>770</v>
      </c>
      <c r="B78" s="372"/>
      <c r="C78" s="372"/>
      <c r="D78" s="373">
        <f>SUM(D76:D77)</f>
      </c>
      <c r="E78" s="373">
        <f>SUM(E76:E77)</f>
      </c>
      <c r="F78" s="373">
        <f>SUM(F76:F77)</f>
      </c>
      <c r="G78" s="373">
        <f>SUM(G76:G77)</f>
      </c>
      <c r="H78" s="374">
        <f t="shared" si="0"/>
      </c>
      <c r="I78" s="374">
        <f t="shared" si="20"/>
      </c>
      <c r="J78" s="374">
        <f t="shared" ref="J78:J79" si="14">G78/E78</f>
      </c>
      <c r="K78" s="373">
        <f>SUM(K76:K77)</f>
      </c>
      <c r="L78" s="373">
        <f>SUM(L76:L77)</f>
      </c>
      <c r="M78" s="372"/>
      <c r="N78" s="373">
        <f>SUM(N76:N77)</f>
      </c>
      <c r="O78" s="372"/>
      <c r="P78" s="372">
        <f>SUM(P76:P77)</f>
      </c>
    </row>
    <row r="79">
      <c r="A79" s="366" t="s">
        <v>771</v>
      </c>
      <c r="B79" s="367" t="s">
        <v>746</v>
      </c>
      <c r="C79" s="368" t="s">
        <v>749</v>
      </c>
      <c r="D79" s="368">
        <v>4</v>
      </c>
      <c r="E79" s="368">
        <v>12</v>
      </c>
      <c r="F79" s="368">
        <v>6723.6</v>
      </c>
      <c r="G79" s="368">
        <v>8156.67</v>
      </c>
      <c r="H79" s="369">
        <f t="shared" si="0"/>
      </c>
      <c r="I79" s="369">
        <f t="shared" si="20"/>
      </c>
      <c r="J79" s="369">
        <f t="shared" si="14"/>
      </c>
      <c r="K79" s="368">
        <v>2</v>
      </c>
      <c r="L79" s="368">
        <v>1282.8</v>
      </c>
      <c r="M79" s="368" t="s">
        <v>768</v>
      </c>
      <c r="N79" s="368">
        <v>10</v>
      </c>
      <c r="O79" s="370" t="s">
        <v>725</v>
      </c>
      <c r="P79" s="368">
        <v>8</v>
      </c>
    </row>
    <row r="80">
      <c r="A80" s="366" t="s">
        <v>771</v>
      </c>
      <c r="B80" s="367" t="s">
        <v>722</v>
      </c>
      <c r="C80" s="368" t="s">
        <v>744</v>
      </c>
      <c r="D80" s="368">
        <v>4</v>
      </c>
      <c r="E80" s="368">
        <v>12</v>
      </c>
      <c r="F80" s="368">
        <v>9729.6</v>
      </c>
      <c r="G80" s="368">
        <v>5790.18</v>
      </c>
      <c r="H80" s="369">
        <f t="shared" si="0"/>
      </c>
      <c r="I80" s="369">
        <f t="shared" si="20"/>
      </c>
      <c r="J80" s="369">
        <f>G79/E80</f>
      </c>
      <c r="K80" s="368">
        <v>4</v>
      </c>
      <c r="L80" s="368">
        <v>1806</v>
      </c>
      <c r="M80" s="370"/>
      <c r="N80" s="370"/>
      <c r="O80" s="375"/>
      <c r="P80" s="370"/>
    </row>
    <row r="81">
      <c r="A81" s="366" t="s">
        <v>771</v>
      </c>
      <c r="B81" s="367" t="s">
        <v>726</v>
      </c>
      <c r="C81" s="368" t="s">
        <v>723</v>
      </c>
      <c r="D81" s="368">
        <v>4</v>
      </c>
      <c r="E81" s="368">
        <v>13</v>
      </c>
      <c r="F81" s="368">
        <v>11124.6</v>
      </c>
      <c r="G81" s="368">
        <v>8782.49</v>
      </c>
      <c r="H81" s="369">
        <f t="shared" si="0"/>
      </c>
      <c r="I81" s="369">
        <f t="shared" si="20"/>
      </c>
      <c r="J81" s="369">
        <f t="shared" ref="J81:J84" si="15">G81/E81</f>
      </c>
      <c r="K81" s="368">
        <v>2</v>
      </c>
      <c r="L81" s="368">
        <v>826.8</v>
      </c>
      <c r="M81" s="370"/>
      <c r="N81" s="370"/>
      <c r="O81" s="370"/>
      <c r="P81" s="370"/>
    </row>
    <row r="82">
      <c r="A82" s="366" t="s">
        <v>771</v>
      </c>
      <c r="B82" s="367" t="s">
        <v>745</v>
      </c>
      <c r="C82" s="368" t="s">
        <v>727</v>
      </c>
      <c r="D82" s="368">
        <v>4</v>
      </c>
      <c r="E82" s="368">
        <v>61</v>
      </c>
      <c r="F82" s="368">
        <v>40680.8</v>
      </c>
      <c r="G82" s="368">
        <v>20636.15</v>
      </c>
      <c r="H82" s="369">
        <f t="shared" si="0"/>
      </c>
      <c r="I82" s="369">
        <f t="shared" si="20"/>
      </c>
      <c r="J82" s="369">
        <f t="shared" si="15"/>
      </c>
      <c r="K82" s="368">
        <v>9</v>
      </c>
      <c r="L82" s="368">
        <v>8929.2</v>
      </c>
      <c r="M82" s="368" t="s">
        <v>724</v>
      </c>
      <c r="N82" s="368">
        <v>2.4</v>
      </c>
      <c r="O82" s="368" t="s">
        <v>747</v>
      </c>
      <c r="P82" s="368">
        <v>8</v>
      </c>
    </row>
    <row r="83">
      <c r="A83" s="371" t="s">
        <v>771</v>
      </c>
      <c r="B83" s="372"/>
      <c r="C83" s="372"/>
      <c r="D83" s="373">
        <f>SUM(D79:D82)</f>
      </c>
      <c r="E83" s="373">
        <f>SUM(E79:E82)</f>
      </c>
      <c r="F83" s="373">
        <f>SUM(F79:F82)</f>
      </c>
      <c r="G83" s="373">
        <f>SUM(G79:G82)</f>
      </c>
      <c r="H83" s="374">
        <f t="shared" si="0"/>
      </c>
      <c r="I83" s="374">
        <f t="shared" si="20"/>
      </c>
      <c r="J83" s="374">
        <f t="shared" si="15"/>
      </c>
      <c r="K83" s="373">
        <f>SUM(K79:K82)</f>
      </c>
      <c r="L83" s="373">
        <f>SUM(L79:L82)</f>
      </c>
      <c r="M83" s="372"/>
      <c r="N83" s="373">
        <f>SUM(N79:N82)</f>
      </c>
      <c r="O83" s="372"/>
      <c r="P83" s="372">
        <f>SUM(P79:P82)</f>
      </c>
    </row>
    <row r="84">
      <c r="A84" s="366" t="s">
        <v>772</v>
      </c>
      <c r="B84" s="367" t="s">
        <v>726</v>
      </c>
      <c r="C84" s="368" t="s">
        <v>749</v>
      </c>
      <c r="D84" s="368">
        <v>4</v>
      </c>
      <c r="E84" s="368">
        <v>57</v>
      </c>
      <c r="F84" s="368">
        <v>35865.8</v>
      </c>
      <c r="G84" s="368">
        <v>30442.97</v>
      </c>
      <c r="H84" s="369">
        <f t="shared" si="0"/>
      </c>
      <c r="I84" s="369">
        <f t="shared" si="20"/>
      </c>
      <c r="J84" s="369">
        <f t="shared" si="15"/>
      </c>
      <c r="K84" s="368">
        <v>9</v>
      </c>
      <c r="L84" s="368">
        <v>7681.199999999998</v>
      </c>
      <c r="M84" s="368" t="s">
        <v>768</v>
      </c>
      <c r="N84" s="368">
        <v>8</v>
      </c>
      <c r="O84" s="370" t="s">
        <v>725</v>
      </c>
      <c r="P84" s="368">
        <v>8</v>
      </c>
    </row>
    <row r="85">
      <c r="A85" s="366" t="s">
        <v>772</v>
      </c>
      <c r="B85" s="367" t="s">
        <v>722</v>
      </c>
      <c r="C85" s="368" t="s">
        <v>744</v>
      </c>
      <c r="D85" s="368">
        <v>4</v>
      </c>
      <c r="E85" s="368">
        <v>54</v>
      </c>
      <c r="F85" s="368">
        <v>38056.03999999999</v>
      </c>
      <c r="G85" s="368">
        <v>32858.12</v>
      </c>
      <c r="H85" s="369">
        <f t="shared" si="0"/>
      </c>
      <c r="I85" s="369">
        <f t="shared" si="20"/>
      </c>
      <c r="J85" s="369">
        <f>G84/E85</f>
      </c>
      <c r="K85" s="368">
        <v>7</v>
      </c>
      <c r="L85" s="368">
        <v>9205.800000000001</v>
      </c>
      <c r="M85" s="370"/>
      <c r="N85" s="370"/>
      <c r="O85" s="375"/>
      <c r="P85" s="370"/>
      <c r="R85" s="376"/>
    </row>
    <row r="86">
      <c r="A86" s="366" t="s">
        <v>772</v>
      </c>
      <c r="B86" s="367" t="s">
        <v>745</v>
      </c>
      <c r="C86" s="368" t="s">
        <v>723</v>
      </c>
      <c r="D86" s="368">
        <v>4</v>
      </c>
      <c r="E86" s="368">
        <v>78</v>
      </c>
      <c r="F86" s="368">
        <v>49163.2</v>
      </c>
      <c r="G86" s="368">
        <v>37571.26</v>
      </c>
      <c r="H86" s="369">
        <f t="shared" si="0"/>
      </c>
      <c r="I86" s="369">
        <f t="shared" si="20"/>
      </c>
      <c r="J86" s="369">
        <f t="shared" ref="J86:J89" si="16">G86/E86</f>
      </c>
      <c r="K86" s="368">
        <v>12</v>
      </c>
      <c r="L86" s="368">
        <v>6168.400000000002</v>
      </c>
      <c r="M86" s="370"/>
      <c r="N86" s="370"/>
      <c r="O86" s="370"/>
      <c r="P86" s="370"/>
      <c r="R86" s="376"/>
    </row>
    <row r="87">
      <c r="A87" s="366" t="s">
        <v>772</v>
      </c>
      <c r="B87" s="367" t="s">
        <v>746</v>
      </c>
      <c r="C87" s="368" t="s">
        <v>727</v>
      </c>
      <c r="D87" s="368">
        <v>4</v>
      </c>
      <c r="E87" s="368">
        <v>106</v>
      </c>
      <c r="F87" s="368">
        <v>64488.81999999999</v>
      </c>
      <c r="G87" s="368">
        <v>58423.969999999994</v>
      </c>
      <c r="H87" s="369">
        <f t="shared" si="0"/>
      </c>
      <c r="I87" s="369">
        <f t="shared" si="20"/>
      </c>
      <c r="J87" s="369">
        <f t="shared" si="16"/>
      </c>
      <c r="K87" s="368">
        <v>11</v>
      </c>
      <c r="L87" s="368">
        <v>6378.599999999995</v>
      </c>
      <c r="M87" s="368" t="s">
        <v>733</v>
      </c>
      <c r="N87" s="368">
        <v>8</v>
      </c>
      <c r="O87" s="368" t="s">
        <v>747</v>
      </c>
      <c r="P87" s="368">
        <v>8</v>
      </c>
      <c r="R87" s="376"/>
    </row>
    <row r="88">
      <c r="A88" s="371" t="s">
        <v>772</v>
      </c>
      <c r="B88" s="372"/>
      <c r="C88" s="372"/>
      <c r="D88" s="373">
        <f>SUM(D84:D87)</f>
      </c>
      <c r="E88" s="373">
        <f>SUM(E84:E87)</f>
      </c>
      <c r="F88" s="373">
        <f>SUM(F84:F87)</f>
      </c>
      <c r="G88" s="373">
        <f>SUM(G84:G87)</f>
      </c>
      <c r="H88" s="374">
        <f t="shared" si="0"/>
      </c>
      <c r="I88" s="374">
        <f t="shared" si="20"/>
      </c>
      <c r="J88" s="374">
        <f t="shared" si="16"/>
      </c>
      <c r="K88" s="373">
        <f>SUM(K84:K87)</f>
      </c>
      <c r="L88" s="373">
        <f>SUM(L84:L87)</f>
      </c>
      <c r="M88" s="372"/>
      <c r="N88" s="373">
        <f>SUM(N84:N87)</f>
      </c>
      <c r="O88" s="372"/>
      <c r="P88" s="372">
        <f>SUM(P84:P87)</f>
      </c>
      <c r="R88" s="376"/>
    </row>
    <row r="89">
      <c r="A89" s="366" t="s">
        <v>773</v>
      </c>
      <c r="B89" s="367" t="s">
        <v>722</v>
      </c>
      <c r="C89" s="368" t="s">
        <v>749</v>
      </c>
      <c r="D89" s="368">
        <v>4</v>
      </c>
      <c r="E89" s="368">
        <v>35</v>
      </c>
      <c r="F89" s="368">
        <v>16219.4</v>
      </c>
      <c r="G89" s="368">
        <v>20728.97</v>
      </c>
      <c r="H89" s="369">
        <f t="shared" si="0"/>
      </c>
      <c r="I89" s="369">
        <f t="shared" si="20"/>
      </c>
      <c r="J89" s="369">
        <f t="shared" si="16"/>
      </c>
      <c r="K89" s="368">
        <v>1</v>
      </c>
      <c r="L89" s="368">
        <v>338.40000000000146</v>
      </c>
      <c r="M89" s="368" t="s">
        <v>768</v>
      </c>
      <c r="N89" s="368">
        <v>8</v>
      </c>
      <c r="O89" s="370" t="s">
        <v>725</v>
      </c>
      <c r="P89" s="368">
        <v>8</v>
      </c>
      <c r="R89" s="376"/>
    </row>
    <row r="90">
      <c r="A90" s="366" t="s">
        <v>773</v>
      </c>
      <c r="B90" s="367" t="s">
        <v>746</v>
      </c>
      <c r="C90" s="368" t="s">
        <v>744</v>
      </c>
      <c r="D90" s="368">
        <v>4</v>
      </c>
      <c r="E90" s="368">
        <v>40</v>
      </c>
      <c r="F90" s="368">
        <v>28931.199999999997</v>
      </c>
      <c r="G90" s="368">
        <v>15569.48</v>
      </c>
      <c r="H90" s="369">
        <f t="shared" si="0"/>
      </c>
      <c r="I90" s="369">
        <f t="shared" si="20"/>
      </c>
      <c r="J90" s="369">
        <f>G89/E90</f>
      </c>
      <c r="K90" s="368">
        <v>10</v>
      </c>
      <c r="L90" s="368">
        <v>5366.8</v>
      </c>
      <c r="M90" s="370"/>
      <c r="N90" s="370"/>
      <c r="O90" s="375"/>
      <c r="P90" s="370"/>
    </row>
    <row r="91">
      <c r="A91" s="366" t="s">
        <v>773</v>
      </c>
      <c r="B91" s="367" t="s">
        <v>745</v>
      </c>
      <c r="C91" s="368" t="s">
        <v>723</v>
      </c>
      <c r="D91" s="368">
        <v>4</v>
      </c>
      <c r="E91" s="368">
        <v>22</v>
      </c>
      <c r="F91" s="368">
        <v>15696.400000000001</v>
      </c>
      <c r="G91" s="368">
        <v>14882.33</v>
      </c>
      <c r="H91" s="369">
        <f t="shared" si="0"/>
      </c>
      <c r="I91" s="369">
        <f t="shared" si="20"/>
      </c>
      <c r="J91" s="369">
        <f t="shared" ref="J91:J94" si="17">G91/E91</f>
      </c>
      <c r="K91" s="368">
        <v>2</v>
      </c>
      <c r="L91" s="368">
        <v>2661.5999999999995</v>
      </c>
      <c r="M91" s="370"/>
      <c r="N91" s="370"/>
      <c r="O91" s="370"/>
      <c r="P91" s="370"/>
    </row>
    <row r="92">
      <c r="A92" s="366" t="s">
        <v>773</v>
      </c>
      <c r="B92" s="367" t="s">
        <v>726</v>
      </c>
      <c r="C92" s="368" t="s">
        <v>727</v>
      </c>
      <c r="D92" s="368">
        <v>4</v>
      </c>
      <c r="E92" s="368">
        <v>54</v>
      </c>
      <c r="F92" s="368">
        <v>44707.56000000001</v>
      </c>
      <c r="G92" s="368">
        <v>28301.98</v>
      </c>
      <c r="H92" s="369">
        <f t="shared" si="0"/>
      </c>
      <c r="I92" s="369">
        <f t="shared" si="20"/>
      </c>
      <c r="J92" s="369">
        <f t="shared" si="17"/>
      </c>
      <c r="K92" s="368">
        <v>6</v>
      </c>
      <c r="L92" s="368">
        <v>5077.200000000001</v>
      </c>
      <c r="M92" s="368" t="s">
        <v>733</v>
      </c>
      <c r="N92" s="368">
        <v>8</v>
      </c>
      <c r="O92" s="368" t="s">
        <v>747</v>
      </c>
      <c r="P92" s="368">
        <v>8</v>
      </c>
    </row>
    <row r="93">
      <c r="A93" s="371" t="s">
        <v>773</v>
      </c>
      <c r="B93" s="372"/>
      <c r="C93" s="372"/>
      <c r="D93" s="373">
        <f>SUM(D89:D92)</f>
      </c>
      <c r="E93" s="373">
        <f>SUM(E89:E92)</f>
      </c>
      <c r="F93" s="373">
        <f>SUM(F89:F92)</f>
      </c>
      <c r="G93" s="373">
        <f>SUM(G89:G92)</f>
      </c>
      <c r="H93" s="374">
        <f t="shared" si="0"/>
      </c>
      <c r="I93" s="374">
        <f t="shared" si="20"/>
      </c>
      <c r="J93" s="374">
        <f t="shared" si="17"/>
      </c>
      <c r="K93" s="373">
        <f>SUM(K89:K92)</f>
      </c>
      <c r="L93" s="373">
        <f>SUM(L89:L92)</f>
      </c>
      <c r="M93" s="372"/>
      <c r="N93" s="373">
        <f>SUM(N89:N92)</f>
      </c>
      <c r="O93" s="372"/>
      <c r="P93" s="372">
        <f>SUM(P89:P92)</f>
      </c>
    </row>
    <row r="94">
      <c r="A94" s="366" t="s">
        <v>774</v>
      </c>
      <c r="B94" s="367" t="s">
        <v>722</v>
      </c>
      <c r="C94" s="368" t="s">
        <v>749</v>
      </c>
      <c r="D94" s="368">
        <v>4</v>
      </c>
      <c r="E94" s="368">
        <v>26</v>
      </c>
      <c r="F94" s="368">
        <v>17064.2</v>
      </c>
      <c r="G94" s="368">
        <v>21197.59</v>
      </c>
      <c r="H94" s="369">
        <f t="shared" si="0"/>
      </c>
      <c r="I94" s="369">
        <f t="shared" si="20"/>
      </c>
      <c r="J94" s="369">
        <f t="shared" si="17"/>
      </c>
      <c r="K94" s="368">
        <v>2</v>
      </c>
      <c r="L94" s="368">
        <v>986.4000000000001</v>
      </c>
      <c r="M94" s="368" t="s">
        <v>768</v>
      </c>
      <c r="N94" s="368">
        <v>8</v>
      </c>
      <c r="O94" s="370" t="s">
        <v>725</v>
      </c>
      <c r="P94" s="368">
        <v>8</v>
      </c>
    </row>
    <row r="95">
      <c r="A95" s="366" t="s">
        <v>774</v>
      </c>
      <c r="B95" s="367" t="s">
        <v>746</v>
      </c>
      <c r="C95" s="368" t="s">
        <v>744</v>
      </c>
      <c r="D95" s="368">
        <v>4</v>
      </c>
      <c r="E95" s="368">
        <v>16</v>
      </c>
      <c r="F95" s="368">
        <v>11405.16</v>
      </c>
      <c r="G95" s="368">
        <v>10826.16</v>
      </c>
      <c r="H95" s="369">
        <f t="shared" si="0"/>
      </c>
      <c r="I95" s="369">
        <f t="shared" si="20"/>
      </c>
      <c r="J95" s="369">
        <f>G94/E95</f>
      </c>
      <c r="K95" s="368">
        <v>3</v>
      </c>
      <c r="L95" s="368">
        <v>1266.0000000000002</v>
      </c>
      <c r="M95" s="370"/>
      <c r="N95" s="370"/>
      <c r="O95" s="375"/>
      <c r="P95" s="370"/>
    </row>
    <row r="96">
      <c r="A96" s="366" t="s">
        <v>774</v>
      </c>
      <c r="B96" s="367" t="s">
        <v>726</v>
      </c>
      <c r="C96" s="368" t="s">
        <v>723</v>
      </c>
      <c r="D96" s="368">
        <v>4</v>
      </c>
      <c r="E96" s="368">
        <v>12</v>
      </c>
      <c r="F96" s="368">
        <v>5022.5999999999985</v>
      </c>
      <c r="G96" s="368">
        <v>9294.27</v>
      </c>
      <c r="H96" s="369">
        <f t="shared" si="0"/>
      </c>
      <c r="I96" s="369">
        <f t="shared" si="20"/>
      </c>
      <c r="J96" s="369">
        <f t="shared" ref="J96:J99" si="18">G96/E96</f>
      </c>
      <c r="K96" s="368">
        <v>3</v>
      </c>
      <c r="L96" s="368">
        <v>1515.6000000000001</v>
      </c>
      <c r="M96" s="370"/>
      <c r="N96" s="370"/>
      <c r="O96" s="370"/>
      <c r="P96" s="370"/>
    </row>
    <row r="97">
      <c r="A97" s="366" t="s">
        <v>774</v>
      </c>
      <c r="B97" s="367" t="s">
        <v>745</v>
      </c>
      <c r="C97" s="368" t="s">
        <v>727</v>
      </c>
      <c r="D97" s="368">
        <v>4</v>
      </c>
      <c r="E97" s="368">
        <v>33</v>
      </c>
      <c r="F97" s="368">
        <v>18398.800000000003</v>
      </c>
      <c r="G97" s="368">
        <v>17385.340000000004</v>
      </c>
      <c r="H97" s="369">
        <f t="shared" si="0"/>
      </c>
      <c r="I97" s="369">
        <f t="shared" si="20"/>
      </c>
      <c r="J97" s="369">
        <f t="shared" si="18"/>
      </c>
      <c r="K97" s="368">
        <v>5</v>
      </c>
      <c r="L97" s="368">
        <v>3101.3999999999996</v>
      </c>
      <c r="M97" s="368" t="s">
        <v>733</v>
      </c>
      <c r="N97" s="368">
        <v>8</v>
      </c>
      <c r="O97" s="368" t="s">
        <v>747</v>
      </c>
      <c r="P97" s="368">
        <v>8</v>
      </c>
    </row>
    <row r="98">
      <c r="A98" s="371" t="s">
        <v>774</v>
      </c>
      <c r="B98" s="372"/>
      <c r="C98" s="372"/>
      <c r="D98" s="373">
        <f>SUM(D94:D97)</f>
      </c>
      <c r="E98" s="373">
        <f>SUM(E94:E97)</f>
      </c>
      <c r="F98" s="373">
        <f>SUM(F94:F97)</f>
      </c>
      <c r="G98" s="373">
        <f>SUM(G94:G97)</f>
      </c>
      <c r="H98" s="374">
        <f t="shared" si="0"/>
      </c>
      <c r="I98" s="374">
        <f t="shared" si="20"/>
      </c>
      <c r="J98" s="374">
        <f t="shared" si="18"/>
      </c>
      <c r="K98" s="373">
        <f>SUM(K94:K97)</f>
      </c>
      <c r="L98" s="373">
        <f>SUM(L94:L97)</f>
      </c>
      <c r="M98" s="372"/>
      <c r="N98" s="373">
        <f>SUM(N94:N97)</f>
      </c>
      <c r="O98" s="372"/>
      <c r="P98" s="372">
        <f>SUM(P94:P97)</f>
      </c>
    </row>
    <row r="99">
      <c r="A99" s="366" t="s">
        <v>775</v>
      </c>
      <c r="B99" s="367" t="s">
        <v>726</v>
      </c>
      <c r="C99" s="368" t="s">
        <v>749</v>
      </c>
      <c r="D99" s="368">
        <v>4</v>
      </c>
      <c r="E99" s="368">
        <v>53</v>
      </c>
      <c r="F99" s="368">
        <v>34788.2</v>
      </c>
      <c r="G99" s="368">
        <v>30190.57</v>
      </c>
      <c r="H99" s="369">
        <f t="shared" si="0"/>
      </c>
      <c r="I99" s="369">
        <f t="shared" si="20"/>
      </c>
      <c r="J99" s="369">
        <f t="shared" si="18"/>
      </c>
      <c r="K99" s="368">
        <v>10</v>
      </c>
      <c r="L99" s="368">
        <v>7635.6</v>
      </c>
      <c r="M99" s="368" t="s">
        <v>768</v>
      </c>
      <c r="N99" s="368">
        <v>8</v>
      </c>
      <c r="O99" s="370" t="s">
        <v>725</v>
      </c>
      <c r="P99" s="368">
        <v>8</v>
      </c>
    </row>
    <row r="100">
      <c r="A100" s="366" t="s">
        <v>775</v>
      </c>
      <c r="B100" s="367" t="s">
        <v>722</v>
      </c>
      <c r="C100" s="368" t="s">
        <v>744</v>
      </c>
      <c r="D100" s="377">
        <v>3.5</v>
      </c>
      <c r="E100" s="368">
        <v>48</v>
      </c>
      <c r="F100" s="368">
        <v>31629.320000000007</v>
      </c>
      <c r="G100" s="368">
        <v>30180.950000000004</v>
      </c>
      <c r="H100" s="369">
        <f t="shared" si="0"/>
      </c>
      <c r="I100" s="369">
        <f t="shared" si="20"/>
      </c>
      <c r="J100" s="369">
        <f>G99/E100</f>
      </c>
      <c r="K100" s="368">
        <v>11</v>
      </c>
      <c r="L100" s="368">
        <v>8801.199999999999</v>
      </c>
      <c r="M100" s="370"/>
      <c r="N100" s="370"/>
      <c r="O100" s="375"/>
      <c r="P100" s="370"/>
    </row>
    <row r="101">
      <c r="A101" s="366" t="s">
        <v>775</v>
      </c>
      <c r="B101" s="367" t="s">
        <v>745</v>
      </c>
      <c r="C101" s="368" t="s">
        <v>723</v>
      </c>
      <c r="D101" s="368">
        <v>4</v>
      </c>
      <c r="E101" s="368">
        <v>38</v>
      </c>
      <c r="F101" s="368">
        <v>25913</v>
      </c>
      <c r="G101" s="368">
        <v>19044.87</v>
      </c>
      <c r="H101" s="369">
        <f t="shared" si="0"/>
      </c>
      <c r="I101" s="369">
        <f t="shared" si="20"/>
      </c>
      <c r="J101" s="369">
        <f t="shared" ref="J101:J103" si="19">G101/E101</f>
      </c>
      <c r="K101" s="368">
        <v>4</v>
      </c>
      <c r="L101" s="368">
        <v>4246.799999999999</v>
      </c>
      <c r="M101" s="370"/>
      <c r="N101" s="370"/>
      <c r="O101" s="370"/>
      <c r="P101" s="370"/>
    </row>
    <row r="102">
      <c r="A102" s="366" t="s">
        <v>775</v>
      </c>
      <c r="B102" s="367" t="s">
        <v>746</v>
      </c>
      <c r="C102" s="368" t="s">
        <v>727</v>
      </c>
      <c r="D102" s="368">
        <v>4</v>
      </c>
      <c r="E102" s="368">
        <v>64</v>
      </c>
      <c r="F102" s="368">
        <v>53682.40000000001</v>
      </c>
      <c r="G102" s="368">
        <v>28670.6</v>
      </c>
      <c r="H102" s="369">
        <f t="shared" si="0"/>
      </c>
      <c r="I102" s="369">
        <f t="shared" si="20"/>
      </c>
      <c r="J102" s="369">
        <f t="shared" si="19"/>
      </c>
      <c r="K102" s="368">
        <v>17</v>
      </c>
      <c r="L102" s="368">
        <v>13773.400000000001</v>
      </c>
      <c r="M102" s="368" t="s">
        <v>733</v>
      </c>
      <c r="N102" s="368">
        <v>8</v>
      </c>
      <c r="O102" s="368" t="s">
        <v>747</v>
      </c>
      <c r="P102" s="368">
        <v>8</v>
      </c>
    </row>
    <row r="103">
      <c r="A103" s="371" t="s">
        <v>775</v>
      </c>
      <c r="B103" s="372"/>
      <c r="C103" s="372"/>
      <c r="D103" s="373">
        <f>SUM(D99:D102)</f>
      </c>
      <c r="E103" s="373">
        <f>SUM(E99:E102)</f>
      </c>
      <c r="F103" s="373">
        <f>SUM(F99:F102)</f>
      </c>
      <c r="G103" s="373">
        <f>SUM(G99:G102)</f>
      </c>
      <c r="H103" s="374">
        <f t="shared" si="0"/>
      </c>
      <c r="I103" s="374">
        <f t="shared" si="20"/>
      </c>
      <c r="J103" s="374">
        <f t="shared" si="19"/>
      </c>
      <c r="K103" s="373">
        <f>SUM(K99:K102)</f>
      </c>
      <c r="L103" s="373">
        <f>SUM(L99:L102)</f>
      </c>
      <c r="M103" s="372"/>
      <c r="N103" s="373">
        <f>SUM(N99:N102)</f>
      </c>
      <c r="O103" s="372"/>
      <c r="P103" s="372">
        <f>SUM(P99:P102)</f>
      </c>
    </row>
    <row r="104"/>
    <row r="105"/>
    <row r="106"/>
    <row r="107">
      <c r="B107" s="376"/>
    </row>
    <row r="108">
      <c r="B108" s="376"/>
    </row>
    <row r="109">
      <c r="B109" s="378"/>
      <c r="I109" s="379" t="s">
        <v>776</v>
      </c>
    </row>
    <row r="110">
      <c r="B110" s="378"/>
      <c r="I110" s="380">
        <f t="shared" ref="I110:I114" si="1">G110/H110</f>
      </c>
    </row>
    <row r="111">
      <c r="B111" s="378"/>
      <c r="I111" s="380">
        <f t="shared" si="1"/>
      </c>
    </row>
    <row r="112">
      <c r="B112" s="378"/>
      <c r="I112" s="380">
        <f t="shared" si="1"/>
      </c>
    </row>
    <row r="113">
      <c r="I113" s="380">
        <f t="shared" si="1"/>
      </c>
    </row>
    <row r="114">
      <c r="F114" s="378"/>
      <c r="I114" s="380">
        <f t="shared" si="1"/>
      </c>
    </row>
    <row r="115">
      <c r="F115" s="378"/>
    </row>
    <row r="116"/>
    <row r="117"/>
    <row r="118"/>
    <row r="119">
      <c r="L119" s="376"/>
      <c r="M119" s="376"/>
      <c r="N119" s="376"/>
      <c r="O119" s="376"/>
      <c r="P119" s="376"/>
      <c r="Q119" s="376"/>
      <c r="R119" s="376"/>
      <c r="S119" s="376"/>
    </row>
  </sheetData>
  <autoFilter ref="A1:P103"/>
  <dataValidations count="1">
    <dataValidation allowBlank="true" errorStyle="stop" showErrorMessage="true" sqref="B2:B3 B5:B6 B8:B9 B11:B12 B14:B15 B17:B18 B20:B21 B23:B24 B26:B26 B28:B29 B31:B32 B34:B37 B39:B42 B44:B47 B49:B51 B53:B54 B56:B57 B59:B60 B62:B64 B66:B68 B70:B71 B73:B74 B76:B77 B79:B82 B84:B87 B89:B92 B94:B97 B99:B102" type="list">
      <formula1>"王硕硕,蒲奕西,郝旭靓,刘杰宇,郭子硕,刘梦"</formula1>
    </dataValidation>
  </dataValidation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</cols>
  <sheetData>
    <row customHeight="true" ht="16.071428571428573" r="1">
      <c r="A1" s="381" t="s">
        <v>777</v>
      </c>
      <c r="B1" s="382" t="s">
        <v>778</v>
      </c>
      <c r="C1" s="382" t="s">
        <v>779</v>
      </c>
      <c r="D1" s="382" t="s">
        <v>780</v>
      </c>
      <c r="E1" s="382" t="s">
        <v>781</v>
      </c>
      <c r="F1" s="383" t="s">
        <v>782</v>
      </c>
      <c r="G1" s="383" t="s">
        <v>783</v>
      </c>
      <c r="H1" s="383" t="s">
        <v>784</v>
      </c>
      <c r="I1" s="383" t="s">
        <v>785</v>
      </c>
      <c r="J1" s="383" t="s">
        <v>786</v>
      </c>
      <c r="K1" s="382" t="s">
        <v>787</v>
      </c>
      <c r="L1" s="382" t="s">
        <v>788</v>
      </c>
      <c r="M1" s="382" t="s">
        <v>789</v>
      </c>
      <c r="N1" s="382" t="s">
        <v>790</v>
      </c>
      <c r="O1" s="382" t="s">
        <v>791</v>
      </c>
      <c r="P1" s="382" t="s">
        <v>792</v>
      </c>
    </row>
    <row hidden="true" r="2">
      <c r="A2" s="384" t="s">
        <v>793</v>
      </c>
      <c r="B2" s="385" t="s">
        <v>794</v>
      </c>
      <c r="C2" s="386" t="s">
        <v>795</v>
      </c>
      <c r="D2" s="386">
        <v>5</v>
      </c>
      <c r="E2" s="386">
        <v>15</v>
      </c>
      <c r="F2" s="386">
        <v>6998.26</v>
      </c>
      <c r="G2" s="386">
        <v>12571.92</v>
      </c>
      <c r="H2" s="387">
        <f t="shared" ref="H2:H143" si="0">F2/G2</f>
      </c>
      <c r="I2" s="387">
        <f t="shared" ref="I2:I143" si="20">F2/E2</f>
      </c>
      <c r="J2" s="387">
        <f t="shared" ref="J2:J37" si="1">G2/E2</f>
      </c>
      <c r="K2" s="386">
        <v>2</v>
      </c>
      <c r="L2" s="386">
        <v>1001</v>
      </c>
      <c r="M2" s="386" t="s">
        <v>796</v>
      </c>
      <c r="N2" s="386">
        <v>9</v>
      </c>
      <c r="O2" s="388"/>
      <c r="P2" s="388"/>
    </row>
    <row hidden="true" r="3">
      <c r="A3" s="384" t="s">
        <v>793</v>
      </c>
      <c r="B3" s="385" t="s">
        <v>797</v>
      </c>
      <c r="C3" s="386" t="s">
        <v>798</v>
      </c>
      <c r="D3" s="386">
        <v>4</v>
      </c>
      <c r="E3" s="386">
        <v>5</v>
      </c>
      <c r="F3" s="386">
        <v>3166.8</v>
      </c>
      <c r="G3" s="386">
        <v>9939.21</v>
      </c>
      <c r="H3" s="387">
        <f t="shared" si="0"/>
      </c>
      <c r="I3" s="387">
        <f t="shared" si="20"/>
      </c>
      <c r="J3" s="387">
        <f t="shared" si="1"/>
      </c>
      <c r="K3" s="386">
        <v>0</v>
      </c>
      <c r="L3" s="386">
        <v>0</v>
      </c>
      <c r="M3" s="386"/>
      <c r="N3" s="386"/>
      <c r="O3" s="386" t="s">
        <v>799</v>
      </c>
      <c r="P3" s="386">
        <v>9</v>
      </c>
    </row>
    <row hidden="true" r="4">
      <c r="A4" s="384" t="s">
        <v>793</v>
      </c>
      <c r="B4" s="385" t="s">
        <v>800</v>
      </c>
      <c r="C4" s="386" t="s">
        <v>801</v>
      </c>
      <c r="D4" s="386">
        <v>5</v>
      </c>
      <c r="E4" s="386">
        <v>22</v>
      </c>
      <c r="F4" s="386">
        <v>14589</v>
      </c>
      <c r="G4" s="386">
        <v>14050.099999999999</v>
      </c>
      <c r="H4" s="387">
        <f t="shared" si="0"/>
      </c>
      <c r="I4" s="387">
        <f t="shared" si="20"/>
      </c>
      <c r="J4" s="387">
        <f t="shared" si="1"/>
      </c>
      <c r="K4" s="389">
        <v>2</v>
      </c>
      <c r="L4" s="389">
        <v>1372.8</v>
      </c>
      <c r="M4" s="386"/>
      <c r="N4" s="386"/>
      <c r="O4" s="388"/>
      <c r="P4" s="388"/>
    </row>
    <row hidden="true" r="5">
      <c r="A5" s="384" t="s">
        <v>793</v>
      </c>
      <c r="B5" s="385" t="s">
        <v>802</v>
      </c>
      <c r="C5" s="386" t="s">
        <v>803</v>
      </c>
      <c r="D5" s="386">
        <v>5</v>
      </c>
      <c r="E5" s="386">
        <v>12</v>
      </c>
      <c r="F5" s="386">
        <v>6385</v>
      </c>
      <c r="G5" s="386">
        <v>13482.84</v>
      </c>
      <c r="H5" s="387">
        <f t="shared" si="0"/>
      </c>
      <c r="I5" s="387">
        <f t="shared" si="20"/>
      </c>
      <c r="J5" s="387">
        <f t="shared" si="1"/>
      </c>
      <c r="K5" s="389">
        <v>1</v>
      </c>
      <c r="L5" s="389">
        <v>706.8</v>
      </c>
      <c r="M5" s="386" t="s">
        <v>804</v>
      </c>
      <c r="N5" s="386">
        <v>10</v>
      </c>
      <c r="O5" s="386" t="s">
        <v>805</v>
      </c>
      <c r="P5" s="386">
        <v>10</v>
      </c>
    </row>
    <row r="6">
      <c r="A6" s="390" t="s">
        <v>793</v>
      </c>
      <c r="B6" s="391"/>
      <c r="C6" s="391"/>
      <c r="D6" s="392">
        <f>SUM(D2:D5)</f>
      </c>
      <c r="E6" s="392">
        <f>SUM(E2:E5)</f>
      </c>
      <c r="F6" s="392">
        <f>SUM(F2:F5)</f>
      </c>
      <c r="G6" s="392">
        <f>SUM(G2:G5)</f>
      </c>
      <c r="H6" s="393">
        <f t="shared" si="0"/>
      </c>
      <c r="I6" s="393">
        <f t="shared" si="20"/>
      </c>
      <c r="J6" s="393">
        <f t="shared" si="1"/>
      </c>
      <c r="K6" s="392">
        <f>SUM(K2:K5)</f>
      </c>
      <c r="L6" s="392">
        <f>SUM(L2:L5)</f>
      </c>
      <c r="M6" s="391"/>
      <c r="N6" s="392">
        <f>SUM(N2:N5)</f>
      </c>
      <c r="O6" s="391"/>
      <c r="P6" s="391"/>
    </row>
    <row hidden="true" r="7">
      <c r="A7" s="384" t="s">
        <v>806</v>
      </c>
      <c r="B7" s="385" t="s">
        <v>800</v>
      </c>
      <c r="C7" s="386" t="s">
        <v>795</v>
      </c>
      <c r="D7" s="386">
        <v>5</v>
      </c>
      <c r="E7" s="386">
        <v>17</v>
      </c>
      <c r="F7" s="386">
        <v>14003.2</v>
      </c>
      <c r="G7" s="386">
        <v>14251.75</v>
      </c>
      <c r="H7" s="387">
        <f t="shared" si="0"/>
      </c>
      <c r="I7" s="387">
        <f t="shared" si="20"/>
      </c>
      <c r="J7" s="387">
        <f t="shared" si="1"/>
      </c>
      <c r="K7" s="386">
        <v>2</v>
      </c>
      <c r="L7" s="386">
        <v>1180</v>
      </c>
      <c r="M7" s="386" t="s">
        <v>796</v>
      </c>
      <c r="N7" s="386">
        <v>2</v>
      </c>
      <c r="O7" s="388"/>
      <c r="P7" s="388"/>
    </row>
    <row hidden="true" r="8">
      <c r="A8" s="384" t="s">
        <v>806</v>
      </c>
      <c r="B8" s="385" t="s">
        <v>797</v>
      </c>
      <c r="C8" s="386" t="s">
        <v>807</v>
      </c>
      <c r="D8" s="386">
        <v>5</v>
      </c>
      <c r="E8" s="386">
        <v>12</v>
      </c>
      <c r="F8" s="386">
        <v>7107.6</v>
      </c>
      <c r="G8" s="386">
        <v>10838.38</v>
      </c>
      <c r="H8" s="387">
        <f t="shared" si="0"/>
      </c>
      <c r="I8" s="387">
        <f t="shared" si="20"/>
      </c>
      <c r="J8" s="387">
        <f t="shared" si="1"/>
      </c>
      <c r="K8" s="386">
        <v>2</v>
      </c>
      <c r="L8" s="386">
        <v>1205</v>
      </c>
      <c r="M8" s="386" t="s">
        <v>808</v>
      </c>
      <c r="N8" s="386">
        <v>3.2</v>
      </c>
      <c r="O8" s="386" t="s">
        <v>799</v>
      </c>
      <c r="P8" s="386">
        <v>10</v>
      </c>
    </row>
    <row hidden="true" r="9">
      <c r="A9" s="384" t="s">
        <v>806</v>
      </c>
      <c r="B9" s="385" t="s">
        <v>794</v>
      </c>
      <c r="C9" s="386" t="s">
        <v>801</v>
      </c>
      <c r="D9" s="386">
        <v>5</v>
      </c>
      <c r="E9" s="386">
        <v>19</v>
      </c>
      <c r="F9" s="386">
        <v>13885.2</v>
      </c>
      <c r="G9" s="386">
        <v>11169.9</v>
      </c>
      <c r="H9" s="387">
        <f t="shared" si="0"/>
      </c>
      <c r="I9" s="387">
        <f t="shared" si="20"/>
      </c>
      <c r="J9" s="387">
        <f t="shared" si="1"/>
      </c>
      <c r="K9" s="389">
        <v>2</v>
      </c>
      <c r="L9" s="389">
        <v>1856.4</v>
      </c>
      <c r="M9" s="386"/>
      <c r="N9" s="386"/>
      <c r="O9" s="388"/>
      <c r="P9" s="388"/>
    </row>
    <row hidden="true" r="10">
      <c r="A10" s="384" t="s">
        <v>806</v>
      </c>
      <c r="B10" s="385" t="s">
        <v>802</v>
      </c>
      <c r="C10" s="386" t="s">
        <v>803</v>
      </c>
      <c r="D10" s="386">
        <v>5</v>
      </c>
      <c r="E10" s="386">
        <v>19</v>
      </c>
      <c r="F10" s="386">
        <v>10563.4</v>
      </c>
      <c r="G10" s="386">
        <v>11783.84</v>
      </c>
      <c r="H10" s="387">
        <f t="shared" si="0"/>
      </c>
      <c r="I10" s="387">
        <f t="shared" si="20"/>
      </c>
      <c r="J10" s="387">
        <f t="shared" si="1"/>
      </c>
      <c r="K10" s="389">
        <v>1</v>
      </c>
      <c r="L10" s="389">
        <v>391.2</v>
      </c>
      <c r="M10" s="386" t="s">
        <v>804</v>
      </c>
      <c r="N10" s="386">
        <v>10</v>
      </c>
      <c r="O10" s="386" t="s">
        <v>805</v>
      </c>
      <c r="P10" s="386">
        <v>10</v>
      </c>
    </row>
    <row r="11">
      <c r="A11" s="390" t="s">
        <v>806</v>
      </c>
      <c r="B11" s="391"/>
      <c r="C11" s="391"/>
      <c r="D11" s="392">
        <f>SUM(D7:D10)</f>
      </c>
      <c r="E11" s="392">
        <f>SUM(E7:E10)</f>
      </c>
      <c r="F11" s="392">
        <f>SUM(F7:F10)</f>
      </c>
      <c r="G11" s="392">
        <f>SUM(G7:G10)</f>
      </c>
      <c r="H11" s="393">
        <f t="shared" si="0"/>
      </c>
      <c r="I11" s="393">
        <f t="shared" si="20"/>
      </c>
      <c r="J11" s="393">
        <f t="shared" si="1"/>
      </c>
      <c r="K11" s="392">
        <f>SUM(K7:K10)</f>
      </c>
      <c r="L11" s="392">
        <f>SUM(L7:L10)</f>
      </c>
      <c r="M11" s="391"/>
      <c r="N11" s="392">
        <f>SUM(N7:N10)</f>
      </c>
      <c r="O11" s="391"/>
      <c r="P11" s="391"/>
    </row>
    <row hidden="true" r="12">
      <c r="A12" s="384" t="s">
        <v>809</v>
      </c>
      <c r="B12" s="385" t="s">
        <v>794</v>
      </c>
      <c r="C12" s="386" t="s">
        <v>795</v>
      </c>
      <c r="D12" s="386">
        <v>5</v>
      </c>
      <c r="E12" s="386">
        <v>14</v>
      </c>
      <c r="F12" s="386">
        <v>8335.4</v>
      </c>
      <c r="G12" s="386">
        <v>13393.52</v>
      </c>
      <c r="H12" s="387">
        <f t="shared" si="0"/>
      </c>
      <c r="I12" s="387">
        <f t="shared" si="20"/>
      </c>
      <c r="J12" s="387">
        <f t="shared" si="1"/>
      </c>
      <c r="K12" s="386">
        <v>4</v>
      </c>
      <c r="L12" s="386">
        <v>2476.8</v>
      </c>
      <c r="M12" s="386" t="s">
        <v>796</v>
      </c>
      <c r="N12" s="386">
        <v>2</v>
      </c>
      <c r="O12" s="388"/>
      <c r="P12" s="388"/>
    </row>
    <row hidden="true" r="13">
      <c r="A13" s="384" t="s">
        <v>809</v>
      </c>
      <c r="B13" s="385" t="s">
        <v>797</v>
      </c>
      <c r="C13" s="386" t="s">
        <v>807</v>
      </c>
      <c r="D13" s="386">
        <v>5</v>
      </c>
      <c r="E13" s="386">
        <v>22</v>
      </c>
      <c r="F13" s="386">
        <v>18327</v>
      </c>
      <c r="G13" s="386">
        <v>14950.51</v>
      </c>
      <c r="H13" s="387">
        <f t="shared" si="0"/>
      </c>
      <c r="I13" s="387">
        <f t="shared" si="20"/>
      </c>
      <c r="J13" s="387">
        <f t="shared" si="1"/>
      </c>
      <c r="K13" s="386">
        <v>4</v>
      </c>
      <c r="L13" s="386">
        <v>3750</v>
      </c>
      <c r="M13" s="386" t="s">
        <v>808</v>
      </c>
      <c r="N13" s="386">
        <v>3.2</v>
      </c>
      <c r="O13" s="386" t="s">
        <v>799</v>
      </c>
      <c r="P13" s="386">
        <v>10</v>
      </c>
    </row>
    <row hidden="true" r="14">
      <c r="A14" s="384" t="s">
        <v>809</v>
      </c>
      <c r="B14" s="385" t="s">
        <v>800</v>
      </c>
      <c r="C14" s="386" t="s">
        <v>801</v>
      </c>
      <c r="D14" s="386">
        <v>5</v>
      </c>
      <c r="E14" s="386">
        <v>29</v>
      </c>
      <c r="F14" s="386">
        <v>19403.2</v>
      </c>
      <c r="G14" s="386">
        <v>16067.09</v>
      </c>
      <c r="H14" s="387">
        <f t="shared" si="0"/>
      </c>
      <c r="I14" s="387">
        <f t="shared" si="20"/>
      </c>
      <c r="J14" s="387">
        <f t="shared" si="1"/>
      </c>
      <c r="K14" s="389">
        <v>10</v>
      </c>
      <c r="L14" s="389">
        <v>5586.199999999999</v>
      </c>
      <c r="M14" s="386"/>
      <c r="N14" s="386"/>
      <c r="O14" s="388"/>
      <c r="P14" s="388"/>
    </row>
    <row hidden="true" r="15">
      <c r="A15" s="384" t="s">
        <v>809</v>
      </c>
      <c r="B15" s="385" t="s">
        <v>802</v>
      </c>
      <c r="C15" s="386" t="s">
        <v>803</v>
      </c>
      <c r="D15" s="386">
        <v>5</v>
      </c>
      <c r="E15" s="386">
        <v>16</v>
      </c>
      <c r="F15" s="386">
        <v>7426.199999999997</v>
      </c>
      <c r="G15" s="386">
        <v>14816.9</v>
      </c>
      <c r="H15" s="387">
        <f t="shared" si="0"/>
      </c>
      <c r="I15" s="387">
        <f t="shared" si="20"/>
      </c>
      <c r="J15" s="387">
        <f t="shared" si="1"/>
      </c>
      <c r="K15" s="389">
        <v>3</v>
      </c>
      <c r="L15" s="389">
        <v>1053.6000000000004</v>
      </c>
      <c r="M15" s="386" t="s">
        <v>804</v>
      </c>
      <c r="N15" s="386">
        <v>10</v>
      </c>
      <c r="O15" s="386" t="s">
        <v>805</v>
      </c>
      <c r="P15" s="386">
        <v>10</v>
      </c>
    </row>
    <row r="16">
      <c r="A16" s="390" t="s">
        <v>809</v>
      </c>
      <c r="B16" s="391"/>
      <c r="C16" s="391"/>
      <c r="D16" s="392">
        <f>SUM(D12:D15)</f>
      </c>
      <c r="E16" s="392">
        <f>SUM(E12:E15)</f>
      </c>
      <c r="F16" s="392">
        <f>SUM(F12:F15)</f>
      </c>
      <c r="G16" s="392">
        <f>SUM(G12:G15)</f>
      </c>
      <c r="H16" s="393">
        <f t="shared" si="0"/>
      </c>
      <c r="I16" s="393">
        <f t="shared" si="20"/>
      </c>
      <c r="J16" s="393">
        <f t="shared" si="1"/>
      </c>
      <c r="K16" s="392">
        <f>SUM(K12:K15)</f>
      </c>
      <c r="L16" s="392">
        <f>SUM(L12:L15)</f>
      </c>
      <c r="M16" s="391"/>
      <c r="N16" s="392">
        <f>SUM(N12:N15)</f>
      </c>
      <c r="O16" s="391"/>
      <c r="P16" s="391"/>
    </row>
    <row hidden="true" r="17">
      <c r="A17" s="384" t="s">
        <v>810</v>
      </c>
      <c r="B17" s="385" t="s">
        <v>797</v>
      </c>
      <c r="C17" s="386" t="s">
        <v>795</v>
      </c>
      <c r="D17" s="386">
        <v>5</v>
      </c>
      <c r="E17" s="386">
        <v>12</v>
      </c>
      <c r="F17" s="386">
        <v>5983.2</v>
      </c>
      <c r="G17" s="386">
        <v>11709.009999999998</v>
      </c>
      <c r="H17" s="387">
        <f t="shared" si="0"/>
      </c>
      <c r="I17" s="387">
        <f t="shared" si="20"/>
      </c>
      <c r="J17" s="387">
        <f t="shared" si="1"/>
      </c>
      <c r="K17" s="386">
        <v>2</v>
      </c>
      <c r="L17" s="386">
        <v>1654.2</v>
      </c>
      <c r="M17" s="386" t="s">
        <v>811</v>
      </c>
      <c r="N17" s="386">
        <v>10</v>
      </c>
      <c r="O17" s="388"/>
      <c r="P17" s="388"/>
    </row>
    <row hidden="true" r="18">
      <c r="A18" s="384" t="s">
        <v>810</v>
      </c>
      <c r="B18" s="385" t="s">
        <v>800</v>
      </c>
      <c r="C18" s="386" t="s">
        <v>807</v>
      </c>
      <c r="D18" s="386">
        <v>5</v>
      </c>
      <c r="E18" s="386">
        <v>16</v>
      </c>
      <c r="F18" s="386">
        <v>11350.200000000003</v>
      </c>
      <c r="G18" s="386">
        <v>11657.460000000001</v>
      </c>
      <c r="H18" s="387">
        <f t="shared" si="0"/>
      </c>
      <c r="I18" s="387">
        <f t="shared" si="20"/>
      </c>
      <c r="J18" s="387">
        <f t="shared" si="1"/>
      </c>
      <c r="K18" s="386">
        <v>2</v>
      </c>
      <c r="L18" s="386">
        <v>579.6</v>
      </c>
      <c r="M18" s="386"/>
      <c r="N18" s="386"/>
      <c r="O18" s="386" t="s">
        <v>799</v>
      </c>
      <c r="P18" s="386">
        <v>10</v>
      </c>
    </row>
    <row hidden="true" r="19">
      <c r="A19" s="384" t="s">
        <v>810</v>
      </c>
      <c r="B19" s="385" t="s">
        <v>812</v>
      </c>
      <c r="C19" s="386" t="s">
        <v>801</v>
      </c>
      <c r="D19" s="386">
        <v>5</v>
      </c>
      <c r="E19" s="386">
        <v>25</v>
      </c>
      <c r="F19" s="386">
        <v>14431.8</v>
      </c>
      <c r="G19" s="386">
        <v>14124.52</v>
      </c>
      <c r="H19" s="387">
        <f t="shared" si="0"/>
      </c>
      <c r="I19" s="387">
        <f t="shared" si="20"/>
      </c>
      <c r="J19" s="387">
        <f t="shared" si="1"/>
      </c>
      <c r="K19" s="389">
        <v>4</v>
      </c>
      <c r="L19" s="389">
        <v>2548.3999999999996</v>
      </c>
      <c r="M19" s="386"/>
      <c r="N19" s="386"/>
      <c r="O19" s="388"/>
      <c r="P19" s="388"/>
    </row>
    <row hidden="true" r="20">
      <c r="A20" s="384" t="s">
        <v>810</v>
      </c>
      <c r="B20" s="385" t="s">
        <v>794</v>
      </c>
      <c r="C20" s="386" t="s">
        <v>803</v>
      </c>
      <c r="D20" s="386">
        <v>5</v>
      </c>
      <c r="E20" s="386">
        <v>28</v>
      </c>
      <c r="F20" s="386">
        <v>21899.2</v>
      </c>
      <c r="G20" s="386">
        <v>11671.259999999998</v>
      </c>
      <c r="H20" s="387">
        <f t="shared" si="0"/>
      </c>
      <c r="I20" s="387">
        <f t="shared" si="20"/>
      </c>
      <c r="J20" s="387">
        <f t="shared" si="1"/>
      </c>
      <c r="K20" s="389">
        <v>2</v>
      </c>
      <c r="L20" s="389">
        <v>1042.8000000000002</v>
      </c>
      <c r="M20" s="386" t="s">
        <v>804</v>
      </c>
      <c r="N20" s="386">
        <v>10</v>
      </c>
      <c r="O20" s="386" t="s">
        <v>805</v>
      </c>
      <c r="P20" s="386">
        <v>10</v>
      </c>
    </row>
    <row r="21">
      <c r="A21" s="390" t="s">
        <v>810</v>
      </c>
      <c r="B21" s="391"/>
      <c r="C21" s="391"/>
      <c r="D21" s="392">
        <f>SUM(D17:D20)</f>
      </c>
      <c r="E21" s="392">
        <f>SUM(E17:E20)</f>
      </c>
      <c r="F21" s="392">
        <f>SUM(F17:F20)</f>
      </c>
      <c r="G21" s="392">
        <f>SUM(G17:G20)</f>
      </c>
      <c r="H21" s="393">
        <f t="shared" si="0"/>
      </c>
      <c r="I21" s="393">
        <f t="shared" si="20"/>
      </c>
      <c r="J21" s="393">
        <f t="shared" si="1"/>
      </c>
      <c r="K21" s="392">
        <f>SUM(K17:K20)</f>
      </c>
      <c r="L21" s="392">
        <f>SUM(L17:L20)</f>
      </c>
      <c r="M21" s="391"/>
      <c r="N21" s="392">
        <f>SUM(N17:N20)</f>
      </c>
      <c r="O21" s="391"/>
      <c r="P21" s="391"/>
    </row>
    <row hidden="true" r="22">
      <c r="A22" s="384" t="s">
        <v>813</v>
      </c>
      <c r="B22" s="385" t="s">
        <v>797</v>
      </c>
      <c r="C22" s="386" t="s">
        <v>814</v>
      </c>
      <c r="D22" s="386">
        <v>3</v>
      </c>
      <c r="E22" s="386">
        <v>9</v>
      </c>
      <c r="F22" s="386">
        <v>5124</v>
      </c>
      <c r="G22" s="386">
        <v>8178.95</v>
      </c>
      <c r="H22" s="387">
        <f t="shared" si="0"/>
      </c>
      <c r="I22" s="387">
        <f t="shared" si="20"/>
      </c>
      <c r="J22" s="387">
        <f t="shared" si="1"/>
      </c>
      <c r="K22" s="386">
        <v>0</v>
      </c>
      <c r="L22" s="386">
        <v>0</v>
      </c>
      <c r="M22" s="386" t="s">
        <v>815</v>
      </c>
      <c r="N22" s="386">
        <v>8</v>
      </c>
      <c r="O22" s="388"/>
      <c r="P22" s="388"/>
    </row>
    <row hidden="true" r="23">
      <c r="A23" s="384" t="s">
        <v>813</v>
      </c>
      <c r="B23" s="385" t="s">
        <v>800</v>
      </c>
      <c r="C23" s="386" t="s">
        <v>807</v>
      </c>
      <c r="D23" s="386">
        <v>5</v>
      </c>
      <c r="E23" s="386">
        <v>10</v>
      </c>
      <c r="F23" s="386">
        <v>5211.799999999999</v>
      </c>
      <c r="G23" s="386">
        <v>12477.34</v>
      </c>
      <c r="H23" s="387">
        <f t="shared" si="0"/>
      </c>
      <c r="I23" s="387">
        <f t="shared" si="20"/>
      </c>
      <c r="J23" s="387">
        <f t="shared" si="1"/>
      </c>
      <c r="K23" s="386">
        <v>2</v>
      </c>
      <c r="L23" s="386">
        <v>673.2</v>
      </c>
      <c r="M23" s="386"/>
      <c r="N23" s="386"/>
      <c r="O23" s="386" t="s">
        <v>799</v>
      </c>
      <c r="P23" s="386">
        <v>8</v>
      </c>
    </row>
    <row hidden="true" r="24">
      <c r="A24" s="384" t="s">
        <v>813</v>
      </c>
      <c r="B24" s="385" t="s">
        <v>812</v>
      </c>
      <c r="C24" s="386" t="s">
        <v>801</v>
      </c>
      <c r="D24" s="386">
        <v>5</v>
      </c>
      <c r="E24" s="386">
        <v>23</v>
      </c>
      <c r="F24" s="386">
        <v>15855</v>
      </c>
      <c r="G24" s="386">
        <v>14805.78</v>
      </c>
      <c r="H24" s="387">
        <f t="shared" si="0"/>
      </c>
      <c r="I24" s="387">
        <f t="shared" si="20"/>
      </c>
      <c r="J24" s="387">
        <f t="shared" si="1"/>
      </c>
      <c r="K24" s="389">
        <v>4</v>
      </c>
      <c r="L24" s="389">
        <v>1604.4</v>
      </c>
      <c r="M24" s="386"/>
      <c r="N24" s="386"/>
      <c r="O24" s="388"/>
      <c r="P24" s="388"/>
    </row>
    <row hidden="true" r="25">
      <c r="A25" s="384" t="s">
        <v>813</v>
      </c>
      <c r="B25" s="385" t="s">
        <v>794</v>
      </c>
      <c r="C25" s="386" t="s">
        <v>803</v>
      </c>
      <c r="D25" s="386">
        <v>5</v>
      </c>
      <c r="E25" s="386">
        <v>19</v>
      </c>
      <c r="F25" s="386">
        <v>17685.399999999998</v>
      </c>
      <c r="G25" s="386">
        <v>13225.410000000002</v>
      </c>
      <c r="H25" s="387">
        <f t="shared" si="0"/>
      </c>
      <c r="I25" s="387">
        <f t="shared" si="20"/>
      </c>
      <c r="J25" s="387">
        <f t="shared" si="1"/>
      </c>
      <c r="K25" s="389">
        <v>1</v>
      </c>
      <c r="L25" s="389">
        <v>1982.4</v>
      </c>
      <c r="M25" s="386" t="s">
        <v>804</v>
      </c>
      <c r="N25" s="386">
        <v>10</v>
      </c>
      <c r="O25" s="386" t="s">
        <v>805</v>
      </c>
      <c r="P25" s="386">
        <v>10</v>
      </c>
    </row>
    <row r="26">
      <c r="A26" s="390" t="s">
        <v>813</v>
      </c>
      <c r="B26" s="391"/>
      <c r="C26" s="391"/>
      <c r="D26" s="392">
        <f>SUM(D22:D25)</f>
      </c>
      <c r="E26" s="392">
        <f>SUM(E22:E25)</f>
      </c>
      <c r="F26" s="392">
        <f>SUM(F22:F25)</f>
      </c>
      <c r="G26" s="392">
        <f>SUM(G22:G25)</f>
      </c>
      <c r="H26" s="393">
        <f t="shared" si="0"/>
      </c>
      <c r="I26" s="393">
        <f t="shared" si="20"/>
      </c>
      <c r="J26" s="393">
        <f t="shared" si="1"/>
      </c>
      <c r="K26" s="392">
        <f>SUM(K22:K25)</f>
      </c>
      <c r="L26" s="392">
        <f>SUM(L22:L25)</f>
      </c>
      <c r="M26" s="391"/>
      <c r="N26" s="392">
        <f>SUM(N22:N25)</f>
      </c>
      <c r="O26" s="391"/>
      <c r="P26" s="391"/>
    </row>
    <row hidden="true" r="27">
      <c r="A27" s="384" t="s">
        <v>816</v>
      </c>
      <c r="B27" s="385" t="s">
        <v>800</v>
      </c>
      <c r="C27" s="386" t="s">
        <v>817</v>
      </c>
      <c r="D27" s="386">
        <v>4</v>
      </c>
      <c r="E27" s="386">
        <v>20</v>
      </c>
      <c r="F27" s="386">
        <v>11813.8</v>
      </c>
      <c r="G27" s="386">
        <v>11651.35</v>
      </c>
      <c r="H27" s="387">
        <f t="shared" si="0"/>
      </c>
      <c r="I27" s="387">
        <f t="shared" si="20"/>
      </c>
      <c r="J27" s="387">
        <f t="shared" si="1"/>
      </c>
      <c r="K27" s="386">
        <v>1</v>
      </c>
      <c r="L27" s="386">
        <v>582</v>
      </c>
      <c r="M27" s="386" t="s">
        <v>815</v>
      </c>
      <c r="N27" s="386">
        <v>8</v>
      </c>
      <c r="O27" s="388"/>
      <c r="P27" s="388"/>
    </row>
    <row hidden="true" r="28">
      <c r="A28" s="384" t="s">
        <v>816</v>
      </c>
      <c r="B28" s="385" t="s">
        <v>797</v>
      </c>
      <c r="C28" s="386" t="s">
        <v>818</v>
      </c>
      <c r="D28" s="386">
        <v>4</v>
      </c>
      <c r="E28" s="386">
        <v>22</v>
      </c>
      <c r="F28" s="386">
        <v>16294.2</v>
      </c>
      <c r="G28" s="386">
        <v>11908.4</v>
      </c>
      <c r="H28" s="387">
        <f t="shared" si="0"/>
      </c>
      <c r="I28" s="387">
        <f t="shared" si="20"/>
      </c>
      <c r="J28" s="387">
        <f t="shared" si="1"/>
      </c>
      <c r="K28" s="386">
        <v>6</v>
      </c>
      <c r="L28" s="386">
        <v>5755</v>
      </c>
      <c r="M28" s="386"/>
      <c r="N28" s="386"/>
      <c r="O28" s="386" t="s">
        <v>799</v>
      </c>
      <c r="P28" s="386">
        <v>8</v>
      </c>
    </row>
    <row hidden="true" r="29">
      <c r="A29" s="384" t="s">
        <v>816</v>
      </c>
      <c r="B29" s="385" t="s">
        <v>812</v>
      </c>
      <c r="C29" s="386" t="s">
        <v>801</v>
      </c>
      <c r="D29" s="386">
        <v>5</v>
      </c>
      <c r="E29" s="386">
        <v>15</v>
      </c>
      <c r="F29" s="386">
        <v>8854.000000000002</v>
      </c>
      <c r="G29" s="386">
        <v>14766.97</v>
      </c>
      <c r="H29" s="387">
        <f t="shared" si="0"/>
      </c>
      <c r="I29" s="387">
        <f t="shared" si="20"/>
      </c>
      <c r="J29" s="387">
        <f t="shared" si="1"/>
      </c>
      <c r="K29" s="389">
        <v>5</v>
      </c>
      <c r="L29" s="389">
        <v>1799.3999999999999</v>
      </c>
      <c r="M29" s="386"/>
      <c r="N29" s="386"/>
      <c r="O29" s="388"/>
      <c r="P29" s="388"/>
    </row>
    <row hidden="true" r="30">
      <c r="A30" s="384" t="s">
        <v>816</v>
      </c>
      <c r="B30" s="385" t="s">
        <v>794</v>
      </c>
      <c r="C30" s="386" t="s">
        <v>803</v>
      </c>
      <c r="D30" s="386">
        <v>5</v>
      </c>
      <c r="E30" s="386">
        <v>20</v>
      </c>
      <c r="F30" s="386">
        <v>20281.4</v>
      </c>
      <c r="G30" s="386">
        <v>11777.24</v>
      </c>
      <c r="H30" s="387">
        <f t="shared" si="0"/>
      </c>
      <c r="I30" s="387">
        <f t="shared" si="20"/>
      </c>
      <c r="J30" s="387">
        <f t="shared" si="1"/>
      </c>
      <c r="K30" s="389">
        <v>1</v>
      </c>
      <c r="L30" s="389">
        <v>808.8000000000011</v>
      </c>
      <c r="M30" s="386" t="s">
        <v>804</v>
      </c>
      <c r="N30" s="386">
        <v>10</v>
      </c>
      <c r="O30" s="386" t="s">
        <v>805</v>
      </c>
      <c r="P30" s="386">
        <v>10</v>
      </c>
    </row>
    <row r="31">
      <c r="A31" s="390" t="s">
        <v>816</v>
      </c>
      <c r="B31" s="391"/>
      <c r="C31" s="391"/>
      <c r="D31" s="392">
        <f>SUM(D27:D30)</f>
      </c>
      <c r="E31" s="392">
        <f>SUM(E27:E30)</f>
      </c>
      <c r="F31" s="392">
        <f>SUM(F27:F30)</f>
      </c>
      <c r="G31" s="392">
        <f>SUM(G27:G30)</f>
      </c>
      <c r="H31" s="393">
        <f t="shared" si="0"/>
      </c>
      <c r="I31" s="393">
        <f t="shared" si="20"/>
      </c>
      <c r="J31" s="393">
        <f t="shared" si="1"/>
      </c>
      <c r="K31" s="392">
        <f>SUM(K27:K30)</f>
      </c>
      <c r="L31" s="392">
        <f>SUM(L27:L30)</f>
      </c>
      <c r="M31" s="391"/>
      <c r="N31" s="392">
        <f>SUM(N27:N30)</f>
      </c>
      <c r="O31" s="391"/>
      <c r="P31" s="391"/>
    </row>
    <row hidden="true" r="32">
      <c r="A32" s="394" t="s">
        <v>819</v>
      </c>
      <c r="B32" s="385" t="s">
        <v>800</v>
      </c>
      <c r="C32" s="388" t="s">
        <v>817</v>
      </c>
      <c r="D32" s="388">
        <v>4</v>
      </c>
      <c r="E32" s="388">
        <v>8</v>
      </c>
      <c r="F32" s="388">
        <v>11148.6</v>
      </c>
      <c r="G32" s="388">
        <v>11344.96</v>
      </c>
      <c r="H32" s="387">
        <f t="shared" si="0"/>
      </c>
      <c r="I32" s="387">
        <f t="shared" si="20"/>
      </c>
      <c r="J32" s="387">
        <f t="shared" si="1"/>
      </c>
      <c r="K32" s="388">
        <v>3</v>
      </c>
      <c r="L32" s="388">
        <v>4422.6</v>
      </c>
      <c r="M32" s="388" t="s">
        <v>808</v>
      </c>
      <c r="N32" s="388">
        <v>3.2</v>
      </c>
      <c r="O32" s="388"/>
      <c r="P32" s="388"/>
    </row>
    <row hidden="true" r="33">
      <c r="A33" s="394" t="s">
        <v>819</v>
      </c>
      <c r="B33" s="385" t="s">
        <v>797</v>
      </c>
      <c r="C33" s="388" t="s">
        <v>818</v>
      </c>
      <c r="D33" s="388">
        <v>4</v>
      </c>
      <c r="E33" s="388">
        <v>12</v>
      </c>
      <c r="F33" s="388">
        <v>7355.6</v>
      </c>
      <c r="G33" s="388">
        <v>11365.99</v>
      </c>
      <c r="H33" s="387">
        <f t="shared" si="0"/>
      </c>
      <c r="I33" s="387">
        <f t="shared" si="20"/>
      </c>
      <c r="J33" s="387">
        <f t="shared" si="1"/>
      </c>
      <c r="K33" s="388">
        <v>5</v>
      </c>
      <c r="L33" s="388">
        <v>1889.1999999999998</v>
      </c>
      <c r="M33" s="388"/>
      <c r="N33" s="388"/>
      <c r="O33" s="388" t="s">
        <v>799</v>
      </c>
      <c r="P33" s="388">
        <v>8</v>
      </c>
    </row>
    <row hidden="true" r="34">
      <c r="A34" s="394" t="s">
        <v>819</v>
      </c>
      <c r="B34" s="385" t="s">
        <v>812</v>
      </c>
      <c r="C34" s="388" t="s">
        <v>801</v>
      </c>
      <c r="D34" s="388">
        <v>5</v>
      </c>
      <c r="E34" s="388">
        <v>16</v>
      </c>
      <c r="F34" s="388">
        <v>13411.4</v>
      </c>
      <c r="G34" s="388">
        <v>13419.390000000001</v>
      </c>
      <c r="H34" s="387">
        <f t="shared" si="0"/>
      </c>
      <c r="I34" s="387">
        <f t="shared" si="20"/>
      </c>
      <c r="J34" s="387">
        <f t="shared" si="1"/>
      </c>
      <c r="K34" s="388">
        <v>5</v>
      </c>
      <c r="L34" s="388">
        <v>3710.8</v>
      </c>
      <c r="M34" s="388"/>
      <c r="N34" s="388"/>
      <c r="O34" s="388"/>
      <c r="P34" s="388"/>
    </row>
    <row hidden="true" r="35">
      <c r="A35" s="394" t="s">
        <v>819</v>
      </c>
      <c r="B35" s="385" t="s">
        <v>794</v>
      </c>
      <c r="C35" s="388" t="s">
        <v>803</v>
      </c>
      <c r="D35" s="388">
        <v>5</v>
      </c>
      <c r="E35" s="388">
        <v>25</v>
      </c>
      <c r="F35" s="388">
        <v>13685.599999999997</v>
      </c>
      <c r="G35" s="388">
        <v>14020.17</v>
      </c>
      <c r="H35" s="387">
        <f t="shared" si="0"/>
      </c>
      <c r="I35" s="387">
        <f t="shared" si="20"/>
      </c>
      <c r="J35" s="387">
        <f t="shared" si="1"/>
      </c>
      <c r="K35" s="388">
        <v>2</v>
      </c>
      <c r="L35" s="388">
        <v>1183.199999999999</v>
      </c>
      <c r="M35" s="386" t="s">
        <v>804</v>
      </c>
      <c r="N35" s="388">
        <v>10</v>
      </c>
      <c r="O35" s="388" t="s">
        <v>805</v>
      </c>
      <c r="P35" s="388">
        <v>10</v>
      </c>
    </row>
    <row r="36">
      <c r="A36" s="395" t="s">
        <v>819</v>
      </c>
      <c r="B36" s="391"/>
      <c r="C36" s="391"/>
      <c r="D36" s="392">
        <f>SUM(D32:D35)</f>
      </c>
      <c r="E36" s="392">
        <f>SUM(E32:E35)</f>
      </c>
      <c r="F36" s="392">
        <f>SUM(F32:F35)</f>
      </c>
      <c r="G36" s="392">
        <f>SUM(G32:G35)</f>
      </c>
      <c r="H36" s="393">
        <f t="shared" si="0"/>
      </c>
      <c r="I36" s="393">
        <f t="shared" si="20"/>
      </c>
      <c r="J36" s="393">
        <f t="shared" si="1"/>
      </c>
      <c r="K36" s="392">
        <f>SUM(K32:K35)</f>
      </c>
      <c r="L36" s="392">
        <f>SUM(L32:L35)</f>
      </c>
      <c r="M36" s="391"/>
      <c r="N36" s="392">
        <f>SUM(N32:N35)</f>
      </c>
      <c r="O36" s="391"/>
      <c r="P36" s="391"/>
    </row>
    <row hidden="true" r="37">
      <c r="A37" s="394" t="s">
        <v>820</v>
      </c>
      <c r="B37" s="385" t="s">
        <v>800</v>
      </c>
      <c r="C37" s="388" t="s">
        <v>821</v>
      </c>
      <c r="D37" s="388">
        <v>4</v>
      </c>
      <c r="E37" s="388">
        <v>6</v>
      </c>
      <c r="F37" s="388">
        <v>4351.2</v>
      </c>
      <c r="G37" s="388">
        <v>11377.48</v>
      </c>
      <c r="H37" s="387">
        <f t="shared" si="0"/>
      </c>
      <c r="I37" s="387">
        <f t="shared" si="20"/>
      </c>
      <c r="J37" s="387">
        <f t="shared" si="1"/>
      </c>
      <c r="K37" s="388">
        <v>1</v>
      </c>
      <c r="L37" s="388">
        <v>290.4</v>
      </c>
      <c r="M37" s="388" t="s">
        <v>822</v>
      </c>
      <c r="N37" s="388">
        <v>3.2</v>
      </c>
      <c r="O37" s="388" t="s">
        <v>823</v>
      </c>
      <c r="P37" s="388">
        <v>8</v>
      </c>
    </row>
    <row hidden="true" r="38">
      <c r="A38" s="394" t="s">
        <v>820</v>
      </c>
      <c r="B38" s="385" t="s">
        <v>797</v>
      </c>
      <c r="C38" s="388" t="s">
        <v>818</v>
      </c>
      <c r="D38" s="388">
        <v>4</v>
      </c>
      <c r="E38" s="388">
        <v>7</v>
      </c>
      <c r="F38" s="388">
        <v>4584.599999999999</v>
      </c>
      <c r="G38" s="388">
        <v>10341.92</v>
      </c>
      <c r="H38" s="387">
        <f t="shared" si="0"/>
      </c>
      <c r="I38" s="387">
        <f t="shared" si="20"/>
      </c>
      <c r="J38" s="387">
        <f>G37/E38</f>
      </c>
      <c r="K38" s="388">
        <v>3</v>
      </c>
      <c r="L38" s="388">
        <v>1386</v>
      </c>
      <c r="M38" s="388"/>
      <c r="N38" s="388"/>
      <c r="O38" s="396"/>
      <c r="P38" s="388"/>
    </row>
    <row hidden="true" r="39">
      <c r="A39" s="394" t="s">
        <v>820</v>
      </c>
      <c r="B39" s="385" t="s">
        <v>812</v>
      </c>
      <c r="C39" s="388" t="s">
        <v>801</v>
      </c>
      <c r="D39" s="388">
        <v>5</v>
      </c>
      <c r="E39" s="388">
        <v>16</v>
      </c>
      <c r="F39" s="388">
        <v>10291.199999999999</v>
      </c>
      <c r="G39" s="388">
        <v>8487.48</v>
      </c>
      <c r="H39" s="387">
        <f t="shared" si="0"/>
      </c>
      <c r="I39" s="387">
        <f t="shared" si="20"/>
      </c>
      <c r="J39" s="387">
        <f t="shared" ref="J39:J42" si="2">G39/E39</f>
      </c>
      <c r="K39" s="388">
        <v>2</v>
      </c>
      <c r="L39" s="388">
        <v>1172.4</v>
      </c>
      <c r="M39" s="388"/>
      <c r="N39" s="388"/>
      <c r="O39" s="388"/>
      <c r="P39" s="388"/>
    </row>
    <row hidden="true" r="40">
      <c r="A40" s="394" t="s">
        <v>820</v>
      </c>
      <c r="B40" s="385" t="s">
        <v>794</v>
      </c>
      <c r="C40" s="388" t="s">
        <v>803</v>
      </c>
      <c r="D40" s="388">
        <v>5</v>
      </c>
      <c r="E40" s="388">
        <v>14</v>
      </c>
      <c r="F40" s="388">
        <v>10834.8</v>
      </c>
      <c r="G40" s="388">
        <v>10052</v>
      </c>
      <c r="H40" s="387">
        <f t="shared" si="0"/>
      </c>
      <c r="I40" s="387">
        <f t="shared" si="20"/>
      </c>
      <c r="J40" s="387">
        <f t="shared" si="2"/>
      </c>
      <c r="K40" s="388">
        <v>1</v>
      </c>
      <c r="L40" s="388">
        <v>356.39999999999964</v>
      </c>
      <c r="M40" s="386" t="s">
        <v>804</v>
      </c>
      <c r="N40" s="388">
        <v>10</v>
      </c>
      <c r="O40" s="388" t="s">
        <v>805</v>
      </c>
      <c r="P40" s="388">
        <v>10</v>
      </c>
    </row>
    <row r="41">
      <c r="A41" s="397" t="s">
        <v>820</v>
      </c>
      <c r="B41" s="391"/>
      <c r="C41" s="391"/>
      <c r="D41" s="392">
        <f>SUM(D37:D40)</f>
      </c>
      <c r="E41" s="392">
        <f>SUM(E37:E40)</f>
      </c>
      <c r="F41" s="392">
        <f>SUM(F37:F40)</f>
      </c>
      <c r="G41" s="392">
        <f>SUM(G37:G40)</f>
      </c>
      <c r="H41" s="393">
        <f t="shared" si="0"/>
      </c>
      <c r="I41" s="393">
        <f t="shared" si="20"/>
      </c>
      <c r="J41" s="393">
        <f t="shared" si="2"/>
      </c>
      <c r="K41" s="392">
        <f>SUM(K37:K40)</f>
      </c>
      <c r="L41" s="392">
        <f>SUM(L37:L40)</f>
      </c>
      <c r="M41" s="391"/>
      <c r="N41" s="392">
        <f>SUM(N37:N40)</f>
      </c>
      <c r="O41" s="391"/>
      <c r="P41" s="391">
        <f>SUM(P37:P40)</f>
      </c>
    </row>
    <row hidden="true" r="42">
      <c r="A42" s="394" t="s">
        <v>824</v>
      </c>
      <c r="B42" s="385" t="s">
        <v>812</v>
      </c>
      <c r="C42" s="388" t="s">
        <v>825</v>
      </c>
      <c r="D42" s="388">
        <v>5</v>
      </c>
      <c r="E42" s="386">
        <v>14</v>
      </c>
      <c r="F42" s="388">
        <v>11737.2</v>
      </c>
      <c r="G42" s="388">
        <v>13619.3</v>
      </c>
      <c r="H42" s="387">
        <f t="shared" si="0"/>
      </c>
      <c r="I42" s="387">
        <f t="shared" si="20"/>
      </c>
      <c r="J42" s="387">
        <f t="shared" si="2"/>
      </c>
      <c r="K42" s="386">
        <v>5</v>
      </c>
      <c r="L42" s="388">
        <v>3999.4</v>
      </c>
      <c r="M42" s="388" t="s">
        <v>815</v>
      </c>
      <c r="N42" s="388">
        <v>9</v>
      </c>
      <c r="O42" s="388" t="s">
        <v>823</v>
      </c>
      <c r="P42" s="388">
        <v>8</v>
      </c>
    </row>
    <row hidden="true" r="43">
      <c r="A43" s="394" t="s">
        <v>824</v>
      </c>
      <c r="B43" s="385" t="s">
        <v>797</v>
      </c>
      <c r="C43" s="388" t="s">
        <v>826</v>
      </c>
      <c r="D43" s="388">
        <v>4</v>
      </c>
      <c r="E43" s="386">
        <v>10</v>
      </c>
      <c r="F43" s="388">
        <v>7712.2</v>
      </c>
      <c r="G43" s="388">
        <v>8935.029999999999</v>
      </c>
      <c r="H43" s="387">
        <f t="shared" si="0"/>
      </c>
      <c r="I43" s="387">
        <f t="shared" si="20"/>
      </c>
      <c r="J43" s="387">
        <f>G42/E43</f>
      </c>
      <c r="K43" s="386">
        <v>3</v>
      </c>
      <c r="L43" s="388">
        <v>2578.6</v>
      </c>
      <c r="M43" s="388"/>
      <c r="N43" s="388"/>
      <c r="O43" s="396"/>
      <c r="P43" s="388"/>
    </row>
    <row hidden="true" r="44">
      <c r="A44" s="394" t="s">
        <v>824</v>
      </c>
      <c r="B44" s="385" t="s">
        <v>800</v>
      </c>
      <c r="C44" s="388" t="s">
        <v>827</v>
      </c>
      <c r="D44" s="388">
        <v>4</v>
      </c>
      <c r="E44" s="386">
        <v>9</v>
      </c>
      <c r="F44" s="388">
        <v>7138.5999999999985</v>
      </c>
      <c r="G44" s="388">
        <v>6399.9400000000005</v>
      </c>
      <c r="H44" s="387">
        <f t="shared" si="0"/>
      </c>
      <c r="I44" s="387">
        <f t="shared" si="20"/>
      </c>
      <c r="J44" s="387">
        <f t="shared" ref="J44:J47" si="3">G44/E44</f>
      </c>
      <c r="K44" s="386">
        <v>1</v>
      </c>
      <c r="L44" s="388">
        <v>343.2</v>
      </c>
      <c r="M44" s="388"/>
      <c r="N44" s="388"/>
      <c r="O44" s="388"/>
      <c r="P44" s="388"/>
    </row>
    <row hidden="true" r="45">
      <c r="A45" s="394" t="s">
        <v>824</v>
      </c>
      <c r="B45" s="385" t="s">
        <v>794</v>
      </c>
      <c r="C45" s="388" t="s">
        <v>803</v>
      </c>
      <c r="D45" s="388">
        <v>5</v>
      </c>
      <c r="E45" s="386">
        <v>19</v>
      </c>
      <c r="F45" s="388">
        <v>13314</v>
      </c>
      <c r="G45" s="388">
        <v>10010.85</v>
      </c>
      <c r="H45" s="387">
        <f t="shared" si="0"/>
      </c>
      <c r="I45" s="387">
        <f t="shared" si="20"/>
      </c>
      <c r="J45" s="387">
        <f t="shared" si="3"/>
      </c>
      <c r="K45" s="386">
        <v>0</v>
      </c>
      <c r="L45" s="386">
        <v>0</v>
      </c>
      <c r="M45" s="386" t="s">
        <v>804</v>
      </c>
      <c r="N45" s="388">
        <v>9</v>
      </c>
      <c r="O45" s="388" t="s">
        <v>805</v>
      </c>
      <c r="P45" s="388">
        <v>10</v>
      </c>
    </row>
    <row r="46">
      <c r="A46" s="397" t="s">
        <v>824</v>
      </c>
      <c r="B46" s="391"/>
      <c r="C46" s="391"/>
      <c r="D46" s="392">
        <f>SUM(D42:D45)</f>
      </c>
      <c r="E46" s="392">
        <f>SUM(E42:E45)</f>
      </c>
      <c r="F46" s="392">
        <f>SUM(F42:F45)</f>
      </c>
      <c r="G46" s="392">
        <f>SUM(G42:G45)</f>
      </c>
      <c r="H46" s="393">
        <f t="shared" si="0"/>
      </c>
      <c r="I46" s="393">
        <f t="shared" si="20"/>
      </c>
      <c r="J46" s="393">
        <f t="shared" si="3"/>
      </c>
      <c r="K46" s="392">
        <f>SUM(K42:K45)</f>
      </c>
      <c r="L46" s="392">
        <f>SUM(L42:L45)</f>
      </c>
      <c r="M46" s="391"/>
      <c r="N46" s="392">
        <f>SUM(N42:N45)</f>
      </c>
      <c r="O46" s="391"/>
      <c r="P46" s="391">
        <f>SUM(P42:P45)</f>
      </c>
    </row>
    <row hidden="true" r="47">
      <c r="A47" s="384" t="s">
        <v>828</v>
      </c>
      <c r="B47" s="385" t="s">
        <v>812</v>
      </c>
      <c r="C47" s="386" t="s">
        <v>829</v>
      </c>
      <c r="D47" s="386">
        <v>4.5</v>
      </c>
      <c r="E47" s="386">
        <v>11</v>
      </c>
      <c r="F47" s="386">
        <v>7572.4</v>
      </c>
      <c r="G47" s="386">
        <v>10162.63</v>
      </c>
      <c r="H47" s="387">
        <f t="shared" si="0"/>
      </c>
      <c r="I47" s="387">
        <f t="shared" si="20"/>
      </c>
      <c r="J47" s="387">
        <f t="shared" si="3"/>
      </c>
      <c r="K47" s="386">
        <v>2</v>
      </c>
      <c r="L47" s="386">
        <v>3408</v>
      </c>
      <c r="M47" s="388" t="s">
        <v>815</v>
      </c>
      <c r="N47" s="386">
        <v>5</v>
      </c>
      <c r="O47" s="388" t="s">
        <v>823</v>
      </c>
      <c r="P47" s="386">
        <v>5</v>
      </c>
    </row>
    <row hidden="true" r="48">
      <c r="A48" s="384" t="s">
        <v>828</v>
      </c>
      <c r="B48" s="385" t="s">
        <v>800</v>
      </c>
      <c r="C48" s="386" t="s">
        <v>830</v>
      </c>
      <c r="D48" s="386">
        <v>1.5</v>
      </c>
      <c r="E48" s="386">
        <v>2</v>
      </c>
      <c r="F48" s="388">
        <v>1159.2000000000007</v>
      </c>
      <c r="G48" s="388">
        <v>3802.27</v>
      </c>
      <c r="H48" s="387">
        <f t="shared" si="0"/>
      </c>
      <c r="I48" s="387">
        <f t="shared" si="20"/>
      </c>
      <c r="J48" s="387">
        <f>G47/E48</f>
      </c>
      <c r="K48" s="386">
        <v>0</v>
      </c>
      <c r="L48" s="386">
        <v>0</v>
      </c>
      <c r="M48" s="388"/>
      <c r="N48" s="388"/>
      <c r="O48" s="396"/>
      <c r="P48" s="388"/>
    </row>
    <row hidden="true" r="49">
      <c r="A49" s="384" t="s">
        <v>828</v>
      </c>
      <c r="B49" s="385" t="s">
        <v>794</v>
      </c>
      <c r="C49" s="386" t="s">
        <v>831</v>
      </c>
      <c r="D49" s="386">
        <v>5</v>
      </c>
      <c r="E49" s="386">
        <v>18</v>
      </c>
      <c r="F49" s="386">
        <v>14108.999999999998</v>
      </c>
      <c r="G49" s="388">
        <v>12559.390000000001</v>
      </c>
      <c r="H49" s="387">
        <f t="shared" si="0"/>
      </c>
      <c r="I49" s="387">
        <f t="shared" si="20"/>
      </c>
      <c r="J49" s="387">
        <f t="shared" ref="J49:J52" si="4">G49/E49</f>
      </c>
      <c r="K49" s="386">
        <v>5</v>
      </c>
      <c r="L49" s="388">
        <v>2511.8</v>
      </c>
      <c r="M49" s="388"/>
      <c r="N49" s="388"/>
      <c r="O49" s="388"/>
      <c r="P49" s="388"/>
    </row>
    <row hidden="true" r="50">
      <c r="A50" s="384" t="s">
        <v>828</v>
      </c>
      <c r="B50" s="385" t="s">
        <v>797</v>
      </c>
      <c r="C50" s="386" t="s">
        <v>832</v>
      </c>
      <c r="D50" s="386">
        <v>4</v>
      </c>
      <c r="E50" s="386">
        <v>8</v>
      </c>
      <c r="F50" s="388">
        <v>6180.200000000004</v>
      </c>
      <c r="G50" s="388">
        <v>8377.17</v>
      </c>
      <c r="H50" s="387">
        <f t="shared" si="0"/>
      </c>
      <c r="I50" s="387">
        <f t="shared" si="20"/>
      </c>
      <c r="J50" s="387">
        <f t="shared" si="4"/>
      </c>
      <c r="K50" s="386">
        <v>1</v>
      </c>
      <c r="L50" s="386">
        <v>621.5999999999995</v>
      </c>
      <c r="M50" s="386" t="s">
        <v>804</v>
      </c>
      <c r="N50" s="386">
        <v>10</v>
      </c>
      <c r="O50" s="386" t="s">
        <v>799</v>
      </c>
      <c r="P50" s="388">
        <v>10</v>
      </c>
    </row>
    <row r="51">
      <c r="A51" s="398" t="s">
        <v>828</v>
      </c>
      <c r="B51" s="391"/>
      <c r="C51" s="391"/>
      <c r="D51" s="392">
        <f>SUM(D47:D50)</f>
      </c>
      <c r="E51" s="392">
        <f>SUM(E47:E50)</f>
      </c>
      <c r="F51" s="392">
        <f>SUM(F47:F50)</f>
      </c>
      <c r="G51" s="392">
        <f>SUM(G47:G50)</f>
      </c>
      <c r="H51" s="393">
        <f t="shared" si="0"/>
      </c>
      <c r="I51" s="393">
        <f t="shared" si="20"/>
      </c>
      <c r="J51" s="393">
        <f t="shared" si="4"/>
      </c>
      <c r="K51" s="392">
        <f>SUM(K47:K50)</f>
      </c>
      <c r="L51" s="392">
        <f>SUM(L47:L50)</f>
      </c>
      <c r="M51" s="391"/>
      <c r="N51" s="392">
        <f>SUM(N47:N50)</f>
      </c>
      <c r="O51" s="391"/>
      <c r="P51" s="391">
        <f>SUM(P47:P50)</f>
      </c>
    </row>
    <row hidden="true" r="52">
      <c r="A52" s="384" t="s">
        <v>833</v>
      </c>
      <c r="B52" s="385" t="s">
        <v>812</v>
      </c>
      <c r="C52" s="386" t="s">
        <v>825</v>
      </c>
      <c r="D52" s="386">
        <v>5</v>
      </c>
      <c r="E52" s="386">
        <v>19</v>
      </c>
      <c r="F52" s="386">
        <v>12211.4</v>
      </c>
      <c r="G52" s="386">
        <v>13359.760000000002</v>
      </c>
      <c r="H52" s="387">
        <f t="shared" si="0"/>
      </c>
      <c r="I52" s="387">
        <f t="shared" si="20"/>
      </c>
      <c r="J52" s="387">
        <f t="shared" si="4"/>
      </c>
      <c r="K52" s="386">
        <v>2</v>
      </c>
      <c r="L52" s="386">
        <v>600</v>
      </c>
      <c r="M52" s="386" t="s">
        <v>808</v>
      </c>
      <c r="N52" s="386">
        <v>3.8</v>
      </c>
      <c r="O52" s="388" t="s">
        <v>823</v>
      </c>
      <c r="P52" s="386">
        <v>5</v>
      </c>
    </row>
    <row hidden="true" r="53">
      <c r="A53" s="384" t="s">
        <v>833</v>
      </c>
      <c r="B53" s="385" t="s">
        <v>800</v>
      </c>
      <c r="C53" s="386" t="s">
        <v>826</v>
      </c>
      <c r="D53" s="386">
        <v>4</v>
      </c>
      <c r="E53" s="386">
        <v>10</v>
      </c>
      <c r="F53" s="388">
        <v>4880.4</v>
      </c>
      <c r="G53" s="388">
        <v>9284.63</v>
      </c>
      <c r="H53" s="387">
        <f t="shared" si="0"/>
      </c>
      <c r="I53" s="387">
        <f t="shared" si="20"/>
      </c>
      <c r="J53" s="387">
        <f>G52/E53</f>
      </c>
      <c r="K53" s="386">
        <v>1</v>
      </c>
      <c r="L53" s="386">
        <v>444</v>
      </c>
      <c r="M53" s="388"/>
      <c r="N53" s="388"/>
      <c r="O53" s="396"/>
      <c r="P53" s="388"/>
    </row>
    <row hidden="true" r="54">
      <c r="A54" s="384" t="s">
        <v>833</v>
      </c>
      <c r="B54" s="385" t="s">
        <v>794</v>
      </c>
      <c r="C54" s="386" t="s">
        <v>831</v>
      </c>
      <c r="D54" s="386">
        <v>5</v>
      </c>
      <c r="E54" s="386">
        <v>17</v>
      </c>
      <c r="F54" s="386">
        <v>8648.400000000001</v>
      </c>
      <c r="G54" s="388">
        <v>10409.23</v>
      </c>
      <c r="H54" s="387">
        <f t="shared" si="0"/>
      </c>
      <c r="I54" s="387">
        <f t="shared" si="20"/>
      </c>
      <c r="J54" s="387">
        <f t="shared" ref="J54:J57" si="5">G54/E54</f>
      </c>
      <c r="K54" s="386">
        <v>0</v>
      </c>
      <c r="L54" s="386">
        <v>0</v>
      </c>
      <c r="M54" s="388"/>
      <c r="N54" s="388"/>
      <c r="O54" s="388"/>
      <c r="P54" s="388"/>
    </row>
    <row hidden="true" r="55">
      <c r="A55" s="384" t="s">
        <v>833</v>
      </c>
      <c r="B55" s="385" t="s">
        <v>797</v>
      </c>
      <c r="C55" s="386" t="s">
        <v>834</v>
      </c>
      <c r="D55" s="386">
        <v>3</v>
      </c>
      <c r="E55" s="386">
        <v>7</v>
      </c>
      <c r="F55" s="388">
        <v>3371.7999999999993</v>
      </c>
      <c r="G55" s="388">
        <v>8120.32</v>
      </c>
      <c r="H55" s="387">
        <f t="shared" si="0"/>
      </c>
      <c r="I55" s="387">
        <f t="shared" si="20"/>
      </c>
      <c r="J55" s="387">
        <f t="shared" si="5"/>
      </c>
      <c r="K55" s="386">
        <v>0</v>
      </c>
      <c r="L55" s="386">
        <v>0</v>
      </c>
      <c r="M55" s="386" t="s">
        <v>835</v>
      </c>
      <c r="N55" s="386">
        <v>9</v>
      </c>
      <c r="O55" s="386" t="s">
        <v>799</v>
      </c>
      <c r="P55" s="386">
        <v>9</v>
      </c>
    </row>
    <row r="56">
      <c r="A56" s="398" t="s">
        <v>833</v>
      </c>
      <c r="B56" s="391"/>
      <c r="C56" s="391"/>
      <c r="D56" s="392">
        <f>SUM(D52:D55)</f>
      </c>
      <c r="E56" s="392">
        <f>SUM(E52:E55)</f>
      </c>
      <c r="F56" s="392">
        <f>SUM(F52:F55)</f>
      </c>
      <c r="G56" s="392">
        <f>SUM(G52:G55)</f>
      </c>
      <c r="H56" s="393">
        <f t="shared" si="0"/>
      </c>
      <c r="I56" s="393">
        <f t="shared" si="20"/>
      </c>
      <c r="J56" s="393">
        <f t="shared" si="5"/>
      </c>
      <c r="K56" s="392">
        <f>SUM(K52:K55)</f>
      </c>
      <c r="L56" s="392">
        <f>SUM(L52:L55)</f>
      </c>
      <c r="M56" s="391"/>
      <c r="N56" s="392">
        <f>SUM(N52:N55)</f>
      </c>
      <c r="O56" s="391"/>
      <c r="P56" s="391">
        <f>SUM(P52:P55)</f>
      </c>
    </row>
    <row hidden="true" r="57">
      <c r="A57" s="384" t="s">
        <v>836</v>
      </c>
      <c r="B57" s="385" t="s">
        <v>794</v>
      </c>
      <c r="C57" s="386" t="s">
        <v>825</v>
      </c>
      <c r="D57" s="386">
        <v>5</v>
      </c>
      <c r="E57" s="386">
        <v>16</v>
      </c>
      <c r="F57" s="386">
        <v>11312.7</v>
      </c>
      <c r="G57" s="386">
        <v>10456.68</v>
      </c>
      <c r="H57" s="387">
        <f t="shared" si="0"/>
      </c>
      <c r="I57" s="387">
        <f t="shared" si="20"/>
      </c>
      <c r="J57" s="387">
        <f t="shared" si="5"/>
      </c>
      <c r="K57" s="386">
        <v>0</v>
      </c>
      <c r="L57" s="386">
        <v>0</v>
      </c>
      <c r="M57" s="386" t="s">
        <v>822</v>
      </c>
      <c r="N57" s="386">
        <v>4.4</v>
      </c>
      <c r="O57" s="388" t="s">
        <v>823</v>
      </c>
      <c r="P57" s="386">
        <v>9</v>
      </c>
    </row>
    <row hidden="true" r="58">
      <c r="A58" s="384" t="s">
        <v>836</v>
      </c>
      <c r="B58" s="385" t="s">
        <v>812</v>
      </c>
      <c r="C58" s="386" t="s">
        <v>837</v>
      </c>
      <c r="D58" s="386">
        <v>5</v>
      </c>
      <c r="E58" s="386">
        <v>25</v>
      </c>
      <c r="F58" s="386">
        <v>16749.88</v>
      </c>
      <c r="G58" s="386">
        <v>13575.05</v>
      </c>
      <c r="H58" s="387">
        <f t="shared" si="0"/>
      </c>
      <c r="I58" s="387">
        <f t="shared" si="20"/>
      </c>
      <c r="J58" s="387">
        <f>G57/E58</f>
      </c>
      <c r="K58" s="386">
        <v>5</v>
      </c>
      <c r="L58" s="386">
        <v>3110.4</v>
      </c>
      <c r="M58" s="388"/>
      <c r="N58" s="388"/>
      <c r="O58" s="396"/>
      <c r="P58" s="388"/>
    </row>
    <row hidden="true" r="59">
      <c r="A59" s="384" t="s">
        <v>836</v>
      </c>
      <c r="B59" s="385" t="s">
        <v>800</v>
      </c>
      <c r="C59" s="386" t="s">
        <v>838</v>
      </c>
      <c r="D59" s="386">
        <v>4</v>
      </c>
      <c r="E59" s="386">
        <v>21</v>
      </c>
      <c r="F59" s="386">
        <v>18573.6</v>
      </c>
      <c r="G59" s="386">
        <v>10402.38</v>
      </c>
      <c r="H59" s="387">
        <f t="shared" si="0"/>
      </c>
      <c r="I59" s="387">
        <f t="shared" si="20"/>
      </c>
      <c r="J59" s="387">
        <f t="shared" ref="J59:J62" si="6">G59/E59</f>
      </c>
      <c r="K59" s="386">
        <v>1</v>
      </c>
      <c r="L59" s="386">
        <v>439.2</v>
      </c>
      <c r="M59" s="388"/>
      <c r="N59" s="388"/>
      <c r="O59" s="388"/>
      <c r="P59" s="388"/>
    </row>
    <row hidden="true" r="60">
      <c r="A60" s="384" t="s">
        <v>836</v>
      </c>
      <c r="B60" s="385" t="s">
        <v>797</v>
      </c>
      <c r="C60" s="386" t="s">
        <v>832</v>
      </c>
      <c r="D60" s="386">
        <v>4</v>
      </c>
      <c r="E60" s="386">
        <v>8</v>
      </c>
      <c r="F60" s="386">
        <v>4583.8</v>
      </c>
      <c r="G60" s="386">
        <v>9011.67</v>
      </c>
      <c r="H60" s="387">
        <f t="shared" si="0"/>
      </c>
      <c r="I60" s="387">
        <f t="shared" si="20"/>
      </c>
      <c r="J60" s="387">
        <f t="shared" si="6"/>
      </c>
      <c r="K60" s="386">
        <v>1</v>
      </c>
      <c r="L60" s="386">
        <v>439</v>
      </c>
      <c r="M60" s="386" t="s">
        <v>839</v>
      </c>
      <c r="N60" s="386">
        <v>10</v>
      </c>
      <c r="O60" s="386" t="s">
        <v>799</v>
      </c>
      <c r="P60" s="386">
        <v>9</v>
      </c>
    </row>
    <row r="61">
      <c r="A61" s="398" t="s">
        <v>836</v>
      </c>
      <c r="B61" s="391"/>
      <c r="C61" s="391"/>
      <c r="D61" s="392">
        <f>SUM(D57:D60)</f>
      </c>
      <c r="E61" s="392">
        <f>SUM(E57:E60)</f>
      </c>
      <c r="F61" s="392">
        <f>SUM(F57:F60)</f>
      </c>
      <c r="G61" s="392">
        <f>SUM(G57:G60)</f>
      </c>
      <c r="H61" s="393">
        <f t="shared" si="0"/>
      </c>
      <c r="I61" s="393">
        <f t="shared" si="20"/>
      </c>
      <c r="J61" s="393">
        <f t="shared" si="6"/>
      </c>
      <c r="K61" s="392">
        <f>SUM(K57:K60)</f>
      </c>
      <c r="L61" s="392">
        <f>SUM(L57:L60)</f>
      </c>
      <c r="M61" s="391"/>
      <c r="N61" s="392">
        <f>SUM(N57:N60)</f>
      </c>
      <c r="O61" s="391"/>
      <c r="P61" s="391">
        <f>SUM(P57:P60)</f>
      </c>
    </row>
    <row hidden="true" r="62">
      <c r="A62" s="384" t="s">
        <v>840</v>
      </c>
      <c r="B62" s="385" t="s">
        <v>794</v>
      </c>
      <c r="C62" s="386" t="s">
        <v>821</v>
      </c>
      <c r="D62" s="386">
        <v>4</v>
      </c>
      <c r="E62" s="386">
        <v>12</v>
      </c>
      <c r="F62" s="386">
        <v>9612.2</v>
      </c>
      <c r="G62" s="386">
        <v>8859.88</v>
      </c>
      <c r="H62" s="387">
        <f t="shared" si="0"/>
      </c>
      <c r="I62" s="387">
        <f t="shared" si="20"/>
      </c>
      <c r="J62" s="387">
        <f t="shared" si="6"/>
      </c>
      <c r="K62" s="386">
        <v>1</v>
      </c>
      <c r="L62" s="386">
        <v>1194</v>
      </c>
      <c r="M62" s="386" t="s">
        <v>815</v>
      </c>
      <c r="N62" s="386">
        <v>8</v>
      </c>
      <c r="O62" s="388" t="s">
        <v>823</v>
      </c>
      <c r="P62" s="386">
        <v>8</v>
      </c>
    </row>
    <row hidden="true" r="63">
      <c r="A63" s="384" t="s">
        <v>840</v>
      </c>
      <c r="B63" s="385" t="s">
        <v>797</v>
      </c>
      <c r="C63" s="386" t="s">
        <v>818</v>
      </c>
      <c r="D63" s="386">
        <v>4</v>
      </c>
      <c r="E63" s="386">
        <v>13</v>
      </c>
      <c r="F63" s="386">
        <v>7117.28</v>
      </c>
      <c r="G63" s="386">
        <v>9442.92</v>
      </c>
      <c r="H63" s="387">
        <f t="shared" si="0"/>
      </c>
      <c r="I63" s="387">
        <f t="shared" si="20"/>
      </c>
      <c r="J63" s="387">
        <f>G62/E63</f>
      </c>
      <c r="K63" s="386">
        <v>4</v>
      </c>
      <c r="L63" s="386">
        <v>2144.4</v>
      </c>
      <c r="M63" s="388"/>
      <c r="N63" s="388"/>
      <c r="O63" s="396"/>
      <c r="P63" s="388"/>
    </row>
    <row hidden="true" r="64">
      <c r="A64" s="384" t="s">
        <v>840</v>
      </c>
      <c r="B64" s="385" t="s">
        <v>812</v>
      </c>
      <c r="C64" s="386" t="s">
        <v>841</v>
      </c>
      <c r="D64" s="386">
        <v>4</v>
      </c>
      <c r="E64" s="386">
        <v>8</v>
      </c>
      <c r="F64" s="386">
        <v>4202.4</v>
      </c>
      <c r="G64" s="386">
        <v>9717.83</v>
      </c>
      <c r="H64" s="387">
        <f t="shared" si="0"/>
      </c>
      <c r="I64" s="387">
        <f t="shared" si="20"/>
      </c>
      <c r="J64" s="387">
        <f t="shared" ref="J64:J67" si="7">G64/E64</f>
      </c>
      <c r="K64" s="386">
        <v>1</v>
      </c>
      <c r="L64" s="386">
        <v>291.6</v>
      </c>
      <c r="M64" s="388"/>
      <c r="N64" s="388"/>
      <c r="O64" s="388"/>
      <c r="P64" s="388"/>
    </row>
    <row hidden="true" r="65">
      <c r="A65" s="384" t="s">
        <v>840</v>
      </c>
      <c r="B65" s="385" t="s">
        <v>800</v>
      </c>
      <c r="C65" s="386" t="s">
        <v>842</v>
      </c>
      <c r="D65" s="386">
        <v>4</v>
      </c>
      <c r="E65" s="386">
        <v>18</v>
      </c>
      <c r="F65" s="386">
        <v>13298.6</v>
      </c>
      <c r="G65" s="386">
        <v>9628.63</v>
      </c>
      <c r="H65" s="387">
        <f t="shared" si="0"/>
      </c>
      <c r="I65" s="387">
        <f t="shared" si="20"/>
      </c>
      <c r="J65" s="387">
        <f t="shared" si="7"/>
      </c>
      <c r="K65" s="386">
        <v>2</v>
      </c>
      <c r="L65" s="386">
        <v>555.6</v>
      </c>
      <c r="M65" s="386" t="s">
        <v>843</v>
      </c>
      <c r="N65" s="386">
        <v>3.2</v>
      </c>
      <c r="O65" s="386" t="s">
        <v>799</v>
      </c>
      <c r="P65" s="386">
        <v>8</v>
      </c>
    </row>
    <row r="66">
      <c r="A66" s="398" t="s">
        <v>840</v>
      </c>
      <c r="B66" s="391"/>
      <c r="C66" s="391"/>
      <c r="D66" s="392">
        <f>SUM(D62:D65)</f>
      </c>
      <c r="E66" s="392">
        <f>SUM(E62:E65)</f>
      </c>
      <c r="F66" s="392">
        <f>SUM(F62:F65)</f>
      </c>
      <c r="G66" s="392">
        <f>SUM(G62:G65)</f>
      </c>
      <c r="H66" s="393">
        <f t="shared" si="0"/>
      </c>
      <c r="I66" s="393">
        <f t="shared" si="20"/>
      </c>
      <c r="J66" s="393">
        <f t="shared" si="7"/>
      </c>
      <c r="K66" s="392">
        <f>SUM(K62:K65)</f>
      </c>
      <c r="L66" s="392">
        <f>SUM(L62:L65)</f>
      </c>
      <c r="M66" s="391"/>
      <c r="N66" s="392">
        <f>SUM(N62:N65)</f>
      </c>
      <c r="O66" s="391"/>
      <c r="P66" s="391">
        <f>SUM(P62:P65)</f>
      </c>
    </row>
    <row hidden="true" r="67">
      <c r="A67" s="384" t="s">
        <v>844</v>
      </c>
      <c r="B67" s="385" t="s">
        <v>794</v>
      </c>
      <c r="C67" s="386" t="s">
        <v>821</v>
      </c>
      <c r="D67" s="386">
        <v>4</v>
      </c>
      <c r="E67" s="386">
        <v>14</v>
      </c>
      <c r="F67" s="386">
        <v>8323.6</v>
      </c>
      <c r="G67" s="386">
        <v>11194.31</v>
      </c>
      <c r="H67" s="387">
        <f t="shared" si="0"/>
      </c>
      <c r="I67" s="387">
        <f t="shared" si="20"/>
      </c>
      <c r="J67" s="387">
        <f t="shared" si="7"/>
      </c>
      <c r="K67" s="386">
        <v>4</v>
      </c>
      <c r="L67" s="386">
        <v>2009.6</v>
      </c>
      <c r="M67" s="386" t="s">
        <v>815</v>
      </c>
      <c r="N67" s="386">
        <v>8</v>
      </c>
      <c r="O67" s="388" t="s">
        <v>823</v>
      </c>
      <c r="P67" s="386">
        <v>8</v>
      </c>
    </row>
    <row hidden="true" r="68">
      <c r="A68" s="384" t="s">
        <v>844</v>
      </c>
      <c r="B68" s="385" t="s">
        <v>797</v>
      </c>
      <c r="C68" s="386" t="s">
        <v>818</v>
      </c>
      <c r="D68" s="386">
        <v>4</v>
      </c>
      <c r="E68" s="386">
        <v>19</v>
      </c>
      <c r="F68" s="386">
        <v>10019.6</v>
      </c>
      <c r="G68" s="386">
        <v>9633.67</v>
      </c>
      <c r="H68" s="387">
        <f t="shared" si="0"/>
      </c>
      <c r="I68" s="387">
        <f t="shared" si="20"/>
      </c>
      <c r="J68" s="387">
        <f>G67/E68</f>
      </c>
      <c r="K68" s="386">
        <v>4</v>
      </c>
      <c r="L68" s="386">
        <v>2358.2000000000003</v>
      </c>
      <c r="M68" s="388"/>
      <c r="N68" s="388"/>
      <c r="O68" s="396"/>
      <c r="P68" s="388"/>
    </row>
    <row hidden="true" r="69">
      <c r="A69" s="384" t="s">
        <v>844</v>
      </c>
      <c r="B69" s="385" t="s">
        <v>812</v>
      </c>
      <c r="C69" s="386" t="s">
        <v>841</v>
      </c>
      <c r="D69" s="386">
        <v>4</v>
      </c>
      <c r="E69" s="386">
        <v>16</v>
      </c>
      <c r="F69" s="386">
        <v>9880.599999999999</v>
      </c>
      <c r="G69" s="386">
        <v>10381.239999999998</v>
      </c>
      <c r="H69" s="387">
        <f t="shared" si="0"/>
      </c>
      <c r="I69" s="387">
        <f t="shared" si="20"/>
      </c>
      <c r="J69" s="387">
        <f t="shared" ref="J69:J72" si="8">G69/E69</f>
      </c>
      <c r="K69" s="386">
        <v>2</v>
      </c>
      <c r="L69" s="386">
        <v>1111.1999999999998</v>
      </c>
      <c r="M69" s="388"/>
      <c r="N69" s="388"/>
      <c r="O69" s="388"/>
      <c r="P69" s="388"/>
    </row>
    <row hidden="true" r="70">
      <c r="A70" s="384" t="s">
        <v>844</v>
      </c>
      <c r="B70" s="385" t="s">
        <v>800</v>
      </c>
      <c r="C70" s="386" t="s">
        <v>842</v>
      </c>
      <c r="D70" s="386">
        <v>4</v>
      </c>
      <c r="E70" s="386">
        <v>10</v>
      </c>
      <c r="F70" s="386">
        <v>5622.200000000004</v>
      </c>
      <c r="G70" s="386">
        <v>8357.919999999998</v>
      </c>
      <c r="H70" s="387">
        <f t="shared" si="0"/>
      </c>
      <c r="I70" s="387">
        <f t="shared" si="20"/>
      </c>
      <c r="J70" s="387">
        <f t="shared" si="8"/>
      </c>
      <c r="K70" s="386">
        <v>3</v>
      </c>
      <c r="L70" s="386">
        <v>1654.8000000000006</v>
      </c>
      <c r="M70" s="386" t="s">
        <v>845</v>
      </c>
      <c r="N70" s="386">
        <v>8</v>
      </c>
      <c r="O70" s="386" t="s">
        <v>799</v>
      </c>
      <c r="P70" s="386">
        <v>8</v>
      </c>
    </row>
    <row r="71">
      <c r="A71" s="398" t="s">
        <v>844</v>
      </c>
      <c r="B71" s="391"/>
      <c r="C71" s="391"/>
      <c r="D71" s="392">
        <f>SUM(D67:D70)</f>
      </c>
      <c r="E71" s="392">
        <f>SUM(E67:E70)</f>
      </c>
      <c r="F71" s="392">
        <f>SUM(F67:F70)</f>
      </c>
      <c r="G71" s="392">
        <f>SUM(G67:G70)</f>
      </c>
      <c r="H71" s="393">
        <f t="shared" si="0"/>
      </c>
      <c r="I71" s="393">
        <f t="shared" si="20"/>
      </c>
      <c r="J71" s="393">
        <f t="shared" si="8"/>
      </c>
      <c r="K71" s="392">
        <f>SUM(K67:K70)</f>
      </c>
      <c r="L71" s="392">
        <f>SUM(L67:L70)</f>
      </c>
      <c r="M71" s="391"/>
      <c r="N71" s="392">
        <f>SUM(N67:N70)</f>
      </c>
      <c r="O71" s="391"/>
      <c r="P71" s="391">
        <f>SUM(P67:P70)</f>
      </c>
    </row>
    <row hidden="true" r="72">
      <c r="A72" s="384" t="s">
        <v>846</v>
      </c>
      <c r="B72" s="385" t="s">
        <v>847</v>
      </c>
      <c r="C72" s="386" t="s">
        <v>821</v>
      </c>
      <c r="D72" s="386">
        <v>4</v>
      </c>
      <c r="E72" s="386">
        <v>21</v>
      </c>
      <c r="F72" s="386">
        <v>13844.9</v>
      </c>
      <c r="G72" s="386">
        <v>12137.46</v>
      </c>
      <c r="H72" s="387">
        <f t="shared" si="0"/>
      </c>
      <c r="I72" s="387">
        <f t="shared" si="20"/>
      </c>
      <c r="J72" s="387">
        <f t="shared" si="8"/>
      </c>
      <c r="K72" s="386">
        <v>6</v>
      </c>
      <c r="L72" s="386">
        <v>2816.4</v>
      </c>
      <c r="M72" s="386" t="s">
        <v>815</v>
      </c>
      <c r="N72" s="386">
        <v>8</v>
      </c>
      <c r="O72" s="388" t="s">
        <v>823</v>
      </c>
      <c r="P72" s="386">
        <v>8</v>
      </c>
    </row>
    <row hidden="true" r="73">
      <c r="A73" s="384" t="s">
        <v>846</v>
      </c>
      <c r="B73" s="385" t="s">
        <v>794</v>
      </c>
      <c r="C73" s="386" t="s">
        <v>818</v>
      </c>
      <c r="D73" s="386">
        <v>4</v>
      </c>
      <c r="E73" s="386">
        <v>15</v>
      </c>
      <c r="F73" s="386">
        <v>8331.6</v>
      </c>
      <c r="G73" s="386">
        <v>10625.34</v>
      </c>
      <c r="H73" s="387">
        <f t="shared" si="0"/>
      </c>
      <c r="I73" s="387">
        <f t="shared" si="20"/>
      </c>
      <c r="J73" s="387">
        <f>G72/E73</f>
      </c>
      <c r="K73" s="386">
        <v>2</v>
      </c>
      <c r="L73" s="386">
        <v>826.8</v>
      </c>
      <c r="M73" s="388"/>
      <c r="N73" s="388"/>
      <c r="O73" s="396"/>
      <c r="P73" s="388"/>
    </row>
    <row hidden="true" r="74">
      <c r="A74" s="384" t="s">
        <v>846</v>
      </c>
      <c r="B74" s="385" t="s">
        <v>812</v>
      </c>
      <c r="C74" s="386" t="s">
        <v>841</v>
      </c>
      <c r="D74" s="386">
        <v>4</v>
      </c>
      <c r="E74" s="386">
        <v>18</v>
      </c>
      <c r="F74" s="386">
        <v>13687</v>
      </c>
      <c r="G74" s="386">
        <v>12020.15</v>
      </c>
      <c r="H74" s="387">
        <f t="shared" si="0"/>
      </c>
      <c r="I74" s="387">
        <f t="shared" si="20"/>
      </c>
      <c r="J74" s="387">
        <f t="shared" ref="J74:J77" si="9">G74/E74</f>
      </c>
      <c r="K74" s="386">
        <v>3</v>
      </c>
      <c r="L74" s="386">
        <v>4148.4</v>
      </c>
      <c r="M74" s="388"/>
      <c r="N74" s="388"/>
      <c r="O74" s="388"/>
      <c r="P74" s="388"/>
    </row>
    <row hidden="true" r="75">
      <c r="A75" s="384" t="s">
        <v>846</v>
      </c>
      <c r="B75" s="385" t="s">
        <v>800</v>
      </c>
      <c r="C75" s="386" t="s">
        <v>848</v>
      </c>
      <c r="D75" s="386">
        <v>4</v>
      </c>
      <c r="E75" s="386">
        <v>29</v>
      </c>
      <c r="F75" s="386">
        <v>22865.6</v>
      </c>
      <c r="G75" s="386">
        <v>11525.13</v>
      </c>
      <c r="H75" s="387">
        <f t="shared" si="0"/>
      </c>
      <c r="I75" s="387">
        <f t="shared" si="20"/>
      </c>
      <c r="J75" s="387">
        <f t="shared" si="9"/>
      </c>
      <c r="K75" s="386">
        <v>2</v>
      </c>
      <c r="L75" s="386">
        <v>549.6000000000004</v>
      </c>
      <c r="M75" s="386" t="s">
        <v>845</v>
      </c>
      <c r="N75" s="386">
        <v>8</v>
      </c>
      <c r="O75" s="386" t="s">
        <v>799</v>
      </c>
      <c r="P75" s="386">
        <v>8</v>
      </c>
    </row>
    <row r="76">
      <c r="A76" s="398" t="s">
        <v>846</v>
      </c>
      <c r="B76" s="391"/>
      <c r="C76" s="391"/>
      <c r="D76" s="392">
        <f>SUM(D72:D75)</f>
      </c>
      <c r="E76" s="392">
        <f>SUM(E72:E75)</f>
      </c>
      <c r="F76" s="392">
        <f>SUM(F72:F75)</f>
      </c>
      <c r="G76" s="392">
        <f>SUM(G72:G75)</f>
      </c>
      <c r="H76" s="393">
        <f t="shared" si="0"/>
      </c>
      <c r="I76" s="393">
        <f t="shared" si="20"/>
      </c>
      <c r="J76" s="393">
        <f t="shared" si="9"/>
      </c>
      <c r="K76" s="392">
        <f>SUM(K72:K75)</f>
      </c>
      <c r="L76" s="392">
        <f>SUM(L72:L75)</f>
      </c>
      <c r="M76" s="391"/>
      <c r="N76" s="392">
        <f>SUM(N72:N75)</f>
      </c>
      <c r="O76" s="391"/>
      <c r="P76" s="391">
        <f>SUM(P72:P75)</f>
      </c>
    </row>
    <row hidden="true" r="77">
      <c r="A77" s="384" t="s">
        <v>849</v>
      </c>
      <c r="B77" s="385" t="s">
        <v>812</v>
      </c>
      <c r="C77" s="386" t="s">
        <v>821</v>
      </c>
      <c r="D77" s="386">
        <v>4</v>
      </c>
      <c r="E77" s="386">
        <v>10</v>
      </c>
      <c r="F77" s="386">
        <v>5956.799999999999</v>
      </c>
      <c r="G77" s="386">
        <v>9977.96</v>
      </c>
      <c r="H77" s="387">
        <f t="shared" si="0"/>
      </c>
      <c r="I77" s="387">
        <f t="shared" si="20"/>
      </c>
      <c r="J77" s="387">
        <f t="shared" si="9"/>
      </c>
      <c r="K77" s="386">
        <v>1</v>
      </c>
      <c r="L77" s="386">
        <v>439.2</v>
      </c>
      <c r="M77" s="386" t="s">
        <v>835</v>
      </c>
      <c r="N77" s="386">
        <v>8</v>
      </c>
      <c r="O77" s="388" t="s">
        <v>823</v>
      </c>
      <c r="P77" s="386">
        <v>8</v>
      </c>
    </row>
    <row hidden="true" r="78">
      <c r="A78" s="384" t="s">
        <v>849</v>
      </c>
      <c r="B78" s="385" t="s">
        <v>794</v>
      </c>
      <c r="C78" s="386" t="s">
        <v>818</v>
      </c>
      <c r="D78" s="386">
        <v>4</v>
      </c>
      <c r="E78" s="386">
        <v>9</v>
      </c>
      <c r="F78" s="386">
        <v>5425.800000000001</v>
      </c>
      <c r="G78" s="386">
        <v>9144.839999999998</v>
      </c>
      <c r="H78" s="387">
        <f t="shared" si="0"/>
      </c>
      <c r="I78" s="387">
        <f t="shared" si="20"/>
      </c>
      <c r="J78" s="387">
        <f>G77/E78</f>
      </c>
      <c r="K78" s="386">
        <v>1</v>
      </c>
      <c r="L78" s="386">
        <v>298</v>
      </c>
      <c r="M78" s="388"/>
      <c r="N78" s="388"/>
      <c r="O78" s="396"/>
      <c r="P78" s="388"/>
    </row>
    <row hidden="true" r="79">
      <c r="A79" s="384" t="s">
        <v>849</v>
      </c>
      <c r="B79" s="385" t="s">
        <v>800</v>
      </c>
      <c r="C79" s="386" t="s">
        <v>801</v>
      </c>
      <c r="D79" s="386">
        <v>5</v>
      </c>
      <c r="E79" s="386">
        <v>20</v>
      </c>
      <c r="F79" s="386">
        <v>14046.800000000001</v>
      </c>
      <c r="G79" s="386">
        <v>11699.32</v>
      </c>
      <c r="H79" s="387">
        <f t="shared" si="0"/>
      </c>
      <c r="I79" s="387">
        <f t="shared" si="20"/>
      </c>
      <c r="J79" s="387">
        <f t="shared" ref="J79:J82" si="10">G79/E79</f>
      </c>
      <c r="K79" s="386">
        <v>8</v>
      </c>
      <c r="L79" s="386">
        <v>8799.800000000001</v>
      </c>
      <c r="M79" s="388"/>
      <c r="N79" s="388"/>
      <c r="O79" s="388"/>
      <c r="P79" s="388"/>
    </row>
    <row hidden="true" r="80">
      <c r="A80" s="384" t="s">
        <v>849</v>
      </c>
      <c r="B80" s="385" t="s">
        <v>797</v>
      </c>
      <c r="C80" s="386" t="s">
        <v>850</v>
      </c>
      <c r="D80" s="386">
        <v>3</v>
      </c>
      <c r="E80" s="386">
        <v>13</v>
      </c>
      <c r="F80" s="386">
        <v>8505.799999999996</v>
      </c>
      <c r="G80" s="386">
        <v>7869.1</v>
      </c>
      <c r="H80" s="387">
        <f t="shared" si="0"/>
      </c>
      <c r="I80" s="387">
        <f t="shared" si="20"/>
      </c>
      <c r="J80" s="387">
        <f t="shared" si="10"/>
      </c>
      <c r="K80" s="386">
        <v>2</v>
      </c>
      <c r="L80" s="386">
        <v>922.7999999999984</v>
      </c>
      <c r="M80" s="386" t="s">
        <v>845</v>
      </c>
      <c r="N80" s="386">
        <v>8</v>
      </c>
      <c r="O80" s="386" t="s">
        <v>799</v>
      </c>
      <c r="P80" s="386">
        <v>8</v>
      </c>
    </row>
    <row r="81">
      <c r="A81" s="398" t="s">
        <v>849</v>
      </c>
      <c r="B81" s="391"/>
      <c r="C81" s="391"/>
      <c r="D81" s="392">
        <f>SUM(D77:D80)</f>
      </c>
      <c r="E81" s="392">
        <f>SUM(E77:E80)</f>
      </c>
      <c r="F81" s="392">
        <f>SUM(F77:F80)</f>
      </c>
      <c r="G81" s="392">
        <f>SUM(G77:G80)</f>
      </c>
      <c r="H81" s="393">
        <f t="shared" si="0"/>
      </c>
      <c r="I81" s="393">
        <f t="shared" si="20"/>
      </c>
      <c r="J81" s="393">
        <f t="shared" si="10"/>
      </c>
      <c r="K81" s="392">
        <f>SUM(K77:K80)</f>
      </c>
      <c r="L81" s="392">
        <f>SUM(L77:L80)</f>
      </c>
      <c r="M81" s="391"/>
      <c r="N81" s="392">
        <f>SUM(N77:N80)</f>
      </c>
      <c r="O81" s="391"/>
      <c r="P81" s="391">
        <f>SUM(P77:P80)</f>
      </c>
    </row>
    <row hidden="true" r="82">
      <c r="A82" s="384" t="s">
        <v>851</v>
      </c>
      <c r="B82" s="385" t="s">
        <v>800</v>
      </c>
      <c r="C82" s="386" t="s">
        <v>821</v>
      </c>
      <c r="D82" s="386">
        <v>4</v>
      </c>
      <c r="E82" s="386">
        <v>15</v>
      </c>
      <c r="F82" s="386">
        <v>7224</v>
      </c>
      <c r="G82" s="386">
        <v>9107.27</v>
      </c>
      <c r="H82" s="387">
        <f t="shared" si="0"/>
      </c>
      <c r="I82" s="387">
        <f t="shared" si="20"/>
      </c>
      <c r="J82" s="387">
        <f t="shared" si="10"/>
      </c>
      <c r="K82" s="386">
        <v>2</v>
      </c>
      <c r="L82" s="386">
        <v>788.6</v>
      </c>
      <c r="M82" s="386" t="s">
        <v>835</v>
      </c>
      <c r="N82" s="386">
        <v>8</v>
      </c>
      <c r="O82" s="388" t="s">
        <v>823</v>
      </c>
      <c r="P82" s="386">
        <v>8</v>
      </c>
    </row>
    <row hidden="true" r="83">
      <c r="A83" s="384" t="s">
        <v>851</v>
      </c>
      <c r="B83" s="385" t="s">
        <v>812</v>
      </c>
      <c r="C83" s="386" t="s">
        <v>818</v>
      </c>
      <c r="D83" s="386">
        <v>4</v>
      </c>
      <c r="E83" s="386">
        <v>11</v>
      </c>
      <c r="F83" s="386">
        <v>10596.599999999999</v>
      </c>
      <c r="G83" s="386">
        <v>10361.580000000002</v>
      </c>
      <c r="H83" s="387">
        <f t="shared" si="0"/>
      </c>
      <c r="I83" s="387">
        <f t="shared" si="20"/>
      </c>
      <c r="J83" s="387">
        <f>G82/E83</f>
      </c>
      <c r="K83" s="386">
        <v>2</v>
      </c>
      <c r="L83" s="386">
        <v>994.9999999999999</v>
      </c>
      <c r="M83" s="388"/>
      <c r="N83" s="388"/>
      <c r="O83" s="396"/>
      <c r="P83" s="388"/>
    </row>
    <row hidden="true" r="84">
      <c r="A84" s="384" t="s">
        <v>851</v>
      </c>
      <c r="B84" s="385" t="s">
        <v>794</v>
      </c>
      <c r="C84" s="386" t="s">
        <v>841</v>
      </c>
      <c r="D84" s="386">
        <v>4</v>
      </c>
      <c r="E84" s="386">
        <v>9</v>
      </c>
      <c r="F84" s="386">
        <v>7896.800000000003</v>
      </c>
      <c r="G84" s="386">
        <v>8628.17</v>
      </c>
      <c r="H84" s="387">
        <f t="shared" si="0"/>
      </c>
      <c r="I84" s="387">
        <f t="shared" si="20"/>
      </c>
      <c r="J84" s="387">
        <f t="shared" ref="J84:J87" si="11">G84/E84</f>
      </c>
      <c r="K84" s="386">
        <v>2</v>
      </c>
      <c r="L84" s="386">
        <v>1262.4</v>
      </c>
      <c r="M84" s="388"/>
      <c r="N84" s="388"/>
      <c r="O84" s="388"/>
      <c r="P84" s="388"/>
    </row>
    <row hidden="true" r="85">
      <c r="A85" s="384" t="s">
        <v>851</v>
      </c>
      <c r="B85" s="385" t="s">
        <v>802</v>
      </c>
      <c r="C85" s="386" t="s">
        <v>848</v>
      </c>
      <c r="D85" s="386">
        <v>4</v>
      </c>
      <c r="E85" s="386">
        <v>13</v>
      </c>
      <c r="F85" s="386">
        <v>7369.5999999999985</v>
      </c>
      <c r="G85" s="386">
        <v>10684.71</v>
      </c>
      <c r="H85" s="387">
        <f t="shared" si="0"/>
      </c>
      <c r="I85" s="387">
        <f t="shared" si="20"/>
      </c>
      <c r="J85" s="387">
        <f t="shared" si="11"/>
      </c>
      <c r="K85" s="386">
        <v>1</v>
      </c>
      <c r="L85" s="386">
        <v>757.1999999999998</v>
      </c>
      <c r="M85" s="386" t="s">
        <v>852</v>
      </c>
      <c r="N85" s="386">
        <v>8</v>
      </c>
      <c r="O85" s="386" t="s">
        <v>799</v>
      </c>
      <c r="P85" s="386">
        <v>8</v>
      </c>
    </row>
    <row r="86">
      <c r="A86" s="398" t="s">
        <v>851</v>
      </c>
      <c r="B86" s="391"/>
      <c r="C86" s="391"/>
      <c r="D86" s="392">
        <f>SUM(D82:D85)</f>
      </c>
      <c r="E86" s="392">
        <f>SUM(E82:E85)</f>
      </c>
      <c r="F86" s="392">
        <f>SUM(F82:F85)</f>
      </c>
      <c r="G86" s="392">
        <f>SUM(G82:G85)</f>
      </c>
      <c r="H86" s="393">
        <f t="shared" si="0"/>
      </c>
      <c r="I86" s="393">
        <f t="shared" si="20"/>
      </c>
      <c r="J86" s="393">
        <f t="shared" si="11"/>
      </c>
      <c r="K86" s="392">
        <f>SUM(K82:K85)</f>
      </c>
      <c r="L86" s="392">
        <f>SUM(L82:L85)</f>
      </c>
      <c r="M86" s="391"/>
      <c r="N86" s="392">
        <f>SUM(N82:N85)</f>
      </c>
      <c r="O86" s="391"/>
      <c r="P86" s="391">
        <f>SUM(P82:P85)</f>
      </c>
    </row>
    <row hidden="true" r="87">
      <c r="A87" s="384" t="s">
        <v>853</v>
      </c>
      <c r="B87" s="385" t="s">
        <v>812</v>
      </c>
      <c r="C87" s="386" t="s">
        <v>821</v>
      </c>
      <c r="D87" s="386">
        <v>4</v>
      </c>
      <c r="E87" s="386">
        <v>18</v>
      </c>
      <c r="F87" s="386">
        <v>9614.3</v>
      </c>
      <c r="G87" s="386">
        <v>12927.34</v>
      </c>
      <c r="H87" s="387">
        <f t="shared" si="0"/>
      </c>
      <c r="I87" s="387">
        <f t="shared" si="20"/>
      </c>
      <c r="J87" s="387">
        <f t="shared" si="11"/>
      </c>
      <c r="K87" s="386">
        <v>3</v>
      </c>
      <c r="L87" s="386">
        <v>1761.6</v>
      </c>
      <c r="M87" s="386" t="s">
        <v>835</v>
      </c>
      <c r="N87" s="386">
        <v>8</v>
      </c>
      <c r="O87" s="388" t="s">
        <v>823</v>
      </c>
      <c r="P87" s="386">
        <v>8</v>
      </c>
    </row>
    <row hidden="true" r="88">
      <c r="A88" s="384" t="s">
        <v>853</v>
      </c>
      <c r="B88" s="385" t="s">
        <v>794</v>
      </c>
      <c r="C88" s="386" t="s">
        <v>818</v>
      </c>
      <c r="D88" s="386">
        <v>4</v>
      </c>
      <c r="E88" s="386">
        <v>6</v>
      </c>
      <c r="F88" s="386">
        <v>5203.6</v>
      </c>
      <c r="G88" s="386">
        <v>10227.9</v>
      </c>
      <c r="H88" s="387">
        <f t="shared" si="0"/>
      </c>
      <c r="I88" s="387">
        <f t="shared" si="20"/>
      </c>
      <c r="J88" s="387">
        <f>G87/E88</f>
      </c>
      <c r="K88" s="386">
        <v>0</v>
      </c>
      <c r="L88" s="386">
        <v>0</v>
      </c>
      <c r="M88" s="388"/>
      <c r="N88" s="388"/>
      <c r="O88" s="396"/>
      <c r="P88" s="388"/>
    </row>
    <row hidden="true" r="89">
      <c r="A89" s="384" t="s">
        <v>853</v>
      </c>
      <c r="B89" s="385" t="s">
        <v>802</v>
      </c>
      <c r="C89" s="386" t="s">
        <v>841</v>
      </c>
      <c r="D89" s="386">
        <v>4</v>
      </c>
      <c r="E89" s="386">
        <v>8</v>
      </c>
      <c r="F89" s="386">
        <v>7363.199999999999</v>
      </c>
      <c r="G89" s="386">
        <v>7945.4400000000005</v>
      </c>
      <c r="H89" s="387">
        <f t="shared" si="0"/>
      </c>
      <c r="I89" s="387">
        <f t="shared" si="20"/>
      </c>
      <c r="J89" s="387">
        <f t="shared" ref="J89:J92" si="12">G89/E89</f>
      </c>
      <c r="K89" s="386">
        <v>0</v>
      </c>
      <c r="L89" s="386">
        <v>0</v>
      </c>
      <c r="M89" s="388"/>
      <c r="N89" s="388"/>
      <c r="O89" s="388"/>
      <c r="P89" s="388"/>
    </row>
    <row hidden="true" r="90">
      <c r="A90" s="384" t="s">
        <v>853</v>
      </c>
      <c r="B90" s="385" t="s">
        <v>797</v>
      </c>
      <c r="C90" s="386" t="s">
        <v>848</v>
      </c>
      <c r="D90" s="386">
        <v>4</v>
      </c>
      <c r="E90" s="386">
        <v>18</v>
      </c>
      <c r="F90" s="386">
        <v>10794</v>
      </c>
      <c r="G90" s="386">
        <v>9623.91</v>
      </c>
      <c r="H90" s="387">
        <f t="shared" si="0"/>
      </c>
      <c r="I90" s="387">
        <f t="shared" si="20"/>
      </c>
      <c r="J90" s="387">
        <f t="shared" si="12"/>
      </c>
      <c r="K90" s="386">
        <v>3</v>
      </c>
      <c r="L90" s="386">
        <v>1702.8000000000002</v>
      </c>
      <c r="M90" s="386" t="s">
        <v>852</v>
      </c>
      <c r="N90" s="386">
        <v>8</v>
      </c>
      <c r="O90" s="386" t="s">
        <v>799</v>
      </c>
      <c r="P90" s="386">
        <v>8</v>
      </c>
    </row>
    <row r="91">
      <c r="A91" s="398" t="s">
        <v>853</v>
      </c>
      <c r="B91" s="391"/>
      <c r="C91" s="391"/>
      <c r="D91" s="392">
        <f>SUM(D87:D90)</f>
      </c>
      <c r="E91" s="392">
        <f>SUM(E87:E90)</f>
      </c>
      <c r="F91" s="392">
        <f>SUM(F87:F90)</f>
      </c>
      <c r="G91" s="392">
        <f>SUM(G87:G90)</f>
      </c>
      <c r="H91" s="393">
        <f t="shared" si="0"/>
      </c>
      <c r="I91" s="393">
        <f t="shared" si="20"/>
      </c>
      <c r="J91" s="393">
        <f t="shared" si="12"/>
      </c>
      <c r="K91" s="392">
        <f>SUM(K87:K90)</f>
      </c>
      <c r="L91" s="392">
        <f>SUM(L87:L90)</f>
      </c>
      <c r="M91" s="391"/>
      <c r="N91" s="392">
        <f>SUM(N87:N90)</f>
      </c>
      <c r="O91" s="391"/>
      <c r="P91" s="391">
        <f>SUM(P87:P90)</f>
      </c>
    </row>
    <row hidden="true" r="92">
      <c r="A92" s="384" t="s">
        <v>854</v>
      </c>
      <c r="B92" s="385" t="s">
        <v>794</v>
      </c>
      <c r="C92" s="386" t="s">
        <v>821</v>
      </c>
      <c r="D92" s="386">
        <v>4</v>
      </c>
      <c r="E92" s="386">
        <v>20</v>
      </c>
      <c r="F92" s="386">
        <v>9982.8</v>
      </c>
      <c r="G92" s="386">
        <v>9634.720000000001</v>
      </c>
      <c r="H92" s="387">
        <f t="shared" si="0"/>
      </c>
      <c r="I92" s="387">
        <f t="shared" si="20"/>
      </c>
      <c r="J92" s="387">
        <f t="shared" si="12"/>
      </c>
      <c r="K92" s="386">
        <v>6</v>
      </c>
      <c r="L92" s="386">
        <v>2013.6</v>
      </c>
      <c r="M92" s="386" t="s">
        <v>835</v>
      </c>
      <c r="N92" s="386">
        <v>8</v>
      </c>
      <c r="O92" s="388" t="s">
        <v>823</v>
      </c>
      <c r="P92" s="386">
        <v>8</v>
      </c>
    </row>
    <row hidden="true" r="93">
      <c r="A93" s="384" t="s">
        <v>854</v>
      </c>
      <c r="B93" s="385" t="s">
        <v>802</v>
      </c>
      <c r="C93" s="386" t="s">
        <v>818</v>
      </c>
      <c r="D93" s="386">
        <v>4</v>
      </c>
      <c r="E93" s="386">
        <v>12</v>
      </c>
      <c r="F93" s="386">
        <v>5494.200000000001</v>
      </c>
      <c r="G93" s="386">
        <v>9569.87</v>
      </c>
      <c r="H93" s="387">
        <f t="shared" si="0"/>
      </c>
      <c r="I93" s="387">
        <f t="shared" si="20"/>
      </c>
      <c r="J93" s="387">
        <f>G92/E93</f>
      </c>
      <c r="K93" s="386">
        <v>1</v>
      </c>
      <c r="L93" s="386">
        <v>686.4000000000001</v>
      </c>
      <c r="M93" s="388"/>
      <c r="N93" s="388"/>
      <c r="O93" s="396"/>
      <c r="P93" s="388"/>
    </row>
    <row hidden="true" r="94">
      <c r="A94" s="384" t="s">
        <v>854</v>
      </c>
      <c r="B94" s="385" t="s">
        <v>812</v>
      </c>
      <c r="C94" s="386" t="s">
        <v>841</v>
      </c>
      <c r="D94" s="386">
        <v>4</v>
      </c>
      <c r="E94" s="386">
        <v>12</v>
      </c>
      <c r="F94" s="386">
        <v>6247</v>
      </c>
      <c r="G94" s="386">
        <v>11051.43</v>
      </c>
      <c r="H94" s="387">
        <f t="shared" si="0"/>
      </c>
      <c r="I94" s="387">
        <f t="shared" si="20"/>
      </c>
      <c r="J94" s="387">
        <f t="shared" ref="J94:J97" si="13">G94/E94</f>
      </c>
      <c r="K94" s="386">
        <v>3</v>
      </c>
      <c r="L94" s="386">
        <v>1574.3999999999996</v>
      </c>
      <c r="M94" s="388"/>
      <c r="N94" s="388"/>
      <c r="O94" s="388"/>
      <c r="P94" s="388"/>
    </row>
    <row hidden="true" r="95">
      <c r="A95" s="384" t="s">
        <v>854</v>
      </c>
      <c r="B95" s="385" t="s">
        <v>797</v>
      </c>
      <c r="C95" s="386" t="s">
        <v>848</v>
      </c>
      <c r="D95" s="386">
        <v>4</v>
      </c>
      <c r="E95" s="386">
        <v>17</v>
      </c>
      <c r="F95" s="386">
        <v>8862.400000000001</v>
      </c>
      <c r="G95" s="386">
        <v>9203.2</v>
      </c>
      <c r="H95" s="387">
        <f t="shared" si="0"/>
      </c>
      <c r="I95" s="387">
        <f t="shared" si="20"/>
      </c>
      <c r="J95" s="387">
        <f t="shared" si="13"/>
      </c>
      <c r="K95" s="386">
        <v>10</v>
      </c>
      <c r="L95" s="386">
        <v>5406.4</v>
      </c>
      <c r="M95" s="386" t="s">
        <v>852</v>
      </c>
      <c r="N95" s="386">
        <v>8</v>
      </c>
      <c r="O95" s="386" t="s">
        <v>799</v>
      </c>
      <c r="P95" s="386">
        <v>8</v>
      </c>
    </row>
    <row r="96">
      <c r="A96" s="398" t="s">
        <v>854</v>
      </c>
      <c r="B96" s="391"/>
      <c r="C96" s="391"/>
      <c r="D96" s="392">
        <f>SUM(D92:D95)</f>
      </c>
      <c r="E96" s="392">
        <f>SUM(E92:E95)</f>
      </c>
      <c r="F96" s="392">
        <f>SUM(F92:F95)</f>
      </c>
      <c r="G96" s="392">
        <f>SUM(G92:G95)</f>
      </c>
      <c r="H96" s="393">
        <f t="shared" si="0"/>
      </c>
      <c r="I96" s="393">
        <f t="shared" si="20"/>
      </c>
      <c r="J96" s="393">
        <f t="shared" si="13"/>
      </c>
      <c r="K96" s="392">
        <f>SUM(K92:K95)</f>
      </c>
      <c r="L96" s="392">
        <f>SUM(L92:L95)</f>
      </c>
      <c r="M96" s="391"/>
      <c r="N96" s="392">
        <f>SUM(N92:N95)</f>
      </c>
      <c r="O96" s="391"/>
      <c r="P96" s="391">
        <f>SUM(P92:P95)</f>
      </c>
    </row>
    <row hidden="true" r="97">
      <c r="A97" s="384" t="s">
        <v>855</v>
      </c>
      <c r="B97" s="385" t="s">
        <v>812</v>
      </c>
      <c r="C97" s="386" t="s">
        <v>821</v>
      </c>
      <c r="D97" s="386">
        <v>4</v>
      </c>
      <c r="E97" s="386">
        <v>9</v>
      </c>
      <c r="F97" s="386">
        <v>3843.8</v>
      </c>
      <c r="G97" s="386">
        <v>9738.130000000001</v>
      </c>
      <c r="H97" s="387">
        <f t="shared" si="0"/>
      </c>
      <c r="I97" s="387">
        <f t="shared" si="20"/>
      </c>
      <c r="J97" s="387">
        <f t="shared" si="13"/>
      </c>
      <c r="K97" s="386">
        <v>2</v>
      </c>
      <c r="L97" s="386">
        <v>945.6</v>
      </c>
      <c r="M97" s="386" t="s">
        <v>835</v>
      </c>
      <c r="N97" s="386">
        <v>8</v>
      </c>
      <c r="O97" s="388" t="s">
        <v>823</v>
      </c>
      <c r="P97" s="386">
        <v>8</v>
      </c>
    </row>
    <row hidden="true" r="98">
      <c r="A98" s="384" t="s">
        <v>855</v>
      </c>
      <c r="B98" s="385" t="s">
        <v>802</v>
      </c>
      <c r="C98" s="386" t="s">
        <v>818</v>
      </c>
      <c r="D98" s="386">
        <v>4</v>
      </c>
      <c r="E98" s="386">
        <v>11</v>
      </c>
      <c r="F98" s="386">
        <v>4568.599999999999</v>
      </c>
      <c r="G98" s="386">
        <v>6385.21</v>
      </c>
      <c r="H98" s="387">
        <f t="shared" si="0"/>
      </c>
      <c r="I98" s="387">
        <f t="shared" si="20"/>
      </c>
      <c r="J98" s="387">
        <f>G97/E98</f>
      </c>
      <c r="K98" s="386">
        <v>1</v>
      </c>
      <c r="L98" s="386">
        <v>208.8</v>
      </c>
      <c r="M98" s="388"/>
      <c r="N98" s="388"/>
      <c r="O98" s="396"/>
      <c r="P98" s="388"/>
    </row>
    <row hidden="true" r="99">
      <c r="A99" s="384" t="s">
        <v>855</v>
      </c>
      <c r="B99" s="385" t="s">
        <v>794</v>
      </c>
      <c r="C99" s="386" t="s">
        <v>841</v>
      </c>
      <c r="D99" s="386">
        <v>4</v>
      </c>
      <c r="E99" s="386">
        <v>10</v>
      </c>
      <c r="F99" s="386">
        <v>4573.800000000001</v>
      </c>
      <c r="G99" s="386">
        <v>10004.25</v>
      </c>
      <c r="H99" s="387">
        <f t="shared" si="0"/>
      </c>
      <c r="I99" s="387">
        <f t="shared" si="20"/>
      </c>
      <c r="J99" s="387">
        <f t="shared" ref="J99:J102" si="14">G99/E99</f>
      </c>
      <c r="K99" s="386">
        <v>1</v>
      </c>
      <c r="L99" s="386">
        <v>612</v>
      </c>
      <c r="M99" s="388"/>
      <c r="N99" s="388"/>
      <c r="O99" s="388"/>
      <c r="P99" s="388"/>
    </row>
    <row hidden="true" r="100">
      <c r="A100" s="384" t="s">
        <v>855</v>
      </c>
      <c r="B100" s="385" t="s">
        <v>800</v>
      </c>
      <c r="C100" s="386" t="s">
        <v>856</v>
      </c>
      <c r="D100" s="386">
        <v>2</v>
      </c>
      <c r="E100" s="386">
        <v>4</v>
      </c>
      <c r="F100" s="386">
        <v>2905.199999999999</v>
      </c>
      <c r="G100" s="386">
        <v>3810.2799999999997</v>
      </c>
      <c r="H100" s="387">
        <f t="shared" si="0"/>
      </c>
      <c r="I100" s="387">
        <f t="shared" si="20"/>
      </c>
      <c r="J100" s="387">
        <f t="shared" si="14"/>
      </c>
      <c r="K100" s="386">
        <v>0</v>
      </c>
      <c r="L100" s="386">
        <v>0</v>
      </c>
      <c r="M100" s="386" t="s">
        <v>852</v>
      </c>
      <c r="N100" s="386">
        <v>6</v>
      </c>
      <c r="O100" s="386" t="s">
        <v>799</v>
      </c>
      <c r="P100" s="386">
        <v>6</v>
      </c>
    </row>
    <row r="101">
      <c r="A101" s="398" t="s">
        <v>855</v>
      </c>
      <c r="B101" s="391"/>
      <c r="C101" s="391"/>
      <c r="D101" s="392">
        <f>SUM(D97:D100)</f>
      </c>
      <c r="E101" s="392">
        <f>SUM(E97:E100)</f>
      </c>
      <c r="F101" s="392">
        <f>SUM(F97:F100)</f>
      </c>
      <c r="G101" s="392">
        <f>SUM(G97:G100)</f>
      </c>
      <c r="H101" s="393">
        <f t="shared" si="0"/>
      </c>
      <c r="I101" s="393">
        <f t="shared" si="20"/>
      </c>
      <c r="J101" s="393">
        <f t="shared" si="14"/>
      </c>
      <c r="K101" s="392">
        <f>SUM(K97:K100)</f>
      </c>
      <c r="L101" s="392">
        <f>SUM(L97:L100)</f>
      </c>
      <c r="M101" s="391"/>
      <c r="N101" s="392">
        <f>SUM(N97:N100)</f>
      </c>
      <c r="O101" s="391"/>
      <c r="P101" s="391">
        <f>SUM(P97:P100)</f>
      </c>
    </row>
    <row hidden="true" r="102">
      <c r="A102" s="384" t="s">
        <v>857</v>
      </c>
      <c r="B102" s="385" t="s">
        <v>812</v>
      </c>
      <c r="C102" s="386" t="s">
        <v>821</v>
      </c>
      <c r="D102" s="386">
        <v>4</v>
      </c>
      <c r="E102" s="386">
        <v>6</v>
      </c>
      <c r="F102" s="386">
        <v>4488</v>
      </c>
      <c r="G102" s="386">
        <v>8370.52</v>
      </c>
      <c r="H102" s="387">
        <f t="shared" si="0"/>
      </c>
      <c r="I102" s="387">
        <f t="shared" si="20"/>
      </c>
      <c r="J102" s="387">
        <f t="shared" si="14"/>
      </c>
      <c r="K102" s="386">
        <v>1</v>
      </c>
      <c r="L102" s="386">
        <v>558</v>
      </c>
      <c r="M102" s="386" t="s">
        <v>835</v>
      </c>
      <c r="N102" s="386">
        <v>8</v>
      </c>
      <c r="O102" s="388" t="s">
        <v>823</v>
      </c>
      <c r="P102" s="386">
        <v>8</v>
      </c>
    </row>
    <row hidden="true" r="103">
      <c r="A103" s="384" t="s">
        <v>857</v>
      </c>
      <c r="B103" s="385" t="s">
        <v>802</v>
      </c>
      <c r="C103" s="386" t="s">
        <v>818</v>
      </c>
      <c r="D103" s="386">
        <v>4</v>
      </c>
      <c r="E103" s="386">
        <v>4</v>
      </c>
      <c r="F103" s="386">
        <v>1839.1999999999998</v>
      </c>
      <c r="G103" s="386">
        <v>7457.04</v>
      </c>
      <c r="H103" s="387">
        <f t="shared" si="0"/>
      </c>
      <c r="I103" s="387">
        <f t="shared" si="20"/>
      </c>
      <c r="J103" s="387">
        <f>G102/E103</f>
      </c>
      <c r="K103" s="386">
        <v>0</v>
      </c>
      <c r="L103" s="386">
        <v>0</v>
      </c>
      <c r="M103" s="388"/>
      <c r="N103" s="388"/>
      <c r="O103" s="396"/>
      <c r="P103" s="388"/>
    </row>
    <row hidden="true" r="104">
      <c r="A104" s="384" t="s">
        <v>857</v>
      </c>
      <c r="B104" s="385" t="s">
        <v>794</v>
      </c>
      <c r="C104" s="386" t="s">
        <v>841</v>
      </c>
      <c r="D104" s="386">
        <v>4</v>
      </c>
      <c r="E104" s="386">
        <v>12</v>
      </c>
      <c r="F104" s="386">
        <v>7870.400000000001</v>
      </c>
      <c r="G104" s="386">
        <v>7845.4</v>
      </c>
      <c r="H104" s="387">
        <f t="shared" si="0"/>
      </c>
      <c r="I104" s="387">
        <f t="shared" si="20"/>
      </c>
      <c r="J104" s="387">
        <f t="shared" ref="J104:J107" si="15">G104/E104</f>
      </c>
      <c r="K104" s="386">
        <v>5</v>
      </c>
      <c r="L104" s="386">
        <v>1903.1999999999998</v>
      </c>
      <c r="M104" s="388"/>
      <c r="N104" s="388"/>
      <c r="O104" s="388"/>
      <c r="P104" s="388"/>
    </row>
    <row hidden="true" r="105">
      <c r="A105" s="384" t="s">
        <v>857</v>
      </c>
      <c r="B105" s="385" t="s">
        <v>797</v>
      </c>
      <c r="C105" s="386" t="s">
        <v>848</v>
      </c>
      <c r="D105" s="386">
        <v>4</v>
      </c>
      <c r="E105" s="386">
        <v>13</v>
      </c>
      <c r="F105" s="386">
        <v>9622.4</v>
      </c>
      <c r="G105" s="386">
        <v>9978.16</v>
      </c>
      <c r="H105" s="387">
        <f t="shared" si="0"/>
      </c>
      <c r="I105" s="387">
        <f t="shared" si="20"/>
      </c>
      <c r="J105" s="387">
        <f t="shared" si="15"/>
      </c>
      <c r="K105" s="386">
        <v>3</v>
      </c>
      <c r="L105" s="386">
        <v>2411.4000000000005</v>
      </c>
      <c r="M105" s="386" t="s">
        <v>852</v>
      </c>
      <c r="N105" s="386">
        <v>8</v>
      </c>
      <c r="O105" s="386" t="s">
        <v>799</v>
      </c>
      <c r="P105" s="386">
        <v>8</v>
      </c>
    </row>
    <row r="106">
      <c r="A106" s="398" t="s">
        <v>857</v>
      </c>
      <c r="B106" s="391"/>
      <c r="C106" s="391"/>
      <c r="D106" s="392">
        <f>SUM(D102:D105)</f>
      </c>
      <c r="E106" s="392">
        <f>SUM(E102:E105)</f>
      </c>
      <c r="F106" s="392">
        <f>SUM(F102:F105)</f>
      </c>
      <c r="G106" s="392">
        <f>SUM(G102:G105)</f>
      </c>
      <c r="H106" s="393">
        <f t="shared" si="0"/>
      </c>
      <c r="I106" s="393">
        <f t="shared" si="20"/>
      </c>
      <c r="J106" s="393">
        <f t="shared" si="15"/>
      </c>
      <c r="K106" s="392">
        <f>SUM(K102:K105)</f>
      </c>
      <c r="L106" s="392">
        <f>SUM(L102:L105)</f>
      </c>
      <c r="M106" s="391"/>
      <c r="N106" s="392">
        <f>SUM(N102:N105)</f>
      </c>
      <c r="O106" s="391"/>
      <c r="P106" s="391">
        <f>SUM(P102:P105)</f>
      </c>
    </row>
    <row hidden="true" r="107">
      <c r="A107" s="384" t="s">
        <v>858</v>
      </c>
      <c r="B107" s="385" t="s">
        <v>794</v>
      </c>
      <c r="C107" s="386" t="s">
        <v>821</v>
      </c>
      <c r="D107" s="386">
        <v>4</v>
      </c>
      <c r="E107" s="386">
        <v>39</v>
      </c>
      <c r="F107" s="386">
        <v>27337.2</v>
      </c>
      <c r="G107" s="386">
        <v>17285.89</v>
      </c>
      <c r="H107" s="387">
        <f t="shared" si="0"/>
      </c>
      <c r="I107" s="387">
        <f t="shared" si="20"/>
      </c>
      <c r="J107" s="387">
        <f t="shared" si="15"/>
      </c>
      <c r="K107" s="386">
        <v>4</v>
      </c>
      <c r="L107" s="386">
        <v>6001.199999999999</v>
      </c>
      <c r="M107" s="386" t="s">
        <v>835</v>
      </c>
      <c r="N107" s="386">
        <v>8</v>
      </c>
      <c r="O107" s="388" t="s">
        <v>823</v>
      </c>
      <c r="P107" s="386">
        <v>8</v>
      </c>
    </row>
    <row hidden="true" r="108">
      <c r="A108" s="384" t="s">
        <v>858</v>
      </c>
      <c r="B108" s="385" t="s">
        <v>800</v>
      </c>
      <c r="C108" s="386" t="s">
        <v>818</v>
      </c>
      <c r="D108" s="386">
        <v>4</v>
      </c>
      <c r="E108" s="386">
        <v>34</v>
      </c>
      <c r="F108" s="386">
        <v>15381.2</v>
      </c>
      <c r="G108" s="386">
        <v>18895.86</v>
      </c>
      <c r="H108" s="387">
        <f t="shared" si="0"/>
      </c>
      <c r="I108" s="387">
        <f t="shared" si="20"/>
      </c>
      <c r="J108" s="387">
        <f>G107/E108</f>
      </c>
      <c r="K108" s="386">
        <v>5</v>
      </c>
      <c r="L108" s="386">
        <v>1512.000000000001</v>
      </c>
      <c r="M108" s="388"/>
      <c r="N108" s="388"/>
      <c r="O108" s="396"/>
      <c r="P108" s="388"/>
    </row>
    <row hidden="true" r="109">
      <c r="A109" s="384" t="s">
        <v>858</v>
      </c>
      <c r="B109" s="385" t="s">
        <v>802</v>
      </c>
      <c r="C109" s="386" t="s">
        <v>841</v>
      </c>
      <c r="D109" s="386">
        <v>4</v>
      </c>
      <c r="E109" s="386">
        <v>39</v>
      </c>
      <c r="F109" s="386">
        <v>19881.199999999997</v>
      </c>
      <c r="G109" s="386">
        <v>16654.399999999998</v>
      </c>
      <c r="H109" s="387">
        <f t="shared" si="0"/>
      </c>
      <c r="I109" s="387">
        <f t="shared" si="20"/>
      </c>
      <c r="J109" s="387">
        <f t="shared" ref="J109:J112" si="16">G109/E109</f>
      </c>
      <c r="K109" s="386">
        <v>7</v>
      </c>
      <c r="L109" s="386">
        <v>2667.5999999999985</v>
      </c>
      <c r="M109" s="388"/>
      <c r="N109" s="388"/>
      <c r="O109" s="388"/>
      <c r="P109" s="388"/>
    </row>
    <row hidden="true" r="110">
      <c r="A110" s="384" t="s">
        <v>858</v>
      </c>
      <c r="B110" s="385" t="s">
        <v>797</v>
      </c>
      <c r="C110" s="386" t="s">
        <v>848</v>
      </c>
      <c r="D110" s="386">
        <v>4</v>
      </c>
      <c r="E110" s="386">
        <v>13</v>
      </c>
      <c r="F110" s="386">
        <v>12203.400000000009</v>
      </c>
      <c r="G110" s="386">
        <v>12919.48</v>
      </c>
      <c r="H110" s="387">
        <f t="shared" si="0"/>
      </c>
      <c r="I110" s="387">
        <f t="shared" si="20"/>
      </c>
      <c r="J110" s="387">
        <f t="shared" si="16"/>
      </c>
      <c r="K110" s="386">
        <v>1</v>
      </c>
      <c r="L110" s="386">
        <v>1779.6000000000004</v>
      </c>
      <c r="M110" s="386" t="s">
        <v>852</v>
      </c>
      <c r="N110" s="386">
        <v>8</v>
      </c>
      <c r="O110" s="386" t="s">
        <v>799</v>
      </c>
      <c r="P110" s="386">
        <v>8</v>
      </c>
    </row>
    <row r="111">
      <c r="A111" s="398" t="s">
        <v>858</v>
      </c>
      <c r="B111" s="391"/>
      <c r="C111" s="391"/>
      <c r="D111" s="392">
        <f>SUM(D107:D110)</f>
      </c>
      <c r="E111" s="392">
        <f>SUM(E107:E110)</f>
      </c>
      <c r="F111" s="392">
        <f>SUM(F107:F110)</f>
      </c>
      <c r="G111" s="392">
        <f>SUM(G107:G110)</f>
      </c>
      <c r="H111" s="393">
        <f t="shared" si="0"/>
      </c>
      <c r="I111" s="393">
        <f t="shared" si="20"/>
      </c>
      <c r="J111" s="393">
        <f t="shared" si="16"/>
      </c>
      <c r="K111" s="392">
        <f>SUM(K107:K110)</f>
      </c>
      <c r="L111" s="392">
        <f>SUM(L107:L110)</f>
      </c>
      <c r="M111" s="391"/>
      <c r="N111" s="392">
        <f>SUM(N107:N110)</f>
      </c>
      <c r="O111" s="391"/>
      <c r="P111" s="391">
        <f>SUM(P107:P110)</f>
      </c>
    </row>
    <row hidden="true" r="112">
      <c r="A112" s="384" t="s">
        <v>859</v>
      </c>
      <c r="B112" s="385" t="s">
        <v>794</v>
      </c>
      <c r="C112" s="386" t="s">
        <v>821</v>
      </c>
      <c r="D112" s="386">
        <v>4</v>
      </c>
      <c r="E112" s="386">
        <v>28</v>
      </c>
      <c r="F112" s="386">
        <v>22561</v>
      </c>
      <c r="G112" s="386">
        <v>16304.91</v>
      </c>
      <c r="H112" s="387">
        <f t="shared" si="0"/>
      </c>
      <c r="I112" s="387">
        <f t="shared" si="20"/>
      </c>
      <c r="J112" s="387">
        <f t="shared" si="16"/>
      </c>
      <c r="K112" s="386">
        <v>6</v>
      </c>
      <c r="L112" s="386">
        <v>5889.6</v>
      </c>
      <c r="M112" s="386" t="s">
        <v>835</v>
      </c>
      <c r="N112" s="386">
        <v>8</v>
      </c>
      <c r="O112" s="388" t="s">
        <v>823</v>
      </c>
      <c r="P112" s="386">
        <v>8</v>
      </c>
    </row>
    <row hidden="true" r="113">
      <c r="A113" s="384" t="s">
        <v>859</v>
      </c>
      <c r="B113" s="385" t="s">
        <v>802</v>
      </c>
      <c r="C113" s="386" t="s">
        <v>818</v>
      </c>
      <c r="D113" s="386">
        <v>4</v>
      </c>
      <c r="E113" s="386">
        <v>30</v>
      </c>
      <c r="F113" s="386">
        <v>13867.199999999997</v>
      </c>
      <c r="G113" s="386">
        <v>13463.25</v>
      </c>
      <c r="H113" s="387">
        <f t="shared" si="0"/>
      </c>
      <c r="I113" s="387">
        <f t="shared" si="20"/>
      </c>
      <c r="J113" s="387">
        <f>G112/E113</f>
      </c>
      <c r="K113" s="386">
        <v>4</v>
      </c>
      <c r="L113" s="386">
        <v>2184</v>
      </c>
      <c r="M113" s="388"/>
      <c r="N113" s="388"/>
      <c r="O113" s="396"/>
      <c r="P113" s="388"/>
    </row>
    <row hidden="true" r="114">
      <c r="A114" s="384" t="s">
        <v>859</v>
      </c>
      <c r="B114" s="385" t="s">
        <v>800</v>
      </c>
      <c r="C114" s="386" t="s">
        <v>841</v>
      </c>
      <c r="D114" s="386">
        <v>4</v>
      </c>
      <c r="E114" s="386">
        <v>28</v>
      </c>
      <c r="F114" s="386">
        <v>17902.200000000004</v>
      </c>
      <c r="G114" s="386">
        <v>13137.73</v>
      </c>
      <c r="H114" s="387">
        <f t="shared" si="0"/>
      </c>
      <c r="I114" s="387">
        <f t="shared" si="20"/>
      </c>
      <c r="J114" s="387">
        <f t="shared" ref="J114:J117" si="17">G114/E114</f>
      </c>
      <c r="K114" s="386">
        <v>0</v>
      </c>
      <c r="L114" s="386">
        <v>0</v>
      </c>
      <c r="M114" s="388"/>
      <c r="N114" s="388"/>
      <c r="O114" s="388"/>
      <c r="P114" s="388"/>
    </row>
    <row hidden="true" r="115">
      <c r="A115" s="384" t="s">
        <v>859</v>
      </c>
      <c r="B115" s="385" t="s">
        <v>812</v>
      </c>
      <c r="C115" s="386" t="s">
        <v>848</v>
      </c>
      <c r="D115" s="386">
        <v>4</v>
      </c>
      <c r="E115" s="386">
        <v>18</v>
      </c>
      <c r="F115" s="386">
        <v>14963.799999999996</v>
      </c>
      <c r="G115" s="386">
        <v>13263.73</v>
      </c>
      <c r="H115" s="387">
        <f t="shared" si="0"/>
      </c>
      <c r="I115" s="387">
        <f t="shared" si="20"/>
      </c>
      <c r="J115" s="387">
        <f t="shared" si="17"/>
      </c>
      <c r="K115" s="386">
        <v>2</v>
      </c>
      <c r="L115" s="386">
        <v>2378.3999999999996</v>
      </c>
      <c r="M115" s="386" t="s">
        <v>852</v>
      </c>
      <c r="N115" s="386">
        <v>8</v>
      </c>
      <c r="O115" s="386" t="s">
        <v>799</v>
      </c>
      <c r="P115" s="386">
        <v>8</v>
      </c>
    </row>
    <row r="116">
      <c r="A116" s="398" t="s">
        <v>859</v>
      </c>
      <c r="B116" s="391"/>
      <c r="C116" s="391"/>
      <c r="D116" s="392">
        <f>SUM(D112:D115)</f>
      </c>
      <c r="E116" s="392">
        <f>SUM(E112:E115)</f>
      </c>
      <c r="F116" s="392">
        <f>SUM(F112:F115)</f>
      </c>
      <c r="G116" s="392">
        <f>SUM(G112:G115)</f>
      </c>
      <c r="H116" s="393">
        <f t="shared" si="0"/>
      </c>
      <c r="I116" s="393">
        <f t="shared" si="20"/>
      </c>
      <c r="J116" s="393">
        <f t="shared" si="17"/>
      </c>
      <c r="K116" s="392">
        <f>SUM(K112:K115)</f>
      </c>
      <c r="L116" s="392">
        <f>SUM(L112:L115)</f>
      </c>
      <c r="M116" s="391"/>
      <c r="N116" s="392">
        <f>SUM(N112:N115)</f>
      </c>
      <c r="O116" s="391"/>
      <c r="P116" s="391">
        <f>SUM(P112:P115)</f>
      </c>
    </row>
    <row hidden="true" r="117">
      <c r="A117" s="384" t="s">
        <v>860</v>
      </c>
      <c r="B117" s="385" t="s">
        <v>800</v>
      </c>
      <c r="C117" s="386" t="s">
        <v>821</v>
      </c>
      <c r="D117" s="386">
        <v>4</v>
      </c>
      <c r="E117" s="386">
        <v>18</v>
      </c>
      <c r="F117" s="386">
        <v>12554.6</v>
      </c>
      <c r="G117" s="386">
        <v>10362.02</v>
      </c>
      <c r="H117" s="387">
        <f t="shared" si="0"/>
      </c>
      <c r="I117" s="387">
        <f t="shared" si="20"/>
      </c>
      <c r="J117" s="387">
        <f t="shared" si="17"/>
      </c>
      <c r="K117" s="386">
        <v>5</v>
      </c>
      <c r="L117" s="386">
        <v>4934</v>
      </c>
      <c r="M117" s="386" t="s">
        <v>835</v>
      </c>
      <c r="N117" s="386">
        <v>8</v>
      </c>
      <c r="O117" s="388" t="s">
        <v>823</v>
      </c>
      <c r="P117" s="386">
        <v>8</v>
      </c>
    </row>
    <row hidden="true" r="118">
      <c r="A118" s="384" t="s">
        <v>860</v>
      </c>
      <c r="B118" s="385" t="s">
        <v>802</v>
      </c>
      <c r="C118" s="386" t="s">
        <v>818</v>
      </c>
      <c r="D118" s="386">
        <v>4</v>
      </c>
      <c r="E118" s="386">
        <v>7</v>
      </c>
      <c r="F118" s="386">
        <v>4180.999999999998</v>
      </c>
      <c r="G118" s="386">
        <v>6814.980000000001</v>
      </c>
      <c r="H118" s="387">
        <f t="shared" si="0"/>
      </c>
      <c r="I118" s="387">
        <f t="shared" si="20"/>
      </c>
      <c r="J118" s="387">
        <f>G117/E118</f>
      </c>
      <c r="K118" s="386">
        <v>0</v>
      </c>
      <c r="L118" s="386">
        <v>0</v>
      </c>
      <c r="M118" s="388"/>
      <c r="N118" s="388"/>
      <c r="O118" s="396"/>
      <c r="P118" s="388"/>
    </row>
    <row hidden="true" r="119">
      <c r="A119" s="384" t="s">
        <v>860</v>
      </c>
      <c r="B119" s="385" t="s">
        <v>812</v>
      </c>
      <c r="C119" s="386" t="s">
        <v>841</v>
      </c>
      <c r="D119" s="386">
        <v>4</v>
      </c>
      <c r="E119" s="386">
        <v>16</v>
      </c>
      <c r="F119" s="386">
        <v>8276.800000000003</v>
      </c>
      <c r="G119" s="386">
        <v>9626.84</v>
      </c>
      <c r="H119" s="387">
        <f t="shared" si="0"/>
      </c>
      <c r="I119" s="387">
        <f t="shared" si="20"/>
      </c>
      <c r="J119" s="387">
        <f t="shared" ref="J119:J122" si="18">G119/E119</f>
      </c>
      <c r="K119" s="386">
        <v>3</v>
      </c>
      <c r="L119" s="386">
        <v>1388.3999999999996</v>
      </c>
      <c r="M119" s="388"/>
      <c r="N119" s="388"/>
      <c r="O119" s="388"/>
      <c r="P119" s="388"/>
    </row>
    <row hidden="true" r="120">
      <c r="A120" s="384" t="s">
        <v>860</v>
      </c>
      <c r="B120" s="385" t="s">
        <v>794</v>
      </c>
      <c r="C120" s="386" t="s">
        <v>848</v>
      </c>
      <c r="D120" s="386">
        <v>4</v>
      </c>
      <c r="E120" s="386">
        <v>28</v>
      </c>
      <c r="F120" s="386">
        <v>20722</v>
      </c>
      <c r="G120" s="386">
        <v>13226.94</v>
      </c>
      <c r="H120" s="387">
        <f t="shared" si="0"/>
      </c>
      <c r="I120" s="387">
        <f t="shared" si="20"/>
      </c>
      <c r="J120" s="387">
        <f t="shared" si="18"/>
      </c>
      <c r="K120" s="386">
        <v>5</v>
      </c>
      <c r="L120" s="386">
        <v>1948</v>
      </c>
      <c r="M120" s="386" t="s">
        <v>852</v>
      </c>
      <c r="N120" s="386">
        <v>8</v>
      </c>
      <c r="O120" s="386" t="s">
        <v>799</v>
      </c>
      <c r="P120" s="386">
        <v>8</v>
      </c>
    </row>
    <row r="121">
      <c r="A121" s="398" t="s">
        <v>860</v>
      </c>
      <c r="B121" s="391"/>
      <c r="C121" s="391"/>
      <c r="D121" s="392">
        <f>SUM(D117:D120)</f>
      </c>
      <c r="E121" s="392">
        <f>SUM(E117:E120)</f>
      </c>
      <c r="F121" s="392">
        <f>SUM(F117:F120)</f>
      </c>
      <c r="G121" s="392">
        <f>SUM(G117:G120)</f>
      </c>
      <c r="H121" s="393">
        <f t="shared" si="0"/>
      </c>
      <c r="I121" s="393">
        <f t="shared" si="20"/>
      </c>
      <c r="J121" s="393">
        <f t="shared" si="18"/>
      </c>
      <c r="K121" s="392">
        <f>SUM(K117:K120)</f>
      </c>
      <c r="L121" s="392">
        <f>SUM(L117:L120)</f>
      </c>
      <c r="M121" s="391"/>
      <c r="N121" s="392">
        <f>SUM(N117:N120)</f>
      </c>
      <c r="O121" s="391"/>
      <c r="P121" s="391">
        <f>SUM(P117:P120)</f>
      </c>
    </row>
    <row hidden="true" r="122">
      <c r="A122" s="384" t="s">
        <v>861</v>
      </c>
      <c r="B122" s="385" t="s">
        <v>800</v>
      </c>
      <c r="C122" s="386" t="s">
        <v>821</v>
      </c>
      <c r="D122" s="386">
        <v>4</v>
      </c>
      <c r="E122" s="386">
        <v>7</v>
      </c>
      <c r="F122" s="386">
        <v>3580.6</v>
      </c>
      <c r="G122" s="386">
        <v>8248.689999999999</v>
      </c>
      <c r="H122" s="387">
        <f t="shared" si="0"/>
      </c>
      <c r="I122" s="387">
        <f t="shared" si="20"/>
      </c>
      <c r="J122" s="387">
        <f t="shared" si="18"/>
      </c>
      <c r="K122" s="386">
        <v>1</v>
      </c>
      <c r="L122" s="386">
        <v>325</v>
      </c>
      <c r="M122" s="386" t="s">
        <v>835</v>
      </c>
      <c r="N122" s="386">
        <v>8</v>
      </c>
      <c r="O122" s="388" t="s">
        <v>823</v>
      </c>
      <c r="P122" s="386">
        <v>8</v>
      </c>
    </row>
    <row hidden="true" r="123">
      <c r="A123" s="384" t="s">
        <v>861</v>
      </c>
      <c r="B123" s="385" t="s">
        <v>812</v>
      </c>
      <c r="C123" s="386" t="s">
        <v>818</v>
      </c>
      <c r="D123" s="399">
        <v>3</v>
      </c>
      <c r="E123" s="386">
        <v>9</v>
      </c>
      <c r="F123" s="386">
        <v>4672.6</v>
      </c>
      <c r="G123" s="386">
        <v>5142.860000000001</v>
      </c>
      <c r="H123" s="387">
        <f t="shared" si="0"/>
      </c>
      <c r="I123" s="387">
        <f t="shared" si="20"/>
      </c>
      <c r="J123" s="387">
        <f>G122/E123</f>
      </c>
      <c r="K123" s="386">
        <v>0</v>
      </c>
      <c r="L123" s="386">
        <v>0</v>
      </c>
      <c r="M123" s="388"/>
      <c r="N123" s="388"/>
      <c r="O123" s="396"/>
      <c r="P123" s="388"/>
    </row>
    <row hidden="true" r="124">
      <c r="A124" s="384" t="s">
        <v>861</v>
      </c>
      <c r="B124" s="385" t="s">
        <v>794</v>
      </c>
      <c r="C124" s="386" t="s">
        <v>841</v>
      </c>
      <c r="D124" s="386">
        <v>4</v>
      </c>
      <c r="E124" s="386">
        <v>6</v>
      </c>
      <c r="F124" s="386">
        <v>4340.4</v>
      </c>
      <c r="G124" s="386">
        <v>5142.280000000001</v>
      </c>
      <c r="H124" s="387">
        <f t="shared" si="0"/>
      </c>
      <c r="I124" s="387">
        <f t="shared" si="20"/>
      </c>
      <c r="J124" s="387">
        <f t="shared" ref="J124:J143" si="19">G124/E124</f>
      </c>
      <c r="K124" s="386">
        <v>0</v>
      </c>
      <c r="L124" s="386">
        <v>0</v>
      </c>
      <c r="M124" s="388"/>
      <c r="N124" s="388"/>
      <c r="O124" s="388"/>
      <c r="P124" s="388"/>
    </row>
    <row hidden="true" r="125">
      <c r="A125" s="384" t="s">
        <v>861</v>
      </c>
      <c r="B125" s="385" t="s">
        <v>802</v>
      </c>
      <c r="C125" s="386" t="s">
        <v>848</v>
      </c>
      <c r="D125" s="386">
        <v>4</v>
      </c>
      <c r="E125" s="386">
        <v>12</v>
      </c>
      <c r="F125" s="386">
        <v>5363.999999999998</v>
      </c>
      <c r="G125" s="386">
        <v>7572.46</v>
      </c>
      <c r="H125" s="387">
        <f t="shared" si="0"/>
      </c>
      <c r="I125" s="387">
        <f t="shared" si="20"/>
      </c>
      <c r="J125" s="387">
        <f t="shared" si="19"/>
      </c>
      <c r="K125" s="386">
        <v>1</v>
      </c>
      <c r="L125" s="386">
        <v>813.5999999999999</v>
      </c>
      <c r="M125" s="386" t="s">
        <v>852</v>
      </c>
      <c r="N125" s="386">
        <v>8</v>
      </c>
      <c r="O125" s="386" t="s">
        <v>799</v>
      </c>
      <c r="P125" s="386">
        <v>8</v>
      </c>
    </row>
    <row r="126">
      <c r="A126" s="398" t="s">
        <v>861</v>
      </c>
      <c r="B126" s="391"/>
      <c r="C126" s="391"/>
      <c r="D126" s="392">
        <f>SUM(D122:D125)</f>
      </c>
      <c r="E126" s="392">
        <f>SUM(E122:E125)</f>
      </c>
      <c r="F126" s="392">
        <f>SUM(F122:F125)</f>
      </c>
      <c r="G126" s="392">
        <f>SUM(G122:G125)</f>
      </c>
      <c r="H126" s="393">
        <f t="shared" si="0"/>
      </c>
      <c r="I126" s="393">
        <f t="shared" si="20"/>
      </c>
      <c r="J126" s="393">
        <f t="shared" si="19"/>
      </c>
      <c r="K126" s="392">
        <f>SUM(K122:K125)</f>
      </c>
      <c r="L126" s="392">
        <f>SUM(L122:L125)</f>
      </c>
      <c r="M126" s="391"/>
      <c r="N126" s="392">
        <f>SUM(N122:N125)</f>
      </c>
      <c r="O126" s="391"/>
      <c r="P126" s="391">
        <f>SUM(P122:P125)</f>
      </c>
    </row>
    <row hidden="true" r="127">
      <c r="A127" s="384" t="s">
        <v>862</v>
      </c>
      <c r="B127" s="385" t="s">
        <v>800</v>
      </c>
      <c r="C127" s="386" t="s">
        <v>841</v>
      </c>
      <c r="D127" s="386">
        <v>4</v>
      </c>
      <c r="E127" s="386">
        <v>23</v>
      </c>
      <c r="F127" s="386">
        <v>11595.8</v>
      </c>
      <c r="G127" s="386">
        <v>10614.39</v>
      </c>
      <c r="H127" s="387">
        <f t="shared" si="0"/>
      </c>
      <c r="I127" s="387">
        <f t="shared" si="20"/>
      </c>
      <c r="J127" s="387">
        <f t="shared" si="19"/>
      </c>
      <c r="K127" s="386">
        <v>4</v>
      </c>
      <c r="L127" s="386">
        <v>2516.4</v>
      </c>
      <c r="M127" s="386" t="s">
        <v>835</v>
      </c>
      <c r="N127" s="386">
        <v>8</v>
      </c>
      <c r="O127" s="388" t="s">
        <v>823</v>
      </c>
      <c r="P127" s="386">
        <v>8</v>
      </c>
    </row>
    <row hidden="true" r="128">
      <c r="A128" s="384" t="s">
        <v>862</v>
      </c>
      <c r="B128" s="385" t="s">
        <v>794</v>
      </c>
      <c r="C128" s="386" t="s">
        <v>848</v>
      </c>
      <c r="D128" s="386">
        <v>4</v>
      </c>
      <c r="E128" s="386">
        <v>21</v>
      </c>
      <c r="F128" s="386">
        <v>15704.600000000002</v>
      </c>
      <c r="G128" s="386">
        <v>14678.69</v>
      </c>
      <c r="H128" s="387">
        <f t="shared" si="0"/>
      </c>
      <c r="I128" s="387">
        <f t="shared" si="20"/>
      </c>
      <c r="J128" s="387">
        <f t="shared" si="19"/>
      </c>
      <c r="K128" s="386">
        <v>2</v>
      </c>
      <c r="L128" s="386">
        <v>957.5999999999999</v>
      </c>
      <c r="M128" s="386"/>
      <c r="N128" s="386"/>
      <c r="O128" s="386"/>
      <c r="P128" s="386"/>
    </row>
    <row r="129">
      <c r="A129" s="398" t="s">
        <v>862</v>
      </c>
      <c r="B129" s="391"/>
      <c r="C129" s="391"/>
      <c r="D129" s="392">
        <f>SUM(D127:D128)</f>
      </c>
      <c r="E129" s="392">
        <f>SUM(E127:E128)</f>
      </c>
      <c r="F129" s="392">
        <f>SUM(F127:F128)</f>
      </c>
      <c r="G129" s="392">
        <f>SUM(G127:G128)</f>
      </c>
      <c r="H129" s="393">
        <f t="shared" si="0"/>
      </c>
      <c r="I129" s="393">
        <f t="shared" si="20"/>
      </c>
      <c r="J129" s="393">
        <f t="shared" si="19"/>
      </c>
      <c r="K129" s="392">
        <f>SUM(K127:K128)</f>
      </c>
      <c r="L129" s="392">
        <f>SUM(L127:L128)</f>
      </c>
      <c r="M129" s="391"/>
      <c r="N129" s="392">
        <f>SUM(N127:N128)</f>
      </c>
      <c r="O129" s="391"/>
      <c r="P129" s="391">
        <f>SUM(P127:P128)</f>
      </c>
    </row>
    <row hidden="true" r="130">
      <c r="A130" s="384" t="s">
        <v>863</v>
      </c>
      <c r="B130" s="385" t="s">
        <v>800</v>
      </c>
      <c r="C130" s="386" t="s">
        <v>841</v>
      </c>
      <c r="D130" s="386">
        <v>4</v>
      </c>
      <c r="E130" s="386">
        <v>24</v>
      </c>
      <c r="F130" s="386">
        <v>16962.2</v>
      </c>
      <c r="G130" s="386">
        <v>12819.8</v>
      </c>
      <c r="H130" s="387">
        <f t="shared" si="0"/>
      </c>
      <c r="I130" s="387">
        <f t="shared" si="20"/>
      </c>
      <c r="J130" s="387">
        <f t="shared" si="19"/>
      </c>
      <c r="K130" s="386">
        <v>5</v>
      </c>
      <c r="L130" s="386">
        <v>2798.6</v>
      </c>
      <c r="M130" s="386" t="s">
        <v>835</v>
      </c>
      <c r="N130" s="386">
        <v>8</v>
      </c>
      <c r="O130" s="388" t="s">
        <v>823</v>
      </c>
      <c r="P130" s="386">
        <v>8</v>
      </c>
    </row>
    <row hidden="true" r="131">
      <c r="A131" s="384" t="s">
        <v>863</v>
      </c>
      <c r="B131" s="385" t="s">
        <v>794</v>
      </c>
      <c r="C131" s="386" t="s">
        <v>848</v>
      </c>
      <c r="D131" s="386">
        <v>4</v>
      </c>
      <c r="E131" s="386">
        <v>27</v>
      </c>
      <c r="F131" s="386">
        <v>26370.999999999996</v>
      </c>
      <c r="G131" s="386">
        <v>13487.08</v>
      </c>
      <c r="H131" s="387">
        <f t="shared" si="0"/>
      </c>
      <c r="I131" s="387">
        <f t="shared" si="20"/>
      </c>
      <c r="J131" s="387">
        <f t="shared" si="19"/>
      </c>
      <c r="K131" s="386">
        <v>2</v>
      </c>
      <c r="L131" s="386">
        <v>1339</v>
      </c>
      <c r="M131" s="386"/>
      <c r="N131" s="386"/>
      <c r="O131" s="386"/>
      <c r="P131" s="386"/>
    </row>
    <row r="132">
      <c r="A132" s="398" t="s">
        <v>863</v>
      </c>
      <c r="B132" s="391"/>
      <c r="C132" s="391"/>
      <c r="D132" s="392">
        <f>SUM(D130:D131)</f>
      </c>
      <c r="E132" s="392">
        <f>SUM(E130:E131)</f>
      </c>
      <c r="F132" s="392">
        <f>SUM(F130:F131)</f>
      </c>
      <c r="G132" s="392">
        <f>SUM(G130:G131)</f>
      </c>
      <c r="H132" s="393">
        <f t="shared" si="0"/>
      </c>
      <c r="I132" s="393">
        <f t="shared" si="20"/>
      </c>
      <c r="J132" s="393">
        <f t="shared" si="19"/>
      </c>
      <c r="K132" s="392">
        <f>SUM(K130:K131)</f>
      </c>
      <c r="L132" s="392">
        <f>SUM(L130:L131)</f>
      </c>
      <c r="M132" s="391"/>
      <c r="N132" s="392">
        <f>SUM(N130:N131)</f>
      </c>
      <c r="O132" s="391"/>
      <c r="P132" s="391">
        <f>SUM(P130:P131)</f>
      </c>
    </row>
    <row hidden="true" r="133">
      <c r="A133" s="384" t="s">
        <v>864</v>
      </c>
      <c r="B133" s="385" t="s">
        <v>800</v>
      </c>
      <c r="C133" s="386" t="s">
        <v>865</v>
      </c>
      <c r="D133" s="386">
        <v>5</v>
      </c>
      <c r="E133" s="386">
        <v>17</v>
      </c>
      <c r="F133" s="386">
        <v>11410</v>
      </c>
      <c r="G133" s="386">
        <v>11381.56</v>
      </c>
      <c r="H133" s="387">
        <f t="shared" si="0"/>
      </c>
      <c r="I133" s="387">
        <f t="shared" si="20"/>
      </c>
      <c r="J133" s="387">
        <f t="shared" si="19"/>
      </c>
      <c r="K133" s="386">
        <v>2</v>
      </c>
      <c r="L133" s="386">
        <v>685.2</v>
      </c>
      <c r="M133" s="386" t="s">
        <v>843</v>
      </c>
      <c r="N133" s="386">
        <v>2</v>
      </c>
      <c r="O133" s="388" t="s">
        <v>823</v>
      </c>
      <c r="P133" s="386">
        <v>5</v>
      </c>
    </row>
    <row r="134">
      <c r="A134" s="398" t="s">
        <v>864</v>
      </c>
      <c r="B134" s="391"/>
      <c r="C134" s="391"/>
      <c r="D134" s="392">
        <f>SUM(D133)</f>
      </c>
      <c r="E134" s="392">
        <f>SUM(E133)</f>
      </c>
      <c r="F134" s="392">
        <f>SUM(F133)</f>
      </c>
      <c r="G134" s="392">
        <f>SUM(G133)</f>
      </c>
      <c r="H134" s="393">
        <f t="shared" si="0"/>
      </c>
      <c r="I134" s="393">
        <f t="shared" si="20"/>
      </c>
      <c r="J134" s="393">
        <f t="shared" si="19"/>
      </c>
      <c r="K134" s="392">
        <f>SUM(K133)</f>
      </c>
      <c r="L134" s="392">
        <f>SUM(L133)</f>
      </c>
      <c r="M134" s="391"/>
      <c r="N134" s="392">
        <f>SUM(N133)</f>
      </c>
      <c r="O134" s="391"/>
      <c r="P134" s="400">
        <v>5</v>
      </c>
    </row>
    <row hidden="true" r="135">
      <c r="A135" s="384" t="s">
        <v>866</v>
      </c>
      <c r="B135" s="385" t="s">
        <v>794</v>
      </c>
      <c r="C135" s="386" t="s">
        <v>841</v>
      </c>
      <c r="D135" s="386">
        <v>4</v>
      </c>
      <c r="E135" s="386">
        <v>7</v>
      </c>
      <c r="F135" s="386">
        <v>3339.6</v>
      </c>
      <c r="G135" s="386">
        <v>7415.85</v>
      </c>
      <c r="H135" s="387">
        <f t="shared" si="0"/>
      </c>
      <c r="I135" s="387">
        <f t="shared" si="20"/>
      </c>
      <c r="J135" s="387">
        <f t="shared" si="19"/>
      </c>
      <c r="K135" s="386">
        <v>2</v>
      </c>
      <c r="L135" s="386">
        <v>565.2</v>
      </c>
      <c r="M135" s="386" t="s">
        <v>835</v>
      </c>
      <c r="N135" s="386">
        <v>8</v>
      </c>
      <c r="O135" s="388" t="s">
        <v>823</v>
      </c>
      <c r="P135" s="386">
        <v>8</v>
      </c>
    </row>
    <row hidden="true" r="136">
      <c r="A136" s="384" t="s">
        <v>866</v>
      </c>
      <c r="B136" s="385" t="s">
        <v>800</v>
      </c>
      <c r="C136" s="386" t="s">
        <v>848</v>
      </c>
      <c r="D136" s="386">
        <v>4</v>
      </c>
      <c r="E136" s="386">
        <v>19</v>
      </c>
      <c r="F136" s="386">
        <v>11580.8</v>
      </c>
      <c r="G136" s="386">
        <v>10380.9</v>
      </c>
      <c r="H136" s="387">
        <f t="shared" si="0"/>
      </c>
      <c r="I136" s="387">
        <f t="shared" si="20"/>
      </c>
      <c r="J136" s="387">
        <f t="shared" si="19"/>
      </c>
      <c r="K136" s="386">
        <v>6</v>
      </c>
      <c r="L136" s="386">
        <v>2186.3999999999996</v>
      </c>
      <c r="M136" s="386"/>
      <c r="N136" s="386"/>
      <c r="O136" s="386"/>
      <c r="P136" s="386"/>
    </row>
    <row r="137">
      <c r="A137" s="398" t="s">
        <v>866</v>
      </c>
      <c r="B137" s="391"/>
      <c r="C137" s="391"/>
      <c r="D137" s="392">
        <f>SUM(D135:D136)</f>
      </c>
      <c r="E137" s="392">
        <f>SUM(E135:E136)</f>
      </c>
      <c r="F137" s="392">
        <f>SUM(F135:F136)</f>
      </c>
      <c r="G137" s="392">
        <f>SUM(G135:G136)</f>
      </c>
      <c r="H137" s="393">
        <f t="shared" si="0"/>
      </c>
      <c r="I137" s="393">
        <f t="shared" si="20"/>
      </c>
      <c r="J137" s="393">
        <f t="shared" si="19"/>
      </c>
      <c r="K137" s="392">
        <f>SUM(K135:K136)</f>
      </c>
      <c r="L137" s="392">
        <f>SUM(L135:L136)</f>
      </c>
      <c r="M137" s="391"/>
      <c r="N137" s="392">
        <f>SUM(N135:N136)</f>
      </c>
      <c r="O137" s="391"/>
      <c r="P137" s="391">
        <f>SUM(P135:P136)</f>
      </c>
    </row>
    <row hidden="true" r="138">
      <c r="A138" s="384" t="s">
        <v>867</v>
      </c>
      <c r="B138" s="385" t="s">
        <v>800</v>
      </c>
      <c r="C138" s="386" t="s">
        <v>841</v>
      </c>
      <c r="D138" s="386">
        <v>4</v>
      </c>
      <c r="E138" s="386">
        <v>17</v>
      </c>
      <c r="F138" s="386">
        <v>8602.6</v>
      </c>
      <c r="G138" s="386">
        <v>9002.43</v>
      </c>
      <c r="H138" s="387">
        <f t="shared" si="0"/>
      </c>
      <c r="I138" s="387">
        <f t="shared" si="20"/>
      </c>
      <c r="J138" s="387">
        <f t="shared" si="19"/>
      </c>
      <c r="K138" s="386">
        <v>3</v>
      </c>
      <c r="L138" s="386">
        <v>1984.8</v>
      </c>
      <c r="M138" s="386" t="s">
        <v>845</v>
      </c>
      <c r="N138" s="386">
        <v>8</v>
      </c>
      <c r="O138" s="388" t="s">
        <v>823</v>
      </c>
      <c r="P138" s="386">
        <v>8</v>
      </c>
    </row>
    <row hidden="true" r="139">
      <c r="A139" s="384" t="s">
        <v>867</v>
      </c>
      <c r="B139" s="385" t="s">
        <v>794</v>
      </c>
      <c r="C139" s="386" t="s">
        <v>848</v>
      </c>
      <c r="D139" s="386">
        <v>4</v>
      </c>
      <c r="E139" s="386">
        <v>28</v>
      </c>
      <c r="F139" s="386">
        <v>18377.199999999997</v>
      </c>
      <c r="G139" s="386">
        <v>13525.18</v>
      </c>
      <c r="H139" s="387">
        <f t="shared" si="0"/>
      </c>
      <c r="I139" s="387">
        <f t="shared" si="20"/>
      </c>
      <c r="J139" s="387">
        <f t="shared" si="19"/>
      </c>
      <c r="K139" s="386">
        <v>2</v>
      </c>
      <c r="L139" s="386">
        <v>2020.8</v>
      </c>
      <c r="M139" s="386"/>
      <c r="N139" s="386"/>
      <c r="O139" s="386"/>
      <c r="P139" s="386"/>
    </row>
    <row r="140">
      <c r="A140" s="398" t="s">
        <v>867</v>
      </c>
      <c r="B140" s="391"/>
      <c r="C140" s="391"/>
      <c r="D140" s="392">
        <f>SUM(D138:D139)</f>
      </c>
      <c r="E140" s="392">
        <f>SUM(E138:E139)</f>
      </c>
      <c r="F140" s="392">
        <f>SUM(F138:F139)</f>
      </c>
      <c r="G140" s="392">
        <f>SUM(G138:G139)</f>
      </c>
      <c r="H140" s="393">
        <f t="shared" si="0"/>
      </c>
      <c r="I140" s="393">
        <f t="shared" si="20"/>
      </c>
      <c r="J140" s="393">
        <f t="shared" si="19"/>
      </c>
      <c r="K140" s="392">
        <f>SUM(K138:K139)</f>
      </c>
      <c r="L140" s="392">
        <f>SUM(L138:L139)</f>
      </c>
      <c r="M140" s="391"/>
      <c r="N140" s="392">
        <f>SUM(N138:N139)</f>
      </c>
      <c r="O140" s="391"/>
      <c r="P140" s="391">
        <f>SUM(P138:P139)</f>
      </c>
    </row>
    <row hidden="true" r="141">
      <c r="A141" s="384" t="s">
        <v>868</v>
      </c>
      <c r="B141" s="385" t="s">
        <v>800</v>
      </c>
      <c r="C141" s="386" t="s">
        <v>841</v>
      </c>
      <c r="D141" s="399">
        <v>3.5</v>
      </c>
      <c r="E141" s="386">
        <v>11</v>
      </c>
      <c r="F141" s="386">
        <v>4450.8</v>
      </c>
      <c r="G141" s="386">
        <v>9054.26</v>
      </c>
      <c r="H141" s="387">
        <f t="shared" si="0"/>
      </c>
      <c r="I141" s="387">
        <f t="shared" si="20"/>
      </c>
      <c r="J141" s="387">
        <f t="shared" si="19"/>
      </c>
      <c r="K141" s="386">
        <v>1</v>
      </c>
      <c r="L141" s="386">
        <v>343.2</v>
      </c>
      <c r="M141" s="386" t="s">
        <v>869</v>
      </c>
      <c r="N141" s="386">
        <f>1*0.4</f>
      </c>
      <c r="O141" s="388" t="s">
        <v>823</v>
      </c>
      <c r="P141" s="386">
        <v>7</v>
      </c>
    </row>
    <row hidden="true" r="142">
      <c r="A142" s="384" t="s">
        <v>868</v>
      </c>
      <c r="B142" s="385" t="s">
        <v>794</v>
      </c>
      <c r="C142" s="386" t="s">
        <v>870</v>
      </c>
      <c r="D142" s="386">
        <v>3</v>
      </c>
      <c r="E142" s="386">
        <v>6</v>
      </c>
      <c r="F142" s="386">
        <v>4160.2</v>
      </c>
      <c r="G142" s="386">
        <v>7012.26</v>
      </c>
      <c r="H142" s="387">
        <f t="shared" si="0"/>
      </c>
      <c r="I142" s="387">
        <f t="shared" si="20"/>
      </c>
      <c r="J142" s="387">
        <f t="shared" si="19"/>
      </c>
      <c r="K142" s="386">
        <v>0</v>
      </c>
      <c r="L142" s="386">
        <v>0</v>
      </c>
      <c r="M142" s="386" t="s">
        <v>871</v>
      </c>
      <c r="N142" s="386">
        <f>6*0.4</f>
      </c>
      <c r="O142" s="386"/>
      <c r="P142" s="386"/>
    </row>
    <row r="143">
      <c r="A143" s="398" t="s">
        <v>868</v>
      </c>
      <c r="B143" s="391"/>
      <c r="C143" s="391"/>
      <c r="D143" s="392">
        <f>SUM(D141:D142)</f>
      </c>
      <c r="E143" s="392">
        <f>SUM(E141:E142)</f>
      </c>
      <c r="F143" s="392">
        <f>SUM(F141:F142)</f>
      </c>
      <c r="G143" s="392">
        <f>SUM(G141:G142)</f>
      </c>
      <c r="H143" s="393">
        <f t="shared" si="0"/>
      </c>
      <c r="I143" s="393">
        <f t="shared" si="20"/>
      </c>
      <c r="J143" s="393">
        <f t="shared" si="19"/>
      </c>
      <c r="K143" s="392">
        <f>SUM(K141:K142)</f>
      </c>
      <c r="L143" s="392">
        <f>SUM(L141:L142)</f>
      </c>
      <c r="M143" s="391"/>
      <c r="N143" s="392">
        <f>SUM(N141:N142)</f>
      </c>
      <c r="O143" s="391"/>
      <c r="P143" s="391">
        <f>SUM(P141:P142)</f>
      </c>
    </row>
    <row r="144">
      <c r="C144" s="401"/>
    </row>
    <row r="145">
      <c r="C145" s="401"/>
      <c r="E145" s="401"/>
      <c r="F145" s="401"/>
      <c r="G145" s="401"/>
      <c r="H145" s="401"/>
      <c r="K145" s="401"/>
      <c r="L145" s="401"/>
    </row>
  </sheetData>
  <autoFilter ref="A1:P145">
    <filterColumn colId="1">
      <filters blank="true"/>
    </filterColumn>
  </autoFilter>
  <dataValidations count="1">
    <dataValidation allowBlank="true" errorStyle="stop" showErrorMessage="true" sqref="B2:B5 B7:B10 B12:B15 B17:B20 B22:B25 B27:B30 B32:B35 B37:B40 B42:B45 B47:B50 B52:B55 B57:B60 B62:B65 B67:B70 B73:B75 B77:B80 B82:B85 B87:B90 B92:B95 B97:B100 B102:B105 B107:B110 B112:B115 B117:B120 B122:B125 B127:B128 B130:B131 B133:B133 B135:B136 B138:B139 B141:B142" type="list">
      <formula1>"王硕硕,蒲奕西,郝旭靓,刘杰宇,郭子硕"</formula1>
    </dataValidation>
  </dataValidation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4" min="4" style="0" width="11.211267605633802"/>
    <col collapsed="false" customWidth="true" hidden="false" max="6" min="6" style="0" width="11.211267605633802"/>
  </cols>
  <sheetData>
    <row r="1">
      <c r="A1" s="402" t="s">
        <v>872</v>
      </c>
      <c r="B1" s="403" t="s">
        <v>873</v>
      </c>
      <c r="C1" s="403" t="s">
        <v>874</v>
      </c>
      <c r="D1" s="403" t="s">
        <v>875</v>
      </c>
      <c r="E1" s="403" t="s">
        <v>876</v>
      </c>
      <c r="F1" s="404" t="s">
        <v>877</v>
      </c>
      <c r="G1" s="404" t="s">
        <v>878</v>
      </c>
      <c r="H1" s="404" t="s">
        <v>879</v>
      </c>
      <c r="I1" s="404" t="s">
        <v>880</v>
      </c>
      <c r="J1" s="404" t="s">
        <v>881</v>
      </c>
      <c r="K1" s="403" t="s">
        <v>882</v>
      </c>
      <c r="L1" s="403" t="s">
        <v>883</v>
      </c>
      <c r="M1" s="403" t="s">
        <v>884</v>
      </c>
      <c r="N1" s="403" t="s">
        <v>885</v>
      </c>
      <c r="O1" s="403" t="s">
        <v>886</v>
      </c>
      <c r="P1" s="403" t="s">
        <v>887</v>
      </c>
    </row>
    <row r="2">
      <c r="A2" s="405" t="s">
        <v>888</v>
      </c>
      <c r="B2" s="406" t="s">
        <v>889</v>
      </c>
      <c r="C2" s="406" t="s">
        <v>890</v>
      </c>
      <c r="D2" s="406">
        <v>4</v>
      </c>
      <c r="E2" s="406">
        <v>6</v>
      </c>
      <c r="F2" s="406">
        <v>3178.8</v>
      </c>
      <c r="G2" s="406">
        <v>6988.08</v>
      </c>
      <c r="H2" s="407">
        <f t="shared" ref="H2:H79" si="0">F2/G2</f>
      </c>
      <c r="I2" s="407">
        <f t="shared" ref="I2:I79" si="1">F2/E2</f>
      </c>
      <c r="J2" s="407">
        <f t="shared" ref="J2:J79" si="2">G2/E2</f>
      </c>
      <c r="K2" s="408">
        <v>1</v>
      </c>
      <c r="L2" s="408">
        <v>423</v>
      </c>
      <c r="M2" s="406"/>
      <c r="N2" s="406"/>
      <c r="O2" s="409"/>
      <c r="P2" s="409"/>
    </row>
    <row r="3">
      <c r="A3" s="405" t="s">
        <v>888</v>
      </c>
      <c r="B3" s="406" t="s">
        <v>891</v>
      </c>
      <c r="C3" s="406" t="s">
        <v>892</v>
      </c>
      <c r="D3" s="406">
        <v>4</v>
      </c>
      <c r="E3" s="406">
        <v>13</v>
      </c>
      <c r="F3" s="406">
        <v>12226.8</v>
      </c>
      <c r="G3" s="406">
        <v>6498.82</v>
      </c>
      <c r="H3" s="407">
        <f t="shared" si="0"/>
      </c>
      <c r="I3" s="407">
        <f t="shared" si="1"/>
      </c>
      <c r="J3" s="407">
        <f t="shared" si="2"/>
      </c>
      <c r="K3" s="408">
        <v>2</v>
      </c>
      <c r="L3" s="408">
        <v>1698</v>
      </c>
      <c r="M3" s="406" t="s">
        <v>893</v>
      </c>
      <c r="N3" s="406">
        <v>8</v>
      </c>
      <c r="O3" s="406" t="s">
        <v>894</v>
      </c>
      <c r="P3" s="406">
        <v>8</v>
      </c>
    </row>
    <row r="4">
      <c r="A4" s="410" t="s">
        <v>888</v>
      </c>
      <c r="B4" s="411"/>
      <c r="C4" s="411"/>
      <c r="D4" s="412">
        <f>SUM(D2:D3)</f>
      </c>
      <c r="E4" s="412">
        <f>SUM(E2:E3)</f>
      </c>
      <c r="F4" s="412">
        <f>SUM(F2:F3)</f>
      </c>
      <c r="G4" s="412">
        <f>SUM(G2:G3)</f>
      </c>
      <c r="H4" s="413">
        <f t="shared" si="0"/>
      </c>
      <c r="I4" s="413">
        <f t="shared" si="1"/>
      </c>
      <c r="J4" s="413">
        <f t="shared" si="2"/>
      </c>
      <c r="K4" s="412">
        <f>SUM(K2:K3)</f>
      </c>
      <c r="L4" s="412">
        <f>SUM(L2:L3)</f>
      </c>
      <c r="M4" s="411"/>
      <c r="N4" s="412">
        <f>SUM(N2:N3)</f>
      </c>
      <c r="O4" s="411"/>
      <c r="P4" s="411"/>
    </row>
    <row r="5">
      <c r="A5" s="405" t="s">
        <v>895</v>
      </c>
      <c r="B5" s="406" t="s">
        <v>896</v>
      </c>
      <c r="C5" s="406" t="s">
        <v>890</v>
      </c>
      <c r="D5" s="406">
        <v>4</v>
      </c>
      <c r="E5" s="406">
        <v>6</v>
      </c>
      <c r="F5" s="406">
        <v>2464.8</v>
      </c>
      <c r="G5" s="406">
        <v>5850.73</v>
      </c>
      <c r="H5" s="407">
        <f t="shared" si="0"/>
      </c>
      <c r="I5" s="407">
        <f t="shared" si="1"/>
      </c>
      <c r="J5" s="407">
        <f t="shared" si="2"/>
      </c>
      <c r="K5" s="408">
        <v>0</v>
      </c>
      <c r="L5" s="408">
        <v>0</v>
      </c>
      <c r="M5" s="406"/>
      <c r="N5" s="406"/>
      <c r="O5" s="409"/>
      <c r="P5" s="409"/>
    </row>
    <row r="6">
      <c r="A6" s="405" t="s">
        <v>895</v>
      </c>
      <c r="B6" s="406" t="s">
        <v>891</v>
      </c>
      <c r="C6" s="406" t="s">
        <v>897</v>
      </c>
      <c r="D6" s="406">
        <v>3</v>
      </c>
      <c r="E6" s="406">
        <v>1</v>
      </c>
      <c r="F6" s="406">
        <v>2802</v>
      </c>
      <c r="G6" s="406">
        <v>5242.66</v>
      </c>
      <c r="H6" s="407">
        <f t="shared" si="0"/>
      </c>
      <c r="I6" s="407">
        <f t="shared" si="1"/>
      </c>
      <c r="J6" s="407">
        <f t="shared" si="2"/>
      </c>
      <c r="K6" s="408">
        <v>0</v>
      </c>
      <c r="L6" s="408">
        <v>0</v>
      </c>
      <c r="M6" s="406" t="s">
        <v>893</v>
      </c>
      <c r="N6" s="406">
        <v>7</v>
      </c>
      <c r="O6" s="406" t="s">
        <v>894</v>
      </c>
      <c r="P6" s="406">
        <v>7</v>
      </c>
    </row>
    <row r="7">
      <c r="A7" s="410" t="s">
        <v>895</v>
      </c>
      <c r="B7" s="411"/>
      <c r="C7" s="411"/>
      <c r="D7" s="412">
        <f>SUM(D5:D6)</f>
      </c>
      <c r="E7" s="412">
        <f>SUM(E5:E6)</f>
      </c>
      <c r="F7" s="412">
        <f>SUM(F5:F6)</f>
      </c>
      <c r="G7" s="412">
        <f>SUM(G5:G6)</f>
      </c>
      <c r="H7" s="413">
        <f t="shared" si="0"/>
      </c>
      <c r="I7" s="413">
        <f t="shared" si="1"/>
      </c>
      <c r="J7" s="413">
        <f t="shared" si="2"/>
      </c>
      <c r="K7" s="412">
        <f>SUM(K5:K6)</f>
      </c>
      <c r="L7" s="412">
        <f>SUM(L5:L6)</f>
      </c>
      <c r="M7" s="411"/>
      <c r="N7" s="412">
        <f>SUM(N5:N6)</f>
      </c>
      <c r="O7" s="411"/>
      <c r="P7" s="411"/>
    </row>
    <row r="8">
      <c r="A8" s="405" t="s">
        <v>898</v>
      </c>
      <c r="B8" s="406" t="s">
        <v>896</v>
      </c>
      <c r="C8" s="406" t="s">
        <v>899</v>
      </c>
      <c r="D8" s="406">
        <v>3</v>
      </c>
      <c r="E8" s="406">
        <v>4</v>
      </c>
      <c r="F8" s="406">
        <v>3782.4</v>
      </c>
      <c r="G8" s="406">
        <v>4409.13</v>
      </c>
      <c r="H8" s="407">
        <f t="shared" si="0"/>
      </c>
      <c r="I8" s="407">
        <f t="shared" si="1"/>
      </c>
      <c r="J8" s="407">
        <f t="shared" si="2"/>
      </c>
      <c r="K8" s="408">
        <v>0</v>
      </c>
      <c r="L8" s="408">
        <v>0</v>
      </c>
      <c r="M8" s="406"/>
      <c r="N8" s="406"/>
      <c r="O8" s="409"/>
      <c r="P8" s="409"/>
    </row>
    <row r="9">
      <c r="A9" s="405" t="s">
        <v>898</v>
      </c>
      <c r="B9" s="406" t="s">
        <v>891</v>
      </c>
      <c r="C9" s="406" t="s">
        <v>900</v>
      </c>
      <c r="D9" s="406">
        <v>4</v>
      </c>
      <c r="E9" s="406">
        <v>14</v>
      </c>
      <c r="F9" s="406">
        <v>11053.2</v>
      </c>
      <c r="G9" s="406">
        <v>6691.67</v>
      </c>
      <c r="H9" s="407">
        <f t="shared" si="0"/>
      </c>
      <c r="I9" s="407">
        <f t="shared" si="1"/>
      </c>
      <c r="J9" s="407">
        <f t="shared" si="2"/>
      </c>
      <c r="K9" s="408">
        <v>1</v>
      </c>
      <c r="L9" s="408">
        <v>356.4</v>
      </c>
      <c r="M9" s="406" t="s">
        <v>893</v>
      </c>
      <c r="N9" s="406">
        <v>7</v>
      </c>
      <c r="O9" s="406" t="s">
        <v>894</v>
      </c>
      <c r="P9" s="406">
        <v>7</v>
      </c>
    </row>
    <row r="10">
      <c r="A10" s="410" t="s">
        <v>898</v>
      </c>
      <c r="B10" s="411"/>
      <c r="C10" s="411"/>
      <c r="D10" s="412">
        <f>SUM(D8:D9)</f>
      </c>
      <c r="E10" s="412">
        <f>SUM(E8:E9)</f>
      </c>
      <c r="F10" s="412">
        <f>SUM(F8:F9)</f>
      </c>
      <c r="G10" s="412">
        <f>SUM(G8:G9)</f>
      </c>
      <c r="H10" s="413">
        <f t="shared" si="0"/>
      </c>
      <c r="I10" s="413">
        <f t="shared" si="1"/>
      </c>
      <c r="J10" s="413">
        <f t="shared" si="2"/>
      </c>
      <c r="K10" s="412">
        <f>SUM(K8:K9)</f>
      </c>
      <c r="L10" s="412">
        <f>SUM(L8:L9)</f>
      </c>
      <c r="M10" s="411"/>
      <c r="N10" s="412">
        <f>SUM(N8:N9)</f>
      </c>
      <c r="O10" s="411"/>
      <c r="P10" s="411"/>
    </row>
    <row r="11">
      <c r="A11" s="405" t="s">
        <v>901</v>
      </c>
      <c r="B11" s="406" t="s">
        <v>889</v>
      </c>
      <c r="C11" s="406" t="s">
        <v>902</v>
      </c>
      <c r="D11" s="406">
        <v>4</v>
      </c>
      <c r="E11" s="406">
        <v>6</v>
      </c>
      <c r="F11" s="406">
        <v>2781.6</v>
      </c>
      <c r="G11" s="406">
        <v>6063.59</v>
      </c>
      <c r="H11" s="407">
        <f t="shared" si="0"/>
      </c>
      <c r="I11" s="407">
        <f t="shared" si="1"/>
      </c>
      <c r="J11" s="407">
        <f t="shared" si="2"/>
      </c>
      <c r="K11" s="408">
        <v>0</v>
      </c>
      <c r="L11" s="408">
        <v>0</v>
      </c>
      <c r="M11" s="406"/>
      <c r="N11" s="406"/>
      <c r="O11" s="409"/>
      <c r="P11" s="409"/>
    </row>
    <row r="12">
      <c r="A12" s="405" t="s">
        <v>901</v>
      </c>
      <c r="B12" s="406" t="s">
        <v>891</v>
      </c>
      <c r="C12" s="406" t="s">
        <v>903</v>
      </c>
      <c r="D12" s="406">
        <v>3</v>
      </c>
      <c r="E12" s="406">
        <v>3</v>
      </c>
      <c r="F12" s="406">
        <v>1175.8000000000002</v>
      </c>
      <c r="G12" s="406">
        <v>4792.679999999999</v>
      </c>
      <c r="H12" s="407">
        <f t="shared" si="0"/>
      </c>
      <c r="I12" s="407">
        <f t="shared" si="1"/>
      </c>
      <c r="J12" s="407">
        <f t="shared" si="2"/>
      </c>
      <c r="K12" s="408">
        <v>1</v>
      </c>
      <c r="L12" s="408">
        <v>457.2</v>
      </c>
      <c r="M12" s="406" t="s">
        <v>904</v>
      </c>
      <c r="N12" s="406">
        <v>7</v>
      </c>
      <c r="O12" s="406" t="s">
        <v>894</v>
      </c>
      <c r="P12" s="406">
        <v>7</v>
      </c>
    </row>
    <row r="13">
      <c r="A13" s="410" t="s">
        <v>901</v>
      </c>
      <c r="B13" s="411"/>
      <c r="C13" s="411"/>
      <c r="D13" s="412">
        <f>SUM(D11:D12)</f>
      </c>
      <c r="E13" s="412">
        <f>SUM(E11:E12)</f>
      </c>
      <c r="F13" s="412">
        <f>SUM(F11:F12)</f>
      </c>
      <c r="G13" s="412">
        <f>SUM(G11:G12)</f>
      </c>
      <c r="H13" s="413">
        <f t="shared" si="0"/>
      </c>
      <c r="I13" s="413">
        <f t="shared" si="1"/>
      </c>
      <c r="J13" s="413">
        <f t="shared" si="2"/>
      </c>
      <c r="K13" s="412">
        <f>SUM(K11:K12)</f>
      </c>
      <c r="L13" s="412">
        <f>SUM(L11:L12)</f>
      </c>
      <c r="M13" s="411"/>
      <c r="N13" s="412">
        <f>SUM(N11:N12)</f>
      </c>
      <c r="O13" s="411"/>
      <c r="P13" s="411"/>
    </row>
    <row r="14">
      <c r="A14" s="405" t="s">
        <v>905</v>
      </c>
      <c r="B14" s="406" t="s">
        <v>891</v>
      </c>
      <c r="C14" s="406" t="s">
        <v>902</v>
      </c>
      <c r="D14" s="406">
        <v>4</v>
      </c>
      <c r="E14" s="406">
        <v>9</v>
      </c>
      <c r="F14" s="406">
        <v>6376.2</v>
      </c>
      <c r="G14" s="406">
        <v>7438.31</v>
      </c>
      <c r="H14" s="407">
        <f t="shared" si="0"/>
      </c>
      <c r="I14" s="407">
        <f t="shared" si="1"/>
      </c>
      <c r="J14" s="407">
        <f t="shared" si="2"/>
      </c>
      <c r="K14" s="408">
        <v>1</v>
      </c>
      <c r="L14" s="408">
        <v>369</v>
      </c>
      <c r="M14" s="406"/>
      <c r="N14" s="406"/>
      <c r="O14" s="409"/>
      <c r="P14" s="409"/>
    </row>
    <row r="15">
      <c r="A15" s="405" t="s">
        <v>905</v>
      </c>
      <c r="B15" s="406" t="s">
        <v>896</v>
      </c>
      <c r="C15" s="406" t="s">
        <v>906</v>
      </c>
      <c r="D15" s="406">
        <v>4</v>
      </c>
      <c r="E15" s="406">
        <v>13</v>
      </c>
      <c r="F15" s="406">
        <v>5679.6</v>
      </c>
      <c r="G15" s="406">
        <v>6842.23</v>
      </c>
      <c r="H15" s="407">
        <f t="shared" si="0"/>
      </c>
      <c r="I15" s="407">
        <f t="shared" si="1"/>
      </c>
      <c r="J15" s="407">
        <f t="shared" si="2"/>
      </c>
      <c r="K15" s="408">
        <v>1</v>
      </c>
      <c r="L15" s="408">
        <v>734.4</v>
      </c>
      <c r="M15" s="406" t="s">
        <v>893</v>
      </c>
      <c r="N15" s="406">
        <v>8</v>
      </c>
      <c r="O15" s="406" t="s">
        <v>894</v>
      </c>
      <c r="P15" s="406">
        <v>8</v>
      </c>
    </row>
    <row r="16">
      <c r="A16" s="410" t="s">
        <v>905</v>
      </c>
      <c r="B16" s="411"/>
      <c r="C16" s="411"/>
      <c r="D16" s="412">
        <f>SUM(D14:D15)</f>
      </c>
      <c r="E16" s="412">
        <f>SUM(E14:E15)</f>
      </c>
      <c r="F16" s="412">
        <f>SUM(F14:F15)</f>
      </c>
      <c r="G16" s="412">
        <f>SUM(G14:G15)</f>
      </c>
      <c r="H16" s="413">
        <f t="shared" si="0"/>
      </c>
      <c r="I16" s="413">
        <f t="shared" si="1"/>
      </c>
      <c r="J16" s="413">
        <f t="shared" si="2"/>
      </c>
      <c r="K16" s="412">
        <f>SUM(K14:K15)</f>
      </c>
      <c r="L16" s="412">
        <f>SUM(L14:L15)</f>
      </c>
      <c r="M16" s="411"/>
      <c r="N16" s="412">
        <f>SUM(N14:N15)</f>
      </c>
      <c r="O16" s="411"/>
      <c r="P16" s="411"/>
    </row>
    <row r="17">
      <c r="A17" s="405" t="s">
        <v>907</v>
      </c>
      <c r="B17" s="406" t="s">
        <v>891</v>
      </c>
      <c r="C17" s="406" t="s">
        <v>902</v>
      </c>
      <c r="D17" s="406">
        <v>4</v>
      </c>
      <c r="E17" s="406">
        <v>11</v>
      </c>
      <c r="F17" s="406">
        <v>7451.2</v>
      </c>
      <c r="G17" s="406">
        <v>5637.73</v>
      </c>
      <c r="H17" s="407">
        <f t="shared" si="0"/>
      </c>
      <c r="I17" s="407">
        <f t="shared" si="1"/>
      </c>
      <c r="J17" s="407">
        <f t="shared" si="2"/>
      </c>
      <c r="K17" s="408">
        <v>1</v>
      </c>
      <c r="L17" s="408">
        <v>612</v>
      </c>
      <c r="M17" s="406"/>
      <c r="N17" s="406"/>
      <c r="O17" s="409"/>
      <c r="P17" s="409"/>
    </row>
    <row r="18">
      <c r="A18" s="405" t="s">
        <v>907</v>
      </c>
      <c r="B18" s="406" t="s">
        <v>896</v>
      </c>
      <c r="C18" s="406" t="s">
        <v>906</v>
      </c>
      <c r="D18" s="406">
        <v>4</v>
      </c>
      <c r="E18" s="406">
        <v>4</v>
      </c>
      <c r="F18" s="406">
        <v>5034</v>
      </c>
      <c r="G18" s="406">
        <v>2835.39</v>
      </c>
      <c r="H18" s="407">
        <f t="shared" si="0"/>
      </c>
      <c r="I18" s="407">
        <f t="shared" si="1"/>
      </c>
      <c r="J18" s="407">
        <f t="shared" si="2"/>
      </c>
      <c r="K18" s="408">
        <v>0</v>
      </c>
      <c r="L18" s="408">
        <v>0</v>
      </c>
      <c r="M18" s="406" t="s">
        <v>893</v>
      </c>
      <c r="N18" s="406">
        <v>8</v>
      </c>
      <c r="O18" s="406" t="s">
        <v>894</v>
      </c>
      <c r="P18" s="406">
        <v>8</v>
      </c>
    </row>
    <row r="19">
      <c r="A19" s="410" t="s">
        <v>907</v>
      </c>
      <c r="B19" s="411"/>
      <c r="C19" s="411"/>
      <c r="D19" s="412">
        <f>SUM(D17:D18)</f>
      </c>
      <c r="E19" s="412">
        <f>SUM(E17:E18)</f>
      </c>
      <c r="F19" s="412">
        <f>SUM(F17:F18)</f>
      </c>
      <c r="G19" s="412">
        <f>SUM(G17:G18)</f>
      </c>
      <c r="H19" s="413">
        <f t="shared" si="0"/>
      </c>
      <c r="I19" s="413">
        <f t="shared" si="1"/>
      </c>
      <c r="J19" s="413">
        <f t="shared" si="2"/>
      </c>
      <c r="K19" s="412">
        <f>SUM(K17:K18)</f>
      </c>
      <c r="L19" s="412">
        <f>SUM(L17:L18)</f>
      </c>
      <c r="M19" s="411"/>
      <c r="N19" s="412">
        <f>SUM(N17:N18)</f>
      </c>
      <c r="O19" s="411"/>
      <c r="P19" s="411"/>
    </row>
    <row r="20">
      <c r="A20" s="405" t="s">
        <v>908</v>
      </c>
      <c r="B20" s="406" t="s">
        <v>889</v>
      </c>
      <c r="C20" s="406" t="s">
        <v>902</v>
      </c>
      <c r="D20" s="406">
        <v>4</v>
      </c>
      <c r="E20" s="406">
        <v>7</v>
      </c>
      <c r="F20" s="406">
        <v>2529.6</v>
      </c>
      <c r="G20" s="406">
        <v>5640.99</v>
      </c>
      <c r="H20" s="407">
        <f t="shared" si="0"/>
      </c>
      <c r="I20" s="407">
        <f t="shared" si="1"/>
      </c>
      <c r="J20" s="407">
        <f t="shared" si="2"/>
      </c>
      <c r="K20" s="408">
        <v>3</v>
      </c>
      <c r="L20" s="408">
        <v>712.8</v>
      </c>
      <c r="M20" s="406"/>
      <c r="N20" s="406"/>
      <c r="O20" s="409"/>
      <c r="P20" s="409"/>
    </row>
    <row r="21">
      <c r="A21" s="405" t="s">
        <v>908</v>
      </c>
      <c r="B21" s="406" t="s">
        <v>896</v>
      </c>
      <c r="C21" s="406" t="s">
        <v>906</v>
      </c>
      <c r="D21" s="406">
        <v>4</v>
      </c>
      <c r="E21" s="406">
        <v>12</v>
      </c>
      <c r="F21" s="406">
        <v>6777.6</v>
      </c>
      <c r="G21" s="406">
        <v>6282.76</v>
      </c>
      <c r="H21" s="407">
        <f t="shared" si="0"/>
      </c>
      <c r="I21" s="407">
        <f t="shared" si="1"/>
      </c>
      <c r="J21" s="407">
        <f t="shared" si="2"/>
      </c>
      <c r="K21" s="408">
        <v>0</v>
      </c>
      <c r="L21" s="408">
        <v>0</v>
      </c>
      <c r="M21" s="406" t="s">
        <v>893</v>
      </c>
      <c r="N21" s="406">
        <v>8</v>
      </c>
      <c r="O21" s="406" t="s">
        <v>894</v>
      </c>
      <c r="P21" s="406">
        <v>8</v>
      </c>
    </row>
    <row r="22">
      <c r="A22" s="410" t="s">
        <v>908</v>
      </c>
      <c r="B22" s="411"/>
      <c r="C22" s="411"/>
      <c r="D22" s="412">
        <f>SUM(D20:D21)</f>
      </c>
      <c r="E22" s="412">
        <f>SUM(E20:E21)</f>
      </c>
      <c r="F22" s="412">
        <f>SUM(F20:F21)</f>
      </c>
      <c r="G22" s="412">
        <f>SUM(G20:G21)</f>
      </c>
      <c r="H22" s="413">
        <f t="shared" si="0"/>
      </c>
      <c r="I22" s="413">
        <f t="shared" si="1"/>
      </c>
      <c r="J22" s="413">
        <f t="shared" si="2"/>
      </c>
      <c r="K22" s="412">
        <f>SUM(K20:K21)</f>
      </c>
      <c r="L22" s="412">
        <f>SUM(L20:L21)</f>
      </c>
      <c r="M22" s="411"/>
      <c r="N22" s="412">
        <f>SUM(N20:N21)</f>
      </c>
      <c r="O22" s="411"/>
      <c r="P22" s="411"/>
    </row>
    <row r="23">
      <c r="A23" s="405" t="s">
        <v>909</v>
      </c>
      <c r="B23" s="406" t="s">
        <v>889</v>
      </c>
      <c r="C23" s="406" t="s">
        <v>890</v>
      </c>
      <c r="D23" s="406">
        <v>4</v>
      </c>
      <c r="E23" s="406">
        <v>13</v>
      </c>
      <c r="F23" s="406">
        <v>5760.2</v>
      </c>
      <c r="G23" s="406">
        <v>8046.52</v>
      </c>
      <c r="H23" s="407">
        <f t="shared" si="0"/>
      </c>
      <c r="I23" s="407">
        <f t="shared" si="1"/>
      </c>
      <c r="J23" s="407">
        <f t="shared" si="2"/>
      </c>
      <c r="K23" s="408">
        <v>2</v>
      </c>
      <c r="L23" s="408">
        <v>881</v>
      </c>
      <c r="M23" s="406"/>
      <c r="N23" s="406"/>
      <c r="O23" s="409"/>
      <c r="P23" s="409"/>
    </row>
    <row r="24">
      <c r="A24" s="405" t="s">
        <v>909</v>
      </c>
      <c r="B24" s="406" t="s">
        <v>891</v>
      </c>
      <c r="C24" s="406" t="s">
        <v>892</v>
      </c>
      <c r="D24" s="406">
        <v>4</v>
      </c>
      <c r="E24" s="406">
        <v>4</v>
      </c>
      <c r="F24" s="406">
        <v>1862.4</v>
      </c>
      <c r="G24" s="406">
        <v>6035.58</v>
      </c>
      <c r="H24" s="407">
        <f t="shared" si="0"/>
      </c>
      <c r="I24" s="407">
        <f t="shared" si="1"/>
      </c>
      <c r="J24" s="407">
        <f t="shared" si="2"/>
      </c>
      <c r="K24" s="408">
        <v>2</v>
      </c>
      <c r="L24" s="408">
        <v>733.2</v>
      </c>
      <c r="M24" s="406" t="s">
        <v>893</v>
      </c>
      <c r="N24" s="406">
        <v>8</v>
      </c>
      <c r="O24" s="406" t="s">
        <v>894</v>
      </c>
      <c r="P24" s="406">
        <v>8</v>
      </c>
    </row>
    <row r="25">
      <c r="A25" s="410" t="s">
        <v>909</v>
      </c>
      <c r="B25" s="411"/>
      <c r="C25" s="411"/>
      <c r="D25" s="412">
        <f>SUM(D23:D24)</f>
      </c>
      <c r="E25" s="412">
        <f>SUM(E23:E24)</f>
      </c>
      <c r="F25" s="412">
        <f>SUM(F23:F24)</f>
      </c>
      <c r="G25" s="412">
        <f>SUM(G23:G24)</f>
      </c>
      <c r="H25" s="413">
        <f t="shared" si="0"/>
      </c>
      <c r="I25" s="413">
        <f t="shared" si="1"/>
      </c>
      <c r="J25" s="413">
        <f t="shared" si="2"/>
      </c>
      <c r="K25" s="412">
        <f>SUM(K23:K24)</f>
      </c>
      <c r="L25" s="412">
        <f>SUM(L23:L24)</f>
      </c>
      <c r="M25" s="411"/>
      <c r="N25" s="412">
        <f>SUM(N23:N24)</f>
      </c>
      <c r="O25" s="411"/>
      <c r="P25" s="411"/>
    </row>
    <row r="26">
      <c r="A26" s="405" t="s">
        <v>910</v>
      </c>
      <c r="B26" s="406" t="s">
        <v>889</v>
      </c>
      <c r="C26" s="406" t="s">
        <v>911</v>
      </c>
      <c r="D26" s="406">
        <v>2</v>
      </c>
      <c r="E26" s="406">
        <v>1</v>
      </c>
      <c r="F26" s="406">
        <v>775.2</v>
      </c>
      <c r="G26" s="406">
        <v>3460.18</v>
      </c>
      <c r="H26" s="407">
        <f t="shared" si="0"/>
      </c>
      <c r="I26" s="407">
        <f t="shared" si="1"/>
      </c>
      <c r="J26" s="407">
        <f t="shared" si="2"/>
      </c>
      <c r="K26" s="408">
        <v>0</v>
      </c>
      <c r="L26" s="408">
        <v>0</v>
      </c>
      <c r="M26" s="406"/>
      <c r="N26" s="406"/>
      <c r="O26" s="409"/>
      <c r="P26" s="409"/>
    </row>
    <row r="27">
      <c r="A27" s="405" t="s">
        <v>910</v>
      </c>
      <c r="B27" s="406" t="s">
        <v>896</v>
      </c>
      <c r="C27" s="406" t="s">
        <v>892</v>
      </c>
      <c r="D27" s="406">
        <v>4</v>
      </c>
      <c r="E27" s="406">
        <v>12</v>
      </c>
      <c r="F27" s="406">
        <v>5049.6</v>
      </c>
      <c r="G27" s="406">
        <v>7898.27</v>
      </c>
      <c r="H27" s="407">
        <f t="shared" si="0"/>
      </c>
      <c r="I27" s="407">
        <f t="shared" si="1"/>
      </c>
      <c r="J27" s="407">
        <f t="shared" si="2"/>
      </c>
      <c r="K27" s="408">
        <v>1</v>
      </c>
      <c r="L27" s="408">
        <v>334.8</v>
      </c>
      <c r="M27" s="406" t="s">
        <v>893</v>
      </c>
      <c r="N27" s="406">
        <v>6</v>
      </c>
      <c r="O27" s="406" t="s">
        <v>894</v>
      </c>
      <c r="P27" s="406">
        <v>6</v>
      </c>
    </row>
    <row r="28">
      <c r="A28" s="410" t="s">
        <v>910</v>
      </c>
      <c r="B28" s="411"/>
      <c r="C28" s="411"/>
      <c r="D28" s="412">
        <f>SUM(D26:D27)</f>
      </c>
      <c r="E28" s="412">
        <f>SUM(E26:E27)</f>
      </c>
      <c r="F28" s="412">
        <f>SUM(F26:F27)</f>
      </c>
      <c r="G28" s="412">
        <f>SUM(G26:G27)</f>
      </c>
      <c r="H28" s="413">
        <f t="shared" si="0"/>
      </c>
      <c r="I28" s="413">
        <f t="shared" si="1"/>
      </c>
      <c r="J28" s="413">
        <f t="shared" si="2"/>
      </c>
      <c r="K28" s="412">
        <f>SUM(K26:K27)</f>
      </c>
      <c r="L28" s="412">
        <f>SUM(L26:L27)</f>
      </c>
      <c r="M28" s="411"/>
      <c r="N28" s="412">
        <f>SUM(N26:N27)</f>
      </c>
      <c r="O28" s="411"/>
      <c r="P28" s="411"/>
    </row>
    <row r="29">
      <c r="A29" s="405" t="s">
        <v>912</v>
      </c>
      <c r="B29" s="406" t="s">
        <v>896</v>
      </c>
      <c r="C29" s="406" t="s">
        <v>892</v>
      </c>
      <c r="D29" s="406">
        <v>4</v>
      </c>
      <c r="E29" s="406">
        <v>24</v>
      </c>
      <c r="F29" s="406">
        <v>21598</v>
      </c>
      <c r="G29" s="406">
        <v>13223.19</v>
      </c>
      <c r="H29" s="407">
        <f t="shared" si="0"/>
      </c>
      <c r="I29" s="407">
        <f t="shared" si="1"/>
      </c>
      <c r="J29" s="407">
        <f t="shared" si="2"/>
      </c>
      <c r="K29" s="408">
        <v>1</v>
      </c>
      <c r="L29" s="408">
        <v>1072</v>
      </c>
      <c r="M29" s="406" t="s">
        <v>893</v>
      </c>
      <c r="N29" s="406">
        <v>4</v>
      </c>
      <c r="O29" s="406" t="s">
        <v>894</v>
      </c>
      <c r="P29" s="406">
        <v>4</v>
      </c>
    </row>
    <row r="30">
      <c r="A30" s="410" t="s">
        <v>912</v>
      </c>
      <c r="B30" s="411"/>
      <c r="C30" s="411"/>
      <c r="D30" s="412">
        <f>SUM(D29)</f>
      </c>
      <c r="E30" s="412">
        <f>SUM(E29)</f>
      </c>
      <c r="F30" s="412">
        <f>SUM(F29)</f>
      </c>
      <c r="G30" s="412">
        <f>SUM(G29)</f>
      </c>
      <c r="H30" s="413">
        <f t="shared" si="0"/>
      </c>
      <c r="I30" s="413">
        <f t="shared" si="1"/>
      </c>
      <c r="J30" s="413">
        <f t="shared" si="2"/>
      </c>
      <c r="K30" s="412">
        <f>SUM(K29)</f>
      </c>
      <c r="L30" s="412">
        <f>SUM(L29)</f>
      </c>
      <c r="M30" s="411"/>
      <c r="N30" s="412">
        <f>SUM(N29)</f>
      </c>
      <c r="O30" s="411"/>
      <c r="P30" s="411"/>
    </row>
    <row r="31">
      <c r="A31" s="405" t="s">
        <v>913</v>
      </c>
      <c r="B31" s="406" t="s">
        <v>891</v>
      </c>
      <c r="C31" s="406" t="s">
        <v>914</v>
      </c>
      <c r="D31" s="406">
        <v>5</v>
      </c>
      <c r="E31" s="406">
        <v>34</v>
      </c>
      <c r="F31" s="406">
        <v>18935.8</v>
      </c>
      <c r="G31" s="406">
        <v>15974.33</v>
      </c>
      <c r="H31" s="407">
        <f t="shared" si="0"/>
      </c>
      <c r="I31" s="407">
        <f t="shared" si="1"/>
      </c>
      <c r="J31" s="407">
        <f t="shared" si="2"/>
      </c>
      <c r="K31" s="408">
        <v>6</v>
      </c>
      <c r="L31" s="408">
        <v>2523.4</v>
      </c>
      <c r="M31" s="406" t="s">
        <v>893</v>
      </c>
      <c r="N31" s="406">
        <v>5</v>
      </c>
      <c r="O31" s="406" t="s">
        <v>894</v>
      </c>
      <c r="P31" s="406">
        <v>5</v>
      </c>
    </row>
    <row r="32">
      <c r="A32" s="410" t="s">
        <v>913</v>
      </c>
      <c r="B32" s="411"/>
      <c r="C32" s="411"/>
      <c r="D32" s="412">
        <f>SUM(D31)</f>
      </c>
      <c r="E32" s="412">
        <f>SUM(E31)</f>
      </c>
      <c r="F32" s="412">
        <f>SUM(F31)</f>
      </c>
      <c r="G32" s="412">
        <f>SUM(G31)</f>
      </c>
      <c r="H32" s="413">
        <f t="shared" si="0"/>
      </c>
      <c r="I32" s="413">
        <f t="shared" si="1"/>
      </c>
      <c r="J32" s="413">
        <f t="shared" si="2"/>
      </c>
      <c r="K32" s="412">
        <f>SUM(K31)</f>
      </c>
      <c r="L32" s="412">
        <f>SUM(L31)</f>
      </c>
      <c r="M32" s="411"/>
      <c r="N32" s="412">
        <f>SUM(N31)</f>
      </c>
      <c r="O32" s="411"/>
      <c r="P32" s="411"/>
    </row>
    <row r="33">
      <c r="A33" s="405" t="s">
        <v>915</v>
      </c>
      <c r="B33" s="406" t="s">
        <v>891</v>
      </c>
      <c r="C33" s="406" t="s">
        <v>914</v>
      </c>
      <c r="D33" s="406">
        <v>5</v>
      </c>
      <c r="E33" s="406">
        <v>18</v>
      </c>
      <c r="F33" s="406">
        <v>21588.2</v>
      </c>
      <c r="G33" s="406">
        <v>13302.54</v>
      </c>
      <c r="H33" s="407">
        <f t="shared" si="0"/>
      </c>
      <c r="I33" s="407">
        <f t="shared" si="1"/>
      </c>
      <c r="J33" s="407">
        <f t="shared" si="2"/>
      </c>
      <c r="K33" s="408">
        <v>1</v>
      </c>
      <c r="L33" s="408">
        <v>465.6</v>
      </c>
      <c r="M33" s="406" t="s">
        <v>893</v>
      </c>
      <c r="N33" s="406">
        <v>5</v>
      </c>
      <c r="O33" s="406" t="s">
        <v>894</v>
      </c>
      <c r="P33" s="406">
        <v>5</v>
      </c>
    </row>
    <row r="34">
      <c r="A34" s="410" t="s">
        <v>915</v>
      </c>
      <c r="B34" s="411"/>
      <c r="C34" s="411"/>
      <c r="D34" s="412">
        <f>SUM(D33)</f>
      </c>
      <c r="E34" s="412">
        <f>SUM(E33)</f>
      </c>
      <c r="F34" s="412">
        <f>SUM(F33)</f>
      </c>
      <c r="G34" s="412">
        <f>SUM(G33)</f>
      </c>
      <c r="H34" s="413">
        <f t="shared" si="0"/>
      </c>
      <c r="I34" s="413">
        <f t="shared" si="1"/>
      </c>
      <c r="J34" s="413">
        <f t="shared" si="2"/>
      </c>
      <c r="K34" s="412">
        <f>SUM(K33)</f>
      </c>
      <c r="L34" s="412">
        <f>SUM(L33)</f>
      </c>
      <c r="M34" s="411"/>
      <c r="N34" s="412">
        <f>SUM(N33)</f>
      </c>
      <c r="O34" s="411"/>
      <c r="P34" s="411"/>
    </row>
    <row r="35">
      <c r="A35" s="405" t="s">
        <v>916</v>
      </c>
      <c r="B35" s="406" t="s">
        <v>891</v>
      </c>
      <c r="C35" s="406" t="s">
        <v>914</v>
      </c>
      <c r="D35" s="406">
        <v>5</v>
      </c>
      <c r="E35" s="406">
        <v>28</v>
      </c>
      <c r="F35" s="406">
        <v>18806</v>
      </c>
      <c r="G35" s="406">
        <v>14965.66</v>
      </c>
      <c r="H35" s="407">
        <f t="shared" si="0"/>
      </c>
      <c r="I35" s="407">
        <f t="shared" si="1"/>
      </c>
      <c r="J35" s="407">
        <f t="shared" si="2"/>
      </c>
      <c r="K35" s="408">
        <v>6</v>
      </c>
      <c r="L35" s="408">
        <v>5092</v>
      </c>
      <c r="M35" s="406" t="s">
        <v>893</v>
      </c>
      <c r="N35" s="406">
        <v>5</v>
      </c>
      <c r="O35" s="406" t="s">
        <v>894</v>
      </c>
      <c r="P35" s="406">
        <v>5</v>
      </c>
    </row>
    <row r="36">
      <c r="A36" s="410" t="s">
        <v>916</v>
      </c>
      <c r="B36" s="411"/>
      <c r="C36" s="411"/>
      <c r="D36" s="412">
        <f>SUM(D35)</f>
      </c>
      <c r="E36" s="412">
        <f>SUM(E35)</f>
      </c>
      <c r="F36" s="412">
        <f>SUM(F35)</f>
      </c>
      <c r="G36" s="412">
        <f>SUM(G35)</f>
      </c>
      <c r="H36" s="413">
        <f t="shared" si="0"/>
      </c>
      <c r="I36" s="413">
        <f t="shared" si="1"/>
      </c>
      <c r="J36" s="413">
        <f t="shared" si="2"/>
      </c>
      <c r="K36" s="412">
        <f>SUM(K35)</f>
      </c>
      <c r="L36" s="412">
        <f>SUM(L35)</f>
      </c>
      <c r="M36" s="411"/>
      <c r="N36" s="412">
        <f>SUM(N35)</f>
      </c>
      <c r="O36" s="411"/>
      <c r="P36" s="411"/>
    </row>
    <row r="37">
      <c r="A37" s="405" t="s">
        <v>917</v>
      </c>
      <c r="B37" s="406" t="s">
        <v>896</v>
      </c>
      <c r="C37" s="406" t="s">
        <v>914</v>
      </c>
      <c r="D37" s="406">
        <v>5</v>
      </c>
      <c r="E37" s="406">
        <v>41</v>
      </c>
      <c r="F37" s="406">
        <v>31235.6</v>
      </c>
      <c r="G37" s="406">
        <v>16868.07</v>
      </c>
      <c r="H37" s="407">
        <f t="shared" si="0"/>
      </c>
      <c r="I37" s="407">
        <f t="shared" si="1"/>
      </c>
      <c r="J37" s="407">
        <f t="shared" si="2"/>
      </c>
      <c r="K37" s="408">
        <v>7</v>
      </c>
      <c r="L37" s="408">
        <v>4227</v>
      </c>
      <c r="M37" s="406" t="s">
        <v>893</v>
      </c>
      <c r="N37" s="406">
        <v>5</v>
      </c>
      <c r="O37" s="406" t="s">
        <v>894</v>
      </c>
      <c r="P37" s="406">
        <v>5</v>
      </c>
    </row>
    <row r="38">
      <c r="A38" s="410" t="s">
        <v>917</v>
      </c>
      <c r="B38" s="411"/>
      <c r="C38" s="411"/>
      <c r="D38" s="412">
        <f>SUM(D37)</f>
      </c>
      <c r="E38" s="412">
        <f>SUM(E37)</f>
      </c>
      <c r="F38" s="412">
        <f>SUM(F37)</f>
      </c>
      <c r="G38" s="412">
        <f>SUM(G37)</f>
      </c>
      <c r="H38" s="413">
        <f t="shared" si="0"/>
      </c>
      <c r="I38" s="413">
        <f t="shared" si="1"/>
      </c>
      <c r="J38" s="413">
        <f t="shared" si="2"/>
      </c>
      <c r="K38" s="412">
        <f>SUM(K37)</f>
      </c>
      <c r="L38" s="412">
        <f>SUM(L37)</f>
      </c>
      <c r="M38" s="411"/>
      <c r="N38" s="412">
        <f>SUM(N37)</f>
      </c>
      <c r="O38" s="411"/>
      <c r="P38" s="411"/>
    </row>
    <row r="39">
      <c r="A39" s="405" t="s">
        <v>918</v>
      </c>
      <c r="B39" s="406" t="s">
        <v>889</v>
      </c>
      <c r="C39" s="406" t="s">
        <v>914</v>
      </c>
      <c r="D39" s="406">
        <v>5</v>
      </c>
      <c r="E39" s="406">
        <v>30</v>
      </c>
      <c r="F39" s="406">
        <v>17213.8</v>
      </c>
      <c r="G39" s="406">
        <v>14140.95</v>
      </c>
      <c r="H39" s="407">
        <f t="shared" si="0"/>
      </c>
      <c r="I39" s="407">
        <f t="shared" si="1"/>
      </c>
      <c r="J39" s="407">
        <f t="shared" si="2"/>
      </c>
      <c r="K39" s="408">
        <v>2</v>
      </c>
      <c r="L39" s="408">
        <v>1269.6</v>
      </c>
      <c r="M39" s="406" t="s">
        <v>893</v>
      </c>
      <c r="N39" s="406">
        <v>5</v>
      </c>
      <c r="O39" s="406" t="s">
        <v>894</v>
      </c>
      <c r="P39" s="406">
        <v>5</v>
      </c>
    </row>
    <row r="40">
      <c r="A40" s="410" t="s">
        <v>918</v>
      </c>
      <c r="B40" s="411"/>
      <c r="C40" s="411"/>
      <c r="D40" s="412">
        <f>SUM(D39)</f>
      </c>
      <c r="E40" s="412">
        <f>SUM(E39)</f>
      </c>
      <c r="F40" s="412">
        <f>SUM(F39)</f>
      </c>
      <c r="G40" s="412">
        <f>SUM(G39)</f>
      </c>
      <c r="H40" s="413">
        <f t="shared" si="0"/>
      </c>
      <c r="I40" s="413">
        <f t="shared" si="1"/>
      </c>
      <c r="J40" s="413">
        <f t="shared" si="2"/>
      </c>
      <c r="K40" s="412">
        <f>SUM(K39)</f>
      </c>
      <c r="L40" s="412">
        <f>SUM(L39)</f>
      </c>
      <c r="M40" s="411"/>
      <c r="N40" s="412">
        <f>SUM(N39)</f>
      </c>
      <c r="O40" s="411"/>
      <c r="P40" s="411"/>
    </row>
    <row r="41">
      <c r="A41" s="405" t="s">
        <v>919</v>
      </c>
      <c r="B41" s="406" t="s">
        <v>891</v>
      </c>
      <c r="C41" s="406" t="s">
        <v>890</v>
      </c>
      <c r="D41" s="406">
        <v>4</v>
      </c>
      <c r="E41" s="406">
        <v>11</v>
      </c>
      <c r="F41" s="406">
        <v>5263.4</v>
      </c>
      <c r="G41" s="406">
        <v>10853.82</v>
      </c>
      <c r="H41" s="407">
        <f t="shared" si="0"/>
      </c>
      <c r="I41" s="407">
        <f t="shared" si="1"/>
      </c>
      <c r="J41" s="407">
        <f t="shared" si="2"/>
      </c>
      <c r="K41" s="408">
        <v>3</v>
      </c>
      <c r="L41" s="408">
        <v>1556.4</v>
      </c>
      <c r="M41" s="406"/>
      <c r="N41" s="406"/>
      <c r="O41" s="409"/>
      <c r="P41" s="409"/>
    </row>
    <row r="42">
      <c r="A42" s="405" t="s">
        <v>919</v>
      </c>
      <c r="B42" s="406" t="s">
        <v>896</v>
      </c>
      <c r="C42" s="406" t="s">
        <v>892</v>
      </c>
      <c r="D42" s="406">
        <v>4</v>
      </c>
      <c r="E42" s="406">
        <v>16</v>
      </c>
      <c r="F42" s="406">
        <v>11572.6</v>
      </c>
      <c r="G42" s="406">
        <v>11390.47</v>
      </c>
      <c r="H42" s="407">
        <f t="shared" si="0"/>
      </c>
      <c r="I42" s="407">
        <f t="shared" si="1"/>
      </c>
      <c r="J42" s="407">
        <f t="shared" si="2"/>
      </c>
      <c r="K42" s="408">
        <v>1</v>
      </c>
      <c r="L42" s="408">
        <v>559</v>
      </c>
      <c r="M42" s="406" t="s">
        <v>893</v>
      </c>
      <c r="N42" s="406">
        <v>8</v>
      </c>
      <c r="O42" s="406" t="s">
        <v>894</v>
      </c>
      <c r="P42" s="406">
        <v>8</v>
      </c>
    </row>
    <row r="43">
      <c r="A43" s="410" t="s">
        <v>919</v>
      </c>
      <c r="B43" s="411"/>
      <c r="C43" s="411"/>
      <c r="D43" s="412">
        <f>SUM(D41:D42)</f>
      </c>
      <c r="E43" s="412">
        <f>SUM(E41:E42)</f>
      </c>
      <c r="F43" s="412">
        <f>SUM(F41:F42)</f>
      </c>
      <c r="G43" s="412">
        <f>SUM(G41:G42)</f>
      </c>
      <c r="H43" s="413">
        <f t="shared" si="0"/>
      </c>
      <c r="I43" s="413">
        <f t="shared" si="1"/>
      </c>
      <c r="J43" s="413">
        <f t="shared" si="2"/>
      </c>
      <c r="K43" s="412">
        <f>SUM(K41:K42)</f>
      </c>
      <c r="L43" s="412">
        <f>SUM(L41:L42)</f>
      </c>
      <c r="M43" s="411"/>
      <c r="N43" s="412">
        <f>SUM(N41:N42)</f>
      </c>
      <c r="O43" s="411"/>
      <c r="P43" s="411"/>
    </row>
    <row r="44">
      <c r="A44" s="405" t="s">
        <v>920</v>
      </c>
      <c r="B44" s="406" t="s">
        <v>891</v>
      </c>
      <c r="C44" s="406" t="s">
        <v>890</v>
      </c>
      <c r="D44" s="406">
        <v>4</v>
      </c>
      <c r="E44" s="406">
        <v>18</v>
      </c>
      <c r="F44" s="406">
        <v>11605.2</v>
      </c>
      <c r="G44" s="406">
        <v>13067.02</v>
      </c>
      <c r="H44" s="407">
        <f t="shared" si="0"/>
      </c>
      <c r="I44" s="407">
        <f t="shared" si="1"/>
      </c>
      <c r="J44" s="407">
        <f t="shared" si="2"/>
      </c>
      <c r="K44" s="408">
        <v>3</v>
      </c>
      <c r="L44" s="408">
        <v>1094.4</v>
      </c>
      <c r="M44" s="406"/>
      <c r="N44" s="406"/>
      <c r="O44" s="409"/>
      <c r="P44" s="409"/>
    </row>
    <row r="45">
      <c r="A45" s="405" t="s">
        <v>920</v>
      </c>
      <c r="B45" s="406" t="s">
        <v>889</v>
      </c>
      <c r="C45" s="406" t="s">
        <v>892</v>
      </c>
      <c r="D45" s="406">
        <v>4</v>
      </c>
      <c r="E45" s="406">
        <v>18</v>
      </c>
      <c r="F45" s="406">
        <v>10389.6</v>
      </c>
      <c r="G45" s="406">
        <v>10344.33</v>
      </c>
      <c r="H45" s="407">
        <f t="shared" si="0"/>
      </c>
      <c r="I45" s="407">
        <f t="shared" si="1"/>
      </c>
      <c r="J45" s="407">
        <f t="shared" si="2"/>
      </c>
      <c r="K45" s="408">
        <v>0</v>
      </c>
      <c r="L45" s="408">
        <v>0</v>
      </c>
      <c r="M45" s="406" t="s">
        <v>893</v>
      </c>
      <c r="N45" s="406">
        <v>8</v>
      </c>
      <c r="O45" s="406" t="s">
        <v>894</v>
      </c>
      <c r="P45" s="406">
        <v>8</v>
      </c>
    </row>
    <row r="46">
      <c r="A46" s="410" t="s">
        <v>920</v>
      </c>
      <c r="B46" s="411"/>
      <c r="C46" s="411"/>
      <c r="D46" s="412">
        <f>SUM(D44:D45)</f>
      </c>
      <c r="E46" s="412">
        <f>SUM(E44:E45)</f>
      </c>
      <c r="F46" s="412">
        <f>SUM(F44:F45)</f>
      </c>
      <c r="G46" s="412">
        <f>SUM(G44:G45)</f>
      </c>
      <c r="H46" s="413">
        <f t="shared" si="0"/>
      </c>
      <c r="I46" s="413">
        <f t="shared" si="1"/>
      </c>
      <c r="J46" s="413">
        <f t="shared" si="2"/>
      </c>
      <c r="K46" s="412">
        <f>SUM(K44:K45)</f>
      </c>
      <c r="L46" s="412">
        <f>SUM(L44:L45)</f>
      </c>
      <c r="M46" s="411"/>
      <c r="N46" s="412">
        <f>SUM(N44:N45)</f>
      </c>
      <c r="O46" s="411"/>
      <c r="P46" s="411"/>
    </row>
    <row r="47">
      <c r="A47" s="405" t="s">
        <v>921</v>
      </c>
      <c r="B47" s="406" t="s">
        <v>891</v>
      </c>
      <c r="C47" s="406" t="s">
        <v>890</v>
      </c>
      <c r="D47" s="406">
        <v>4</v>
      </c>
      <c r="E47" s="406">
        <v>22</v>
      </c>
      <c r="F47" s="406">
        <v>18852.2</v>
      </c>
      <c r="G47" s="406">
        <v>12288.51</v>
      </c>
      <c r="H47" s="407">
        <f t="shared" si="0"/>
      </c>
      <c r="I47" s="407">
        <f t="shared" si="1"/>
      </c>
      <c r="J47" s="407">
        <f t="shared" si="2"/>
      </c>
      <c r="K47" s="408">
        <v>3</v>
      </c>
      <c r="L47" s="408">
        <v>1508.4</v>
      </c>
      <c r="M47" s="406"/>
      <c r="N47" s="406"/>
      <c r="O47" s="409"/>
      <c r="P47" s="409"/>
    </row>
    <row r="48">
      <c r="A48" s="405" t="s">
        <v>921</v>
      </c>
      <c r="B48" s="406" t="s">
        <v>896</v>
      </c>
      <c r="C48" s="406" t="s">
        <v>892</v>
      </c>
      <c r="D48" s="406">
        <v>4</v>
      </c>
      <c r="E48" s="406">
        <v>22</v>
      </c>
      <c r="F48" s="406">
        <v>11307</v>
      </c>
      <c r="G48" s="406">
        <v>11886.13</v>
      </c>
      <c r="H48" s="407">
        <f t="shared" si="0"/>
      </c>
      <c r="I48" s="407">
        <f t="shared" si="1"/>
      </c>
      <c r="J48" s="407">
        <f t="shared" si="2"/>
      </c>
      <c r="K48" s="408">
        <v>11</v>
      </c>
      <c r="L48" s="408">
        <v>6560.2</v>
      </c>
      <c r="M48" s="406" t="s">
        <v>893</v>
      </c>
      <c r="N48" s="406">
        <v>8</v>
      </c>
      <c r="O48" s="406" t="s">
        <v>894</v>
      </c>
      <c r="P48" s="406">
        <v>8</v>
      </c>
    </row>
    <row r="49">
      <c r="A49" s="410" t="s">
        <v>921</v>
      </c>
      <c r="B49" s="411"/>
      <c r="C49" s="411"/>
      <c r="D49" s="412">
        <f>SUM(D47:D48)</f>
      </c>
      <c r="E49" s="412">
        <f>SUM(E47:E48)</f>
      </c>
      <c r="F49" s="412">
        <f>SUM(F47:F48)</f>
      </c>
      <c r="G49" s="412">
        <f>SUM(G47:G48)</f>
      </c>
      <c r="H49" s="413">
        <f t="shared" si="0"/>
      </c>
      <c r="I49" s="413">
        <f t="shared" si="1"/>
      </c>
      <c r="J49" s="413">
        <f t="shared" si="2"/>
      </c>
      <c r="K49" s="412">
        <f>SUM(K47:K48)</f>
      </c>
      <c r="L49" s="412">
        <f>SUM(L47:L48)</f>
      </c>
      <c r="M49" s="411"/>
      <c r="N49" s="412">
        <f>SUM(N47:N48)</f>
      </c>
      <c r="O49" s="411"/>
      <c r="P49" s="411"/>
    </row>
    <row r="50">
      <c r="A50" s="405" t="s">
        <v>922</v>
      </c>
      <c r="B50" s="406" t="s">
        <v>891</v>
      </c>
      <c r="C50" s="406" t="s">
        <v>890</v>
      </c>
      <c r="D50" s="406">
        <v>4</v>
      </c>
      <c r="E50" s="406">
        <v>17</v>
      </c>
      <c r="F50" s="406">
        <v>8372.4</v>
      </c>
      <c r="G50" s="406">
        <v>13708.93</v>
      </c>
      <c r="H50" s="407">
        <f t="shared" si="0"/>
      </c>
      <c r="I50" s="407">
        <f t="shared" si="1"/>
      </c>
      <c r="J50" s="407">
        <f t="shared" si="2"/>
      </c>
      <c r="K50" s="408">
        <v>4</v>
      </c>
      <c r="L50" s="408">
        <v>1710.4</v>
      </c>
      <c r="M50" s="406"/>
      <c r="N50" s="406"/>
      <c r="O50" s="409"/>
      <c r="P50" s="409"/>
    </row>
    <row r="51">
      <c r="A51" s="405" t="s">
        <v>922</v>
      </c>
      <c r="B51" s="406" t="s">
        <v>896</v>
      </c>
      <c r="C51" s="406" t="s">
        <v>892</v>
      </c>
      <c r="D51" s="406">
        <v>4</v>
      </c>
      <c r="E51" s="406">
        <v>16</v>
      </c>
      <c r="F51" s="406">
        <v>10418.6</v>
      </c>
      <c r="G51" s="406">
        <v>10183.69</v>
      </c>
      <c r="H51" s="407">
        <f t="shared" si="0"/>
      </c>
      <c r="I51" s="407">
        <f t="shared" si="1"/>
      </c>
      <c r="J51" s="407">
        <f t="shared" si="2"/>
      </c>
      <c r="K51" s="408">
        <v>1</v>
      </c>
      <c r="L51" s="408">
        <v>294</v>
      </c>
      <c r="M51" s="406" t="s">
        <v>893</v>
      </c>
      <c r="N51" s="406">
        <v>8</v>
      </c>
      <c r="O51" s="406" t="s">
        <v>894</v>
      </c>
      <c r="P51" s="406">
        <v>8</v>
      </c>
    </row>
    <row r="52">
      <c r="A52" s="410" t="s">
        <v>922</v>
      </c>
      <c r="B52" s="411"/>
      <c r="C52" s="411"/>
      <c r="D52" s="412">
        <f>SUM(D50:D51)</f>
      </c>
      <c r="E52" s="412">
        <f>SUM(E50:E51)</f>
      </c>
      <c r="F52" s="412">
        <f>SUM(F50:F51)</f>
      </c>
      <c r="G52" s="412">
        <f>SUM(G50:G51)</f>
      </c>
      <c r="H52" s="413">
        <f t="shared" si="0"/>
      </c>
      <c r="I52" s="413">
        <f t="shared" si="1"/>
      </c>
      <c r="J52" s="413">
        <f t="shared" si="2"/>
      </c>
      <c r="K52" s="412">
        <f>SUM(K50:K51)</f>
      </c>
      <c r="L52" s="412">
        <f>SUM(L50:L51)</f>
      </c>
      <c r="M52" s="411"/>
      <c r="N52" s="412">
        <f>SUM(N50:N51)</f>
      </c>
      <c r="O52" s="411"/>
      <c r="P52" s="411"/>
    </row>
    <row r="53">
      <c r="A53" s="405" t="s">
        <v>923</v>
      </c>
      <c r="B53" s="406" t="s">
        <v>891</v>
      </c>
      <c r="C53" s="406" t="s">
        <v>890</v>
      </c>
      <c r="D53" s="406">
        <v>4</v>
      </c>
      <c r="E53" s="406">
        <v>10</v>
      </c>
      <c r="F53" s="406">
        <v>5286.8</v>
      </c>
      <c r="G53" s="406">
        <v>9193.83</v>
      </c>
      <c r="H53" s="407">
        <f t="shared" si="0"/>
      </c>
      <c r="I53" s="407">
        <f t="shared" si="1"/>
      </c>
      <c r="J53" s="407">
        <f t="shared" si="2"/>
      </c>
      <c r="K53" s="408">
        <v>0</v>
      </c>
      <c r="L53" s="408">
        <v>0</v>
      </c>
      <c r="M53" s="406"/>
      <c r="N53" s="406"/>
      <c r="O53" s="409"/>
      <c r="P53" s="409"/>
    </row>
    <row r="54">
      <c r="A54" s="405" t="s">
        <v>923</v>
      </c>
      <c r="B54" s="406" t="s">
        <v>889</v>
      </c>
      <c r="C54" s="406" t="s">
        <v>892</v>
      </c>
      <c r="D54" s="406">
        <v>4</v>
      </c>
      <c r="E54" s="406">
        <v>13</v>
      </c>
      <c r="F54" s="406">
        <v>8100</v>
      </c>
      <c r="G54" s="406">
        <v>11057.41</v>
      </c>
      <c r="H54" s="407">
        <f t="shared" si="0"/>
      </c>
      <c r="I54" s="407">
        <f t="shared" si="1"/>
      </c>
      <c r="J54" s="407">
        <f t="shared" si="2"/>
      </c>
      <c r="K54" s="408">
        <v>1</v>
      </c>
      <c r="L54" s="408">
        <v>612</v>
      </c>
      <c r="M54" s="406" t="s">
        <v>893</v>
      </c>
      <c r="N54" s="406">
        <v>8</v>
      </c>
      <c r="O54" s="406" t="s">
        <v>894</v>
      </c>
      <c r="P54" s="406">
        <v>8</v>
      </c>
    </row>
    <row r="55">
      <c r="A55" s="410" t="s">
        <v>923</v>
      </c>
      <c r="B55" s="411"/>
      <c r="C55" s="411"/>
      <c r="D55" s="412">
        <f>SUM(D53:D54)</f>
      </c>
      <c r="E55" s="412">
        <f>SUM(E53:E54)</f>
      </c>
      <c r="F55" s="412">
        <f>SUM(F53:F54)</f>
      </c>
      <c r="G55" s="412">
        <f>SUM(G53:G54)</f>
      </c>
      <c r="H55" s="413">
        <f t="shared" si="0"/>
      </c>
      <c r="I55" s="413">
        <f t="shared" si="1"/>
      </c>
      <c r="J55" s="413">
        <f t="shared" si="2"/>
      </c>
      <c r="K55" s="412">
        <f>SUM(K53:K54)</f>
      </c>
      <c r="L55" s="412">
        <f>SUM(L53:L54)</f>
      </c>
      <c r="M55" s="411"/>
      <c r="N55" s="412">
        <f>SUM(N53:N54)</f>
      </c>
      <c r="O55" s="411"/>
      <c r="P55" s="411"/>
    </row>
    <row r="56">
      <c r="A56" s="405" t="s">
        <v>924</v>
      </c>
      <c r="B56" s="406" t="s">
        <v>891</v>
      </c>
      <c r="C56" s="406" t="s">
        <v>914</v>
      </c>
      <c r="D56" s="406">
        <v>5</v>
      </c>
      <c r="E56" s="406">
        <v>23</v>
      </c>
      <c r="F56" s="406">
        <v>23440.4</v>
      </c>
      <c r="G56" s="406">
        <v>13498.48</v>
      </c>
      <c r="H56" s="407">
        <f t="shared" si="0"/>
      </c>
      <c r="I56" s="407">
        <f t="shared" si="1"/>
      </c>
      <c r="J56" s="407">
        <f t="shared" si="2"/>
      </c>
      <c r="K56" s="408">
        <v>6</v>
      </c>
      <c r="L56" s="408">
        <v>3139.2</v>
      </c>
      <c r="M56" s="406" t="s">
        <v>893</v>
      </c>
      <c r="N56" s="406">
        <v>5</v>
      </c>
      <c r="O56" s="406" t="s">
        <v>894</v>
      </c>
      <c r="P56" s="406">
        <v>5</v>
      </c>
    </row>
    <row r="57">
      <c r="A57" s="410" t="s">
        <v>924</v>
      </c>
      <c r="B57" s="411"/>
      <c r="C57" s="411"/>
      <c r="D57" s="412">
        <f>SUM(D56)</f>
      </c>
      <c r="E57" s="412">
        <f>SUM(E56)</f>
      </c>
      <c r="F57" s="412">
        <f>SUM(F56)</f>
      </c>
      <c r="G57" s="412">
        <f>SUM(G56)</f>
      </c>
      <c r="H57" s="413">
        <f t="shared" si="0"/>
      </c>
      <c r="I57" s="413">
        <f t="shared" si="1"/>
      </c>
      <c r="J57" s="413">
        <f t="shared" si="2"/>
      </c>
      <c r="K57" s="412">
        <f>SUM(K56)</f>
      </c>
      <c r="L57" s="412">
        <f>SUM(L56)</f>
      </c>
      <c r="M57" s="411"/>
      <c r="N57" s="412">
        <f>SUM(N56)</f>
      </c>
      <c r="O57" s="411"/>
      <c r="P57" s="411"/>
    </row>
    <row r="58">
      <c r="A58" s="405" t="s">
        <v>925</v>
      </c>
      <c r="B58" s="406" t="s">
        <v>889</v>
      </c>
      <c r="C58" s="406" t="s">
        <v>914</v>
      </c>
      <c r="D58" s="406">
        <v>5</v>
      </c>
      <c r="E58" s="406">
        <v>13</v>
      </c>
      <c r="F58" s="406">
        <v>7182.4</v>
      </c>
      <c r="G58" s="406">
        <v>14060.24</v>
      </c>
      <c r="H58" s="407">
        <f t="shared" si="0"/>
      </c>
      <c r="I58" s="407">
        <f t="shared" si="1"/>
      </c>
      <c r="J58" s="407">
        <f t="shared" si="2"/>
      </c>
      <c r="K58" s="408">
        <v>1</v>
      </c>
      <c r="L58" s="408">
        <v>696</v>
      </c>
      <c r="M58" s="406" t="s">
        <v>893</v>
      </c>
      <c r="N58" s="406">
        <v>5</v>
      </c>
      <c r="O58" s="406" t="s">
        <v>894</v>
      </c>
      <c r="P58" s="406">
        <v>5</v>
      </c>
    </row>
    <row r="59">
      <c r="A59" s="410" t="s">
        <v>925</v>
      </c>
      <c r="B59" s="411"/>
      <c r="C59" s="411"/>
      <c r="D59" s="412">
        <f>SUM(D58)</f>
      </c>
      <c r="E59" s="412">
        <f>SUM(E58)</f>
      </c>
      <c r="F59" s="412">
        <f>SUM(F58)</f>
      </c>
      <c r="G59" s="412">
        <f>SUM(G58)</f>
      </c>
      <c r="H59" s="413">
        <f t="shared" si="0"/>
      </c>
      <c r="I59" s="413">
        <f t="shared" si="1"/>
      </c>
      <c r="J59" s="413">
        <f t="shared" si="2"/>
      </c>
      <c r="K59" s="412">
        <f>SUM(K58)</f>
      </c>
      <c r="L59" s="412">
        <f>SUM(L58)</f>
      </c>
      <c r="M59" s="411"/>
      <c r="N59" s="412">
        <f>SUM(N58)</f>
      </c>
      <c r="O59" s="411"/>
      <c r="P59" s="411"/>
    </row>
    <row r="60">
      <c r="A60" s="405" t="s">
        <v>926</v>
      </c>
      <c r="B60" s="406" t="s">
        <v>896</v>
      </c>
      <c r="C60" s="406" t="s">
        <v>914</v>
      </c>
      <c r="D60" s="406">
        <v>5</v>
      </c>
      <c r="E60" s="406">
        <v>20</v>
      </c>
      <c r="F60" s="406">
        <v>14595</v>
      </c>
      <c r="G60" s="406">
        <v>12630.400000000003</v>
      </c>
      <c r="H60" s="407">
        <f t="shared" si="0"/>
      </c>
      <c r="I60" s="407">
        <f t="shared" si="1"/>
      </c>
      <c r="J60" s="407">
        <f t="shared" si="2"/>
      </c>
      <c r="K60" s="408">
        <v>2</v>
      </c>
      <c r="L60" s="408">
        <v>506.4</v>
      </c>
      <c r="M60" s="406" t="s">
        <v>927</v>
      </c>
      <c r="N60" s="406">
        <v>2</v>
      </c>
      <c r="O60" s="406" t="s">
        <v>894</v>
      </c>
      <c r="P60" s="406">
        <v>5</v>
      </c>
    </row>
    <row r="61">
      <c r="A61" s="410" t="s">
        <v>926</v>
      </c>
      <c r="B61" s="411"/>
      <c r="C61" s="411"/>
      <c r="D61" s="412">
        <f>SUM(D60)</f>
      </c>
      <c r="E61" s="412">
        <f>SUM(E60)</f>
      </c>
      <c r="F61" s="412">
        <f>SUM(F60)</f>
      </c>
      <c r="G61" s="412">
        <f>SUM(G60)</f>
      </c>
      <c r="H61" s="413">
        <f t="shared" si="0"/>
      </c>
      <c r="I61" s="413">
        <f t="shared" si="1"/>
      </c>
      <c r="J61" s="413">
        <f t="shared" si="2"/>
      </c>
      <c r="K61" s="412">
        <f>SUM(K60)</f>
      </c>
      <c r="L61" s="412">
        <f>SUM(L60)</f>
      </c>
      <c r="M61" s="411"/>
      <c r="N61" s="412">
        <f>SUM(N60)</f>
      </c>
      <c r="O61" s="411"/>
      <c r="P61" s="411"/>
    </row>
    <row r="62">
      <c r="A62" s="405" t="s">
        <v>928</v>
      </c>
      <c r="B62" s="406" t="s">
        <v>889</v>
      </c>
      <c r="C62" s="406" t="s">
        <v>900</v>
      </c>
      <c r="D62" s="406">
        <v>4</v>
      </c>
      <c r="E62" s="406">
        <v>11</v>
      </c>
      <c r="F62" s="406">
        <v>4825.2</v>
      </c>
      <c r="G62" s="406">
        <v>10854.96</v>
      </c>
      <c r="H62" s="407">
        <f t="shared" si="0"/>
      </c>
      <c r="I62" s="407">
        <f t="shared" si="1"/>
      </c>
      <c r="J62" s="407">
        <f t="shared" si="2"/>
      </c>
      <c r="K62" s="408">
        <v>1</v>
      </c>
      <c r="L62" s="408">
        <v>327.6</v>
      </c>
      <c r="M62" s="406" t="s">
        <v>929</v>
      </c>
      <c r="N62" s="406">
        <v>4</v>
      </c>
      <c r="O62" s="406" t="s">
        <v>894</v>
      </c>
      <c r="P62" s="406">
        <v>4</v>
      </c>
    </row>
    <row r="63">
      <c r="A63" s="410" t="s">
        <v>928</v>
      </c>
      <c r="B63" s="411"/>
      <c r="C63" s="411"/>
      <c r="D63" s="412">
        <f>SUM(D62)</f>
      </c>
      <c r="E63" s="412">
        <f>SUM(E62)</f>
      </c>
      <c r="F63" s="412">
        <f>SUM(F62)</f>
      </c>
      <c r="G63" s="412">
        <f>SUM(G62)</f>
      </c>
      <c r="H63" s="413">
        <f t="shared" si="0"/>
      </c>
      <c r="I63" s="413">
        <f t="shared" si="1"/>
      </c>
      <c r="J63" s="413">
        <f t="shared" si="2"/>
      </c>
      <c r="K63" s="412">
        <f>SUM(K62)</f>
      </c>
      <c r="L63" s="412">
        <f>SUM(L62)</f>
      </c>
      <c r="M63" s="411"/>
      <c r="N63" s="412">
        <f>SUM(N62)</f>
      </c>
      <c r="O63" s="411"/>
      <c r="P63" s="411"/>
    </row>
    <row r="64">
      <c r="A64" s="405" t="s">
        <v>930</v>
      </c>
      <c r="B64" s="406" t="s">
        <v>891</v>
      </c>
      <c r="C64" s="406" t="s">
        <v>900</v>
      </c>
      <c r="D64" s="406">
        <v>4</v>
      </c>
      <c r="E64" s="406">
        <v>8</v>
      </c>
      <c r="F64" s="406">
        <v>3993.8</v>
      </c>
      <c r="G64" s="406">
        <v>10741.72</v>
      </c>
      <c r="H64" s="407">
        <f t="shared" si="0"/>
      </c>
      <c r="I64" s="407">
        <f t="shared" si="1"/>
      </c>
      <c r="J64" s="407">
        <f t="shared" si="2"/>
      </c>
      <c r="K64" s="408">
        <v>3</v>
      </c>
      <c r="L64" s="408">
        <v>1183.2</v>
      </c>
      <c r="M64" s="406" t="s">
        <v>929</v>
      </c>
      <c r="N64" s="406">
        <v>4</v>
      </c>
      <c r="O64" s="406" t="s">
        <v>894</v>
      </c>
      <c r="P64" s="406">
        <v>4</v>
      </c>
    </row>
    <row r="65">
      <c r="A65" s="410" t="s">
        <v>930</v>
      </c>
      <c r="B65" s="411"/>
      <c r="C65" s="411"/>
      <c r="D65" s="412">
        <f>SUM(D64)</f>
      </c>
      <c r="E65" s="412">
        <f>SUM(E64)</f>
      </c>
      <c r="F65" s="412">
        <f>SUM(F64)</f>
      </c>
      <c r="G65" s="412">
        <f>SUM(G64)</f>
      </c>
      <c r="H65" s="413">
        <f t="shared" si="0"/>
      </c>
      <c r="I65" s="413">
        <f t="shared" si="1"/>
      </c>
      <c r="J65" s="413">
        <f t="shared" si="2"/>
      </c>
      <c r="K65" s="412">
        <f>SUM(K64)</f>
      </c>
      <c r="L65" s="412">
        <f>SUM(L64)</f>
      </c>
      <c r="M65" s="411"/>
      <c r="N65" s="412">
        <f>SUM(N64)</f>
      </c>
      <c r="O65" s="411"/>
      <c r="P65" s="411"/>
    </row>
    <row r="66">
      <c r="A66" s="405" t="s">
        <v>931</v>
      </c>
      <c r="B66" s="406" t="s">
        <v>891</v>
      </c>
      <c r="C66" s="406" t="s">
        <v>914</v>
      </c>
      <c r="D66" s="406">
        <v>5</v>
      </c>
      <c r="E66" s="406">
        <v>19</v>
      </c>
      <c r="F66" s="406">
        <v>15698.4</v>
      </c>
      <c r="G66" s="406">
        <v>13899.29</v>
      </c>
      <c r="H66" s="407">
        <f t="shared" si="0"/>
      </c>
      <c r="I66" s="407">
        <f t="shared" si="1"/>
      </c>
      <c r="J66" s="407">
        <f t="shared" si="2"/>
      </c>
      <c r="K66" s="408">
        <v>3</v>
      </c>
      <c r="L66" s="408">
        <v>5737</v>
      </c>
      <c r="M66" s="406" t="s">
        <v>929</v>
      </c>
      <c r="N66" s="406">
        <v>5</v>
      </c>
      <c r="O66" s="406" t="s">
        <v>894</v>
      </c>
      <c r="P66" s="406">
        <v>5</v>
      </c>
    </row>
    <row r="67">
      <c r="A67" s="410" t="s">
        <v>931</v>
      </c>
      <c r="B67" s="411"/>
      <c r="C67" s="411"/>
      <c r="D67" s="412">
        <f>SUM(D66)</f>
      </c>
      <c r="E67" s="412">
        <f>SUM(E66)</f>
      </c>
      <c r="F67" s="412">
        <f>SUM(F66)</f>
      </c>
      <c r="G67" s="412">
        <f>SUM(G66)</f>
      </c>
      <c r="H67" s="413">
        <f t="shared" si="0"/>
      </c>
      <c r="I67" s="413">
        <f t="shared" si="1"/>
      </c>
      <c r="J67" s="413">
        <f t="shared" si="2"/>
      </c>
      <c r="K67" s="412">
        <f>SUM(K66)</f>
      </c>
      <c r="L67" s="412">
        <f>SUM(L66)</f>
      </c>
      <c r="M67" s="411"/>
      <c r="N67" s="412">
        <f>SUM(N66)</f>
      </c>
      <c r="O67" s="411"/>
      <c r="P67" s="411"/>
    </row>
    <row r="68">
      <c r="A68" s="405" t="s">
        <v>932</v>
      </c>
      <c r="B68" s="406" t="s">
        <v>896</v>
      </c>
      <c r="C68" s="406" t="s">
        <v>914</v>
      </c>
      <c r="D68" s="406">
        <v>5</v>
      </c>
      <c r="E68" s="406">
        <v>16</v>
      </c>
      <c r="F68" s="406">
        <v>11149</v>
      </c>
      <c r="G68" s="406">
        <v>13600.05</v>
      </c>
      <c r="H68" s="407">
        <f t="shared" si="0"/>
      </c>
      <c r="I68" s="407">
        <f t="shared" si="1"/>
      </c>
      <c r="J68" s="407">
        <f t="shared" si="2"/>
      </c>
      <c r="K68" s="408">
        <v>3</v>
      </c>
      <c r="L68" s="408">
        <v>1658</v>
      </c>
      <c r="M68" s="406" t="s">
        <v>929</v>
      </c>
      <c r="N68" s="406">
        <v>5</v>
      </c>
      <c r="O68" s="406" t="s">
        <v>894</v>
      </c>
      <c r="P68" s="406">
        <v>5</v>
      </c>
    </row>
    <row r="69">
      <c r="A69" s="410" t="s">
        <v>932</v>
      </c>
      <c r="B69" s="411"/>
      <c r="C69" s="411"/>
      <c r="D69" s="412">
        <f>SUM(D68)</f>
      </c>
      <c r="E69" s="412">
        <f>SUM(E68)</f>
      </c>
      <c r="F69" s="412">
        <f>SUM(F68)</f>
      </c>
      <c r="G69" s="412">
        <f>SUM(G68)</f>
      </c>
      <c r="H69" s="413">
        <f t="shared" si="0"/>
      </c>
      <c r="I69" s="413">
        <f t="shared" si="1"/>
      </c>
      <c r="J69" s="413">
        <f t="shared" si="2"/>
      </c>
      <c r="K69" s="412">
        <f>SUM(K68)</f>
      </c>
      <c r="L69" s="412">
        <f>SUM(L68)</f>
      </c>
      <c r="M69" s="411"/>
      <c r="N69" s="412">
        <f>SUM(N68)</f>
      </c>
      <c r="O69" s="411"/>
      <c r="P69" s="411"/>
    </row>
    <row r="70">
      <c r="A70" s="405" t="s">
        <v>933</v>
      </c>
      <c r="B70" s="406" t="s">
        <v>889</v>
      </c>
      <c r="C70" s="406" t="s">
        <v>914</v>
      </c>
      <c r="D70" s="406">
        <v>5</v>
      </c>
      <c r="E70" s="406">
        <v>20</v>
      </c>
      <c r="F70" s="406">
        <v>12652.59</v>
      </c>
      <c r="G70" s="406">
        <v>12667.75</v>
      </c>
      <c r="H70" s="407">
        <f t="shared" si="0"/>
      </c>
      <c r="I70" s="407">
        <f t="shared" si="1"/>
      </c>
      <c r="J70" s="407">
        <f t="shared" si="2"/>
      </c>
      <c r="K70" s="408">
        <v>1</v>
      </c>
      <c r="L70" s="408">
        <v>483.6</v>
      </c>
      <c r="M70" s="406" t="s">
        <v>929</v>
      </c>
      <c r="N70" s="406">
        <v>5</v>
      </c>
      <c r="O70" s="406" t="s">
        <v>894</v>
      </c>
      <c r="P70" s="406">
        <v>5</v>
      </c>
    </row>
    <row r="71">
      <c r="A71" s="410" t="s">
        <v>933</v>
      </c>
      <c r="B71" s="411"/>
      <c r="C71" s="411"/>
      <c r="D71" s="412">
        <f>SUM(D70)</f>
      </c>
      <c r="E71" s="412">
        <f>SUM(E70)</f>
      </c>
      <c r="F71" s="412">
        <f>SUM(F70)</f>
      </c>
      <c r="G71" s="412">
        <f>SUM(G70)</f>
      </c>
      <c r="H71" s="413">
        <f t="shared" si="0"/>
      </c>
      <c r="I71" s="413">
        <f t="shared" si="1"/>
      </c>
      <c r="J71" s="413">
        <f t="shared" si="2"/>
      </c>
      <c r="K71" s="412">
        <f>SUM(K70)</f>
      </c>
      <c r="L71" s="412">
        <f>SUM(L70)</f>
      </c>
      <c r="M71" s="411"/>
      <c r="N71" s="412">
        <f>SUM(N70)</f>
      </c>
      <c r="O71" s="411"/>
      <c r="P71" s="411"/>
    </row>
    <row r="72">
      <c r="A72" s="405" t="s">
        <v>934</v>
      </c>
      <c r="B72" s="406" t="s">
        <v>896</v>
      </c>
      <c r="C72" s="406" t="s">
        <v>914</v>
      </c>
      <c r="D72" s="406">
        <v>5</v>
      </c>
      <c r="E72" s="406">
        <v>25</v>
      </c>
      <c r="F72" s="406">
        <v>19636.6</v>
      </c>
      <c r="G72" s="406">
        <v>14868.54</v>
      </c>
      <c r="H72" s="407">
        <f t="shared" si="0"/>
      </c>
      <c r="I72" s="407">
        <f t="shared" si="1"/>
      </c>
      <c r="J72" s="407">
        <f t="shared" si="2"/>
      </c>
      <c r="K72" s="408">
        <v>2</v>
      </c>
      <c r="L72" s="408">
        <v>1041.6</v>
      </c>
      <c r="M72" s="406" t="s">
        <v>929</v>
      </c>
      <c r="N72" s="406">
        <v>5</v>
      </c>
      <c r="O72" s="406" t="s">
        <v>894</v>
      </c>
      <c r="P72" s="406">
        <v>5</v>
      </c>
    </row>
    <row r="73">
      <c r="A73" s="410" t="s">
        <v>934</v>
      </c>
      <c r="B73" s="411"/>
      <c r="C73" s="411"/>
      <c r="D73" s="412">
        <f>SUM(D72)</f>
      </c>
      <c r="E73" s="412">
        <f>SUM(E72)</f>
      </c>
      <c r="F73" s="412">
        <f>SUM(F72)</f>
      </c>
      <c r="G73" s="412">
        <f>SUM(G72)</f>
      </c>
      <c r="H73" s="413">
        <f t="shared" si="0"/>
      </c>
      <c r="I73" s="413">
        <f t="shared" si="1"/>
      </c>
      <c r="J73" s="413">
        <f t="shared" si="2"/>
      </c>
      <c r="K73" s="412">
        <f>SUM(K72)</f>
      </c>
      <c r="L73" s="412">
        <f>SUM(L72)</f>
      </c>
      <c r="M73" s="411"/>
      <c r="N73" s="412">
        <f>SUM(N72)</f>
      </c>
      <c r="O73" s="411"/>
      <c r="P73" s="411"/>
    </row>
    <row r="74">
      <c r="A74" s="405" t="s">
        <v>935</v>
      </c>
      <c r="B74" s="406" t="s">
        <v>891</v>
      </c>
      <c r="C74" s="406" t="s">
        <v>890</v>
      </c>
      <c r="D74" s="406">
        <v>4</v>
      </c>
      <c r="E74" s="406">
        <v>17</v>
      </c>
      <c r="F74" s="406">
        <v>9121.6</v>
      </c>
      <c r="G74" s="406">
        <v>12471.720000000001</v>
      </c>
      <c r="H74" s="407">
        <f t="shared" si="0"/>
      </c>
      <c r="I74" s="407">
        <f t="shared" si="1"/>
      </c>
      <c r="J74" s="407">
        <f t="shared" si="2"/>
      </c>
      <c r="K74" s="408">
        <v>4</v>
      </c>
      <c r="L74" s="408">
        <v>2995.2</v>
      </c>
      <c r="M74" s="406"/>
      <c r="N74" s="406"/>
      <c r="O74" s="409"/>
      <c r="P74" s="409"/>
    </row>
    <row r="75">
      <c r="A75" s="405" t="s">
        <v>935</v>
      </c>
      <c r="B75" s="406" t="s">
        <v>896</v>
      </c>
      <c r="C75" s="406" t="s">
        <v>892</v>
      </c>
      <c r="D75" s="406">
        <v>4</v>
      </c>
      <c r="E75" s="406">
        <v>19</v>
      </c>
      <c r="F75" s="406">
        <v>13856.800000000001</v>
      </c>
      <c r="G75" s="406">
        <v>10464.98</v>
      </c>
      <c r="H75" s="407">
        <f t="shared" si="0"/>
      </c>
      <c r="I75" s="407">
        <f t="shared" si="1"/>
      </c>
      <c r="J75" s="407">
        <f t="shared" si="2"/>
      </c>
      <c r="K75" s="408">
        <v>2</v>
      </c>
      <c r="L75" s="408">
        <v>1648.8</v>
      </c>
      <c r="M75" s="406" t="s">
        <v>929</v>
      </c>
      <c r="N75" s="406">
        <v>8</v>
      </c>
      <c r="O75" s="406" t="s">
        <v>894</v>
      </c>
      <c r="P75" s="406">
        <v>8</v>
      </c>
    </row>
    <row r="76">
      <c r="A76" s="410" t="s">
        <v>935</v>
      </c>
      <c r="B76" s="411"/>
      <c r="C76" s="411"/>
      <c r="D76" s="412">
        <f>SUM(D74:D75)</f>
      </c>
      <c r="E76" s="412">
        <f>SUM(E74:E75)</f>
      </c>
      <c r="F76" s="412">
        <f>SUM(F74:F75)</f>
      </c>
      <c r="G76" s="412">
        <f>SUM(G74:G75)</f>
      </c>
      <c r="H76" s="413">
        <f t="shared" si="0"/>
      </c>
      <c r="I76" s="413">
        <f t="shared" si="1"/>
      </c>
      <c r="J76" s="413">
        <f t="shared" si="2"/>
      </c>
      <c r="K76" s="412">
        <f>SUM(K74:K75)</f>
      </c>
      <c r="L76" s="412">
        <f>SUM(L74:L75)</f>
      </c>
      <c r="M76" s="411"/>
      <c r="N76" s="412">
        <f>SUM(N74:N75)</f>
      </c>
      <c r="O76" s="411"/>
      <c r="P76" s="411"/>
    </row>
    <row r="77">
      <c r="A77" s="405" t="s">
        <v>936</v>
      </c>
      <c r="B77" s="406" t="s">
        <v>891</v>
      </c>
      <c r="C77" s="406" t="s">
        <v>899</v>
      </c>
      <c r="D77" s="406">
        <v>3</v>
      </c>
      <c r="E77" s="406">
        <v>7</v>
      </c>
      <c r="F77" s="406">
        <v>4273.2</v>
      </c>
      <c r="G77" s="406">
        <v>7762.11</v>
      </c>
      <c r="H77" s="407">
        <f t="shared" si="0"/>
      </c>
      <c r="I77" s="407">
        <f t="shared" si="1"/>
      </c>
      <c r="J77" s="407">
        <f t="shared" si="2"/>
      </c>
      <c r="K77" s="408">
        <v>0</v>
      </c>
      <c r="L77" s="408">
        <v>0</v>
      </c>
      <c r="M77" s="406"/>
      <c r="N77" s="406"/>
      <c r="O77" s="409"/>
      <c r="P77" s="409"/>
    </row>
    <row r="78">
      <c r="A78" s="405" t="s">
        <v>936</v>
      </c>
      <c r="B78" s="406" t="s">
        <v>896</v>
      </c>
      <c r="C78" s="406" t="s">
        <v>897</v>
      </c>
      <c r="D78" s="406">
        <v>3</v>
      </c>
      <c r="E78" s="406">
        <v>5</v>
      </c>
      <c r="F78" s="406">
        <v>4848</v>
      </c>
      <c r="G78" s="406">
        <v>7934.74</v>
      </c>
      <c r="H78" s="407">
        <f t="shared" si="0"/>
      </c>
      <c r="I78" s="407">
        <f t="shared" si="1"/>
      </c>
      <c r="J78" s="407">
        <f t="shared" si="2"/>
      </c>
      <c r="K78" s="408">
        <v>0</v>
      </c>
      <c r="L78" s="408">
        <v>0</v>
      </c>
      <c r="M78" s="406" t="s">
        <v>929</v>
      </c>
      <c r="N78" s="406">
        <v>6</v>
      </c>
      <c r="O78" s="406" t="s">
        <v>894</v>
      </c>
      <c r="P78" s="406">
        <v>8</v>
      </c>
    </row>
    <row r="79">
      <c r="A79" s="410" t="s">
        <v>936</v>
      </c>
      <c r="B79" s="411"/>
      <c r="C79" s="411"/>
      <c r="D79" s="412">
        <f>SUM(D77:D78)</f>
      </c>
      <c r="E79" s="412">
        <f>SUM(E77:E78)</f>
      </c>
      <c r="F79" s="412">
        <f>SUM(F77:F78)</f>
      </c>
      <c r="G79" s="412">
        <f>SUM(G77:G78)</f>
      </c>
      <c r="H79" s="413">
        <f t="shared" si="0"/>
      </c>
      <c r="I79" s="413">
        <f t="shared" si="1"/>
      </c>
      <c r="J79" s="413">
        <f t="shared" si="2"/>
      </c>
      <c r="K79" s="412">
        <f>SUM(K77:K78)</f>
      </c>
      <c r="L79" s="412">
        <f>SUM(L77:L78)</f>
      </c>
      <c r="M79" s="411"/>
      <c r="N79" s="412">
        <f>SUM(N77:N78)</f>
      </c>
      <c r="O79" s="411"/>
      <c r="P79" s="411"/>
    </row>
    <row r="80"/>
    <row r="81"/>
    <row r="82"/>
    <row r="83"/>
    <row r="84"/>
    <row r="85">
      <c r="H85" s="407"/>
    </row>
    <row r="86"/>
    <row r="87"/>
    <row r="88"/>
    <row r="89"/>
    <row r="90"/>
    <row r="91"/>
    <row r="92"/>
    <row r="93"/>
    <row r="94"/>
    <row r="95"/>
    <row r="96"/>
    <row r="97">
      <c r="F97" s="414"/>
    </row>
  </sheetData>
  <autoFilter ref="A1:P86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2" min="2" style="0" width="11.211267605633802"/>
    <col collapsed="false" customWidth="true" hidden="false" max="4" min="4" style="0" width="11.211267605633802"/>
  </cols>
  <sheetData>
    <row customHeight="true" ht="16.071428571428573" r="1">
      <c r="A1" s="415" t="s">
        <v>937</v>
      </c>
      <c r="B1" s="416" t="s">
        <v>938</v>
      </c>
      <c r="C1" s="416" t="s">
        <v>939</v>
      </c>
      <c r="D1" s="416" t="s">
        <v>940</v>
      </c>
      <c r="E1" s="416" t="s">
        <v>941</v>
      </c>
      <c r="F1" s="417" t="s">
        <v>942</v>
      </c>
      <c r="G1" s="417" t="s">
        <v>943</v>
      </c>
      <c r="H1" s="417" t="s">
        <v>944</v>
      </c>
      <c r="I1" s="417" t="s">
        <v>945</v>
      </c>
      <c r="J1" s="417" t="s">
        <v>946</v>
      </c>
      <c r="K1" s="416" t="s">
        <v>947</v>
      </c>
      <c r="L1" s="416" t="s">
        <v>948</v>
      </c>
      <c r="M1" s="416" t="s">
        <v>949</v>
      </c>
      <c r="N1" s="416" t="s">
        <v>950</v>
      </c>
      <c r="O1" s="416" t="s">
        <v>951</v>
      </c>
      <c r="P1" s="416" t="s">
        <v>952</v>
      </c>
    </row>
    <row r="2">
      <c r="A2" s="418" t="s">
        <v>953</v>
      </c>
      <c r="B2" s="419" t="s">
        <v>954</v>
      </c>
      <c r="C2" s="419" t="s">
        <v>955</v>
      </c>
      <c r="D2" s="419">
        <v>5</v>
      </c>
      <c r="E2" s="419">
        <v>24</v>
      </c>
      <c r="F2" s="419">
        <v>12983.4</v>
      </c>
      <c r="G2" s="419">
        <v>15440.64</v>
      </c>
      <c r="H2" s="420">
        <f t="shared" ref="H2:H137" si="0">F2/G2</f>
      </c>
      <c r="I2" s="420">
        <f t="shared" ref="I2:I137" si="1">F2/E2</f>
      </c>
      <c r="J2" s="420">
        <f t="shared" ref="J2:J137" si="2">G2/E2</f>
      </c>
      <c r="K2" s="419">
        <v>2</v>
      </c>
      <c r="L2" s="419">
        <v>2139.4</v>
      </c>
      <c r="M2" s="419" t="s">
        <v>956</v>
      </c>
      <c r="N2" s="419">
        <v>9</v>
      </c>
      <c r="O2" s="421"/>
      <c r="P2" s="421"/>
    </row>
    <row r="3">
      <c r="A3" s="418" t="s">
        <v>953</v>
      </c>
      <c r="B3" s="422" t="s">
        <v>957</v>
      </c>
      <c r="C3" s="419" t="s">
        <v>958</v>
      </c>
      <c r="D3" s="419">
        <v>5</v>
      </c>
      <c r="E3" s="419">
        <v>15</v>
      </c>
      <c r="F3" s="419">
        <v>10321</v>
      </c>
      <c r="G3" s="419">
        <v>9754.82</v>
      </c>
      <c r="H3" s="420">
        <f t="shared" si="0"/>
      </c>
      <c r="I3" s="420">
        <f t="shared" si="1"/>
      </c>
      <c r="J3" s="420">
        <f t="shared" si="2"/>
      </c>
      <c r="K3" s="419">
        <v>4</v>
      </c>
      <c r="L3" s="419">
        <v>2508.2</v>
      </c>
      <c r="M3" s="419"/>
      <c r="N3" s="419"/>
      <c r="O3" s="421"/>
      <c r="P3" s="421"/>
    </row>
    <row r="4">
      <c r="A4" s="418" t="s">
        <v>953</v>
      </c>
      <c r="B4" s="423" t="s">
        <v>959</v>
      </c>
      <c r="C4" s="419" t="s">
        <v>960</v>
      </c>
      <c r="D4" s="419">
        <v>4</v>
      </c>
      <c r="E4" s="419">
        <v>4</v>
      </c>
      <c r="F4" s="419">
        <v>4911.6</v>
      </c>
      <c r="G4" s="419">
        <v>5415.47</v>
      </c>
      <c r="H4" s="420">
        <f t="shared" si="0"/>
      </c>
      <c r="I4" s="420">
        <f t="shared" si="1"/>
      </c>
      <c r="J4" s="420">
        <f t="shared" si="2"/>
      </c>
      <c r="K4" s="424">
        <v>1</v>
      </c>
      <c r="L4" s="424">
        <v>338.4</v>
      </c>
      <c r="M4" s="419"/>
      <c r="N4" s="419"/>
      <c r="O4" s="421"/>
      <c r="P4" s="421"/>
    </row>
    <row r="5">
      <c r="A5" s="418" t="s">
        <v>953</v>
      </c>
      <c r="B5" s="425" t="s">
        <v>961</v>
      </c>
      <c r="C5" s="419" t="s">
        <v>962</v>
      </c>
      <c r="D5" s="419">
        <v>4</v>
      </c>
      <c r="E5" s="419">
        <v>25</v>
      </c>
      <c r="F5" s="419">
        <v>16174.4</v>
      </c>
      <c r="G5" s="419">
        <v>9737.56</v>
      </c>
      <c r="H5" s="420">
        <f t="shared" si="0"/>
      </c>
      <c r="I5" s="420">
        <f t="shared" si="1"/>
      </c>
      <c r="J5" s="420">
        <f t="shared" si="2"/>
      </c>
      <c r="K5" s="424">
        <v>2</v>
      </c>
      <c r="L5" s="424">
        <v>666.6</v>
      </c>
      <c r="M5" s="419" t="s">
        <v>963</v>
      </c>
      <c r="N5" s="419">
        <v>9</v>
      </c>
      <c r="O5" s="421"/>
      <c r="P5" s="421"/>
    </row>
    <row r="6">
      <c r="A6" s="426" t="s">
        <v>953</v>
      </c>
      <c r="B6" s="427"/>
      <c r="C6" s="427"/>
      <c r="D6" s="428">
        <f>SUM(D2:D5)</f>
      </c>
      <c r="E6" s="428">
        <f>SUM(E2:E5)</f>
      </c>
      <c r="F6" s="428">
        <f>SUM(F2:F5)</f>
      </c>
      <c r="G6" s="428">
        <f>SUM(G2:G5)</f>
      </c>
      <c r="H6" s="429">
        <f t="shared" si="0"/>
      </c>
      <c r="I6" s="429">
        <f t="shared" si="1"/>
      </c>
      <c r="J6" s="429">
        <f t="shared" si="2"/>
      </c>
      <c r="K6" s="428">
        <f>SUM(K2:K5)</f>
      </c>
      <c r="L6" s="428">
        <f>SUM(L2:L5)</f>
      </c>
      <c r="M6" s="427"/>
      <c r="N6" s="428">
        <f>SUM(N2:N5)</f>
      </c>
      <c r="O6" s="427"/>
      <c r="P6" s="427"/>
    </row>
    <row r="7">
      <c r="A7" s="418" t="s">
        <v>964</v>
      </c>
      <c r="B7" s="419" t="s">
        <v>957</v>
      </c>
      <c r="C7" s="419" t="s">
        <v>965</v>
      </c>
      <c r="D7" s="419">
        <v>5</v>
      </c>
      <c r="E7" s="419">
        <v>12</v>
      </c>
      <c r="F7" s="419">
        <v>11755</v>
      </c>
      <c r="G7" s="419">
        <v>11562.150000000001</v>
      </c>
      <c r="H7" s="420">
        <f t="shared" si="0"/>
      </c>
      <c r="I7" s="420">
        <f t="shared" si="1"/>
      </c>
      <c r="J7" s="420">
        <f t="shared" si="2"/>
      </c>
      <c r="K7" s="419">
        <v>1</v>
      </c>
      <c r="L7" s="419">
        <v>621.6</v>
      </c>
      <c r="M7" s="419" t="s">
        <v>966</v>
      </c>
      <c r="N7" s="419">
        <v>10</v>
      </c>
      <c r="O7" s="421"/>
      <c r="P7" s="421"/>
    </row>
    <row r="8">
      <c r="A8" s="418" t="s">
        <v>964</v>
      </c>
      <c r="B8" s="430" t="s">
        <v>954</v>
      </c>
      <c r="C8" s="419" t="s">
        <v>967</v>
      </c>
      <c r="D8" s="419">
        <v>5</v>
      </c>
      <c r="E8" s="419">
        <v>21</v>
      </c>
      <c r="F8" s="419">
        <v>14986.2</v>
      </c>
      <c r="G8" s="419">
        <v>12621.55</v>
      </c>
      <c r="H8" s="420">
        <f t="shared" si="0"/>
      </c>
      <c r="I8" s="420">
        <f t="shared" si="1"/>
      </c>
      <c r="J8" s="420">
        <f t="shared" si="2"/>
      </c>
      <c r="K8" s="419">
        <v>5</v>
      </c>
      <c r="L8" s="419">
        <v>2471.8</v>
      </c>
      <c r="M8" s="419"/>
      <c r="N8" s="419"/>
      <c r="O8" s="421"/>
      <c r="P8" s="421"/>
    </row>
    <row r="9">
      <c r="A9" s="418" t="s">
        <v>964</v>
      </c>
      <c r="B9" s="423" t="s">
        <v>961</v>
      </c>
      <c r="C9" s="419" t="s">
        <v>968</v>
      </c>
      <c r="D9" s="419">
        <v>5</v>
      </c>
      <c r="E9" s="419">
        <v>58</v>
      </c>
      <c r="F9" s="419">
        <v>41392</v>
      </c>
      <c r="G9" s="419">
        <v>24437.02</v>
      </c>
      <c r="H9" s="420">
        <f t="shared" si="0"/>
      </c>
      <c r="I9" s="420">
        <f t="shared" si="1"/>
      </c>
      <c r="J9" s="420">
        <f t="shared" si="2"/>
      </c>
      <c r="K9" s="424">
        <v>3</v>
      </c>
      <c r="L9" s="424">
        <v>3259.2</v>
      </c>
      <c r="M9" s="419"/>
      <c r="N9" s="419"/>
      <c r="O9" s="421"/>
      <c r="P9" s="421"/>
    </row>
    <row r="10">
      <c r="A10" s="418" t="s">
        <v>964</v>
      </c>
      <c r="B10" s="423" t="s">
        <v>959</v>
      </c>
      <c r="C10" s="419" t="s">
        <v>969</v>
      </c>
      <c r="D10" s="419">
        <v>5</v>
      </c>
      <c r="E10" s="419">
        <v>63</v>
      </c>
      <c r="F10" s="419">
        <v>51642</v>
      </c>
      <c r="G10" s="419">
        <v>25686.82</v>
      </c>
      <c r="H10" s="420">
        <f t="shared" si="0"/>
      </c>
      <c r="I10" s="420">
        <f t="shared" si="1"/>
      </c>
      <c r="J10" s="420">
        <f t="shared" si="2"/>
      </c>
      <c r="K10" s="424">
        <v>4</v>
      </c>
      <c r="L10" s="424">
        <v>4855.6</v>
      </c>
      <c r="M10" s="419" t="s">
        <v>970</v>
      </c>
      <c r="N10" s="419">
        <v>10</v>
      </c>
      <c r="O10" s="421"/>
      <c r="P10" s="421"/>
    </row>
    <row r="11">
      <c r="A11" s="426" t="s">
        <v>964</v>
      </c>
      <c r="B11" s="427"/>
      <c r="C11" s="427"/>
      <c r="D11" s="428">
        <f>SUM(D7:D10)</f>
      </c>
      <c r="E11" s="428">
        <f>SUM(E7:E10)</f>
      </c>
      <c r="F11" s="428">
        <f>SUM(F7:F10)</f>
      </c>
      <c r="G11" s="428">
        <f>SUM(G7:G10)</f>
      </c>
      <c r="H11" s="429">
        <f t="shared" si="0"/>
      </c>
      <c r="I11" s="429">
        <f t="shared" si="1"/>
      </c>
      <c r="J11" s="429">
        <f t="shared" si="2"/>
      </c>
      <c r="K11" s="428">
        <f>SUM(K7:K10)</f>
      </c>
      <c r="L11" s="428">
        <f>SUM(L7:L10)</f>
      </c>
      <c r="M11" s="427"/>
      <c r="N11" s="428">
        <f>SUM(N7:N10)</f>
      </c>
      <c r="O11" s="427"/>
      <c r="P11" s="427"/>
    </row>
    <row r="12">
      <c r="A12" s="418" t="s">
        <v>971</v>
      </c>
      <c r="B12" s="419" t="s">
        <v>957</v>
      </c>
      <c r="C12" s="419" t="s">
        <v>965</v>
      </c>
      <c r="D12" s="419">
        <v>5</v>
      </c>
      <c r="E12" s="419">
        <v>16</v>
      </c>
      <c r="F12" s="419">
        <v>15152</v>
      </c>
      <c r="G12" s="419">
        <v>12686.38</v>
      </c>
      <c r="H12" s="420">
        <f t="shared" si="0"/>
      </c>
      <c r="I12" s="420">
        <f t="shared" si="1"/>
      </c>
      <c r="J12" s="420">
        <f t="shared" si="2"/>
      </c>
      <c r="K12" s="419">
        <v>0</v>
      </c>
      <c r="L12" s="419">
        <v>0</v>
      </c>
      <c r="M12" s="419" t="s">
        <v>972</v>
      </c>
      <c r="N12" s="419">
        <v>10</v>
      </c>
      <c r="O12" s="421"/>
      <c r="P12" s="421"/>
    </row>
    <row r="13">
      <c r="A13" s="418" t="s">
        <v>971</v>
      </c>
      <c r="B13" s="430" t="s">
        <v>954</v>
      </c>
      <c r="C13" s="419" t="s">
        <v>967</v>
      </c>
      <c r="D13" s="419">
        <v>5</v>
      </c>
      <c r="E13" s="419">
        <v>31</v>
      </c>
      <c r="F13" s="419">
        <v>31465.4</v>
      </c>
      <c r="G13" s="419">
        <v>19860.86</v>
      </c>
      <c r="H13" s="420">
        <f t="shared" si="0"/>
      </c>
      <c r="I13" s="420">
        <f t="shared" si="1"/>
      </c>
      <c r="J13" s="420">
        <f t="shared" si="2"/>
      </c>
      <c r="K13" s="419">
        <v>3</v>
      </c>
      <c r="L13" s="419">
        <v>4539.4</v>
      </c>
      <c r="M13" s="419"/>
      <c r="N13" s="419"/>
      <c r="O13" s="421"/>
      <c r="P13" s="421"/>
    </row>
    <row r="14">
      <c r="A14" s="418" t="s">
        <v>971</v>
      </c>
      <c r="B14" s="423" t="s">
        <v>961</v>
      </c>
      <c r="C14" s="419" t="s">
        <v>968</v>
      </c>
      <c r="D14" s="419">
        <v>5</v>
      </c>
      <c r="E14" s="419">
        <v>48</v>
      </c>
      <c r="F14" s="419">
        <v>29759.6</v>
      </c>
      <c r="G14" s="419">
        <v>23528.27</v>
      </c>
      <c r="H14" s="420">
        <f t="shared" si="0"/>
      </c>
      <c r="I14" s="420">
        <f t="shared" si="1"/>
      </c>
      <c r="J14" s="420">
        <f t="shared" si="2"/>
      </c>
      <c r="K14" s="424">
        <v>9</v>
      </c>
      <c r="L14" s="424">
        <v>3653.4</v>
      </c>
      <c r="M14" s="419"/>
      <c r="N14" s="419"/>
      <c r="O14" s="421"/>
      <c r="P14" s="421"/>
    </row>
    <row r="15">
      <c r="A15" s="418" t="s">
        <v>971</v>
      </c>
      <c r="B15" s="423" t="s">
        <v>959</v>
      </c>
      <c r="C15" s="419" t="s">
        <v>969</v>
      </c>
      <c r="D15" s="419">
        <v>5</v>
      </c>
      <c r="E15" s="419">
        <v>76</v>
      </c>
      <c r="F15" s="419">
        <v>55538.2</v>
      </c>
      <c r="G15" s="419">
        <v>30643.17</v>
      </c>
      <c r="H15" s="420">
        <f t="shared" si="0"/>
      </c>
      <c r="I15" s="420">
        <f t="shared" si="1"/>
      </c>
      <c r="J15" s="420">
        <f t="shared" si="2"/>
      </c>
      <c r="K15" s="424">
        <v>3</v>
      </c>
      <c r="L15" s="424">
        <v>1521.6</v>
      </c>
      <c r="M15" s="419" t="s">
        <v>970</v>
      </c>
      <c r="N15" s="419">
        <v>10</v>
      </c>
      <c r="O15" s="421"/>
      <c r="P15" s="421"/>
    </row>
    <row r="16">
      <c r="A16" s="426" t="s">
        <v>971</v>
      </c>
      <c r="B16" s="427"/>
      <c r="C16" s="427"/>
      <c r="D16" s="428">
        <f>SUM(D12:D15)</f>
      </c>
      <c r="E16" s="428">
        <f>SUM(E12:E15)</f>
      </c>
      <c r="F16" s="428">
        <f>SUM(F12:F15)</f>
      </c>
      <c r="G16" s="428">
        <f>SUM(G12:G15)</f>
      </c>
      <c r="H16" s="429">
        <f t="shared" si="0"/>
      </c>
      <c r="I16" s="429">
        <f t="shared" si="1"/>
      </c>
      <c r="J16" s="429">
        <f t="shared" si="2"/>
      </c>
      <c r="K16" s="428">
        <f>SUM(K12:K15)</f>
      </c>
      <c r="L16" s="428">
        <f>SUM(L12:L15)</f>
      </c>
      <c r="M16" s="427"/>
      <c r="N16" s="428">
        <f>SUM(N12:N15)</f>
      </c>
      <c r="O16" s="427"/>
      <c r="P16" s="427"/>
    </row>
    <row r="17">
      <c r="A17" s="418" t="s">
        <v>973</v>
      </c>
      <c r="B17" s="430" t="s">
        <v>954</v>
      </c>
      <c r="C17" s="419" t="s">
        <v>965</v>
      </c>
      <c r="D17" s="419">
        <v>5</v>
      </c>
      <c r="E17" s="419">
        <v>20</v>
      </c>
      <c r="F17" s="419">
        <v>12244.6</v>
      </c>
      <c r="G17" s="419">
        <v>17518.260000000002</v>
      </c>
      <c r="H17" s="420">
        <f t="shared" si="0"/>
      </c>
      <c r="I17" s="420">
        <f t="shared" si="1"/>
      </c>
      <c r="J17" s="420">
        <f t="shared" si="2"/>
      </c>
      <c r="K17" s="419">
        <v>1</v>
      </c>
      <c r="L17" s="419">
        <v>1021.2</v>
      </c>
      <c r="M17" s="419" t="s">
        <v>966</v>
      </c>
      <c r="N17" s="419">
        <v>10</v>
      </c>
      <c r="O17" s="421"/>
      <c r="P17" s="421"/>
    </row>
    <row r="18">
      <c r="A18" s="418" t="s">
        <v>973</v>
      </c>
      <c r="B18" s="423" t="s">
        <v>959</v>
      </c>
      <c r="C18" s="419" t="s">
        <v>967</v>
      </c>
      <c r="D18" s="419">
        <v>5</v>
      </c>
      <c r="E18" s="419">
        <v>28</v>
      </c>
      <c r="F18" s="419">
        <v>26868.800000000003</v>
      </c>
      <c r="G18" s="419">
        <v>18438.81</v>
      </c>
      <c r="H18" s="420">
        <f t="shared" si="0"/>
      </c>
      <c r="I18" s="420">
        <f t="shared" si="1"/>
      </c>
      <c r="J18" s="420">
        <f t="shared" si="2"/>
      </c>
      <c r="K18" s="419">
        <v>8</v>
      </c>
      <c r="L18" s="419">
        <v>10815</v>
      </c>
      <c r="M18" s="419"/>
      <c r="N18" s="419"/>
      <c r="O18" s="421"/>
      <c r="P18" s="421"/>
    </row>
    <row r="19">
      <c r="A19" s="418" t="s">
        <v>973</v>
      </c>
      <c r="B19" s="423" t="s">
        <v>961</v>
      </c>
      <c r="C19" s="419" t="s">
        <v>968</v>
      </c>
      <c r="D19" s="419">
        <v>5</v>
      </c>
      <c r="E19" s="419">
        <v>41</v>
      </c>
      <c r="F19" s="419">
        <v>31478.8</v>
      </c>
      <c r="G19" s="419">
        <v>21679.62</v>
      </c>
      <c r="H19" s="420">
        <f t="shared" si="0"/>
      </c>
      <c r="I19" s="420">
        <f t="shared" si="1"/>
      </c>
      <c r="J19" s="420">
        <f t="shared" si="2"/>
      </c>
      <c r="K19" s="424">
        <v>4</v>
      </c>
      <c r="L19" s="424">
        <v>2613.6</v>
      </c>
      <c r="M19" s="419"/>
      <c r="N19" s="419"/>
      <c r="O19" s="421"/>
      <c r="P19" s="421"/>
    </row>
    <row r="20">
      <c r="A20" s="418" t="s">
        <v>973</v>
      </c>
      <c r="B20" s="419" t="s">
        <v>957</v>
      </c>
      <c r="C20" s="419" t="s">
        <v>969</v>
      </c>
      <c r="D20" s="419">
        <v>5</v>
      </c>
      <c r="E20" s="419">
        <v>47</v>
      </c>
      <c r="F20" s="419">
        <v>37237.4</v>
      </c>
      <c r="G20" s="419">
        <v>22189.49</v>
      </c>
      <c r="H20" s="420">
        <f t="shared" si="0"/>
      </c>
      <c r="I20" s="420">
        <f t="shared" si="1"/>
      </c>
      <c r="J20" s="420">
        <f t="shared" si="2"/>
      </c>
      <c r="K20" s="424">
        <v>6</v>
      </c>
      <c r="L20" s="424">
        <v>2873.6</v>
      </c>
      <c r="M20" s="419" t="s">
        <v>970</v>
      </c>
      <c r="N20" s="419">
        <v>10</v>
      </c>
      <c r="O20" s="421"/>
      <c r="P20" s="421"/>
    </row>
    <row r="21">
      <c r="A21" s="426" t="s">
        <v>973</v>
      </c>
      <c r="B21" s="427"/>
      <c r="C21" s="427"/>
      <c r="D21" s="428">
        <f>SUM(D17:D20)</f>
      </c>
      <c r="E21" s="428">
        <f>SUM(E17:E20)</f>
      </c>
      <c r="F21" s="428">
        <f>SUM(F17:F20)</f>
      </c>
      <c r="G21" s="428">
        <f>SUM(G17:G20)</f>
      </c>
      <c r="H21" s="429">
        <f t="shared" si="0"/>
      </c>
      <c r="I21" s="429">
        <f t="shared" si="1"/>
      </c>
      <c r="J21" s="429">
        <f t="shared" si="2"/>
      </c>
      <c r="K21" s="428">
        <f>SUM(K17:K20)</f>
      </c>
      <c r="L21" s="428">
        <f>SUM(L17:L20)</f>
      </c>
      <c r="M21" s="427"/>
      <c r="N21" s="428">
        <f>SUM(N17:N20)</f>
      </c>
      <c r="O21" s="427"/>
      <c r="P21" s="427"/>
    </row>
    <row r="22">
      <c r="A22" s="418" t="s">
        <v>974</v>
      </c>
      <c r="B22" s="430" t="s">
        <v>954</v>
      </c>
      <c r="C22" s="419" t="s">
        <v>965</v>
      </c>
      <c r="D22" s="419">
        <v>5</v>
      </c>
      <c r="E22" s="419">
        <v>34</v>
      </c>
      <c r="F22" s="419">
        <v>25653.2</v>
      </c>
      <c r="G22" s="419">
        <v>22813.899999999998</v>
      </c>
      <c r="H22" s="420">
        <f t="shared" si="0"/>
      </c>
      <c r="I22" s="420">
        <f t="shared" si="1"/>
      </c>
      <c r="J22" s="420">
        <f t="shared" si="2"/>
      </c>
      <c r="K22" s="419">
        <v>4</v>
      </c>
      <c r="L22" s="419">
        <v>2489.4</v>
      </c>
      <c r="M22" s="419" t="s">
        <v>966</v>
      </c>
      <c r="N22" s="419">
        <v>10</v>
      </c>
      <c r="O22" s="421"/>
      <c r="P22" s="421"/>
    </row>
    <row r="23">
      <c r="A23" s="418" t="s">
        <v>974</v>
      </c>
      <c r="B23" s="423" t="s">
        <v>961</v>
      </c>
      <c r="C23" s="419" t="s">
        <v>967</v>
      </c>
      <c r="D23" s="419">
        <v>5</v>
      </c>
      <c r="E23" s="419">
        <v>50</v>
      </c>
      <c r="F23" s="419">
        <v>29647.4</v>
      </c>
      <c r="G23" s="419">
        <v>27766.59</v>
      </c>
      <c r="H23" s="420">
        <f t="shared" si="0"/>
      </c>
      <c r="I23" s="420">
        <f t="shared" si="1"/>
      </c>
      <c r="J23" s="420">
        <f t="shared" si="2"/>
      </c>
      <c r="K23" s="419">
        <v>16</v>
      </c>
      <c r="L23" s="419">
        <v>10433.8</v>
      </c>
      <c r="M23" s="419"/>
      <c r="N23" s="419"/>
      <c r="O23" s="421"/>
      <c r="P23" s="421"/>
    </row>
    <row r="24">
      <c r="A24" s="418" t="s">
        <v>974</v>
      </c>
      <c r="B24" s="423" t="s">
        <v>959</v>
      </c>
      <c r="C24" s="419" t="s">
        <v>968</v>
      </c>
      <c r="D24" s="419">
        <v>5</v>
      </c>
      <c r="E24" s="419">
        <v>37</v>
      </c>
      <c r="F24" s="419">
        <v>22531.8</v>
      </c>
      <c r="G24" s="419">
        <v>27577.95</v>
      </c>
      <c r="H24" s="420">
        <f t="shared" si="0"/>
      </c>
      <c r="I24" s="420">
        <f t="shared" si="1"/>
      </c>
      <c r="J24" s="420">
        <f t="shared" si="2"/>
      </c>
      <c r="K24" s="424">
        <v>6</v>
      </c>
      <c r="L24" s="424">
        <v>3463</v>
      </c>
      <c r="M24" s="419"/>
      <c r="N24" s="419"/>
      <c r="O24" s="421"/>
      <c r="P24" s="421"/>
    </row>
    <row r="25">
      <c r="A25" s="418" t="s">
        <v>974</v>
      </c>
      <c r="B25" s="419" t="s">
        <v>957</v>
      </c>
      <c r="C25" s="419" t="s">
        <v>969</v>
      </c>
      <c r="D25" s="419">
        <v>5</v>
      </c>
      <c r="E25" s="419">
        <v>25</v>
      </c>
      <c r="F25" s="419">
        <v>16694.4</v>
      </c>
      <c r="G25" s="419">
        <v>19589.55</v>
      </c>
      <c r="H25" s="420">
        <f t="shared" si="0"/>
      </c>
      <c r="I25" s="420">
        <f t="shared" si="1"/>
      </c>
      <c r="J25" s="420">
        <f t="shared" si="2"/>
      </c>
      <c r="K25" s="424">
        <v>2</v>
      </c>
      <c r="L25" s="424">
        <v>968.4</v>
      </c>
      <c r="M25" s="419" t="s">
        <v>970</v>
      </c>
      <c r="N25" s="419">
        <v>10</v>
      </c>
      <c r="O25" s="421"/>
      <c r="P25" s="421"/>
    </row>
    <row r="26">
      <c r="A26" s="426" t="s">
        <v>974</v>
      </c>
      <c r="B26" s="427"/>
      <c r="C26" s="427"/>
      <c r="D26" s="428">
        <f>SUM(D22:D25)</f>
      </c>
      <c r="E26" s="428">
        <f>SUM(E22:E25)</f>
      </c>
      <c r="F26" s="428">
        <f>SUM(F22:F25)</f>
      </c>
      <c r="G26" s="428">
        <f>SUM(G22:G25)</f>
      </c>
      <c r="H26" s="429">
        <f t="shared" si="0"/>
      </c>
      <c r="I26" s="429">
        <f t="shared" si="1"/>
      </c>
      <c r="J26" s="429">
        <f t="shared" si="2"/>
      </c>
      <c r="K26" s="428">
        <f>SUM(K22:K25)</f>
      </c>
      <c r="L26" s="428">
        <f>SUM(L22:L25)</f>
      </c>
      <c r="M26" s="427"/>
      <c r="N26" s="428">
        <f>SUM(N22:N25)</f>
      </c>
      <c r="O26" s="427"/>
      <c r="P26" s="427"/>
    </row>
    <row r="27">
      <c r="A27" s="418" t="s">
        <v>975</v>
      </c>
      <c r="B27" s="430" t="s">
        <v>961</v>
      </c>
      <c r="C27" s="419" t="s">
        <v>965</v>
      </c>
      <c r="D27" s="419">
        <v>5</v>
      </c>
      <c r="E27" s="419">
        <v>20</v>
      </c>
      <c r="F27" s="419">
        <v>12269.2</v>
      </c>
      <c r="G27" s="419">
        <v>17291.059999999998</v>
      </c>
      <c r="H27" s="420">
        <f t="shared" si="0"/>
      </c>
      <c r="I27" s="420">
        <f t="shared" si="1"/>
      </c>
      <c r="J27" s="420">
        <f t="shared" si="2"/>
      </c>
      <c r="K27" s="419">
        <v>7</v>
      </c>
      <c r="L27" s="419">
        <v>6333.8</v>
      </c>
      <c r="M27" s="419" t="s">
        <v>966</v>
      </c>
      <c r="N27" s="419">
        <v>10</v>
      </c>
      <c r="O27" s="421"/>
      <c r="P27" s="421"/>
    </row>
    <row r="28">
      <c r="A28" s="418" t="s">
        <v>975</v>
      </c>
      <c r="B28" s="423" t="s">
        <v>954</v>
      </c>
      <c r="C28" s="419" t="s">
        <v>967</v>
      </c>
      <c r="D28" s="419">
        <v>5</v>
      </c>
      <c r="E28" s="419">
        <v>23</v>
      </c>
      <c r="F28" s="419">
        <v>14384.4</v>
      </c>
      <c r="G28" s="419">
        <v>13172.78</v>
      </c>
      <c r="H28" s="420">
        <f t="shared" si="0"/>
      </c>
      <c r="I28" s="420">
        <f t="shared" si="1"/>
      </c>
      <c r="J28" s="420">
        <f t="shared" si="2"/>
      </c>
      <c r="K28" s="419">
        <v>3</v>
      </c>
      <c r="L28" s="419">
        <v>1833.6</v>
      </c>
      <c r="M28" s="419"/>
      <c r="N28" s="419"/>
      <c r="O28" s="421"/>
      <c r="P28" s="421"/>
    </row>
    <row r="29">
      <c r="A29" s="418" t="s">
        <v>975</v>
      </c>
      <c r="B29" s="423" t="s">
        <v>957</v>
      </c>
      <c r="C29" s="419" t="s">
        <v>968</v>
      </c>
      <c r="D29" s="419">
        <v>5</v>
      </c>
      <c r="E29" s="419">
        <v>43</v>
      </c>
      <c r="F29" s="419">
        <v>37008.6</v>
      </c>
      <c r="G29" s="419">
        <v>28578.55</v>
      </c>
      <c r="H29" s="420">
        <f t="shared" si="0"/>
      </c>
      <c r="I29" s="420">
        <f t="shared" si="1"/>
      </c>
      <c r="J29" s="420">
        <f t="shared" si="2"/>
      </c>
      <c r="K29" s="424">
        <v>6</v>
      </c>
      <c r="L29" s="424">
        <v>5972.4</v>
      </c>
      <c r="M29" s="419"/>
      <c r="N29" s="419"/>
      <c r="O29" s="421"/>
      <c r="P29" s="421"/>
    </row>
    <row r="30">
      <c r="A30" s="418" t="s">
        <v>975</v>
      </c>
      <c r="B30" s="419" t="s">
        <v>959</v>
      </c>
      <c r="C30" s="419" t="s">
        <v>969</v>
      </c>
      <c r="D30" s="419">
        <v>5</v>
      </c>
      <c r="E30" s="419">
        <v>33</v>
      </c>
      <c r="F30" s="419">
        <v>34416.4</v>
      </c>
      <c r="G30" s="419">
        <v>19921.02</v>
      </c>
      <c r="H30" s="420">
        <f t="shared" si="0"/>
      </c>
      <c r="I30" s="420">
        <f t="shared" si="1"/>
      </c>
      <c r="J30" s="420">
        <f t="shared" si="2"/>
      </c>
      <c r="K30" s="424">
        <v>4</v>
      </c>
      <c r="L30" s="424">
        <v>7124.4</v>
      </c>
      <c r="M30" s="419" t="s">
        <v>970</v>
      </c>
      <c r="N30" s="419">
        <v>10</v>
      </c>
      <c r="O30" s="421"/>
      <c r="P30" s="421"/>
    </row>
    <row r="31">
      <c r="A31" s="426" t="s">
        <v>975</v>
      </c>
      <c r="B31" s="427"/>
      <c r="C31" s="427"/>
      <c r="D31" s="428">
        <f>SUM(D27:D30)</f>
      </c>
      <c r="E31" s="428">
        <f>SUM(E27:E30)</f>
      </c>
      <c r="F31" s="428">
        <f>SUM(F27:F30)</f>
      </c>
      <c r="G31" s="428">
        <f>SUM(G27:G30)</f>
      </c>
      <c r="H31" s="429">
        <f t="shared" si="0"/>
      </c>
      <c r="I31" s="429">
        <f t="shared" si="1"/>
      </c>
      <c r="J31" s="429">
        <f t="shared" si="2"/>
      </c>
      <c r="K31" s="428">
        <f>SUM(K27:K30)</f>
      </c>
      <c r="L31" s="428">
        <f>SUM(L27:L30)</f>
      </c>
      <c r="M31" s="427"/>
      <c r="N31" s="428">
        <f>SUM(N27:N30)</f>
      </c>
      <c r="O31" s="427"/>
      <c r="P31" s="427"/>
    </row>
    <row r="32">
      <c r="A32" s="418" t="s">
        <v>976</v>
      </c>
      <c r="B32" s="430" t="s">
        <v>961</v>
      </c>
      <c r="C32" s="419" t="s">
        <v>965</v>
      </c>
      <c r="D32" s="419">
        <v>5</v>
      </c>
      <c r="E32" s="419">
        <v>23</v>
      </c>
      <c r="F32" s="419">
        <v>15804.6</v>
      </c>
      <c r="G32" s="419">
        <v>13704.650000000001</v>
      </c>
      <c r="H32" s="420">
        <f t="shared" si="0"/>
      </c>
      <c r="I32" s="420">
        <f t="shared" si="1"/>
      </c>
      <c r="J32" s="420">
        <f t="shared" si="2"/>
      </c>
      <c r="K32" s="419">
        <v>9</v>
      </c>
      <c r="L32" s="419">
        <v>5203.4</v>
      </c>
      <c r="M32" s="419" t="s">
        <v>966</v>
      </c>
      <c r="N32" s="419">
        <v>10</v>
      </c>
      <c r="O32" s="421"/>
      <c r="P32" s="421"/>
    </row>
    <row r="33">
      <c r="A33" s="418" t="s">
        <v>976</v>
      </c>
      <c r="B33" s="423" t="s">
        <v>954</v>
      </c>
      <c r="C33" s="419" t="s">
        <v>967</v>
      </c>
      <c r="D33" s="419">
        <v>5</v>
      </c>
      <c r="E33" s="419">
        <v>16</v>
      </c>
      <c r="F33" s="419">
        <v>9199.4</v>
      </c>
      <c r="G33" s="419">
        <v>14209.830000000002</v>
      </c>
      <c r="H33" s="420">
        <f t="shared" si="0"/>
      </c>
      <c r="I33" s="420">
        <f t="shared" si="1"/>
      </c>
      <c r="J33" s="420">
        <f t="shared" si="2"/>
      </c>
      <c r="K33" s="419">
        <v>2</v>
      </c>
      <c r="L33" s="419">
        <v>1105.2</v>
      </c>
      <c r="M33" s="419"/>
      <c r="N33" s="419"/>
      <c r="O33" s="421"/>
      <c r="P33" s="421"/>
    </row>
    <row r="34">
      <c r="A34" s="418" t="s">
        <v>976</v>
      </c>
      <c r="B34" s="423" t="s">
        <v>957</v>
      </c>
      <c r="C34" s="419" t="s">
        <v>968</v>
      </c>
      <c r="D34" s="419">
        <v>5</v>
      </c>
      <c r="E34" s="419">
        <v>13</v>
      </c>
      <c r="F34" s="419">
        <v>11945.4</v>
      </c>
      <c r="G34" s="419">
        <v>10631.78</v>
      </c>
      <c r="H34" s="420">
        <f t="shared" si="0"/>
      </c>
      <c r="I34" s="420">
        <f t="shared" si="1"/>
      </c>
      <c r="J34" s="420">
        <f t="shared" si="2"/>
      </c>
      <c r="K34" s="424">
        <v>0</v>
      </c>
      <c r="L34" s="424">
        <v>0</v>
      </c>
      <c r="M34" s="419"/>
      <c r="N34" s="419"/>
      <c r="O34" s="421"/>
      <c r="P34" s="421"/>
    </row>
    <row r="35">
      <c r="A35" s="418" t="s">
        <v>976</v>
      </c>
      <c r="B35" s="419" t="s">
        <v>959</v>
      </c>
      <c r="C35" s="419" t="s">
        <v>969</v>
      </c>
      <c r="D35" s="419">
        <v>5</v>
      </c>
      <c r="E35" s="419">
        <v>6</v>
      </c>
      <c r="F35" s="419">
        <v>3928.4</v>
      </c>
      <c r="G35" s="419">
        <v>7882.67</v>
      </c>
      <c r="H35" s="420">
        <f t="shared" si="0"/>
      </c>
      <c r="I35" s="420">
        <f t="shared" si="1"/>
      </c>
      <c r="J35" s="420">
        <f t="shared" si="2"/>
      </c>
      <c r="K35" s="424">
        <v>0</v>
      </c>
      <c r="L35" s="424">
        <v>0</v>
      </c>
      <c r="M35" s="419" t="s">
        <v>970</v>
      </c>
      <c r="N35" s="419">
        <v>10</v>
      </c>
      <c r="O35" s="421"/>
      <c r="P35" s="421"/>
    </row>
    <row r="36">
      <c r="A36" s="426" t="s">
        <v>976</v>
      </c>
      <c r="B36" s="427"/>
      <c r="C36" s="427"/>
      <c r="D36" s="428">
        <f>SUM(D32:D35)</f>
      </c>
      <c r="E36" s="428">
        <f>SUM(E32:E35)</f>
      </c>
      <c r="F36" s="428">
        <f>SUM(F32:F35)</f>
      </c>
      <c r="G36" s="428">
        <f>SUM(G32:G35)</f>
      </c>
      <c r="H36" s="429">
        <f t="shared" si="0"/>
      </c>
      <c r="I36" s="429">
        <f t="shared" si="1"/>
      </c>
      <c r="J36" s="429">
        <f t="shared" si="2"/>
      </c>
      <c r="K36" s="428">
        <f>SUM(K32:K35)</f>
      </c>
      <c r="L36" s="428">
        <f>SUM(L32:L35)</f>
      </c>
      <c r="M36" s="427"/>
      <c r="N36" s="428">
        <f>SUM(N32:N35)</f>
      </c>
      <c r="O36" s="427"/>
      <c r="P36" s="427"/>
    </row>
    <row r="37">
      <c r="A37" s="418" t="s">
        <v>977</v>
      </c>
      <c r="B37" s="423" t="s">
        <v>954</v>
      </c>
      <c r="C37" s="419" t="s">
        <v>965</v>
      </c>
      <c r="D37" s="419">
        <v>5</v>
      </c>
      <c r="E37" s="419">
        <v>16</v>
      </c>
      <c r="F37" s="419">
        <v>10441</v>
      </c>
      <c r="G37" s="419">
        <v>11238.980000000001</v>
      </c>
      <c r="H37" s="420">
        <f t="shared" si="0"/>
      </c>
      <c r="I37" s="420">
        <f t="shared" si="1"/>
      </c>
      <c r="J37" s="420">
        <f t="shared" si="2"/>
      </c>
      <c r="K37" s="419">
        <v>2</v>
      </c>
      <c r="L37" s="419">
        <v>968.4</v>
      </c>
      <c r="M37" s="419" t="s">
        <v>966</v>
      </c>
      <c r="N37" s="419">
        <v>10</v>
      </c>
      <c r="O37" s="421"/>
      <c r="P37" s="421"/>
    </row>
    <row r="38">
      <c r="A38" s="418" t="s">
        <v>977</v>
      </c>
      <c r="B38" s="423" t="s">
        <v>957</v>
      </c>
      <c r="C38" s="419" t="s">
        <v>967</v>
      </c>
      <c r="D38" s="419">
        <v>5</v>
      </c>
      <c r="E38" s="419">
        <v>14</v>
      </c>
      <c r="F38" s="419">
        <v>10807.4</v>
      </c>
      <c r="G38" s="419">
        <v>8726.42</v>
      </c>
      <c r="H38" s="420">
        <f t="shared" si="0"/>
      </c>
      <c r="I38" s="420">
        <f t="shared" si="1"/>
      </c>
      <c r="J38" s="420">
        <f t="shared" si="2"/>
      </c>
      <c r="K38" s="419">
        <v>1</v>
      </c>
      <c r="L38" s="419">
        <v>1048</v>
      </c>
      <c r="M38" s="419"/>
      <c r="N38" s="419"/>
      <c r="O38" s="421"/>
      <c r="P38" s="421"/>
    </row>
    <row r="39">
      <c r="A39" s="418" t="s">
        <v>977</v>
      </c>
      <c r="B39" s="423" t="s">
        <v>961</v>
      </c>
      <c r="C39" s="419" t="s">
        <v>968</v>
      </c>
      <c r="D39" s="419">
        <v>5</v>
      </c>
      <c r="E39" s="419">
        <v>18</v>
      </c>
      <c r="F39" s="419">
        <v>12510</v>
      </c>
      <c r="G39" s="419">
        <v>7086.71</v>
      </c>
      <c r="H39" s="420">
        <f t="shared" si="0"/>
      </c>
      <c r="I39" s="420">
        <f t="shared" si="1"/>
      </c>
      <c r="J39" s="420">
        <f t="shared" si="2"/>
      </c>
      <c r="K39" s="424">
        <v>0</v>
      </c>
      <c r="L39" s="424">
        <v>0</v>
      </c>
      <c r="M39" s="419"/>
      <c r="N39" s="419"/>
      <c r="O39" s="421"/>
      <c r="P39" s="421"/>
    </row>
    <row r="40">
      <c r="A40" s="418" t="s">
        <v>977</v>
      </c>
      <c r="B40" s="419" t="s">
        <v>959</v>
      </c>
      <c r="C40" s="419" t="s">
        <v>969</v>
      </c>
      <c r="D40" s="419">
        <v>5</v>
      </c>
      <c r="E40" s="419">
        <v>18</v>
      </c>
      <c r="F40" s="419">
        <v>22860.2</v>
      </c>
      <c r="G40" s="419">
        <v>14797.5</v>
      </c>
      <c r="H40" s="420">
        <f t="shared" si="0"/>
      </c>
      <c r="I40" s="420">
        <f t="shared" si="1"/>
      </c>
      <c r="J40" s="420">
        <f t="shared" si="2"/>
      </c>
      <c r="K40" s="424">
        <v>1</v>
      </c>
      <c r="L40" s="424">
        <v>348</v>
      </c>
      <c r="M40" s="419" t="s">
        <v>970</v>
      </c>
      <c r="N40" s="419">
        <v>10</v>
      </c>
      <c r="O40" s="421"/>
      <c r="P40" s="421"/>
    </row>
    <row r="41">
      <c r="A41" s="426" t="s">
        <v>977</v>
      </c>
      <c r="B41" s="427"/>
      <c r="C41" s="427"/>
      <c r="D41" s="428">
        <f>SUM(D37:D40)</f>
      </c>
      <c r="E41" s="428">
        <f>SUM(E37:E40)</f>
      </c>
      <c r="F41" s="428">
        <f>SUM(F37:F40)</f>
      </c>
      <c r="G41" s="428">
        <f>SUM(G37:G40)</f>
      </c>
      <c r="H41" s="429">
        <f t="shared" si="0"/>
      </c>
      <c r="I41" s="429">
        <f t="shared" si="1"/>
      </c>
      <c r="J41" s="429">
        <f t="shared" si="2"/>
      </c>
      <c r="K41" s="428">
        <f>SUM(K37:K40)</f>
      </c>
      <c r="L41" s="428">
        <f>SUM(L37:L40)</f>
      </c>
      <c r="M41" s="427"/>
      <c r="N41" s="428">
        <f>SUM(N37:N40)</f>
      </c>
      <c r="O41" s="427"/>
      <c r="P41" s="427"/>
    </row>
    <row r="42">
      <c r="A42" s="418" t="s">
        <v>978</v>
      </c>
      <c r="B42" s="423" t="s">
        <v>957</v>
      </c>
      <c r="C42" s="419" t="s">
        <v>965</v>
      </c>
      <c r="D42" s="419">
        <v>5</v>
      </c>
      <c r="E42" s="419">
        <v>16</v>
      </c>
      <c r="F42" s="419">
        <v>15096.2</v>
      </c>
      <c r="G42" s="419">
        <v>12006.62</v>
      </c>
      <c r="H42" s="420">
        <f t="shared" si="0"/>
      </c>
      <c r="I42" s="420">
        <f t="shared" si="1"/>
      </c>
      <c r="J42" s="420">
        <f t="shared" si="2"/>
      </c>
      <c r="K42" s="419">
        <v>2</v>
      </c>
      <c r="L42" s="419">
        <v>2498.4</v>
      </c>
      <c r="M42" s="419" t="s">
        <v>966</v>
      </c>
      <c r="N42" s="419">
        <v>10</v>
      </c>
      <c r="O42" s="421"/>
      <c r="P42" s="421"/>
    </row>
    <row r="43">
      <c r="A43" s="418" t="s">
        <v>978</v>
      </c>
      <c r="B43" s="423" t="s">
        <v>961</v>
      </c>
      <c r="C43" s="419" t="s">
        <v>967</v>
      </c>
      <c r="D43" s="419">
        <v>5</v>
      </c>
      <c r="E43" s="419">
        <v>6</v>
      </c>
      <c r="F43" s="419">
        <v>7240.8</v>
      </c>
      <c r="G43" s="419">
        <v>7990.62</v>
      </c>
      <c r="H43" s="420">
        <f t="shared" si="0"/>
      </c>
      <c r="I43" s="420">
        <f t="shared" si="1"/>
      </c>
      <c r="J43" s="420">
        <f t="shared" si="2"/>
      </c>
      <c r="K43" s="419">
        <v>2</v>
      </c>
      <c r="L43" s="419">
        <v>808.8</v>
      </c>
      <c r="M43" s="419"/>
      <c r="N43" s="419"/>
      <c r="O43" s="421"/>
      <c r="P43" s="421"/>
    </row>
    <row r="44">
      <c r="A44" s="418" t="s">
        <v>978</v>
      </c>
      <c r="B44" s="419" t="s">
        <v>959</v>
      </c>
      <c r="C44" s="419" t="s">
        <v>968</v>
      </c>
      <c r="D44" s="419">
        <v>5</v>
      </c>
      <c r="E44" s="419">
        <v>14</v>
      </c>
      <c r="F44" s="419">
        <v>11160.6</v>
      </c>
      <c r="G44" s="419">
        <v>8488.72</v>
      </c>
      <c r="H44" s="420">
        <f t="shared" si="0"/>
      </c>
      <c r="I44" s="420">
        <f t="shared" si="1"/>
      </c>
      <c r="J44" s="420">
        <f t="shared" si="2"/>
      </c>
      <c r="K44" s="424">
        <v>2</v>
      </c>
      <c r="L44" s="424">
        <v>872.4</v>
      </c>
      <c r="M44" s="419"/>
      <c r="N44" s="419"/>
      <c r="O44" s="421"/>
      <c r="P44" s="421"/>
    </row>
    <row r="45">
      <c r="A45" s="418" t="s">
        <v>978</v>
      </c>
      <c r="B45" s="419" t="s">
        <v>954</v>
      </c>
      <c r="C45" s="419" t="s">
        <v>969</v>
      </c>
      <c r="D45" s="419">
        <v>5</v>
      </c>
      <c r="E45" s="419">
        <v>39</v>
      </c>
      <c r="F45" s="419">
        <v>31374.8</v>
      </c>
      <c r="G45" s="419">
        <v>16107.96</v>
      </c>
      <c r="H45" s="420">
        <f t="shared" si="0"/>
      </c>
      <c r="I45" s="420">
        <f t="shared" si="1"/>
      </c>
      <c r="J45" s="420">
        <f t="shared" si="2"/>
      </c>
      <c r="K45" s="424">
        <v>5</v>
      </c>
      <c r="L45" s="424">
        <v>4296</v>
      </c>
      <c r="M45" s="419" t="s">
        <v>970</v>
      </c>
      <c r="N45" s="419">
        <v>10</v>
      </c>
      <c r="O45" s="421"/>
      <c r="P45" s="421"/>
    </row>
    <row r="46">
      <c r="A46" s="426" t="s">
        <v>978</v>
      </c>
      <c r="B46" s="427"/>
      <c r="C46" s="427"/>
      <c r="D46" s="428">
        <f>SUM(D42:D45)</f>
      </c>
      <c r="E46" s="428">
        <f>SUM(E42:E45)</f>
      </c>
      <c r="F46" s="428">
        <f>SUM(F42:F45)</f>
      </c>
      <c r="G46" s="428">
        <f>SUM(G42:G45)</f>
      </c>
      <c r="H46" s="429">
        <f t="shared" si="0"/>
      </c>
      <c r="I46" s="429">
        <f t="shared" si="1"/>
      </c>
      <c r="J46" s="429">
        <f t="shared" si="2"/>
      </c>
      <c r="K46" s="428">
        <f>SUM(K42:K45)</f>
      </c>
      <c r="L46" s="428">
        <f>SUM(L42:L45)</f>
      </c>
      <c r="M46" s="427"/>
      <c r="N46" s="428">
        <f>SUM(N42:N45)</f>
      </c>
      <c r="O46" s="427"/>
      <c r="P46" s="427"/>
    </row>
    <row r="47">
      <c r="A47" s="418" t="s">
        <v>979</v>
      </c>
      <c r="B47" s="423" t="s">
        <v>957</v>
      </c>
      <c r="C47" s="419" t="s">
        <v>965</v>
      </c>
      <c r="D47" s="419">
        <v>5</v>
      </c>
      <c r="E47" s="419">
        <v>12</v>
      </c>
      <c r="F47" s="419">
        <v>11026.8</v>
      </c>
      <c r="G47" s="419">
        <v>8229.710000000001</v>
      </c>
      <c r="H47" s="420">
        <f t="shared" si="0"/>
      </c>
      <c r="I47" s="420">
        <f t="shared" si="1"/>
      </c>
      <c r="J47" s="420">
        <f t="shared" si="2"/>
      </c>
      <c r="K47" s="419">
        <v>3</v>
      </c>
      <c r="L47" s="419">
        <v>5338.8</v>
      </c>
      <c r="M47" s="419" t="s">
        <v>966</v>
      </c>
      <c r="N47" s="419">
        <v>10</v>
      </c>
      <c r="O47" s="421"/>
      <c r="P47" s="421"/>
    </row>
    <row r="48">
      <c r="A48" s="418" t="s">
        <v>979</v>
      </c>
      <c r="B48" s="423" t="s">
        <v>961</v>
      </c>
      <c r="C48" s="419" t="s">
        <v>967</v>
      </c>
      <c r="D48" s="419">
        <v>5</v>
      </c>
      <c r="E48" s="419">
        <v>22</v>
      </c>
      <c r="F48" s="419">
        <v>13358.4</v>
      </c>
      <c r="G48" s="419">
        <v>14310.63</v>
      </c>
      <c r="H48" s="420">
        <f t="shared" si="0"/>
      </c>
      <c r="I48" s="420">
        <f t="shared" si="1"/>
      </c>
      <c r="J48" s="420">
        <f t="shared" si="2"/>
      </c>
      <c r="K48" s="419">
        <v>5</v>
      </c>
      <c r="L48" s="419">
        <v>2366.4</v>
      </c>
      <c r="M48" s="419"/>
      <c r="N48" s="419"/>
      <c r="O48" s="421"/>
      <c r="P48" s="421"/>
    </row>
    <row r="49">
      <c r="A49" s="418" t="s">
        <v>979</v>
      </c>
      <c r="B49" s="419" t="s">
        <v>959</v>
      </c>
      <c r="C49" s="419" t="s">
        <v>968</v>
      </c>
      <c r="D49" s="419">
        <v>5</v>
      </c>
      <c r="E49" s="419">
        <v>17</v>
      </c>
      <c r="F49" s="419">
        <v>12257.8</v>
      </c>
      <c r="G49" s="419">
        <v>8951.69</v>
      </c>
      <c r="H49" s="420">
        <f t="shared" si="0"/>
      </c>
      <c r="I49" s="420">
        <f t="shared" si="1"/>
      </c>
      <c r="J49" s="420">
        <f t="shared" si="2"/>
      </c>
      <c r="K49" s="424">
        <v>8</v>
      </c>
      <c r="L49" s="424">
        <v>7462.8</v>
      </c>
      <c r="M49" s="419"/>
      <c r="N49" s="419"/>
      <c r="O49" s="421"/>
      <c r="P49" s="421"/>
    </row>
    <row r="50">
      <c r="A50" s="418" t="s">
        <v>979</v>
      </c>
      <c r="B50" s="419" t="s">
        <v>954</v>
      </c>
      <c r="C50" s="419" t="s">
        <v>969</v>
      </c>
      <c r="D50" s="419">
        <v>5</v>
      </c>
      <c r="E50" s="419">
        <v>21</v>
      </c>
      <c r="F50" s="419">
        <v>15401.2</v>
      </c>
      <c r="G50" s="419">
        <v>11028.44</v>
      </c>
      <c r="H50" s="420">
        <f t="shared" si="0"/>
      </c>
      <c r="I50" s="420">
        <f t="shared" si="1"/>
      </c>
      <c r="J50" s="420">
        <f t="shared" si="2"/>
      </c>
      <c r="K50" s="424">
        <v>2</v>
      </c>
      <c r="L50" s="424">
        <v>1425.6</v>
      </c>
      <c r="M50" s="419" t="s">
        <v>970</v>
      </c>
      <c r="N50" s="419">
        <v>10</v>
      </c>
      <c r="O50" s="421"/>
      <c r="P50" s="421"/>
    </row>
    <row r="51">
      <c r="A51" s="426" t="s">
        <v>979</v>
      </c>
      <c r="B51" s="427"/>
      <c r="C51" s="427"/>
      <c r="D51" s="428">
        <f>SUM(D47:D50)</f>
      </c>
      <c r="E51" s="428">
        <f>SUM(E47:E50)</f>
      </c>
      <c r="F51" s="428">
        <f>SUM(F47:F50)</f>
      </c>
      <c r="G51" s="428">
        <f>SUM(G47:G50)</f>
      </c>
      <c r="H51" s="429">
        <f t="shared" si="0"/>
      </c>
      <c r="I51" s="429">
        <f t="shared" si="1"/>
      </c>
      <c r="J51" s="429">
        <f t="shared" si="2"/>
      </c>
      <c r="K51" s="428">
        <f>SUM(K47:K50)</f>
      </c>
      <c r="L51" s="428">
        <f>SUM(L47:L50)</f>
      </c>
      <c r="M51" s="427"/>
      <c r="N51" s="428">
        <f>SUM(N47:N50)</f>
      </c>
      <c r="O51" s="427"/>
      <c r="P51" s="427"/>
    </row>
    <row r="52">
      <c r="A52" s="418" t="s">
        <v>980</v>
      </c>
      <c r="B52" s="423" t="s">
        <v>961</v>
      </c>
      <c r="C52" s="419" t="s">
        <v>965</v>
      </c>
      <c r="D52" s="419">
        <v>5</v>
      </c>
      <c r="E52" s="419">
        <v>22</v>
      </c>
      <c r="F52" s="419">
        <v>11260.8</v>
      </c>
      <c r="G52" s="419">
        <v>10897.34</v>
      </c>
      <c r="H52" s="420">
        <f t="shared" si="0"/>
      </c>
      <c r="I52" s="420">
        <f t="shared" si="1"/>
      </c>
      <c r="J52" s="420">
        <f t="shared" si="2"/>
      </c>
      <c r="K52" s="419">
        <v>7</v>
      </c>
      <c r="L52" s="419">
        <v>3729.6</v>
      </c>
      <c r="M52" s="419" t="s">
        <v>966</v>
      </c>
      <c r="N52" s="419">
        <v>1</v>
      </c>
      <c r="O52" s="421"/>
      <c r="P52" s="421"/>
    </row>
    <row r="53">
      <c r="A53" s="418" t="s">
        <v>980</v>
      </c>
      <c r="B53" s="419" t="s">
        <v>959</v>
      </c>
      <c r="C53" s="419" t="s">
        <v>967</v>
      </c>
      <c r="D53" s="419">
        <v>5</v>
      </c>
      <c r="E53" s="419">
        <v>16</v>
      </c>
      <c r="F53" s="419">
        <v>10792.8</v>
      </c>
      <c r="G53" s="419">
        <v>7689.33</v>
      </c>
      <c r="H53" s="420">
        <f t="shared" si="0"/>
      </c>
      <c r="I53" s="420">
        <f t="shared" si="1"/>
      </c>
      <c r="J53" s="420">
        <f t="shared" si="2"/>
      </c>
      <c r="K53" s="419">
        <v>2</v>
      </c>
      <c r="L53" s="419">
        <v>1200</v>
      </c>
      <c r="M53" s="419"/>
      <c r="N53" s="419"/>
      <c r="O53" s="421"/>
      <c r="P53" s="421"/>
    </row>
    <row r="54">
      <c r="A54" s="418" t="s">
        <v>980</v>
      </c>
      <c r="B54" s="419" t="s">
        <v>957</v>
      </c>
      <c r="C54" s="419" t="s">
        <v>968</v>
      </c>
      <c r="D54" s="419">
        <v>5</v>
      </c>
      <c r="E54" s="419">
        <v>19</v>
      </c>
      <c r="F54" s="419">
        <v>15349.2</v>
      </c>
      <c r="G54" s="419">
        <v>10678.25</v>
      </c>
      <c r="H54" s="420">
        <f t="shared" si="0"/>
      </c>
      <c r="I54" s="420">
        <f t="shared" si="1"/>
      </c>
      <c r="J54" s="420">
        <f t="shared" si="2"/>
      </c>
      <c r="K54" s="424">
        <v>4</v>
      </c>
      <c r="L54" s="424">
        <v>1583.4</v>
      </c>
      <c r="M54" s="419" t="s">
        <v>981</v>
      </c>
      <c r="N54" s="419">
        <v>9</v>
      </c>
      <c r="O54" s="421"/>
      <c r="P54" s="421"/>
    </row>
    <row r="55">
      <c r="A55" s="418" t="s">
        <v>980</v>
      </c>
      <c r="B55" s="419" t="s">
        <v>954</v>
      </c>
      <c r="C55" s="419" t="s">
        <v>969</v>
      </c>
      <c r="D55" s="419">
        <v>5</v>
      </c>
      <c r="E55" s="419">
        <v>9</v>
      </c>
      <c r="F55" s="419">
        <v>6131.8</v>
      </c>
      <c r="G55" s="419">
        <v>14498.14</v>
      </c>
      <c r="H55" s="420">
        <f t="shared" si="0"/>
      </c>
      <c r="I55" s="420">
        <f t="shared" si="1"/>
      </c>
      <c r="J55" s="420">
        <f t="shared" si="2"/>
      </c>
      <c r="K55" s="424">
        <v>1</v>
      </c>
      <c r="L55" s="424">
        <v>405.6</v>
      </c>
      <c r="M55" s="419" t="s">
        <v>970</v>
      </c>
      <c r="N55" s="419">
        <v>10</v>
      </c>
      <c r="O55" s="421"/>
      <c r="P55" s="421"/>
    </row>
    <row r="56">
      <c r="A56" s="426" t="s">
        <v>980</v>
      </c>
      <c r="B56" s="427"/>
      <c r="C56" s="427"/>
      <c r="D56" s="428">
        <f>SUM(D52:D55)</f>
      </c>
      <c r="E56" s="428">
        <f>SUM(E52:E55)</f>
      </c>
      <c r="F56" s="428">
        <f>SUM(F52:F55)</f>
      </c>
      <c r="G56" s="428">
        <f>SUM(G52:G55)</f>
      </c>
      <c r="H56" s="429">
        <f t="shared" si="0"/>
      </c>
      <c r="I56" s="429">
        <f t="shared" si="1"/>
      </c>
      <c r="J56" s="429">
        <f t="shared" si="2"/>
      </c>
      <c r="K56" s="428">
        <f>SUM(K52:K55)</f>
      </c>
      <c r="L56" s="428">
        <f>SUM(L52:L55)</f>
      </c>
      <c r="M56" s="427"/>
      <c r="N56" s="428">
        <f>SUM(N52:N55)</f>
      </c>
      <c r="O56" s="427"/>
      <c r="P56" s="427"/>
    </row>
    <row r="57">
      <c r="A57" s="418" t="s">
        <v>982</v>
      </c>
      <c r="B57" s="419" t="s">
        <v>959</v>
      </c>
      <c r="C57" s="419" t="s">
        <v>965</v>
      </c>
      <c r="D57" s="419">
        <v>5</v>
      </c>
      <c r="E57" s="419">
        <v>18</v>
      </c>
      <c r="F57" s="419">
        <v>13146.2</v>
      </c>
      <c r="G57" s="419">
        <v>12584.130000000001</v>
      </c>
      <c r="H57" s="420">
        <f t="shared" si="0"/>
      </c>
      <c r="I57" s="420">
        <f t="shared" si="1"/>
      </c>
      <c r="J57" s="420">
        <f t="shared" si="2"/>
      </c>
      <c r="K57" s="419">
        <v>2</v>
      </c>
      <c r="L57" s="419">
        <v>620.4</v>
      </c>
      <c r="M57" s="419" t="s">
        <v>966</v>
      </c>
      <c r="N57" s="419">
        <v>10</v>
      </c>
      <c r="O57" s="421"/>
      <c r="P57" s="421"/>
    </row>
    <row r="58">
      <c r="A58" s="418" t="s">
        <v>982</v>
      </c>
      <c r="B58" s="419" t="s">
        <v>957</v>
      </c>
      <c r="C58" s="419" t="s">
        <v>967</v>
      </c>
      <c r="D58" s="419">
        <v>5</v>
      </c>
      <c r="E58" s="419">
        <v>23</v>
      </c>
      <c r="F58" s="419">
        <v>16735.8</v>
      </c>
      <c r="G58" s="419">
        <v>16757.1</v>
      </c>
      <c r="H58" s="420">
        <f t="shared" si="0"/>
      </c>
      <c r="I58" s="420">
        <f t="shared" si="1"/>
      </c>
      <c r="J58" s="420">
        <f t="shared" si="2"/>
      </c>
      <c r="K58" s="419">
        <v>1</v>
      </c>
      <c r="L58" s="419">
        <v>572.4</v>
      </c>
      <c r="M58" s="419"/>
      <c r="N58" s="419"/>
      <c r="O58" s="421"/>
      <c r="P58" s="421"/>
    </row>
    <row r="59">
      <c r="A59" s="418" t="s">
        <v>982</v>
      </c>
      <c r="B59" s="423" t="s">
        <v>961</v>
      </c>
      <c r="C59" s="419" t="s">
        <v>968</v>
      </c>
      <c r="D59" s="419">
        <v>5</v>
      </c>
      <c r="E59" s="419">
        <v>37</v>
      </c>
      <c r="F59" s="419">
        <v>22044.24</v>
      </c>
      <c r="G59" s="419">
        <v>15025.31</v>
      </c>
      <c r="H59" s="420">
        <f t="shared" si="0"/>
      </c>
      <c r="I59" s="420">
        <f t="shared" si="1"/>
      </c>
      <c r="J59" s="420">
        <f t="shared" si="2"/>
      </c>
      <c r="K59" s="424">
        <v>2</v>
      </c>
      <c r="L59" s="424">
        <v>1304.2</v>
      </c>
      <c r="M59" s="419" t="s">
        <v>981</v>
      </c>
      <c r="N59" s="419">
        <v>9</v>
      </c>
      <c r="O59" s="421"/>
      <c r="P59" s="421"/>
    </row>
    <row r="60">
      <c r="A60" s="418" t="s">
        <v>982</v>
      </c>
      <c r="B60" s="419" t="s">
        <v>954</v>
      </c>
      <c r="C60" s="419" t="s">
        <v>969</v>
      </c>
      <c r="D60" s="419">
        <v>5</v>
      </c>
      <c r="E60" s="419">
        <v>42</v>
      </c>
      <c r="F60" s="419">
        <v>28663.68</v>
      </c>
      <c r="G60" s="419">
        <v>26128.08</v>
      </c>
      <c r="H60" s="420">
        <f t="shared" si="0"/>
      </c>
      <c r="I60" s="420">
        <f t="shared" si="1"/>
      </c>
      <c r="J60" s="420">
        <f t="shared" si="2"/>
      </c>
      <c r="K60" s="424">
        <v>7</v>
      </c>
      <c r="L60" s="424">
        <v>5864.2</v>
      </c>
      <c r="M60" s="419" t="s">
        <v>970</v>
      </c>
      <c r="N60" s="419">
        <v>1</v>
      </c>
      <c r="O60" s="421"/>
      <c r="P60" s="421"/>
    </row>
    <row r="61">
      <c r="A61" s="426" t="s">
        <v>982</v>
      </c>
      <c r="B61" s="427"/>
      <c r="C61" s="427"/>
      <c r="D61" s="428">
        <f>SUM(D57:D60)</f>
      </c>
      <c r="E61" s="428">
        <f>SUM(E57:E60)</f>
      </c>
      <c r="F61" s="428">
        <f>SUM(F57:F60)</f>
      </c>
      <c r="G61" s="428">
        <f>SUM(G57:G60)</f>
      </c>
      <c r="H61" s="429">
        <f t="shared" si="0"/>
      </c>
      <c r="I61" s="429">
        <f t="shared" si="1"/>
      </c>
      <c r="J61" s="429">
        <f t="shared" si="2"/>
      </c>
      <c r="K61" s="428">
        <f>SUM(K57:K60)</f>
      </c>
      <c r="L61" s="428">
        <f>SUM(L57:L60)</f>
      </c>
      <c r="M61" s="427"/>
      <c r="N61" s="428">
        <f>SUM(N57:N60)</f>
      </c>
      <c r="O61" s="427"/>
      <c r="P61" s="427"/>
    </row>
    <row r="62">
      <c r="A62" s="418" t="s">
        <v>983</v>
      </c>
      <c r="B62" s="419" t="s">
        <v>959</v>
      </c>
      <c r="C62" s="419" t="s">
        <v>984</v>
      </c>
      <c r="D62" s="419">
        <v>4</v>
      </c>
      <c r="E62" s="419">
        <v>5</v>
      </c>
      <c r="F62" s="419">
        <v>2738.4</v>
      </c>
      <c r="G62" s="419">
        <v>8899.63</v>
      </c>
      <c r="H62" s="420">
        <f t="shared" si="0"/>
      </c>
      <c r="I62" s="420">
        <f t="shared" si="1"/>
      </c>
      <c r="J62" s="420">
        <f t="shared" si="2"/>
      </c>
      <c r="K62" s="419">
        <v>3</v>
      </c>
      <c r="L62" s="419">
        <v>1025.8</v>
      </c>
      <c r="M62" s="419" t="s">
        <v>966</v>
      </c>
      <c r="N62" s="419">
        <v>10</v>
      </c>
      <c r="O62" s="421"/>
      <c r="P62" s="421"/>
    </row>
    <row r="63">
      <c r="A63" s="418" t="s">
        <v>983</v>
      </c>
      <c r="B63" s="423" t="s">
        <v>961</v>
      </c>
      <c r="C63" s="419" t="s">
        <v>985</v>
      </c>
      <c r="D63" s="419">
        <v>5</v>
      </c>
      <c r="E63" s="419">
        <v>39</v>
      </c>
      <c r="F63" s="419">
        <v>26910.8</v>
      </c>
      <c r="G63" s="419">
        <v>14222.58</v>
      </c>
      <c r="H63" s="420">
        <f t="shared" si="0"/>
      </c>
      <c r="I63" s="420">
        <f t="shared" si="1"/>
      </c>
      <c r="J63" s="420">
        <f t="shared" si="2"/>
      </c>
      <c r="K63" s="419">
        <v>4</v>
      </c>
      <c r="L63" s="419">
        <v>2001.2000000000003</v>
      </c>
      <c r="M63" s="419"/>
      <c r="N63" s="419"/>
      <c r="O63" s="421"/>
      <c r="P63" s="421"/>
    </row>
    <row r="64">
      <c r="A64" s="418" t="s">
        <v>983</v>
      </c>
      <c r="B64" s="419" t="s">
        <v>957</v>
      </c>
      <c r="C64" s="419" t="s">
        <v>986</v>
      </c>
      <c r="D64" s="419">
        <v>5</v>
      </c>
      <c r="E64" s="419">
        <v>28</v>
      </c>
      <c r="F64" s="419">
        <v>21349</v>
      </c>
      <c r="G64" s="419">
        <v>15515.560000000003</v>
      </c>
      <c r="H64" s="420">
        <f t="shared" si="0"/>
      </c>
      <c r="I64" s="420">
        <f t="shared" si="1"/>
      </c>
      <c r="J64" s="420">
        <f t="shared" si="2"/>
      </c>
      <c r="K64" s="424">
        <v>4</v>
      </c>
      <c r="L64" s="424">
        <v>2695.1999999999994</v>
      </c>
      <c r="M64" s="419"/>
      <c r="N64" s="419"/>
      <c r="O64" s="421"/>
      <c r="P64" s="421"/>
    </row>
    <row r="65">
      <c r="A65" s="418" t="s">
        <v>983</v>
      </c>
      <c r="B65" s="419" t="s">
        <v>954</v>
      </c>
      <c r="C65" s="419" t="s">
        <v>987</v>
      </c>
      <c r="D65" s="419">
        <v>5</v>
      </c>
      <c r="E65" s="419">
        <v>10</v>
      </c>
      <c r="F65" s="419">
        <v>7762.200000000006</v>
      </c>
      <c r="G65" s="419">
        <v>10422.759999999998</v>
      </c>
      <c r="H65" s="420">
        <f t="shared" si="0"/>
      </c>
      <c r="I65" s="420">
        <f t="shared" si="1"/>
      </c>
      <c r="J65" s="420">
        <f t="shared" si="2"/>
      </c>
      <c r="K65" s="424">
        <v>0</v>
      </c>
      <c r="L65" s="424">
        <v>0</v>
      </c>
      <c r="M65" s="419" t="s">
        <v>981</v>
      </c>
      <c r="N65" s="419">
        <v>9</v>
      </c>
      <c r="O65" s="421"/>
      <c r="P65" s="421"/>
    </row>
    <row r="66">
      <c r="A66" s="426" t="s">
        <v>983</v>
      </c>
      <c r="B66" s="427"/>
      <c r="C66" s="427"/>
      <c r="D66" s="428">
        <f>SUM(D62:D65)</f>
      </c>
      <c r="E66" s="428">
        <f>SUM(E62:E65)</f>
      </c>
      <c r="F66" s="428">
        <f>SUM(F62:F65)</f>
      </c>
      <c r="G66" s="428">
        <f>SUM(G62:G65)</f>
      </c>
      <c r="H66" s="429">
        <f t="shared" si="0"/>
      </c>
      <c r="I66" s="429">
        <f t="shared" si="1"/>
      </c>
      <c r="J66" s="429">
        <f t="shared" si="2"/>
      </c>
      <c r="K66" s="428">
        <f>SUM(K62:K65)</f>
      </c>
      <c r="L66" s="428">
        <f>SUM(L62:L65)</f>
      </c>
      <c r="M66" s="427"/>
      <c r="N66" s="428">
        <f>SUM(N62:N65)</f>
      </c>
      <c r="O66" s="427"/>
      <c r="P66" s="427"/>
    </row>
    <row r="67">
      <c r="A67" s="418" t="s">
        <v>988</v>
      </c>
      <c r="B67" s="419" t="s">
        <v>957</v>
      </c>
      <c r="C67" s="419" t="s">
        <v>965</v>
      </c>
      <c r="D67" s="419">
        <v>5</v>
      </c>
      <c r="E67" s="419">
        <v>14</v>
      </c>
      <c r="F67" s="419">
        <v>9289</v>
      </c>
      <c r="G67" s="419">
        <v>8197.27</v>
      </c>
      <c r="H67" s="420">
        <f t="shared" si="0"/>
      </c>
      <c r="I67" s="420">
        <f t="shared" si="1"/>
      </c>
      <c r="J67" s="420">
        <f t="shared" si="2"/>
      </c>
      <c r="K67" s="419">
        <v>1</v>
      </c>
      <c r="L67" s="419">
        <v>567.6</v>
      </c>
      <c r="M67" s="419" t="s">
        <v>966</v>
      </c>
      <c r="N67" s="419">
        <v>10</v>
      </c>
      <c r="O67" s="421"/>
      <c r="P67" s="421"/>
    </row>
    <row r="68">
      <c r="A68" s="418" t="s">
        <v>988</v>
      </c>
      <c r="B68" s="423" t="s">
        <v>989</v>
      </c>
      <c r="C68" s="419" t="s">
        <v>967</v>
      </c>
      <c r="D68" s="419">
        <v>5</v>
      </c>
      <c r="E68" s="419">
        <v>16</v>
      </c>
      <c r="F68" s="419">
        <v>9298</v>
      </c>
      <c r="G68" s="419">
        <v>12350.12</v>
      </c>
      <c r="H68" s="420">
        <f t="shared" si="0"/>
      </c>
      <c r="I68" s="420">
        <f t="shared" si="1"/>
      </c>
      <c r="J68" s="420">
        <f t="shared" si="2"/>
      </c>
      <c r="K68" s="419">
        <v>4</v>
      </c>
      <c r="L68" s="419">
        <v>4108.8</v>
      </c>
      <c r="M68" s="419"/>
      <c r="N68" s="419"/>
      <c r="O68" s="421"/>
      <c r="P68" s="421"/>
    </row>
    <row r="69">
      <c r="A69" s="418" t="s">
        <v>988</v>
      </c>
      <c r="B69" s="419" t="s">
        <v>954</v>
      </c>
      <c r="C69" s="419" t="s">
        <v>990</v>
      </c>
      <c r="D69" s="419">
        <v>3.5</v>
      </c>
      <c r="E69" s="419">
        <v>6</v>
      </c>
      <c r="F69" s="419">
        <v>2054.4</v>
      </c>
      <c r="G69" s="419">
        <v>4576.37</v>
      </c>
      <c r="H69" s="420">
        <f t="shared" si="0"/>
      </c>
      <c r="I69" s="420">
        <f t="shared" si="1"/>
      </c>
      <c r="J69" s="420">
        <f t="shared" si="2"/>
      </c>
      <c r="K69" s="424">
        <v>0</v>
      </c>
      <c r="L69" s="424">
        <v>0</v>
      </c>
      <c r="M69" s="419"/>
      <c r="N69" s="419"/>
      <c r="O69" s="421"/>
      <c r="P69" s="421"/>
    </row>
    <row r="70">
      <c r="A70" s="418" t="s">
        <v>988</v>
      </c>
      <c r="B70" s="419" t="s">
        <v>961</v>
      </c>
      <c r="C70" s="419" t="s">
        <v>969</v>
      </c>
      <c r="D70" s="419">
        <v>5</v>
      </c>
      <c r="E70" s="419">
        <v>21</v>
      </c>
      <c r="F70" s="419">
        <v>14675.6</v>
      </c>
      <c r="G70" s="419">
        <v>10458.31</v>
      </c>
      <c r="H70" s="420">
        <f t="shared" si="0"/>
      </c>
      <c r="I70" s="420">
        <f t="shared" si="1"/>
      </c>
      <c r="J70" s="420">
        <f t="shared" si="2"/>
      </c>
      <c r="K70" s="424">
        <v>6</v>
      </c>
      <c r="L70" s="424">
        <v>4342</v>
      </c>
      <c r="M70" s="419" t="s">
        <v>991</v>
      </c>
      <c r="N70" s="419">
        <v>8.5</v>
      </c>
      <c r="O70" s="421"/>
      <c r="P70" s="421"/>
    </row>
    <row r="71">
      <c r="A71" s="426" t="s">
        <v>988</v>
      </c>
      <c r="B71" s="427"/>
      <c r="C71" s="427"/>
      <c r="D71" s="428">
        <f>SUM(D67:D70)</f>
      </c>
      <c r="E71" s="428">
        <f>SUM(E67:E70)</f>
      </c>
      <c r="F71" s="428">
        <f>SUM(F67:F70)</f>
      </c>
      <c r="G71" s="428">
        <f>SUM(G67:G70)</f>
      </c>
      <c r="H71" s="429">
        <f t="shared" si="0"/>
      </c>
      <c r="I71" s="429">
        <f t="shared" si="1"/>
      </c>
      <c r="J71" s="429">
        <f t="shared" si="2"/>
      </c>
      <c r="K71" s="428">
        <f>SUM(K67:K70)</f>
      </c>
      <c r="L71" s="428">
        <f>SUM(L67:L70)</f>
      </c>
      <c r="M71" s="427"/>
      <c r="N71" s="428">
        <f>SUM(N67:N70)</f>
      </c>
      <c r="O71" s="427"/>
      <c r="P71" s="427"/>
    </row>
    <row r="72">
      <c r="A72" s="418" t="s">
        <v>992</v>
      </c>
      <c r="B72" s="419" t="s">
        <v>957</v>
      </c>
      <c r="C72" s="419" t="s">
        <v>965</v>
      </c>
      <c r="D72" s="419">
        <v>5</v>
      </c>
      <c r="E72" s="419">
        <v>16</v>
      </c>
      <c r="F72" s="419">
        <v>18907.8</v>
      </c>
      <c r="G72" s="419">
        <v>7939.870000000001</v>
      </c>
      <c r="H72" s="420">
        <f t="shared" si="0"/>
      </c>
      <c r="I72" s="420">
        <f t="shared" si="1"/>
      </c>
      <c r="J72" s="420">
        <f t="shared" si="2"/>
      </c>
      <c r="K72" s="419">
        <v>3</v>
      </c>
      <c r="L72" s="419">
        <v>7674</v>
      </c>
      <c r="M72" s="419" t="s">
        <v>966</v>
      </c>
      <c r="N72" s="419">
        <v>10</v>
      </c>
      <c r="O72" s="421"/>
      <c r="P72" s="421"/>
    </row>
    <row r="73">
      <c r="A73" s="418" t="s">
        <v>992</v>
      </c>
      <c r="B73" s="423" t="s">
        <v>989</v>
      </c>
      <c r="C73" s="419" t="s">
        <v>967</v>
      </c>
      <c r="D73" s="419">
        <v>5</v>
      </c>
      <c r="E73" s="419">
        <v>14</v>
      </c>
      <c r="F73" s="419">
        <v>6695.4</v>
      </c>
      <c r="G73" s="419">
        <v>10625.55</v>
      </c>
      <c r="H73" s="420">
        <f t="shared" si="0"/>
      </c>
      <c r="I73" s="420">
        <f t="shared" si="1"/>
      </c>
      <c r="J73" s="420">
        <f t="shared" si="2"/>
      </c>
      <c r="K73" s="419">
        <v>4</v>
      </c>
      <c r="L73" s="419">
        <v>1312.2</v>
      </c>
      <c r="M73" s="419"/>
      <c r="N73" s="419"/>
      <c r="O73" s="421"/>
      <c r="P73" s="421"/>
    </row>
    <row r="74">
      <c r="A74" s="418" t="s">
        <v>992</v>
      </c>
      <c r="B74" s="419" t="s">
        <v>961</v>
      </c>
      <c r="C74" s="419" t="s">
        <v>968</v>
      </c>
      <c r="D74" s="419">
        <v>5</v>
      </c>
      <c r="E74" s="419">
        <v>15</v>
      </c>
      <c r="F74" s="419">
        <v>11615.6</v>
      </c>
      <c r="G74" s="419">
        <v>8416.55</v>
      </c>
      <c r="H74" s="420">
        <f t="shared" si="0"/>
      </c>
      <c r="I74" s="420">
        <f t="shared" si="1"/>
      </c>
      <c r="J74" s="420">
        <f t="shared" si="2"/>
      </c>
      <c r="K74" s="424">
        <v>0</v>
      </c>
      <c r="L74" s="424">
        <v>0</v>
      </c>
      <c r="M74" s="419"/>
      <c r="N74" s="419"/>
      <c r="O74" s="421"/>
      <c r="P74" s="421"/>
    </row>
    <row r="75">
      <c r="A75" s="418" t="s">
        <v>992</v>
      </c>
      <c r="B75" s="419" t="s">
        <v>959</v>
      </c>
      <c r="C75" s="419" t="s">
        <v>969</v>
      </c>
      <c r="D75" s="419">
        <v>5</v>
      </c>
      <c r="E75" s="419">
        <v>14</v>
      </c>
      <c r="F75" s="419">
        <v>8655.8</v>
      </c>
      <c r="G75" s="419">
        <v>6264.44</v>
      </c>
      <c r="H75" s="420">
        <f t="shared" si="0"/>
      </c>
      <c r="I75" s="420">
        <f t="shared" si="1"/>
      </c>
      <c r="J75" s="420">
        <f t="shared" si="2"/>
      </c>
      <c r="K75" s="424">
        <v>1</v>
      </c>
      <c r="L75" s="424">
        <v>325</v>
      </c>
      <c r="M75" s="419" t="s">
        <v>991</v>
      </c>
      <c r="N75" s="419">
        <v>10</v>
      </c>
      <c r="O75" s="421"/>
      <c r="P75" s="421"/>
    </row>
    <row r="76">
      <c r="A76" s="426" t="s">
        <v>992</v>
      </c>
      <c r="B76" s="427"/>
      <c r="C76" s="427"/>
      <c r="D76" s="428">
        <f>SUM(D72:D75)</f>
      </c>
      <c r="E76" s="428">
        <f>SUM(E72:E75)</f>
      </c>
      <c r="F76" s="428">
        <f>SUM(F72:F75)</f>
      </c>
      <c r="G76" s="428">
        <f>SUM(G72:G75)</f>
      </c>
      <c r="H76" s="429">
        <f t="shared" si="0"/>
      </c>
      <c r="I76" s="429">
        <f t="shared" si="1"/>
      </c>
      <c r="J76" s="429">
        <f t="shared" si="2"/>
      </c>
      <c r="K76" s="428">
        <f>SUM(K72:K75)</f>
      </c>
      <c r="L76" s="428">
        <f>SUM(L72:L75)</f>
      </c>
      <c r="M76" s="427"/>
      <c r="N76" s="428">
        <f>SUM(N72:N75)</f>
      </c>
      <c r="O76" s="427"/>
      <c r="P76" s="427"/>
    </row>
    <row r="77">
      <c r="A77" s="418" t="s">
        <v>993</v>
      </c>
      <c r="B77" s="419" t="s">
        <v>957</v>
      </c>
      <c r="C77" s="419" t="s">
        <v>965</v>
      </c>
      <c r="D77" s="419">
        <v>5</v>
      </c>
      <c r="E77" s="419">
        <v>15</v>
      </c>
      <c r="F77" s="419">
        <v>11282.4</v>
      </c>
      <c r="G77" s="419">
        <v>10499.58</v>
      </c>
      <c r="H77" s="420">
        <f t="shared" si="0"/>
      </c>
      <c r="I77" s="420">
        <f t="shared" si="1"/>
      </c>
      <c r="J77" s="420">
        <f t="shared" si="2"/>
      </c>
      <c r="K77" s="419">
        <v>6</v>
      </c>
      <c r="L77" s="419">
        <v>4808.4</v>
      </c>
      <c r="M77" s="419" t="s">
        <v>966</v>
      </c>
      <c r="N77" s="419">
        <v>10</v>
      </c>
      <c r="O77" s="421"/>
      <c r="P77" s="421"/>
    </row>
    <row r="78">
      <c r="A78" s="418" t="s">
        <v>993</v>
      </c>
      <c r="B78" s="419" t="s">
        <v>961</v>
      </c>
      <c r="C78" s="419" t="s">
        <v>967</v>
      </c>
      <c r="D78" s="419">
        <v>5</v>
      </c>
      <c r="E78" s="419">
        <v>18</v>
      </c>
      <c r="F78" s="419">
        <v>12328.8</v>
      </c>
      <c r="G78" s="419">
        <v>9149.81</v>
      </c>
      <c r="H78" s="420">
        <f t="shared" si="0"/>
      </c>
      <c r="I78" s="420">
        <f t="shared" si="1"/>
      </c>
      <c r="J78" s="420">
        <f t="shared" si="2"/>
      </c>
      <c r="K78" s="419">
        <v>1</v>
      </c>
      <c r="L78" s="419">
        <v>640.8</v>
      </c>
      <c r="M78" s="419"/>
      <c r="N78" s="419"/>
      <c r="O78" s="421"/>
      <c r="P78" s="421"/>
    </row>
    <row r="79">
      <c r="A79" s="418" t="s">
        <v>993</v>
      </c>
      <c r="B79" s="419" t="s">
        <v>989</v>
      </c>
      <c r="C79" s="419" t="s">
        <v>968</v>
      </c>
      <c r="D79" s="419">
        <v>5</v>
      </c>
      <c r="E79" s="419">
        <v>17</v>
      </c>
      <c r="F79" s="419">
        <v>9909.8</v>
      </c>
      <c r="G79" s="419">
        <v>8960.96</v>
      </c>
      <c r="H79" s="420">
        <f t="shared" si="0"/>
      </c>
      <c r="I79" s="420">
        <f t="shared" si="1"/>
      </c>
      <c r="J79" s="420">
        <f t="shared" si="2"/>
      </c>
      <c r="K79" s="424">
        <v>2</v>
      </c>
      <c r="L79" s="424">
        <v>1531.2</v>
      </c>
      <c r="M79" s="419"/>
      <c r="N79" s="419"/>
      <c r="O79" s="421"/>
      <c r="P79" s="421"/>
    </row>
    <row r="80">
      <c r="A80" s="418" t="s">
        <v>993</v>
      </c>
      <c r="B80" s="419" t="s">
        <v>959</v>
      </c>
      <c r="C80" s="419" t="s">
        <v>969</v>
      </c>
      <c r="D80" s="419">
        <v>5</v>
      </c>
      <c r="E80" s="419">
        <v>16</v>
      </c>
      <c r="F80" s="419">
        <v>14069.8</v>
      </c>
      <c r="G80" s="419">
        <v>11016.95</v>
      </c>
      <c r="H80" s="420">
        <f t="shared" si="0"/>
      </c>
      <c r="I80" s="420">
        <f t="shared" si="1"/>
      </c>
      <c r="J80" s="420">
        <f t="shared" si="2"/>
      </c>
      <c r="K80" s="424">
        <v>1</v>
      </c>
      <c r="L80" s="424">
        <v>488.4</v>
      </c>
      <c r="M80" s="419" t="s">
        <v>991</v>
      </c>
      <c r="N80" s="419">
        <v>10</v>
      </c>
      <c r="O80" s="421"/>
      <c r="P80" s="421"/>
    </row>
    <row r="81">
      <c r="A81" s="426" t="s">
        <v>993</v>
      </c>
      <c r="B81" s="427"/>
      <c r="C81" s="427"/>
      <c r="D81" s="428">
        <f>SUM(D77:D80)</f>
      </c>
      <c r="E81" s="428">
        <f>SUM(E77:E80)</f>
      </c>
      <c r="F81" s="428">
        <f>SUM(F77:F80)</f>
      </c>
      <c r="G81" s="428">
        <f>SUM(G77:G80)</f>
      </c>
      <c r="H81" s="429">
        <f t="shared" si="0"/>
      </c>
      <c r="I81" s="429">
        <f t="shared" si="1"/>
      </c>
      <c r="J81" s="429">
        <f t="shared" si="2"/>
      </c>
      <c r="K81" s="428">
        <f>SUM(K77:K80)</f>
      </c>
      <c r="L81" s="428">
        <f>SUM(L77:L80)</f>
      </c>
      <c r="M81" s="427"/>
      <c r="N81" s="428">
        <f>SUM(N77:N80)</f>
      </c>
      <c r="O81" s="427"/>
      <c r="P81" s="427"/>
    </row>
    <row r="82">
      <c r="A82" s="418" t="s">
        <v>994</v>
      </c>
      <c r="B82" s="419" t="s">
        <v>954</v>
      </c>
      <c r="C82" s="419" t="s">
        <v>965</v>
      </c>
      <c r="D82" s="419">
        <v>5</v>
      </c>
      <c r="E82" s="419">
        <v>11</v>
      </c>
      <c r="F82" s="419">
        <v>6628.6</v>
      </c>
      <c r="G82" s="419">
        <v>9645.99</v>
      </c>
      <c r="H82" s="420">
        <f t="shared" si="0"/>
      </c>
      <c r="I82" s="420">
        <f t="shared" si="1"/>
      </c>
      <c r="J82" s="420">
        <f t="shared" si="2"/>
      </c>
      <c r="K82" s="419">
        <v>3</v>
      </c>
      <c r="L82" s="419">
        <v>3530.2</v>
      </c>
      <c r="M82" s="419" t="s">
        <v>966</v>
      </c>
      <c r="N82" s="419">
        <v>10</v>
      </c>
      <c r="O82" s="421"/>
      <c r="P82" s="421"/>
    </row>
    <row r="83">
      <c r="A83" s="418" t="s">
        <v>994</v>
      </c>
      <c r="B83" s="419" t="s">
        <v>957</v>
      </c>
      <c r="C83" s="419" t="s">
        <v>967</v>
      </c>
      <c r="D83" s="419">
        <v>5</v>
      </c>
      <c r="E83" s="419">
        <v>12</v>
      </c>
      <c r="F83" s="419">
        <v>12317.4</v>
      </c>
      <c r="G83" s="419">
        <v>10008.73</v>
      </c>
      <c r="H83" s="420">
        <f t="shared" si="0"/>
      </c>
      <c r="I83" s="420">
        <f t="shared" si="1"/>
      </c>
      <c r="J83" s="420">
        <f t="shared" si="2"/>
      </c>
      <c r="K83" s="419">
        <v>1</v>
      </c>
      <c r="L83" s="419">
        <v>573.6</v>
      </c>
      <c r="M83" s="419"/>
      <c r="N83" s="419"/>
      <c r="O83" s="421"/>
      <c r="P83" s="421"/>
    </row>
    <row r="84">
      <c r="A84" s="418" t="s">
        <v>994</v>
      </c>
      <c r="B84" s="419" t="s">
        <v>961</v>
      </c>
      <c r="C84" s="419" t="s">
        <v>968</v>
      </c>
      <c r="D84" s="419">
        <v>5</v>
      </c>
      <c r="E84" s="419">
        <v>13</v>
      </c>
      <c r="F84" s="419">
        <v>8443</v>
      </c>
      <c r="G84" s="419">
        <v>7768.53</v>
      </c>
      <c r="H84" s="420">
        <f t="shared" si="0"/>
      </c>
      <c r="I84" s="420">
        <f t="shared" si="1"/>
      </c>
      <c r="J84" s="420">
        <f t="shared" si="2"/>
      </c>
      <c r="K84" s="424">
        <v>1</v>
      </c>
      <c r="L84" s="424">
        <v>667</v>
      </c>
      <c r="M84" s="419"/>
      <c r="N84" s="419"/>
      <c r="O84" s="421"/>
      <c r="P84" s="421"/>
    </row>
    <row r="85">
      <c r="A85" s="418" t="s">
        <v>994</v>
      </c>
      <c r="B85" s="419" t="s">
        <v>959</v>
      </c>
      <c r="C85" s="419" t="s">
        <v>969</v>
      </c>
      <c r="D85" s="419">
        <v>5</v>
      </c>
      <c r="E85" s="419">
        <v>12</v>
      </c>
      <c r="F85" s="419">
        <v>9089.4</v>
      </c>
      <c r="G85" s="419">
        <v>10679.7</v>
      </c>
      <c r="H85" s="420">
        <f t="shared" si="0"/>
      </c>
      <c r="I85" s="420">
        <f t="shared" si="1"/>
      </c>
      <c r="J85" s="420">
        <f t="shared" si="2"/>
      </c>
      <c r="K85" s="424">
        <v>0</v>
      </c>
      <c r="L85" s="424">
        <v>0</v>
      </c>
      <c r="M85" s="419" t="s">
        <v>991</v>
      </c>
      <c r="N85" s="419">
        <v>10</v>
      </c>
      <c r="O85" s="421"/>
      <c r="P85" s="421"/>
    </row>
    <row r="86">
      <c r="A86" s="426" t="s">
        <v>994</v>
      </c>
      <c r="B86" s="427"/>
      <c r="C86" s="427"/>
      <c r="D86" s="428">
        <f>SUM(D82:D85)</f>
      </c>
      <c r="E86" s="428">
        <f>SUM(E82:E85)</f>
      </c>
      <c r="F86" s="428">
        <f>SUM(F82:F85)</f>
      </c>
      <c r="G86" s="428">
        <f>SUM(G82:G85)</f>
      </c>
      <c r="H86" s="429">
        <f t="shared" si="0"/>
      </c>
      <c r="I86" s="429">
        <f t="shared" si="1"/>
      </c>
      <c r="J86" s="429">
        <f t="shared" si="2"/>
      </c>
      <c r="K86" s="428">
        <f>SUM(K82:K85)</f>
      </c>
      <c r="L86" s="428">
        <f>SUM(L82:L85)</f>
      </c>
      <c r="M86" s="427"/>
      <c r="N86" s="428">
        <f>SUM(N82:N85)</f>
      </c>
      <c r="O86" s="427"/>
      <c r="P86" s="427"/>
    </row>
    <row r="87">
      <c r="A87" s="418" t="s">
        <v>995</v>
      </c>
      <c r="B87" s="419" t="s">
        <v>954</v>
      </c>
      <c r="C87" s="419" t="s">
        <v>965</v>
      </c>
      <c r="D87" s="419">
        <v>5</v>
      </c>
      <c r="E87" s="419">
        <v>8</v>
      </c>
      <c r="F87" s="419">
        <v>5776</v>
      </c>
      <c r="G87" s="419">
        <v>8225.579999999998</v>
      </c>
      <c r="H87" s="420">
        <f t="shared" si="0"/>
      </c>
      <c r="I87" s="420">
        <f t="shared" si="1"/>
      </c>
      <c r="J87" s="420">
        <f t="shared" si="2"/>
      </c>
      <c r="K87" s="419">
        <v>2</v>
      </c>
      <c r="L87" s="419">
        <v>2725.2</v>
      </c>
      <c r="M87" s="419" t="s">
        <v>966</v>
      </c>
      <c r="N87" s="419">
        <v>10</v>
      </c>
      <c r="O87" s="421"/>
      <c r="P87" s="421"/>
    </row>
    <row r="88">
      <c r="A88" s="418" t="s">
        <v>995</v>
      </c>
      <c r="B88" s="419" t="s">
        <v>989</v>
      </c>
      <c r="C88" s="419" t="s">
        <v>967</v>
      </c>
      <c r="D88" s="419">
        <v>5</v>
      </c>
      <c r="E88" s="419">
        <v>22</v>
      </c>
      <c r="F88" s="419">
        <v>12828</v>
      </c>
      <c r="G88" s="419">
        <v>9681.84</v>
      </c>
      <c r="H88" s="420">
        <f t="shared" si="0"/>
      </c>
      <c r="I88" s="420">
        <f t="shared" si="1"/>
      </c>
      <c r="J88" s="420">
        <f t="shared" si="2"/>
      </c>
      <c r="K88" s="419">
        <v>2</v>
      </c>
      <c r="L88" s="419">
        <v>408</v>
      </c>
      <c r="M88" s="419"/>
      <c r="N88" s="419"/>
      <c r="O88" s="421"/>
      <c r="P88" s="421"/>
    </row>
    <row r="89">
      <c r="A89" s="418" t="s">
        <v>995</v>
      </c>
      <c r="B89" s="419" t="s">
        <v>959</v>
      </c>
      <c r="C89" s="419" t="s">
        <v>968</v>
      </c>
      <c r="D89" s="419">
        <v>5</v>
      </c>
      <c r="E89" s="419">
        <v>25</v>
      </c>
      <c r="F89" s="419">
        <v>18448.2</v>
      </c>
      <c r="G89" s="419">
        <v>12198.1</v>
      </c>
      <c r="H89" s="420">
        <f t="shared" si="0"/>
      </c>
      <c r="I89" s="420">
        <f t="shared" si="1"/>
      </c>
      <c r="J89" s="420">
        <f t="shared" si="2"/>
      </c>
      <c r="K89" s="424">
        <v>5</v>
      </c>
      <c r="L89" s="424">
        <v>2673.6</v>
      </c>
      <c r="M89" s="419"/>
      <c r="N89" s="419"/>
      <c r="O89" s="421"/>
      <c r="P89" s="421"/>
    </row>
    <row r="90">
      <c r="A90" s="418" t="s">
        <v>995</v>
      </c>
      <c r="B90" s="419" t="s">
        <v>957</v>
      </c>
      <c r="C90" s="419" t="s">
        <v>969</v>
      </c>
      <c r="D90" s="419">
        <v>5</v>
      </c>
      <c r="E90" s="419">
        <v>14</v>
      </c>
      <c r="F90" s="419">
        <v>9188.8</v>
      </c>
      <c r="G90" s="419">
        <v>13339.94</v>
      </c>
      <c r="H90" s="420">
        <f t="shared" si="0"/>
      </c>
      <c r="I90" s="420">
        <f t="shared" si="1"/>
      </c>
      <c r="J90" s="420">
        <f t="shared" si="2"/>
      </c>
      <c r="K90" s="424">
        <v>0</v>
      </c>
      <c r="L90" s="424">
        <v>0</v>
      </c>
      <c r="M90" s="419" t="s">
        <v>991</v>
      </c>
      <c r="N90" s="419">
        <v>10</v>
      </c>
      <c r="O90" s="421"/>
      <c r="P90" s="421"/>
    </row>
    <row r="91">
      <c r="A91" s="426" t="s">
        <v>995</v>
      </c>
      <c r="B91" s="427"/>
      <c r="C91" s="427"/>
      <c r="D91" s="428">
        <f>SUM(D87:D90)</f>
      </c>
      <c r="E91" s="428">
        <f>SUM(E87:E90)</f>
      </c>
      <c r="F91" s="428">
        <f>SUM(F87:F90)</f>
      </c>
      <c r="G91" s="428">
        <f>SUM(G87:G90)</f>
      </c>
      <c r="H91" s="429">
        <f t="shared" si="0"/>
      </c>
      <c r="I91" s="429">
        <f t="shared" si="1"/>
      </c>
      <c r="J91" s="429">
        <f t="shared" si="2"/>
      </c>
      <c r="K91" s="428">
        <f>SUM(K87:K90)</f>
      </c>
      <c r="L91" s="428">
        <f>SUM(L87:L90)</f>
      </c>
      <c r="M91" s="427"/>
      <c r="N91" s="428">
        <f>SUM(N87:N90)</f>
      </c>
      <c r="O91" s="427"/>
      <c r="P91" s="427"/>
    </row>
    <row r="92">
      <c r="A92" s="418" t="s">
        <v>996</v>
      </c>
      <c r="B92" s="419" t="s">
        <v>959</v>
      </c>
      <c r="C92" s="419" t="s">
        <v>965</v>
      </c>
      <c r="D92" s="419">
        <v>5</v>
      </c>
      <c r="E92" s="419">
        <v>13</v>
      </c>
      <c r="F92" s="419">
        <v>8236.8</v>
      </c>
      <c r="G92" s="419">
        <v>6559.720000000001</v>
      </c>
      <c r="H92" s="420">
        <f t="shared" si="0"/>
      </c>
      <c r="I92" s="420">
        <f t="shared" si="1"/>
      </c>
      <c r="J92" s="420">
        <f t="shared" si="2"/>
      </c>
      <c r="K92" s="419">
        <v>3</v>
      </c>
      <c r="L92" s="419">
        <v>2338.8</v>
      </c>
      <c r="M92" s="419" t="s">
        <v>966</v>
      </c>
      <c r="N92" s="419">
        <v>10</v>
      </c>
      <c r="O92" s="421"/>
      <c r="P92" s="421"/>
    </row>
    <row r="93">
      <c r="A93" s="418" t="s">
        <v>996</v>
      </c>
      <c r="B93" s="419" t="s">
        <v>989</v>
      </c>
      <c r="C93" s="419" t="s">
        <v>967</v>
      </c>
      <c r="D93" s="419">
        <v>5</v>
      </c>
      <c r="E93" s="419">
        <v>18</v>
      </c>
      <c r="F93" s="419">
        <v>10668.2</v>
      </c>
      <c r="G93" s="419">
        <v>11947.15</v>
      </c>
      <c r="H93" s="420">
        <f t="shared" si="0"/>
      </c>
      <c r="I93" s="420">
        <f t="shared" si="1"/>
      </c>
      <c r="J93" s="420">
        <f t="shared" si="2"/>
      </c>
      <c r="K93" s="419">
        <v>5</v>
      </c>
      <c r="L93" s="419">
        <v>2692.6</v>
      </c>
      <c r="M93" s="419"/>
      <c r="N93" s="419"/>
      <c r="O93" s="421"/>
      <c r="P93" s="421"/>
    </row>
    <row r="94">
      <c r="A94" s="418" t="s">
        <v>996</v>
      </c>
      <c r="B94" s="419" t="s">
        <v>961</v>
      </c>
      <c r="C94" s="419" t="s">
        <v>968</v>
      </c>
      <c r="D94" s="419">
        <v>5</v>
      </c>
      <c r="E94" s="419">
        <v>20</v>
      </c>
      <c r="F94" s="419">
        <v>13632.4</v>
      </c>
      <c r="G94" s="419">
        <v>14413.85</v>
      </c>
      <c r="H94" s="420">
        <f t="shared" si="0"/>
      </c>
      <c r="I94" s="420">
        <f t="shared" si="1"/>
      </c>
      <c r="J94" s="420">
        <f t="shared" si="2"/>
      </c>
      <c r="K94" s="424">
        <v>9</v>
      </c>
      <c r="L94" s="424">
        <v>6988.2</v>
      </c>
      <c r="M94" s="419"/>
      <c r="N94" s="419"/>
      <c r="O94" s="421"/>
      <c r="P94" s="421"/>
    </row>
    <row r="95">
      <c r="A95" s="418" t="s">
        <v>996</v>
      </c>
      <c r="B95" s="419" t="s">
        <v>957</v>
      </c>
      <c r="C95" s="419" t="s">
        <v>969</v>
      </c>
      <c r="D95" s="419">
        <v>5</v>
      </c>
      <c r="E95" s="419">
        <v>19</v>
      </c>
      <c r="F95" s="419">
        <v>22723.6</v>
      </c>
      <c r="G95" s="419">
        <v>15758.53</v>
      </c>
      <c r="H95" s="420">
        <f t="shared" si="0"/>
      </c>
      <c r="I95" s="420">
        <f t="shared" si="1"/>
      </c>
      <c r="J95" s="420">
        <f t="shared" si="2"/>
      </c>
      <c r="K95" s="424">
        <v>4</v>
      </c>
      <c r="L95" s="424">
        <v>4084.8</v>
      </c>
      <c r="M95" s="419" t="s">
        <v>991</v>
      </c>
      <c r="N95" s="419">
        <v>10</v>
      </c>
      <c r="O95" s="421"/>
      <c r="P95" s="421"/>
    </row>
    <row r="96">
      <c r="A96" s="426" t="s">
        <v>996</v>
      </c>
      <c r="B96" s="427"/>
      <c r="C96" s="427"/>
      <c r="D96" s="428">
        <f>SUM(D92:D95)</f>
      </c>
      <c r="E96" s="428">
        <f>SUM(E92:E95)</f>
      </c>
      <c r="F96" s="428">
        <f>SUM(F92:F95)</f>
      </c>
      <c r="G96" s="428">
        <f>SUM(G92:G95)</f>
      </c>
      <c r="H96" s="429">
        <f t="shared" si="0"/>
      </c>
      <c r="I96" s="429">
        <f t="shared" si="1"/>
      </c>
      <c r="J96" s="429">
        <f t="shared" si="2"/>
      </c>
      <c r="K96" s="428">
        <f>SUM(K92:K95)</f>
      </c>
      <c r="L96" s="428">
        <f>SUM(L92:L95)</f>
      </c>
      <c r="M96" s="427"/>
      <c r="N96" s="428">
        <f>SUM(N92:N95)</f>
      </c>
      <c r="O96" s="427"/>
      <c r="P96" s="427"/>
    </row>
    <row r="97">
      <c r="A97" s="418" t="s">
        <v>997</v>
      </c>
      <c r="B97" s="419" t="s">
        <v>959</v>
      </c>
      <c r="C97" s="419" t="s">
        <v>998</v>
      </c>
      <c r="D97" s="419">
        <v>4.5</v>
      </c>
      <c r="E97" s="419">
        <v>2</v>
      </c>
      <c r="F97" s="419">
        <v>2287.2</v>
      </c>
      <c r="G97" s="419">
        <v>6460.71</v>
      </c>
      <c r="H97" s="420">
        <f t="shared" si="0"/>
      </c>
      <c r="I97" s="420">
        <f t="shared" si="1"/>
      </c>
      <c r="J97" s="420">
        <f t="shared" si="2"/>
      </c>
      <c r="K97" s="419">
        <v>0</v>
      </c>
      <c r="L97" s="419">
        <v>0</v>
      </c>
      <c r="M97" s="419" t="s">
        <v>966</v>
      </c>
      <c r="N97" s="419">
        <v>9.5</v>
      </c>
      <c r="O97" s="421"/>
      <c r="P97" s="421"/>
    </row>
    <row r="98">
      <c r="A98" s="418" t="s">
        <v>997</v>
      </c>
      <c r="B98" s="419" t="s">
        <v>957</v>
      </c>
      <c r="C98" s="419" t="s">
        <v>967</v>
      </c>
      <c r="D98" s="419">
        <v>5</v>
      </c>
      <c r="E98" s="419">
        <v>16</v>
      </c>
      <c r="F98" s="419">
        <v>8293.8</v>
      </c>
      <c r="G98" s="419">
        <v>9115.41</v>
      </c>
      <c r="H98" s="420">
        <f t="shared" si="0"/>
      </c>
      <c r="I98" s="420">
        <f t="shared" si="1"/>
      </c>
      <c r="J98" s="420">
        <f t="shared" si="2"/>
      </c>
      <c r="K98" s="419">
        <v>3</v>
      </c>
      <c r="L98" s="419">
        <v>1736.4</v>
      </c>
      <c r="M98" s="419"/>
      <c r="N98" s="419"/>
      <c r="O98" s="421"/>
      <c r="P98" s="421"/>
    </row>
    <row r="99">
      <c r="A99" s="418" t="s">
        <v>997</v>
      </c>
      <c r="B99" s="419" t="s">
        <v>961</v>
      </c>
      <c r="C99" s="419" t="s">
        <v>968</v>
      </c>
      <c r="D99" s="419">
        <v>5</v>
      </c>
      <c r="E99" s="419">
        <v>15</v>
      </c>
      <c r="F99" s="419">
        <v>9158.4</v>
      </c>
      <c r="G99" s="419">
        <v>10380.46</v>
      </c>
      <c r="H99" s="420">
        <f t="shared" si="0"/>
      </c>
      <c r="I99" s="420">
        <f t="shared" si="1"/>
      </c>
      <c r="J99" s="420">
        <f t="shared" si="2"/>
      </c>
      <c r="K99" s="424">
        <v>4</v>
      </c>
      <c r="L99" s="424">
        <v>2805.6</v>
      </c>
      <c r="M99" s="419"/>
      <c r="N99" s="419"/>
      <c r="O99" s="421"/>
      <c r="P99" s="421"/>
    </row>
    <row r="100">
      <c r="A100" s="418" t="s">
        <v>997</v>
      </c>
      <c r="B100" s="419" t="s">
        <v>954</v>
      </c>
      <c r="C100" s="419" t="s">
        <v>969</v>
      </c>
      <c r="D100" s="419">
        <v>5</v>
      </c>
      <c r="E100" s="419">
        <v>24</v>
      </c>
      <c r="F100" s="419">
        <v>18950.6</v>
      </c>
      <c r="G100" s="419">
        <v>11015.89</v>
      </c>
      <c r="H100" s="420">
        <f t="shared" si="0"/>
      </c>
      <c r="I100" s="420">
        <f t="shared" si="1"/>
      </c>
      <c r="J100" s="420">
        <f t="shared" si="2"/>
      </c>
      <c r="K100" s="424">
        <v>1</v>
      </c>
      <c r="L100" s="424">
        <v>327.6</v>
      </c>
      <c r="M100" s="419" t="s">
        <v>991</v>
      </c>
      <c r="N100" s="419">
        <v>10</v>
      </c>
      <c r="O100" s="421"/>
      <c r="P100" s="421"/>
    </row>
    <row r="101">
      <c r="A101" s="426" t="s">
        <v>997</v>
      </c>
      <c r="B101" s="427"/>
      <c r="C101" s="427"/>
      <c r="D101" s="428">
        <f>SUM(D97:D100)</f>
      </c>
      <c r="E101" s="428">
        <f>SUM(E97:E100)</f>
      </c>
      <c r="F101" s="428">
        <f>SUM(F97:F100)</f>
      </c>
      <c r="G101" s="428">
        <f>SUM(G97:G100)</f>
      </c>
      <c r="H101" s="429">
        <f t="shared" si="0"/>
      </c>
      <c r="I101" s="429">
        <f t="shared" si="1"/>
      </c>
      <c r="J101" s="429">
        <f t="shared" si="2"/>
      </c>
      <c r="K101" s="428">
        <f>SUM(K97:K100)</f>
      </c>
      <c r="L101" s="428">
        <f>SUM(L97:L100)</f>
      </c>
      <c r="M101" s="427"/>
      <c r="N101" s="428">
        <f>SUM(N97:N100)</f>
      </c>
      <c r="O101" s="427"/>
      <c r="P101" s="427"/>
    </row>
    <row r="102">
      <c r="A102" s="418" t="s">
        <v>999</v>
      </c>
      <c r="B102" s="419" t="s">
        <v>959</v>
      </c>
      <c r="C102" s="419" t="s">
        <v>965</v>
      </c>
      <c r="D102" s="419">
        <v>5</v>
      </c>
      <c r="E102" s="419">
        <v>25</v>
      </c>
      <c r="F102" s="419">
        <v>19651</v>
      </c>
      <c r="G102" s="419">
        <v>14212.869999999999</v>
      </c>
      <c r="H102" s="420">
        <f t="shared" si="0"/>
      </c>
      <c r="I102" s="420">
        <f t="shared" si="1"/>
      </c>
      <c r="J102" s="420">
        <f t="shared" si="2"/>
      </c>
      <c r="K102" s="419">
        <v>3</v>
      </c>
      <c r="L102" s="419">
        <v>3358.8</v>
      </c>
      <c r="M102" s="419" t="s">
        <v>966</v>
      </c>
      <c r="N102" s="419">
        <v>10</v>
      </c>
      <c r="O102" s="421"/>
      <c r="P102" s="421"/>
    </row>
    <row r="103">
      <c r="A103" s="418" t="s">
        <v>999</v>
      </c>
      <c r="B103" s="419" t="s">
        <v>961</v>
      </c>
      <c r="C103" s="419" t="s">
        <v>967</v>
      </c>
      <c r="D103" s="419">
        <v>5</v>
      </c>
      <c r="E103" s="419">
        <v>44</v>
      </c>
      <c r="F103" s="419">
        <v>27751.6</v>
      </c>
      <c r="G103" s="419">
        <v>21086.8</v>
      </c>
      <c r="H103" s="420">
        <f t="shared" si="0"/>
      </c>
      <c r="I103" s="420">
        <f t="shared" si="1"/>
      </c>
      <c r="J103" s="420">
        <f t="shared" si="2"/>
      </c>
      <c r="K103" s="419">
        <v>9</v>
      </c>
      <c r="L103" s="419">
        <v>6079.2</v>
      </c>
      <c r="M103" s="419"/>
      <c r="N103" s="419"/>
      <c r="O103" s="421"/>
      <c r="P103" s="421"/>
    </row>
    <row r="104">
      <c r="A104" s="418" t="s">
        <v>999</v>
      </c>
      <c r="B104" s="419" t="s">
        <v>989</v>
      </c>
      <c r="C104" s="419" t="s">
        <v>968</v>
      </c>
      <c r="D104" s="419">
        <v>5</v>
      </c>
      <c r="E104" s="419">
        <v>48</v>
      </c>
      <c r="F104" s="419">
        <v>29507.76</v>
      </c>
      <c r="G104" s="419">
        <v>27456.68</v>
      </c>
      <c r="H104" s="420">
        <f t="shared" si="0"/>
      </c>
      <c r="I104" s="420">
        <f t="shared" si="1"/>
      </c>
      <c r="J104" s="420">
        <f t="shared" si="2"/>
      </c>
      <c r="K104" s="424">
        <v>12</v>
      </c>
      <c r="L104" s="424">
        <v>7391.8</v>
      </c>
      <c r="M104" s="419"/>
      <c r="N104" s="419"/>
      <c r="O104" s="421"/>
      <c r="P104" s="421"/>
    </row>
    <row r="105">
      <c r="A105" s="418" t="s">
        <v>999</v>
      </c>
      <c r="B105" s="419" t="s">
        <v>954</v>
      </c>
      <c r="C105" s="419" t="s">
        <v>969</v>
      </c>
      <c r="D105" s="419">
        <v>5</v>
      </c>
      <c r="E105" s="419">
        <v>52</v>
      </c>
      <c r="F105" s="419">
        <v>34623.6</v>
      </c>
      <c r="G105" s="419">
        <v>47066.62</v>
      </c>
      <c r="H105" s="420">
        <f t="shared" si="0"/>
      </c>
      <c r="I105" s="420">
        <f t="shared" si="1"/>
      </c>
      <c r="J105" s="420">
        <f t="shared" si="2"/>
      </c>
      <c r="K105" s="424">
        <v>6</v>
      </c>
      <c r="L105" s="424">
        <v>2760.4</v>
      </c>
      <c r="M105" s="419" t="s">
        <v>991</v>
      </c>
      <c r="N105" s="419">
        <v>10</v>
      </c>
      <c r="O105" s="421"/>
      <c r="P105" s="421"/>
    </row>
    <row r="106">
      <c r="A106" s="426" t="s">
        <v>999</v>
      </c>
      <c r="B106" s="427"/>
      <c r="C106" s="427"/>
      <c r="D106" s="428">
        <f>SUM(D102:D105)</f>
      </c>
      <c r="E106" s="428">
        <f>SUM(E102:E105)</f>
      </c>
      <c r="F106" s="428">
        <f>SUM(F102:F105)</f>
      </c>
      <c r="G106" s="428">
        <f>SUM(G102:G105)</f>
      </c>
      <c r="H106" s="429">
        <f t="shared" si="0"/>
      </c>
      <c r="I106" s="429">
        <f t="shared" si="1"/>
      </c>
      <c r="J106" s="429">
        <f t="shared" si="2"/>
      </c>
      <c r="K106" s="428">
        <f>SUM(K102:K105)</f>
      </c>
      <c r="L106" s="428">
        <f>SUM(L102:L105)</f>
      </c>
      <c r="M106" s="427"/>
      <c r="N106" s="428">
        <f>SUM(N102:N105)</f>
      </c>
      <c r="O106" s="427"/>
      <c r="P106" s="427"/>
    </row>
    <row r="107">
      <c r="A107" s="418" t="s">
        <v>1000</v>
      </c>
      <c r="B107" s="419" t="s">
        <v>957</v>
      </c>
      <c r="C107" s="419" t="s">
        <v>965</v>
      </c>
      <c r="D107" s="419">
        <v>5</v>
      </c>
      <c r="E107" s="419">
        <v>39</v>
      </c>
      <c r="F107" s="419">
        <v>33456</v>
      </c>
      <c r="G107" s="419">
        <v>24804.78</v>
      </c>
      <c r="H107" s="420">
        <f t="shared" si="0"/>
      </c>
      <c r="I107" s="420">
        <f t="shared" si="1"/>
      </c>
      <c r="J107" s="420">
        <f t="shared" si="2"/>
      </c>
      <c r="K107" s="419">
        <v>11</v>
      </c>
      <c r="L107" s="419">
        <v>6855.6</v>
      </c>
      <c r="M107" s="419" t="s">
        <v>966</v>
      </c>
      <c r="N107" s="419">
        <v>10</v>
      </c>
      <c r="O107" s="421"/>
      <c r="P107" s="421"/>
    </row>
    <row r="108">
      <c r="A108" s="418" t="s">
        <v>1000</v>
      </c>
      <c r="B108" s="419" t="s">
        <v>961</v>
      </c>
      <c r="C108" s="419" t="s">
        <v>967</v>
      </c>
      <c r="D108" s="419">
        <v>5</v>
      </c>
      <c r="E108" s="419">
        <v>27</v>
      </c>
      <c r="F108" s="419">
        <v>23415.8</v>
      </c>
      <c r="G108" s="419">
        <v>22850.42</v>
      </c>
      <c r="H108" s="420">
        <f t="shared" si="0"/>
      </c>
      <c r="I108" s="420">
        <f t="shared" si="1"/>
      </c>
      <c r="J108" s="420">
        <f t="shared" si="2"/>
      </c>
      <c r="K108" s="419">
        <v>3</v>
      </c>
      <c r="L108" s="419">
        <v>3558</v>
      </c>
      <c r="M108" s="419"/>
      <c r="N108" s="419"/>
      <c r="O108" s="421"/>
      <c r="P108" s="421"/>
    </row>
    <row r="109">
      <c r="A109" s="418" t="s">
        <v>1000</v>
      </c>
      <c r="B109" s="419" t="s">
        <v>989</v>
      </c>
      <c r="C109" s="419" t="s">
        <v>968</v>
      </c>
      <c r="D109" s="419">
        <v>5</v>
      </c>
      <c r="E109" s="419">
        <v>19</v>
      </c>
      <c r="F109" s="419">
        <v>11476.2</v>
      </c>
      <c r="G109" s="419">
        <v>19488.29</v>
      </c>
      <c r="H109" s="420">
        <f t="shared" si="0"/>
      </c>
      <c r="I109" s="420">
        <f t="shared" si="1"/>
      </c>
      <c r="J109" s="420">
        <f t="shared" si="2"/>
      </c>
      <c r="K109" s="424">
        <v>4</v>
      </c>
      <c r="L109" s="424">
        <v>2693.6</v>
      </c>
      <c r="M109" s="419"/>
      <c r="N109" s="419"/>
      <c r="O109" s="421"/>
      <c r="P109" s="421"/>
    </row>
    <row r="110">
      <c r="A110" s="418" t="s">
        <v>1000</v>
      </c>
      <c r="B110" s="419" t="s">
        <v>954</v>
      </c>
      <c r="C110" s="419" t="s">
        <v>969</v>
      </c>
      <c r="D110" s="419">
        <v>5</v>
      </c>
      <c r="E110" s="419">
        <v>16</v>
      </c>
      <c r="F110" s="419">
        <v>9208.4</v>
      </c>
      <c r="G110" s="419">
        <v>11551.63</v>
      </c>
      <c r="H110" s="420">
        <f t="shared" si="0"/>
      </c>
      <c r="I110" s="420">
        <f t="shared" si="1"/>
      </c>
      <c r="J110" s="420">
        <f t="shared" si="2"/>
      </c>
      <c r="K110" s="424">
        <v>4</v>
      </c>
      <c r="L110" s="424">
        <v>3058.4</v>
      </c>
      <c r="M110" s="419" t="s">
        <v>991</v>
      </c>
      <c r="N110" s="419">
        <v>10</v>
      </c>
      <c r="O110" s="421"/>
      <c r="P110" s="421"/>
    </row>
    <row r="111">
      <c r="A111" s="426" t="s">
        <v>1000</v>
      </c>
      <c r="B111" s="427"/>
      <c r="C111" s="427"/>
      <c r="D111" s="428">
        <f>SUM(D107:D110)</f>
      </c>
      <c r="E111" s="428">
        <f>SUM(E107:E110)</f>
      </c>
      <c r="F111" s="428">
        <f>SUM(F107:F110)</f>
      </c>
      <c r="G111" s="428">
        <f>SUM(G107:G110)</f>
      </c>
      <c r="H111" s="429">
        <f t="shared" si="0"/>
      </c>
      <c r="I111" s="429">
        <f t="shared" si="1"/>
      </c>
      <c r="J111" s="429">
        <f t="shared" si="2"/>
      </c>
      <c r="K111" s="428">
        <f>SUM(K107:K110)</f>
      </c>
      <c r="L111" s="428">
        <f>SUM(L107:L110)</f>
      </c>
      <c r="M111" s="427"/>
      <c r="N111" s="428">
        <f>SUM(N107:N110)</f>
      </c>
      <c r="O111" s="427"/>
      <c r="P111" s="427"/>
    </row>
    <row r="112">
      <c r="A112" s="418" t="s">
        <v>1001</v>
      </c>
      <c r="B112" s="419" t="s">
        <v>961</v>
      </c>
      <c r="C112" s="419" t="s">
        <v>965</v>
      </c>
      <c r="D112" s="431">
        <v>4.5</v>
      </c>
      <c r="E112" s="419">
        <v>30</v>
      </c>
      <c r="F112" s="419">
        <v>20755</v>
      </c>
      <c r="G112" s="419">
        <v>19489.510000000002</v>
      </c>
      <c r="H112" s="420">
        <f t="shared" si="0"/>
      </c>
      <c r="I112" s="420">
        <f t="shared" si="1"/>
      </c>
      <c r="J112" s="420">
        <f t="shared" si="2"/>
      </c>
      <c r="K112" s="419">
        <v>9</v>
      </c>
      <c r="L112" s="419">
        <v>5319.6</v>
      </c>
      <c r="M112" s="419" t="s">
        <v>966</v>
      </c>
      <c r="N112" s="419">
        <v>10</v>
      </c>
      <c r="O112" s="421"/>
      <c r="P112" s="421"/>
    </row>
    <row r="113">
      <c r="A113" s="418" t="s">
        <v>1001</v>
      </c>
      <c r="B113" s="421" t="s">
        <v>989</v>
      </c>
      <c r="C113" s="419" t="s">
        <v>967</v>
      </c>
      <c r="D113" s="419">
        <v>5</v>
      </c>
      <c r="E113" s="419">
        <v>6</v>
      </c>
      <c r="F113" s="419">
        <v>7289.000000000001</v>
      </c>
      <c r="G113" s="419">
        <v>9922.27</v>
      </c>
      <c r="H113" s="420">
        <f t="shared" si="0"/>
      </c>
      <c r="I113" s="420">
        <f t="shared" si="1"/>
      </c>
      <c r="J113" s="420">
        <f t="shared" si="2"/>
      </c>
      <c r="K113" s="419">
        <v>2</v>
      </c>
      <c r="L113" s="419">
        <v>2355.5999999999985</v>
      </c>
      <c r="M113" s="419"/>
      <c r="N113" s="419"/>
      <c r="O113" s="421"/>
      <c r="P113" s="421"/>
    </row>
    <row r="114">
      <c r="A114" s="418" t="s">
        <v>1001</v>
      </c>
      <c r="B114" s="419" t="s">
        <v>954</v>
      </c>
      <c r="C114" s="419" t="s">
        <v>968</v>
      </c>
      <c r="D114" s="431">
        <v>4</v>
      </c>
      <c r="E114" s="419">
        <v>12</v>
      </c>
      <c r="F114" s="419">
        <v>6284.4</v>
      </c>
      <c r="G114" s="419">
        <v>11292.75</v>
      </c>
      <c r="H114" s="420">
        <f t="shared" si="0"/>
      </c>
      <c r="I114" s="420">
        <f t="shared" si="1"/>
      </c>
      <c r="J114" s="420">
        <f t="shared" si="2"/>
      </c>
      <c r="K114" s="424">
        <v>2</v>
      </c>
      <c r="L114" s="424">
        <v>897.5999999999999</v>
      </c>
      <c r="M114" s="419"/>
      <c r="N114" s="419"/>
      <c r="O114" s="421"/>
      <c r="P114" s="421"/>
    </row>
    <row r="115">
      <c r="A115" s="418" t="s">
        <v>1001</v>
      </c>
      <c r="B115" s="419" t="s">
        <v>957</v>
      </c>
      <c r="C115" s="419" t="s">
        <v>969</v>
      </c>
      <c r="D115" s="419">
        <v>3</v>
      </c>
      <c r="E115" s="419">
        <v>8</v>
      </c>
      <c r="F115" s="419">
        <v>5016.6</v>
      </c>
      <c r="G115" s="419">
        <v>5863.67</v>
      </c>
      <c r="H115" s="420">
        <f t="shared" si="0"/>
      </c>
      <c r="I115" s="420">
        <f t="shared" si="1"/>
      </c>
      <c r="J115" s="420">
        <f t="shared" si="2"/>
      </c>
      <c r="K115" s="424">
        <v>4</v>
      </c>
      <c r="L115" s="424">
        <v>2423.4000000000015</v>
      </c>
      <c r="M115" s="419" t="s">
        <v>981</v>
      </c>
      <c r="N115" s="419">
        <v>8</v>
      </c>
      <c r="O115" s="421"/>
      <c r="P115" s="421"/>
    </row>
    <row r="116">
      <c r="A116" s="426" t="s">
        <v>1001</v>
      </c>
      <c r="B116" s="427"/>
      <c r="C116" s="427"/>
      <c r="D116" s="428">
        <f>SUM(D112:D115)</f>
      </c>
      <c r="E116" s="428">
        <f>SUM(E112:E115)</f>
      </c>
      <c r="F116" s="428">
        <f>SUM(F112:F115)</f>
      </c>
      <c r="G116" s="428">
        <f>SUM(G112:G115)</f>
      </c>
      <c r="H116" s="429">
        <f t="shared" si="0"/>
      </c>
      <c r="I116" s="429">
        <f t="shared" si="1"/>
      </c>
      <c r="J116" s="429">
        <f t="shared" si="2"/>
      </c>
      <c r="K116" s="428">
        <f>SUM(K112:K115)</f>
      </c>
      <c r="L116" s="428">
        <f>SUM(L112:L115)</f>
      </c>
      <c r="M116" s="427"/>
      <c r="N116" s="428">
        <f>SUM(N112:N115)</f>
      </c>
      <c r="O116" s="427"/>
      <c r="P116" s="427"/>
    </row>
    <row customHeight="true" ht="16.071428571428573" r="117">
      <c r="A117" s="418" t="s">
        <v>1002</v>
      </c>
      <c r="B117" s="419" t="s">
        <v>989</v>
      </c>
      <c r="C117" s="419" t="s">
        <v>1003</v>
      </c>
      <c r="D117" s="431">
        <v>3.5</v>
      </c>
      <c r="E117" s="419">
        <v>17</v>
      </c>
      <c r="F117" s="419">
        <v>9064.6</v>
      </c>
      <c r="G117" s="419">
        <v>6865.67</v>
      </c>
      <c r="H117" s="420">
        <f t="shared" si="0"/>
      </c>
      <c r="I117" s="420">
        <f t="shared" si="1"/>
      </c>
      <c r="J117" s="420">
        <f t="shared" si="2"/>
      </c>
      <c r="K117" s="424">
        <v>2</v>
      </c>
      <c r="L117" s="424">
        <v>1051</v>
      </c>
      <c r="M117" s="419"/>
      <c r="N117" s="419"/>
      <c r="O117" s="421"/>
      <c r="P117" s="421"/>
    </row>
    <row customHeight="true" ht="16.071428571428573" r="118">
      <c r="A118" s="418" t="s">
        <v>1002</v>
      </c>
      <c r="B118" s="419" t="s">
        <v>959</v>
      </c>
      <c r="C118" s="419" t="s">
        <v>1004</v>
      </c>
      <c r="D118" s="419">
        <v>4</v>
      </c>
      <c r="E118" s="419">
        <v>17</v>
      </c>
      <c r="F118" s="419">
        <v>13069.6</v>
      </c>
      <c r="G118" s="419">
        <v>7482.78</v>
      </c>
      <c r="H118" s="420">
        <f t="shared" si="0"/>
      </c>
      <c r="I118" s="420">
        <f t="shared" si="1"/>
      </c>
      <c r="J118" s="420">
        <f t="shared" si="2"/>
      </c>
      <c r="K118" s="424">
        <v>4</v>
      </c>
      <c r="L118" s="424">
        <v>1086</v>
      </c>
      <c r="M118" s="419" t="s">
        <v>981</v>
      </c>
      <c r="N118" s="419">
        <v>8</v>
      </c>
      <c r="O118" s="421"/>
      <c r="P118" s="421"/>
    </row>
    <row customHeight="true" ht="16.071428571428573" r="119">
      <c r="A119" s="426" t="s">
        <v>1002</v>
      </c>
      <c r="B119" s="427"/>
      <c r="C119" s="427"/>
      <c r="D119" s="428">
        <f>SUM(D117:D118)</f>
      </c>
      <c r="E119" s="428">
        <f>SUM(E117:E118)</f>
      </c>
      <c r="F119" s="428">
        <f>SUM(F117:F118)</f>
      </c>
      <c r="G119" s="428">
        <f>SUM(G117:G118)</f>
      </c>
      <c r="H119" s="429">
        <f t="shared" si="0"/>
      </c>
      <c r="I119" s="429">
        <f t="shared" si="1"/>
      </c>
      <c r="J119" s="429">
        <f t="shared" si="2"/>
      </c>
      <c r="K119" s="428">
        <f>SUM(K117:K118)</f>
      </c>
      <c r="L119" s="428">
        <f>SUM(L117:L118)</f>
      </c>
      <c r="M119" s="427"/>
      <c r="N119" s="428">
        <f>SUM(N117:N118)</f>
      </c>
      <c r="O119" s="427"/>
      <c r="P119" s="427"/>
    </row>
    <row customHeight="true" ht="16.071428571428573" r="120">
      <c r="A120" s="418" t="s">
        <v>1005</v>
      </c>
      <c r="B120" s="419" t="s">
        <v>959</v>
      </c>
      <c r="C120" s="419" t="s">
        <v>1003</v>
      </c>
      <c r="D120" s="419">
        <v>4</v>
      </c>
      <c r="E120" s="419">
        <v>11</v>
      </c>
      <c r="F120" s="419">
        <v>8450.6</v>
      </c>
      <c r="G120" s="419">
        <v>7464.69</v>
      </c>
      <c r="H120" s="420">
        <f t="shared" si="0"/>
      </c>
      <c r="I120" s="420">
        <f t="shared" si="1"/>
      </c>
      <c r="J120" s="420">
        <f t="shared" si="2"/>
      </c>
      <c r="K120" s="424">
        <v>3</v>
      </c>
      <c r="L120" s="424">
        <v>3826.8</v>
      </c>
      <c r="M120" s="419"/>
      <c r="N120" s="419"/>
      <c r="O120" s="421"/>
      <c r="P120" s="421"/>
    </row>
    <row customHeight="true" ht="16.071428571428573" r="121">
      <c r="A121" s="418" t="s">
        <v>1005</v>
      </c>
      <c r="B121" s="419" t="s">
        <v>957</v>
      </c>
      <c r="C121" s="419" t="s">
        <v>1004</v>
      </c>
      <c r="D121" s="419">
        <v>4</v>
      </c>
      <c r="E121" s="419">
        <v>6</v>
      </c>
      <c r="F121" s="419">
        <v>6199.4</v>
      </c>
      <c r="G121" s="419">
        <v>6018.35</v>
      </c>
      <c r="H121" s="420">
        <f t="shared" si="0"/>
      </c>
      <c r="I121" s="420">
        <f t="shared" si="1"/>
      </c>
      <c r="J121" s="420">
        <f t="shared" si="2"/>
      </c>
      <c r="K121" s="424">
        <v>0</v>
      </c>
      <c r="L121" s="424">
        <v>0</v>
      </c>
      <c r="M121" s="419" t="s">
        <v>981</v>
      </c>
      <c r="N121" s="419">
        <v>8</v>
      </c>
      <c r="O121" s="421"/>
      <c r="P121" s="421"/>
    </row>
    <row customHeight="true" ht="16.071428571428573" r="122">
      <c r="A122" s="426" t="s">
        <v>1005</v>
      </c>
      <c r="B122" s="427"/>
      <c r="C122" s="427"/>
      <c r="D122" s="428">
        <f>SUM(D120:D121)</f>
      </c>
      <c r="E122" s="428">
        <f>SUM(E120:E121)</f>
      </c>
      <c r="F122" s="428">
        <f>SUM(F120:F121)</f>
      </c>
      <c r="G122" s="428">
        <f>SUM(G120:G121)</f>
      </c>
      <c r="H122" s="429">
        <f t="shared" si="0"/>
      </c>
      <c r="I122" s="429">
        <f t="shared" si="1"/>
      </c>
      <c r="J122" s="429">
        <f t="shared" si="2"/>
      </c>
      <c r="K122" s="428">
        <f>SUM(K120:K121)</f>
      </c>
      <c r="L122" s="428">
        <f>SUM(L120:L121)</f>
      </c>
      <c r="M122" s="427"/>
      <c r="N122" s="428">
        <f>SUM(N120:N121)</f>
      </c>
      <c r="O122" s="427"/>
      <c r="P122" s="427"/>
    </row>
    <row customHeight="true" ht="16.071428571428573" r="123">
      <c r="A123" s="418" t="s">
        <v>1006</v>
      </c>
      <c r="B123" s="419" t="s">
        <v>959</v>
      </c>
      <c r="C123" s="419" t="s">
        <v>1003</v>
      </c>
      <c r="D123" s="419">
        <v>4</v>
      </c>
      <c r="E123" s="419">
        <v>12</v>
      </c>
      <c r="F123" s="419">
        <v>10544.4</v>
      </c>
      <c r="G123" s="419">
        <v>6906.62</v>
      </c>
      <c r="H123" s="420">
        <f t="shared" si="0"/>
      </c>
      <c r="I123" s="420">
        <f t="shared" si="1"/>
      </c>
      <c r="J123" s="420">
        <f t="shared" si="2"/>
      </c>
      <c r="K123" s="424">
        <v>2</v>
      </c>
      <c r="L123" s="424">
        <v>1495.2</v>
      </c>
      <c r="M123" s="419"/>
      <c r="N123" s="419"/>
      <c r="O123" s="421"/>
      <c r="P123" s="421"/>
    </row>
    <row customHeight="true" ht="16.071428571428573" r="124">
      <c r="A124" s="418" t="s">
        <v>1006</v>
      </c>
      <c r="B124" s="419" t="s">
        <v>957</v>
      </c>
      <c r="C124" s="419" t="s">
        <v>1004</v>
      </c>
      <c r="D124" s="419">
        <v>4</v>
      </c>
      <c r="E124" s="419">
        <v>15</v>
      </c>
      <c r="F124" s="419">
        <v>13420.8</v>
      </c>
      <c r="G124" s="419">
        <v>7807.94</v>
      </c>
      <c r="H124" s="420">
        <f t="shared" si="0"/>
      </c>
      <c r="I124" s="420">
        <f t="shared" si="1"/>
      </c>
      <c r="J124" s="420">
        <f t="shared" si="2"/>
      </c>
      <c r="K124" s="424">
        <v>2</v>
      </c>
      <c r="L124" s="424">
        <v>1425.6</v>
      </c>
      <c r="M124" s="419" t="s">
        <v>981</v>
      </c>
      <c r="N124" s="419">
        <v>8</v>
      </c>
      <c r="O124" s="421"/>
      <c r="P124" s="421"/>
    </row>
    <row customHeight="true" ht="16.071428571428573" r="125">
      <c r="A125" s="426" t="s">
        <v>1006</v>
      </c>
      <c r="B125" s="427"/>
      <c r="C125" s="427"/>
      <c r="D125" s="428">
        <f>SUM(D123:D124)</f>
      </c>
      <c r="E125" s="428">
        <f>SUM(E123:E124)</f>
      </c>
      <c r="F125" s="428">
        <f>SUM(F123:F124)</f>
      </c>
      <c r="G125" s="428">
        <f>SUM(G123:G124)</f>
      </c>
      <c r="H125" s="429">
        <f t="shared" si="0"/>
      </c>
      <c r="I125" s="429">
        <f t="shared" si="1"/>
      </c>
      <c r="J125" s="429">
        <f t="shared" si="2"/>
      </c>
      <c r="K125" s="428">
        <f>SUM(K123:K124)</f>
      </c>
      <c r="L125" s="428">
        <f>SUM(L123:L124)</f>
      </c>
      <c r="M125" s="427"/>
      <c r="N125" s="428">
        <f>SUM(N123:N124)</f>
      </c>
      <c r="O125" s="427"/>
      <c r="P125" s="427"/>
    </row>
    <row customHeight="true" ht="16.071428571428573" r="126">
      <c r="A126" s="418" t="s">
        <v>1007</v>
      </c>
      <c r="B126" s="419" t="s">
        <v>957</v>
      </c>
      <c r="C126" s="419" t="s">
        <v>1003</v>
      </c>
      <c r="D126" s="419">
        <v>4</v>
      </c>
      <c r="E126" s="419">
        <v>13</v>
      </c>
      <c r="F126" s="419">
        <v>6453</v>
      </c>
      <c r="G126" s="419">
        <v>7407.97</v>
      </c>
      <c r="H126" s="420">
        <f t="shared" si="0"/>
      </c>
      <c r="I126" s="420">
        <f t="shared" si="1"/>
      </c>
      <c r="J126" s="420">
        <f t="shared" si="2"/>
      </c>
      <c r="K126" s="424">
        <v>1</v>
      </c>
      <c r="L126" s="424">
        <v>201</v>
      </c>
      <c r="M126" s="419"/>
      <c r="N126" s="419"/>
      <c r="O126" s="421"/>
      <c r="P126" s="421"/>
    </row>
    <row customHeight="true" ht="16.071428571428573" r="127">
      <c r="A127" s="418" t="s">
        <v>1007</v>
      </c>
      <c r="B127" s="419" t="s">
        <v>959</v>
      </c>
      <c r="C127" s="419" t="s">
        <v>1004</v>
      </c>
      <c r="D127" s="419">
        <v>4</v>
      </c>
      <c r="E127" s="419">
        <v>15</v>
      </c>
      <c r="F127" s="419">
        <v>9327.27</v>
      </c>
      <c r="G127" s="419">
        <v>7684.02</v>
      </c>
      <c r="H127" s="420">
        <f t="shared" si="0"/>
      </c>
      <c r="I127" s="420">
        <f t="shared" si="1"/>
      </c>
      <c r="J127" s="420">
        <f t="shared" si="2"/>
      </c>
      <c r="K127" s="424">
        <v>1</v>
      </c>
      <c r="L127" s="424">
        <v>351.6</v>
      </c>
      <c r="M127" s="419" t="s">
        <v>981</v>
      </c>
      <c r="N127" s="419">
        <v>8</v>
      </c>
      <c r="O127" s="421"/>
      <c r="P127" s="421"/>
    </row>
    <row customHeight="true" ht="16.071428571428573" r="128">
      <c r="A128" s="426" t="s">
        <v>1007</v>
      </c>
      <c r="B128" s="427"/>
      <c r="C128" s="427"/>
      <c r="D128" s="428">
        <f>SUM(D126:D127)</f>
      </c>
      <c r="E128" s="428">
        <f>SUM(E126:E127)</f>
      </c>
      <c r="F128" s="428">
        <f>SUM(F126:F127)</f>
      </c>
      <c r="G128" s="428">
        <f>SUM(G126:G127)</f>
      </c>
      <c r="H128" s="429">
        <f t="shared" si="0"/>
      </c>
      <c r="I128" s="429">
        <f t="shared" si="1"/>
      </c>
      <c r="J128" s="429">
        <f t="shared" si="2"/>
      </c>
      <c r="K128" s="428">
        <f>SUM(K126:K127)</f>
      </c>
      <c r="L128" s="428">
        <f>SUM(L126:L127)</f>
      </c>
      <c r="M128" s="427"/>
      <c r="N128" s="428">
        <f>SUM(N126:N127)</f>
      </c>
      <c r="O128" s="427"/>
      <c r="P128" s="427"/>
    </row>
    <row customHeight="true" ht="16.071428571428573" r="129">
      <c r="A129" s="418" t="s">
        <v>1008</v>
      </c>
      <c r="B129" s="419" t="s">
        <v>959</v>
      </c>
      <c r="C129" s="419" t="s">
        <v>1003</v>
      </c>
      <c r="D129" s="419">
        <v>4</v>
      </c>
      <c r="E129" s="419">
        <v>3</v>
      </c>
      <c r="F129" s="419">
        <v>1423.8</v>
      </c>
      <c r="G129" s="419">
        <v>5427.24</v>
      </c>
      <c r="H129" s="420">
        <f t="shared" si="0"/>
      </c>
      <c r="I129" s="420">
        <f t="shared" si="1"/>
      </c>
      <c r="J129" s="420">
        <f t="shared" si="2"/>
      </c>
      <c r="K129" s="424">
        <v>0</v>
      </c>
      <c r="L129" s="424">
        <v>0</v>
      </c>
      <c r="M129" s="419"/>
      <c r="N129" s="419"/>
      <c r="O129" s="421"/>
      <c r="P129" s="421"/>
    </row>
    <row customHeight="true" ht="16.071428571428573" r="130">
      <c r="A130" s="418" t="s">
        <v>1008</v>
      </c>
      <c r="B130" s="419" t="s">
        <v>1009</v>
      </c>
      <c r="C130" s="419" t="s">
        <v>1004</v>
      </c>
      <c r="D130" s="419">
        <v>4</v>
      </c>
      <c r="E130" s="419">
        <v>18</v>
      </c>
      <c r="F130" s="419">
        <v>9357.6</v>
      </c>
      <c r="G130" s="419">
        <v>8715.35</v>
      </c>
      <c r="H130" s="420">
        <f t="shared" si="0"/>
      </c>
      <c r="I130" s="420">
        <f t="shared" si="1"/>
      </c>
      <c r="J130" s="420">
        <f t="shared" si="2"/>
      </c>
      <c r="K130" s="424">
        <v>4</v>
      </c>
      <c r="L130" s="424">
        <v>1810.8</v>
      </c>
      <c r="M130" s="419" t="s">
        <v>981</v>
      </c>
      <c r="N130" s="419">
        <v>8</v>
      </c>
      <c r="O130" s="421"/>
      <c r="P130" s="421"/>
    </row>
    <row customHeight="true" ht="16.071428571428573" r="131">
      <c r="A131" s="426" t="s">
        <v>1008</v>
      </c>
      <c r="B131" s="427"/>
      <c r="C131" s="427"/>
      <c r="D131" s="428">
        <f>SUM(D129:D130)</f>
      </c>
      <c r="E131" s="428">
        <f>SUM(E129:E130)</f>
      </c>
      <c r="F131" s="428">
        <f>SUM(F129:F130)</f>
      </c>
      <c r="G131" s="428">
        <f>SUM(G129:G130)</f>
      </c>
      <c r="H131" s="429">
        <f t="shared" si="0"/>
      </c>
      <c r="I131" s="429">
        <f t="shared" si="1"/>
      </c>
      <c r="J131" s="429">
        <f t="shared" si="2"/>
      </c>
      <c r="K131" s="428">
        <f>SUM(K129:K130)</f>
      </c>
      <c r="L131" s="428">
        <f>SUM(L129:L130)</f>
      </c>
      <c r="M131" s="427"/>
      <c r="N131" s="428">
        <f>SUM(N129:N130)</f>
      </c>
      <c r="O131" s="427"/>
      <c r="P131" s="427"/>
    </row>
    <row customHeight="true" ht="16.071428571428573" r="132">
      <c r="A132" s="418" t="s">
        <v>1010</v>
      </c>
      <c r="B132" s="419" t="s">
        <v>959</v>
      </c>
      <c r="C132" s="419" t="s">
        <v>1003</v>
      </c>
      <c r="D132" s="419">
        <v>4</v>
      </c>
      <c r="E132" s="419">
        <v>13</v>
      </c>
      <c r="F132" s="419">
        <v>9470.2</v>
      </c>
      <c r="G132" s="419">
        <v>6259.09</v>
      </c>
      <c r="H132" s="420">
        <f t="shared" si="0"/>
      </c>
      <c r="I132" s="420">
        <f t="shared" si="1"/>
      </c>
      <c r="J132" s="420">
        <f t="shared" si="2"/>
      </c>
      <c r="K132" s="424">
        <v>0</v>
      </c>
      <c r="L132" s="424">
        <v>0</v>
      </c>
      <c r="M132" s="419"/>
      <c r="N132" s="419"/>
      <c r="O132" s="421"/>
      <c r="P132" s="421"/>
    </row>
    <row customHeight="true" ht="16.071428571428573" r="133">
      <c r="A133" s="418" t="s">
        <v>1010</v>
      </c>
      <c r="B133" s="419" t="s">
        <v>957</v>
      </c>
      <c r="C133" s="419" t="s">
        <v>1004</v>
      </c>
      <c r="D133" s="431">
        <v>2</v>
      </c>
      <c r="E133" s="419">
        <v>11</v>
      </c>
      <c r="F133" s="419">
        <v>10655.8</v>
      </c>
      <c r="G133" s="419">
        <v>5318.18</v>
      </c>
      <c r="H133" s="420">
        <f t="shared" si="0"/>
      </c>
      <c r="I133" s="420">
        <f t="shared" si="1"/>
      </c>
      <c r="J133" s="420">
        <f t="shared" si="2"/>
      </c>
      <c r="K133" s="424">
        <v>0</v>
      </c>
      <c r="L133" s="424">
        <v>0</v>
      </c>
      <c r="M133" s="419" t="s">
        <v>981</v>
      </c>
      <c r="N133" s="419">
        <v>8</v>
      </c>
      <c r="O133" s="421"/>
      <c r="P133" s="421"/>
    </row>
    <row customHeight="true" ht="16.071428571428573" r="134">
      <c r="A134" s="426" t="s">
        <v>1010</v>
      </c>
      <c r="B134" s="427"/>
      <c r="C134" s="427"/>
      <c r="D134" s="428">
        <f>SUM(D132:D133)</f>
      </c>
      <c r="E134" s="428">
        <f>SUM(E132:E133)</f>
      </c>
      <c r="F134" s="428">
        <f>SUM(F132:F133)</f>
      </c>
      <c r="G134" s="428">
        <f>SUM(G132:G133)</f>
      </c>
      <c r="H134" s="429">
        <f t="shared" si="0"/>
      </c>
      <c r="I134" s="429">
        <f t="shared" si="1"/>
      </c>
      <c r="J134" s="429">
        <f t="shared" si="2"/>
      </c>
      <c r="K134" s="428">
        <f>SUM(K132:K133)</f>
      </c>
      <c r="L134" s="428">
        <f>SUM(L132:L133)</f>
      </c>
      <c r="M134" s="427"/>
      <c r="N134" s="428">
        <f>SUM(N132:N133)</f>
      </c>
      <c r="O134" s="427"/>
      <c r="P134" s="427"/>
    </row>
    <row customHeight="true" ht="16.071428571428573" r="135">
      <c r="A135" s="418" t="s">
        <v>1011</v>
      </c>
      <c r="B135" s="419" t="s">
        <v>959</v>
      </c>
      <c r="C135" s="419" t="s">
        <v>1003</v>
      </c>
      <c r="D135" s="431">
        <v>3.5</v>
      </c>
      <c r="E135" s="419">
        <v>10</v>
      </c>
      <c r="F135" s="419">
        <v>13646</v>
      </c>
      <c r="G135" s="419">
        <v>6002.16</v>
      </c>
      <c r="H135" s="420">
        <f t="shared" si="0"/>
      </c>
      <c r="I135" s="420">
        <f t="shared" si="1"/>
      </c>
      <c r="J135" s="420">
        <f t="shared" si="2"/>
      </c>
      <c r="K135" s="424">
        <v>0</v>
      </c>
      <c r="L135" s="424">
        <v>0</v>
      </c>
      <c r="M135" s="419"/>
      <c r="N135" s="419"/>
      <c r="O135" s="421"/>
      <c r="P135" s="421"/>
    </row>
    <row customHeight="true" ht="16.071428571428573" r="136">
      <c r="A136" s="418" t="s">
        <v>1011</v>
      </c>
      <c r="B136" s="419" t="s">
        <v>1009</v>
      </c>
      <c r="C136" s="419" t="s">
        <v>1004</v>
      </c>
      <c r="D136" s="419">
        <v>4</v>
      </c>
      <c r="E136" s="419">
        <v>26</v>
      </c>
      <c r="F136" s="419">
        <v>26005.6</v>
      </c>
      <c r="G136" s="419">
        <v>6775.33</v>
      </c>
      <c r="H136" s="420">
        <f t="shared" si="0"/>
      </c>
      <c r="I136" s="420">
        <f t="shared" si="1"/>
      </c>
      <c r="J136" s="420">
        <f t="shared" si="2"/>
      </c>
      <c r="K136" s="424">
        <v>2</v>
      </c>
      <c r="L136" s="424">
        <v>914.4</v>
      </c>
      <c r="M136" s="419" t="s">
        <v>981</v>
      </c>
      <c r="N136" s="419">
        <v>8</v>
      </c>
      <c r="O136" s="421"/>
      <c r="P136" s="421"/>
    </row>
    <row customHeight="true" ht="16.071428571428573" r="137">
      <c r="A137" s="426" t="s">
        <v>1011</v>
      </c>
      <c r="B137" s="427"/>
      <c r="C137" s="427"/>
      <c r="D137" s="428">
        <f>SUM(D135:D136)</f>
      </c>
      <c r="E137" s="428">
        <f>SUM(E135:E136)</f>
      </c>
      <c r="F137" s="428">
        <f>SUM(F135:F136)</f>
      </c>
      <c r="G137" s="428">
        <f>SUM(G135:G136)</f>
      </c>
      <c r="H137" s="429">
        <f t="shared" si="0"/>
      </c>
      <c r="I137" s="429">
        <f t="shared" si="1"/>
      </c>
      <c r="J137" s="429">
        <f t="shared" si="2"/>
      </c>
      <c r="K137" s="428">
        <f>SUM(K135:K136)</f>
      </c>
      <c r="L137" s="428">
        <f>SUM(L135:L136)</f>
      </c>
      <c r="M137" s="427"/>
      <c r="N137" s="428">
        <f>SUM(N135:N136)</f>
      </c>
      <c r="O137" s="427"/>
      <c r="P137" s="427"/>
    </row>
    <row customHeight="true" ht="16.071428571428573" r="138">
      <c r="N138" s="432"/>
    </row>
    <row r="139">
      <c r="I139" s="432"/>
      <c r="J139" s="432"/>
    </row>
    <row r="140"/>
    <row r="141"/>
    <row r="142"/>
    <row r="143"/>
    <row r="144">
      <c r="H144" s="432"/>
      <c r="I144" s="432"/>
      <c r="J144" s="432"/>
      <c r="K144" s="432"/>
    </row>
    <row r="145">
      <c r="I145" s="432"/>
      <c r="J145" s="432"/>
    </row>
    <row r="146">
      <c r="I146" s="432"/>
      <c r="J146" s="432"/>
      <c r="K146" s="433"/>
    </row>
    <row r="147"/>
    <row r="148"/>
    <row r="149"/>
    <row r="150"/>
    <row r="151"/>
    <row r="152">
      <c r="I152" s="432"/>
      <c r="J152" s="432"/>
    </row>
  </sheetData>
  <autoFilter ref="A1:P138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8" min="8" style="0" width="11.211267605633802"/>
    <col collapsed="false" customWidth="true" hidden="false" max="1" min="1" style="0" width="11.211267605633802"/>
    <col collapsed="false" customWidth="true" hidden="false" max="2" min="2" style="0" width="11.211267605633802"/>
  </cols>
  <sheetData>
    <row customHeight="true" ht="16.071428571428573" r="1">
      <c r="A1" s="434" t="s">
        <v>1012</v>
      </c>
      <c r="B1" s="434" t="s">
        <v>1013</v>
      </c>
      <c r="C1" s="434" t="s">
        <v>1014</v>
      </c>
      <c r="D1" s="434" t="s">
        <v>1015</v>
      </c>
      <c r="E1" s="434" t="s">
        <v>1016</v>
      </c>
      <c r="F1" s="435" t="s">
        <v>1017</v>
      </c>
      <c r="G1" s="436" t="s">
        <v>1018</v>
      </c>
      <c r="H1" s="436" t="s">
        <v>1019</v>
      </c>
      <c r="I1" s="436" t="s">
        <v>1020</v>
      </c>
      <c r="J1" s="436" t="s">
        <v>1021</v>
      </c>
      <c r="K1" s="436" t="s">
        <v>1022</v>
      </c>
      <c r="L1" s="434" t="s">
        <v>1023</v>
      </c>
      <c r="M1" s="434" t="s">
        <v>1024</v>
      </c>
      <c r="N1" s="434" t="s">
        <v>1025</v>
      </c>
      <c r="O1" s="434" t="s">
        <v>1026</v>
      </c>
      <c r="P1" s="434" t="s">
        <v>1027</v>
      </c>
      <c r="Q1" s="434" t="s">
        <v>1026</v>
      </c>
      <c r="R1" s="434" t="s">
        <v>1028</v>
      </c>
      <c r="S1" s="434" t="s">
        <v>1029</v>
      </c>
    </row>
    <row r="2">
      <c r="A2" s="437" t="s">
        <v>1030</v>
      </c>
      <c r="B2" s="438" t="s">
        <v>1031</v>
      </c>
      <c r="C2" s="438" t="s">
        <v>1032</v>
      </c>
      <c r="D2" s="438">
        <v>5</v>
      </c>
      <c r="E2" s="438">
        <v>13</v>
      </c>
      <c r="F2" s="438">
        <v>9</v>
      </c>
      <c r="G2" s="438">
        <v>6051.88</v>
      </c>
      <c r="H2" s="438">
        <v>9210.45</v>
      </c>
      <c r="I2" s="439">
        <f t="shared" ref="I2:I38" si="0">G2/H2</f>
      </c>
      <c r="J2" s="439">
        <f t="shared" ref="J2:J38" si="4">G2/E2</f>
      </c>
      <c r="K2" s="439">
        <f t="shared" ref="K2:K38" si="2">H2/E2</f>
      </c>
      <c r="L2" s="438">
        <v>0</v>
      </c>
      <c r="M2" s="438">
        <v>0</v>
      </c>
      <c r="N2" s="438" t="s">
        <v>1033</v>
      </c>
      <c r="O2" s="438">
        <v>2</v>
      </c>
      <c r="P2" s="440"/>
      <c r="Q2" s="440"/>
      <c r="R2" s="440"/>
      <c r="S2" s="440"/>
    </row>
    <row r="3">
      <c r="A3" s="437" t="s">
        <v>1030</v>
      </c>
      <c r="B3" s="438" t="s">
        <v>1034</v>
      </c>
      <c r="C3" s="438" t="s">
        <v>1035</v>
      </c>
      <c r="D3" s="438">
        <v>4</v>
      </c>
      <c r="E3" s="438">
        <v>21</v>
      </c>
      <c r="F3" s="438">
        <v>12</v>
      </c>
      <c r="G3" s="438">
        <v>12256.7</v>
      </c>
      <c r="H3" s="438">
        <v>6923.39</v>
      </c>
      <c r="I3" s="439">
        <f t="shared" si="0"/>
      </c>
      <c r="J3" s="439">
        <f t="shared" si="4"/>
      </c>
      <c r="K3" s="439">
        <f t="shared" si="2"/>
      </c>
      <c r="L3" s="438">
        <v>1</v>
      </c>
      <c r="M3" s="438">
        <v>304.7</v>
      </c>
      <c r="N3" s="438"/>
      <c r="O3" s="438"/>
      <c r="P3" s="440"/>
      <c r="Q3" s="440"/>
      <c r="R3" s="440"/>
      <c r="S3" s="440"/>
    </row>
    <row r="4">
      <c r="A4" s="437" t="s">
        <v>1030</v>
      </c>
      <c r="B4" s="441" t="s">
        <v>1036</v>
      </c>
      <c r="C4" s="438" t="s">
        <v>1037</v>
      </c>
      <c r="D4" s="438">
        <v>4</v>
      </c>
      <c r="E4" s="438">
        <v>25</v>
      </c>
      <c r="F4" s="438">
        <v>20</v>
      </c>
      <c r="G4" s="438">
        <v>16422</v>
      </c>
      <c r="H4" s="438">
        <v>11480.3</v>
      </c>
      <c r="I4" s="439">
        <f t="shared" si="0"/>
      </c>
      <c r="J4" s="439">
        <f t="shared" si="4"/>
      </c>
      <c r="K4" s="439">
        <f t="shared" si="2"/>
      </c>
      <c r="L4" s="438">
        <v>2</v>
      </c>
      <c r="M4" s="438">
        <v>1052.6</v>
      </c>
      <c r="N4" s="438" t="s">
        <v>1038</v>
      </c>
      <c r="O4" s="438">
        <v>8</v>
      </c>
      <c r="P4" s="440"/>
      <c r="Q4" s="440"/>
      <c r="R4" s="440"/>
      <c r="S4" s="440"/>
    </row>
    <row r="5">
      <c r="A5" s="442" t="s">
        <v>1030</v>
      </c>
      <c r="B5" s="443"/>
      <c r="C5" s="443"/>
      <c r="D5" s="444">
        <f>SUM(D2:D4)</f>
      </c>
      <c r="E5" s="444">
        <f>SUM(E2:E4)</f>
      </c>
      <c r="F5" s="445">
        <f>SUM(F2:F4)</f>
      </c>
      <c r="G5" s="444">
        <f>SUM(G2:G4)</f>
      </c>
      <c r="H5" s="444">
        <f>SUM(H2:H4)</f>
      </c>
      <c r="I5" s="446">
        <f t="shared" si="0"/>
      </c>
      <c r="J5" s="446">
        <f t="shared" si="4"/>
      </c>
      <c r="K5" s="446">
        <f t="shared" si="2"/>
      </c>
      <c r="L5" s="443">
        <f>SUM(L2:L4)</f>
      </c>
      <c r="M5" s="443">
        <f>SUM(M2:M4)</f>
      </c>
      <c r="N5" s="443"/>
      <c r="O5" s="444">
        <f>SUM(O2:O4)</f>
      </c>
      <c r="P5" s="443"/>
      <c r="Q5" s="443"/>
      <c r="R5" s="443"/>
      <c r="S5" s="443"/>
    </row>
    <row r="6">
      <c r="A6" s="437" t="s">
        <v>1039</v>
      </c>
      <c r="B6" s="438" t="s">
        <v>1040</v>
      </c>
      <c r="C6" s="438" t="s">
        <v>1041</v>
      </c>
      <c r="D6" s="438">
        <v>4</v>
      </c>
      <c r="E6" s="438">
        <v>21</v>
      </c>
      <c r="F6" s="438">
        <v>16</v>
      </c>
      <c r="G6" s="438">
        <v>11530.4</v>
      </c>
      <c r="H6" s="438">
        <v>9593.34</v>
      </c>
      <c r="I6" s="439">
        <f t="shared" si="0"/>
      </c>
      <c r="J6" s="439">
        <f t="shared" si="4"/>
      </c>
      <c r="K6" s="439">
        <f t="shared" si="2"/>
      </c>
      <c r="L6" s="438">
        <v>4</v>
      </c>
      <c r="M6" s="438">
        <v>1961</v>
      </c>
      <c r="N6" s="438" t="s">
        <v>1033</v>
      </c>
      <c r="O6" s="438">
        <v>2</v>
      </c>
      <c r="P6" s="440"/>
      <c r="Q6" s="440"/>
      <c r="R6" s="440"/>
      <c r="S6" s="440"/>
    </row>
    <row r="7">
      <c r="A7" s="437" t="s">
        <v>1039</v>
      </c>
      <c r="B7" s="441" t="s">
        <v>1036</v>
      </c>
      <c r="C7" s="438" t="s">
        <v>1035</v>
      </c>
      <c r="D7" s="438">
        <v>4</v>
      </c>
      <c r="E7" s="438">
        <v>19</v>
      </c>
      <c r="F7" s="438">
        <v>16</v>
      </c>
      <c r="G7" s="438">
        <v>10389.399999999998</v>
      </c>
      <c r="H7" s="438">
        <v>12239</v>
      </c>
      <c r="I7" s="439">
        <f t="shared" si="0"/>
      </c>
      <c r="J7" s="439">
        <f t="shared" si="4"/>
      </c>
      <c r="K7" s="439">
        <f t="shared" si="2"/>
      </c>
      <c r="L7" s="438">
        <v>3</v>
      </c>
      <c r="M7" s="438">
        <v>2085.6</v>
      </c>
      <c r="N7" s="438"/>
      <c r="O7" s="438"/>
      <c r="P7" s="440"/>
      <c r="Q7" s="440"/>
      <c r="R7" s="440"/>
      <c r="S7" s="440"/>
    </row>
    <row r="8">
      <c r="A8" s="437" t="s">
        <v>1039</v>
      </c>
      <c r="B8" s="438" t="s">
        <v>1042</v>
      </c>
      <c r="C8" s="438" t="s">
        <v>1037</v>
      </c>
      <c r="D8" s="438">
        <v>4</v>
      </c>
      <c r="E8" s="438">
        <v>22</v>
      </c>
      <c r="F8" s="438">
        <v>21</v>
      </c>
      <c r="G8" s="438">
        <v>17529.600000000002</v>
      </c>
      <c r="H8" s="438">
        <v>14115.810000000001</v>
      </c>
      <c r="I8" s="439">
        <f t="shared" si="0"/>
      </c>
      <c r="J8" s="439">
        <f t="shared" si="4"/>
      </c>
      <c r="K8" s="439">
        <f t="shared" si="2"/>
      </c>
      <c r="L8" s="438">
        <v>1</v>
      </c>
      <c r="M8" s="438">
        <v>348</v>
      </c>
      <c r="N8" s="438" t="s">
        <v>1038</v>
      </c>
      <c r="O8" s="438">
        <v>8</v>
      </c>
      <c r="P8" s="440"/>
      <c r="Q8" s="440"/>
      <c r="R8" s="440"/>
      <c r="S8" s="440"/>
    </row>
    <row r="9">
      <c r="A9" s="442" t="s">
        <v>1039</v>
      </c>
      <c r="B9" s="443"/>
      <c r="C9" s="443"/>
      <c r="D9" s="444">
        <f>SUM(D6:D8)</f>
      </c>
      <c r="E9" s="444">
        <f>SUM(E6:E8)</f>
      </c>
      <c r="F9" s="445">
        <f>SUM(F6:F8)</f>
      </c>
      <c r="G9" s="444">
        <f>SUM(G6:G8)</f>
      </c>
      <c r="H9" s="444">
        <f>SUM(H6:H8)</f>
      </c>
      <c r="I9" s="446">
        <f t="shared" si="0"/>
      </c>
      <c r="J9" s="446">
        <f t="shared" si="4"/>
      </c>
      <c r="K9" s="446">
        <f t="shared" si="2"/>
      </c>
      <c r="L9" s="443">
        <f>SUM(L6:L8)</f>
      </c>
      <c r="M9" s="443">
        <f>SUM(M6:M8)</f>
      </c>
      <c r="N9" s="443"/>
      <c r="O9" s="444">
        <f>SUM(O6:O8)</f>
      </c>
      <c r="P9" s="443"/>
      <c r="Q9" s="443"/>
      <c r="R9" s="443"/>
      <c r="S9" s="443"/>
    </row>
    <row r="10">
      <c r="A10" s="437" t="s">
        <v>1043</v>
      </c>
      <c r="B10" s="441" t="s">
        <v>1036</v>
      </c>
      <c r="C10" s="438" t="s">
        <v>1044</v>
      </c>
      <c r="D10" s="438">
        <v>4</v>
      </c>
      <c r="E10" s="438">
        <v>9</v>
      </c>
      <c r="F10" s="438">
        <v>7</v>
      </c>
      <c r="G10" s="438">
        <v>4524</v>
      </c>
      <c r="H10" s="438">
        <v>9278.91</v>
      </c>
      <c r="I10" s="439">
        <f t="shared" si="0"/>
      </c>
      <c r="J10" s="439">
        <f t="shared" si="4"/>
      </c>
      <c r="K10" s="439">
        <f t="shared" si="2"/>
      </c>
      <c r="L10" s="438">
        <v>2</v>
      </c>
      <c r="M10" s="438">
        <v>1096.2</v>
      </c>
      <c r="N10" s="438"/>
      <c r="O10" s="438"/>
      <c r="P10" s="440"/>
      <c r="Q10" s="440"/>
      <c r="R10" s="440"/>
      <c r="S10" s="440"/>
    </row>
    <row r="11">
      <c r="A11" s="437" t="s">
        <v>1043</v>
      </c>
      <c r="B11" s="447" t="s">
        <v>1042</v>
      </c>
      <c r="C11" s="438" t="s">
        <v>1045</v>
      </c>
      <c r="D11" s="438">
        <v>3</v>
      </c>
      <c r="E11" s="438">
        <v>14</v>
      </c>
      <c r="F11" s="438">
        <v>7</v>
      </c>
      <c r="G11" s="438">
        <v>10243.6</v>
      </c>
      <c r="H11" s="438">
        <v>7013.66</v>
      </c>
      <c r="I11" s="439">
        <f t="shared" si="0"/>
      </c>
      <c r="J11" s="439">
        <f t="shared" si="4"/>
      </c>
      <c r="K11" s="439">
        <f t="shared" si="2"/>
      </c>
      <c r="L11" s="438">
        <v>2</v>
      </c>
      <c r="M11" s="438">
        <v>1621.1999999999998</v>
      </c>
      <c r="N11" s="438"/>
      <c r="O11" s="438"/>
      <c r="P11" s="440"/>
      <c r="Q11" s="440"/>
      <c r="R11" s="440"/>
      <c r="S11" s="440"/>
    </row>
    <row r="12">
      <c r="A12" s="437" t="s">
        <v>1043</v>
      </c>
      <c r="B12" s="438" t="s">
        <v>1031</v>
      </c>
      <c r="C12" s="438" t="s">
        <v>1046</v>
      </c>
      <c r="D12" s="438">
        <v>5</v>
      </c>
      <c r="E12" s="438">
        <v>22</v>
      </c>
      <c r="F12" s="438">
        <v>14</v>
      </c>
      <c r="G12" s="438">
        <v>16949</v>
      </c>
      <c r="H12" s="438">
        <v>14479.63</v>
      </c>
      <c r="I12" s="439">
        <f t="shared" si="0"/>
      </c>
      <c r="J12" s="439">
        <f t="shared" si="4"/>
      </c>
      <c r="K12" s="439">
        <f t="shared" si="2"/>
      </c>
      <c r="L12" s="438">
        <v>6</v>
      </c>
      <c r="M12" s="438">
        <v>3446.6000000000004</v>
      </c>
      <c r="N12" s="438" t="s">
        <v>1038</v>
      </c>
      <c r="O12" s="438">
        <v>12</v>
      </c>
      <c r="P12" s="440"/>
      <c r="Q12" s="440"/>
      <c r="R12" s="440"/>
      <c r="S12" s="440"/>
    </row>
    <row r="13">
      <c r="A13" s="442" t="s">
        <v>1043</v>
      </c>
      <c r="B13" s="443"/>
      <c r="C13" s="443"/>
      <c r="D13" s="444">
        <f>SUM(D10:D12)</f>
      </c>
      <c r="E13" s="444">
        <f>SUM(E10:E12)</f>
      </c>
      <c r="F13" s="445">
        <f>SUM(F10:F12)</f>
      </c>
      <c r="G13" s="444">
        <f>SUM(G10:G12)</f>
      </c>
      <c r="H13" s="444">
        <f>SUM(H10:H12)</f>
      </c>
      <c r="I13" s="446">
        <f t="shared" si="0"/>
      </c>
      <c r="J13" s="446">
        <f t="shared" si="4"/>
      </c>
      <c r="K13" s="446">
        <f t="shared" si="2"/>
      </c>
      <c r="L13" s="443">
        <f>SUM(L10:L12)</f>
      </c>
      <c r="M13" s="443">
        <f>SUM(M10:M12)</f>
      </c>
      <c r="N13" s="443"/>
      <c r="O13" s="444">
        <f>SUM(O10:O12)</f>
      </c>
      <c r="P13" s="443"/>
      <c r="Q13" s="443"/>
      <c r="R13" s="443"/>
      <c r="S13" s="443"/>
    </row>
    <row r="14">
      <c r="A14" s="437" t="s">
        <v>1047</v>
      </c>
      <c r="B14" s="438" t="s">
        <v>1040</v>
      </c>
      <c r="C14" s="438" t="s">
        <v>1048</v>
      </c>
      <c r="D14" s="438">
        <v>4</v>
      </c>
      <c r="E14" s="438">
        <v>20</v>
      </c>
      <c r="F14" s="438">
        <v>15</v>
      </c>
      <c r="G14" s="438">
        <v>10897.2</v>
      </c>
      <c r="H14" s="438">
        <v>10042.390000000001</v>
      </c>
      <c r="I14" s="439">
        <f t="shared" si="0"/>
      </c>
      <c r="J14" s="439">
        <f t="shared" si="4"/>
      </c>
      <c r="K14" s="439">
        <f t="shared" si="2"/>
      </c>
      <c r="L14" s="438">
        <v>4</v>
      </c>
      <c r="M14" s="438">
        <v>1027.8</v>
      </c>
      <c r="N14" s="438" t="s">
        <v>1049</v>
      </c>
      <c r="O14" s="438">
        <v>10</v>
      </c>
      <c r="P14" s="440"/>
      <c r="Q14" s="440"/>
      <c r="R14" s="440"/>
      <c r="S14" s="440"/>
    </row>
    <row r="15">
      <c r="A15" s="437" t="s">
        <v>1047</v>
      </c>
      <c r="B15" s="447" t="s">
        <v>1050</v>
      </c>
      <c r="C15" s="438" t="s">
        <v>1051</v>
      </c>
      <c r="D15" s="438">
        <v>4</v>
      </c>
      <c r="E15" s="438">
        <v>12</v>
      </c>
      <c r="F15" s="438">
        <v>10</v>
      </c>
      <c r="G15" s="438">
        <v>4898</v>
      </c>
      <c r="H15" s="438">
        <v>8270.19</v>
      </c>
      <c r="I15" s="439">
        <f t="shared" si="0"/>
      </c>
      <c r="J15" s="439">
        <f t="shared" si="4"/>
      </c>
      <c r="K15" s="439">
        <f t="shared" si="2"/>
      </c>
      <c r="L15" s="438">
        <v>1</v>
      </c>
      <c r="M15" s="438">
        <v>326.4000000000001</v>
      </c>
      <c r="N15" s="438"/>
      <c r="O15" s="438"/>
      <c r="P15" s="440"/>
      <c r="Q15" s="440"/>
      <c r="R15" s="440"/>
      <c r="S15" s="440"/>
    </row>
    <row r="16">
      <c r="A16" s="437" t="s">
        <v>1047</v>
      </c>
      <c r="B16" s="438" t="s">
        <v>1031</v>
      </c>
      <c r="C16" s="438" t="s">
        <v>1046</v>
      </c>
      <c r="D16" s="438">
        <v>5</v>
      </c>
      <c r="E16" s="438">
        <v>18</v>
      </c>
      <c r="F16" s="438">
        <v>10</v>
      </c>
      <c r="G16" s="438">
        <v>11932.599999999999</v>
      </c>
      <c r="H16" s="438">
        <v>9376.739999999998</v>
      </c>
      <c r="I16" s="439">
        <f t="shared" si="0"/>
      </c>
      <c r="J16" s="439">
        <f t="shared" si="4"/>
      </c>
      <c r="K16" s="439">
        <f t="shared" si="2"/>
      </c>
      <c r="L16" s="438">
        <v>4</v>
      </c>
      <c r="M16" s="438">
        <v>1916.9999999999998</v>
      </c>
      <c r="N16" s="438" t="s">
        <v>1052</v>
      </c>
      <c r="O16" s="438">
        <v>1.2</v>
      </c>
      <c r="P16" s="440"/>
      <c r="Q16" s="440"/>
      <c r="R16" s="440"/>
      <c r="S16" s="440"/>
    </row>
    <row r="17">
      <c r="A17" s="442" t="s">
        <v>1047</v>
      </c>
      <c r="B17" s="443"/>
      <c r="C17" s="443"/>
      <c r="D17" s="444">
        <f>SUM(D14:D16)</f>
      </c>
      <c r="E17" s="444">
        <f>SUM(E14:E16)</f>
      </c>
      <c r="F17" s="445">
        <f>SUM(F14:F16)</f>
      </c>
      <c r="G17" s="444">
        <f>SUM(G14:G16)</f>
      </c>
      <c r="H17" s="444">
        <f>SUM(H14:H16)</f>
      </c>
      <c r="I17" s="446">
        <f t="shared" si="0"/>
      </c>
      <c r="J17" s="446">
        <f t="shared" si="4"/>
      </c>
      <c r="K17" s="446">
        <f t="shared" si="2"/>
      </c>
      <c r="L17" s="443">
        <f>SUM(L14:L16)</f>
      </c>
      <c r="M17" s="443">
        <f>SUM(M14:M16)</f>
      </c>
      <c r="N17" s="443"/>
      <c r="O17" s="444">
        <f>SUM(O14:O16)</f>
      </c>
      <c r="P17" s="443"/>
      <c r="Q17" s="443"/>
      <c r="R17" s="443"/>
      <c r="S17" s="443"/>
    </row>
    <row r="18">
      <c r="A18" s="437" t="s">
        <v>1053</v>
      </c>
      <c r="B18" s="438" t="s">
        <v>1040</v>
      </c>
      <c r="C18" s="438" t="s">
        <v>1044</v>
      </c>
      <c r="D18" s="438">
        <v>4</v>
      </c>
      <c r="E18" s="438">
        <v>17</v>
      </c>
      <c r="F18" s="438">
        <v>11</v>
      </c>
      <c r="G18" s="438">
        <v>10831.6</v>
      </c>
      <c r="H18" s="438">
        <v>8370.73</v>
      </c>
      <c r="I18" s="439">
        <f t="shared" si="0"/>
      </c>
      <c r="J18" s="439">
        <f t="shared" si="4"/>
      </c>
      <c r="K18" s="439">
        <f t="shared" si="2"/>
      </c>
      <c r="L18" s="438">
        <v>0</v>
      </c>
      <c r="M18" s="438">
        <v>0</v>
      </c>
      <c r="N18" s="438" t="s">
        <v>1038</v>
      </c>
      <c r="O18" s="438">
        <v>10</v>
      </c>
      <c r="P18" s="440"/>
      <c r="Q18" s="440"/>
      <c r="R18" s="440"/>
      <c r="S18" s="440"/>
    </row>
    <row r="19">
      <c r="A19" s="437" t="s">
        <v>1053</v>
      </c>
      <c r="B19" s="447" t="s">
        <v>1050</v>
      </c>
      <c r="C19" s="438" t="s">
        <v>1045</v>
      </c>
      <c r="D19" s="438">
        <v>3</v>
      </c>
      <c r="E19" s="438">
        <v>10</v>
      </c>
      <c r="F19" s="438">
        <v>7</v>
      </c>
      <c r="G19" s="438">
        <v>13157.800000000001</v>
      </c>
      <c r="H19" s="438">
        <v>9001.66</v>
      </c>
      <c r="I19" s="439">
        <f t="shared" si="0"/>
      </c>
      <c r="J19" s="439">
        <f t="shared" si="4"/>
      </c>
      <c r="K19" s="439">
        <f t="shared" si="2"/>
      </c>
      <c r="L19" s="448">
        <v>4</v>
      </c>
      <c r="M19" s="448">
        <v>7049</v>
      </c>
      <c r="N19" s="438"/>
      <c r="O19" s="438"/>
      <c r="P19" s="440"/>
      <c r="Q19" s="440"/>
      <c r="R19" s="440"/>
      <c r="S19" s="440"/>
    </row>
    <row r="20">
      <c r="A20" s="437" t="s">
        <v>1053</v>
      </c>
      <c r="B20" s="438" t="s">
        <v>1031</v>
      </c>
      <c r="C20" s="438" t="s">
        <v>1046</v>
      </c>
      <c r="D20" s="438">
        <v>5</v>
      </c>
      <c r="E20" s="438">
        <v>24</v>
      </c>
      <c r="F20" s="438">
        <v>15</v>
      </c>
      <c r="G20" s="438">
        <v>20502.199999999997</v>
      </c>
      <c r="H20" s="438">
        <v>7278.5599999999995</v>
      </c>
      <c r="I20" s="439">
        <f t="shared" si="0"/>
      </c>
      <c r="J20" s="439">
        <f t="shared" si="4"/>
      </c>
      <c r="K20" s="439">
        <f t="shared" si="2"/>
      </c>
      <c r="L20" s="448">
        <v>0</v>
      </c>
      <c r="M20" s="448">
        <v>0</v>
      </c>
      <c r="N20" s="438" t="s">
        <v>1054</v>
      </c>
      <c r="O20" s="438">
        <v>0.8</v>
      </c>
      <c r="P20" s="440"/>
      <c r="Q20" s="440"/>
      <c r="R20" s="440"/>
      <c r="S20" s="440"/>
    </row>
    <row r="21">
      <c r="A21" s="442" t="s">
        <v>1053</v>
      </c>
      <c r="B21" s="443"/>
      <c r="C21" s="443"/>
      <c r="D21" s="444">
        <f>SUM(D18:D20)</f>
      </c>
      <c r="E21" s="444">
        <f>SUM(E18:E20)</f>
      </c>
      <c r="F21" s="445">
        <f>SUM(F18:F20)</f>
      </c>
      <c r="G21" s="444">
        <f>SUM(G18:G20)</f>
      </c>
      <c r="H21" s="444">
        <f>SUM(H18:H20)</f>
      </c>
      <c r="I21" s="446">
        <f t="shared" si="0"/>
      </c>
      <c r="J21" s="446">
        <f t="shared" si="4"/>
      </c>
      <c r="K21" s="446">
        <f t="shared" si="2"/>
      </c>
      <c r="L21" s="443">
        <f>SUM(L18:L20)</f>
      </c>
      <c r="M21" s="443">
        <f>SUM(M18:M20)</f>
      </c>
      <c r="N21" s="443"/>
      <c r="O21" s="444">
        <f>SUM(O18:O20)</f>
      </c>
      <c r="P21" s="443"/>
      <c r="Q21" s="443"/>
      <c r="R21" s="443"/>
      <c r="S21" s="443"/>
    </row>
    <row r="22">
      <c r="A22" s="437" t="s">
        <v>1055</v>
      </c>
      <c r="B22" s="438" t="s">
        <v>1040</v>
      </c>
      <c r="C22" s="438" t="s">
        <v>1044</v>
      </c>
      <c r="D22" s="438">
        <v>4</v>
      </c>
      <c r="E22" s="438">
        <v>6</v>
      </c>
      <c r="F22" s="438">
        <v>4</v>
      </c>
      <c r="G22" s="438">
        <v>3026.4</v>
      </c>
      <c r="H22" s="438">
        <v>5434.43</v>
      </c>
      <c r="I22" s="439">
        <f t="shared" si="0"/>
      </c>
      <c r="J22" s="439">
        <f t="shared" si="4"/>
      </c>
      <c r="K22" s="439">
        <f t="shared" si="2"/>
      </c>
      <c r="L22" s="438">
        <v>1</v>
      </c>
      <c r="M22" s="438">
        <v>640.8</v>
      </c>
      <c r="N22" s="438" t="s">
        <v>1038</v>
      </c>
      <c r="O22" s="438">
        <v>9</v>
      </c>
      <c r="P22" s="440"/>
      <c r="Q22" s="440"/>
      <c r="R22" s="440"/>
      <c r="S22" s="440"/>
    </row>
    <row r="23">
      <c r="A23" s="437" t="s">
        <v>1055</v>
      </c>
      <c r="B23" s="447" t="s">
        <v>1034</v>
      </c>
      <c r="C23" s="438" t="s">
        <v>1045</v>
      </c>
      <c r="D23" s="438">
        <v>3</v>
      </c>
      <c r="E23" s="438">
        <v>7</v>
      </c>
      <c r="F23" s="438">
        <v>6</v>
      </c>
      <c r="G23" s="438">
        <v>3694.7000000000003</v>
      </c>
      <c r="H23" s="438">
        <v>3115.85</v>
      </c>
      <c r="I23" s="439">
        <f t="shared" si="0"/>
      </c>
      <c r="J23" s="439">
        <f t="shared" si="4"/>
      </c>
      <c r="K23" s="439">
        <f t="shared" si="2"/>
      </c>
      <c r="L23" s="448">
        <v>2</v>
      </c>
      <c r="M23" s="448">
        <v>522</v>
      </c>
      <c r="N23" s="438"/>
      <c r="O23" s="438"/>
      <c r="P23" s="440"/>
      <c r="Q23" s="440"/>
      <c r="R23" s="440"/>
      <c r="S23" s="440"/>
    </row>
    <row r="24">
      <c r="A24" s="437" t="s">
        <v>1055</v>
      </c>
      <c r="B24" s="438" t="s">
        <v>1031</v>
      </c>
      <c r="C24" s="438" t="s">
        <v>1046</v>
      </c>
      <c r="D24" s="438">
        <v>5</v>
      </c>
      <c r="E24" s="438">
        <v>10</v>
      </c>
      <c r="F24" s="438">
        <v>8</v>
      </c>
      <c r="G24" s="438">
        <v>7513.799999999999</v>
      </c>
      <c r="H24" s="438">
        <v>7900.609999999999</v>
      </c>
      <c r="I24" s="439">
        <f t="shared" si="0"/>
      </c>
      <c r="J24" s="439">
        <f t="shared" si="4"/>
      </c>
      <c r="K24" s="439">
        <f t="shared" si="2"/>
      </c>
      <c r="L24" s="448">
        <v>1</v>
      </c>
      <c r="M24" s="448">
        <v>1767.6000000000001</v>
      </c>
      <c r="N24" s="438" t="s">
        <v>1054</v>
      </c>
      <c r="O24" s="438">
        <v>1.2</v>
      </c>
      <c r="P24" s="440"/>
      <c r="Q24" s="440"/>
      <c r="R24" s="440"/>
      <c r="S24" s="440"/>
    </row>
    <row r="25">
      <c r="A25" s="442" t="s">
        <v>1055</v>
      </c>
      <c r="B25" s="443"/>
      <c r="C25" s="443"/>
      <c r="D25" s="444">
        <f>SUM(D22:D24)</f>
      </c>
      <c r="E25" s="444">
        <f>SUM(E22:E24)</f>
      </c>
      <c r="F25" s="445">
        <f>SUM(F22:F24)</f>
      </c>
      <c r="G25" s="444">
        <f>SUM(G22:G24)</f>
      </c>
      <c r="H25" s="444">
        <f>SUM(H22:H24)</f>
      </c>
      <c r="I25" s="446">
        <f t="shared" si="0"/>
      </c>
      <c r="J25" s="446">
        <f t="shared" si="4"/>
      </c>
      <c r="K25" s="446">
        <f t="shared" si="2"/>
      </c>
      <c r="L25" s="443">
        <f>SUM(L22:L24)</f>
      </c>
      <c r="M25" s="443">
        <f>SUM(M22:M24)</f>
      </c>
      <c r="N25" s="443"/>
      <c r="O25" s="444">
        <f>SUM(O22:O24)</f>
      </c>
      <c r="P25" s="443"/>
      <c r="Q25" s="443"/>
      <c r="R25" s="443"/>
      <c r="S25" s="443"/>
    </row>
    <row r="26">
      <c r="A26" s="437" t="s">
        <v>1056</v>
      </c>
      <c r="B26" s="438" t="s">
        <v>1031</v>
      </c>
      <c r="C26" s="438" t="s">
        <v>1057</v>
      </c>
      <c r="D26" s="438">
        <v>5</v>
      </c>
      <c r="E26" s="438">
        <v>10</v>
      </c>
      <c r="F26" s="438">
        <v>6</v>
      </c>
      <c r="G26" s="438">
        <v>11656.8</v>
      </c>
      <c r="H26" s="438">
        <v>6852.43</v>
      </c>
      <c r="I26" s="439">
        <f t="shared" si="0"/>
      </c>
      <c r="J26" s="439">
        <f t="shared" si="4"/>
      </c>
      <c r="K26" s="439">
        <f t="shared" si="2"/>
      </c>
      <c r="L26" s="438">
        <v>2</v>
      </c>
      <c r="M26" s="438">
        <v>2176.8</v>
      </c>
      <c r="N26" s="438" t="s">
        <v>1038</v>
      </c>
      <c r="O26" s="438">
        <v>9</v>
      </c>
      <c r="P26" s="440"/>
      <c r="Q26" s="440"/>
      <c r="R26" s="440"/>
      <c r="S26" s="440"/>
    </row>
    <row r="27">
      <c r="A27" s="437" t="s">
        <v>1056</v>
      </c>
      <c r="B27" s="447" t="s">
        <v>1042</v>
      </c>
      <c r="C27" s="438" t="s">
        <v>1045</v>
      </c>
      <c r="D27" s="438">
        <v>3</v>
      </c>
      <c r="E27" s="438">
        <v>2</v>
      </c>
      <c r="F27" s="438">
        <v>2</v>
      </c>
      <c r="G27" s="438">
        <v>1010.4000000000015</v>
      </c>
      <c r="H27" s="438">
        <v>3550.8900000000003</v>
      </c>
      <c r="I27" s="439">
        <f t="shared" si="0"/>
      </c>
      <c r="J27" s="439">
        <f t="shared" si="4"/>
      </c>
      <c r="K27" s="439">
        <f t="shared" si="2"/>
      </c>
      <c r="L27" s="448">
        <v>0</v>
      </c>
      <c r="M27" s="448">
        <v>0</v>
      </c>
      <c r="N27" s="438"/>
      <c r="O27" s="438"/>
      <c r="P27" s="440"/>
      <c r="Q27" s="440"/>
      <c r="R27" s="440"/>
      <c r="S27" s="440"/>
    </row>
    <row r="28">
      <c r="A28" s="437" t="s">
        <v>1056</v>
      </c>
      <c r="B28" s="438" t="s">
        <v>1040</v>
      </c>
      <c r="C28" s="438" t="s">
        <v>1037</v>
      </c>
      <c r="D28" s="438">
        <v>4</v>
      </c>
      <c r="E28" s="438">
        <v>5</v>
      </c>
      <c r="F28" s="438">
        <v>1</v>
      </c>
      <c r="G28" s="438">
        <v>3814.2000000000007</v>
      </c>
      <c r="H28" s="438">
        <v>2815.9700000000003</v>
      </c>
      <c r="I28" s="439">
        <f t="shared" si="0"/>
      </c>
      <c r="J28" s="439">
        <f t="shared" si="4"/>
      </c>
      <c r="K28" s="439">
        <f t="shared" si="2"/>
      </c>
      <c r="L28" s="448">
        <v>2</v>
      </c>
      <c r="M28" s="448">
        <v>835.1999999999998</v>
      </c>
      <c r="N28" s="438" t="s">
        <v>1052</v>
      </c>
      <c r="O28" s="438">
        <v>0.4</v>
      </c>
      <c r="P28" s="440"/>
      <c r="Q28" s="440"/>
      <c r="R28" s="440"/>
      <c r="S28" s="440"/>
    </row>
    <row r="29">
      <c r="A29" s="442" t="s">
        <v>1056</v>
      </c>
      <c r="B29" s="443"/>
      <c r="C29" s="443"/>
      <c r="D29" s="444">
        <f>SUM(D26:D28)</f>
      </c>
      <c r="E29" s="444">
        <f>SUM(E26:E28)</f>
      </c>
      <c r="F29" s="445">
        <f>SUM(F26:F28)</f>
      </c>
      <c r="G29" s="444">
        <f>SUM(G26:G28)</f>
      </c>
      <c r="H29" s="444">
        <f>SUM(H26:H28)</f>
      </c>
      <c r="I29" s="446">
        <f t="shared" si="0"/>
      </c>
      <c r="J29" s="446">
        <f t="shared" si="4"/>
      </c>
      <c r="K29" s="446">
        <f t="shared" si="2"/>
      </c>
      <c r="L29" s="443">
        <f>SUM(L26:L28)</f>
      </c>
      <c r="M29" s="443">
        <f>SUM(M26:M28)</f>
      </c>
      <c r="N29" s="443"/>
      <c r="O29" s="444">
        <f>SUM(O26:O28)</f>
      </c>
      <c r="P29" s="443"/>
      <c r="Q29" s="443"/>
      <c r="R29" s="443"/>
      <c r="S29" s="443"/>
    </row>
    <row r="30">
      <c r="A30" s="437" t="s">
        <v>1058</v>
      </c>
      <c r="B30" s="438" t="s">
        <v>1031</v>
      </c>
      <c r="C30" s="438" t="s">
        <v>1057</v>
      </c>
      <c r="D30" s="438">
        <v>5</v>
      </c>
      <c r="E30" s="438">
        <v>29</v>
      </c>
      <c r="F30" s="438">
        <v>14</v>
      </c>
      <c r="G30" s="438">
        <v>17766.4</v>
      </c>
      <c r="H30" s="438">
        <v>13241.099999999999</v>
      </c>
      <c r="I30" s="439">
        <f t="shared" si="0"/>
      </c>
      <c r="J30" s="439">
        <f t="shared" si="4"/>
      </c>
      <c r="K30" s="439">
        <f t="shared" si="2"/>
      </c>
      <c r="L30" s="438">
        <v>3</v>
      </c>
      <c r="M30" s="438">
        <v>2472</v>
      </c>
      <c r="N30" s="438" t="s">
        <v>1059</v>
      </c>
      <c r="O30" s="438">
        <v>5</v>
      </c>
      <c r="P30" s="440"/>
      <c r="Q30" s="440"/>
      <c r="R30" s="440"/>
      <c r="S30" s="440"/>
    </row>
    <row r="31">
      <c r="A31" s="437" t="s">
        <v>1058</v>
      </c>
      <c r="B31" s="447" t="s">
        <v>1034</v>
      </c>
      <c r="C31" s="438" t="s">
        <v>1045</v>
      </c>
      <c r="D31" s="438">
        <v>3</v>
      </c>
      <c r="E31" s="438">
        <v>19</v>
      </c>
      <c r="F31" s="438">
        <v>17</v>
      </c>
      <c r="G31" s="438">
        <v>18235</v>
      </c>
      <c r="H31" s="438">
        <v>16547.76</v>
      </c>
      <c r="I31" s="439">
        <f t="shared" si="0"/>
      </c>
      <c r="J31" s="439">
        <f t="shared" si="4"/>
      </c>
      <c r="K31" s="439">
        <f t="shared" si="2"/>
      </c>
      <c r="L31" s="448">
        <v>4</v>
      </c>
      <c r="M31" s="448">
        <v>6008.400000000001</v>
      </c>
      <c r="N31" s="438"/>
      <c r="O31" s="438"/>
      <c r="P31" s="440"/>
      <c r="Q31" s="440"/>
      <c r="R31" s="440"/>
      <c r="S31" s="440"/>
    </row>
    <row r="32">
      <c r="A32" s="437" t="s">
        <v>1058</v>
      </c>
      <c r="B32" s="438" t="s">
        <v>1040</v>
      </c>
      <c r="C32" s="438" t="s">
        <v>1037</v>
      </c>
      <c r="D32" s="438">
        <v>4</v>
      </c>
      <c r="E32" s="438">
        <v>25</v>
      </c>
      <c r="F32" s="438">
        <v>21</v>
      </c>
      <c r="G32" s="438">
        <v>17520.239999999998</v>
      </c>
      <c r="H32" s="438">
        <v>12218.71</v>
      </c>
      <c r="I32" s="439">
        <f t="shared" si="0"/>
      </c>
      <c r="J32" s="439">
        <f t="shared" si="4"/>
      </c>
      <c r="K32" s="439">
        <f t="shared" si="2"/>
      </c>
      <c r="L32" s="448">
        <v>4</v>
      </c>
      <c r="M32" s="448">
        <v>6928.8</v>
      </c>
      <c r="N32" s="438" t="s">
        <v>1038</v>
      </c>
      <c r="O32" s="438">
        <v>8</v>
      </c>
      <c r="P32" s="440"/>
      <c r="Q32" s="440"/>
      <c r="R32" s="440"/>
      <c r="S32" s="440"/>
    </row>
    <row r="33">
      <c r="A33" s="442" t="s">
        <v>1058</v>
      </c>
      <c r="B33" s="443"/>
      <c r="C33" s="443"/>
      <c r="D33" s="444">
        <f>SUM(D30:D32)</f>
      </c>
      <c r="E33" s="444">
        <f>SUM(E30:E32)</f>
      </c>
      <c r="F33" s="445">
        <f>SUM(F30:F32)</f>
      </c>
      <c r="G33" s="444">
        <f>SUM(G30:G32)</f>
      </c>
      <c r="H33" s="444">
        <f>SUM(H30:H32)</f>
      </c>
      <c r="I33" s="446">
        <f t="shared" si="0"/>
      </c>
      <c r="J33" s="446">
        <f t="shared" si="4"/>
      </c>
      <c r="K33" s="446">
        <f t="shared" si="2"/>
      </c>
      <c r="L33" s="443">
        <f>SUM(L30:L32)</f>
      </c>
      <c r="M33" s="443">
        <f>SUM(M30:M32)</f>
      </c>
      <c r="N33" s="443"/>
      <c r="O33" s="444">
        <f>SUM(O30:O32)</f>
      </c>
      <c r="P33" s="443"/>
      <c r="Q33" s="443"/>
      <c r="R33" s="443"/>
      <c r="S33" s="443"/>
    </row>
    <row r="34">
      <c r="A34" s="437" t="s">
        <v>1060</v>
      </c>
      <c r="B34" s="438" t="s">
        <v>1031</v>
      </c>
      <c r="C34" s="438" t="s">
        <v>1057</v>
      </c>
      <c r="D34" s="438">
        <v>5</v>
      </c>
      <c r="E34" s="438">
        <v>10</v>
      </c>
      <c r="F34" s="438">
        <v>6</v>
      </c>
      <c r="G34" s="438">
        <v>6632.6</v>
      </c>
      <c r="H34" s="438">
        <v>8903.86</v>
      </c>
      <c r="I34" s="439">
        <f t="shared" si="0"/>
      </c>
      <c r="J34" s="439">
        <f t="shared" si="4"/>
      </c>
      <c r="K34" s="439">
        <f t="shared" si="2"/>
      </c>
      <c r="L34" s="438">
        <v>1</v>
      </c>
      <c r="M34" s="438">
        <v>372</v>
      </c>
      <c r="N34" s="438" t="s">
        <v>1059</v>
      </c>
      <c r="O34" s="438">
        <v>5</v>
      </c>
      <c r="P34" s="440"/>
      <c r="Q34" s="440"/>
      <c r="R34" s="440"/>
      <c r="S34" s="440"/>
    </row>
    <row r="35">
      <c r="A35" s="437" t="s">
        <v>1060</v>
      </c>
      <c r="B35" s="447" t="s">
        <v>1034</v>
      </c>
      <c r="C35" s="438" t="s">
        <v>1045</v>
      </c>
      <c r="D35" s="438">
        <v>3</v>
      </c>
      <c r="E35" s="438">
        <v>20</v>
      </c>
      <c r="F35" s="438">
        <v>16</v>
      </c>
      <c r="G35" s="438">
        <v>24243</v>
      </c>
      <c r="H35" s="438">
        <v>7603.32</v>
      </c>
      <c r="I35" s="439">
        <f t="shared" si="0"/>
      </c>
      <c r="J35" s="439">
        <f t="shared" si="4"/>
      </c>
      <c r="K35" s="439">
        <f t="shared" si="2"/>
      </c>
      <c r="L35" s="448">
        <v>3</v>
      </c>
      <c r="M35" s="448">
        <v>8590.8</v>
      </c>
      <c r="N35" s="438"/>
      <c r="O35" s="438"/>
      <c r="P35" s="440"/>
      <c r="Q35" s="440"/>
      <c r="R35" s="440"/>
      <c r="S35" s="440"/>
    </row>
    <row r="36">
      <c r="A36" s="437" t="s">
        <v>1060</v>
      </c>
      <c r="B36" s="438" t="s">
        <v>1040</v>
      </c>
      <c r="C36" s="438" t="s">
        <v>1037</v>
      </c>
      <c r="D36" s="438">
        <v>4</v>
      </c>
      <c r="E36" s="438">
        <v>15</v>
      </c>
      <c r="F36" s="438">
        <v>12</v>
      </c>
      <c r="G36" s="438">
        <v>9445.599999999999</v>
      </c>
      <c r="H36" s="438">
        <v>9868.17</v>
      </c>
      <c r="I36" s="439">
        <f t="shared" si="0"/>
      </c>
      <c r="J36" s="439">
        <f t="shared" si="4"/>
      </c>
      <c r="K36" s="439">
        <f t="shared" si="2"/>
      </c>
      <c r="L36" s="448">
        <v>1</v>
      </c>
      <c r="M36" s="448">
        <v>569</v>
      </c>
      <c r="N36" s="438" t="s">
        <v>1038</v>
      </c>
      <c r="O36" s="438">
        <v>8</v>
      </c>
      <c r="P36" s="440"/>
      <c r="Q36" s="440"/>
      <c r="R36" s="440"/>
      <c r="S36" s="440"/>
    </row>
    <row r="37">
      <c r="A37" s="442" t="s">
        <v>1060</v>
      </c>
      <c r="B37" s="443"/>
      <c r="C37" s="443"/>
      <c r="D37" s="444">
        <f>SUM(D34:D36)</f>
      </c>
      <c r="E37" s="444">
        <f>SUM(E34:E36)</f>
      </c>
      <c r="F37" s="445">
        <f>SUM(F34:F36)</f>
      </c>
      <c r="G37" s="444">
        <f>SUM(G34:G36)</f>
      </c>
      <c r="H37" s="444">
        <f>SUM(H34:H36)</f>
      </c>
      <c r="I37" s="446">
        <f t="shared" si="0"/>
      </c>
      <c r="J37" s="446">
        <f t="shared" si="4"/>
      </c>
      <c r="K37" s="446">
        <f t="shared" si="2"/>
      </c>
      <c r="L37" s="443">
        <f>SUM(L34:L36)</f>
      </c>
      <c r="M37" s="443">
        <f>SUM(M34:M36)</f>
      </c>
      <c r="N37" s="443"/>
      <c r="O37" s="444">
        <f>SUM(O34:O36)</f>
      </c>
      <c r="P37" s="443"/>
      <c r="Q37" s="443"/>
      <c r="R37" s="443"/>
      <c r="S37" s="443"/>
    </row>
    <row r="38">
      <c r="A38" s="437" t="s">
        <v>1061</v>
      </c>
      <c r="B38" s="438" t="s">
        <v>1031</v>
      </c>
      <c r="C38" s="438" t="s">
        <v>1062</v>
      </c>
      <c r="D38" s="438">
        <v>5.5</v>
      </c>
      <c r="E38" s="438">
        <v>25</v>
      </c>
      <c r="F38" s="438">
        <v>15</v>
      </c>
      <c r="G38" s="438">
        <v>20270.48</v>
      </c>
      <c r="H38" s="438">
        <v>13537.43</v>
      </c>
      <c r="I38" s="439">
        <f t="shared" si="0"/>
      </c>
      <c r="J38" s="439">
        <f t="shared" si="4"/>
      </c>
      <c r="K38" s="439">
        <f t="shared" si="2"/>
      </c>
      <c r="L38" s="438">
        <v>7</v>
      </c>
      <c r="M38" s="438">
        <v>3909.6</v>
      </c>
      <c r="N38" s="438" t="s">
        <v>1059</v>
      </c>
      <c r="O38" s="438">
        <v>5</v>
      </c>
      <c r="P38" s="440"/>
      <c r="Q38" s="440"/>
      <c r="R38" s="440"/>
      <c r="S38" s="440"/>
    </row>
    <row customHeight="true" ht="16.071428571428573" r="39">
      <c r="A39" s="437"/>
      <c r="B39" s="438"/>
      <c r="C39" s="438"/>
      <c r="D39" s="438"/>
      <c r="E39" s="438"/>
      <c r="F39" s="438"/>
      <c r="G39" s="438"/>
      <c r="H39" s="438"/>
      <c r="I39" s="439"/>
      <c r="J39" s="439"/>
      <c r="K39" s="439"/>
      <c r="L39" s="438"/>
      <c r="M39" s="438"/>
      <c r="N39" s="438" t="s">
        <v>1038</v>
      </c>
      <c r="O39" s="438">
        <v>0.5</v>
      </c>
      <c r="P39" s="440"/>
      <c r="Q39" s="440"/>
      <c r="R39" s="440"/>
      <c r="S39" s="440"/>
    </row>
    <row r="40">
      <c r="A40" s="442" t="s">
        <v>1061</v>
      </c>
      <c r="B40" s="443"/>
      <c r="C40" s="443"/>
      <c r="D40" s="444">
        <f>SUM(D38)</f>
      </c>
      <c r="E40" s="444">
        <f>SUM(E38)</f>
      </c>
      <c r="F40" s="445">
        <f>SUM(F38)</f>
      </c>
      <c r="G40" s="444">
        <f>SUM(G38)</f>
      </c>
      <c r="H40" s="444">
        <f>SUM(H38)</f>
      </c>
      <c r="I40" s="446">
        <f t="shared" ref="I40:I130" si="1">G40/H40</f>
      </c>
      <c r="J40" s="446">
        <f t="shared" ref="J40:J130" si="5">G40/E40</f>
      </c>
      <c r="K40" s="446">
        <f t="shared" ref="K40:K130" si="3">H40/E40</f>
      </c>
      <c r="L40" s="443">
        <f>SUM(L38)</f>
      </c>
      <c r="M40" s="443">
        <f>SUM(M38)</f>
      </c>
      <c r="N40" s="443"/>
      <c r="O40" s="444">
        <f>O38+O39</f>
      </c>
      <c r="P40" s="443"/>
      <c r="Q40" s="443"/>
      <c r="R40" s="443"/>
      <c r="S40" s="443"/>
    </row>
    <row r="41">
      <c r="A41" s="437" t="s">
        <v>1063</v>
      </c>
      <c r="B41" s="438" t="s">
        <v>1031</v>
      </c>
      <c r="C41" s="438" t="s">
        <v>1064</v>
      </c>
      <c r="D41" s="438">
        <v>5</v>
      </c>
      <c r="E41" s="438">
        <v>28</v>
      </c>
      <c r="F41" s="438">
        <v>23</v>
      </c>
      <c r="G41" s="438">
        <v>22632.4</v>
      </c>
      <c r="H41" s="438">
        <v>19572.27</v>
      </c>
      <c r="I41" s="439">
        <f t="shared" si="1"/>
      </c>
      <c r="J41" s="439">
        <f t="shared" si="5"/>
      </c>
      <c r="K41" s="439">
        <f t="shared" si="3"/>
      </c>
      <c r="L41" s="438">
        <v>7</v>
      </c>
      <c r="M41" s="438">
        <v>8377</v>
      </c>
      <c r="N41" s="438"/>
      <c r="O41" s="438"/>
      <c r="P41" s="440"/>
      <c r="Q41" s="440"/>
      <c r="R41" s="440"/>
      <c r="S41" s="440"/>
    </row>
    <row r="42">
      <c r="A42" s="437" t="s">
        <v>1063</v>
      </c>
      <c r="B42" s="447" t="s">
        <v>1050</v>
      </c>
      <c r="C42" s="438" t="s">
        <v>1065</v>
      </c>
      <c r="D42" s="438">
        <v>3</v>
      </c>
      <c r="E42" s="438">
        <v>17</v>
      </c>
      <c r="F42" s="438">
        <v>13</v>
      </c>
      <c r="G42" s="438">
        <v>10088.2</v>
      </c>
      <c r="H42" s="438">
        <v>8290.73</v>
      </c>
      <c r="I42" s="439">
        <f t="shared" si="1"/>
      </c>
      <c r="J42" s="439">
        <f t="shared" si="5"/>
      </c>
      <c r="K42" s="439">
        <f t="shared" si="3"/>
      </c>
      <c r="L42" s="448">
        <v>6</v>
      </c>
      <c r="M42" s="448">
        <v>2899.2</v>
      </c>
      <c r="N42" s="438"/>
      <c r="O42" s="438"/>
      <c r="P42" s="440"/>
      <c r="Q42" s="440"/>
      <c r="R42" s="440"/>
      <c r="S42" s="440"/>
    </row>
    <row r="43">
      <c r="A43" s="437" t="s">
        <v>1063</v>
      </c>
      <c r="B43" s="447" t="s">
        <v>1034</v>
      </c>
      <c r="C43" s="438" t="s">
        <v>1037</v>
      </c>
      <c r="D43" s="438">
        <v>4</v>
      </c>
      <c r="E43" s="438">
        <v>27</v>
      </c>
      <c r="F43" s="438">
        <v>20</v>
      </c>
      <c r="G43" s="438">
        <v>19171.4</v>
      </c>
      <c r="H43" s="438">
        <v>12758.509999999998</v>
      </c>
      <c r="I43" s="439">
        <f t="shared" si="1"/>
      </c>
      <c r="J43" s="439">
        <f t="shared" si="5"/>
      </c>
      <c r="K43" s="439">
        <f t="shared" si="3"/>
      </c>
      <c r="L43" s="448">
        <v>13</v>
      </c>
      <c r="M43" s="448">
        <v>9371</v>
      </c>
      <c r="N43" s="438" t="s">
        <v>1038</v>
      </c>
      <c r="O43" s="438">
        <v>12</v>
      </c>
      <c r="P43" s="440"/>
      <c r="Q43" s="440"/>
      <c r="R43" s="440"/>
      <c r="S43" s="440"/>
    </row>
    <row r="44">
      <c r="A44" s="442" t="s">
        <v>1063</v>
      </c>
      <c r="B44" s="443"/>
      <c r="C44" s="443"/>
      <c r="D44" s="444">
        <f>SUM(D41:D43)</f>
      </c>
      <c r="E44" s="444">
        <f>SUM(E41:E43)</f>
      </c>
      <c r="F44" s="445">
        <f>SUM(F41:F43)</f>
      </c>
      <c r="G44" s="444">
        <f>SUM(G41:G43)</f>
      </c>
      <c r="H44" s="444">
        <f>SUM(H41:H43)</f>
      </c>
      <c r="I44" s="446">
        <f t="shared" si="1"/>
      </c>
      <c r="J44" s="446">
        <f t="shared" si="5"/>
      </c>
      <c r="K44" s="446">
        <f t="shared" si="3"/>
      </c>
      <c r="L44" s="443">
        <f>SUM(L41:L43)</f>
      </c>
      <c r="M44" s="443">
        <f>SUM(M41:M43)</f>
      </c>
      <c r="N44" s="443"/>
      <c r="O44" s="444">
        <f>SUM(O41:O43)</f>
      </c>
      <c r="P44" s="443"/>
      <c r="Q44" s="443"/>
      <c r="R44" s="443"/>
      <c r="S44" s="443"/>
    </row>
    <row customHeight="true" ht="16.071428571428573" r="45">
      <c r="A45" s="437" t="s">
        <v>1066</v>
      </c>
      <c r="B45" s="438" t="s">
        <v>1031</v>
      </c>
      <c r="C45" s="438" t="s">
        <v>1067</v>
      </c>
      <c r="D45" s="438">
        <v>5</v>
      </c>
      <c r="E45" s="438">
        <v>20</v>
      </c>
      <c r="F45" s="438">
        <v>14</v>
      </c>
      <c r="G45" s="438">
        <v>14261.2</v>
      </c>
      <c r="H45" s="438">
        <v>13014.3</v>
      </c>
      <c r="I45" s="439">
        <f t="shared" si="1"/>
      </c>
      <c r="J45" s="439">
        <f t="shared" si="5"/>
      </c>
      <c r="K45" s="439">
        <f t="shared" si="3"/>
      </c>
      <c r="L45" s="438">
        <v>7</v>
      </c>
      <c r="M45" s="438">
        <v>5504</v>
      </c>
      <c r="N45" s="438" t="s">
        <v>1038</v>
      </c>
      <c r="O45" s="438">
        <v>8</v>
      </c>
      <c r="P45" s="440"/>
      <c r="Q45" s="440"/>
      <c r="R45" s="440"/>
      <c r="S45" s="440"/>
    </row>
    <row r="46">
      <c r="A46" s="437" t="s">
        <v>1066</v>
      </c>
      <c r="B46" s="438" t="s">
        <v>1040</v>
      </c>
      <c r="C46" s="438" t="s">
        <v>1068</v>
      </c>
      <c r="D46" s="438">
        <v>4</v>
      </c>
      <c r="E46" s="438">
        <v>25</v>
      </c>
      <c r="F46" s="438">
        <v>16</v>
      </c>
      <c r="G46" s="438">
        <v>25547.4</v>
      </c>
      <c r="H46" s="438">
        <v>9315.73</v>
      </c>
      <c r="I46" s="439">
        <f t="shared" si="1"/>
      </c>
      <c r="J46" s="439">
        <f t="shared" si="5"/>
      </c>
      <c r="K46" s="439">
        <f t="shared" si="3"/>
      </c>
      <c r="L46" s="438">
        <v>8</v>
      </c>
      <c r="M46" s="438">
        <v>9062.400000000001</v>
      </c>
      <c r="N46" s="438"/>
      <c r="O46" s="438"/>
      <c r="P46" s="440"/>
      <c r="Q46" s="440"/>
      <c r="R46" s="440"/>
      <c r="S46" s="440"/>
    </row>
    <row r="47">
      <c r="A47" s="437" t="s">
        <v>1066</v>
      </c>
      <c r="B47" s="438" t="s">
        <v>1042</v>
      </c>
      <c r="C47" s="438" t="s">
        <v>1065</v>
      </c>
      <c r="D47" s="438">
        <v>3</v>
      </c>
      <c r="E47" s="438">
        <v>13</v>
      </c>
      <c r="F47" s="438">
        <v>9</v>
      </c>
      <c r="G47" s="438">
        <v>7634.639999999992</v>
      </c>
      <c r="H47" s="438">
        <v>8461.47</v>
      </c>
      <c r="I47" s="439">
        <f t="shared" si="1"/>
      </c>
      <c r="J47" s="439">
        <f t="shared" si="5"/>
      </c>
      <c r="K47" s="439">
        <f t="shared" si="3"/>
      </c>
      <c r="L47" s="448">
        <v>6</v>
      </c>
      <c r="M47" s="448">
        <v>4425.839999999999</v>
      </c>
      <c r="N47" s="438"/>
      <c r="O47" s="438"/>
      <c r="P47" s="440"/>
      <c r="Q47" s="440"/>
      <c r="R47" s="440"/>
      <c r="S47" s="440"/>
    </row>
    <row r="48">
      <c r="A48" s="437" t="s">
        <v>1066</v>
      </c>
      <c r="B48" s="447" t="s">
        <v>1034</v>
      </c>
      <c r="C48" s="438" t="s">
        <v>1037</v>
      </c>
      <c r="D48" s="438">
        <v>4</v>
      </c>
      <c r="E48" s="438">
        <v>30</v>
      </c>
      <c r="F48" s="438">
        <v>24</v>
      </c>
      <c r="G48" s="438">
        <v>21536.00000000001</v>
      </c>
      <c r="H48" s="438">
        <v>14946.720000000001</v>
      </c>
      <c r="I48" s="439">
        <f t="shared" si="1"/>
      </c>
      <c r="J48" s="439">
        <f t="shared" si="5"/>
      </c>
      <c r="K48" s="439">
        <f t="shared" si="3"/>
      </c>
      <c r="L48" s="448">
        <v>5</v>
      </c>
      <c r="M48" s="448">
        <v>3652.7999999999993</v>
      </c>
      <c r="N48" s="438" t="s">
        <v>1049</v>
      </c>
      <c r="O48" s="438">
        <v>8</v>
      </c>
      <c r="P48" s="440"/>
      <c r="Q48" s="440"/>
      <c r="R48" s="440"/>
      <c r="S48" s="440"/>
    </row>
    <row r="49">
      <c r="A49" s="442" t="s">
        <v>1066</v>
      </c>
      <c r="B49" s="443"/>
      <c r="C49" s="443"/>
      <c r="D49" s="444">
        <f>SUM(D45:D48)</f>
      </c>
      <c r="E49" s="444">
        <f>SUM(E45:E48)</f>
      </c>
      <c r="F49" s="444">
        <f>SUM(F45:F48)</f>
      </c>
      <c r="G49" s="444">
        <f>SUM(G45:G48)</f>
      </c>
      <c r="H49" s="444">
        <f>SUM(H45:H48)</f>
      </c>
      <c r="I49" s="446">
        <f t="shared" si="1"/>
      </c>
      <c r="J49" s="446">
        <f t="shared" si="5"/>
      </c>
      <c r="K49" s="446">
        <f t="shared" si="3"/>
      </c>
      <c r="L49" s="444">
        <f>SUM(L45:L48)</f>
      </c>
      <c r="M49" s="444">
        <f>SUM(M45:M48)</f>
      </c>
      <c r="N49" s="443"/>
      <c r="O49" s="444">
        <f>SUM(O45:O48)</f>
      </c>
      <c r="P49" s="443"/>
      <c r="Q49" s="443"/>
      <c r="R49" s="443"/>
      <c r="S49" s="443"/>
    </row>
    <row r="50">
      <c r="A50" s="437" t="s">
        <v>1069</v>
      </c>
      <c r="B50" s="438" t="s">
        <v>1031</v>
      </c>
      <c r="C50" s="438" t="s">
        <v>1067</v>
      </c>
      <c r="D50" s="438">
        <v>5</v>
      </c>
      <c r="E50" s="438">
        <v>9</v>
      </c>
      <c r="F50" s="438">
        <v>7</v>
      </c>
      <c r="G50" s="438">
        <v>5959</v>
      </c>
      <c r="H50" s="438">
        <v>10203.21</v>
      </c>
      <c r="I50" s="439">
        <f t="shared" si="1"/>
      </c>
      <c r="J50" s="439">
        <f t="shared" si="5"/>
      </c>
      <c r="K50" s="439">
        <f t="shared" si="3"/>
      </c>
      <c r="L50" s="438">
        <v>4</v>
      </c>
      <c r="M50" s="438">
        <v>2135.8</v>
      </c>
      <c r="N50" s="438" t="s">
        <v>1038</v>
      </c>
      <c r="O50" s="438">
        <v>8</v>
      </c>
      <c r="P50" s="440"/>
      <c r="Q50" s="440"/>
      <c r="R50" s="440"/>
      <c r="S50" s="440"/>
    </row>
    <row r="51">
      <c r="A51" s="437" t="s">
        <v>1069</v>
      </c>
      <c r="B51" s="438" t="s">
        <v>1040</v>
      </c>
      <c r="C51" s="438" t="s">
        <v>1068</v>
      </c>
      <c r="D51" s="438">
        <v>4</v>
      </c>
      <c r="E51" s="438">
        <v>18</v>
      </c>
      <c r="F51" s="438">
        <v>16</v>
      </c>
      <c r="G51" s="438">
        <v>15345.599999999999</v>
      </c>
      <c r="H51" s="438">
        <v>10045.42</v>
      </c>
      <c r="I51" s="439">
        <f t="shared" si="1"/>
      </c>
      <c r="J51" s="439">
        <f t="shared" si="5"/>
      </c>
      <c r="K51" s="439">
        <f t="shared" si="3"/>
      </c>
      <c r="L51" s="438">
        <v>3</v>
      </c>
      <c r="M51" s="438">
        <v>3567.4000000000005</v>
      </c>
      <c r="N51" s="438"/>
      <c r="O51" s="438"/>
      <c r="P51" s="440"/>
      <c r="Q51" s="440"/>
      <c r="R51" s="440"/>
      <c r="S51" s="440"/>
    </row>
    <row r="52">
      <c r="A52" s="437" t="s">
        <v>1069</v>
      </c>
      <c r="B52" s="438" t="s">
        <v>1042</v>
      </c>
      <c r="C52" s="438" t="s">
        <v>1065</v>
      </c>
      <c r="D52" s="438">
        <v>3</v>
      </c>
      <c r="E52" s="438">
        <v>16</v>
      </c>
      <c r="F52" s="438">
        <v>13</v>
      </c>
      <c r="G52" s="438">
        <v>9726.2</v>
      </c>
      <c r="H52" s="438">
        <v>9747.83</v>
      </c>
      <c r="I52" s="439">
        <f t="shared" si="1"/>
      </c>
      <c r="J52" s="439">
        <f t="shared" si="5"/>
      </c>
      <c r="K52" s="439">
        <f t="shared" si="3"/>
      </c>
      <c r="L52" s="448">
        <v>1</v>
      </c>
      <c r="M52" s="448">
        <v>506.39999999999964</v>
      </c>
      <c r="N52" s="438"/>
      <c r="O52" s="438"/>
      <c r="P52" s="440"/>
      <c r="Q52" s="440"/>
      <c r="R52" s="440"/>
      <c r="S52" s="440"/>
    </row>
    <row r="53">
      <c r="A53" s="437" t="s">
        <v>1069</v>
      </c>
      <c r="B53" s="447" t="s">
        <v>1034</v>
      </c>
      <c r="C53" s="438" t="s">
        <v>1037</v>
      </c>
      <c r="D53" s="438">
        <v>4</v>
      </c>
      <c r="E53" s="438">
        <v>7</v>
      </c>
      <c r="F53" s="438">
        <v>6</v>
      </c>
      <c r="G53" s="438">
        <v>2950.7999999999993</v>
      </c>
      <c r="H53" s="438">
        <v>8682.220000000001</v>
      </c>
      <c r="I53" s="439">
        <f t="shared" si="1"/>
      </c>
      <c r="J53" s="439">
        <f t="shared" si="5"/>
      </c>
      <c r="K53" s="439">
        <f t="shared" si="3"/>
      </c>
      <c r="L53" s="448">
        <v>0</v>
      </c>
      <c r="M53" s="448">
        <v>0</v>
      </c>
      <c r="N53" s="438" t="s">
        <v>1049</v>
      </c>
      <c r="O53" s="438">
        <v>8</v>
      </c>
      <c r="P53" s="440"/>
      <c r="Q53" s="440"/>
      <c r="R53" s="440"/>
      <c r="S53" s="440"/>
    </row>
    <row r="54">
      <c r="A54" s="442" t="s">
        <v>1069</v>
      </c>
      <c r="B54" s="443"/>
      <c r="C54" s="443"/>
      <c r="D54" s="444">
        <f>SUM(D50:D53)</f>
      </c>
      <c r="E54" s="444">
        <f>SUM(E50:E53)</f>
      </c>
      <c r="F54" s="444">
        <f>SUM(F50:F53)</f>
      </c>
      <c r="G54" s="444">
        <f>SUM(G50:G53)</f>
      </c>
      <c r="H54" s="444">
        <f>SUM(H50:H53)</f>
      </c>
      <c r="I54" s="446">
        <f t="shared" si="1"/>
      </c>
      <c r="J54" s="446">
        <f t="shared" si="5"/>
      </c>
      <c r="K54" s="446">
        <f t="shared" si="3"/>
      </c>
      <c r="L54" s="444">
        <f>SUM(L50:L53)</f>
      </c>
      <c r="M54" s="444">
        <f>SUM(M50:M53)</f>
      </c>
      <c r="N54" s="443"/>
      <c r="O54" s="444">
        <f>SUM(O50:O53)</f>
      </c>
      <c r="P54" s="443"/>
      <c r="Q54" s="443"/>
      <c r="R54" s="443"/>
      <c r="S54" s="443"/>
    </row>
    <row r="55">
      <c r="A55" s="437" t="s">
        <v>1070</v>
      </c>
      <c r="B55" s="438" t="s">
        <v>1040</v>
      </c>
      <c r="C55" s="438" t="s">
        <v>1071</v>
      </c>
      <c r="D55" s="438">
        <v>4</v>
      </c>
      <c r="E55" s="438">
        <v>13</v>
      </c>
      <c r="F55" s="438">
        <v>5</v>
      </c>
      <c r="G55" s="438">
        <v>11320.8</v>
      </c>
      <c r="H55" s="438">
        <v>6168.19</v>
      </c>
      <c r="I55" s="439">
        <f t="shared" si="1"/>
      </c>
      <c r="J55" s="439">
        <f t="shared" si="5"/>
      </c>
      <c r="K55" s="439">
        <f t="shared" si="3"/>
      </c>
      <c r="L55" s="438">
        <v>2</v>
      </c>
      <c r="M55" s="438">
        <v>2038.8000000000004</v>
      </c>
      <c r="N55" s="438" t="s">
        <v>1038</v>
      </c>
      <c r="O55" s="438">
        <v>8</v>
      </c>
      <c r="P55" s="440"/>
      <c r="Q55" s="440"/>
      <c r="R55" s="440"/>
      <c r="S55" s="440"/>
    </row>
    <row r="56">
      <c r="A56" s="437" t="s">
        <v>1070</v>
      </c>
      <c r="B56" s="449" t="s">
        <v>1031</v>
      </c>
      <c r="C56" s="438" t="s">
        <v>1064</v>
      </c>
      <c r="D56" s="438">
        <v>5</v>
      </c>
      <c r="E56" s="438">
        <v>14</v>
      </c>
      <c r="F56" s="438">
        <v>8</v>
      </c>
      <c r="G56" s="438">
        <v>9462</v>
      </c>
      <c r="H56" s="438">
        <v>8193.600000000002</v>
      </c>
      <c r="I56" s="439">
        <f t="shared" si="1"/>
      </c>
      <c r="J56" s="439">
        <f t="shared" si="5"/>
      </c>
      <c r="K56" s="439">
        <f t="shared" si="3"/>
      </c>
      <c r="L56" s="438">
        <v>2</v>
      </c>
      <c r="M56" s="438">
        <v>1850.3999999999999</v>
      </c>
      <c r="N56" s="438"/>
      <c r="O56" s="438"/>
      <c r="P56" s="440"/>
      <c r="Q56" s="440"/>
      <c r="R56" s="440"/>
      <c r="S56" s="440"/>
    </row>
    <row r="57">
      <c r="A57" s="437" t="s">
        <v>1070</v>
      </c>
      <c r="B57" s="441" t="s">
        <v>1034</v>
      </c>
      <c r="C57" s="438" t="s">
        <v>1072</v>
      </c>
      <c r="D57" s="438">
        <v>4</v>
      </c>
      <c r="E57" s="438">
        <v>13</v>
      </c>
      <c r="F57" s="438">
        <v>7</v>
      </c>
      <c r="G57" s="438">
        <v>6836.399999999998</v>
      </c>
      <c r="H57" s="438">
        <v>7439.24</v>
      </c>
      <c r="I57" s="439">
        <f t="shared" si="1"/>
      </c>
      <c r="J57" s="439">
        <f t="shared" si="5"/>
      </c>
      <c r="K57" s="439">
        <f t="shared" si="3"/>
      </c>
      <c r="L57" s="448">
        <v>3</v>
      </c>
      <c r="M57" s="448">
        <v>1723.1999999999994</v>
      </c>
      <c r="N57" s="438"/>
      <c r="O57" s="438"/>
      <c r="P57" s="440"/>
      <c r="Q57" s="440"/>
      <c r="R57" s="440"/>
      <c r="S57" s="440"/>
    </row>
    <row r="58">
      <c r="A58" s="437" t="s">
        <v>1070</v>
      </c>
      <c r="B58" s="441" t="s">
        <v>1036</v>
      </c>
      <c r="C58" s="438" t="s">
        <v>1073</v>
      </c>
      <c r="D58" s="438">
        <v>4</v>
      </c>
      <c r="E58" s="438">
        <v>16</v>
      </c>
      <c r="F58" s="438">
        <v>17</v>
      </c>
      <c r="G58" s="438">
        <v>10092.399999999998</v>
      </c>
      <c r="H58" s="438">
        <v>11257.179999999998</v>
      </c>
      <c r="I58" s="439">
        <f t="shared" si="1"/>
      </c>
      <c r="J58" s="439">
        <f t="shared" si="5"/>
      </c>
      <c r="K58" s="439">
        <f t="shared" si="3"/>
      </c>
      <c r="L58" s="448">
        <v>2</v>
      </c>
      <c r="M58" s="448">
        <v>902.4000000000005</v>
      </c>
      <c r="N58" s="438" t="s">
        <v>1049</v>
      </c>
      <c r="O58" s="438">
        <v>9</v>
      </c>
      <c r="P58" s="440"/>
      <c r="Q58" s="440"/>
      <c r="R58" s="440"/>
      <c r="S58" s="440"/>
    </row>
    <row r="59">
      <c r="A59" s="442" t="s">
        <v>1070</v>
      </c>
      <c r="B59" s="443"/>
      <c r="C59" s="443"/>
      <c r="D59" s="444">
        <f>SUM(D55:D58)</f>
      </c>
      <c r="E59" s="444">
        <f>SUM(E55:E58)</f>
      </c>
      <c r="F59" s="444">
        <f>SUM(F55:F58)</f>
      </c>
      <c r="G59" s="444">
        <f>SUM(G55:G58)</f>
      </c>
      <c r="H59" s="444">
        <f>SUM(H55:H58)</f>
      </c>
      <c r="I59" s="446">
        <f t="shared" si="1"/>
      </c>
      <c r="J59" s="446">
        <f t="shared" si="5"/>
      </c>
      <c r="K59" s="446">
        <f t="shared" si="3"/>
      </c>
      <c r="L59" s="444">
        <f>SUM(L55:L58)</f>
      </c>
      <c r="M59" s="444">
        <f>SUM(M55:M58)</f>
      </c>
      <c r="N59" s="443"/>
      <c r="O59" s="444">
        <f>SUM(O55:O58)</f>
      </c>
      <c r="P59" s="443"/>
      <c r="Q59" s="443"/>
      <c r="R59" s="443"/>
      <c r="S59" s="443"/>
    </row>
    <row r="60">
      <c r="A60" s="437" t="s">
        <v>1074</v>
      </c>
      <c r="B60" s="438" t="s">
        <v>1040</v>
      </c>
      <c r="C60" s="438" t="s">
        <v>1071</v>
      </c>
      <c r="D60" s="438">
        <v>4</v>
      </c>
      <c r="E60" s="438">
        <v>12</v>
      </c>
      <c r="F60" s="438">
        <v>11</v>
      </c>
      <c r="G60" s="438">
        <v>6280.6</v>
      </c>
      <c r="H60" s="438">
        <v>9171.689999999999</v>
      </c>
      <c r="I60" s="439">
        <f t="shared" si="1"/>
      </c>
      <c r="J60" s="439">
        <f t="shared" si="5"/>
      </c>
      <c r="K60" s="439">
        <f t="shared" si="3"/>
      </c>
      <c r="L60" s="438">
        <v>4</v>
      </c>
      <c r="M60" s="438">
        <v>1575.4</v>
      </c>
      <c r="N60" s="438" t="s">
        <v>1052</v>
      </c>
      <c r="O60" s="438">
        <v>3.2</v>
      </c>
      <c r="P60" s="440"/>
      <c r="Q60" s="440"/>
      <c r="R60" s="440"/>
      <c r="S60" s="440"/>
    </row>
    <row r="61">
      <c r="A61" s="437" t="s">
        <v>1074</v>
      </c>
      <c r="B61" s="449" t="s">
        <v>1031</v>
      </c>
      <c r="C61" s="438" t="s">
        <v>1064</v>
      </c>
      <c r="D61" s="438">
        <v>5</v>
      </c>
      <c r="E61" s="438">
        <v>17</v>
      </c>
      <c r="F61" s="438">
        <v>11</v>
      </c>
      <c r="G61" s="438">
        <v>20745.2</v>
      </c>
      <c r="H61" s="438">
        <v>11413.37</v>
      </c>
      <c r="I61" s="439">
        <f t="shared" si="1"/>
      </c>
      <c r="J61" s="439">
        <f t="shared" si="5"/>
      </c>
      <c r="K61" s="439">
        <f t="shared" si="3"/>
      </c>
      <c r="L61" s="438">
        <v>5</v>
      </c>
      <c r="M61" s="438">
        <v>3478.7999999999997</v>
      </c>
      <c r="N61" s="438"/>
      <c r="O61" s="438"/>
      <c r="P61" s="440"/>
      <c r="Q61" s="440"/>
      <c r="R61" s="440"/>
      <c r="S61" s="440"/>
    </row>
    <row r="62">
      <c r="A62" s="437" t="s">
        <v>1074</v>
      </c>
      <c r="B62" s="441" t="s">
        <v>1042</v>
      </c>
      <c r="C62" s="438" t="s">
        <v>1072</v>
      </c>
      <c r="D62" s="438">
        <v>4</v>
      </c>
      <c r="E62" s="438">
        <v>23</v>
      </c>
      <c r="F62" s="438">
        <v>18</v>
      </c>
      <c r="G62" s="438">
        <v>11952.399999999998</v>
      </c>
      <c r="H62" s="438">
        <v>10754.03</v>
      </c>
      <c r="I62" s="439">
        <f t="shared" si="1"/>
      </c>
      <c r="J62" s="439">
        <f t="shared" si="5"/>
      </c>
      <c r="K62" s="439">
        <f t="shared" si="3"/>
      </c>
      <c r="L62" s="448">
        <v>6</v>
      </c>
      <c r="M62" s="448">
        <v>2510</v>
      </c>
      <c r="N62" s="438"/>
      <c r="O62" s="438"/>
      <c r="P62" s="440"/>
      <c r="Q62" s="440"/>
      <c r="R62" s="440"/>
      <c r="S62" s="440"/>
    </row>
    <row r="63">
      <c r="A63" s="437" t="s">
        <v>1074</v>
      </c>
      <c r="B63" s="441" t="s">
        <v>1036</v>
      </c>
      <c r="C63" s="438" t="s">
        <v>1073</v>
      </c>
      <c r="D63" s="438">
        <v>4</v>
      </c>
      <c r="E63" s="438">
        <v>21</v>
      </c>
      <c r="F63" s="438">
        <v>14</v>
      </c>
      <c r="G63" s="438">
        <v>10859.400000000001</v>
      </c>
      <c r="H63" s="438">
        <v>10804.499999999998</v>
      </c>
      <c r="I63" s="439">
        <f t="shared" si="1"/>
      </c>
      <c r="J63" s="439">
        <f t="shared" si="5"/>
      </c>
      <c r="K63" s="439">
        <f t="shared" si="3"/>
      </c>
      <c r="L63" s="448">
        <v>1</v>
      </c>
      <c r="M63" s="448">
        <v>808.8000000000011</v>
      </c>
      <c r="N63" s="438" t="s">
        <v>1049</v>
      </c>
      <c r="O63" s="438">
        <v>9</v>
      </c>
      <c r="P63" s="440"/>
      <c r="Q63" s="440"/>
      <c r="R63" s="440"/>
      <c r="S63" s="440"/>
    </row>
    <row r="64">
      <c r="A64" s="442" t="s">
        <v>1074</v>
      </c>
      <c r="B64" s="443"/>
      <c r="C64" s="443"/>
      <c r="D64" s="444">
        <f>SUM(D60:D63)</f>
      </c>
      <c r="E64" s="444">
        <f>SUM(E60:E63)</f>
      </c>
      <c r="F64" s="444">
        <f>SUM(F60:F63)</f>
      </c>
      <c r="G64" s="444">
        <f>SUM(G60:G63)</f>
      </c>
      <c r="H64" s="444">
        <f>SUM(H60:H63)</f>
      </c>
      <c r="I64" s="446">
        <f t="shared" si="1"/>
      </c>
      <c r="J64" s="446">
        <f t="shared" si="5"/>
      </c>
      <c r="K64" s="446">
        <f t="shared" si="3"/>
      </c>
      <c r="L64" s="444">
        <f>SUM(L60:L63)</f>
      </c>
      <c r="M64" s="444">
        <f>SUM(M60:M63)</f>
      </c>
      <c r="N64" s="443"/>
      <c r="O64" s="444">
        <f>SUM(O60:O63)</f>
      </c>
      <c r="P64" s="443"/>
      <c r="Q64" s="443"/>
      <c r="R64" s="443"/>
      <c r="S64" s="443"/>
    </row>
    <row r="65">
      <c r="A65" s="437" t="s">
        <v>1075</v>
      </c>
      <c r="B65" s="438" t="s">
        <v>1031</v>
      </c>
      <c r="C65" s="438" t="s">
        <v>1067</v>
      </c>
      <c r="D65" s="438">
        <v>5</v>
      </c>
      <c r="E65" s="438">
        <v>19</v>
      </c>
      <c r="F65" s="438">
        <v>13</v>
      </c>
      <c r="G65" s="438">
        <v>20414.399999999998</v>
      </c>
      <c r="H65" s="438">
        <v>13539.950000000003</v>
      </c>
      <c r="I65" s="439">
        <f t="shared" si="1"/>
      </c>
      <c r="J65" s="439">
        <f t="shared" si="5"/>
      </c>
      <c r="K65" s="439">
        <f t="shared" si="3"/>
      </c>
      <c r="L65" s="438">
        <v>3</v>
      </c>
      <c r="M65" s="438">
        <v>2528.4</v>
      </c>
      <c r="N65" s="438" t="s">
        <v>1038</v>
      </c>
      <c r="O65" s="438">
        <v>8</v>
      </c>
      <c r="P65" s="440"/>
      <c r="Q65" s="440"/>
      <c r="R65" s="440"/>
      <c r="S65" s="440"/>
    </row>
    <row r="66">
      <c r="A66" s="437" t="s">
        <v>1075</v>
      </c>
      <c r="B66" s="450" t="s">
        <v>1050</v>
      </c>
      <c r="C66" s="438" t="s">
        <v>1076</v>
      </c>
      <c r="D66" s="438">
        <v>3</v>
      </c>
      <c r="E66" s="438">
        <v>9</v>
      </c>
      <c r="F66" s="438">
        <v>6</v>
      </c>
      <c r="G66" s="438">
        <v>3652.6000000000013</v>
      </c>
      <c r="H66" s="438">
        <v>6731.7699999999995</v>
      </c>
      <c r="I66" s="439">
        <f t="shared" si="1"/>
      </c>
      <c r="J66" s="439">
        <f t="shared" si="5"/>
      </c>
      <c r="K66" s="439">
        <f t="shared" si="3"/>
      </c>
      <c r="L66" s="438">
        <v>1</v>
      </c>
      <c r="M66" s="438">
        <v>298.8</v>
      </c>
      <c r="N66" s="438"/>
      <c r="O66" s="438"/>
      <c r="P66" s="440"/>
      <c r="Q66" s="440"/>
      <c r="R66" s="440"/>
      <c r="S66" s="440"/>
    </row>
    <row r="67">
      <c r="A67" s="437" t="s">
        <v>1075</v>
      </c>
      <c r="B67" s="441" t="s">
        <v>1034</v>
      </c>
      <c r="C67" s="438" t="s">
        <v>1035</v>
      </c>
      <c r="D67" s="438">
        <v>4</v>
      </c>
      <c r="E67" s="438">
        <v>22</v>
      </c>
      <c r="F67" s="438">
        <v>18</v>
      </c>
      <c r="G67" s="438">
        <v>11429.400000000001</v>
      </c>
      <c r="H67" s="438">
        <v>10593.56</v>
      </c>
      <c r="I67" s="439">
        <f t="shared" si="1"/>
      </c>
      <c r="J67" s="439">
        <f t="shared" si="5"/>
      </c>
      <c r="K67" s="439">
        <f t="shared" si="3"/>
      </c>
      <c r="L67" s="448">
        <v>7</v>
      </c>
      <c r="M67" s="448">
        <v>3987.4</v>
      </c>
      <c r="N67" s="438"/>
      <c r="O67" s="438"/>
      <c r="P67" s="440"/>
      <c r="Q67" s="440"/>
      <c r="R67" s="440"/>
      <c r="S67" s="440"/>
    </row>
    <row r="68">
      <c r="A68" s="437" t="s">
        <v>1075</v>
      </c>
      <c r="B68" s="441" t="s">
        <v>1036</v>
      </c>
      <c r="C68" s="438" t="s">
        <v>1037</v>
      </c>
      <c r="D68" s="438">
        <v>4</v>
      </c>
      <c r="E68" s="438">
        <v>18</v>
      </c>
      <c r="F68" s="438">
        <v>15</v>
      </c>
      <c r="G68" s="438">
        <v>9740.400000000001</v>
      </c>
      <c r="H68" s="438">
        <v>12183.74</v>
      </c>
      <c r="I68" s="439">
        <f t="shared" si="1"/>
      </c>
      <c r="J68" s="439">
        <f t="shared" si="5"/>
      </c>
      <c r="K68" s="439">
        <f t="shared" si="3"/>
      </c>
      <c r="L68" s="448">
        <v>4</v>
      </c>
      <c r="M68" s="448">
        <v>2667.6000000000013</v>
      </c>
      <c r="N68" s="438" t="s">
        <v>1049</v>
      </c>
      <c r="O68" s="438">
        <v>8</v>
      </c>
      <c r="P68" s="440"/>
      <c r="Q68" s="440"/>
      <c r="R68" s="440"/>
      <c r="S68" s="440"/>
    </row>
    <row r="69">
      <c r="A69" s="442" t="s">
        <v>1075</v>
      </c>
      <c r="B69" s="443"/>
      <c r="C69" s="443"/>
      <c r="D69" s="444">
        <f>SUM(D65:D68)</f>
      </c>
      <c r="E69" s="444">
        <f>SUM(E65:E68)</f>
      </c>
      <c r="F69" s="444">
        <f>SUM(F65:F68)</f>
      </c>
      <c r="G69" s="444">
        <f>SUM(G65:G68)</f>
      </c>
      <c r="H69" s="444">
        <f>SUM(H65:H68)</f>
      </c>
      <c r="I69" s="446">
        <f t="shared" si="1"/>
      </c>
      <c r="J69" s="446">
        <f t="shared" si="5"/>
      </c>
      <c r="K69" s="446">
        <f t="shared" si="3"/>
      </c>
      <c r="L69" s="444">
        <f>SUM(L65:L68)</f>
      </c>
      <c r="M69" s="444">
        <f>SUM(M65:M68)</f>
      </c>
      <c r="N69" s="443"/>
      <c r="O69" s="444">
        <f>SUM(O65:O68)</f>
      </c>
      <c r="P69" s="443"/>
      <c r="Q69" s="443"/>
      <c r="R69" s="443"/>
      <c r="S69" s="443"/>
    </row>
    <row r="70">
      <c r="A70" s="437" t="s">
        <v>1077</v>
      </c>
      <c r="B70" s="438" t="s">
        <v>1031</v>
      </c>
      <c r="C70" s="438" t="s">
        <v>1067</v>
      </c>
      <c r="D70" s="438">
        <v>5</v>
      </c>
      <c r="E70" s="438">
        <v>21</v>
      </c>
      <c r="F70" s="438">
        <v>15</v>
      </c>
      <c r="G70" s="438">
        <v>20299</v>
      </c>
      <c r="H70" s="438">
        <v>10918.37</v>
      </c>
      <c r="I70" s="439">
        <f t="shared" si="1"/>
      </c>
      <c r="J70" s="439">
        <f t="shared" si="5"/>
      </c>
      <c r="K70" s="439">
        <f t="shared" si="3"/>
      </c>
      <c r="L70" s="438">
        <v>7</v>
      </c>
      <c r="M70" s="438">
        <v>2828.4</v>
      </c>
      <c r="N70" s="438" t="s">
        <v>1038</v>
      </c>
      <c r="O70" s="438">
        <v>8</v>
      </c>
      <c r="P70" s="440"/>
      <c r="Q70" s="440"/>
      <c r="R70" s="440"/>
      <c r="S70" s="440"/>
    </row>
    <row r="71">
      <c r="A71" s="437" t="s">
        <v>1077</v>
      </c>
      <c r="B71" s="450" t="s">
        <v>1040</v>
      </c>
      <c r="C71" s="438" t="s">
        <v>1068</v>
      </c>
      <c r="D71" s="438">
        <v>4</v>
      </c>
      <c r="E71" s="438">
        <v>16</v>
      </c>
      <c r="F71" s="438">
        <v>9</v>
      </c>
      <c r="G71" s="438">
        <v>9441.8</v>
      </c>
      <c r="H71" s="438">
        <v>7280.08</v>
      </c>
      <c r="I71" s="439">
        <f t="shared" si="1"/>
      </c>
      <c r="J71" s="439">
        <f t="shared" si="5"/>
      </c>
      <c r="K71" s="439">
        <f t="shared" si="3"/>
      </c>
      <c r="L71" s="438">
        <v>4</v>
      </c>
      <c r="M71" s="438">
        <v>2653.200000000001</v>
      </c>
      <c r="N71" s="438"/>
      <c r="O71" s="438"/>
      <c r="P71" s="440"/>
      <c r="Q71" s="440"/>
      <c r="R71" s="440"/>
      <c r="S71" s="440"/>
    </row>
    <row r="72">
      <c r="A72" s="437" t="s">
        <v>1077</v>
      </c>
      <c r="B72" s="441" t="s">
        <v>1042</v>
      </c>
      <c r="C72" s="438" t="s">
        <v>1072</v>
      </c>
      <c r="D72" s="438">
        <v>4</v>
      </c>
      <c r="E72" s="438">
        <v>14</v>
      </c>
      <c r="F72" s="438">
        <v>11</v>
      </c>
      <c r="G72" s="438">
        <v>7120.799999999999</v>
      </c>
      <c r="H72" s="438">
        <v>7393.570000000001</v>
      </c>
      <c r="I72" s="439">
        <f t="shared" si="1"/>
      </c>
      <c r="J72" s="439">
        <f t="shared" si="5"/>
      </c>
      <c r="K72" s="439">
        <f t="shared" si="3"/>
      </c>
      <c r="L72" s="448">
        <v>6</v>
      </c>
      <c r="M72" s="448">
        <v>3117.5999999999985</v>
      </c>
      <c r="N72" s="438"/>
      <c r="O72" s="438"/>
      <c r="P72" s="440"/>
      <c r="Q72" s="440"/>
      <c r="R72" s="440"/>
      <c r="S72" s="440"/>
    </row>
    <row r="73">
      <c r="A73" s="437" t="s">
        <v>1077</v>
      </c>
      <c r="B73" s="441" t="s">
        <v>1034</v>
      </c>
      <c r="C73" s="438" t="s">
        <v>1073</v>
      </c>
      <c r="D73" s="438">
        <v>4</v>
      </c>
      <c r="E73" s="438">
        <v>10</v>
      </c>
      <c r="F73" s="438">
        <v>6</v>
      </c>
      <c r="G73" s="438">
        <v>5559.800000000003</v>
      </c>
      <c r="H73" s="438">
        <v>6884.689999999999</v>
      </c>
      <c r="I73" s="439">
        <f t="shared" si="1"/>
      </c>
      <c r="J73" s="439">
        <f t="shared" si="5"/>
      </c>
      <c r="K73" s="439">
        <f t="shared" si="3"/>
      </c>
      <c r="L73" s="448">
        <v>2</v>
      </c>
      <c r="M73" s="448">
        <v>822</v>
      </c>
      <c r="N73" s="438" t="s">
        <v>1049</v>
      </c>
      <c r="O73" s="438">
        <v>9</v>
      </c>
      <c r="P73" s="440"/>
      <c r="Q73" s="440"/>
      <c r="R73" s="440"/>
      <c r="S73" s="440"/>
    </row>
    <row r="74">
      <c r="A74" s="442" t="s">
        <v>1077</v>
      </c>
      <c r="B74" s="443"/>
      <c r="C74" s="443"/>
      <c r="D74" s="444">
        <f>SUM(D70:D73)</f>
      </c>
      <c r="E74" s="444">
        <f>SUM(E70:E73)</f>
      </c>
      <c r="F74" s="444">
        <f>SUM(F70:F73)</f>
      </c>
      <c r="G74" s="444">
        <f>SUM(G70:G73)</f>
      </c>
      <c r="H74" s="444">
        <f>SUM(H70:H73)</f>
      </c>
      <c r="I74" s="446">
        <f t="shared" si="1"/>
      </c>
      <c r="J74" s="446">
        <f t="shared" si="5"/>
      </c>
      <c r="K74" s="446">
        <f t="shared" si="3"/>
      </c>
      <c r="L74" s="444">
        <f>SUM(L70:L73)</f>
      </c>
      <c r="M74" s="444">
        <f>SUM(M70:M73)</f>
      </c>
      <c r="N74" s="443"/>
      <c r="O74" s="444">
        <f>SUM(O70:O73)</f>
      </c>
      <c r="P74" s="443"/>
      <c r="Q74" s="443"/>
      <c r="R74" s="443"/>
      <c r="S74" s="443"/>
    </row>
    <row r="75">
      <c r="A75" s="437" t="s">
        <v>1078</v>
      </c>
      <c r="B75" s="438" t="s">
        <v>1031</v>
      </c>
      <c r="C75" s="438" t="s">
        <v>1067</v>
      </c>
      <c r="D75" s="438">
        <v>5</v>
      </c>
      <c r="E75" s="438">
        <v>17</v>
      </c>
      <c r="F75" s="438">
        <v>13</v>
      </c>
      <c r="G75" s="438">
        <v>11120.4</v>
      </c>
      <c r="H75" s="438">
        <v>7651.46</v>
      </c>
      <c r="I75" s="439">
        <f t="shared" si="1"/>
      </c>
      <c r="J75" s="439">
        <f t="shared" si="5"/>
      </c>
      <c r="K75" s="439">
        <f t="shared" si="3"/>
      </c>
      <c r="L75" s="438">
        <v>5</v>
      </c>
      <c r="M75" s="438">
        <v>5692.8</v>
      </c>
      <c r="N75" s="438" t="s">
        <v>1038</v>
      </c>
      <c r="O75" s="438">
        <v>8</v>
      </c>
      <c r="P75" s="440"/>
      <c r="Q75" s="440"/>
      <c r="R75" s="440"/>
      <c r="S75" s="440"/>
    </row>
    <row r="76">
      <c r="A76" s="437" t="s">
        <v>1078</v>
      </c>
      <c r="B76" s="441" t="s">
        <v>1034</v>
      </c>
      <c r="C76" s="438" t="s">
        <v>1068</v>
      </c>
      <c r="D76" s="438">
        <v>4</v>
      </c>
      <c r="E76" s="438">
        <v>9</v>
      </c>
      <c r="F76" s="438">
        <v>6</v>
      </c>
      <c r="G76" s="438">
        <v>7272.000000000003</v>
      </c>
      <c r="H76" s="438">
        <v>5020.500000000001</v>
      </c>
      <c r="I76" s="439">
        <f t="shared" si="1"/>
      </c>
      <c r="J76" s="439">
        <f t="shared" si="5"/>
      </c>
      <c r="K76" s="439">
        <f t="shared" si="3"/>
      </c>
      <c r="L76" s="438">
        <v>2</v>
      </c>
      <c r="M76" s="438">
        <v>1369.2000000000007</v>
      </c>
      <c r="N76" s="438"/>
      <c r="O76" s="438"/>
      <c r="P76" s="440"/>
      <c r="Q76" s="440"/>
      <c r="R76" s="440"/>
      <c r="S76" s="440"/>
    </row>
    <row r="77">
      <c r="A77" s="437" t="s">
        <v>1078</v>
      </c>
      <c r="B77" s="441" t="s">
        <v>1042</v>
      </c>
      <c r="C77" s="438" t="s">
        <v>1072</v>
      </c>
      <c r="D77" s="438">
        <v>4</v>
      </c>
      <c r="E77" s="438">
        <v>10</v>
      </c>
      <c r="F77" s="438">
        <v>16</v>
      </c>
      <c r="G77" s="438">
        <v>7526.5999999999985</v>
      </c>
      <c r="H77" s="438">
        <v>6316.7</v>
      </c>
      <c r="I77" s="439">
        <f t="shared" si="1"/>
      </c>
      <c r="J77" s="439">
        <f t="shared" si="5"/>
      </c>
      <c r="K77" s="439">
        <f t="shared" si="3"/>
      </c>
      <c r="L77" s="448">
        <v>0</v>
      </c>
      <c r="M77" s="448">
        <v>0</v>
      </c>
      <c r="N77" s="438"/>
      <c r="O77" s="438"/>
      <c r="P77" s="440"/>
      <c r="Q77" s="440"/>
      <c r="R77" s="440"/>
      <c r="S77" s="440"/>
    </row>
    <row r="78">
      <c r="A78" s="437" t="s">
        <v>1078</v>
      </c>
      <c r="B78" s="441" t="s">
        <v>1036</v>
      </c>
      <c r="C78" s="438" t="s">
        <v>1073</v>
      </c>
      <c r="D78" s="438">
        <v>4</v>
      </c>
      <c r="E78" s="438">
        <v>14</v>
      </c>
      <c r="F78" s="438">
        <v>12</v>
      </c>
      <c r="G78" s="438">
        <v>9669</v>
      </c>
      <c r="H78" s="438">
        <v>8592.8</v>
      </c>
      <c r="I78" s="439">
        <f t="shared" si="1"/>
      </c>
      <c r="J78" s="439">
        <f t="shared" si="5"/>
      </c>
      <c r="K78" s="439">
        <f t="shared" si="3"/>
      </c>
      <c r="L78" s="448">
        <v>4</v>
      </c>
      <c r="M78" s="448">
        <v>3729</v>
      </c>
      <c r="N78" s="438" t="s">
        <v>1049</v>
      </c>
      <c r="O78" s="438">
        <v>9</v>
      </c>
      <c r="P78" s="440"/>
      <c r="Q78" s="440"/>
      <c r="R78" s="440"/>
      <c r="S78" s="440"/>
    </row>
    <row r="79">
      <c r="A79" s="442" t="s">
        <v>1078</v>
      </c>
      <c r="B79" s="443"/>
      <c r="C79" s="443"/>
      <c r="D79" s="444">
        <f>SUM(D75:D78)</f>
      </c>
      <c r="E79" s="444">
        <f>SUM(E75:E78)</f>
      </c>
      <c r="F79" s="444">
        <f>SUM(F75:F78)</f>
      </c>
      <c r="G79" s="444">
        <f>SUM(G75:G78)</f>
      </c>
      <c r="H79" s="444">
        <f>SUM(H75:H78)</f>
      </c>
      <c r="I79" s="446">
        <f t="shared" si="1"/>
      </c>
      <c r="J79" s="446">
        <f t="shared" si="5"/>
      </c>
      <c r="K79" s="446">
        <f t="shared" si="3"/>
      </c>
      <c r="L79" s="444">
        <f>SUM(L75:L78)</f>
      </c>
      <c r="M79" s="444">
        <f>SUM(M75:M78)</f>
      </c>
      <c r="N79" s="443"/>
      <c r="O79" s="444">
        <f>SUM(O75:O78)</f>
      </c>
      <c r="P79" s="443"/>
      <c r="Q79" s="443"/>
      <c r="R79" s="443"/>
      <c r="S79" s="443"/>
    </row>
    <row r="80">
      <c r="A80" s="437" t="s">
        <v>1079</v>
      </c>
      <c r="B80" s="438" t="s">
        <v>1040</v>
      </c>
      <c r="C80" s="438" t="s">
        <v>1071</v>
      </c>
      <c r="D80" s="438">
        <v>4</v>
      </c>
      <c r="E80" s="438">
        <v>33</v>
      </c>
      <c r="F80" s="438">
        <v>24</v>
      </c>
      <c r="G80" s="438">
        <v>21727.1</v>
      </c>
      <c r="H80" s="438">
        <v>13981.16</v>
      </c>
      <c r="I80" s="439">
        <f t="shared" si="1"/>
      </c>
      <c r="J80" s="439">
        <f t="shared" si="5"/>
      </c>
      <c r="K80" s="439">
        <f t="shared" si="3"/>
      </c>
      <c r="L80" s="438">
        <v>6</v>
      </c>
      <c r="M80" s="438">
        <v>2846.4</v>
      </c>
      <c r="N80" s="438" t="s">
        <v>1038</v>
      </c>
      <c r="O80" s="438">
        <v>8</v>
      </c>
      <c r="P80" s="440"/>
      <c r="Q80" s="440"/>
      <c r="R80" s="440"/>
      <c r="S80" s="440"/>
    </row>
    <row r="81">
      <c r="A81" s="437" t="s">
        <v>1079</v>
      </c>
      <c r="B81" s="441" t="s">
        <v>1042</v>
      </c>
      <c r="C81" s="438" t="s">
        <v>1044</v>
      </c>
      <c r="D81" s="438">
        <v>4</v>
      </c>
      <c r="E81" s="438">
        <v>27</v>
      </c>
      <c r="F81" s="438">
        <v>17</v>
      </c>
      <c r="G81" s="438">
        <v>15917.8</v>
      </c>
      <c r="H81" s="438">
        <v>13210.22</v>
      </c>
      <c r="I81" s="439">
        <f t="shared" si="1"/>
      </c>
      <c r="J81" s="439">
        <f t="shared" si="5"/>
      </c>
      <c r="K81" s="439">
        <f t="shared" si="3"/>
      </c>
      <c r="L81" s="438">
        <v>8</v>
      </c>
      <c r="M81" s="438">
        <v>7465.2</v>
      </c>
      <c r="N81" s="438"/>
      <c r="O81" s="438"/>
      <c r="P81" s="440"/>
      <c r="Q81" s="440"/>
      <c r="R81" s="440"/>
      <c r="S81" s="440"/>
    </row>
    <row r="82">
      <c r="A82" s="437" t="s">
        <v>1079</v>
      </c>
      <c r="B82" s="438" t="s">
        <v>1031</v>
      </c>
      <c r="C82" s="438" t="s">
        <v>1080</v>
      </c>
      <c r="D82" s="438">
        <v>5</v>
      </c>
      <c r="E82" s="438">
        <v>14</v>
      </c>
      <c r="F82" s="438">
        <v>8</v>
      </c>
      <c r="G82" s="438">
        <v>12693.000000000007</v>
      </c>
      <c r="H82" s="438">
        <v>11486.740000000002</v>
      </c>
      <c r="I82" s="439">
        <f t="shared" si="1"/>
      </c>
      <c r="J82" s="439">
        <f t="shared" si="5"/>
      </c>
      <c r="K82" s="439">
        <f t="shared" si="3"/>
      </c>
      <c r="L82" s="448">
        <v>1</v>
      </c>
      <c r="M82" s="448">
        <v>363.60000000000036</v>
      </c>
      <c r="N82" s="438"/>
      <c r="O82" s="438"/>
      <c r="P82" s="440"/>
      <c r="Q82" s="440"/>
      <c r="R82" s="440"/>
      <c r="S82" s="440"/>
    </row>
    <row r="83">
      <c r="A83" s="437" t="s">
        <v>1079</v>
      </c>
      <c r="B83" s="441" t="s">
        <v>1036</v>
      </c>
      <c r="C83" s="438" t="s">
        <v>1073</v>
      </c>
      <c r="D83" s="438">
        <v>4</v>
      </c>
      <c r="E83" s="438">
        <v>16</v>
      </c>
      <c r="F83" s="438">
        <v>9</v>
      </c>
      <c r="G83" s="438">
        <v>11907.799999999988</v>
      </c>
      <c r="H83" s="438">
        <v>8110.14</v>
      </c>
      <c r="I83" s="439">
        <f t="shared" si="1"/>
      </c>
      <c r="J83" s="439">
        <f t="shared" si="5"/>
      </c>
      <c r="K83" s="439">
        <f t="shared" si="3"/>
      </c>
      <c r="L83" s="448">
        <v>4</v>
      </c>
      <c r="M83" s="448">
        <v>1716.2</v>
      </c>
      <c r="N83" s="438" t="s">
        <v>1049</v>
      </c>
      <c r="O83" s="438">
        <v>9</v>
      </c>
      <c r="P83" s="440"/>
      <c r="Q83" s="440"/>
      <c r="R83" s="440"/>
      <c r="S83" s="440"/>
    </row>
    <row r="84">
      <c r="A84" s="442" t="s">
        <v>1079</v>
      </c>
      <c r="B84" s="443"/>
      <c r="C84" s="443"/>
      <c r="D84" s="444">
        <f>SUM(D80:D83)</f>
      </c>
      <c r="E84" s="444">
        <f>SUM(E80:E83)</f>
      </c>
      <c r="F84" s="444">
        <f>SUM(F80:F83)</f>
      </c>
      <c r="G84" s="444">
        <f>SUM(G80:G83)</f>
      </c>
      <c r="H84" s="444">
        <f>SUM(H80:H83)</f>
      </c>
      <c r="I84" s="446">
        <f t="shared" si="1"/>
      </c>
      <c r="J84" s="446">
        <f t="shared" si="5"/>
      </c>
      <c r="K84" s="446">
        <f t="shared" si="3"/>
      </c>
      <c r="L84" s="444">
        <f>SUM(L80:L83)</f>
      </c>
      <c r="M84" s="444">
        <f>SUM(M80:M83)</f>
      </c>
      <c r="N84" s="443"/>
      <c r="O84" s="444">
        <f>SUM(O80:O83)</f>
      </c>
      <c r="P84" s="443"/>
      <c r="Q84" s="443"/>
      <c r="R84" s="443"/>
      <c r="S84" s="443"/>
    </row>
    <row r="85">
      <c r="A85" s="437" t="s">
        <v>1081</v>
      </c>
      <c r="B85" s="438" t="s">
        <v>1031</v>
      </c>
      <c r="C85" s="438" t="s">
        <v>1067</v>
      </c>
      <c r="D85" s="438">
        <v>5</v>
      </c>
      <c r="E85" s="438">
        <v>28</v>
      </c>
      <c r="F85" s="438">
        <v>17</v>
      </c>
      <c r="G85" s="438">
        <v>25939</v>
      </c>
      <c r="H85" s="438">
        <v>11061.47</v>
      </c>
      <c r="I85" s="439">
        <f t="shared" si="1"/>
      </c>
      <c r="J85" s="439">
        <f t="shared" si="5"/>
      </c>
      <c r="K85" s="439">
        <f t="shared" si="3"/>
      </c>
      <c r="L85" s="438">
        <v>6</v>
      </c>
      <c r="M85" s="438">
        <v>10527.6</v>
      </c>
      <c r="N85" s="438" t="s">
        <v>1038</v>
      </c>
      <c r="O85" s="438">
        <v>8</v>
      </c>
      <c r="P85" s="440"/>
      <c r="Q85" s="440"/>
      <c r="R85" s="440"/>
      <c r="S85" s="440"/>
    </row>
    <row r="86">
      <c r="A86" s="437" t="s">
        <v>1081</v>
      </c>
      <c r="B86" s="441" t="s">
        <v>1034</v>
      </c>
      <c r="C86" s="438" t="s">
        <v>1068</v>
      </c>
      <c r="D86" s="438">
        <v>4</v>
      </c>
      <c r="E86" s="438">
        <v>26</v>
      </c>
      <c r="F86" s="438">
        <v>16</v>
      </c>
      <c r="G86" s="438">
        <v>16549</v>
      </c>
      <c r="H86" s="438">
        <v>11940.890000000001</v>
      </c>
      <c r="I86" s="439">
        <f t="shared" si="1"/>
      </c>
      <c r="J86" s="439">
        <f t="shared" si="5"/>
      </c>
      <c r="K86" s="439">
        <f t="shared" si="3"/>
      </c>
      <c r="L86" s="438">
        <v>3</v>
      </c>
      <c r="M86" s="438">
        <v>1687.1999999999996</v>
      </c>
      <c r="N86" s="438"/>
      <c r="O86" s="438"/>
      <c r="P86" s="440"/>
      <c r="Q86" s="440"/>
      <c r="R86" s="440"/>
      <c r="S86" s="440"/>
    </row>
    <row r="87">
      <c r="A87" s="437" t="s">
        <v>1081</v>
      </c>
      <c r="B87" s="438" t="s">
        <v>1040</v>
      </c>
      <c r="C87" s="438" t="s">
        <v>1072</v>
      </c>
      <c r="D87" s="438">
        <v>4</v>
      </c>
      <c r="E87" s="438">
        <v>14</v>
      </c>
      <c r="F87" s="438">
        <v>9</v>
      </c>
      <c r="G87" s="438">
        <v>14685.400000000001</v>
      </c>
      <c r="H87" s="438">
        <v>6768.39</v>
      </c>
      <c r="I87" s="439">
        <f t="shared" si="1"/>
      </c>
      <c r="J87" s="439">
        <f t="shared" si="5"/>
      </c>
      <c r="K87" s="439">
        <f t="shared" si="3"/>
      </c>
      <c r="L87" s="448">
        <v>0</v>
      </c>
      <c r="M87" s="448">
        <v>0</v>
      </c>
      <c r="N87" s="438"/>
      <c r="O87" s="438"/>
      <c r="P87" s="440"/>
      <c r="Q87" s="440"/>
      <c r="R87" s="440"/>
      <c r="S87" s="440"/>
    </row>
    <row r="88">
      <c r="A88" s="437" t="s">
        <v>1081</v>
      </c>
      <c r="B88" s="441" t="s">
        <v>1042</v>
      </c>
      <c r="C88" s="438" t="s">
        <v>1073</v>
      </c>
      <c r="D88" s="438">
        <v>4</v>
      </c>
      <c r="E88" s="438">
        <v>10</v>
      </c>
      <c r="F88" s="438">
        <v>4</v>
      </c>
      <c r="G88" s="438">
        <v>4960.799999999996</v>
      </c>
      <c r="H88" s="438">
        <v>8433.439999999999</v>
      </c>
      <c r="I88" s="439">
        <f t="shared" si="1"/>
      </c>
      <c r="J88" s="439">
        <f t="shared" si="5"/>
      </c>
      <c r="K88" s="439">
        <f t="shared" si="3"/>
      </c>
      <c r="L88" s="448">
        <v>4</v>
      </c>
      <c r="M88" s="448">
        <v>1578</v>
      </c>
      <c r="N88" s="438" t="s">
        <v>1049</v>
      </c>
      <c r="O88" s="438">
        <v>9</v>
      </c>
      <c r="P88" s="440"/>
      <c r="Q88" s="440"/>
      <c r="R88" s="440"/>
      <c r="S88" s="440"/>
    </row>
    <row r="89">
      <c r="A89" s="442" t="s">
        <v>1081</v>
      </c>
      <c r="B89" s="443"/>
      <c r="C89" s="443"/>
      <c r="D89" s="444">
        <f>SUM(D85:D88)</f>
      </c>
      <c r="E89" s="444">
        <f>SUM(E85:E88)</f>
      </c>
      <c r="F89" s="444">
        <f>SUM(F85:F88)</f>
      </c>
      <c r="G89" s="444">
        <f>SUM(G85:G88)</f>
      </c>
      <c r="H89" s="444">
        <f>SUM(H85:H88)</f>
      </c>
      <c r="I89" s="446">
        <f t="shared" si="1"/>
      </c>
      <c r="J89" s="446">
        <f t="shared" si="5"/>
      </c>
      <c r="K89" s="446">
        <f t="shared" si="3"/>
      </c>
      <c r="L89" s="444">
        <f>SUM(L85:L88)</f>
      </c>
      <c r="M89" s="444">
        <f>SUM(M85:M88)</f>
      </c>
      <c r="N89" s="443"/>
      <c r="O89" s="444">
        <f>SUM(O85:O88)</f>
      </c>
      <c r="P89" s="443"/>
      <c r="Q89" s="443"/>
      <c r="R89" s="443"/>
      <c r="S89" s="443"/>
    </row>
    <row r="90">
      <c r="A90" s="437" t="s">
        <v>1082</v>
      </c>
      <c r="B90" s="438" t="s">
        <v>1031</v>
      </c>
      <c r="C90" s="438" t="s">
        <v>1067</v>
      </c>
      <c r="D90" s="438">
        <v>5</v>
      </c>
      <c r="E90" s="438">
        <v>10</v>
      </c>
      <c r="F90" s="438">
        <v>8</v>
      </c>
      <c r="G90" s="438">
        <v>10118.4</v>
      </c>
      <c r="H90" s="438">
        <v>7361.01</v>
      </c>
      <c r="I90" s="439">
        <f t="shared" si="1"/>
      </c>
      <c r="J90" s="439">
        <f t="shared" si="5"/>
      </c>
      <c r="K90" s="439">
        <f t="shared" si="3"/>
      </c>
      <c r="L90" s="438">
        <v>1</v>
      </c>
      <c r="M90" s="438">
        <v>1143.5999999999995</v>
      </c>
      <c r="N90" s="438" t="s">
        <v>1038</v>
      </c>
      <c r="O90" s="438">
        <v>8</v>
      </c>
      <c r="P90" s="440"/>
      <c r="Q90" s="440"/>
      <c r="R90" s="440"/>
      <c r="S90" s="440"/>
    </row>
    <row r="91">
      <c r="A91" s="437" t="s">
        <v>1082</v>
      </c>
      <c r="B91" s="441" t="s">
        <v>1040</v>
      </c>
      <c r="C91" s="438" t="s">
        <v>1068</v>
      </c>
      <c r="D91" s="438">
        <v>4</v>
      </c>
      <c r="E91" s="438">
        <v>13</v>
      </c>
      <c r="F91" s="438">
        <v>11</v>
      </c>
      <c r="G91" s="438">
        <v>7349.8</v>
      </c>
      <c r="H91" s="438">
        <v>8927.16</v>
      </c>
      <c r="I91" s="439">
        <f t="shared" si="1"/>
      </c>
      <c r="J91" s="439">
        <f t="shared" si="5"/>
      </c>
      <c r="K91" s="439">
        <f t="shared" si="3"/>
      </c>
      <c r="L91" s="438">
        <v>7</v>
      </c>
      <c r="M91" s="438">
        <v>3647.4</v>
      </c>
      <c r="N91" s="438"/>
      <c r="O91" s="438"/>
      <c r="P91" s="440"/>
      <c r="Q91" s="440"/>
      <c r="R91" s="440"/>
      <c r="S91" s="440"/>
    </row>
    <row r="92">
      <c r="A92" s="437" t="s">
        <v>1082</v>
      </c>
      <c r="B92" s="438" t="s">
        <v>1042</v>
      </c>
      <c r="C92" s="438" t="s">
        <v>1072</v>
      </c>
      <c r="D92" s="438">
        <v>4</v>
      </c>
      <c r="E92" s="438">
        <v>7</v>
      </c>
      <c r="F92" s="438">
        <v>5</v>
      </c>
      <c r="G92" s="438">
        <v>7455.399999999998</v>
      </c>
      <c r="H92" s="438">
        <v>5969.88</v>
      </c>
      <c r="I92" s="439">
        <f t="shared" si="1"/>
      </c>
      <c r="J92" s="439">
        <f t="shared" si="5"/>
      </c>
      <c r="K92" s="439">
        <f t="shared" si="3"/>
      </c>
      <c r="L92" s="448">
        <v>1</v>
      </c>
      <c r="M92" s="448">
        <v>1555.2000000000003</v>
      </c>
      <c r="N92" s="438"/>
      <c r="O92" s="438"/>
      <c r="P92" s="440"/>
      <c r="Q92" s="440"/>
      <c r="R92" s="440"/>
      <c r="S92" s="440"/>
    </row>
    <row r="93">
      <c r="A93" s="437" t="s">
        <v>1082</v>
      </c>
      <c r="B93" s="441" t="s">
        <v>1034</v>
      </c>
      <c r="C93" s="438" t="s">
        <v>1073</v>
      </c>
      <c r="D93" s="438">
        <v>4</v>
      </c>
      <c r="E93" s="438">
        <v>4</v>
      </c>
      <c r="F93" s="438">
        <v>3</v>
      </c>
      <c r="G93" s="438">
        <v>6060</v>
      </c>
      <c r="H93" s="438">
        <v>5696.96</v>
      </c>
      <c r="I93" s="439">
        <f t="shared" si="1"/>
      </c>
      <c r="J93" s="439">
        <f t="shared" si="5"/>
      </c>
      <c r="K93" s="439">
        <f t="shared" si="3"/>
      </c>
      <c r="L93" s="448">
        <v>0</v>
      </c>
      <c r="M93" s="448">
        <v>0</v>
      </c>
      <c r="N93" s="438" t="s">
        <v>1049</v>
      </c>
      <c r="O93" s="438">
        <v>9</v>
      </c>
      <c r="P93" s="440"/>
      <c r="Q93" s="440"/>
      <c r="R93" s="440"/>
      <c r="S93" s="440"/>
    </row>
    <row r="94">
      <c r="A94" s="442" t="s">
        <v>1082</v>
      </c>
      <c r="B94" s="443"/>
      <c r="C94" s="443"/>
      <c r="D94" s="444">
        <f>SUM(D90:D93)</f>
      </c>
      <c r="E94" s="444">
        <f>SUM(E90:E93)</f>
      </c>
      <c r="F94" s="444">
        <f>SUM(F90:F93)</f>
      </c>
      <c r="G94" s="444">
        <f>SUM(G90:G93)</f>
      </c>
      <c r="H94" s="444">
        <f>SUM(H90:H93)</f>
      </c>
      <c r="I94" s="446">
        <f t="shared" si="1"/>
      </c>
      <c r="J94" s="446">
        <f t="shared" si="5"/>
      </c>
      <c r="K94" s="446">
        <f t="shared" si="3"/>
      </c>
      <c r="L94" s="444">
        <f>SUM(L90:L93)</f>
      </c>
      <c r="M94" s="444">
        <f>SUM(M90:M93)</f>
      </c>
      <c r="N94" s="443"/>
      <c r="O94" s="444">
        <f>SUM(O90:O93)</f>
      </c>
      <c r="P94" s="443"/>
      <c r="Q94" s="443"/>
      <c r="R94" s="443"/>
      <c r="S94" s="443"/>
    </row>
    <row r="95">
      <c r="A95" s="437" t="s">
        <v>1083</v>
      </c>
      <c r="B95" s="438" t="s">
        <v>1031</v>
      </c>
      <c r="C95" s="438" t="s">
        <v>1067</v>
      </c>
      <c r="D95" s="438">
        <v>5</v>
      </c>
      <c r="E95" s="438">
        <v>10</v>
      </c>
      <c r="F95" s="438">
        <v>7</v>
      </c>
      <c r="G95" s="438">
        <v>7534.8</v>
      </c>
      <c r="H95" s="438">
        <v>6079</v>
      </c>
      <c r="I95" s="439">
        <f t="shared" si="1"/>
      </c>
      <c r="J95" s="439">
        <f t="shared" si="5"/>
      </c>
      <c r="K95" s="439">
        <f t="shared" si="3"/>
      </c>
      <c r="L95" s="438">
        <v>3</v>
      </c>
      <c r="M95" s="438">
        <v>2400</v>
      </c>
      <c r="N95" s="438" t="s">
        <v>1059</v>
      </c>
      <c r="O95" s="438">
        <v>8</v>
      </c>
      <c r="P95" s="440"/>
      <c r="Q95" s="440"/>
      <c r="R95" s="440"/>
      <c r="S95" s="440"/>
    </row>
    <row r="96">
      <c r="A96" s="437" t="s">
        <v>1083</v>
      </c>
      <c r="B96" s="441" t="s">
        <v>1036</v>
      </c>
      <c r="C96" s="438" t="s">
        <v>1068</v>
      </c>
      <c r="D96" s="438">
        <v>4</v>
      </c>
      <c r="E96" s="438">
        <v>20</v>
      </c>
      <c r="F96" s="438">
        <v>11</v>
      </c>
      <c r="G96" s="438">
        <v>12637.2</v>
      </c>
      <c r="H96" s="438">
        <v>10102.1</v>
      </c>
      <c r="I96" s="439">
        <f t="shared" si="1"/>
      </c>
      <c r="J96" s="439">
        <f t="shared" si="5"/>
      </c>
      <c r="K96" s="439">
        <f t="shared" si="3"/>
      </c>
      <c r="L96" s="438">
        <v>3</v>
      </c>
      <c r="M96" s="438">
        <v>2888.4</v>
      </c>
      <c r="N96" s="438"/>
      <c r="O96" s="438"/>
      <c r="P96" s="440"/>
      <c r="Q96" s="440"/>
      <c r="R96" s="440"/>
      <c r="S96" s="440"/>
    </row>
    <row r="97">
      <c r="A97" s="437" t="s">
        <v>1083</v>
      </c>
      <c r="B97" s="438" t="s">
        <v>1042</v>
      </c>
      <c r="C97" s="438" t="s">
        <v>1072</v>
      </c>
      <c r="D97" s="438">
        <v>4</v>
      </c>
      <c r="E97" s="438">
        <v>7</v>
      </c>
      <c r="F97" s="438">
        <v>5</v>
      </c>
      <c r="G97" s="438">
        <v>3056</v>
      </c>
      <c r="H97" s="438">
        <v>4296.05</v>
      </c>
      <c r="I97" s="439">
        <f t="shared" si="1"/>
      </c>
      <c r="J97" s="439">
        <f t="shared" si="5"/>
      </c>
      <c r="K97" s="439">
        <f t="shared" si="3"/>
      </c>
      <c r="L97" s="448">
        <v>0</v>
      </c>
      <c r="M97" s="448">
        <v>0</v>
      </c>
      <c r="N97" s="438"/>
      <c r="O97" s="438"/>
      <c r="P97" s="440"/>
      <c r="Q97" s="440"/>
      <c r="R97" s="440"/>
      <c r="S97" s="440"/>
    </row>
    <row r="98">
      <c r="A98" s="437" t="s">
        <v>1083</v>
      </c>
      <c r="B98" s="441" t="s">
        <v>1034</v>
      </c>
      <c r="C98" s="438" t="s">
        <v>1073</v>
      </c>
      <c r="D98" s="438">
        <v>4</v>
      </c>
      <c r="E98" s="438">
        <v>21</v>
      </c>
      <c r="F98" s="438">
        <v>8</v>
      </c>
      <c r="G98" s="438">
        <v>14818.8</v>
      </c>
      <c r="H98" s="438">
        <v>7701.15</v>
      </c>
      <c r="I98" s="439">
        <f t="shared" si="1"/>
      </c>
      <c r="J98" s="439">
        <f t="shared" si="5"/>
      </c>
      <c r="K98" s="439">
        <f t="shared" si="3"/>
      </c>
      <c r="L98" s="448">
        <v>3</v>
      </c>
      <c r="M98" s="448">
        <v>1503.6</v>
      </c>
      <c r="N98" s="438" t="s">
        <v>1038</v>
      </c>
      <c r="O98" s="438">
        <v>9</v>
      </c>
      <c r="P98" s="440"/>
      <c r="Q98" s="440"/>
      <c r="R98" s="440"/>
      <c r="S98" s="440"/>
    </row>
    <row r="99">
      <c r="A99" s="442" t="s">
        <v>1083</v>
      </c>
      <c r="B99" s="443"/>
      <c r="C99" s="443"/>
      <c r="D99" s="444">
        <f>SUM(D95:D98)</f>
      </c>
      <c r="E99" s="444">
        <f>SUM(E95:E98)</f>
      </c>
      <c r="F99" s="444">
        <f>SUM(F95:F98)</f>
      </c>
      <c r="G99" s="444">
        <f>SUM(G95:G98)</f>
      </c>
      <c r="H99" s="444">
        <f>SUM(H95:H98)</f>
      </c>
      <c r="I99" s="446">
        <f t="shared" si="1"/>
      </c>
      <c r="J99" s="446">
        <f t="shared" si="5"/>
      </c>
      <c r="K99" s="446">
        <f t="shared" si="3"/>
      </c>
      <c r="L99" s="444">
        <f>SUM(L95:L98)</f>
      </c>
      <c r="M99" s="444">
        <f>SUM(M95:M98)</f>
      </c>
      <c r="N99" s="443"/>
      <c r="O99" s="444">
        <f>SUM(O95:O98)</f>
      </c>
      <c r="P99" s="443"/>
      <c r="Q99" s="443"/>
      <c r="R99" s="443"/>
      <c r="S99" s="443"/>
    </row>
    <row r="100">
      <c r="A100" s="437" t="s">
        <v>1084</v>
      </c>
      <c r="B100" s="438" t="s">
        <v>1040</v>
      </c>
      <c r="C100" s="438" t="s">
        <v>1071</v>
      </c>
      <c r="D100" s="438">
        <v>4</v>
      </c>
      <c r="E100" s="438">
        <v>7</v>
      </c>
      <c r="F100" s="438">
        <v>6</v>
      </c>
      <c r="G100" s="438">
        <v>3531.2</v>
      </c>
      <c r="H100" s="438">
        <v>5498.52</v>
      </c>
      <c r="I100" s="439">
        <f t="shared" si="1"/>
      </c>
      <c r="J100" s="439">
        <f t="shared" si="5"/>
      </c>
      <c r="K100" s="439">
        <f t="shared" si="3"/>
      </c>
      <c r="L100" s="438">
        <v>0</v>
      </c>
      <c r="M100" s="438">
        <v>0</v>
      </c>
      <c r="N100" s="438" t="s">
        <v>1049</v>
      </c>
      <c r="O100" s="438">
        <v>8</v>
      </c>
      <c r="P100" s="440"/>
      <c r="Q100" s="440"/>
      <c r="R100" s="440"/>
      <c r="S100" s="440"/>
    </row>
    <row r="101">
      <c r="A101" s="437" t="s">
        <v>1084</v>
      </c>
      <c r="B101" s="449" t="s">
        <v>1031</v>
      </c>
      <c r="C101" s="438" t="s">
        <v>1064</v>
      </c>
      <c r="D101" s="438">
        <v>5</v>
      </c>
      <c r="E101" s="438">
        <v>19</v>
      </c>
      <c r="F101" s="438">
        <v>13</v>
      </c>
      <c r="G101" s="438">
        <v>11236.6</v>
      </c>
      <c r="H101" s="438">
        <v>10551.14</v>
      </c>
      <c r="I101" s="439">
        <f t="shared" si="1"/>
      </c>
      <c r="J101" s="439">
        <f t="shared" si="5"/>
      </c>
      <c r="K101" s="439">
        <f t="shared" si="3"/>
      </c>
      <c r="L101" s="438">
        <v>2</v>
      </c>
      <c r="M101" s="438">
        <v>1189.2</v>
      </c>
      <c r="N101" s="438"/>
      <c r="O101" s="438"/>
      <c r="P101" s="440"/>
      <c r="Q101" s="440"/>
      <c r="R101" s="440"/>
      <c r="S101" s="440"/>
    </row>
    <row r="102">
      <c r="A102" s="437" t="s">
        <v>1084</v>
      </c>
      <c r="B102" s="441" t="s">
        <v>1036</v>
      </c>
      <c r="C102" s="438" t="s">
        <v>1072</v>
      </c>
      <c r="D102" s="451">
        <v>3.5</v>
      </c>
      <c r="E102" s="438">
        <v>10</v>
      </c>
      <c r="F102" s="438">
        <v>6</v>
      </c>
      <c r="G102" s="438">
        <v>9120</v>
      </c>
      <c r="H102" s="438">
        <v>4992.76</v>
      </c>
      <c r="I102" s="439">
        <f t="shared" si="1"/>
      </c>
      <c r="J102" s="439">
        <f t="shared" si="5"/>
      </c>
      <c r="K102" s="439">
        <f t="shared" si="3"/>
      </c>
      <c r="L102" s="448">
        <v>2</v>
      </c>
      <c r="M102" s="448">
        <v>1038</v>
      </c>
      <c r="N102" s="438"/>
      <c r="O102" s="438"/>
      <c r="P102" s="440"/>
      <c r="Q102" s="440"/>
      <c r="R102" s="440"/>
      <c r="S102" s="440"/>
    </row>
    <row r="103">
      <c r="A103" s="437" t="s">
        <v>1084</v>
      </c>
      <c r="B103" s="447" t="s">
        <v>1034</v>
      </c>
      <c r="C103" s="438" t="s">
        <v>1073</v>
      </c>
      <c r="D103" s="438">
        <v>4</v>
      </c>
      <c r="E103" s="438">
        <v>10</v>
      </c>
      <c r="F103" s="438">
        <v>10</v>
      </c>
      <c r="G103" s="438">
        <v>10652.2</v>
      </c>
      <c r="H103" s="438">
        <v>7688.28</v>
      </c>
      <c r="I103" s="439">
        <f t="shared" si="1"/>
      </c>
      <c r="J103" s="439">
        <f t="shared" si="5"/>
      </c>
      <c r="K103" s="439">
        <f t="shared" si="3"/>
      </c>
      <c r="L103" s="448">
        <v>1</v>
      </c>
      <c r="M103" s="448">
        <v>1318.8</v>
      </c>
      <c r="N103" s="438" t="s">
        <v>1038</v>
      </c>
      <c r="O103" s="438">
        <v>9</v>
      </c>
      <c r="P103" s="440"/>
      <c r="Q103" s="440"/>
      <c r="R103" s="440"/>
      <c r="S103" s="440"/>
    </row>
    <row r="104">
      <c r="A104" s="442" t="s">
        <v>1084</v>
      </c>
      <c r="B104" s="443"/>
      <c r="C104" s="443"/>
      <c r="D104" s="444">
        <f>SUM(D100:D103)</f>
      </c>
      <c r="E104" s="444">
        <f>SUM(E100:E103)</f>
      </c>
      <c r="F104" s="444">
        <f>SUM(F100:F103)</f>
      </c>
      <c r="G104" s="444">
        <f>SUM(G100:G103)</f>
      </c>
      <c r="H104" s="444">
        <f>SUM(H100:H103)</f>
      </c>
      <c r="I104" s="446">
        <f t="shared" si="1"/>
      </c>
      <c r="J104" s="446">
        <f t="shared" si="5"/>
      </c>
      <c r="K104" s="446">
        <f t="shared" si="3"/>
      </c>
      <c r="L104" s="444">
        <f>SUM(L100:L103)</f>
      </c>
      <c r="M104" s="444">
        <f>SUM(M100:M103)</f>
      </c>
      <c r="N104" s="443"/>
      <c r="O104" s="444">
        <f>SUM(O100:O103)</f>
      </c>
      <c r="P104" s="443"/>
      <c r="Q104" s="443"/>
      <c r="R104" s="443"/>
      <c r="S104" s="443"/>
    </row>
    <row r="105">
      <c r="A105" s="437" t="s">
        <v>1085</v>
      </c>
      <c r="B105" s="438" t="s">
        <v>1040</v>
      </c>
      <c r="C105" s="438" t="s">
        <v>1086</v>
      </c>
      <c r="D105" s="438">
        <v>5</v>
      </c>
      <c r="E105" s="438">
        <v>11</v>
      </c>
      <c r="F105" s="438">
        <v>5</v>
      </c>
      <c r="G105" s="438">
        <v>9653.8</v>
      </c>
      <c r="H105" s="438">
        <v>6920.38</v>
      </c>
      <c r="I105" s="439">
        <f t="shared" si="1"/>
      </c>
      <c r="J105" s="439">
        <f t="shared" si="5"/>
      </c>
      <c r="K105" s="439">
        <f t="shared" si="3"/>
      </c>
      <c r="L105" s="438">
        <v>3</v>
      </c>
      <c r="M105" s="438">
        <v>3874</v>
      </c>
      <c r="N105" s="438" t="s">
        <v>1033</v>
      </c>
      <c r="O105" s="438">
        <v>3.6</v>
      </c>
      <c r="P105" s="440"/>
      <c r="Q105" s="440"/>
      <c r="R105" s="440"/>
      <c r="S105" s="440"/>
    </row>
    <row r="106">
      <c r="A106" s="437" t="s">
        <v>1085</v>
      </c>
      <c r="B106" s="449" t="s">
        <v>1031</v>
      </c>
      <c r="C106" s="438" t="s">
        <v>1064</v>
      </c>
      <c r="D106" s="438">
        <v>5</v>
      </c>
      <c r="E106" s="438">
        <v>19</v>
      </c>
      <c r="F106" s="438">
        <v>11</v>
      </c>
      <c r="G106" s="438">
        <v>10394.6</v>
      </c>
      <c r="H106" s="438">
        <v>10279.72</v>
      </c>
      <c r="I106" s="439">
        <f t="shared" si="1"/>
      </c>
      <c r="J106" s="439">
        <f t="shared" si="5"/>
      </c>
      <c r="K106" s="439">
        <f t="shared" si="3"/>
      </c>
      <c r="L106" s="438">
        <v>1</v>
      </c>
      <c r="M106" s="438">
        <v>343.2</v>
      </c>
      <c r="N106" s="438"/>
      <c r="O106" s="438"/>
      <c r="P106" s="440"/>
      <c r="Q106" s="440"/>
      <c r="R106" s="440"/>
      <c r="S106" s="440"/>
    </row>
    <row r="107">
      <c r="A107" s="437" t="s">
        <v>1085</v>
      </c>
      <c r="B107" s="441" t="s">
        <v>1087</v>
      </c>
      <c r="C107" s="438" t="s">
        <v>1072</v>
      </c>
      <c r="D107" s="438">
        <v>4</v>
      </c>
      <c r="E107" s="438">
        <v>7</v>
      </c>
      <c r="F107" s="438">
        <v>8</v>
      </c>
      <c r="G107" s="438">
        <v>4302.2</v>
      </c>
      <c r="H107" s="438">
        <v>5169.03</v>
      </c>
      <c r="I107" s="439">
        <f t="shared" si="1"/>
      </c>
      <c r="J107" s="439">
        <f t="shared" si="5"/>
      </c>
      <c r="K107" s="439">
        <f t="shared" si="3"/>
      </c>
      <c r="L107" s="448">
        <v>1</v>
      </c>
      <c r="M107" s="448">
        <v>338.4</v>
      </c>
      <c r="N107" s="438"/>
      <c r="O107" s="438"/>
      <c r="P107" s="440"/>
      <c r="Q107" s="440"/>
      <c r="R107" s="440"/>
      <c r="S107" s="440"/>
    </row>
    <row r="108">
      <c r="A108" s="437" t="s">
        <v>1085</v>
      </c>
      <c r="B108" s="447" t="s">
        <v>1042</v>
      </c>
      <c r="C108" s="438" t="s">
        <v>1073</v>
      </c>
      <c r="D108" s="438">
        <v>4</v>
      </c>
      <c r="E108" s="438">
        <v>23</v>
      </c>
      <c r="F108" s="438">
        <v>15</v>
      </c>
      <c r="G108" s="438">
        <v>15102.2</v>
      </c>
      <c r="H108" s="438">
        <v>9622.86</v>
      </c>
      <c r="I108" s="439">
        <f t="shared" si="1"/>
      </c>
      <c r="J108" s="439">
        <f t="shared" si="5"/>
      </c>
      <c r="K108" s="439">
        <f t="shared" si="3"/>
      </c>
      <c r="L108" s="448">
        <v>3</v>
      </c>
      <c r="M108" s="448">
        <v>2795.8</v>
      </c>
      <c r="N108" s="438" t="s">
        <v>1038</v>
      </c>
      <c r="O108" s="438">
        <v>9</v>
      </c>
      <c r="P108" s="440"/>
      <c r="Q108" s="440"/>
      <c r="R108" s="440"/>
      <c r="S108" s="440"/>
    </row>
    <row r="109">
      <c r="A109" s="442" t="s">
        <v>1085</v>
      </c>
      <c r="B109" s="443"/>
      <c r="C109" s="443"/>
      <c r="D109" s="444">
        <f>SUM(D105:D108)</f>
      </c>
      <c r="E109" s="444">
        <f>SUM(E105:E108)</f>
      </c>
      <c r="F109" s="444">
        <f>SUM(F105:F108)</f>
      </c>
      <c r="G109" s="444">
        <f>SUM(G105:G108)</f>
      </c>
      <c r="H109" s="444">
        <f>SUM(H105:H108)</f>
      </c>
      <c r="I109" s="446">
        <f t="shared" si="1"/>
      </c>
      <c r="J109" s="446">
        <f t="shared" si="5"/>
      </c>
      <c r="K109" s="446">
        <f t="shared" si="3"/>
      </c>
      <c r="L109" s="444">
        <f>SUM(L105:L108)</f>
      </c>
      <c r="M109" s="444">
        <f>SUM(M105:M108)</f>
      </c>
      <c r="N109" s="443"/>
      <c r="O109" s="444">
        <f>SUM(O105:O108)</f>
      </c>
      <c r="P109" s="443"/>
      <c r="Q109" s="443"/>
      <c r="R109" s="443"/>
      <c r="S109" s="443"/>
    </row>
    <row r="110">
      <c r="A110" s="437" t="s">
        <v>1088</v>
      </c>
      <c r="B110" s="438" t="s">
        <v>1040</v>
      </c>
      <c r="C110" s="438" t="s">
        <v>1089</v>
      </c>
      <c r="D110" s="438">
        <v>4.5</v>
      </c>
      <c r="E110" s="438">
        <v>17</v>
      </c>
      <c r="F110" s="438">
        <v>13</v>
      </c>
      <c r="G110" s="438">
        <v>9580.6</v>
      </c>
      <c r="H110" s="438">
        <v>12844.84</v>
      </c>
      <c r="I110" s="439">
        <f t="shared" si="1"/>
      </c>
      <c r="J110" s="439">
        <f t="shared" si="5"/>
      </c>
      <c r="K110" s="439">
        <f t="shared" si="3"/>
      </c>
      <c r="L110" s="438">
        <v>5</v>
      </c>
      <c r="M110" s="438">
        <v>3096.2</v>
      </c>
      <c r="N110" s="438" t="s">
        <v>1059</v>
      </c>
      <c r="O110" s="438">
        <v>8.5</v>
      </c>
      <c r="P110" s="440"/>
      <c r="Q110" s="440"/>
      <c r="R110" s="440"/>
      <c r="S110" s="440"/>
    </row>
    <row r="111">
      <c r="A111" s="437" t="s">
        <v>1088</v>
      </c>
      <c r="B111" s="449" t="s">
        <v>1031</v>
      </c>
      <c r="C111" s="438" t="s">
        <v>1064</v>
      </c>
      <c r="D111" s="438">
        <v>5</v>
      </c>
      <c r="E111" s="438">
        <v>12</v>
      </c>
      <c r="F111" s="438">
        <v>11</v>
      </c>
      <c r="G111" s="438">
        <v>6740.2</v>
      </c>
      <c r="H111" s="438">
        <v>9768.68</v>
      </c>
      <c r="I111" s="439">
        <f t="shared" si="1"/>
      </c>
      <c r="J111" s="439">
        <f t="shared" si="5"/>
      </c>
      <c r="K111" s="439">
        <f t="shared" si="3"/>
      </c>
      <c r="L111" s="438">
        <v>4</v>
      </c>
      <c r="M111" s="438">
        <v>2094.6</v>
      </c>
      <c r="N111" s="438"/>
      <c r="O111" s="438"/>
      <c r="P111" s="440"/>
      <c r="Q111" s="440"/>
      <c r="R111" s="440"/>
      <c r="S111" s="440"/>
    </row>
    <row r="112">
      <c r="A112" s="437" t="s">
        <v>1088</v>
      </c>
      <c r="B112" s="441" t="s">
        <v>1087</v>
      </c>
      <c r="C112" s="438" t="s">
        <v>1072</v>
      </c>
      <c r="D112" s="438">
        <v>4</v>
      </c>
      <c r="E112" s="438">
        <v>10</v>
      </c>
      <c r="F112" s="438">
        <v>6</v>
      </c>
      <c r="G112" s="438">
        <v>14090.6</v>
      </c>
      <c r="H112" s="438">
        <v>7847.78</v>
      </c>
      <c r="I112" s="439">
        <f t="shared" si="1"/>
      </c>
      <c r="J112" s="439">
        <f t="shared" si="5"/>
      </c>
      <c r="K112" s="439">
        <f t="shared" si="3"/>
      </c>
      <c r="L112" s="448">
        <v>2</v>
      </c>
      <c r="M112" s="448">
        <v>2697.6</v>
      </c>
      <c r="N112" s="438"/>
      <c r="O112" s="438"/>
      <c r="P112" s="440"/>
      <c r="Q112" s="440"/>
      <c r="R112" s="440"/>
      <c r="S112" s="440"/>
    </row>
    <row r="113">
      <c r="A113" s="437" t="s">
        <v>1088</v>
      </c>
      <c r="B113" s="447" t="s">
        <v>1042</v>
      </c>
      <c r="C113" s="438" t="s">
        <v>1090</v>
      </c>
      <c r="D113" s="438">
        <v>4.5</v>
      </c>
      <c r="E113" s="438">
        <v>18</v>
      </c>
      <c r="F113" s="438">
        <v>9</v>
      </c>
      <c r="G113" s="438">
        <v>11634.2</v>
      </c>
      <c r="H113" s="438">
        <v>9316.95</v>
      </c>
      <c r="I113" s="439">
        <f t="shared" si="1"/>
      </c>
      <c r="J113" s="439">
        <f t="shared" si="5"/>
      </c>
      <c r="K113" s="439">
        <f t="shared" si="3"/>
      </c>
      <c r="L113" s="448">
        <v>0</v>
      </c>
      <c r="M113" s="448">
        <v>0</v>
      </c>
      <c r="N113" s="438" t="s">
        <v>1038</v>
      </c>
      <c r="O113" s="438">
        <v>9.5</v>
      </c>
      <c r="P113" s="440"/>
      <c r="Q113" s="440"/>
      <c r="R113" s="440"/>
      <c r="S113" s="440"/>
    </row>
    <row r="114">
      <c r="A114" s="442" t="s">
        <v>1088</v>
      </c>
      <c r="B114" s="443"/>
      <c r="C114" s="443"/>
      <c r="D114" s="444">
        <f>SUM(D110:D113)</f>
      </c>
      <c r="E114" s="444">
        <f>SUM(E110:E113)</f>
      </c>
      <c r="F114" s="444">
        <f>SUM(F110:F113)</f>
      </c>
      <c r="G114" s="444">
        <f>SUM(G110:G113)</f>
      </c>
      <c r="H114" s="444">
        <f>SUM(H110:H113)</f>
      </c>
      <c r="I114" s="446">
        <f t="shared" si="1"/>
      </c>
      <c r="J114" s="446">
        <f t="shared" si="5"/>
      </c>
      <c r="K114" s="446">
        <f t="shared" si="3"/>
      </c>
      <c r="L114" s="444">
        <f>SUM(L110:L113)</f>
      </c>
      <c r="M114" s="444">
        <f>SUM(M110:M113)</f>
      </c>
      <c r="N114" s="443"/>
      <c r="O114" s="444">
        <f>SUM(O110:O113)</f>
      </c>
      <c r="P114" s="443"/>
      <c r="Q114" s="443"/>
      <c r="R114" s="443"/>
      <c r="S114" s="443"/>
    </row>
    <row r="115">
      <c r="A115" s="437" t="s">
        <v>1091</v>
      </c>
      <c r="B115" s="449" t="s">
        <v>1031</v>
      </c>
      <c r="C115" s="438" t="s">
        <v>1086</v>
      </c>
      <c r="D115" s="438">
        <v>5</v>
      </c>
      <c r="E115" s="438">
        <v>18</v>
      </c>
      <c r="F115" s="438">
        <v>13</v>
      </c>
      <c r="G115" s="438">
        <v>15816.6</v>
      </c>
      <c r="H115" s="438">
        <v>12834.599999999999</v>
      </c>
      <c r="I115" s="439">
        <f t="shared" si="1"/>
      </c>
      <c r="J115" s="439">
        <f t="shared" si="5"/>
      </c>
      <c r="K115" s="439">
        <f t="shared" si="3"/>
      </c>
      <c r="L115" s="438">
        <v>0</v>
      </c>
      <c r="M115" s="438">
        <v>0</v>
      </c>
      <c r="N115" s="438" t="s">
        <v>1092</v>
      </c>
      <c r="O115" s="438">
        <v>9</v>
      </c>
      <c r="P115" s="440"/>
      <c r="Q115" s="440"/>
      <c r="R115" s="440"/>
      <c r="S115" s="440"/>
    </row>
    <row r="116">
      <c r="A116" s="437" t="s">
        <v>1091</v>
      </c>
      <c r="B116" s="450" t="s">
        <v>1040</v>
      </c>
      <c r="C116" s="438" t="s">
        <v>1064</v>
      </c>
      <c r="D116" s="438">
        <v>5</v>
      </c>
      <c r="E116" s="438">
        <v>14</v>
      </c>
      <c r="F116" s="438">
        <v>8</v>
      </c>
      <c r="G116" s="438">
        <v>8714.4</v>
      </c>
      <c r="H116" s="438">
        <v>7289.53</v>
      </c>
      <c r="I116" s="439">
        <f t="shared" si="1"/>
      </c>
      <c r="J116" s="439">
        <f t="shared" si="5"/>
      </c>
      <c r="K116" s="439">
        <f t="shared" si="3"/>
      </c>
      <c r="L116" s="438">
        <v>2</v>
      </c>
      <c r="M116" s="438">
        <v>2598</v>
      </c>
      <c r="N116" s="438"/>
      <c r="O116" s="438"/>
      <c r="P116" s="440"/>
      <c r="Q116" s="440"/>
      <c r="R116" s="440"/>
      <c r="S116" s="440"/>
    </row>
    <row r="117">
      <c r="A117" s="437" t="s">
        <v>1091</v>
      </c>
      <c r="B117" s="441" t="s">
        <v>1042</v>
      </c>
      <c r="C117" s="438" t="s">
        <v>1072</v>
      </c>
      <c r="D117" s="438">
        <v>4</v>
      </c>
      <c r="E117" s="438">
        <v>28</v>
      </c>
      <c r="F117" s="438">
        <v>15</v>
      </c>
      <c r="G117" s="438">
        <v>20313.68</v>
      </c>
      <c r="H117" s="438">
        <v>10318.59</v>
      </c>
      <c r="I117" s="439">
        <f t="shared" si="1"/>
      </c>
      <c r="J117" s="439">
        <f t="shared" si="5"/>
      </c>
      <c r="K117" s="439">
        <f t="shared" si="3"/>
      </c>
      <c r="L117" s="448">
        <v>1</v>
      </c>
      <c r="M117" s="448">
        <v>474</v>
      </c>
      <c r="N117" s="438"/>
      <c r="O117" s="438"/>
      <c r="P117" s="440"/>
      <c r="Q117" s="440"/>
      <c r="R117" s="440"/>
      <c r="S117" s="440"/>
    </row>
    <row r="118">
      <c r="A118" s="437" t="s">
        <v>1091</v>
      </c>
      <c r="B118" s="447" t="s">
        <v>1034</v>
      </c>
      <c r="C118" s="438" t="s">
        <v>1073</v>
      </c>
      <c r="D118" s="438">
        <v>4</v>
      </c>
      <c r="E118" s="438">
        <v>13</v>
      </c>
      <c r="F118" s="438">
        <v>8</v>
      </c>
      <c r="G118" s="438">
        <v>6451.8</v>
      </c>
      <c r="H118" s="438">
        <v>9591.75</v>
      </c>
      <c r="I118" s="439">
        <f t="shared" si="1"/>
      </c>
      <c r="J118" s="439">
        <f t="shared" si="5"/>
      </c>
      <c r="K118" s="439">
        <f t="shared" si="3"/>
      </c>
      <c r="L118" s="448">
        <v>0</v>
      </c>
      <c r="M118" s="448">
        <v>0</v>
      </c>
      <c r="N118" s="438" t="s">
        <v>1038</v>
      </c>
      <c r="O118" s="438">
        <v>9</v>
      </c>
      <c r="P118" s="440"/>
      <c r="Q118" s="440"/>
      <c r="R118" s="440"/>
      <c r="S118" s="440"/>
    </row>
    <row r="119">
      <c r="A119" s="442" t="s">
        <v>1088</v>
      </c>
      <c r="B119" s="443"/>
      <c r="C119" s="443"/>
      <c r="D119" s="444">
        <f>SUM(D115:D118)</f>
      </c>
      <c r="E119" s="444">
        <f>SUM(E115:E118)</f>
      </c>
      <c r="F119" s="444">
        <f>SUM(F115:F118)</f>
      </c>
      <c r="G119" s="444">
        <f>SUM(G115:G118)</f>
      </c>
      <c r="H119" s="444">
        <f>SUM(H115:H118)</f>
      </c>
      <c r="I119" s="446">
        <f t="shared" si="1"/>
      </c>
      <c r="J119" s="446">
        <f t="shared" si="5"/>
      </c>
      <c r="K119" s="446">
        <f t="shared" si="3"/>
      </c>
      <c r="L119" s="444">
        <f>SUM(L115:L118)</f>
      </c>
      <c r="M119" s="444">
        <f>SUM(M115:M118)</f>
      </c>
      <c r="N119" s="443"/>
      <c r="O119" s="444">
        <f>SUM(O115:O118)</f>
      </c>
      <c r="P119" s="443"/>
      <c r="Q119" s="443"/>
      <c r="R119" s="443"/>
      <c r="S119" s="443"/>
    </row>
    <row r="120">
      <c r="A120" s="437" t="s">
        <v>1093</v>
      </c>
      <c r="B120" s="449" t="s">
        <v>1031</v>
      </c>
      <c r="C120" s="438" t="s">
        <v>1086</v>
      </c>
      <c r="D120" s="451">
        <v>4</v>
      </c>
      <c r="E120" s="438">
        <v>14</v>
      </c>
      <c r="F120" s="438">
        <v>5</v>
      </c>
      <c r="G120" s="438">
        <v>12002.4</v>
      </c>
      <c r="H120" s="438">
        <v>8208.7</v>
      </c>
      <c r="I120" s="439">
        <f t="shared" si="1"/>
      </c>
      <c r="J120" s="439">
        <f t="shared" si="5"/>
      </c>
      <c r="K120" s="439">
        <f t="shared" si="3"/>
      </c>
      <c r="L120" s="438">
        <v>7</v>
      </c>
      <c r="M120" s="438">
        <v>4885.2</v>
      </c>
      <c r="N120" s="438" t="s">
        <v>1094</v>
      </c>
      <c r="O120" s="438">
        <v>9</v>
      </c>
      <c r="P120" s="440"/>
      <c r="Q120" s="440"/>
      <c r="R120" s="440"/>
      <c r="S120" s="440"/>
    </row>
    <row r="121">
      <c r="A121" s="437" t="s">
        <v>1093</v>
      </c>
      <c r="B121" s="450" t="s">
        <v>1040</v>
      </c>
      <c r="C121" s="438" t="s">
        <v>1064</v>
      </c>
      <c r="D121" s="438">
        <v>5</v>
      </c>
      <c r="E121" s="438">
        <v>16</v>
      </c>
      <c r="F121" s="438">
        <v>14</v>
      </c>
      <c r="G121" s="438">
        <v>12607.4</v>
      </c>
      <c r="H121" s="438">
        <v>10778.48</v>
      </c>
      <c r="I121" s="439">
        <f t="shared" si="1"/>
      </c>
      <c r="J121" s="439">
        <f t="shared" si="5"/>
      </c>
      <c r="K121" s="439">
        <f t="shared" si="3"/>
      </c>
      <c r="L121" s="438">
        <v>3</v>
      </c>
      <c r="M121" s="438">
        <v>1417.6</v>
      </c>
      <c r="N121" s="438"/>
      <c r="O121" s="438"/>
      <c r="P121" s="440"/>
      <c r="Q121" s="440"/>
      <c r="R121" s="440"/>
      <c r="S121" s="440"/>
    </row>
    <row r="122">
      <c r="A122" s="437" t="s">
        <v>1093</v>
      </c>
      <c r="B122" s="441" t="s">
        <v>1042</v>
      </c>
      <c r="C122" s="438" t="s">
        <v>1072</v>
      </c>
      <c r="D122" s="438">
        <v>4</v>
      </c>
      <c r="E122" s="438">
        <v>11</v>
      </c>
      <c r="F122" s="438">
        <v>6</v>
      </c>
      <c r="G122" s="438">
        <v>6173.4</v>
      </c>
      <c r="H122" s="438">
        <v>5863.46</v>
      </c>
      <c r="I122" s="439">
        <f t="shared" si="1"/>
      </c>
      <c r="J122" s="439">
        <f t="shared" si="5"/>
      </c>
      <c r="K122" s="439">
        <f t="shared" si="3"/>
      </c>
      <c r="L122" s="448">
        <v>1</v>
      </c>
      <c r="M122" s="448">
        <v>1948</v>
      </c>
      <c r="N122" s="438"/>
      <c r="O122" s="438"/>
      <c r="P122" s="440"/>
      <c r="Q122" s="440"/>
      <c r="R122" s="440"/>
      <c r="S122" s="440"/>
    </row>
    <row r="123">
      <c r="A123" s="437" t="s">
        <v>1093</v>
      </c>
      <c r="B123" s="447" t="s">
        <v>1034</v>
      </c>
      <c r="C123" s="438" t="s">
        <v>1073</v>
      </c>
      <c r="D123" s="438">
        <v>4</v>
      </c>
      <c r="E123" s="438">
        <v>20</v>
      </c>
      <c r="F123" s="438">
        <v>15</v>
      </c>
      <c r="G123" s="438">
        <v>14870.6</v>
      </c>
      <c r="H123" s="438">
        <v>10394.64</v>
      </c>
      <c r="I123" s="439">
        <f t="shared" si="1"/>
      </c>
      <c r="J123" s="439">
        <f t="shared" si="5"/>
      </c>
      <c r="K123" s="439">
        <f t="shared" si="3"/>
      </c>
      <c r="L123" s="448">
        <v>2</v>
      </c>
      <c r="M123" s="448">
        <v>1300.8</v>
      </c>
      <c r="N123" s="438" t="s">
        <v>1038</v>
      </c>
      <c r="O123" s="438">
        <v>9</v>
      </c>
      <c r="P123" s="440"/>
      <c r="Q123" s="440"/>
      <c r="R123" s="440"/>
      <c r="S123" s="440"/>
    </row>
    <row r="124">
      <c r="A124" s="442" t="s">
        <v>1093</v>
      </c>
      <c r="B124" s="443"/>
      <c r="C124" s="443"/>
      <c r="D124" s="444">
        <f>SUM(D120:D123)</f>
      </c>
      <c r="E124" s="444">
        <f>SUM(E120:E123)</f>
      </c>
      <c r="F124" s="444">
        <f>SUM(F120:F123)</f>
      </c>
      <c r="G124" s="444">
        <f>SUM(G120:G123)</f>
      </c>
      <c r="H124" s="444">
        <f>SUM(H120:H123)</f>
      </c>
      <c r="I124" s="446">
        <f t="shared" si="1"/>
      </c>
      <c r="J124" s="446">
        <f t="shared" si="5"/>
      </c>
      <c r="K124" s="446">
        <f t="shared" si="3"/>
      </c>
      <c r="L124" s="444">
        <f>SUM(L120:L123)</f>
      </c>
      <c r="M124" s="444">
        <f>SUM(M120:M123)</f>
      </c>
      <c r="N124" s="443"/>
      <c r="O124" s="444">
        <f>SUM(O120:O123)</f>
      </c>
      <c r="P124" s="443"/>
      <c r="Q124" s="443"/>
      <c r="R124" s="443"/>
      <c r="S124" s="443"/>
    </row>
    <row r="125">
      <c r="A125" s="437" t="s">
        <v>1095</v>
      </c>
      <c r="B125" s="450" t="s">
        <v>1040</v>
      </c>
      <c r="C125" s="438" t="s">
        <v>1096</v>
      </c>
      <c r="D125" s="438">
        <v>3</v>
      </c>
      <c r="E125" s="438">
        <v>14</v>
      </c>
      <c r="F125" s="438">
        <v>11</v>
      </c>
      <c r="G125" s="438">
        <v>9863.6</v>
      </c>
      <c r="H125" s="438">
        <v>9205.47</v>
      </c>
      <c r="I125" s="439">
        <f t="shared" si="1"/>
      </c>
      <c r="J125" s="439">
        <f t="shared" si="5"/>
      </c>
      <c r="K125" s="439">
        <f t="shared" si="3"/>
      </c>
      <c r="L125" s="438">
        <v>1</v>
      </c>
      <c r="M125" s="438">
        <v>176.4</v>
      </c>
      <c r="N125" s="438" t="s">
        <v>1094</v>
      </c>
      <c r="O125" s="438">
        <v>3</v>
      </c>
      <c r="P125" s="440"/>
      <c r="Q125" s="440"/>
      <c r="R125" s="440"/>
      <c r="S125" s="440"/>
    </row>
    <row r="126">
      <c r="A126" s="442" t="s">
        <v>1095</v>
      </c>
      <c r="B126" s="443"/>
      <c r="C126" s="443"/>
      <c r="D126" s="444">
        <f>SUM(D125)</f>
      </c>
      <c r="E126" s="444">
        <f>SUM(E125)</f>
      </c>
      <c r="F126" s="444">
        <f>SUM(F125)</f>
      </c>
      <c r="G126" s="444">
        <f>SUM(G125)</f>
      </c>
      <c r="H126" s="444">
        <f>SUM(H125)</f>
      </c>
      <c r="I126" s="446">
        <f t="shared" si="1"/>
      </c>
      <c r="J126" s="446">
        <f t="shared" si="5"/>
      </c>
      <c r="K126" s="446">
        <f t="shared" si="3"/>
      </c>
      <c r="L126" s="444">
        <f>SUM(L125)</f>
      </c>
      <c r="M126" s="444">
        <f>SUM(M125)</f>
      </c>
      <c r="N126" s="443"/>
      <c r="O126" s="444">
        <f>SUM(O125)</f>
      </c>
      <c r="P126" s="443"/>
      <c r="Q126" s="443"/>
      <c r="R126" s="443"/>
      <c r="S126" s="443"/>
    </row>
    <row r="127">
      <c r="A127" s="437" t="s">
        <v>1097</v>
      </c>
      <c r="B127" s="452" t="s">
        <v>1040</v>
      </c>
      <c r="C127" s="440" t="s">
        <v>1098</v>
      </c>
      <c r="D127" s="451">
        <v>4</v>
      </c>
      <c r="E127" s="438">
        <v>38</v>
      </c>
      <c r="F127" s="438">
        <v>23</v>
      </c>
      <c r="G127" s="440">
        <v>22725.2</v>
      </c>
      <c r="H127" s="440">
        <v>18280.48</v>
      </c>
      <c r="I127" s="439">
        <f t="shared" si="1"/>
      </c>
      <c r="J127" s="439">
        <f t="shared" si="5"/>
      </c>
      <c r="K127" s="439">
        <f t="shared" si="3"/>
      </c>
      <c r="L127" s="438">
        <v>9</v>
      </c>
      <c r="M127" s="438">
        <v>4659</v>
      </c>
      <c r="N127" s="438" t="s">
        <v>1049</v>
      </c>
      <c r="O127" s="438">
        <v>8</v>
      </c>
      <c r="P127" s="440"/>
      <c r="Q127" s="440"/>
      <c r="R127" s="440"/>
      <c r="S127" s="440"/>
    </row>
    <row r="128">
      <c r="A128" s="437" t="s">
        <v>1097</v>
      </c>
      <c r="B128" s="453" t="s">
        <v>1034</v>
      </c>
      <c r="C128" s="454" t="s">
        <v>1099</v>
      </c>
      <c r="D128" s="451">
        <v>4.5</v>
      </c>
      <c r="E128" s="438">
        <v>16</v>
      </c>
      <c r="F128" s="438">
        <v>10</v>
      </c>
      <c r="G128" s="438">
        <v>12433.4</v>
      </c>
      <c r="H128" s="438">
        <v>10829.88</v>
      </c>
      <c r="I128" s="439">
        <f t="shared" si="1"/>
      </c>
      <c r="J128" s="439">
        <f t="shared" si="5"/>
      </c>
      <c r="K128" s="439">
        <f t="shared" si="3"/>
      </c>
      <c r="L128" s="438">
        <v>1</v>
      </c>
      <c r="M128" s="438">
        <v>474</v>
      </c>
      <c r="N128" s="440"/>
      <c r="O128" s="440"/>
      <c r="P128" s="440"/>
      <c r="Q128" s="440"/>
      <c r="R128" s="440"/>
      <c r="S128" s="440"/>
    </row>
    <row r="129">
      <c r="A129" s="437" t="s">
        <v>1097</v>
      </c>
      <c r="B129" s="453" t="s">
        <v>1042</v>
      </c>
      <c r="C129" s="455" t="s">
        <v>1100</v>
      </c>
      <c r="D129" s="451">
        <v>4.5</v>
      </c>
      <c r="E129" s="438">
        <v>22</v>
      </c>
      <c r="F129" s="438">
        <v>17</v>
      </c>
      <c r="G129" s="438">
        <v>11116.2</v>
      </c>
      <c r="H129" s="438">
        <v>15586.89</v>
      </c>
      <c r="I129" s="439">
        <f t="shared" si="1"/>
      </c>
      <c r="J129" s="439">
        <f t="shared" si="5"/>
      </c>
      <c r="K129" s="439">
        <f t="shared" si="3"/>
      </c>
      <c r="L129" s="438">
        <v>4</v>
      </c>
      <c r="M129" s="438">
        <v>1833.8</v>
      </c>
      <c r="N129" s="438" t="s">
        <v>1038</v>
      </c>
      <c r="O129" s="438">
        <v>7</v>
      </c>
      <c r="P129" s="440"/>
      <c r="Q129" s="440"/>
      <c r="R129" s="440"/>
      <c r="S129" s="440"/>
    </row>
    <row r="130">
      <c r="A130" s="456" t="s">
        <v>1097</v>
      </c>
      <c r="B130" s="457"/>
      <c r="C130" s="443"/>
      <c r="D130" s="444">
        <f>SUM(D127:D129)</f>
      </c>
      <c r="E130" s="444">
        <f>SUM(E127:E129)</f>
      </c>
      <c r="F130" s="444">
        <f>SUM(F127:F129)</f>
      </c>
      <c r="G130" s="444">
        <f>SUM(G127:G129)</f>
      </c>
      <c r="H130" s="444">
        <f>SUM(H127:H129)</f>
      </c>
      <c r="I130" s="446">
        <f t="shared" si="1"/>
      </c>
      <c r="J130" s="446">
        <f t="shared" si="5"/>
      </c>
      <c r="K130" s="446">
        <f t="shared" si="3"/>
      </c>
      <c r="L130" s="443">
        <f>SUM(L127:L129)</f>
      </c>
      <c r="M130" s="443">
        <f>SUM(M127:M129)</f>
      </c>
      <c r="N130" s="443"/>
      <c r="O130" s="444">
        <f>SUM(O127:O129)</f>
      </c>
      <c r="P130" s="443"/>
      <c r="Q130" s="443"/>
      <c r="R130" s="443"/>
      <c r="S130" s="443"/>
    </row>
    <row r="131"/>
    <row r="132">
      <c r="G132" s="458"/>
      <c r="H132" s="458"/>
    </row>
    <row r="133">
      <c r="F133" s="458"/>
      <c r="G133" s="458"/>
      <c r="H133" s="459"/>
      <c r="K133" s="458"/>
      <c r="L133" s="458"/>
    </row>
    <row r="134"/>
    <row r="135"/>
    <row r="136">
      <c r="G136" s="458"/>
      <c r="H136" s="458"/>
    </row>
    <row r="137">
      <c r="I137" s="460"/>
    </row>
    <row r="138">
      <c r="I138" s="460"/>
    </row>
    <row r="139">
      <c r="I139" s="460"/>
    </row>
    <row r="140">
      <c r="I140" s="460"/>
    </row>
    <row r="141"/>
    <row r="142">
      <c r="I142" s="460"/>
    </row>
  </sheetData>
  <autoFilter ref="A1:S130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9" min="9" style="0" width="11.211267605633802"/>
    <col collapsed="false" customWidth="true" hidden="false" max="10" min="10" style="0" width="11.211267605633802"/>
    <col collapsed="false" customWidth="true" hidden="false" max="11" min="11" style="0" width="11.211267605633802"/>
    <col collapsed="false" customWidth="true" hidden="false" max="3" min="3" style="0" width="17.859154929577464"/>
    <col collapsed="false" customWidth="true" hidden="false" max="8" min="8" style="0" width="11.211267605633802"/>
  </cols>
  <sheetData>
    <row r="1">
      <c r="A1" s="461" t="s">
        <v>1101</v>
      </c>
      <c r="B1" s="461" t="s">
        <v>1102</v>
      </c>
      <c r="C1" s="461" t="s">
        <v>1103</v>
      </c>
      <c r="D1" s="461" t="s">
        <v>1104</v>
      </c>
      <c r="E1" s="461" t="s">
        <v>1105</v>
      </c>
      <c r="F1" s="462" t="s">
        <v>1106</v>
      </c>
      <c r="G1" s="463" t="s">
        <v>1107</v>
      </c>
      <c r="H1" s="463" t="s">
        <v>1108</v>
      </c>
      <c r="I1" s="463" t="s">
        <v>1109</v>
      </c>
      <c r="J1" s="463" t="s">
        <v>1110</v>
      </c>
      <c r="K1" s="463" t="s">
        <v>1111</v>
      </c>
      <c r="L1" s="461" t="s">
        <v>1112</v>
      </c>
      <c r="M1" s="461" t="s">
        <v>1113</v>
      </c>
      <c r="N1" s="461" t="s">
        <v>1114</v>
      </c>
      <c r="O1" s="461" t="s">
        <v>1115</v>
      </c>
      <c r="P1" s="461" t="s">
        <v>1116</v>
      </c>
      <c r="Q1" s="461" t="s">
        <v>1115</v>
      </c>
      <c r="R1" s="461" t="s">
        <v>1117</v>
      </c>
      <c r="S1" s="461" t="s">
        <v>1118</v>
      </c>
    </row>
    <row r="2">
      <c r="A2" s="464" t="s">
        <v>1119</v>
      </c>
      <c r="B2" s="465" t="s">
        <v>1120</v>
      </c>
      <c r="C2" s="465" t="s">
        <v>1121</v>
      </c>
      <c r="D2" s="466">
        <v>4</v>
      </c>
      <c r="E2" s="465">
        <v>8</v>
      </c>
      <c r="F2" s="465">
        <v>6</v>
      </c>
      <c r="G2" s="465">
        <v>5688</v>
      </c>
      <c r="H2" s="465">
        <v>7144.3</v>
      </c>
      <c r="I2" s="467">
        <f t="shared" ref="I2:I120" si="1">G2/H2</f>
      </c>
      <c r="J2" s="467">
        <f t="shared" ref="J2:J120" si="2">G2/E2</f>
      </c>
      <c r="K2" s="467">
        <f t="shared" ref="K2:K120" si="0">H2/E2</f>
      </c>
      <c r="L2" s="465">
        <v>2</v>
      </c>
      <c r="M2" s="465">
        <v>2143.2</v>
      </c>
      <c r="N2" s="466"/>
      <c r="O2" s="466"/>
      <c r="P2" s="466"/>
      <c r="Q2" s="466"/>
      <c r="R2" s="466"/>
      <c r="S2" s="466"/>
    </row>
    <row r="3">
      <c r="A3" s="464" t="s">
        <v>1119</v>
      </c>
      <c r="B3" s="465" t="s">
        <v>1122</v>
      </c>
      <c r="C3" s="465" t="s">
        <v>1123</v>
      </c>
      <c r="D3" s="465">
        <v>4</v>
      </c>
      <c r="E3" s="465">
        <v>10</v>
      </c>
      <c r="F3" s="465">
        <v>10</v>
      </c>
      <c r="G3" s="465">
        <v>5674.6</v>
      </c>
      <c r="H3" s="465">
        <v>6522.68</v>
      </c>
      <c r="I3" s="467">
        <f t="shared" si="1"/>
      </c>
      <c r="J3" s="467">
        <f t="shared" si="2"/>
      </c>
      <c r="K3" s="467">
        <f t="shared" si="0"/>
      </c>
      <c r="L3" s="465">
        <v>0</v>
      </c>
      <c r="M3" s="465">
        <v>0</v>
      </c>
      <c r="N3" s="466"/>
      <c r="O3" s="465"/>
      <c r="P3" s="466"/>
      <c r="Q3" s="466"/>
      <c r="R3" s="466"/>
      <c r="S3" s="466"/>
    </row>
    <row r="4">
      <c r="A4" s="464" t="s">
        <v>1119</v>
      </c>
      <c r="B4" s="465" t="s">
        <v>1124</v>
      </c>
      <c r="C4" s="465" t="s">
        <v>1125</v>
      </c>
      <c r="D4" s="465">
        <v>4</v>
      </c>
      <c r="E4" s="465">
        <v>20</v>
      </c>
      <c r="F4" s="465">
        <v>14</v>
      </c>
      <c r="G4" s="465">
        <v>15374</v>
      </c>
      <c r="H4" s="465">
        <v>10293.33</v>
      </c>
      <c r="I4" s="467">
        <f t="shared" si="1"/>
      </c>
      <c r="J4" s="467">
        <f t="shared" si="2"/>
      </c>
      <c r="K4" s="467">
        <f t="shared" si="0"/>
      </c>
      <c r="L4" s="465">
        <v>4</v>
      </c>
      <c r="M4" s="465">
        <v>2552.8</v>
      </c>
      <c r="N4" s="465" t="s">
        <v>1126</v>
      </c>
      <c r="O4" s="465">
        <v>12</v>
      </c>
      <c r="P4" s="466"/>
      <c r="Q4" s="466"/>
      <c r="R4" s="466"/>
      <c r="S4" s="466"/>
    </row>
    <row r="5">
      <c r="A5" s="468" t="s">
        <v>1119</v>
      </c>
      <c r="B5" s="469"/>
      <c r="C5" s="469"/>
      <c r="D5" s="470">
        <f>SUM(D2:D4)</f>
      </c>
      <c r="E5" s="470">
        <f>SUM(E2:E4)</f>
      </c>
      <c r="F5" s="471">
        <f>SUM(F2:F4)</f>
      </c>
      <c r="G5" s="470">
        <f>SUM(G2:G4)</f>
      </c>
      <c r="H5" s="470">
        <f>SUM(H2:H4)</f>
      </c>
      <c r="I5" s="472">
        <f t="shared" si="1"/>
      </c>
      <c r="J5" s="472">
        <f t="shared" si="2"/>
      </c>
      <c r="K5" s="472">
        <f t="shared" si="0"/>
      </c>
      <c r="L5" s="469">
        <f>SUM(L2:L4)</f>
      </c>
      <c r="M5" s="469">
        <f>SUM(M2:M4)</f>
      </c>
      <c r="N5" s="469"/>
      <c r="O5" s="470">
        <f>SUM(O2:O4)</f>
      </c>
      <c r="P5" s="469"/>
      <c r="Q5" s="469"/>
      <c r="R5" s="469"/>
      <c r="S5" s="469"/>
    </row>
    <row r="6">
      <c r="A6" s="464" t="s">
        <v>1127</v>
      </c>
      <c r="B6" s="465" t="s">
        <v>1128</v>
      </c>
      <c r="C6" s="465" t="s">
        <v>1129</v>
      </c>
      <c r="D6" s="466">
        <v>4</v>
      </c>
      <c r="E6" s="465">
        <v>16</v>
      </c>
      <c r="F6" s="465">
        <v>11</v>
      </c>
      <c r="G6" s="465">
        <v>10131.8</v>
      </c>
      <c r="H6" s="465">
        <v>9744.92</v>
      </c>
      <c r="I6" s="467">
        <f t="shared" si="1"/>
      </c>
      <c r="J6" s="467">
        <f t="shared" si="2"/>
      </c>
      <c r="K6" s="467">
        <f t="shared" si="0"/>
      </c>
      <c r="L6" s="465">
        <v>7</v>
      </c>
      <c r="M6" s="465">
        <v>4509.6</v>
      </c>
      <c r="N6" s="466"/>
      <c r="O6" s="466"/>
      <c r="P6" s="466"/>
      <c r="Q6" s="466"/>
      <c r="R6" s="466"/>
      <c r="S6" s="466"/>
    </row>
    <row r="7">
      <c r="A7" s="464" t="s">
        <v>1127</v>
      </c>
      <c r="B7" s="465" t="s">
        <v>1130</v>
      </c>
      <c r="C7" s="465" t="s">
        <v>1131</v>
      </c>
      <c r="D7" s="465">
        <v>3</v>
      </c>
      <c r="E7" s="465">
        <v>9</v>
      </c>
      <c r="F7" s="465">
        <v>9</v>
      </c>
      <c r="G7" s="465">
        <v>3939.6</v>
      </c>
      <c r="H7" s="465">
        <v>6691.47</v>
      </c>
      <c r="I7" s="467">
        <f t="shared" si="1"/>
      </c>
      <c r="J7" s="467">
        <f t="shared" si="2"/>
      </c>
      <c r="K7" s="467">
        <f t="shared" si="0"/>
      </c>
      <c r="L7" s="465">
        <v>2</v>
      </c>
      <c r="M7" s="465">
        <v>630</v>
      </c>
      <c r="N7" s="466"/>
      <c r="O7" s="465"/>
      <c r="P7" s="466"/>
      <c r="Q7" s="466"/>
      <c r="R7" s="466"/>
      <c r="S7" s="466"/>
    </row>
    <row r="8">
      <c r="A8" s="464" t="s">
        <v>1127</v>
      </c>
      <c r="B8" s="465" t="s">
        <v>1120</v>
      </c>
      <c r="C8" s="465" t="s">
        <v>1132</v>
      </c>
      <c r="D8" s="465">
        <v>4</v>
      </c>
      <c r="E8" s="465">
        <v>13</v>
      </c>
      <c r="F8" s="465">
        <v>11</v>
      </c>
      <c r="G8" s="465">
        <v>8856</v>
      </c>
      <c r="H8" s="465">
        <v>7475.92</v>
      </c>
      <c r="I8" s="467">
        <f t="shared" si="1"/>
      </c>
      <c r="J8" s="467">
        <f t="shared" si="2"/>
      </c>
      <c r="K8" s="467">
        <f t="shared" si="0"/>
      </c>
      <c r="L8" s="465">
        <v>0</v>
      </c>
      <c r="M8" s="465">
        <v>0</v>
      </c>
      <c r="N8" s="465" t="s">
        <v>1126</v>
      </c>
      <c r="O8" s="465">
        <v>11</v>
      </c>
      <c r="P8" s="466"/>
      <c r="Q8" s="466"/>
      <c r="R8" s="466"/>
      <c r="S8" s="466"/>
    </row>
    <row r="9">
      <c r="A9" s="468" t="s">
        <v>1127</v>
      </c>
      <c r="B9" s="469"/>
      <c r="C9" s="469"/>
      <c r="D9" s="470">
        <f>SUM(D6:D8)</f>
      </c>
      <c r="E9" s="470">
        <f>SUM(E6:E8)</f>
      </c>
      <c r="F9" s="471">
        <f>SUM(F6:F8)</f>
      </c>
      <c r="G9" s="470">
        <f>SUM(G6:G8)</f>
      </c>
      <c r="H9" s="470">
        <f>SUM(H6:H8)</f>
      </c>
      <c r="I9" s="472">
        <f t="shared" si="1"/>
      </c>
      <c r="J9" s="472">
        <f t="shared" si="2"/>
      </c>
      <c r="K9" s="472">
        <f t="shared" si="0"/>
      </c>
      <c r="L9" s="469">
        <f>SUM(L6:L8)</f>
      </c>
      <c r="M9" s="469">
        <f>SUM(M6:M8)</f>
      </c>
      <c r="N9" s="469"/>
      <c r="O9" s="470">
        <f>SUM(O6:O8)</f>
      </c>
      <c r="P9" s="469"/>
      <c r="Q9" s="469"/>
      <c r="R9" s="469"/>
      <c r="S9" s="469"/>
    </row>
    <row r="10">
      <c r="A10" s="464" t="s">
        <v>1133</v>
      </c>
      <c r="B10" s="465" t="s">
        <v>1128</v>
      </c>
      <c r="C10" s="465" t="s">
        <v>1134</v>
      </c>
      <c r="D10" s="465">
        <v>5</v>
      </c>
      <c r="E10" s="465">
        <v>13</v>
      </c>
      <c r="F10" s="465">
        <v>10</v>
      </c>
      <c r="G10" s="465">
        <v>9701.8</v>
      </c>
      <c r="H10" s="465">
        <v>10643.17</v>
      </c>
      <c r="I10" s="467">
        <f t="shared" si="1"/>
      </c>
      <c r="J10" s="467">
        <f t="shared" si="2"/>
      </c>
      <c r="K10" s="467">
        <f t="shared" si="0"/>
      </c>
      <c r="L10" s="465">
        <v>5</v>
      </c>
      <c r="M10" s="465">
        <v>5593.2</v>
      </c>
      <c r="N10" s="465" t="s">
        <v>1135</v>
      </c>
      <c r="O10" s="465">
        <v>1.6</v>
      </c>
      <c r="P10" s="466"/>
      <c r="Q10" s="466"/>
      <c r="R10" s="466"/>
      <c r="S10" s="466"/>
    </row>
    <row r="11">
      <c r="A11" s="464" t="s">
        <v>1133</v>
      </c>
      <c r="B11" s="465" t="s">
        <v>1130</v>
      </c>
      <c r="C11" s="465" t="s">
        <v>1136</v>
      </c>
      <c r="D11" s="465">
        <v>3</v>
      </c>
      <c r="E11" s="465">
        <v>10</v>
      </c>
      <c r="F11" s="465">
        <v>8</v>
      </c>
      <c r="G11" s="465">
        <v>6576.2</v>
      </c>
      <c r="H11" s="465">
        <v>6235.36</v>
      </c>
      <c r="I11" s="467">
        <f t="shared" si="1"/>
      </c>
      <c r="J11" s="467">
        <f t="shared" si="2"/>
      </c>
      <c r="K11" s="467">
        <f t="shared" si="0"/>
      </c>
      <c r="L11" s="465">
        <v>2</v>
      </c>
      <c r="M11" s="465">
        <v>1456</v>
      </c>
      <c r="N11" s="466"/>
      <c r="O11" s="465"/>
      <c r="P11" s="466"/>
      <c r="Q11" s="466"/>
      <c r="R11" s="466"/>
      <c r="S11" s="466"/>
    </row>
    <row r="12">
      <c r="A12" s="464" t="s">
        <v>1133</v>
      </c>
      <c r="B12" s="465" t="s">
        <v>1124</v>
      </c>
      <c r="C12" s="465" t="s">
        <v>1125</v>
      </c>
      <c r="D12" s="465">
        <v>4</v>
      </c>
      <c r="E12" s="465">
        <v>22</v>
      </c>
      <c r="F12" s="465">
        <v>12</v>
      </c>
      <c r="G12" s="465">
        <v>12123.8</v>
      </c>
      <c r="H12" s="465">
        <v>7715.92</v>
      </c>
      <c r="I12" s="467">
        <f t="shared" si="1"/>
      </c>
      <c r="J12" s="467">
        <f t="shared" si="2"/>
      </c>
      <c r="K12" s="467">
        <f t="shared" si="0"/>
      </c>
      <c r="L12" s="465">
        <v>4</v>
      </c>
      <c r="M12" s="465">
        <v>1334.4</v>
      </c>
      <c r="N12" s="465" t="s">
        <v>1126</v>
      </c>
      <c r="O12" s="465">
        <v>8</v>
      </c>
      <c r="P12" s="466"/>
      <c r="Q12" s="466"/>
      <c r="R12" s="466"/>
      <c r="S12" s="466"/>
    </row>
    <row r="13">
      <c r="A13" s="468" t="s">
        <v>1133</v>
      </c>
      <c r="B13" s="469"/>
      <c r="C13" s="469"/>
      <c r="D13" s="470">
        <f>SUM(D10:D12)</f>
      </c>
      <c r="E13" s="470">
        <f>SUM(E10:E12)</f>
      </c>
      <c r="F13" s="471">
        <f>SUM(F10:F12)</f>
      </c>
      <c r="G13" s="470">
        <f>SUM(G10:G12)</f>
      </c>
      <c r="H13" s="470">
        <f>SUM(H10:H12)</f>
      </c>
      <c r="I13" s="472">
        <f t="shared" si="1"/>
      </c>
      <c r="J13" s="472">
        <f t="shared" si="2"/>
      </c>
      <c r="K13" s="472">
        <f t="shared" si="0"/>
      </c>
      <c r="L13" s="469">
        <f>SUM(L10:L12)</f>
      </c>
      <c r="M13" s="469">
        <f>SUM(M10:M12)</f>
      </c>
      <c r="N13" s="469"/>
      <c r="O13" s="470">
        <f>SUM(O10:O12)</f>
      </c>
      <c r="P13" s="469"/>
      <c r="Q13" s="469"/>
      <c r="R13" s="469"/>
      <c r="S13" s="469"/>
    </row>
    <row r="14">
      <c r="A14" s="464" t="s">
        <v>1137</v>
      </c>
      <c r="B14" s="465" t="s">
        <v>1128</v>
      </c>
      <c r="C14" s="465" t="s">
        <v>1121</v>
      </c>
      <c r="D14" s="465">
        <v>4</v>
      </c>
      <c r="E14" s="465">
        <v>12</v>
      </c>
      <c r="F14" s="465">
        <v>7</v>
      </c>
      <c r="G14" s="465">
        <v>12699.6</v>
      </c>
      <c r="H14" s="465">
        <v>7356.379999999999</v>
      </c>
      <c r="I14" s="467">
        <f t="shared" si="1"/>
      </c>
      <c r="J14" s="467">
        <f t="shared" si="2"/>
      </c>
      <c r="K14" s="467">
        <f t="shared" si="0"/>
      </c>
      <c r="L14" s="465">
        <v>0</v>
      </c>
      <c r="M14" s="465">
        <v>0</v>
      </c>
      <c r="N14" s="465"/>
      <c r="O14" s="465"/>
      <c r="P14" s="466"/>
      <c r="Q14" s="466"/>
      <c r="R14" s="466"/>
      <c r="S14" s="466"/>
    </row>
    <row r="15">
      <c r="A15" s="464" t="s">
        <v>1137</v>
      </c>
      <c r="B15" s="465" t="s">
        <v>1120</v>
      </c>
      <c r="C15" s="465" t="s">
        <v>1123</v>
      </c>
      <c r="D15" s="465">
        <v>4</v>
      </c>
      <c r="E15" s="465">
        <v>6</v>
      </c>
      <c r="F15" s="465">
        <v>6</v>
      </c>
      <c r="G15" s="465">
        <v>3011</v>
      </c>
      <c r="H15" s="465">
        <v>6157.1900000000005</v>
      </c>
      <c r="I15" s="467">
        <f t="shared" si="1"/>
      </c>
      <c r="J15" s="467">
        <f t="shared" si="2"/>
      </c>
      <c r="K15" s="467">
        <f t="shared" si="0"/>
      </c>
      <c r="L15" s="465">
        <v>0</v>
      </c>
      <c r="M15" s="465">
        <v>0</v>
      </c>
      <c r="N15" s="466"/>
      <c r="O15" s="465"/>
      <c r="P15" s="466"/>
      <c r="Q15" s="466"/>
      <c r="R15" s="466"/>
      <c r="S15" s="466"/>
    </row>
    <row r="16">
      <c r="A16" s="464" t="s">
        <v>1137</v>
      </c>
      <c r="B16" s="465" t="s">
        <v>1124</v>
      </c>
      <c r="C16" s="465" t="s">
        <v>1138</v>
      </c>
      <c r="D16" s="465">
        <v>3</v>
      </c>
      <c r="E16" s="465">
        <v>3</v>
      </c>
      <c r="F16" s="465">
        <v>2</v>
      </c>
      <c r="G16" s="465">
        <v>1203.6000000000004</v>
      </c>
      <c r="H16" s="465">
        <v>3505.32</v>
      </c>
      <c r="I16" s="467">
        <f t="shared" si="1"/>
      </c>
      <c r="J16" s="467">
        <f t="shared" si="2"/>
      </c>
      <c r="K16" s="467">
        <f t="shared" si="0"/>
      </c>
      <c r="L16" s="465">
        <v>0</v>
      </c>
      <c r="M16" s="465">
        <v>0</v>
      </c>
      <c r="N16" s="465" t="s">
        <v>1139</v>
      </c>
      <c r="O16" s="465">
        <v>11</v>
      </c>
      <c r="P16" s="466"/>
      <c r="Q16" s="466"/>
      <c r="R16" s="466"/>
      <c r="S16" s="466"/>
    </row>
    <row r="17">
      <c r="A17" s="468">
        <v>9.4</v>
      </c>
      <c r="B17" s="469"/>
      <c r="C17" s="469"/>
      <c r="D17" s="470">
        <f>SUM(D14:D16)</f>
      </c>
      <c r="E17" s="470">
        <f>SUM(E14:E16)</f>
      </c>
      <c r="F17" s="471">
        <f>SUM(F14:F16)</f>
      </c>
      <c r="G17" s="470">
        <f>SUM(G14:G16)</f>
      </c>
      <c r="H17" s="470">
        <f>SUM(H14:H16)</f>
      </c>
      <c r="I17" s="472">
        <f t="shared" si="1"/>
      </c>
      <c r="J17" s="472">
        <f t="shared" si="2"/>
      </c>
      <c r="K17" s="472">
        <f t="shared" si="0"/>
      </c>
      <c r="L17" s="469">
        <f>SUM(L14:L16)</f>
      </c>
      <c r="M17" s="469">
        <f>SUM(M14:M16)</f>
      </c>
      <c r="N17" s="469"/>
      <c r="O17" s="470">
        <f>SUM(O14:O16)</f>
      </c>
      <c r="P17" s="469"/>
      <c r="Q17" s="469"/>
      <c r="R17" s="469"/>
      <c r="S17" s="469"/>
    </row>
    <row r="18">
      <c r="A18" s="464" t="s">
        <v>1140</v>
      </c>
      <c r="B18" s="465" t="s">
        <v>1128</v>
      </c>
      <c r="C18" s="465" t="s">
        <v>1121</v>
      </c>
      <c r="D18" s="465">
        <v>4</v>
      </c>
      <c r="E18" s="465">
        <v>22</v>
      </c>
      <c r="F18" s="465">
        <v>11</v>
      </c>
      <c r="G18" s="465">
        <v>22127</v>
      </c>
      <c r="H18" s="465">
        <v>11374.68</v>
      </c>
      <c r="I18" s="467">
        <f t="shared" si="1"/>
      </c>
      <c r="J18" s="467">
        <f t="shared" si="2"/>
      </c>
      <c r="K18" s="467">
        <f t="shared" si="0"/>
      </c>
      <c r="L18" s="465">
        <v>1</v>
      </c>
      <c r="M18" s="465">
        <v>298.8</v>
      </c>
      <c r="N18" s="465"/>
      <c r="O18" s="465"/>
      <c r="P18" s="466"/>
      <c r="Q18" s="466"/>
      <c r="R18" s="466"/>
      <c r="S18" s="466"/>
    </row>
    <row r="19">
      <c r="A19" s="464" t="s">
        <v>1140</v>
      </c>
      <c r="B19" s="465" t="s">
        <v>1130</v>
      </c>
      <c r="C19" s="465" t="s">
        <v>1123</v>
      </c>
      <c r="D19" s="465">
        <v>4</v>
      </c>
      <c r="E19" s="465">
        <v>11</v>
      </c>
      <c r="F19" s="465">
        <v>11</v>
      </c>
      <c r="G19" s="465">
        <v>7371.5999999999985</v>
      </c>
      <c r="H19" s="465">
        <v>7421.839999999999</v>
      </c>
      <c r="I19" s="467">
        <f t="shared" si="1"/>
      </c>
      <c r="J19" s="467">
        <f t="shared" si="2"/>
      </c>
      <c r="K19" s="467">
        <f t="shared" si="0"/>
      </c>
      <c r="L19" s="465">
        <v>2</v>
      </c>
      <c r="M19" s="465">
        <v>822</v>
      </c>
      <c r="N19" s="466"/>
      <c r="O19" s="465"/>
      <c r="P19" s="466"/>
      <c r="Q19" s="466"/>
      <c r="R19" s="466"/>
      <c r="S19" s="466"/>
    </row>
    <row r="20">
      <c r="A20" s="464" t="s">
        <v>1140</v>
      </c>
      <c r="B20" s="465" t="s">
        <v>1124</v>
      </c>
      <c r="C20" s="465" t="s">
        <v>1125</v>
      </c>
      <c r="D20" s="465">
        <v>4</v>
      </c>
      <c r="E20" s="465">
        <v>19</v>
      </c>
      <c r="F20" s="465">
        <v>14</v>
      </c>
      <c r="G20" s="465">
        <v>12211.200000000004</v>
      </c>
      <c r="H20" s="465">
        <v>11106.47</v>
      </c>
      <c r="I20" s="467">
        <f t="shared" si="1"/>
      </c>
      <c r="J20" s="467">
        <f t="shared" si="2"/>
      </c>
      <c r="K20" s="467">
        <f t="shared" si="0"/>
      </c>
      <c r="L20" s="465">
        <v>0</v>
      </c>
      <c r="M20" s="465">
        <v>0</v>
      </c>
      <c r="N20" s="465" t="s">
        <v>1139</v>
      </c>
      <c r="O20" s="465">
        <v>12</v>
      </c>
      <c r="P20" s="466"/>
      <c r="Q20" s="466"/>
      <c r="R20" s="466"/>
      <c r="S20" s="466"/>
    </row>
    <row r="21">
      <c r="A21" s="468">
        <v>9.5</v>
      </c>
      <c r="B21" s="469"/>
      <c r="C21" s="469"/>
      <c r="D21" s="470">
        <f>SUM(D18:D20)</f>
      </c>
      <c r="E21" s="470">
        <f>SUM(E18:E20)</f>
      </c>
      <c r="F21" s="471">
        <f>SUM(F18:F20)</f>
      </c>
      <c r="G21" s="470">
        <f>SUM(G18:G20)</f>
      </c>
      <c r="H21" s="470">
        <f>SUM(H18:H20)</f>
      </c>
      <c r="I21" s="472">
        <f t="shared" si="1"/>
      </c>
      <c r="J21" s="472">
        <f t="shared" si="2"/>
      </c>
      <c r="K21" s="472">
        <f t="shared" si="0"/>
      </c>
      <c r="L21" s="469">
        <f>SUM(L18:L20)</f>
      </c>
      <c r="M21" s="469">
        <f>SUM(M18:M20)</f>
      </c>
      <c r="N21" s="469"/>
      <c r="O21" s="470">
        <f>SUM(O18:O20)</f>
      </c>
      <c r="P21" s="469"/>
      <c r="Q21" s="469"/>
      <c r="R21" s="469"/>
      <c r="S21" s="469"/>
    </row>
    <row r="22">
      <c r="A22" s="464" t="s">
        <v>1141</v>
      </c>
      <c r="B22" s="465" t="s">
        <v>1142</v>
      </c>
      <c r="C22" s="465" t="s">
        <v>1134</v>
      </c>
      <c r="D22" s="465">
        <v>5</v>
      </c>
      <c r="E22" s="465">
        <v>15</v>
      </c>
      <c r="F22" s="465">
        <v>9</v>
      </c>
      <c r="G22" s="465">
        <v>18232.6</v>
      </c>
      <c r="H22" s="465">
        <v>15305.419999999998</v>
      </c>
      <c r="I22" s="467">
        <f t="shared" si="1"/>
      </c>
      <c r="J22" s="467">
        <f t="shared" si="2"/>
      </c>
      <c r="K22" s="467">
        <f t="shared" si="0"/>
      </c>
      <c r="L22" s="465">
        <v>5</v>
      </c>
      <c r="M22" s="465">
        <v>4793.8</v>
      </c>
      <c r="N22" s="465"/>
      <c r="O22" s="465"/>
      <c r="P22" s="466"/>
      <c r="Q22" s="466"/>
      <c r="R22" s="466"/>
      <c r="S22" s="466"/>
    </row>
    <row r="23">
      <c r="A23" s="464" t="s">
        <v>1141</v>
      </c>
      <c r="B23" s="465" t="s">
        <v>1130</v>
      </c>
      <c r="C23" s="465" t="s">
        <v>1136</v>
      </c>
      <c r="D23" s="465">
        <v>3</v>
      </c>
      <c r="E23" s="465">
        <v>5</v>
      </c>
      <c r="F23" s="465">
        <v>2</v>
      </c>
      <c r="G23" s="465">
        <v>2740.800000000003</v>
      </c>
      <c r="H23" s="465">
        <v>3103</v>
      </c>
      <c r="I23" s="467">
        <f t="shared" si="1"/>
      </c>
      <c r="J23" s="467">
        <f t="shared" si="2"/>
      </c>
      <c r="K23" s="467">
        <f t="shared" si="0"/>
      </c>
      <c r="L23" s="465">
        <v>0</v>
      </c>
      <c r="M23" s="465">
        <v>0</v>
      </c>
      <c r="N23" s="466"/>
      <c r="O23" s="465"/>
      <c r="P23" s="466"/>
      <c r="Q23" s="466"/>
      <c r="R23" s="466"/>
      <c r="S23" s="466"/>
    </row>
    <row r="24">
      <c r="A24" s="464" t="s">
        <v>1141</v>
      </c>
      <c r="B24" s="465" t="s">
        <v>1128</v>
      </c>
      <c r="C24" s="465" t="s">
        <v>1125</v>
      </c>
      <c r="D24" s="465">
        <v>4</v>
      </c>
      <c r="E24" s="465">
        <v>28</v>
      </c>
      <c r="F24" s="465">
        <v>17</v>
      </c>
      <c r="G24" s="465">
        <v>23853.4</v>
      </c>
      <c r="H24" s="465">
        <v>7799.35</v>
      </c>
      <c r="I24" s="467">
        <f t="shared" si="1"/>
      </c>
      <c r="J24" s="467">
        <f t="shared" si="2"/>
      </c>
      <c r="K24" s="467">
        <f t="shared" si="0"/>
      </c>
      <c r="L24" s="465">
        <v>3</v>
      </c>
      <c r="M24" s="465">
        <v>873</v>
      </c>
      <c r="N24" s="465" t="s">
        <v>1139</v>
      </c>
      <c r="O24" s="465">
        <v>12</v>
      </c>
      <c r="P24" s="466"/>
      <c r="Q24" s="466"/>
      <c r="R24" s="466"/>
      <c r="S24" s="466"/>
    </row>
    <row r="25">
      <c r="A25" s="468">
        <v>9.6</v>
      </c>
      <c r="B25" s="469"/>
      <c r="C25" s="469"/>
      <c r="D25" s="470">
        <f>SUM(D22:D24)</f>
      </c>
      <c r="E25" s="470">
        <f>SUM(E22:E24)</f>
      </c>
      <c r="F25" s="471">
        <f>SUM(F22:F24)</f>
      </c>
      <c r="G25" s="470">
        <f>SUM(G22:G24)</f>
      </c>
      <c r="H25" s="470">
        <f>SUM(H22:H24)</f>
      </c>
      <c r="I25" s="472">
        <f t="shared" si="1"/>
      </c>
      <c r="J25" s="472">
        <f t="shared" si="2"/>
      </c>
      <c r="K25" s="472">
        <f t="shared" si="0"/>
      </c>
      <c r="L25" s="469">
        <f>SUM(L22:L24)</f>
      </c>
      <c r="M25" s="469">
        <f>SUM(M22:M24)</f>
      </c>
      <c r="N25" s="469"/>
      <c r="O25" s="470">
        <f>SUM(O22:O24)</f>
      </c>
      <c r="P25" s="469"/>
      <c r="Q25" s="469"/>
      <c r="R25" s="469"/>
      <c r="S25" s="469"/>
    </row>
    <row r="26">
      <c r="A26" s="473">
        <v>9.7</v>
      </c>
      <c r="B26" s="465" t="s">
        <v>1128</v>
      </c>
      <c r="C26" s="465" t="s">
        <v>1143</v>
      </c>
      <c r="D26" s="465">
        <v>4</v>
      </c>
      <c r="E26" s="465">
        <v>16</v>
      </c>
      <c r="F26" s="465">
        <v>11</v>
      </c>
      <c r="G26" s="465">
        <v>21118.8</v>
      </c>
      <c r="H26" s="465">
        <v>10008.54</v>
      </c>
      <c r="I26" s="467">
        <f t="shared" si="1"/>
      </c>
      <c r="J26" s="467">
        <f t="shared" si="2"/>
      </c>
      <c r="K26" s="467">
        <f t="shared" si="0"/>
      </c>
      <c r="L26" s="465">
        <v>1</v>
      </c>
      <c r="M26" s="465">
        <v>3164.4</v>
      </c>
      <c r="N26" s="466"/>
      <c r="O26" s="466"/>
      <c r="P26" s="466"/>
      <c r="Q26" s="466"/>
      <c r="R26" s="466"/>
      <c r="S26" s="466"/>
    </row>
    <row r="27">
      <c r="A27" s="473">
        <v>9.7</v>
      </c>
      <c r="B27" s="465" t="s">
        <v>1120</v>
      </c>
      <c r="C27" s="465" t="s">
        <v>1144</v>
      </c>
      <c r="D27" s="465">
        <v>4</v>
      </c>
      <c r="E27" s="465">
        <v>13</v>
      </c>
      <c r="F27" s="465">
        <v>10</v>
      </c>
      <c r="G27" s="466">
        <v>7249.200000000001</v>
      </c>
      <c r="H27" s="466">
        <v>8105.889999999999</v>
      </c>
      <c r="I27" s="467">
        <f t="shared" si="1"/>
      </c>
      <c r="J27" s="467">
        <f t="shared" si="2"/>
      </c>
      <c r="K27" s="467">
        <f t="shared" si="0"/>
      </c>
      <c r="L27" s="465">
        <v>0</v>
      </c>
      <c r="M27" s="465">
        <v>0</v>
      </c>
      <c r="N27" s="465" t="s">
        <v>1145</v>
      </c>
      <c r="O27" s="474">
        <v>8</v>
      </c>
      <c r="P27" s="466"/>
      <c r="Q27" s="466"/>
      <c r="R27" s="466"/>
      <c r="S27" s="466"/>
    </row>
    <row r="28">
      <c r="A28" s="468">
        <v>9.7</v>
      </c>
      <c r="B28" s="469"/>
      <c r="C28" s="469"/>
      <c r="D28" s="470">
        <f>SUM(D26:D27)</f>
      </c>
      <c r="E28" s="470">
        <f>SUM(E26:E27)</f>
      </c>
      <c r="F28" s="470">
        <f>SUM(F26:F27)</f>
      </c>
      <c r="G28" s="470">
        <f>SUM(G26:G27)</f>
      </c>
      <c r="H28" s="470">
        <f>SUM(H26:H27)</f>
      </c>
      <c r="I28" s="472">
        <f t="shared" si="1"/>
      </c>
      <c r="J28" s="472">
        <f t="shared" si="2"/>
      </c>
      <c r="K28" s="472">
        <f t="shared" si="0"/>
      </c>
      <c r="L28" s="469">
        <f>SUM(L26:L27)</f>
      </c>
      <c r="M28" s="469">
        <f>SUM(M26:M27)</f>
      </c>
      <c r="N28" s="469"/>
      <c r="O28" s="470">
        <f>SUM(O26:O27)</f>
      </c>
      <c r="P28" s="469"/>
      <c r="Q28" s="469"/>
      <c r="R28" s="469"/>
      <c r="S28" s="469"/>
    </row>
    <row r="29">
      <c r="A29" s="464" t="s">
        <v>1146</v>
      </c>
      <c r="B29" s="465" t="s">
        <v>1120</v>
      </c>
      <c r="C29" s="465" t="s">
        <v>1121</v>
      </c>
      <c r="D29" s="465">
        <v>4</v>
      </c>
      <c r="E29" s="465">
        <v>8</v>
      </c>
      <c r="F29" s="465">
        <v>6</v>
      </c>
      <c r="G29" s="465">
        <v>5983.2</v>
      </c>
      <c r="H29" s="465">
        <v>7760.25</v>
      </c>
      <c r="I29" s="467">
        <f t="shared" si="1"/>
      </c>
      <c r="J29" s="467">
        <f t="shared" si="2"/>
      </c>
      <c r="K29" s="467">
        <f t="shared" si="0"/>
      </c>
      <c r="L29" s="465">
        <v>0</v>
      </c>
      <c r="M29" s="465">
        <v>0</v>
      </c>
      <c r="N29" s="465"/>
      <c r="O29" s="465"/>
      <c r="P29" s="466"/>
      <c r="Q29" s="466"/>
      <c r="R29" s="466"/>
      <c r="S29" s="466"/>
    </row>
    <row r="30">
      <c r="A30" s="464" t="s">
        <v>1146</v>
      </c>
      <c r="B30" s="465" t="s">
        <v>1128</v>
      </c>
      <c r="C30" s="465" t="s">
        <v>1123</v>
      </c>
      <c r="D30" s="465">
        <v>4</v>
      </c>
      <c r="E30" s="465">
        <v>15</v>
      </c>
      <c r="F30" s="465">
        <v>8</v>
      </c>
      <c r="G30" s="465">
        <v>10623.399999999998</v>
      </c>
      <c r="H30" s="465">
        <v>6516.589999999999</v>
      </c>
      <c r="I30" s="467">
        <f t="shared" si="1"/>
      </c>
      <c r="J30" s="467">
        <f t="shared" si="2"/>
      </c>
      <c r="K30" s="467">
        <f t="shared" si="0"/>
      </c>
      <c r="L30" s="465">
        <v>3</v>
      </c>
      <c r="M30" s="465">
        <v>2076</v>
      </c>
      <c r="N30" s="466"/>
      <c r="O30" s="465"/>
      <c r="P30" s="466"/>
      <c r="Q30" s="466"/>
      <c r="R30" s="466"/>
      <c r="S30" s="466"/>
    </row>
    <row r="31">
      <c r="A31" s="464" t="s">
        <v>1146</v>
      </c>
      <c r="B31" s="465" t="s">
        <v>1124</v>
      </c>
      <c r="C31" s="465" t="s">
        <v>1125</v>
      </c>
      <c r="D31" s="465">
        <v>4</v>
      </c>
      <c r="E31" s="465">
        <v>11</v>
      </c>
      <c r="F31" s="465">
        <v>8</v>
      </c>
      <c r="G31" s="465">
        <v>5173.800000000003</v>
      </c>
      <c r="H31" s="465">
        <v>8953.68</v>
      </c>
      <c r="I31" s="467">
        <f t="shared" si="1"/>
      </c>
      <c r="J31" s="467">
        <f t="shared" si="2"/>
      </c>
      <c r="K31" s="467">
        <f t="shared" si="0"/>
      </c>
      <c r="L31" s="465">
        <v>4</v>
      </c>
      <c r="M31" s="465">
        <v>1512</v>
      </c>
      <c r="N31" s="465" t="s">
        <v>1139</v>
      </c>
      <c r="O31" s="465">
        <v>12</v>
      </c>
      <c r="P31" s="466"/>
      <c r="Q31" s="466"/>
      <c r="R31" s="466"/>
      <c r="S31" s="466"/>
    </row>
    <row r="32">
      <c r="A32" s="468">
        <v>9.8</v>
      </c>
      <c r="B32" s="469"/>
      <c r="C32" s="469"/>
      <c r="D32" s="470">
        <f>SUM(D29:D31)</f>
      </c>
      <c r="E32" s="470">
        <f>SUM(E29:E31)</f>
      </c>
      <c r="F32" s="471">
        <f>SUM(F29:F31)</f>
      </c>
      <c r="G32" s="470">
        <f>SUM(G29:G31)</f>
      </c>
      <c r="H32" s="470">
        <f>SUM(H29:H31)</f>
      </c>
      <c r="I32" s="472">
        <f t="shared" si="1"/>
      </c>
      <c r="J32" s="472">
        <f t="shared" si="2"/>
      </c>
      <c r="K32" s="472">
        <f t="shared" si="0"/>
      </c>
      <c r="L32" s="469">
        <f>SUM(L29:L31)</f>
      </c>
      <c r="M32" s="469">
        <f>SUM(M29:M31)</f>
      </c>
      <c r="N32" s="469"/>
      <c r="O32" s="470">
        <f>SUM(O29:O31)</f>
      </c>
      <c r="P32" s="469"/>
      <c r="Q32" s="469"/>
      <c r="R32" s="469"/>
      <c r="S32" s="469"/>
    </row>
    <row r="33">
      <c r="A33" s="464" t="s">
        <v>1147</v>
      </c>
      <c r="B33" s="465" t="s">
        <v>1128</v>
      </c>
      <c r="C33" s="465" t="s">
        <v>1121</v>
      </c>
      <c r="D33" s="465">
        <v>4</v>
      </c>
      <c r="E33" s="465">
        <v>10</v>
      </c>
      <c r="F33" s="465">
        <v>9</v>
      </c>
      <c r="G33" s="465">
        <v>7702.4</v>
      </c>
      <c r="H33" s="465">
        <v>6653.76</v>
      </c>
      <c r="I33" s="467">
        <f t="shared" si="1"/>
      </c>
      <c r="J33" s="467">
        <f t="shared" si="2"/>
      </c>
      <c r="K33" s="467">
        <f t="shared" si="0"/>
      </c>
      <c r="L33" s="465">
        <v>1</v>
      </c>
      <c r="M33" s="465">
        <v>356.4</v>
      </c>
      <c r="N33" s="465"/>
      <c r="O33" s="465"/>
      <c r="P33" s="466"/>
      <c r="Q33" s="466"/>
      <c r="R33" s="466"/>
      <c r="S33" s="466"/>
    </row>
    <row r="34">
      <c r="A34" s="464" t="s">
        <v>1147</v>
      </c>
      <c r="B34" s="465" t="s">
        <v>1122</v>
      </c>
      <c r="C34" s="465" t="s">
        <v>1123</v>
      </c>
      <c r="D34" s="465">
        <v>4</v>
      </c>
      <c r="E34" s="465">
        <v>7</v>
      </c>
      <c r="F34" s="465">
        <v>4</v>
      </c>
      <c r="G34" s="465">
        <v>5450.800000000001</v>
      </c>
      <c r="H34" s="465">
        <v>5484.86</v>
      </c>
      <c r="I34" s="467">
        <f t="shared" si="1"/>
      </c>
      <c r="J34" s="467">
        <f t="shared" si="2"/>
      </c>
      <c r="K34" s="467">
        <f t="shared" si="0"/>
      </c>
      <c r="L34" s="465">
        <v>0</v>
      </c>
      <c r="M34" s="465">
        <v>0</v>
      </c>
      <c r="N34" s="466"/>
      <c r="O34" s="465"/>
      <c r="P34" s="466"/>
      <c r="Q34" s="466"/>
      <c r="R34" s="466"/>
      <c r="S34" s="466"/>
    </row>
    <row r="35">
      <c r="A35" s="464" t="s">
        <v>1147</v>
      </c>
      <c r="B35" s="465" t="s">
        <v>1124</v>
      </c>
      <c r="C35" s="465" t="s">
        <v>1125</v>
      </c>
      <c r="D35" s="465">
        <v>4</v>
      </c>
      <c r="E35" s="465">
        <v>12</v>
      </c>
      <c r="F35" s="465">
        <v>8</v>
      </c>
      <c r="G35" s="465">
        <v>6966</v>
      </c>
      <c r="H35" s="465">
        <v>6414.2300000000005</v>
      </c>
      <c r="I35" s="467">
        <f t="shared" si="1"/>
      </c>
      <c r="J35" s="467">
        <f t="shared" si="2"/>
      </c>
      <c r="K35" s="467">
        <f t="shared" si="0"/>
      </c>
      <c r="L35" s="465">
        <v>0</v>
      </c>
      <c r="M35" s="465">
        <v>0</v>
      </c>
      <c r="N35" s="465" t="s">
        <v>1139</v>
      </c>
      <c r="O35" s="465">
        <v>12</v>
      </c>
      <c r="P35" s="466"/>
      <c r="Q35" s="466"/>
      <c r="R35" s="466"/>
      <c r="S35" s="466"/>
    </row>
    <row r="36">
      <c r="A36" s="468">
        <v>9.9</v>
      </c>
      <c r="B36" s="469"/>
      <c r="C36" s="469"/>
      <c r="D36" s="470">
        <f>SUM(D33:D35)</f>
      </c>
      <c r="E36" s="470">
        <f>SUM(E33:E35)</f>
      </c>
      <c r="F36" s="471">
        <f>SUM(F33:F35)</f>
      </c>
      <c r="G36" s="470">
        <f>SUM(G33:G35)</f>
      </c>
      <c r="H36" s="470">
        <f>SUM(H33:H35)</f>
      </c>
      <c r="I36" s="472">
        <f t="shared" si="1"/>
      </c>
      <c r="J36" s="472">
        <f t="shared" si="2"/>
      </c>
      <c r="K36" s="472">
        <f t="shared" si="0"/>
      </c>
      <c r="L36" s="469">
        <f>SUM(L33:L35)</f>
      </c>
      <c r="M36" s="469">
        <f>SUM(M33:M35)</f>
      </c>
      <c r="N36" s="469"/>
      <c r="O36" s="470">
        <f>SUM(O33:O35)</f>
      </c>
      <c r="P36" s="469"/>
      <c r="Q36" s="469"/>
      <c r="R36" s="469"/>
      <c r="S36" s="469"/>
    </row>
    <row r="37">
      <c r="A37" s="464" t="s">
        <v>1148</v>
      </c>
      <c r="B37" s="465" t="s">
        <v>1124</v>
      </c>
      <c r="C37" s="465" t="s">
        <v>1121</v>
      </c>
      <c r="D37" s="465">
        <v>5</v>
      </c>
      <c r="E37" s="465">
        <v>11</v>
      </c>
      <c r="F37" s="465">
        <v>7</v>
      </c>
      <c r="G37" s="465">
        <v>7591</v>
      </c>
      <c r="H37" s="465">
        <v>6842.51</v>
      </c>
      <c r="I37" s="467">
        <f t="shared" si="1"/>
      </c>
      <c r="J37" s="467">
        <f t="shared" si="2"/>
      </c>
      <c r="K37" s="467">
        <f t="shared" si="0"/>
      </c>
      <c r="L37" s="465">
        <v>2</v>
      </c>
      <c r="M37" s="465">
        <v>1819.2</v>
      </c>
      <c r="N37" s="465"/>
      <c r="O37" s="465"/>
      <c r="P37" s="466"/>
      <c r="Q37" s="466"/>
      <c r="R37" s="466"/>
      <c r="S37" s="466"/>
    </row>
    <row r="38">
      <c r="A38" s="464" t="s">
        <v>1148</v>
      </c>
      <c r="B38" s="465" t="s">
        <v>1122</v>
      </c>
      <c r="C38" s="465" t="s">
        <v>1123</v>
      </c>
      <c r="D38" s="465">
        <v>3</v>
      </c>
      <c r="E38" s="465">
        <v>0</v>
      </c>
      <c r="F38" s="465">
        <v>0</v>
      </c>
      <c r="G38" s="465">
        <v>0</v>
      </c>
      <c r="H38" s="465">
        <v>1754.02</v>
      </c>
      <c r="I38" s="467">
        <f t="shared" si="1"/>
      </c>
      <c r="J38" s="467">
        <f t="shared" si="2"/>
      </c>
      <c r="K38" s="467">
        <f t="shared" si="0"/>
      </c>
      <c r="L38" s="465">
        <v>0</v>
      </c>
      <c r="M38" s="465">
        <v>0</v>
      </c>
      <c r="N38" s="466"/>
      <c r="O38" s="465"/>
      <c r="P38" s="466"/>
      <c r="Q38" s="466"/>
      <c r="R38" s="466"/>
      <c r="S38" s="466"/>
    </row>
    <row r="39">
      <c r="A39" s="464" t="s">
        <v>1148</v>
      </c>
      <c r="B39" s="465" t="s">
        <v>1128</v>
      </c>
      <c r="C39" s="465" t="s">
        <v>1125</v>
      </c>
      <c r="D39" s="465">
        <v>4</v>
      </c>
      <c r="E39" s="465">
        <v>18</v>
      </c>
      <c r="F39" s="465">
        <v>12</v>
      </c>
      <c r="G39" s="465">
        <v>10675.2</v>
      </c>
      <c r="H39" s="465">
        <v>6371.84</v>
      </c>
      <c r="I39" s="467">
        <f t="shared" si="1"/>
      </c>
      <c r="J39" s="467">
        <f t="shared" si="2"/>
      </c>
      <c r="K39" s="467">
        <f t="shared" si="0"/>
      </c>
      <c r="L39" s="465">
        <v>2</v>
      </c>
      <c r="M39" s="465">
        <v>923.9999999999995</v>
      </c>
      <c r="N39" s="465" t="s">
        <v>1139</v>
      </c>
      <c r="O39" s="465">
        <v>12</v>
      </c>
      <c r="P39" s="466"/>
      <c r="Q39" s="466"/>
      <c r="R39" s="466"/>
      <c r="S39" s="466"/>
    </row>
    <row r="40">
      <c r="A40" s="475" t="s">
        <v>1148</v>
      </c>
      <c r="B40" s="469"/>
      <c r="C40" s="469"/>
      <c r="D40" s="470">
        <f>SUM(D37:D39)</f>
      </c>
      <c r="E40" s="470">
        <f>SUM(E37:E39)</f>
      </c>
      <c r="F40" s="471">
        <f>SUM(F37:F39)</f>
      </c>
      <c r="G40" s="470">
        <f>SUM(G37:G39)</f>
      </c>
      <c r="H40" s="470">
        <f>SUM(H37:H39)</f>
      </c>
      <c r="I40" s="472">
        <f t="shared" si="1"/>
      </c>
      <c r="J40" s="472">
        <f t="shared" si="2"/>
      </c>
      <c r="K40" s="472">
        <f t="shared" si="0"/>
      </c>
      <c r="L40" s="469">
        <f>SUM(L37:L39)</f>
      </c>
      <c r="M40" s="469">
        <f>SUM(M37:M39)</f>
      </c>
      <c r="N40" s="469"/>
      <c r="O40" s="470">
        <f>SUM(O37:O39)</f>
      </c>
      <c r="P40" s="469"/>
      <c r="Q40" s="469"/>
      <c r="R40" s="469"/>
      <c r="S40" s="469"/>
    </row>
    <row r="41">
      <c r="A41" s="464" t="s">
        <v>1149</v>
      </c>
      <c r="B41" s="465" t="s">
        <v>1128</v>
      </c>
      <c r="C41" s="465" t="s">
        <v>1121</v>
      </c>
      <c r="D41" s="465">
        <v>4</v>
      </c>
      <c r="E41" s="465">
        <v>5</v>
      </c>
      <c r="F41" s="465">
        <v>4</v>
      </c>
      <c r="G41" s="465">
        <v>3386.3999999999996</v>
      </c>
      <c r="H41" s="465">
        <v>6894.089999999999</v>
      </c>
      <c r="I41" s="467">
        <f t="shared" si="1"/>
      </c>
      <c r="J41" s="467">
        <f t="shared" si="2"/>
      </c>
      <c r="K41" s="467">
        <f t="shared" si="0"/>
      </c>
      <c r="L41" s="465">
        <v>0</v>
      </c>
      <c r="M41" s="465">
        <v>0</v>
      </c>
      <c r="N41" s="465"/>
      <c r="O41" s="465"/>
      <c r="P41" s="466"/>
      <c r="Q41" s="466"/>
      <c r="R41" s="466"/>
      <c r="S41" s="466"/>
    </row>
    <row r="42">
      <c r="A42" s="464" t="s">
        <v>1149</v>
      </c>
      <c r="B42" s="465" t="s">
        <v>1124</v>
      </c>
      <c r="C42" s="465" t="s">
        <v>1123</v>
      </c>
      <c r="D42" s="465">
        <v>4</v>
      </c>
      <c r="E42" s="465">
        <v>10</v>
      </c>
      <c r="F42" s="465">
        <v>8</v>
      </c>
      <c r="G42" s="465">
        <v>8213</v>
      </c>
      <c r="H42" s="465">
        <v>6498.5599999999995</v>
      </c>
      <c r="I42" s="467">
        <f t="shared" si="1"/>
      </c>
      <c r="J42" s="467">
        <f t="shared" si="2"/>
      </c>
      <c r="K42" s="467">
        <f t="shared" si="0"/>
      </c>
      <c r="L42" s="465">
        <v>3</v>
      </c>
      <c r="M42" s="465">
        <v>4208.4</v>
      </c>
      <c r="N42" s="466"/>
      <c r="O42" s="465"/>
      <c r="P42" s="466"/>
      <c r="Q42" s="466"/>
      <c r="R42" s="466"/>
      <c r="S42" s="466"/>
    </row>
    <row r="43">
      <c r="A43" s="464" t="s">
        <v>1149</v>
      </c>
      <c r="B43" s="465" t="s">
        <v>1120</v>
      </c>
      <c r="C43" s="465" t="s">
        <v>1125</v>
      </c>
      <c r="D43" s="465">
        <v>4</v>
      </c>
      <c r="E43" s="465">
        <v>18</v>
      </c>
      <c r="F43" s="465">
        <v>12</v>
      </c>
      <c r="G43" s="465">
        <v>9288.579999999996</v>
      </c>
      <c r="H43" s="465">
        <v>10576.919999999998</v>
      </c>
      <c r="I43" s="467">
        <f t="shared" si="1"/>
      </c>
      <c r="J43" s="467">
        <f t="shared" si="2"/>
      </c>
      <c r="K43" s="467">
        <f t="shared" si="0"/>
      </c>
      <c r="L43" s="465">
        <v>2</v>
      </c>
      <c r="M43" s="465">
        <v>652.8</v>
      </c>
      <c r="N43" s="465" t="s">
        <v>1139</v>
      </c>
      <c r="O43" s="465">
        <v>12</v>
      </c>
      <c r="P43" s="466"/>
      <c r="Q43" s="466"/>
      <c r="R43" s="466"/>
      <c r="S43" s="466"/>
    </row>
    <row r="44">
      <c r="A44" s="475" t="s">
        <v>1149</v>
      </c>
      <c r="B44" s="469"/>
      <c r="C44" s="469"/>
      <c r="D44" s="470">
        <f>SUM(D41:D43)</f>
      </c>
      <c r="E44" s="470">
        <f>SUM(E41:E43)</f>
      </c>
      <c r="F44" s="471">
        <f>SUM(F41:F43)</f>
      </c>
      <c r="G44" s="470">
        <f>SUM(G41:G43)</f>
      </c>
      <c r="H44" s="470">
        <f>SUM(H41:H43)</f>
      </c>
      <c r="I44" s="472">
        <f t="shared" si="1"/>
      </c>
      <c r="J44" s="472">
        <f t="shared" si="2"/>
      </c>
      <c r="K44" s="472">
        <f t="shared" si="0"/>
      </c>
      <c r="L44" s="469">
        <f>SUM(L41:L43)</f>
      </c>
      <c r="M44" s="469">
        <f>SUM(M41:M43)</f>
      </c>
      <c r="N44" s="469"/>
      <c r="O44" s="470">
        <f>SUM(O41:O43)</f>
      </c>
      <c r="P44" s="469"/>
      <c r="Q44" s="469"/>
      <c r="R44" s="469"/>
      <c r="S44" s="469"/>
    </row>
    <row r="45">
      <c r="A45" s="464" t="s">
        <v>1150</v>
      </c>
      <c r="B45" s="465" t="s">
        <v>1128</v>
      </c>
      <c r="C45" s="465" t="s">
        <v>1151</v>
      </c>
      <c r="D45" s="465">
        <v>4</v>
      </c>
      <c r="E45" s="465">
        <v>6</v>
      </c>
      <c r="F45" s="465">
        <v>4</v>
      </c>
      <c r="G45" s="465">
        <v>10334.4</v>
      </c>
      <c r="H45" s="465">
        <v>5173.04</v>
      </c>
      <c r="I45" s="467">
        <f t="shared" si="1"/>
      </c>
      <c r="J45" s="467">
        <f t="shared" si="2"/>
      </c>
      <c r="K45" s="467">
        <f t="shared" si="0"/>
      </c>
      <c r="L45" s="465">
        <v>0</v>
      </c>
      <c r="M45" s="465">
        <v>0</v>
      </c>
      <c r="N45" s="465" t="s">
        <v>1152</v>
      </c>
      <c r="O45" s="465">
        <v>1.6</v>
      </c>
      <c r="P45" s="466"/>
      <c r="Q45" s="466"/>
      <c r="R45" s="466"/>
      <c r="S45" s="466"/>
    </row>
    <row r="46">
      <c r="A46" s="464" t="s">
        <v>1150</v>
      </c>
      <c r="B46" s="465" t="s">
        <v>1124</v>
      </c>
      <c r="C46" s="465" t="s">
        <v>1121</v>
      </c>
      <c r="D46" s="465">
        <v>4</v>
      </c>
      <c r="E46" s="465">
        <v>7</v>
      </c>
      <c r="F46" s="465">
        <v>5</v>
      </c>
      <c r="G46" s="465">
        <v>4343.2</v>
      </c>
      <c r="H46" s="465">
        <v>5245.62</v>
      </c>
      <c r="I46" s="467">
        <f t="shared" si="1"/>
      </c>
      <c r="J46" s="467">
        <f t="shared" si="2"/>
      </c>
      <c r="K46" s="467">
        <f t="shared" si="0"/>
      </c>
      <c r="L46" s="465">
        <v>0</v>
      </c>
      <c r="M46" s="465">
        <v>0</v>
      </c>
      <c r="N46" s="465" t="s">
        <v>1126</v>
      </c>
      <c r="O46" s="465">
        <v>8</v>
      </c>
      <c r="P46" s="466"/>
      <c r="Q46" s="466"/>
      <c r="R46" s="466"/>
      <c r="S46" s="466"/>
    </row>
    <row r="47">
      <c r="A47" s="464" t="s">
        <v>1150</v>
      </c>
      <c r="B47" s="465" t="s">
        <v>1120</v>
      </c>
      <c r="C47" s="465" t="s">
        <v>1123</v>
      </c>
      <c r="D47" s="465">
        <v>4</v>
      </c>
      <c r="E47" s="465">
        <v>6</v>
      </c>
      <c r="F47" s="465">
        <v>4</v>
      </c>
      <c r="G47" s="465">
        <v>8263.2</v>
      </c>
      <c r="H47" s="465">
        <v>5258.71</v>
      </c>
      <c r="I47" s="467">
        <f t="shared" si="1"/>
      </c>
      <c r="J47" s="467">
        <f t="shared" si="2"/>
      </c>
      <c r="K47" s="467">
        <f t="shared" si="0"/>
      </c>
      <c r="L47" s="465">
        <v>0</v>
      </c>
      <c r="M47" s="465">
        <v>0</v>
      </c>
      <c r="N47" s="465"/>
      <c r="O47" s="465"/>
      <c r="P47" s="466"/>
      <c r="Q47" s="466"/>
      <c r="R47" s="466"/>
      <c r="S47" s="466"/>
    </row>
    <row r="48">
      <c r="A48" s="475" t="s">
        <v>1150</v>
      </c>
      <c r="B48" s="469"/>
      <c r="C48" s="469"/>
      <c r="D48" s="470">
        <f>SUM(D45:D47)</f>
      </c>
      <c r="E48" s="470">
        <f>SUM(E45:E47)</f>
      </c>
      <c r="F48" s="471">
        <f>SUM(F45:F47)</f>
      </c>
      <c r="G48" s="470">
        <f>SUM(G45:G47)</f>
      </c>
      <c r="H48" s="470">
        <f>SUM(H45:H47)</f>
      </c>
      <c r="I48" s="472">
        <f t="shared" si="1"/>
      </c>
      <c r="J48" s="472">
        <f t="shared" si="2"/>
      </c>
      <c r="K48" s="472">
        <f t="shared" si="0"/>
      </c>
      <c r="L48" s="469">
        <f>SUM(L45:L47)</f>
      </c>
      <c r="M48" s="469">
        <f>SUM(M45:M47)</f>
      </c>
      <c r="N48" s="469"/>
      <c r="O48" s="470">
        <f>SUM(O45:O47)</f>
      </c>
      <c r="P48" s="469"/>
      <c r="Q48" s="469"/>
      <c r="R48" s="469"/>
      <c r="S48" s="469"/>
    </row>
    <row r="49">
      <c r="A49" s="464" t="s">
        <v>1153</v>
      </c>
      <c r="B49" s="465" t="s">
        <v>1128</v>
      </c>
      <c r="C49" s="465" t="s">
        <v>1151</v>
      </c>
      <c r="D49" s="465">
        <v>4</v>
      </c>
      <c r="E49" s="465">
        <v>14</v>
      </c>
      <c r="F49" s="465">
        <v>13</v>
      </c>
      <c r="G49" s="465">
        <v>9507</v>
      </c>
      <c r="H49" s="465">
        <v>8793.93</v>
      </c>
      <c r="I49" s="467">
        <f t="shared" si="1"/>
      </c>
      <c r="J49" s="467">
        <f t="shared" si="2"/>
      </c>
      <c r="K49" s="467">
        <f t="shared" si="0"/>
      </c>
      <c r="L49" s="465">
        <v>2</v>
      </c>
      <c r="M49" s="465">
        <v>968.4</v>
      </c>
      <c r="N49" s="465" t="s">
        <v>1154</v>
      </c>
      <c r="O49" s="465">
        <v>4</v>
      </c>
      <c r="P49" s="466"/>
      <c r="Q49" s="466"/>
      <c r="R49" s="466"/>
      <c r="S49" s="466"/>
    </row>
    <row r="50">
      <c r="A50" s="464" t="s">
        <v>1153</v>
      </c>
      <c r="B50" s="465" t="s">
        <v>1124</v>
      </c>
      <c r="C50" s="465" t="s">
        <v>1121</v>
      </c>
      <c r="D50" s="465">
        <v>4</v>
      </c>
      <c r="E50" s="465">
        <v>4</v>
      </c>
      <c r="F50" s="465">
        <v>2</v>
      </c>
      <c r="G50" s="465">
        <v>3520.7999999999993</v>
      </c>
      <c r="H50" s="465">
        <v>4813.44</v>
      </c>
      <c r="I50" s="467">
        <f t="shared" si="1"/>
      </c>
      <c r="J50" s="467">
        <f t="shared" si="2"/>
      </c>
      <c r="K50" s="467">
        <f t="shared" si="0"/>
      </c>
      <c r="L50" s="465">
        <v>3</v>
      </c>
      <c r="M50" s="465">
        <v>1934.4</v>
      </c>
      <c r="N50" s="465"/>
      <c r="O50" s="465"/>
      <c r="P50" s="466"/>
      <c r="Q50" s="466"/>
      <c r="R50" s="466"/>
      <c r="S50" s="466"/>
    </row>
    <row r="51">
      <c r="A51" s="464" t="s">
        <v>1153</v>
      </c>
      <c r="B51" s="465" t="s">
        <v>1120</v>
      </c>
      <c r="C51" s="465" t="s">
        <v>1123</v>
      </c>
      <c r="D51" s="465">
        <v>4</v>
      </c>
      <c r="E51" s="465">
        <v>11</v>
      </c>
      <c r="F51" s="465">
        <v>5</v>
      </c>
      <c r="G51" s="465">
        <v>13017.8</v>
      </c>
      <c r="H51" s="465">
        <v>3789.49</v>
      </c>
      <c r="I51" s="467">
        <f t="shared" si="1"/>
      </c>
      <c r="J51" s="467">
        <f t="shared" si="2"/>
      </c>
      <c r="K51" s="467">
        <f t="shared" si="0"/>
      </c>
      <c r="L51" s="465">
        <v>1</v>
      </c>
      <c r="M51" s="465">
        <v>879.5999999999999</v>
      </c>
      <c r="N51" s="465" t="s">
        <v>1139</v>
      </c>
      <c r="O51" s="465">
        <v>8</v>
      </c>
      <c r="P51" s="466"/>
      <c r="Q51" s="466"/>
      <c r="R51" s="466"/>
      <c r="S51" s="466"/>
    </row>
    <row r="52">
      <c r="A52" s="475" t="s">
        <v>1153</v>
      </c>
      <c r="B52" s="469"/>
      <c r="C52" s="469"/>
      <c r="D52" s="470">
        <f>SUM(D49:D51)</f>
      </c>
      <c r="E52" s="470">
        <f>SUM(E49:E51)</f>
      </c>
      <c r="F52" s="471">
        <f>SUM(F49:F51)</f>
      </c>
      <c r="G52" s="470">
        <f>SUM(G49:G51)</f>
      </c>
      <c r="H52" s="470">
        <f>SUM(H49:H51)</f>
      </c>
      <c r="I52" s="472">
        <f t="shared" si="1"/>
      </c>
      <c r="J52" s="472">
        <f t="shared" si="2"/>
      </c>
      <c r="K52" s="472">
        <f t="shared" si="0"/>
      </c>
      <c r="L52" s="469">
        <f>SUM(L49:L51)</f>
      </c>
      <c r="M52" s="469">
        <f>SUM(M49:M51)</f>
      </c>
      <c r="N52" s="469"/>
      <c r="O52" s="470">
        <f>SUM(O49:O51)</f>
      </c>
      <c r="P52" s="469"/>
      <c r="Q52" s="469"/>
      <c r="R52" s="469"/>
      <c r="S52" s="469"/>
    </row>
    <row r="53">
      <c r="A53" s="464" t="s">
        <v>1155</v>
      </c>
      <c r="B53" s="465" t="s">
        <v>1128</v>
      </c>
      <c r="C53" s="465" t="s">
        <v>1151</v>
      </c>
      <c r="D53" s="465">
        <v>4</v>
      </c>
      <c r="E53" s="465">
        <v>11</v>
      </c>
      <c r="F53" s="465">
        <v>9</v>
      </c>
      <c r="G53" s="465">
        <v>12281.59</v>
      </c>
      <c r="H53" s="465">
        <v>8896.710000000001</v>
      </c>
      <c r="I53" s="467">
        <f t="shared" si="1"/>
      </c>
      <c r="J53" s="467">
        <f t="shared" si="2"/>
      </c>
      <c r="K53" s="467">
        <f t="shared" si="0"/>
      </c>
      <c r="L53" s="465">
        <v>1</v>
      </c>
      <c r="M53" s="465">
        <v>5220</v>
      </c>
      <c r="N53" s="465" t="s">
        <v>1156</v>
      </c>
      <c r="O53" s="465">
        <v>3.2</v>
      </c>
      <c r="P53" s="466"/>
      <c r="Q53" s="466"/>
      <c r="R53" s="466"/>
      <c r="S53" s="466"/>
    </row>
    <row r="54">
      <c r="A54" s="464" t="s">
        <v>1155</v>
      </c>
      <c r="B54" s="465" t="s">
        <v>1124</v>
      </c>
      <c r="C54" s="465" t="s">
        <v>1121</v>
      </c>
      <c r="D54" s="465">
        <v>4</v>
      </c>
      <c r="E54" s="465">
        <v>14</v>
      </c>
      <c r="F54" s="465">
        <v>9</v>
      </c>
      <c r="G54" s="465">
        <v>9684.599999999999</v>
      </c>
      <c r="H54" s="465">
        <v>7016.7699999999995</v>
      </c>
      <c r="I54" s="467">
        <f t="shared" si="1"/>
      </c>
      <c r="J54" s="467">
        <f t="shared" si="2"/>
      </c>
      <c r="K54" s="467">
        <f t="shared" si="0"/>
      </c>
      <c r="L54" s="465">
        <v>2</v>
      </c>
      <c r="M54" s="465">
        <v>2457</v>
      </c>
      <c r="N54" s="465"/>
      <c r="O54" s="465"/>
      <c r="P54" s="466"/>
      <c r="Q54" s="466"/>
      <c r="R54" s="466"/>
      <c r="S54" s="466"/>
    </row>
    <row r="55">
      <c r="A55" s="464" t="s">
        <v>1155</v>
      </c>
      <c r="B55" s="465" t="s">
        <v>1120</v>
      </c>
      <c r="C55" s="465" t="s">
        <v>1123</v>
      </c>
      <c r="D55" s="465">
        <v>4</v>
      </c>
      <c r="E55" s="465">
        <v>30</v>
      </c>
      <c r="F55" s="465">
        <v>24</v>
      </c>
      <c r="G55" s="465">
        <v>29592.399999999998</v>
      </c>
      <c r="H55" s="465">
        <v>14888.390000000001</v>
      </c>
      <c r="I55" s="467">
        <f t="shared" si="1"/>
      </c>
      <c r="J55" s="467">
        <f t="shared" si="2"/>
      </c>
      <c r="K55" s="467">
        <f t="shared" si="0"/>
      </c>
      <c r="L55" s="465">
        <v>4</v>
      </c>
      <c r="M55" s="465">
        <v>2853</v>
      </c>
      <c r="N55" s="465" t="s">
        <v>1157</v>
      </c>
      <c r="O55" s="465">
        <v>4</v>
      </c>
      <c r="P55" s="466"/>
      <c r="Q55" s="466"/>
      <c r="R55" s="466"/>
      <c r="S55" s="466"/>
    </row>
    <row r="56">
      <c r="A56" s="475" t="s">
        <v>1155</v>
      </c>
      <c r="B56" s="469"/>
      <c r="C56" s="469"/>
      <c r="D56" s="470">
        <f>SUM(D53:D55)</f>
      </c>
      <c r="E56" s="470">
        <f>SUM(E53:E55)</f>
      </c>
      <c r="F56" s="471">
        <f>SUM(F53:F55)</f>
      </c>
      <c r="G56" s="470">
        <f>SUM(G53:G55)</f>
      </c>
      <c r="H56" s="470">
        <f>SUM(H53:H55)</f>
      </c>
      <c r="I56" s="472">
        <f t="shared" si="1"/>
      </c>
      <c r="J56" s="472">
        <f t="shared" si="2"/>
      </c>
      <c r="K56" s="472">
        <f t="shared" si="0"/>
      </c>
      <c r="L56" s="469">
        <f>SUM(L53:L55)</f>
      </c>
      <c r="M56" s="469">
        <f>SUM(M53:M55)</f>
      </c>
      <c r="N56" s="469"/>
      <c r="O56" s="470">
        <f>SUM(O53:O55)</f>
      </c>
      <c r="P56" s="469"/>
      <c r="Q56" s="469"/>
      <c r="R56" s="469"/>
      <c r="S56" s="469"/>
    </row>
    <row r="57">
      <c r="A57" s="464" t="s">
        <v>1158</v>
      </c>
      <c r="B57" s="465" t="s">
        <v>1128</v>
      </c>
      <c r="C57" s="465" t="s">
        <v>1151</v>
      </c>
      <c r="D57" s="465">
        <v>4</v>
      </c>
      <c r="E57" s="465">
        <v>22</v>
      </c>
      <c r="F57" s="465">
        <v>14</v>
      </c>
      <c r="G57" s="465">
        <v>16860.6</v>
      </c>
      <c r="H57" s="465">
        <v>11885.72</v>
      </c>
      <c r="I57" s="467">
        <f t="shared" si="1"/>
      </c>
      <c r="J57" s="467">
        <f t="shared" si="2"/>
      </c>
      <c r="K57" s="467">
        <f t="shared" si="0"/>
      </c>
      <c r="L57" s="465">
        <v>6</v>
      </c>
      <c r="M57" s="465">
        <v>4475.999999999999</v>
      </c>
      <c r="N57" s="465" t="s">
        <v>1139</v>
      </c>
      <c r="O57" s="465">
        <v>8</v>
      </c>
      <c r="P57" s="466"/>
      <c r="Q57" s="466"/>
      <c r="R57" s="466"/>
      <c r="S57" s="466"/>
    </row>
    <row r="58">
      <c r="A58" s="464" t="s">
        <v>1158</v>
      </c>
      <c r="B58" s="465" t="s">
        <v>1159</v>
      </c>
      <c r="C58" s="465" t="s">
        <v>1121</v>
      </c>
      <c r="D58" s="465">
        <v>4</v>
      </c>
      <c r="E58" s="465">
        <v>12</v>
      </c>
      <c r="F58" s="465">
        <v>10</v>
      </c>
      <c r="G58" s="465">
        <v>7221.4000000000015</v>
      </c>
      <c r="H58" s="465">
        <v>8909.500000000002</v>
      </c>
      <c r="I58" s="467">
        <f t="shared" si="1"/>
      </c>
      <c r="J58" s="467">
        <f t="shared" si="2"/>
      </c>
      <c r="K58" s="467">
        <f t="shared" si="0"/>
      </c>
      <c r="L58" s="465">
        <v>1</v>
      </c>
      <c r="M58" s="465">
        <v>612.0000000000009</v>
      </c>
      <c r="N58" s="465"/>
      <c r="O58" s="465"/>
      <c r="P58" s="466"/>
      <c r="Q58" s="466"/>
      <c r="R58" s="466"/>
      <c r="S58" s="466"/>
    </row>
    <row r="59">
      <c r="A59" s="464" t="s">
        <v>1158</v>
      </c>
      <c r="B59" s="465" t="s">
        <v>1120</v>
      </c>
      <c r="C59" s="465" t="s">
        <v>1123</v>
      </c>
      <c r="D59" s="465">
        <v>4</v>
      </c>
      <c r="E59" s="465">
        <v>7</v>
      </c>
      <c r="F59" s="465">
        <v>5</v>
      </c>
      <c r="G59" s="465">
        <v>3833.7999999999993</v>
      </c>
      <c r="H59" s="465">
        <v>6202.09</v>
      </c>
      <c r="I59" s="467">
        <f t="shared" si="1"/>
      </c>
      <c r="J59" s="467">
        <f t="shared" si="2"/>
      </c>
      <c r="K59" s="467">
        <f t="shared" si="0"/>
      </c>
      <c r="L59" s="465">
        <v>0</v>
      </c>
      <c r="M59" s="465">
        <v>0</v>
      </c>
      <c r="N59" s="465" t="s">
        <v>1160</v>
      </c>
      <c r="O59" s="465">
        <v>4</v>
      </c>
      <c r="P59" s="466"/>
      <c r="Q59" s="466"/>
      <c r="R59" s="466"/>
      <c r="S59" s="466"/>
    </row>
    <row r="60">
      <c r="A60" s="475" t="s">
        <v>1158</v>
      </c>
      <c r="B60" s="469"/>
      <c r="C60" s="469"/>
      <c r="D60" s="470">
        <f>SUM(D57:D59)</f>
      </c>
      <c r="E60" s="470">
        <f>SUM(E57:E59)</f>
      </c>
      <c r="F60" s="471">
        <f>SUM(F57:F59)</f>
      </c>
      <c r="G60" s="470">
        <f>SUM(G57:G59)</f>
      </c>
      <c r="H60" s="470">
        <f>SUM(H57:H59)</f>
      </c>
      <c r="I60" s="472">
        <f t="shared" si="1"/>
      </c>
      <c r="J60" s="472">
        <f t="shared" si="2"/>
      </c>
      <c r="K60" s="472">
        <f t="shared" si="0"/>
      </c>
      <c r="L60" s="469">
        <f>SUM(L57:L59)</f>
      </c>
      <c r="M60" s="469">
        <f>SUM(M57:M59)</f>
      </c>
      <c r="N60" s="469"/>
      <c r="O60" s="470">
        <f>SUM(O57:O59)</f>
      </c>
      <c r="P60" s="469"/>
      <c r="Q60" s="469"/>
      <c r="R60" s="469"/>
      <c r="S60" s="469"/>
    </row>
    <row r="61">
      <c r="A61" s="464" t="s">
        <v>1161</v>
      </c>
      <c r="B61" s="465" t="s">
        <v>1128</v>
      </c>
      <c r="C61" s="465" t="s">
        <v>1162</v>
      </c>
      <c r="D61" s="465">
        <v>5</v>
      </c>
      <c r="E61" s="465">
        <v>20</v>
      </c>
      <c r="F61" s="465">
        <v>19</v>
      </c>
      <c r="G61" s="465">
        <v>11916.4</v>
      </c>
      <c r="H61" s="465">
        <v>13778.470000000001</v>
      </c>
      <c r="I61" s="467">
        <f t="shared" si="1"/>
      </c>
      <c r="J61" s="467">
        <f t="shared" si="2"/>
      </c>
      <c r="K61" s="467">
        <f t="shared" si="0"/>
      </c>
      <c r="L61" s="465">
        <v>5</v>
      </c>
      <c r="M61" s="465">
        <v>2272.8</v>
      </c>
      <c r="N61" s="465" t="s">
        <v>1139</v>
      </c>
      <c r="O61" s="465">
        <v>8</v>
      </c>
      <c r="P61" s="466"/>
      <c r="Q61" s="466"/>
      <c r="R61" s="466"/>
      <c r="S61" s="466"/>
    </row>
    <row r="62">
      <c r="A62" s="464" t="s">
        <v>1161</v>
      </c>
      <c r="B62" s="465" t="s">
        <v>1159</v>
      </c>
      <c r="C62" s="465" t="s">
        <v>1163</v>
      </c>
      <c r="D62" s="465">
        <v>3</v>
      </c>
      <c r="E62" s="465">
        <v>15</v>
      </c>
      <c r="F62" s="465">
        <v>11</v>
      </c>
      <c r="G62" s="465">
        <v>11513.4</v>
      </c>
      <c r="H62" s="465">
        <v>6136.4</v>
      </c>
      <c r="I62" s="467">
        <f t="shared" si="1"/>
      </c>
      <c r="J62" s="467">
        <f t="shared" si="2"/>
      </c>
      <c r="K62" s="467">
        <f t="shared" si="0"/>
      </c>
      <c r="L62" s="465">
        <v>0</v>
      </c>
      <c r="M62" s="465">
        <v>0</v>
      </c>
      <c r="N62" s="465"/>
      <c r="O62" s="465"/>
      <c r="P62" s="466"/>
      <c r="Q62" s="466"/>
      <c r="R62" s="466"/>
      <c r="S62" s="466"/>
    </row>
    <row r="63">
      <c r="A63" s="464" t="s">
        <v>1161</v>
      </c>
      <c r="B63" s="465" t="s">
        <v>1124</v>
      </c>
      <c r="C63" s="465" t="s">
        <v>1123</v>
      </c>
      <c r="D63" s="465">
        <v>4</v>
      </c>
      <c r="E63" s="465">
        <v>28</v>
      </c>
      <c r="F63" s="465">
        <v>11</v>
      </c>
      <c r="G63" s="465">
        <v>8317.4</v>
      </c>
      <c r="H63" s="465">
        <v>8035.36</v>
      </c>
      <c r="I63" s="467">
        <f t="shared" si="1"/>
      </c>
      <c r="J63" s="467">
        <f t="shared" si="2"/>
      </c>
      <c r="K63" s="467">
        <f t="shared" si="0"/>
      </c>
      <c r="L63" s="465">
        <v>2</v>
      </c>
      <c r="M63" s="465">
        <v>782.4</v>
      </c>
      <c r="N63" s="465" t="s">
        <v>1164</v>
      </c>
      <c r="O63" s="465">
        <v>1.6</v>
      </c>
      <c r="P63" s="466"/>
      <c r="Q63" s="466"/>
      <c r="R63" s="466"/>
      <c r="S63" s="466"/>
    </row>
    <row r="64">
      <c r="A64" s="475" t="s">
        <v>1161</v>
      </c>
      <c r="B64" s="469"/>
      <c r="C64" s="469"/>
      <c r="D64" s="470">
        <f>SUM(D61:D63)</f>
      </c>
      <c r="E64" s="470">
        <f>SUM(E61:E63)</f>
      </c>
      <c r="F64" s="471">
        <f>SUM(F61:F63)</f>
      </c>
      <c r="G64" s="470">
        <f>SUM(G61:G63)</f>
      </c>
      <c r="H64" s="470">
        <f>SUM(H61:H63)</f>
      </c>
      <c r="I64" s="472">
        <f t="shared" si="1"/>
      </c>
      <c r="J64" s="472">
        <f t="shared" si="2"/>
      </c>
      <c r="K64" s="472">
        <f t="shared" si="0"/>
      </c>
      <c r="L64" s="469">
        <f>SUM(L61:L63)</f>
      </c>
      <c r="M64" s="469">
        <f>SUM(M61:M63)</f>
      </c>
      <c r="N64" s="469"/>
      <c r="O64" s="470">
        <f>SUM(O61:O63)</f>
      </c>
      <c r="P64" s="469"/>
      <c r="Q64" s="469"/>
      <c r="R64" s="469"/>
      <c r="S64" s="469"/>
    </row>
    <row r="65">
      <c r="A65" s="464" t="s">
        <v>1165</v>
      </c>
      <c r="B65" s="465" t="s">
        <v>1128</v>
      </c>
      <c r="C65" s="465" t="s">
        <v>1162</v>
      </c>
      <c r="D65" s="465">
        <v>5</v>
      </c>
      <c r="E65" s="465">
        <v>23</v>
      </c>
      <c r="F65" s="465">
        <v>15</v>
      </c>
      <c r="G65" s="465">
        <v>10980.6</v>
      </c>
      <c r="H65" s="465">
        <v>14232.200000000003</v>
      </c>
      <c r="I65" s="467">
        <f t="shared" si="1"/>
      </c>
      <c r="J65" s="467">
        <f t="shared" si="2"/>
      </c>
      <c r="K65" s="467">
        <f t="shared" si="0"/>
      </c>
      <c r="L65" s="465">
        <v>1</v>
      </c>
      <c r="M65" s="465">
        <v>174</v>
      </c>
      <c r="N65" s="465" t="s">
        <v>1154</v>
      </c>
      <c r="O65" s="465">
        <v>4</v>
      </c>
      <c r="P65" s="466"/>
      <c r="Q65" s="466"/>
      <c r="R65" s="466"/>
      <c r="S65" s="466"/>
    </row>
    <row r="66">
      <c r="A66" s="464" t="s">
        <v>1165</v>
      </c>
      <c r="B66" s="465" t="s">
        <v>1159</v>
      </c>
      <c r="C66" s="465" t="s">
        <v>1163</v>
      </c>
      <c r="D66" s="465">
        <v>3</v>
      </c>
      <c r="E66" s="465">
        <v>13</v>
      </c>
      <c r="F66" s="465">
        <v>10</v>
      </c>
      <c r="G66" s="465">
        <v>7495.4</v>
      </c>
      <c r="H66" s="465">
        <v>6244.29</v>
      </c>
      <c r="I66" s="467">
        <f t="shared" si="1"/>
      </c>
      <c r="J66" s="467">
        <f t="shared" si="2"/>
      </c>
      <c r="K66" s="467">
        <f t="shared" si="0"/>
      </c>
      <c r="L66" s="465">
        <v>5</v>
      </c>
      <c r="M66" s="465">
        <v>2964</v>
      </c>
      <c r="N66" s="465"/>
      <c r="O66" s="465"/>
      <c r="P66" s="466"/>
      <c r="Q66" s="466"/>
      <c r="R66" s="466"/>
      <c r="S66" s="466"/>
    </row>
    <row r="67">
      <c r="A67" s="464" t="s">
        <v>1165</v>
      </c>
      <c r="B67" s="465" t="s">
        <v>1120</v>
      </c>
      <c r="C67" s="465" t="s">
        <v>1123</v>
      </c>
      <c r="D67" s="465">
        <v>4</v>
      </c>
      <c r="E67" s="465">
        <v>9</v>
      </c>
      <c r="F67" s="465">
        <v>4</v>
      </c>
      <c r="G67" s="465">
        <v>6352.4000000000015</v>
      </c>
      <c r="H67" s="465">
        <v>3973.2200000000003</v>
      </c>
      <c r="I67" s="467">
        <f t="shared" si="1"/>
      </c>
      <c r="J67" s="467">
        <f t="shared" si="2"/>
      </c>
      <c r="K67" s="467">
        <f t="shared" si="0"/>
      </c>
      <c r="L67" s="465">
        <v>1</v>
      </c>
      <c r="M67" s="465">
        <v>1278</v>
      </c>
      <c r="N67" s="465" t="s">
        <v>1139</v>
      </c>
      <c r="O67" s="465">
        <v>8</v>
      </c>
      <c r="P67" s="466"/>
      <c r="Q67" s="466"/>
      <c r="R67" s="466"/>
      <c r="S67" s="466"/>
    </row>
    <row r="68">
      <c r="A68" s="475" t="s">
        <v>1165</v>
      </c>
      <c r="B68" s="469"/>
      <c r="C68" s="469"/>
      <c r="D68" s="470">
        <f>SUM(D65:D67)</f>
      </c>
      <c r="E68" s="470">
        <f>SUM(E65:E67)</f>
      </c>
      <c r="F68" s="471">
        <f>SUM(F65:F67)</f>
      </c>
      <c r="G68" s="470">
        <f>SUM(G65:G67)</f>
      </c>
      <c r="H68" s="470">
        <f>SUM(H65:H67)</f>
      </c>
      <c r="I68" s="472">
        <f t="shared" si="1"/>
      </c>
      <c r="J68" s="472">
        <f t="shared" si="2"/>
      </c>
      <c r="K68" s="472">
        <f t="shared" si="0"/>
      </c>
      <c r="L68" s="469">
        <f>SUM(L65:L67)</f>
      </c>
      <c r="M68" s="469">
        <f>SUM(M65:M67)</f>
      </c>
      <c r="N68" s="469"/>
      <c r="O68" s="470">
        <f>SUM(O65:O67)</f>
      </c>
      <c r="P68" s="469"/>
      <c r="Q68" s="469"/>
      <c r="R68" s="469"/>
      <c r="S68" s="469"/>
    </row>
    <row r="69">
      <c r="A69" s="464" t="s">
        <v>1166</v>
      </c>
      <c r="B69" s="465" t="s">
        <v>1128</v>
      </c>
      <c r="C69" s="465" t="s">
        <v>1162</v>
      </c>
      <c r="D69" s="465">
        <v>5</v>
      </c>
      <c r="E69" s="465">
        <v>14</v>
      </c>
      <c r="F69" s="465">
        <v>10</v>
      </c>
      <c r="G69" s="465">
        <v>14279.8</v>
      </c>
      <c r="H69" s="465">
        <v>9065.5</v>
      </c>
      <c r="I69" s="467">
        <f t="shared" si="1"/>
      </c>
      <c r="J69" s="467">
        <f t="shared" si="2"/>
      </c>
      <c r="K69" s="467">
        <f t="shared" si="0"/>
      </c>
      <c r="L69" s="465">
        <v>4</v>
      </c>
      <c r="M69" s="465">
        <v>6129.6</v>
      </c>
      <c r="N69" s="465" t="s">
        <v>1139</v>
      </c>
      <c r="O69" s="465">
        <v>8</v>
      </c>
      <c r="P69" s="466"/>
      <c r="Q69" s="466"/>
      <c r="R69" s="466"/>
      <c r="S69" s="466"/>
    </row>
    <row r="70">
      <c r="A70" s="464" t="s">
        <v>1166</v>
      </c>
      <c r="B70" s="465" t="s">
        <v>1120</v>
      </c>
      <c r="C70" s="465" t="s">
        <v>1167</v>
      </c>
      <c r="D70" s="465">
        <v>4</v>
      </c>
      <c r="E70" s="465">
        <v>16</v>
      </c>
      <c r="F70" s="465">
        <v>7</v>
      </c>
      <c r="G70" s="465">
        <v>5758</v>
      </c>
      <c r="H70" s="465">
        <v>5883.62</v>
      </c>
      <c r="I70" s="467">
        <f t="shared" si="1"/>
      </c>
      <c r="J70" s="467">
        <f t="shared" si="2"/>
      </c>
      <c r="K70" s="467">
        <f t="shared" si="0"/>
      </c>
      <c r="L70" s="465">
        <v>3</v>
      </c>
      <c r="M70" s="465">
        <v>2245.2</v>
      </c>
      <c r="N70" s="465"/>
      <c r="O70" s="465"/>
      <c r="P70" s="466"/>
      <c r="Q70" s="466"/>
      <c r="R70" s="466"/>
      <c r="S70" s="466"/>
    </row>
    <row r="71">
      <c r="A71" s="464" t="s">
        <v>1166</v>
      </c>
      <c r="B71" s="465" t="s">
        <v>1124</v>
      </c>
      <c r="C71" s="465" t="s">
        <v>1168</v>
      </c>
      <c r="D71" s="465">
        <v>4</v>
      </c>
      <c r="E71" s="465">
        <v>47</v>
      </c>
      <c r="F71" s="465">
        <v>9</v>
      </c>
      <c r="G71" s="465">
        <v>10564.4</v>
      </c>
      <c r="H71" s="465">
        <v>7595.95</v>
      </c>
      <c r="I71" s="467">
        <f t="shared" si="1"/>
      </c>
      <c r="J71" s="467">
        <f t="shared" si="2"/>
      </c>
      <c r="K71" s="467">
        <f t="shared" si="0"/>
      </c>
      <c r="L71" s="465">
        <v>3</v>
      </c>
      <c r="M71" s="465">
        <v>2329.2</v>
      </c>
      <c r="N71" s="465" t="s">
        <v>1164</v>
      </c>
      <c r="O71" s="465">
        <v>2</v>
      </c>
      <c r="P71" s="466"/>
      <c r="Q71" s="466"/>
      <c r="R71" s="466"/>
      <c r="S71" s="466"/>
    </row>
    <row r="72">
      <c r="A72" s="475" t="s">
        <v>1166</v>
      </c>
      <c r="B72" s="469"/>
      <c r="C72" s="469"/>
      <c r="D72" s="470">
        <f>SUM(D69:D71)</f>
      </c>
      <c r="E72" s="470">
        <f>SUM(E69:E71)</f>
      </c>
      <c r="F72" s="471">
        <f>SUM(F69:F71)</f>
      </c>
      <c r="G72" s="470">
        <f>SUM(G69:G71)</f>
      </c>
      <c r="H72" s="470">
        <f>SUM(H69:H71)</f>
      </c>
      <c r="I72" s="472">
        <f t="shared" si="1"/>
      </c>
      <c r="J72" s="472">
        <f t="shared" si="2"/>
      </c>
      <c r="K72" s="472">
        <f t="shared" si="0"/>
      </c>
      <c r="L72" s="469">
        <f>SUM(L69:L71)</f>
      </c>
      <c r="M72" s="469">
        <f>SUM(M69:M71)</f>
      </c>
      <c r="N72" s="469"/>
      <c r="O72" s="470">
        <f>SUM(O69:O71)</f>
      </c>
      <c r="P72" s="469"/>
      <c r="Q72" s="469"/>
      <c r="R72" s="469"/>
      <c r="S72" s="469"/>
    </row>
    <row r="73">
      <c r="A73" s="464" t="s">
        <v>1169</v>
      </c>
      <c r="B73" s="465" t="s">
        <v>1128</v>
      </c>
      <c r="C73" s="465" t="s">
        <v>1162</v>
      </c>
      <c r="D73" s="465">
        <v>5</v>
      </c>
      <c r="E73" s="465">
        <v>18</v>
      </c>
      <c r="F73" s="465">
        <v>12</v>
      </c>
      <c r="G73" s="465">
        <v>11763.7</v>
      </c>
      <c r="H73" s="465">
        <v>12622.45</v>
      </c>
      <c r="I73" s="467">
        <f t="shared" si="1"/>
      </c>
      <c r="J73" s="467">
        <f t="shared" si="2"/>
      </c>
      <c r="K73" s="467">
        <f t="shared" si="0"/>
      </c>
      <c r="L73" s="465">
        <v>3</v>
      </c>
      <c r="M73" s="465">
        <v>2033.6</v>
      </c>
      <c r="N73" s="465" t="s">
        <v>1139</v>
      </c>
      <c r="O73" s="465">
        <v>9</v>
      </c>
      <c r="P73" s="466"/>
      <c r="Q73" s="466"/>
      <c r="R73" s="466"/>
      <c r="S73" s="466"/>
    </row>
    <row r="74">
      <c r="A74" s="464" t="s">
        <v>1169</v>
      </c>
      <c r="B74" s="465" t="s">
        <v>1120</v>
      </c>
      <c r="C74" s="465" t="s">
        <v>1167</v>
      </c>
      <c r="D74" s="465">
        <v>4</v>
      </c>
      <c r="E74" s="465">
        <v>16</v>
      </c>
      <c r="F74" s="465">
        <v>12</v>
      </c>
      <c r="G74" s="465">
        <v>6866.399999999998</v>
      </c>
      <c r="H74" s="465">
        <v>9990.48</v>
      </c>
      <c r="I74" s="467">
        <f t="shared" si="1"/>
      </c>
      <c r="J74" s="467">
        <f t="shared" si="2"/>
      </c>
      <c r="K74" s="467">
        <f t="shared" si="0"/>
      </c>
      <c r="L74" s="465">
        <v>1</v>
      </c>
      <c r="M74" s="465">
        <v>640.8000000000002</v>
      </c>
      <c r="N74" s="465"/>
      <c r="O74" s="465"/>
      <c r="P74" s="466"/>
      <c r="Q74" s="466"/>
      <c r="R74" s="466"/>
      <c r="S74" s="466"/>
    </row>
    <row r="75">
      <c r="A75" s="464" t="s">
        <v>1169</v>
      </c>
      <c r="B75" s="465" t="s">
        <v>1124</v>
      </c>
      <c r="C75" s="465" t="s">
        <v>1170</v>
      </c>
      <c r="D75" s="465">
        <v>2</v>
      </c>
      <c r="E75" s="465">
        <v>5</v>
      </c>
      <c r="F75" s="465">
        <v>5</v>
      </c>
      <c r="G75" s="465">
        <v>3232.4</v>
      </c>
      <c r="H75" s="465">
        <v>2557.62</v>
      </c>
      <c r="I75" s="467">
        <f t="shared" si="1"/>
      </c>
      <c r="J75" s="467">
        <f t="shared" si="2"/>
      </c>
      <c r="K75" s="467">
        <f t="shared" si="0"/>
      </c>
      <c r="L75" s="465">
        <v>0</v>
      </c>
      <c r="M75" s="465">
        <v>0</v>
      </c>
      <c r="N75" s="465" t="s">
        <v>1164</v>
      </c>
      <c r="O75" s="465">
        <v>0.8</v>
      </c>
      <c r="P75" s="466"/>
      <c r="Q75" s="466"/>
      <c r="R75" s="466"/>
      <c r="S75" s="466"/>
    </row>
    <row r="76">
      <c r="A76" s="475" t="s">
        <v>1169</v>
      </c>
      <c r="B76" s="469"/>
      <c r="C76" s="469"/>
      <c r="D76" s="470">
        <f>SUM(D73:D75)</f>
      </c>
      <c r="E76" s="470">
        <f>SUM(E73:E75)</f>
      </c>
      <c r="F76" s="471">
        <f>SUM(F73:F75)</f>
      </c>
      <c r="G76" s="470">
        <f>SUM(G73:G75)</f>
      </c>
      <c r="H76" s="470">
        <f>SUM(H73:H75)</f>
      </c>
      <c r="I76" s="472">
        <f t="shared" si="1"/>
      </c>
      <c r="J76" s="472">
        <f t="shared" si="2"/>
      </c>
      <c r="K76" s="472">
        <f t="shared" si="0"/>
      </c>
      <c r="L76" s="469">
        <f>SUM(L73:L75)</f>
      </c>
      <c r="M76" s="469">
        <f>SUM(M73:M75)</f>
      </c>
      <c r="N76" s="469"/>
      <c r="O76" s="470">
        <f>SUM(O73:O75)</f>
      </c>
      <c r="P76" s="469"/>
      <c r="Q76" s="469"/>
      <c r="R76" s="469"/>
      <c r="S76" s="469"/>
    </row>
    <row r="77">
      <c r="A77" s="464" t="s">
        <v>1171</v>
      </c>
      <c r="B77" s="465" t="s">
        <v>1120</v>
      </c>
      <c r="C77" s="465" t="s">
        <v>1151</v>
      </c>
      <c r="D77" s="465">
        <v>4</v>
      </c>
      <c r="E77" s="465">
        <v>5</v>
      </c>
      <c r="F77" s="465">
        <v>4</v>
      </c>
      <c r="G77" s="465">
        <v>2560.6</v>
      </c>
      <c r="H77" s="465">
        <v>6408.28</v>
      </c>
      <c r="I77" s="467">
        <f t="shared" si="1"/>
      </c>
      <c r="J77" s="467">
        <f t="shared" si="2"/>
      </c>
      <c r="K77" s="467">
        <f t="shared" si="0"/>
      </c>
      <c r="L77" s="465">
        <v>1</v>
      </c>
      <c r="M77" s="465">
        <v>1399</v>
      </c>
      <c r="N77" s="465" t="s">
        <v>1172</v>
      </c>
      <c r="O77" s="465">
        <v>1</v>
      </c>
      <c r="P77" s="466"/>
      <c r="Q77" s="466"/>
      <c r="R77" s="466"/>
      <c r="S77" s="466"/>
    </row>
    <row r="78">
      <c r="A78" s="464" t="s">
        <v>1171</v>
      </c>
      <c r="B78" s="465" t="s">
        <v>1128</v>
      </c>
      <c r="C78" s="465" t="s">
        <v>1134</v>
      </c>
      <c r="D78" s="465">
        <v>5</v>
      </c>
      <c r="E78" s="465">
        <v>31</v>
      </c>
      <c r="F78" s="465">
        <v>22</v>
      </c>
      <c r="G78" s="465">
        <v>20697.800000000003</v>
      </c>
      <c r="H78" s="465">
        <v>11049.02</v>
      </c>
      <c r="I78" s="467">
        <f t="shared" si="1"/>
      </c>
      <c r="J78" s="467">
        <f t="shared" si="2"/>
      </c>
      <c r="K78" s="467">
        <f t="shared" si="0"/>
      </c>
      <c r="L78" s="465">
        <v>8</v>
      </c>
      <c r="M78" s="465">
        <v>6196.6</v>
      </c>
      <c r="N78" s="465"/>
      <c r="O78" s="465"/>
      <c r="P78" s="466"/>
      <c r="Q78" s="466"/>
      <c r="R78" s="466"/>
      <c r="S78" s="466"/>
    </row>
    <row r="79">
      <c r="A79" s="464" t="s">
        <v>1171</v>
      </c>
      <c r="B79" s="465" t="s">
        <v>1159</v>
      </c>
      <c r="C79" s="465" t="s">
        <v>1168</v>
      </c>
      <c r="D79" s="465">
        <v>4</v>
      </c>
      <c r="E79" s="465">
        <v>30</v>
      </c>
      <c r="F79" s="465">
        <v>19</v>
      </c>
      <c r="G79" s="465">
        <v>19539.199999999997</v>
      </c>
      <c r="H79" s="465">
        <v>13148.34</v>
      </c>
      <c r="I79" s="467">
        <f t="shared" si="1"/>
      </c>
      <c r="J79" s="467">
        <f t="shared" si="2"/>
      </c>
      <c r="K79" s="467">
        <f t="shared" si="0"/>
      </c>
      <c r="L79" s="465">
        <v>2</v>
      </c>
      <c r="M79" s="465">
        <v>860.3999999999996</v>
      </c>
      <c r="N79" s="465" t="s">
        <v>1139</v>
      </c>
      <c r="O79" s="465">
        <v>12</v>
      </c>
      <c r="P79" s="466"/>
      <c r="Q79" s="466"/>
      <c r="R79" s="466"/>
      <c r="S79" s="466"/>
    </row>
    <row r="80">
      <c r="A80" s="475" t="s">
        <v>1171</v>
      </c>
      <c r="B80" s="469"/>
      <c r="C80" s="469"/>
      <c r="D80" s="470">
        <f>SUM(D77:D79)</f>
      </c>
      <c r="E80" s="470">
        <f>SUM(E77:E79)</f>
      </c>
      <c r="F80" s="471">
        <f>SUM(F77:F79)</f>
      </c>
      <c r="G80" s="470">
        <f>SUM(G77:G79)</f>
      </c>
      <c r="H80" s="470">
        <f>SUM(H77:H79)</f>
      </c>
      <c r="I80" s="472">
        <f t="shared" si="1"/>
      </c>
      <c r="J80" s="472">
        <f t="shared" si="2"/>
      </c>
      <c r="K80" s="472">
        <f t="shared" si="0"/>
      </c>
      <c r="L80" s="469">
        <f>SUM(L77:L79)</f>
      </c>
      <c r="M80" s="469">
        <f>SUM(M77:M79)</f>
      </c>
      <c r="N80" s="469"/>
      <c r="O80" s="470">
        <f>SUM(O77:O79)</f>
      </c>
      <c r="P80" s="469"/>
      <c r="Q80" s="469"/>
      <c r="R80" s="469"/>
      <c r="S80" s="469"/>
    </row>
    <row r="81">
      <c r="A81" s="464" t="s">
        <v>1173</v>
      </c>
      <c r="B81" s="465" t="s">
        <v>1120</v>
      </c>
      <c r="C81" s="465" t="s">
        <v>1151</v>
      </c>
      <c r="D81" s="465">
        <v>4</v>
      </c>
      <c r="E81" s="465">
        <v>12</v>
      </c>
      <c r="F81" s="465">
        <v>9</v>
      </c>
      <c r="G81" s="465">
        <v>9726</v>
      </c>
      <c r="H81" s="465">
        <v>9728.279999999999</v>
      </c>
      <c r="I81" s="467">
        <f t="shared" si="1"/>
      </c>
      <c r="J81" s="467">
        <f t="shared" si="2"/>
      </c>
      <c r="K81" s="467">
        <f t="shared" si="0"/>
      </c>
      <c r="L81" s="465">
        <v>3</v>
      </c>
      <c r="M81" s="465">
        <v>1176</v>
      </c>
      <c r="N81" s="465" t="s">
        <v>1172</v>
      </c>
      <c r="O81" s="465">
        <v>8</v>
      </c>
      <c r="P81" s="466"/>
      <c r="Q81" s="466"/>
      <c r="R81" s="466"/>
      <c r="S81" s="466"/>
    </row>
    <row r="82">
      <c r="A82" s="464" t="s">
        <v>1173</v>
      </c>
      <c r="B82" s="465" t="s">
        <v>1159</v>
      </c>
      <c r="C82" s="465" t="s">
        <v>1121</v>
      </c>
      <c r="D82" s="465">
        <v>4</v>
      </c>
      <c r="E82" s="465">
        <v>6</v>
      </c>
      <c r="F82" s="465">
        <v>5</v>
      </c>
      <c r="G82" s="465">
        <v>2608</v>
      </c>
      <c r="H82" s="465">
        <v>5734.089999999999</v>
      </c>
      <c r="I82" s="467">
        <f t="shared" si="1"/>
      </c>
      <c r="J82" s="467">
        <f t="shared" si="2"/>
      </c>
      <c r="K82" s="467">
        <f t="shared" si="0"/>
      </c>
      <c r="L82" s="465">
        <v>0</v>
      </c>
      <c r="M82" s="465">
        <v>0</v>
      </c>
      <c r="N82" s="465"/>
      <c r="O82" s="465"/>
      <c r="P82" s="466"/>
      <c r="Q82" s="466"/>
      <c r="R82" s="466"/>
      <c r="S82" s="466"/>
    </row>
    <row r="83">
      <c r="A83" s="464" t="s">
        <v>1173</v>
      </c>
      <c r="B83" s="465" t="s">
        <v>1128</v>
      </c>
      <c r="C83" s="465" t="s">
        <v>1174</v>
      </c>
      <c r="D83" s="465">
        <v>5</v>
      </c>
      <c r="E83" s="465">
        <v>27</v>
      </c>
      <c r="F83" s="465">
        <v>18</v>
      </c>
      <c r="G83" s="465">
        <v>26724</v>
      </c>
      <c r="H83" s="465">
        <v>13165.25</v>
      </c>
      <c r="I83" s="467">
        <f t="shared" si="1"/>
      </c>
      <c r="J83" s="467">
        <f t="shared" si="2"/>
      </c>
      <c r="K83" s="467">
        <f t="shared" si="0"/>
      </c>
      <c r="L83" s="465">
        <v>7</v>
      </c>
      <c r="M83" s="465">
        <v>4045.2</v>
      </c>
      <c r="N83" s="465" t="s">
        <v>1157</v>
      </c>
      <c r="O83" s="465">
        <v>5</v>
      </c>
      <c r="P83" s="466"/>
      <c r="Q83" s="466"/>
      <c r="R83" s="466"/>
      <c r="S83" s="466"/>
    </row>
    <row r="84">
      <c r="A84" s="475" t="s">
        <v>1173</v>
      </c>
      <c r="B84" s="469"/>
      <c r="C84" s="469"/>
      <c r="D84" s="470">
        <f>SUM(D81:D83)</f>
      </c>
      <c r="E84" s="470">
        <f>SUM(E81:E83)</f>
      </c>
      <c r="F84" s="471">
        <f>SUM(F81:F83)</f>
      </c>
      <c r="G84" s="470">
        <f>SUM(G81:G83)</f>
      </c>
      <c r="H84" s="470">
        <f>SUM(H81:H83)</f>
      </c>
      <c r="I84" s="472">
        <f t="shared" si="1"/>
      </c>
      <c r="J84" s="472">
        <f t="shared" si="2"/>
      </c>
      <c r="K84" s="472">
        <f t="shared" si="0"/>
      </c>
      <c r="L84" s="469">
        <f>SUM(L81:L83)</f>
      </c>
      <c r="M84" s="469">
        <f>SUM(M81:M83)</f>
      </c>
      <c r="N84" s="469"/>
      <c r="O84" s="470">
        <f>SUM(O81:O83)</f>
      </c>
      <c r="P84" s="469"/>
      <c r="Q84" s="469"/>
      <c r="R84" s="469"/>
      <c r="S84" s="469"/>
    </row>
    <row r="85">
      <c r="A85" s="464" t="s">
        <v>1175</v>
      </c>
      <c r="B85" s="465" t="s">
        <v>1159</v>
      </c>
      <c r="C85" s="465" t="s">
        <v>1151</v>
      </c>
      <c r="D85" s="465">
        <v>4</v>
      </c>
      <c r="E85" s="465">
        <v>12</v>
      </c>
      <c r="F85" s="465">
        <v>11</v>
      </c>
      <c r="G85" s="465">
        <v>5725.4</v>
      </c>
      <c r="H85" s="465">
        <v>7685.39</v>
      </c>
      <c r="I85" s="467">
        <f t="shared" si="1"/>
      </c>
      <c r="J85" s="467">
        <f t="shared" si="2"/>
      </c>
      <c r="K85" s="467">
        <f t="shared" si="0"/>
      </c>
      <c r="L85" s="465">
        <v>0</v>
      </c>
      <c r="M85" s="465">
        <v>0</v>
      </c>
      <c r="N85" s="465" t="s">
        <v>1152</v>
      </c>
      <c r="O85" s="465">
        <v>2.8</v>
      </c>
      <c r="P85" s="466"/>
      <c r="Q85" s="466"/>
      <c r="R85" s="466"/>
      <c r="S85" s="466"/>
    </row>
    <row r="86">
      <c r="A86" s="464" t="s">
        <v>1175</v>
      </c>
      <c r="B86" s="465" t="s">
        <v>1176</v>
      </c>
      <c r="C86" s="465" t="s">
        <v>1177</v>
      </c>
      <c r="D86" s="465">
        <v>3</v>
      </c>
      <c r="E86" s="465">
        <v>3</v>
      </c>
      <c r="F86" s="465">
        <v>2</v>
      </c>
      <c r="G86" s="465">
        <v>1651.2000000000007</v>
      </c>
      <c r="H86" s="465">
        <v>4963.11</v>
      </c>
      <c r="I86" s="467">
        <f t="shared" si="1"/>
      </c>
      <c r="J86" s="467">
        <f t="shared" si="2"/>
      </c>
      <c r="K86" s="467">
        <f t="shared" si="0"/>
      </c>
      <c r="L86" s="465">
        <v>1</v>
      </c>
      <c r="M86" s="465">
        <v>777.6</v>
      </c>
      <c r="N86" s="465"/>
      <c r="O86" s="465"/>
      <c r="P86" s="466"/>
      <c r="Q86" s="466"/>
      <c r="R86" s="466"/>
      <c r="S86" s="466"/>
    </row>
    <row r="87">
      <c r="A87" s="464" t="s">
        <v>1175</v>
      </c>
      <c r="B87" s="465" t="s">
        <v>1128</v>
      </c>
      <c r="C87" s="465" t="s">
        <v>1178</v>
      </c>
      <c r="D87" s="465">
        <v>3.5</v>
      </c>
      <c r="E87" s="465">
        <v>10</v>
      </c>
      <c r="F87" s="465">
        <v>5</v>
      </c>
      <c r="G87" s="465">
        <v>3573.7999999999993</v>
      </c>
      <c r="H87" s="465">
        <v>6919.64</v>
      </c>
      <c r="I87" s="467">
        <f t="shared" si="1"/>
      </c>
      <c r="J87" s="467">
        <f t="shared" si="2"/>
      </c>
      <c r="K87" s="467">
        <f t="shared" si="0"/>
      </c>
      <c r="L87" s="465">
        <v>2</v>
      </c>
      <c r="M87" s="465">
        <v>706.8000000000001</v>
      </c>
      <c r="N87" s="465" t="s">
        <v>1139</v>
      </c>
      <c r="O87" s="465">
        <v>6.5</v>
      </c>
      <c r="P87" s="466"/>
      <c r="Q87" s="466"/>
      <c r="R87" s="466"/>
      <c r="S87" s="466"/>
    </row>
    <row r="88">
      <c r="A88" s="475" t="s">
        <v>1175</v>
      </c>
      <c r="B88" s="469"/>
      <c r="C88" s="469"/>
      <c r="D88" s="470">
        <f>SUM(D85:D87)</f>
      </c>
      <c r="E88" s="470">
        <f>SUM(E85:E87)</f>
      </c>
      <c r="F88" s="471">
        <f>SUM(F85:F87)</f>
      </c>
      <c r="G88" s="470">
        <f>SUM(G85:G87)</f>
      </c>
      <c r="H88" s="470">
        <f>SUM(H85:H87)</f>
      </c>
      <c r="I88" s="472">
        <f t="shared" si="1"/>
      </c>
      <c r="J88" s="472">
        <f t="shared" si="2"/>
      </c>
      <c r="K88" s="472">
        <f t="shared" si="0"/>
      </c>
      <c r="L88" s="469">
        <f>SUM(L85:L87)</f>
      </c>
      <c r="M88" s="469">
        <f>SUM(M85:M87)</f>
      </c>
      <c r="N88" s="469"/>
      <c r="O88" s="470">
        <f>SUM(O85:O87)</f>
      </c>
      <c r="P88" s="469"/>
      <c r="Q88" s="469"/>
      <c r="R88" s="469"/>
      <c r="S88" s="469"/>
    </row>
    <row r="89">
      <c r="A89" s="464" t="s">
        <v>1179</v>
      </c>
      <c r="B89" s="465" t="s">
        <v>1128</v>
      </c>
      <c r="C89" s="465" t="s">
        <v>1162</v>
      </c>
      <c r="D89" s="465">
        <v>5</v>
      </c>
      <c r="E89" s="465">
        <v>19</v>
      </c>
      <c r="F89" s="465">
        <v>15</v>
      </c>
      <c r="G89" s="465">
        <v>13389.8</v>
      </c>
      <c r="H89" s="465">
        <v>9695.53</v>
      </c>
      <c r="I89" s="467">
        <f t="shared" si="1"/>
      </c>
      <c r="J89" s="467">
        <f t="shared" si="2"/>
      </c>
      <c r="K89" s="467">
        <f t="shared" si="0"/>
      </c>
      <c r="L89" s="465">
        <v>5</v>
      </c>
      <c r="M89" s="465">
        <v>3014.3999999999996</v>
      </c>
      <c r="N89" s="465" t="s">
        <v>1139</v>
      </c>
      <c r="O89" s="465">
        <v>8</v>
      </c>
      <c r="P89" s="466"/>
      <c r="Q89" s="466"/>
      <c r="R89" s="466"/>
      <c r="S89" s="466"/>
    </row>
    <row r="90">
      <c r="A90" s="464" t="s">
        <v>1179</v>
      </c>
      <c r="B90" s="465" t="s">
        <v>1176</v>
      </c>
      <c r="C90" s="465" t="s">
        <v>1163</v>
      </c>
      <c r="D90" s="465">
        <v>3</v>
      </c>
      <c r="E90" s="465">
        <v>12</v>
      </c>
      <c r="F90" s="465">
        <v>5</v>
      </c>
      <c r="G90" s="465">
        <v>8115.799999999999</v>
      </c>
      <c r="H90" s="465">
        <v>4674.0599999999995</v>
      </c>
      <c r="I90" s="467">
        <f t="shared" si="1"/>
      </c>
      <c r="J90" s="467">
        <f t="shared" si="2"/>
      </c>
      <c r="K90" s="467">
        <f t="shared" si="0"/>
      </c>
      <c r="L90" s="465">
        <v>4</v>
      </c>
      <c r="M90" s="465">
        <v>2836.7999999999997</v>
      </c>
      <c r="N90" s="465"/>
      <c r="O90" s="465"/>
      <c r="P90" s="466"/>
      <c r="Q90" s="466"/>
      <c r="R90" s="466"/>
      <c r="S90" s="466"/>
    </row>
    <row r="91">
      <c r="A91" s="464" t="s">
        <v>1179</v>
      </c>
      <c r="B91" s="465" t="s">
        <v>1159</v>
      </c>
      <c r="C91" s="465" t="s">
        <v>1180</v>
      </c>
      <c r="D91" s="465">
        <v>3</v>
      </c>
      <c r="E91" s="465">
        <v>3</v>
      </c>
      <c r="F91" s="465">
        <v>2</v>
      </c>
      <c r="G91" s="465">
        <v>2071.2000000000007</v>
      </c>
      <c r="H91" s="465">
        <v>3308.4700000000003</v>
      </c>
      <c r="I91" s="467">
        <f t="shared" si="1"/>
      </c>
      <c r="J91" s="467">
        <f t="shared" si="2"/>
      </c>
      <c r="K91" s="467">
        <f t="shared" si="0"/>
      </c>
      <c r="L91" s="465">
        <v>2</v>
      </c>
      <c r="M91" s="465">
        <v>1413.6</v>
      </c>
      <c r="N91" s="465" t="s">
        <v>1181</v>
      </c>
      <c r="O91" s="465">
        <v>3</v>
      </c>
      <c r="P91" s="466"/>
      <c r="Q91" s="466"/>
      <c r="R91" s="466"/>
      <c r="S91" s="466"/>
    </row>
    <row r="92">
      <c r="A92" s="475" t="s">
        <v>1179</v>
      </c>
      <c r="B92" s="469"/>
      <c r="C92" s="469"/>
      <c r="D92" s="470">
        <f>SUM(D89:D91)</f>
      </c>
      <c r="E92" s="470">
        <f>SUM(E89:E91)</f>
      </c>
      <c r="F92" s="471">
        <f>SUM(F89:F91)</f>
      </c>
      <c r="G92" s="470">
        <f>SUM(G89:G91)</f>
      </c>
      <c r="H92" s="470">
        <f>SUM(H89:H91)</f>
      </c>
      <c r="I92" s="472">
        <f t="shared" si="1"/>
      </c>
      <c r="J92" s="472">
        <f t="shared" si="2"/>
      </c>
      <c r="K92" s="472">
        <f t="shared" si="0"/>
      </c>
      <c r="L92" s="469">
        <f>SUM(L89:L91)</f>
      </c>
      <c r="M92" s="469">
        <f>SUM(M89:M91)</f>
      </c>
      <c r="N92" s="469"/>
      <c r="O92" s="470">
        <f>SUM(O89:O91)</f>
      </c>
      <c r="P92" s="469"/>
      <c r="Q92" s="469"/>
      <c r="R92" s="469"/>
      <c r="S92" s="469"/>
    </row>
    <row r="93">
      <c r="A93" s="464" t="s">
        <v>1182</v>
      </c>
      <c r="B93" s="465" t="s">
        <v>1128</v>
      </c>
      <c r="C93" s="465" t="s">
        <v>1121</v>
      </c>
      <c r="D93" s="465">
        <v>4</v>
      </c>
      <c r="E93" s="465">
        <v>12</v>
      </c>
      <c r="F93" s="465">
        <v>10</v>
      </c>
      <c r="G93" s="465">
        <v>7171</v>
      </c>
      <c r="H93" s="465">
        <v>7957.66</v>
      </c>
      <c r="I93" s="467">
        <f t="shared" si="1"/>
      </c>
      <c r="J93" s="467">
        <f t="shared" si="2"/>
      </c>
      <c r="K93" s="467">
        <f t="shared" si="0"/>
      </c>
      <c r="L93" s="465">
        <v>1</v>
      </c>
      <c r="M93" s="465">
        <v>813.6</v>
      </c>
      <c r="N93" s="465" t="s">
        <v>1139</v>
      </c>
      <c r="O93" s="465">
        <v>4</v>
      </c>
      <c r="P93" s="466"/>
      <c r="Q93" s="466"/>
      <c r="R93" s="466"/>
      <c r="S93" s="466"/>
    </row>
    <row r="94">
      <c r="A94" s="464" t="s">
        <v>1182</v>
      </c>
      <c r="B94" s="465" t="s">
        <v>1120</v>
      </c>
      <c r="C94" s="465" t="s">
        <v>1123</v>
      </c>
      <c r="D94" s="465">
        <v>4</v>
      </c>
      <c r="E94" s="465">
        <v>6</v>
      </c>
      <c r="F94" s="465">
        <v>7</v>
      </c>
      <c r="G94" s="465">
        <v>2859.2000000000007</v>
      </c>
      <c r="H94" s="465">
        <v>6875.59</v>
      </c>
      <c r="I94" s="467">
        <f t="shared" si="1"/>
      </c>
      <c r="J94" s="467">
        <f t="shared" si="2"/>
      </c>
      <c r="K94" s="467">
        <f t="shared" si="0"/>
      </c>
      <c r="L94" s="465">
        <v>0</v>
      </c>
      <c r="M94" s="465">
        <v>0</v>
      </c>
      <c r="N94" s="465"/>
      <c r="O94" s="465"/>
      <c r="P94" s="466"/>
      <c r="Q94" s="466"/>
      <c r="R94" s="466"/>
      <c r="S94" s="466"/>
    </row>
    <row r="95">
      <c r="A95" s="464" t="s">
        <v>1182</v>
      </c>
      <c r="B95" s="465" t="s">
        <v>1159</v>
      </c>
      <c r="C95" s="465" t="s">
        <v>1125</v>
      </c>
      <c r="D95" s="465">
        <v>4</v>
      </c>
      <c r="E95" s="465">
        <v>11</v>
      </c>
      <c r="F95" s="465">
        <v>9</v>
      </c>
      <c r="G95" s="465">
        <v>9798.399999999998</v>
      </c>
      <c r="H95" s="465">
        <v>7583.039999999999</v>
      </c>
      <c r="I95" s="467">
        <f t="shared" si="1"/>
      </c>
      <c r="J95" s="467">
        <f t="shared" si="2"/>
      </c>
      <c r="K95" s="467">
        <f t="shared" si="0"/>
      </c>
      <c r="L95" s="465">
        <v>1</v>
      </c>
      <c r="M95" s="465">
        <v>782.4</v>
      </c>
      <c r="N95" s="465" t="s">
        <v>1181</v>
      </c>
      <c r="O95" s="465">
        <v>8</v>
      </c>
      <c r="P95" s="466"/>
      <c r="Q95" s="466"/>
      <c r="R95" s="466"/>
      <c r="S95" s="466"/>
    </row>
    <row r="96">
      <c r="A96" s="475" t="s">
        <v>1182</v>
      </c>
      <c r="B96" s="469"/>
      <c r="C96" s="469"/>
      <c r="D96" s="470">
        <f>SUM(D93:D95)</f>
      </c>
      <c r="E96" s="470">
        <f>SUM(E93:E95)</f>
      </c>
      <c r="F96" s="471">
        <f>SUM(F93:F95)</f>
      </c>
      <c r="G96" s="470">
        <f>SUM(G93:G95)</f>
      </c>
      <c r="H96" s="470">
        <f>SUM(H93:H95)</f>
      </c>
      <c r="I96" s="472">
        <f t="shared" si="1"/>
      </c>
      <c r="J96" s="472">
        <f t="shared" si="2"/>
      </c>
      <c r="K96" s="472">
        <f t="shared" si="0"/>
      </c>
      <c r="L96" s="469">
        <f>SUM(L93:L95)</f>
      </c>
      <c r="M96" s="469">
        <f>SUM(M93:M95)</f>
      </c>
      <c r="N96" s="469"/>
      <c r="O96" s="470">
        <f>SUM(O93:O95)</f>
      </c>
      <c r="P96" s="469"/>
      <c r="Q96" s="469"/>
      <c r="R96" s="469"/>
      <c r="S96" s="469"/>
    </row>
    <row r="97">
      <c r="A97" s="464" t="s">
        <v>1183</v>
      </c>
      <c r="B97" s="465" t="s">
        <v>1120</v>
      </c>
      <c r="C97" s="465" t="s">
        <v>1184</v>
      </c>
      <c r="D97" s="465">
        <v>4</v>
      </c>
      <c r="E97" s="465">
        <v>24</v>
      </c>
      <c r="F97" s="465">
        <v>22</v>
      </c>
      <c r="G97" s="465">
        <v>10114.6</v>
      </c>
      <c r="H97" s="465">
        <v>12698.019999999999</v>
      </c>
      <c r="I97" s="467">
        <f t="shared" si="1"/>
      </c>
      <c r="J97" s="467">
        <f t="shared" si="2"/>
      </c>
      <c r="K97" s="467">
        <f t="shared" si="0"/>
      </c>
      <c r="L97" s="465">
        <v>5</v>
      </c>
      <c r="M97" s="465">
        <v>2405.2</v>
      </c>
      <c r="N97" s="465" t="s">
        <v>1139</v>
      </c>
      <c r="O97" s="465">
        <v>8</v>
      </c>
      <c r="P97" s="466"/>
      <c r="Q97" s="466"/>
      <c r="R97" s="466"/>
      <c r="S97" s="466"/>
    </row>
    <row r="98">
      <c r="A98" s="464" t="s">
        <v>1183</v>
      </c>
      <c r="B98" s="465" t="s">
        <v>1159</v>
      </c>
      <c r="C98" s="465" t="s">
        <v>1185</v>
      </c>
      <c r="D98" s="465">
        <v>4</v>
      </c>
      <c r="E98" s="465">
        <v>4</v>
      </c>
      <c r="F98" s="465">
        <v>4</v>
      </c>
      <c r="G98" s="465">
        <v>1634.3999999999996</v>
      </c>
      <c r="H98" s="465">
        <v>8643.26</v>
      </c>
      <c r="I98" s="467">
        <f t="shared" si="1"/>
      </c>
      <c r="J98" s="467">
        <f t="shared" si="2"/>
      </c>
      <c r="K98" s="467">
        <f t="shared" si="0"/>
      </c>
      <c r="L98" s="465">
        <v>0</v>
      </c>
      <c r="M98" s="465">
        <v>0</v>
      </c>
      <c r="N98" s="465"/>
      <c r="O98" s="465"/>
      <c r="P98" s="466"/>
      <c r="Q98" s="466"/>
      <c r="R98" s="466"/>
      <c r="S98" s="466"/>
    </row>
    <row r="99">
      <c r="A99" s="464" t="s">
        <v>1183</v>
      </c>
      <c r="B99" s="465" t="s">
        <v>1128</v>
      </c>
      <c r="C99" s="465" t="s">
        <v>1186</v>
      </c>
      <c r="D99" s="465">
        <v>5</v>
      </c>
      <c r="E99" s="465">
        <v>14</v>
      </c>
      <c r="F99" s="465">
        <v>10</v>
      </c>
      <c r="G99" s="465">
        <v>11674.8</v>
      </c>
      <c r="H99" s="465">
        <v>8455.689999999999</v>
      </c>
      <c r="I99" s="467">
        <f t="shared" si="1"/>
      </c>
      <c r="J99" s="467">
        <f t="shared" si="2"/>
      </c>
      <c r="K99" s="467">
        <f t="shared" si="0"/>
      </c>
      <c r="L99" s="465">
        <v>2</v>
      </c>
      <c r="M99" s="465">
        <v>794.4</v>
      </c>
      <c r="N99" s="465" t="s">
        <v>1181</v>
      </c>
      <c r="O99" s="465">
        <v>5</v>
      </c>
      <c r="P99" s="466"/>
      <c r="Q99" s="466"/>
      <c r="R99" s="466"/>
      <c r="S99" s="466"/>
    </row>
    <row r="100">
      <c r="A100" s="475" t="s">
        <v>1183</v>
      </c>
      <c r="B100" s="469"/>
      <c r="C100" s="469"/>
      <c r="D100" s="470">
        <f>SUM(D97:D99)</f>
      </c>
      <c r="E100" s="470">
        <f>SUM(E97:E99)</f>
      </c>
      <c r="F100" s="471">
        <f>SUM(F97:F99)</f>
      </c>
      <c r="G100" s="470">
        <f>SUM(G97:G99)</f>
      </c>
      <c r="H100" s="470">
        <f>SUM(H97:H99)</f>
      </c>
      <c r="I100" s="472">
        <f t="shared" si="1"/>
      </c>
      <c r="J100" s="472">
        <f t="shared" si="2"/>
      </c>
      <c r="K100" s="472">
        <f t="shared" si="0"/>
      </c>
      <c r="L100" s="469">
        <f>SUM(L97:L99)</f>
      </c>
      <c r="M100" s="469">
        <f>SUM(M97:M99)</f>
      </c>
      <c r="N100" s="469"/>
      <c r="O100" s="470">
        <f>SUM(O97:O99)</f>
      </c>
      <c r="P100" s="469"/>
      <c r="Q100" s="469"/>
      <c r="R100" s="469"/>
      <c r="S100" s="469"/>
    </row>
    <row r="101">
      <c r="A101" s="464" t="s">
        <v>1187</v>
      </c>
      <c r="B101" s="465" t="s">
        <v>1128</v>
      </c>
      <c r="C101" s="465" t="s">
        <v>1188</v>
      </c>
      <c r="D101" s="465">
        <v>5</v>
      </c>
      <c r="E101" s="465">
        <v>16</v>
      </c>
      <c r="F101" s="465">
        <v>9</v>
      </c>
      <c r="G101" s="465">
        <v>9482.4</v>
      </c>
      <c r="H101" s="465">
        <v>9797.18</v>
      </c>
      <c r="I101" s="467">
        <f t="shared" si="1"/>
      </c>
      <c r="J101" s="467">
        <f t="shared" si="2"/>
      </c>
      <c r="K101" s="467">
        <f t="shared" si="0"/>
      </c>
      <c r="L101" s="465">
        <v>1</v>
      </c>
      <c r="M101" s="465">
        <v>657.6</v>
      </c>
      <c r="N101" s="465" t="s">
        <v>1139</v>
      </c>
      <c r="O101" s="465">
        <v>8</v>
      </c>
      <c r="P101" s="466"/>
      <c r="Q101" s="466"/>
      <c r="R101" s="466"/>
      <c r="S101" s="466"/>
    </row>
    <row r="102">
      <c r="A102" s="464" t="s">
        <v>1187</v>
      </c>
      <c r="B102" s="465" t="s">
        <v>1176</v>
      </c>
      <c r="C102" s="465" t="s">
        <v>1163</v>
      </c>
      <c r="D102" s="465">
        <v>3</v>
      </c>
      <c r="E102" s="465">
        <v>3</v>
      </c>
      <c r="F102" s="465">
        <v>5</v>
      </c>
      <c r="G102" s="465">
        <v>1302</v>
      </c>
      <c r="H102" s="465">
        <v>5652.85</v>
      </c>
      <c r="I102" s="467">
        <f t="shared" si="1"/>
      </c>
      <c r="J102" s="467">
        <f t="shared" si="2"/>
      </c>
      <c r="K102" s="467">
        <f t="shared" si="0"/>
      </c>
      <c r="L102" s="465">
        <v>0</v>
      </c>
      <c r="M102" s="465">
        <v>0</v>
      </c>
      <c r="N102" s="465"/>
      <c r="O102" s="465"/>
      <c r="P102" s="466"/>
      <c r="Q102" s="466"/>
      <c r="R102" s="466"/>
      <c r="S102" s="466"/>
    </row>
    <row r="103">
      <c r="A103" s="464" t="s">
        <v>1187</v>
      </c>
      <c r="B103" s="465" t="s">
        <v>1159</v>
      </c>
      <c r="C103" s="465" t="s">
        <v>1189</v>
      </c>
      <c r="D103" s="465">
        <v>3</v>
      </c>
      <c r="E103" s="465">
        <v>5</v>
      </c>
      <c r="F103" s="465">
        <v>4</v>
      </c>
      <c r="G103" s="465">
        <v>2713.2000000000007</v>
      </c>
      <c r="H103" s="465">
        <v>3664.44</v>
      </c>
      <c r="I103" s="467">
        <f t="shared" si="1"/>
      </c>
      <c r="J103" s="467">
        <f t="shared" si="2"/>
      </c>
      <c r="K103" s="467">
        <f t="shared" si="0"/>
      </c>
      <c r="L103" s="465">
        <v>1</v>
      </c>
      <c r="M103" s="465">
        <v>405.6</v>
      </c>
      <c r="N103" s="465" t="s">
        <v>1181</v>
      </c>
      <c r="O103" s="465">
        <v>3</v>
      </c>
      <c r="P103" s="466"/>
      <c r="Q103" s="466"/>
      <c r="R103" s="466"/>
      <c r="S103" s="466"/>
    </row>
    <row r="104">
      <c r="A104" s="475" t="s">
        <v>1187</v>
      </c>
      <c r="B104" s="469"/>
      <c r="C104" s="469"/>
      <c r="D104" s="470">
        <f>SUM(D101:D103)</f>
      </c>
      <c r="E104" s="470">
        <f>SUM(E101:E103)</f>
      </c>
      <c r="F104" s="471">
        <f>SUM(F101:F103)</f>
      </c>
      <c r="G104" s="470">
        <f>SUM(G101:G103)</f>
      </c>
      <c r="H104" s="470">
        <f>SUM(H101:H103)</f>
      </c>
      <c r="I104" s="472">
        <f t="shared" si="1"/>
      </c>
      <c r="J104" s="472">
        <f t="shared" si="2"/>
      </c>
      <c r="K104" s="472">
        <f t="shared" si="0"/>
      </c>
      <c r="L104" s="469">
        <f>SUM(L101:L103)</f>
      </c>
      <c r="M104" s="469">
        <f>SUM(M101:M103)</f>
      </c>
      <c r="N104" s="469"/>
      <c r="O104" s="470">
        <f>SUM(O101:O103)</f>
      </c>
      <c r="P104" s="469"/>
      <c r="Q104" s="469"/>
      <c r="R104" s="469"/>
      <c r="S104" s="469"/>
    </row>
    <row r="105">
      <c r="A105" s="464" t="s">
        <v>1190</v>
      </c>
      <c r="B105" s="465" t="s">
        <v>1128</v>
      </c>
      <c r="C105" s="465" t="s">
        <v>1188</v>
      </c>
      <c r="D105" s="465">
        <v>5</v>
      </c>
      <c r="E105" s="465">
        <v>15</v>
      </c>
      <c r="F105" s="465">
        <v>11</v>
      </c>
      <c r="G105" s="465">
        <v>9704.8</v>
      </c>
      <c r="H105" s="465">
        <v>10883.98</v>
      </c>
      <c r="I105" s="467">
        <f t="shared" si="1"/>
      </c>
      <c r="J105" s="467">
        <f t="shared" si="2"/>
      </c>
      <c r="K105" s="467">
        <f t="shared" si="0"/>
      </c>
      <c r="L105" s="465">
        <v>0</v>
      </c>
      <c r="M105" s="465">
        <v>0</v>
      </c>
      <c r="N105" s="465" t="s">
        <v>1139</v>
      </c>
      <c r="O105" s="465">
        <v>8</v>
      </c>
      <c r="P105" s="466"/>
      <c r="Q105" s="466"/>
      <c r="R105" s="466"/>
      <c r="S105" s="466"/>
    </row>
    <row r="106">
      <c r="A106" s="464" t="s">
        <v>1190</v>
      </c>
      <c r="B106" s="465" t="s">
        <v>1176</v>
      </c>
      <c r="C106" s="465" t="s">
        <v>1163</v>
      </c>
      <c r="D106" s="465">
        <v>3</v>
      </c>
      <c r="E106" s="465">
        <v>13</v>
      </c>
      <c r="F106" s="465">
        <v>7</v>
      </c>
      <c r="G106" s="465">
        <v>15641.600000000002</v>
      </c>
      <c r="H106" s="465">
        <v>5189.92</v>
      </c>
      <c r="I106" s="467">
        <f t="shared" si="1"/>
      </c>
      <c r="J106" s="467">
        <f t="shared" si="2"/>
      </c>
      <c r="K106" s="467">
        <f t="shared" si="0"/>
      </c>
      <c r="L106" s="465">
        <v>3</v>
      </c>
      <c r="M106" s="465">
        <v>2271.4</v>
      </c>
      <c r="N106" s="465"/>
      <c r="O106" s="465"/>
      <c r="P106" s="466"/>
      <c r="Q106" s="466"/>
      <c r="R106" s="466"/>
      <c r="S106" s="466"/>
    </row>
    <row r="107">
      <c r="A107" s="464" t="s">
        <v>1190</v>
      </c>
      <c r="B107" s="465" t="s">
        <v>1159</v>
      </c>
      <c r="C107" s="465" t="s">
        <v>1123</v>
      </c>
      <c r="D107" s="465">
        <v>4</v>
      </c>
      <c r="E107" s="465">
        <v>4</v>
      </c>
      <c r="F107" s="465">
        <v>3</v>
      </c>
      <c r="G107" s="465">
        <v>2338</v>
      </c>
      <c r="H107" s="465">
        <v>5156.97</v>
      </c>
      <c r="I107" s="467">
        <f t="shared" si="1"/>
      </c>
      <c r="J107" s="467">
        <f t="shared" si="2"/>
      </c>
      <c r="K107" s="467">
        <f t="shared" si="0"/>
      </c>
      <c r="L107" s="465">
        <v>0</v>
      </c>
      <c r="M107" s="465">
        <v>0</v>
      </c>
      <c r="N107" s="465" t="s">
        <v>1181</v>
      </c>
      <c r="O107" s="465">
        <v>4</v>
      </c>
      <c r="P107" s="466"/>
      <c r="Q107" s="466"/>
      <c r="R107" s="466"/>
      <c r="S107" s="466"/>
    </row>
    <row r="108">
      <c r="A108" s="475" t="s">
        <v>1190</v>
      </c>
      <c r="B108" s="469"/>
      <c r="C108" s="469"/>
      <c r="D108" s="470">
        <f>SUM(D105:D107)</f>
      </c>
      <c r="E108" s="470">
        <f>SUM(E105:E107)</f>
      </c>
      <c r="F108" s="471">
        <f>SUM(F105:F107)</f>
      </c>
      <c r="G108" s="470">
        <f>SUM(G105:G107)</f>
      </c>
      <c r="H108" s="470">
        <f>SUM(H105:H107)</f>
      </c>
      <c r="I108" s="472">
        <f t="shared" si="1"/>
      </c>
      <c r="J108" s="472">
        <f t="shared" si="2"/>
      </c>
      <c r="K108" s="472">
        <f t="shared" si="0"/>
      </c>
      <c r="L108" s="469">
        <f>SUM(L105:L107)</f>
      </c>
      <c r="M108" s="469">
        <f>SUM(M105:M107)</f>
      </c>
      <c r="N108" s="469"/>
      <c r="O108" s="470">
        <f>SUM(O105:O107)</f>
      </c>
      <c r="P108" s="469"/>
      <c r="Q108" s="469"/>
      <c r="R108" s="469"/>
      <c r="S108" s="469"/>
    </row>
    <row r="109">
      <c r="A109" s="464" t="s">
        <v>1191</v>
      </c>
      <c r="B109" s="465" t="s">
        <v>1120</v>
      </c>
      <c r="C109" s="465" t="s">
        <v>1184</v>
      </c>
      <c r="D109" s="465">
        <v>4</v>
      </c>
      <c r="E109" s="465">
        <v>6</v>
      </c>
      <c r="F109" s="465">
        <v>4</v>
      </c>
      <c r="G109" s="465">
        <v>2635.4</v>
      </c>
      <c r="H109" s="465">
        <v>5259.46</v>
      </c>
      <c r="I109" s="467">
        <f t="shared" si="1"/>
      </c>
      <c r="J109" s="467">
        <f t="shared" si="2"/>
      </c>
      <c r="K109" s="467">
        <f t="shared" si="0"/>
      </c>
      <c r="L109" s="465">
        <v>1</v>
      </c>
      <c r="M109" s="465">
        <v>457.2</v>
      </c>
      <c r="N109" s="465" t="s">
        <v>1139</v>
      </c>
      <c r="O109" s="465">
        <v>4</v>
      </c>
      <c r="P109" s="466"/>
      <c r="Q109" s="466"/>
      <c r="R109" s="466"/>
      <c r="S109" s="466"/>
    </row>
    <row r="110">
      <c r="A110" s="464" t="s">
        <v>1191</v>
      </c>
      <c r="B110" s="465" t="s">
        <v>1159</v>
      </c>
      <c r="C110" s="465" t="s">
        <v>1192</v>
      </c>
      <c r="D110" s="465">
        <v>2.5</v>
      </c>
      <c r="E110" s="465">
        <v>2</v>
      </c>
      <c r="F110" s="465">
        <v>2</v>
      </c>
      <c r="G110" s="465">
        <v>948</v>
      </c>
      <c r="H110" s="465">
        <v>2998.35</v>
      </c>
      <c r="I110" s="467">
        <f t="shared" si="1"/>
      </c>
      <c r="J110" s="467">
        <f t="shared" si="2"/>
      </c>
      <c r="K110" s="467">
        <f t="shared" si="0"/>
      </c>
      <c r="L110" s="465">
        <v>0</v>
      </c>
      <c r="M110" s="465">
        <v>0</v>
      </c>
      <c r="N110" s="465"/>
      <c r="O110" s="465"/>
      <c r="P110" s="466"/>
      <c r="Q110" s="466"/>
      <c r="R110" s="466"/>
      <c r="S110" s="466"/>
    </row>
    <row r="111">
      <c r="A111" s="464" t="s">
        <v>1191</v>
      </c>
      <c r="B111" s="465" t="s">
        <v>1128</v>
      </c>
      <c r="C111" s="465" t="s">
        <v>1174</v>
      </c>
      <c r="D111" s="465">
        <v>5</v>
      </c>
      <c r="E111" s="465">
        <v>15</v>
      </c>
      <c r="F111" s="465">
        <v>9</v>
      </c>
      <c r="G111" s="465">
        <v>12181.2</v>
      </c>
      <c r="H111" s="465">
        <v>8950.14</v>
      </c>
      <c r="I111" s="467">
        <f t="shared" si="1"/>
      </c>
      <c r="J111" s="467">
        <f t="shared" si="2"/>
      </c>
      <c r="K111" s="467">
        <f t="shared" si="0"/>
      </c>
      <c r="L111" s="465">
        <v>1</v>
      </c>
      <c r="M111" s="465">
        <v>652.8</v>
      </c>
      <c r="N111" s="465" t="s">
        <v>1181</v>
      </c>
      <c r="O111" s="465">
        <v>7.5</v>
      </c>
      <c r="P111" s="466"/>
      <c r="Q111" s="466"/>
      <c r="R111" s="466"/>
      <c r="S111" s="466"/>
    </row>
    <row r="112">
      <c r="A112" s="475" t="s">
        <v>1191</v>
      </c>
      <c r="B112" s="469"/>
      <c r="C112" s="469"/>
      <c r="D112" s="470">
        <f>SUM(D109:D111)</f>
      </c>
      <c r="E112" s="470">
        <f>SUM(E109:E111)</f>
      </c>
      <c r="F112" s="471">
        <f>SUM(F109:F111)</f>
      </c>
      <c r="G112" s="470">
        <f>SUM(G109:G111)</f>
      </c>
      <c r="H112" s="470">
        <f>SUM(H109:H111)</f>
      </c>
      <c r="I112" s="472">
        <f t="shared" si="1"/>
      </c>
      <c r="J112" s="472">
        <f t="shared" si="2"/>
      </c>
      <c r="K112" s="472">
        <f t="shared" si="0"/>
      </c>
      <c r="L112" s="469">
        <f>SUM(L109:L111)</f>
      </c>
      <c r="M112" s="469">
        <f>SUM(M109:M111)</f>
      </c>
      <c r="N112" s="469"/>
      <c r="O112" s="470">
        <f>SUM(O109:O111)</f>
      </c>
      <c r="P112" s="469"/>
      <c r="Q112" s="469"/>
      <c r="R112" s="469"/>
      <c r="S112" s="469"/>
    </row>
    <row r="113">
      <c r="A113" s="464" t="s">
        <v>1193</v>
      </c>
      <c r="B113" s="465" t="s">
        <v>1159</v>
      </c>
      <c r="C113" s="465" t="s">
        <v>1184</v>
      </c>
      <c r="D113" s="476">
        <v>3.5</v>
      </c>
      <c r="E113" s="465">
        <v>11</v>
      </c>
      <c r="F113" s="465">
        <v>8</v>
      </c>
      <c r="G113" s="465">
        <v>8398</v>
      </c>
      <c r="H113" s="465">
        <v>8804.98</v>
      </c>
      <c r="I113" s="467">
        <f t="shared" si="1"/>
      </c>
      <c r="J113" s="467">
        <f t="shared" si="2"/>
      </c>
      <c r="K113" s="467">
        <f t="shared" si="0"/>
      </c>
      <c r="L113" s="465">
        <v>1</v>
      </c>
      <c r="M113" s="465">
        <v>511.2</v>
      </c>
      <c r="N113" s="465" t="s">
        <v>1139</v>
      </c>
      <c r="O113" s="465">
        <v>4</v>
      </c>
      <c r="P113" s="466"/>
      <c r="Q113" s="466"/>
      <c r="R113" s="466"/>
      <c r="S113" s="466"/>
    </row>
    <row r="114">
      <c r="A114" s="464" t="s">
        <v>1193</v>
      </c>
      <c r="B114" s="465" t="s">
        <v>1176</v>
      </c>
      <c r="C114" s="465" t="s">
        <v>1180</v>
      </c>
      <c r="D114" s="476">
        <v>2.5</v>
      </c>
      <c r="E114" s="465">
        <v>9</v>
      </c>
      <c r="F114" s="465">
        <v>5</v>
      </c>
      <c r="G114" s="465">
        <v>6828</v>
      </c>
      <c r="H114" s="465">
        <v>5397.860000000001</v>
      </c>
      <c r="I114" s="467">
        <f t="shared" si="1"/>
      </c>
      <c r="J114" s="467">
        <f t="shared" si="2"/>
      </c>
      <c r="K114" s="467">
        <f t="shared" si="0"/>
      </c>
      <c r="L114" s="465">
        <v>2</v>
      </c>
      <c r="M114" s="465">
        <v>1375.2</v>
      </c>
      <c r="N114" s="465"/>
      <c r="O114" s="465"/>
      <c r="P114" s="466"/>
      <c r="Q114" s="466"/>
      <c r="R114" s="466"/>
      <c r="S114" s="466"/>
    </row>
    <row r="115">
      <c r="A115" s="464" t="s">
        <v>1193</v>
      </c>
      <c r="B115" s="465" t="s">
        <v>1128</v>
      </c>
      <c r="C115" s="465" t="s">
        <v>1194</v>
      </c>
      <c r="D115" s="465">
        <v>5</v>
      </c>
      <c r="E115" s="465">
        <v>13</v>
      </c>
      <c r="F115" s="465">
        <v>8</v>
      </c>
      <c r="G115" s="465">
        <v>9423.8</v>
      </c>
      <c r="H115" s="465">
        <v>8434.39</v>
      </c>
      <c r="I115" s="467">
        <f t="shared" si="1"/>
      </c>
      <c r="J115" s="467">
        <f t="shared" si="2"/>
      </c>
      <c r="K115" s="467">
        <f t="shared" si="0"/>
      </c>
      <c r="L115" s="465">
        <v>1</v>
      </c>
      <c r="M115" s="465">
        <v>640.8</v>
      </c>
      <c r="N115" s="465" t="s">
        <v>1181</v>
      </c>
      <c r="O115" s="465">
        <v>8</v>
      </c>
      <c r="P115" s="466"/>
      <c r="Q115" s="466"/>
      <c r="R115" s="466"/>
      <c r="S115" s="466"/>
    </row>
    <row r="116">
      <c r="A116" s="475" t="s">
        <v>1193</v>
      </c>
      <c r="B116" s="469"/>
      <c r="C116" s="469"/>
      <c r="D116" s="470">
        <f>SUM(D113:D115)</f>
      </c>
      <c r="E116" s="470">
        <f>SUM(E113:E115)</f>
      </c>
      <c r="F116" s="471">
        <f>SUM(F113:F115)</f>
      </c>
      <c r="G116" s="470">
        <f>SUM(G113:G115)</f>
      </c>
      <c r="H116" s="470">
        <f>SUM(H113:H115)</f>
      </c>
      <c r="I116" s="472">
        <f t="shared" si="1"/>
      </c>
      <c r="J116" s="472">
        <f t="shared" si="2"/>
      </c>
      <c r="K116" s="472">
        <f t="shared" si="0"/>
      </c>
      <c r="L116" s="469">
        <f>SUM(L113:L115)</f>
      </c>
      <c r="M116" s="469">
        <f>SUM(M113:M115)</f>
      </c>
      <c r="N116" s="469"/>
      <c r="O116" s="470">
        <f>SUM(O113:O115)</f>
      </c>
      <c r="P116" s="469"/>
      <c r="Q116" s="469"/>
      <c r="R116" s="469"/>
      <c r="S116" s="469"/>
    </row>
    <row r="117">
      <c r="A117" s="464" t="s">
        <v>1195</v>
      </c>
      <c r="B117" s="465" t="s">
        <v>1120</v>
      </c>
      <c r="C117" s="465" t="s">
        <v>1196</v>
      </c>
      <c r="D117" s="476">
        <v>2</v>
      </c>
      <c r="E117" s="465">
        <v>2</v>
      </c>
      <c r="F117" s="465">
        <v>2</v>
      </c>
      <c r="G117" s="465">
        <v>619.2</v>
      </c>
      <c r="H117" s="465">
        <v>3045.87</v>
      </c>
      <c r="I117" s="467">
        <f t="shared" si="1"/>
      </c>
      <c r="J117" s="467">
        <f t="shared" si="2"/>
      </c>
      <c r="K117" s="467">
        <f t="shared" si="0"/>
      </c>
      <c r="L117" s="465">
        <v>1</v>
      </c>
      <c r="M117" s="465">
        <v>326.4</v>
      </c>
      <c r="N117" s="465" t="s">
        <v>1135</v>
      </c>
      <c r="O117" s="465">
        <v>1.2</v>
      </c>
      <c r="P117" s="466"/>
      <c r="Q117" s="466"/>
      <c r="R117" s="466"/>
      <c r="S117" s="466"/>
    </row>
    <row r="118">
      <c r="A118" s="464" t="s">
        <v>1195</v>
      </c>
      <c r="B118" s="465" t="s">
        <v>1128</v>
      </c>
      <c r="C118" s="465" t="s">
        <v>1197</v>
      </c>
      <c r="D118" s="465">
        <v>5</v>
      </c>
      <c r="E118" s="465">
        <v>17</v>
      </c>
      <c r="F118" s="465">
        <v>13</v>
      </c>
      <c r="G118" s="465">
        <v>9407.2</v>
      </c>
      <c r="H118" s="465">
        <v>9741.289999999999</v>
      </c>
      <c r="I118" s="467">
        <f t="shared" si="1"/>
      </c>
      <c r="J118" s="467">
        <f t="shared" si="2"/>
      </c>
      <c r="K118" s="467">
        <f t="shared" si="0"/>
      </c>
      <c r="L118" s="465">
        <v>1</v>
      </c>
      <c r="M118" s="465">
        <v>621.6</v>
      </c>
      <c r="N118" s="465"/>
      <c r="O118" s="465"/>
      <c r="P118" s="466"/>
      <c r="Q118" s="466"/>
      <c r="R118" s="466"/>
      <c r="S118" s="466"/>
    </row>
    <row r="119">
      <c r="A119" s="464" t="s">
        <v>1195</v>
      </c>
      <c r="B119" s="465" t="s">
        <v>1124</v>
      </c>
      <c r="C119" s="465" t="s">
        <v>1125</v>
      </c>
      <c r="D119" s="465">
        <v>4</v>
      </c>
      <c r="E119" s="465">
        <v>12</v>
      </c>
      <c r="F119" s="465">
        <v>6</v>
      </c>
      <c r="G119" s="465">
        <v>6337.799999999997</v>
      </c>
      <c r="H119" s="465">
        <v>7085.860000000001</v>
      </c>
      <c r="I119" s="467">
        <f t="shared" si="1"/>
      </c>
      <c r="J119" s="467">
        <f t="shared" si="2"/>
      </c>
      <c r="K119" s="467">
        <f t="shared" si="0"/>
      </c>
      <c r="L119" s="465">
        <v>1</v>
      </c>
      <c r="M119" s="465">
        <v>78.6</v>
      </c>
      <c r="N119" s="465" t="s">
        <v>1181</v>
      </c>
      <c r="O119" s="465">
        <v>9</v>
      </c>
      <c r="P119" s="466"/>
      <c r="Q119" s="466"/>
      <c r="R119" s="466"/>
      <c r="S119" s="466"/>
    </row>
    <row r="120">
      <c r="A120" s="475" t="s">
        <v>1195</v>
      </c>
      <c r="B120" s="469"/>
      <c r="C120" s="469"/>
      <c r="D120" s="470">
        <f>SUM(D117:D119)</f>
      </c>
      <c r="E120" s="470">
        <f>SUM(E117:E119)</f>
      </c>
      <c r="F120" s="471">
        <f>SUM(F117:F119)</f>
      </c>
      <c r="G120" s="470">
        <f>SUM(G117:G119)</f>
      </c>
      <c r="H120" s="470">
        <f>SUM(H117:H119)</f>
      </c>
      <c r="I120" s="472">
        <f t="shared" si="1"/>
      </c>
      <c r="J120" s="472">
        <f t="shared" si="2"/>
      </c>
      <c r="K120" s="472">
        <f t="shared" si="0"/>
      </c>
      <c r="L120" s="469">
        <f>SUM(L117:L119)</f>
      </c>
      <c r="M120" s="469">
        <f>SUM(M117:M119)</f>
      </c>
      <c r="N120" s="469"/>
      <c r="O120" s="470">
        <f>SUM(O117:O119)</f>
      </c>
      <c r="P120" s="469"/>
      <c r="Q120" s="469"/>
      <c r="R120" s="469"/>
      <c r="S120" s="469"/>
    </row>
  </sheetData>
  <autoFilter ref="A1:S123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6" min="6" style="0" width="11.211267605633802"/>
  </cols>
  <sheetData>
    <row customHeight="true" ht="16.071428571428573" r="1">
      <c r="A1" s="477" t="s">
        <v>1198</v>
      </c>
      <c r="B1" s="477" t="s">
        <v>1199</v>
      </c>
      <c r="C1" s="477" t="s">
        <v>1200</v>
      </c>
      <c r="D1" s="477" t="s">
        <v>1201</v>
      </c>
      <c r="E1" s="477" t="s">
        <v>1202</v>
      </c>
      <c r="F1" s="478" t="s">
        <v>1203</v>
      </c>
      <c r="G1" s="479" t="s">
        <v>1204</v>
      </c>
      <c r="H1" s="479" t="s">
        <v>1205</v>
      </c>
      <c r="I1" s="479" t="s">
        <v>1206</v>
      </c>
      <c r="J1" s="479" t="s">
        <v>1207</v>
      </c>
      <c r="K1" s="479" t="s">
        <v>1208</v>
      </c>
      <c r="L1" s="477" t="s">
        <v>1209</v>
      </c>
      <c r="M1" s="477" t="s">
        <v>1210</v>
      </c>
      <c r="N1" s="477" t="s">
        <v>1211</v>
      </c>
      <c r="O1" s="477" t="s">
        <v>1212</v>
      </c>
      <c r="P1" s="477" t="s">
        <v>1213</v>
      </c>
      <c r="Q1" s="477" t="s">
        <v>1212</v>
      </c>
      <c r="R1" s="477" t="s">
        <v>1214</v>
      </c>
      <c r="S1" s="477" t="s">
        <v>1215</v>
      </c>
    </row>
    <row r="2">
      <c r="A2" s="480">
        <v>8.1</v>
      </c>
      <c r="B2" s="481" t="s">
        <v>1216</v>
      </c>
      <c r="C2" s="481" t="s">
        <v>1217</v>
      </c>
      <c r="D2" s="481">
        <v>4</v>
      </c>
      <c r="E2" s="481">
        <v>17</v>
      </c>
      <c r="F2" s="482"/>
      <c r="G2" s="482">
        <v>7595</v>
      </c>
      <c r="H2" s="482">
        <v>6063.929999999999</v>
      </c>
      <c r="I2" s="483">
        <f t="shared" ref="I2:I100" si="0">G2/H2</f>
      </c>
      <c r="J2" s="483">
        <f t="shared" ref="J2:J100" si="1">G2/E2</f>
      </c>
      <c r="K2" s="483">
        <f t="shared" ref="K2:K100" si="2">H2/E2</f>
      </c>
      <c r="L2" s="481">
        <v>4</v>
      </c>
      <c r="M2" s="481">
        <v>2024.4</v>
      </c>
      <c r="N2" s="481" t="s">
        <v>1218</v>
      </c>
      <c r="O2" s="481">
        <v>4</v>
      </c>
      <c r="P2" s="482"/>
      <c r="Q2" s="482"/>
      <c r="R2" s="482"/>
      <c r="S2" s="482"/>
    </row>
    <row r="3">
      <c r="A3" s="484">
        <v>8.1</v>
      </c>
      <c r="B3" s="485"/>
      <c r="C3" s="485"/>
      <c r="D3" s="486">
        <f>SUM(D2)</f>
      </c>
      <c r="E3" s="486">
        <f>E2</f>
      </c>
      <c r="F3" s="486">
        <f>F2</f>
      </c>
      <c r="G3" s="486">
        <f>G2</f>
      </c>
      <c r="H3" s="486">
        <f>H2</f>
      </c>
      <c r="I3" s="487">
        <f t="shared" si="0"/>
      </c>
      <c r="J3" s="487">
        <f t="shared" si="1"/>
      </c>
      <c r="K3" s="487">
        <f t="shared" si="2"/>
      </c>
      <c r="L3" s="485">
        <f>L2</f>
      </c>
      <c r="M3" s="485">
        <f>M2</f>
      </c>
      <c r="N3" s="485"/>
      <c r="O3" s="486">
        <f>SUM(O2)</f>
      </c>
      <c r="P3" s="485"/>
      <c r="Q3" s="485"/>
      <c r="R3" s="485"/>
      <c r="S3" s="485"/>
    </row>
    <row r="4">
      <c r="A4" s="480">
        <v>8.2</v>
      </c>
      <c r="B4" s="481" t="s">
        <v>1216</v>
      </c>
      <c r="C4" s="481" t="s">
        <v>1219</v>
      </c>
      <c r="D4" s="481">
        <v>3</v>
      </c>
      <c r="E4" s="481">
        <v>5</v>
      </c>
      <c r="F4" s="481"/>
      <c r="G4" s="481">
        <v>2133.6</v>
      </c>
      <c r="H4" s="481">
        <v>3510.4199999999996</v>
      </c>
      <c r="I4" s="483">
        <f t="shared" si="0"/>
      </c>
      <c r="J4" s="483">
        <f t="shared" si="1"/>
      </c>
      <c r="K4" s="483">
        <f t="shared" si="2"/>
      </c>
      <c r="L4" s="481">
        <v>0</v>
      </c>
      <c r="M4" s="481">
        <v>0</v>
      </c>
      <c r="N4" s="482"/>
      <c r="O4" s="482"/>
      <c r="P4" s="482"/>
      <c r="Q4" s="482"/>
      <c r="R4" s="482"/>
      <c r="S4" s="482"/>
    </row>
    <row r="5">
      <c r="A5" s="480">
        <v>8.2</v>
      </c>
      <c r="B5" s="481" t="s">
        <v>1220</v>
      </c>
      <c r="C5" s="481" t="s">
        <v>1221</v>
      </c>
      <c r="D5" s="481">
        <v>3</v>
      </c>
      <c r="E5" s="481">
        <v>22</v>
      </c>
      <c r="F5" s="482"/>
      <c r="G5" s="482">
        <v>11767.199999999999</v>
      </c>
      <c r="H5" s="482">
        <v>9572.36</v>
      </c>
      <c r="I5" s="483">
        <f t="shared" si="0"/>
      </c>
      <c r="J5" s="483">
        <f t="shared" si="1"/>
      </c>
      <c r="K5" s="483">
        <f t="shared" si="2"/>
      </c>
      <c r="L5" s="481">
        <v>1</v>
      </c>
      <c r="M5" s="481">
        <v>543.6</v>
      </c>
      <c r="N5" s="481" t="s">
        <v>1218</v>
      </c>
      <c r="O5" s="488">
        <v>6</v>
      </c>
      <c r="P5" s="482"/>
      <c r="Q5" s="482"/>
      <c r="R5" s="482"/>
      <c r="S5" s="482"/>
    </row>
    <row r="6">
      <c r="A6" s="489">
        <v>8.2</v>
      </c>
      <c r="B6" s="485"/>
      <c r="C6" s="485"/>
      <c r="D6" s="486">
        <f>SUM(D4:D5)</f>
      </c>
      <c r="E6" s="486">
        <f>SUM(E4:E5)</f>
      </c>
      <c r="F6" s="486">
        <f>SUM(F4:F5)</f>
      </c>
      <c r="G6" s="486">
        <f>SUM(G4:G5)</f>
      </c>
      <c r="H6" s="486">
        <f>SUM(H4:H5)</f>
      </c>
      <c r="I6" s="487">
        <f t="shared" si="0"/>
      </c>
      <c r="J6" s="487">
        <f t="shared" si="1"/>
      </c>
      <c r="K6" s="487">
        <f t="shared" si="2"/>
      </c>
      <c r="L6" s="485">
        <f>SUM(L4:L5)</f>
      </c>
      <c r="M6" s="485">
        <f>SUM(M4:M5)</f>
      </c>
      <c r="N6" s="485"/>
      <c r="O6" s="486">
        <f>SUM(O4:O5)</f>
      </c>
      <c r="P6" s="485"/>
      <c r="Q6" s="485"/>
      <c r="R6" s="485"/>
      <c r="S6" s="485"/>
    </row>
    <row r="7">
      <c r="A7" s="480">
        <v>8.3</v>
      </c>
      <c r="B7" s="481" t="s">
        <v>1216</v>
      </c>
      <c r="C7" s="481" t="s">
        <v>1222</v>
      </c>
      <c r="D7" s="481">
        <v>3</v>
      </c>
      <c r="E7" s="481">
        <v>9</v>
      </c>
      <c r="F7" s="481"/>
      <c r="G7" s="481">
        <v>3999.2</v>
      </c>
      <c r="H7" s="481">
        <v>7655.48</v>
      </c>
      <c r="I7" s="483">
        <f t="shared" si="0"/>
      </c>
      <c r="J7" s="483">
        <f t="shared" si="1"/>
      </c>
      <c r="K7" s="483">
        <f t="shared" si="2"/>
      </c>
      <c r="L7" s="481">
        <v>1</v>
      </c>
      <c r="M7" s="481">
        <v>370.8</v>
      </c>
      <c r="N7" s="482"/>
      <c r="O7" s="482"/>
      <c r="P7" s="482"/>
      <c r="Q7" s="482"/>
      <c r="R7" s="482"/>
      <c r="S7" s="482"/>
    </row>
    <row r="8">
      <c r="A8" s="480">
        <v>8.3</v>
      </c>
      <c r="B8" s="481" t="s">
        <v>1220</v>
      </c>
      <c r="C8" s="481" t="s">
        <v>1223</v>
      </c>
      <c r="D8" s="481">
        <v>3</v>
      </c>
      <c r="E8" s="481">
        <v>15</v>
      </c>
      <c r="F8" s="482"/>
      <c r="G8" s="482">
        <v>8953</v>
      </c>
      <c r="H8" s="482">
        <v>6314.110000000001</v>
      </c>
      <c r="I8" s="483">
        <f t="shared" si="0"/>
      </c>
      <c r="J8" s="483">
        <f t="shared" si="1"/>
      </c>
      <c r="K8" s="483">
        <f t="shared" si="2"/>
      </c>
      <c r="L8" s="481">
        <v>0</v>
      </c>
      <c r="M8" s="481">
        <v>0</v>
      </c>
      <c r="N8" s="481" t="s">
        <v>1224</v>
      </c>
      <c r="O8" s="488">
        <v>3</v>
      </c>
      <c r="P8" s="482"/>
      <c r="Q8" s="482"/>
      <c r="R8" s="482"/>
      <c r="S8" s="482"/>
    </row>
    <row r="9">
      <c r="A9" s="489">
        <v>8.3</v>
      </c>
      <c r="B9" s="485"/>
      <c r="C9" s="485"/>
      <c r="D9" s="486">
        <f>SUM(D7:D8)</f>
      </c>
      <c r="E9" s="486">
        <f>SUM(E7:E8)</f>
      </c>
      <c r="F9" s="486">
        <f>SUM(F7:F8)</f>
      </c>
      <c r="G9" s="486">
        <f>SUM(G7:G8)</f>
      </c>
      <c r="H9" s="486">
        <f>SUM(H7:H8)</f>
      </c>
      <c r="I9" s="487">
        <f t="shared" si="0"/>
      </c>
      <c r="J9" s="487">
        <f t="shared" si="1"/>
      </c>
      <c r="K9" s="487">
        <f t="shared" si="2"/>
      </c>
      <c r="L9" s="485">
        <f>SUM(L7:L8)</f>
      </c>
      <c r="M9" s="485">
        <f>SUM(M7:M8)</f>
      </c>
      <c r="N9" s="485"/>
      <c r="O9" s="486">
        <f>SUM(O7:O8)</f>
      </c>
      <c r="P9" s="485"/>
      <c r="Q9" s="485"/>
      <c r="R9" s="485"/>
      <c r="S9" s="485"/>
    </row>
    <row r="10">
      <c r="A10" s="480">
        <v>8.4</v>
      </c>
      <c r="B10" s="481" t="s">
        <v>1220</v>
      </c>
      <c r="C10" s="481" t="s">
        <v>1225</v>
      </c>
      <c r="D10" s="481">
        <v>4</v>
      </c>
      <c r="E10" s="481">
        <v>23</v>
      </c>
      <c r="F10" s="481"/>
      <c r="G10" s="481">
        <v>10644.6</v>
      </c>
      <c r="H10" s="481">
        <v>10688.269999999999</v>
      </c>
      <c r="I10" s="483">
        <f t="shared" si="0"/>
      </c>
      <c r="J10" s="483">
        <f t="shared" si="1"/>
      </c>
      <c r="K10" s="483">
        <f t="shared" si="2"/>
      </c>
      <c r="L10" s="481">
        <v>6</v>
      </c>
      <c r="M10" s="481">
        <v>1410.2</v>
      </c>
      <c r="N10" s="481" t="s">
        <v>1224</v>
      </c>
      <c r="O10" s="481">
        <v>1.6</v>
      </c>
      <c r="P10" s="482"/>
      <c r="Q10" s="482"/>
      <c r="R10" s="482"/>
      <c r="S10" s="482"/>
    </row>
    <row r="11">
      <c r="A11" s="489">
        <v>8.4</v>
      </c>
      <c r="B11" s="485"/>
      <c r="C11" s="485"/>
      <c r="D11" s="486">
        <f>SUM(D10)</f>
      </c>
      <c r="E11" s="486">
        <f>SUM(E10)</f>
      </c>
      <c r="F11" s="486">
        <f>F10</f>
      </c>
      <c r="G11" s="486">
        <f>SUM(G10)</f>
      </c>
      <c r="H11" s="486">
        <f>SUM(H10)</f>
      </c>
      <c r="I11" s="487">
        <f t="shared" si="0"/>
      </c>
      <c r="J11" s="487">
        <f t="shared" si="1"/>
      </c>
      <c r="K11" s="487">
        <f t="shared" si="2"/>
      </c>
      <c r="L11" s="485">
        <f>SUM(L10)</f>
      </c>
      <c r="M11" s="485">
        <f>SUM(M10)</f>
      </c>
      <c r="N11" s="485"/>
      <c r="O11" s="486">
        <f>SUM(O10)</f>
      </c>
      <c r="P11" s="485"/>
      <c r="Q11" s="485"/>
      <c r="R11" s="485"/>
      <c r="S11" s="485"/>
    </row>
    <row r="12">
      <c r="A12" s="480">
        <v>8.5</v>
      </c>
      <c r="B12" s="481" t="s">
        <v>1220</v>
      </c>
      <c r="C12" s="481" t="s">
        <v>1222</v>
      </c>
      <c r="D12" s="481">
        <v>3</v>
      </c>
      <c r="E12" s="481">
        <v>10</v>
      </c>
      <c r="F12" s="481"/>
      <c r="G12" s="481">
        <v>4252.8</v>
      </c>
      <c r="H12" s="481">
        <v>7783.92</v>
      </c>
      <c r="I12" s="483">
        <f t="shared" si="0"/>
      </c>
      <c r="J12" s="483">
        <f t="shared" si="1"/>
      </c>
      <c r="K12" s="483">
        <f t="shared" si="2"/>
      </c>
      <c r="L12" s="481">
        <v>0</v>
      </c>
      <c r="M12" s="481">
        <v>0</v>
      </c>
      <c r="N12" s="482"/>
      <c r="O12" s="482"/>
      <c r="P12" s="482"/>
      <c r="Q12" s="482"/>
      <c r="R12" s="482"/>
      <c r="S12" s="482"/>
    </row>
    <row r="13">
      <c r="A13" s="480">
        <v>8.5</v>
      </c>
      <c r="B13" s="481" t="s">
        <v>1216</v>
      </c>
      <c r="C13" s="481" t="s">
        <v>1223</v>
      </c>
      <c r="D13" s="481">
        <v>3</v>
      </c>
      <c r="E13" s="481">
        <v>17</v>
      </c>
      <c r="F13" s="481"/>
      <c r="G13" s="481">
        <v>9778.6</v>
      </c>
      <c r="H13" s="481">
        <v>9536.59</v>
      </c>
      <c r="I13" s="483">
        <f t="shared" si="0"/>
      </c>
      <c r="J13" s="483">
        <f t="shared" si="1"/>
      </c>
      <c r="K13" s="483">
        <f t="shared" si="2"/>
      </c>
      <c r="L13" s="481">
        <v>8</v>
      </c>
      <c r="M13" s="481">
        <v>4329.6</v>
      </c>
      <c r="N13" s="481" t="s">
        <v>1226</v>
      </c>
      <c r="O13" s="488">
        <v>6</v>
      </c>
      <c r="P13" s="482"/>
      <c r="Q13" s="482"/>
      <c r="R13" s="482"/>
      <c r="S13" s="482"/>
    </row>
    <row r="14">
      <c r="A14" s="489">
        <v>8.5</v>
      </c>
      <c r="B14" s="485"/>
      <c r="C14" s="485"/>
      <c r="D14" s="486">
        <f>SUM(D12:D13)</f>
      </c>
      <c r="E14" s="486">
        <f>SUM(E12:E13)</f>
      </c>
      <c r="F14" s="486">
        <f>SUM(F12:F13)</f>
      </c>
      <c r="G14" s="486">
        <f>SUM(G12:G13)</f>
      </c>
      <c r="H14" s="486">
        <f>SUM(H12:H13)</f>
      </c>
      <c r="I14" s="487">
        <f t="shared" si="0"/>
      </c>
      <c r="J14" s="487">
        <f t="shared" si="1"/>
      </c>
      <c r="K14" s="487">
        <f t="shared" si="2"/>
      </c>
      <c r="L14" s="485">
        <f>SUM(L12:L13)</f>
      </c>
      <c r="M14" s="485">
        <f>SUM(M12:M13)</f>
      </c>
      <c r="N14" s="485"/>
      <c r="O14" s="486">
        <f>SUM(O12:O13)</f>
      </c>
      <c r="P14" s="485"/>
      <c r="Q14" s="485"/>
      <c r="R14" s="485"/>
      <c r="S14" s="485"/>
    </row>
    <row r="15">
      <c r="A15" s="480">
        <v>8.6</v>
      </c>
      <c r="B15" s="481" t="s">
        <v>1216</v>
      </c>
      <c r="C15" s="481" t="s">
        <v>1222</v>
      </c>
      <c r="D15" s="481">
        <v>3</v>
      </c>
      <c r="E15" s="481">
        <v>3</v>
      </c>
      <c r="F15" s="481"/>
      <c r="G15" s="481">
        <v>2025.6</v>
      </c>
      <c r="H15" s="481">
        <v>7050.23</v>
      </c>
      <c r="I15" s="483">
        <f t="shared" si="0"/>
      </c>
      <c r="J15" s="483">
        <f t="shared" si="1"/>
      </c>
      <c r="K15" s="483">
        <f t="shared" si="2"/>
      </c>
      <c r="L15" s="481">
        <v>1</v>
      </c>
      <c r="M15" s="481">
        <v>562.8</v>
      </c>
      <c r="N15" s="482"/>
      <c r="O15" s="482"/>
      <c r="P15" s="482"/>
      <c r="Q15" s="482"/>
      <c r="R15" s="482"/>
      <c r="S15" s="482"/>
    </row>
    <row r="16">
      <c r="A16" s="480">
        <v>8.6</v>
      </c>
      <c r="B16" s="481" t="s">
        <v>1227</v>
      </c>
      <c r="C16" s="481" t="s">
        <v>1223</v>
      </c>
      <c r="D16" s="481">
        <v>3</v>
      </c>
      <c r="E16" s="481">
        <v>9</v>
      </c>
      <c r="F16" s="481"/>
      <c r="G16" s="481">
        <v>5559</v>
      </c>
      <c r="H16" s="481">
        <v>5721.6</v>
      </c>
      <c r="I16" s="483">
        <f t="shared" si="0"/>
      </c>
      <c r="J16" s="483">
        <f t="shared" si="1"/>
      </c>
      <c r="K16" s="483">
        <f t="shared" si="2"/>
      </c>
      <c r="L16" s="481">
        <v>1</v>
      </c>
      <c r="M16" s="481">
        <v>457.2</v>
      </c>
      <c r="N16" s="481" t="s">
        <v>1226</v>
      </c>
      <c r="O16" s="488">
        <v>6</v>
      </c>
      <c r="P16" s="482"/>
      <c r="Q16" s="482"/>
      <c r="R16" s="482"/>
      <c r="S16" s="482"/>
    </row>
    <row r="17">
      <c r="A17" s="489">
        <v>8.6</v>
      </c>
      <c r="B17" s="485"/>
      <c r="C17" s="485"/>
      <c r="D17" s="486">
        <f>SUM(D15:D16)</f>
      </c>
      <c r="E17" s="486">
        <f>SUM(E15:E16)</f>
      </c>
      <c r="F17" s="486">
        <f>SUM(F15:F16)</f>
      </c>
      <c r="G17" s="486">
        <f>SUM(G15:G16)</f>
      </c>
      <c r="H17" s="486">
        <f>SUM(H15:H16)</f>
      </c>
      <c r="I17" s="487">
        <f t="shared" si="0"/>
      </c>
      <c r="J17" s="487">
        <f t="shared" si="1"/>
      </c>
      <c r="K17" s="487">
        <f t="shared" si="2"/>
      </c>
      <c r="L17" s="485">
        <f>SUM(L15:L16)</f>
      </c>
      <c r="M17" s="485">
        <f>SUM(M15:M16)</f>
      </c>
      <c r="N17" s="485"/>
      <c r="O17" s="486">
        <f>SUM(O15:O16)</f>
      </c>
      <c r="P17" s="485"/>
      <c r="Q17" s="485"/>
      <c r="R17" s="485"/>
      <c r="S17" s="485"/>
    </row>
    <row r="18">
      <c r="A18" s="480">
        <v>8.7</v>
      </c>
      <c r="B18" s="481" t="s">
        <v>1216</v>
      </c>
      <c r="C18" s="481" t="s">
        <v>1222</v>
      </c>
      <c r="D18" s="481">
        <v>3</v>
      </c>
      <c r="E18" s="481">
        <v>7</v>
      </c>
      <c r="F18" s="481"/>
      <c r="G18" s="481">
        <v>3651.2</v>
      </c>
      <c r="H18" s="481">
        <v>8907.82</v>
      </c>
      <c r="I18" s="483">
        <f t="shared" si="0"/>
      </c>
      <c r="J18" s="483">
        <f t="shared" si="1"/>
      </c>
      <c r="K18" s="483">
        <f t="shared" si="2"/>
      </c>
      <c r="L18" s="481">
        <v>1</v>
      </c>
      <c r="M18" s="481">
        <v>614.4</v>
      </c>
      <c r="N18" s="482"/>
      <c r="O18" s="482"/>
      <c r="P18" s="482"/>
      <c r="Q18" s="482"/>
      <c r="R18" s="482"/>
      <c r="S18" s="482"/>
    </row>
    <row r="19">
      <c r="A19" s="480">
        <v>8.7</v>
      </c>
      <c r="B19" s="481" t="s">
        <v>1227</v>
      </c>
      <c r="C19" s="481" t="s">
        <v>1223</v>
      </c>
      <c r="D19" s="481">
        <v>3</v>
      </c>
      <c r="E19" s="481">
        <v>8</v>
      </c>
      <c r="F19" s="481"/>
      <c r="G19" s="481">
        <v>4536.4</v>
      </c>
      <c r="H19" s="481">
        <v>6379.84</v>
      </c>
      <c r="I19" s="483">
        <f t="shared" si="0"/>
      </c>
      <c r="J19" s="483">
        <f t="shared" si="1"/>
      </c>
      <c r="K19" s="483">
        <f t="shared" si="2"/>
      </c>
      <c r="L19" s="481">
        <v>0</v>
      </c>
      <c r="M19" s="481">
        <v>0</v>
      </c>
      <c r="N19" s="481" t="s">
        <v>1226</v>
      </c>
      <c r="O19" s="488">
        <v>6</v>
      </c>
      <c r="P19" s="482"/>
      <c r="Q19" s="482"/>
      <c r="R19" s="482"/>
      <c r="S19" s="482"/>
    </row>
    <row r="20">
      <c r="A20" s="489">
        <v>8.7</v>
      </c>
      <c r="B20" s="485"/>
      <c r="C20" s="485"/>
      <c r="D20" s="486">
        <f>SUM(D18:D19)</f>
      </c>
      <c r="E20" s="486">
        <f>SUM(E18:E19)</f>
      </c>
      <c r="F20" s="486">
        <f>SUM(F18:F19)</f>
      </c>
      <c r="G20" s="486">
        <f>SUM(G18:G19)</f>
      </c>
      <c r="H20" s="486">
        <f>SUM(H18:H19)</f>
      </c>
      <c r="I20" s="487">
        <f t="shared" si="0"/>
      </c>
      <c r="J20" s="487">
        <f t="shared" si="1"/>
      </c>
      <c r="K20" s="487">
        <f t="shared" si="2"/>
      </c>
      <c r="L20" s="485">
        <f>SUM(L18:L19)</f>
      </c>
      <c r="M20" s="485">
        <f>SUM(M18:M19)</f>
      </c>
      <c r="N20" s="485"/>
      <c r="O20" s="486">
        <f>SUM(O18:O19)</f>
      </c>
      <c r="P20" s="485"/>
      <c r="Q20" s="485"/>
      <c r="R20" s="485"/>
      <c r="S20" s="485"/>
    </row>
    <row r="21">
      <c r="A21" s="480">
        <v>8.8</v>
      </c>
      <c r="B21" s="481" t="s">
        <v>1220</v>
      </c>
      <c r="C21" s="481" t="s">
        <v>1225</v>
      </c>
      <c r="D21" s="481">
        <v>4</v>
      </c>
      <c r="E21" s="481">
        <v>14</v>
      </c>
      <c r="F21" s="481"/>
      <c r="G21" s="481">
        <v>13749.8</v>
      </c>
      <c r="H21" s="481">
        <v>11187.75</v>
      </c>
      <c r="I21" s="483">
        <f t="shared" si="0"/>
      </c>
      <c r="J21" s="483">
        <f t="shared" si="1"/>
      </c>
      <c r="K21" s="483">
        <f t="shared" si="2"/>
      </c>
      <c r="L21" s="481">
        <v>2</v>
      </c>
      <c r="M21" s="481">
        <v>4985.6</v>
      </c>
      <c r="N21" s="482"/>
      <c r="O21" s="482"/>
      <c r="P21" s="482"/>
      <c r="Q21" s="482"/>
      <c r="R21" s="482"/>
      <c r="S21" s="482"/>
    </row>
    <row r="22">
      <c r="A22" s="480">
        <v>8.8</v>
      </c>
      <c r="B22" s="481" t="s">
        <v>1227</v>
      </c>
      <c r="C22" s="481" t="s">
        <v>1228</v>
      </c>
      <c r="D22" s="481">
        <v>4</v>
      </c>
      <c r="E22" s="481">
        <v>20</v>
      </c>
      <c r="F22" s="481"/>
      <c r="G22" s="481">
        <v>19449.2</v>
      </c>
      <c r="H22" s="481">
        <v>15306</v>
      </c>
      <c r="I22" s="483">
        <f t="shared" si="0"/>
      </c>
      <c r="J22" s="483">
        <f t="shared" si="1"/>
      </c>
      <c r="K22" s="483">
        <f t="shared" si="2"/>
      </c>
      <c r="L22" s="481">
        <v>1</v>
      </c>
      <c r="M22" s="481">
        <v>2712</v>
      </c>
      <c r="N22" s="481" t="s">
        <v>1226</v>
      </c>
      <c r="O22" s="488">
        <v>8</v>
      </c>
      <c r="P22" s="482"/>
      <c r="Q22" s="482"/>
      <c r="R22" s="482"/>
      <c r="S22" s="482"/>
    </row>
    <row r="23">
      <c r="A23" s="489">
        <v>8.8</v>
      </c>
      <c r="B23" s="485"/>
      <c r="C23" s="485"/>
      <c r="D23" s="486">
        <f>SUM(D21:D22)</f>
      </c>
      <c r="E23" s="486">
        <f>SUM(E21:E22)</f>
      </c>
      <c r="F23" s="486">
        <f>SUM(F21:F22)</f>
      </c>
      <c r="G23" s="486">
        <f>SUM(G21:G22)</f>
      </c>
      <c r="H23" s="486">
        <f>SUM(H21:H22)</f>
      </c>
      <c r="I23" s="487">
        <f t="shared" si="0"/>
      </c>
      <c r="J23" s="487">
        <f t="shared" si="1"/>
      </c>
      <c r="K23" s="487">
        <f t="shared" si="2"/>
      </c>
      <c r="L23" s="485">
        <f>SUM(L21:L22)</f>
      </c>
      <c r="M23" s="485">
        <f>SUM(M21:M22)</f>
      </c>
      <c r="N23" s="485"/>
      <c r="O23" s="486">
        <f>SUM(O21:O22)</f>
      </c>
      <c r="P23" s="485"/>
      <c r="Q23" s="485"/>
      <c r="R23" s="485"/>
      <c r="S23" s="485"/>
    </row>
    <row r="24">
      <c r="A24" s="480">
        <v>8.9</v>
      </c>
      <c r="B24" s="481" t="s">
        <v>1216</v>
      </c>
      <c r="C24" s="481" t="s">
        <v>1225</v>
      </c>
      <c r="D24" s="481">
        <v>4</v>
      </c>
      <c r="E24" s="481">
        <v>12</v>
      </c>
      <c r="F24" s="481"/>
      <c r="G24" s="481">
        <v>5825.8</v>
      </c>
      <c r="H24" s="481">
        <v>9752.35</v>
      </c>
      <c r="I24" s="483">
        <f t="shared" si="0"/>
      </c>
      <c r="J24" s="483">
        <f t="shared" si="1"/>
      </c>
      <c r="K24" s="483">
        <f t="shared" si="2"/>
      </c>
      <c r="L24" s="481">
        <v>4</v>
      </c>
      <c r="M24" s="481">
        <v>2226</v>
      </c>
      <c r="N24" s="482"/>
      <c r="O24" s="482"/>
      <c r="P24" s="482"/>
      <c r="Q24" s="482"/>
      <c r="R24" s="482"/>
      <c r="S24" s="482"/>
    </row>
    <row r="25">
      <c r="A25" s="480">
        <v>8.9</v>
      </c>
      <c r="B25" s="481" t="s">
        <v>1227</v>
      </c>
      <c r="C25" s="481" t="s">
        <v>1228</v>
      </c>
      <c r="D25" s="481">
        <v>4</v>
      </c>
      <c r="E25" s="481">
        <v>19</v>
      </c>
      <c r="F25" s="481"/>
      <c r="G25" s="481">
        <v>10247.8</v>
      </c>
      <c r="H25" s="481">
        <v>6809.59</v>
      </c>
      <c r="I25" s="483">
        <f t="shared" si="0"/>
      </c>
      <c r="J25" s="483">
        <f t="shared" si="1"/>
      </c>
      <c r="K25" s="483">
        <f t="shared" si="2"/>
      </c>
      <c r="L25" s="481">
        <v>4</v>
      </c>
      <c r="M25" s="481">
        <v>2529.6</v>
      </c>
      <c r="N25" s="481" t="s">
        <v>1226</v>
      </c>
      <c r="O25" s="488">
        <v>8</v>
      </c>
      <c r="P25" s="482"/>
      <c r="Q25" s="482"/>
      <c r="R25" s="482"/>
      <c r="S25" s="482"/>
    </row>
    <row r="26">
      <c r="A26" s="489">
        <v>8.9</v>
      </c>
      <c r="B26" s="485"/>
      <c r="C26" s="485"/>
      <c r="D26" s="486">
        <f>SUM(D24:D25)</f>
      </c>
      <c r="E26" s="486">
        <f>SUM(E24:E25)</f>
      </c>
      <c r="F26" s="486">
        <f>SUM(F24:F25)</f>
      </c>
      <c r="G26" s="486">
        <f>SUM(G24:G25)</f>
      </c>
      <c r="H26" s="486">
        <f>SUM(H24:H25)</f>
      </c>
      <c r="I26" s="487">
        <f t="shared" si="0"/>
      </c>
      <c r="J26" s="487">
        <f t="shared" si="1"/>
      </c>
      <c r="K26" s="487">
        <f t="shared" si="2"/>
      </c>
      <c r="L26" s="485">
        <f>SUM(L24:L25)</f>
      </c>
      <c r="M26" s="485">
        <f>SUM(M24:M25)</f>
      </c>
      <c r="N26" s="485"/>
      <c r="O26" s="486">
        <f>SUM(O24:O25)</f>
      </c>
      <c r="P26" s="485"/>
      <c r="Q26" s="485"/>
      <c r="R26" s="485"/>
      <c r="S26" s="485"/>
    </row>
    <row r="27">
      <c r="A27" s="490" t="s">
        <v>1229</v>
      </c>
      <c r="B27" s="481" t="s">
        <v>1227</v>
      </c>
      <c r="C27" s="481" t="s">
        <v>1225</v>
      </c>
      <c r="D27" s="481">
        <v>4</v>
      </c>
      <c r="E27" s="481">
        <v>23</v>
      </c>
      <c r="F27" s="481"/>
      <c r="G27" s="481">
        <v>8950.4</v>
      </c>
      <c r="H27" s="481">
        <v>11447.92</v>
      </c>
      <c r="I27" s="483">
        <f t="shared" si="0"/>
      </c>
      <c r="J27" s="483">
        <f t="shared" si="1"/>
      </c>
      <c r="K27" s="483">
        <f t="shared" si="2"/>
      </c>
      <c r="L27" s="481">
        <v>0</v>
      </c>
      <c r="M27" s="481">
        <v>0</v>
      </c>
      <c r="N27" s="482"/>
      <c r="O27" s="482"/>
      <c r="P27" s="482"/>
      <c r="Q27" s="482"/>
      <c r="R27" s="482"/>
      <c r="S27" s="482"/>
    </row>
    <row r="28">
      <c r="A28" s="490" t="s">
        <v>1229</v>
      </c>
      <c r="B28" s="481" t="s">
        <v>1216</v>
      </c>
      <c r="C28" s="481" t="s">
        <v>1228</v>
      </c>
      <c r="D28" s="481">
        <v>4</v>
      </c>
      <c r="E28" s="481">
        <v>11</v>
      </c>
      <c r="F28" s="481"/>
      <c r="G28" s="481">
        <v>7039.2</v>
      </c>
      <c r="H28" s="481">
        <v>9286.039999999999</v>
      </c>
      <c r="I28" s="483">
        <f t="shared" si="0"/>
      </c>
      <c r="J28" s="483">
        <f t="shared" si="1"/>
      </c>
      <c r="K28" s="483">
        <f t="shared" si="2"/>
      </c>
      <c r="L28" s="481">
        <v>0</v>
      </c>
      <c r="M28" s="481">
        <v>0</v>
      </c>
      <c r="N28" s="481" t="s">
        <v>1226</v>
      </c>
      <c r="O28" s="488">
        <v>8</v>
      </c>
      <c r="P28" s="482"/>
      <c r="Q28" s="482"/>
      <c r="R28" s="482"/>
      <c r="S28" s="482"/>
    </row>
    <row r="29">
      <c r="A29" s="489" t="s">
        <v>1229</v>
      </c>
      <c r="B29" s="485"/>
      <c r="C29" s="485"/>
      <c r="D29" s="486">
        <f>SUM(D27:D28)</f>
      </c>
      <c r="E29" s="486">
        <f>SUM(E27:E28)</f>
      </c>
      <c r="F29" s="486">
        <f>SUM(F27:F28)</f>
      </c>
      <c r="G29" s="486">
        <f>SUM(G27:G28)</f>
      </c>
      <c r="H29" s="486">
        <f>SUM(H27:H28)</f>
      </c>
      <c r="I29" s="487">
        <f t="shared" si="0"/>
      </c>
      <c r="J29" s="487">
        <f t="shared" si="1"/>
      </c>
      <c r="K29" s="487">
        <f t="shared" si="2"/>
      </c>
      <c r="L29" s="485">
        <f>SUM(L27:L28)</f>
      </c>
      <c r="M29" s="485">
        <f>SUM(M27:M28)</f>
      </c>
      <c r="N29" s="485"/>
      <c r="O29" s="486">
        <f>SUM(O27:O28)</f>
      </c>
      <c r="P29" s="485"/>
      <c r="Q29" s="485"/>
      <c r="R29" s="485"/>
      <c r="S29" s="485"/>
    </row>
    <row r="30">
      <c r="A30" s="490" t="s">
        <v>1230</v>
      </c>
      <c r="B30" s="481" t="s">
        <v>1220</v>
      </c>
      <c r="C30" s="481" t="s">
        <v>1225</v>
      </c>
      <c r="D30" s="481">
        <v>4</v>
      </c>
      <c r="E30" s="481">
        <v>10</v>
      </c>
      <c r="F30" s="481"/>
      <c r="G30" s="481">
        <v>8216.4</v>
      </c>
      <c r="H30" s="481">
        <v>9164.25</v>
      </c>
      <c r="I30" s="483">
        <f t="shared" si="0"/>
      </c>
      <c r="J30" s="483">
        <f t="shared" si="1"/>
      </c>
      <c r="K30" s="483">
        <f t="shared" si="2"/>
      </c>
      <c r="L30" s="481">
        <v>1</v>
      </c>
      <c r="M30" s="481">
        <v>1617</v>
      </c>
      <c r="N30" s="482"/>
      <c r="O30" s="482"/>
      <c r="P30" s="482"/>
      <c r="Q30" s="482"/>
      <c r="R30" s="482"/>
      <c r="S30" s="482"/>
    </row>
    <row r="31">
      <c r="A31" s="490" t="s">
        <v>1230</v>
      </c>
      <c r="B31" s="481" t="s">
        <v>1216</v>
      </c>
      <c r="C31" s="481" t="s">
        <v>1231</v>
      </c>
      <c r="D31" s="481">
        <v>3</v>
      </c>
      <c r="E31" s="481">
        <v>4</v>
      </c>
      <c r="F31" s="481"/>
      <c r="G31" s="481">
        <v>1292.8</v>
      </c>
      <c r="H31" s="481">
        <v>6046.72</v>
      </c>
      <c r="I31" s="483">
        <f t="shared" si="0"/>
      </c>
      <c r="J31" s="483">
        <f t="shared" si="1"/>
      </c>
      <c r="K31" s="483">
        <f t="shared" si="2"/>
      </c>
      <c r="L31" s="481">
        <v>0</v>
      </c>
      <c r="M31" s="481">
        <v>0</v>
      </c>
      <c r="N31" s="481" t="s">
        <v>1226</v>
      </c>
      <c r="O31" s="488">
        <v>7</v>
      </c>
      <c r="P31" s="482"/>
      <c r="Q31" s="482"/>
      <c r="R31" s="482"/>
      <c r="S31" s="482"/>
    </row>
    <row r="32">
      <c r="A32" s="489" t="s">
        <v>1230</v>
      </c>
      <c r="B32" s="485"/>
      <c r="C32" s="485"/>
      <c r="D32" s="486">
        <f>SUM(D30:D31)</f>
      </c>
      <c r="E32" s="486">
        <f>SUM(E30:E31)</f>
      </c>
      <c r="F32" s="486">
        <f>SUM(F30:F31)</f>
      </c>
      <c r="G32" s="486">
        <f>SUM(G30:G31)</f>
      </c>
      <c r="H32" s="486">
        <f>SUM(H30:H31)</f>
      </c>
      <c r="I32" s="487">
        <f t="shared" si="0"/>
      </c>
      <c r="J32" s="487">
        <f t="shared" si="1"/>
      </c>
      <c r="K32" s="487">
        <f t="shared" si="2"/>
      </c>
      <c r="L32" s="485">
        <f>SUM(L30:L31)</f>
      </c>
      <c r="M32" s="485">
        <f>SUM(M30:M31)</f>
      </c>
      <c r="N32" s="485"/>
      <c r="O32" s="486">
        <f>SUM(O30:O31)</f>
      </c>
      <c r="P32" s="485"/>
      <c r="Q32" s="485"/>
      <c r="R32" s="485"/>
      <c r="S32" s="485"/>
    </row>
    <row r="33">
      <c r="A33" s="490" t="s">
        <v>1232</v>
      </c>
      <c r="B33" s="481" t="s">
        <v>1227</v>
      </c>
      <c r="C33" s="481" t="s">
        <v>1233</v>
      </c>
      <c r="D33" s="481">
        <v>4</v>
      </c>
      <c r="E33" s="481">
        <v>10</v>
      </c>
      <c r="F33" s="481"/>
      <c r="G33" s="481">
        <v>6285</v>
      </c>
      <c r="H33" s="481">
        <v>9545.2</v>
      </c>
      <c r="I33" s="483">
        <f t="shared" si="0"/>
      </c>
      <c r="J33" s="483">
        <f t="shared" si="1"/>
      </c>
      <c r="K33" s="483">
        <f t="shared" si="2"/>
      </c>
      <c r="L33" s="481">
        <v>1</v>
      </c>
      <c r="M33" s="481">
        <v>775.2</v>
      </c>
      <c r="N33" s="482"/>
      <c r="O33" s="482"/>
      <c r="P33" s="482"/>
      <c r="Q33" s="482"/>
      <c r="R33" s="482"/>
      <c r="S33" s="482"/>
    </row>
    <row r="34">
      <c r="A34" s="490" t="s">
        <v>1232</v>
      </c>
      <c r="B34" s="481" t="s">
        <v>1216</v>
      </c>
      <c r="C34" s="481" t="s">
        <v>1221</v>
      </c>
      <c r="D34" s="481">
        <v>3</v>
      </c>
      <c r="E34" s="481">
        <v>28</v>
      </c>
      <c r="F34" s="481"/>
      <c r="G34" s="481">
        <v>20452.6</v>
      </c>
      <c r="H34" s="481">
        <v>9632.82</v>
      </c>
      <c r="I34" s="483">
        <f t="shared" si="0"/>
      </c>
      <c r="J34" s="483">
        <f t="shared" si="1"/>
      </c>
      <c r="K34" s="483">
        <f t="shared" si="2"/>
      </c>
      <c r="L34" s="481">
        <v>4</v>
      </c>
      <c r="M34" s="481">
        <v>3175.2</v>
      </c>
      <c r="N34" s="481" t="s">
        <v>1218</v>
      </c>
      <c r="O34" s="488">
        <v>7</v>
      </c>
      <c r="P34" s="482"/>
      <c r="Q34" s="482"/>
      <c r="R34" s="482"/>
      <c r="S34" s="482"/>
    </row>
    <row r="35">
      <c r="A35" s="489">
        <v>8.12</v>
      </c>
      <c r="B35" s="485"/>
      <c r="C35" s="485"/>
      <c r="D35" s="486">
        <f>SUM(D33:D34)</f>
      </c>
      <c r="E35" s="486">
        <f>SUM(E33:E34)</f>
      </c>
      <c r="F35" s="486">
        <f>SUM(F33:F34)</f>
      </c>
      <c r="G35" s="486">
        <f>SUM(G33:G34)</f>
      </c>
      <c r="H35" s="486">
        <f>SUM(H33:H34)</f>
      </c>
      <c r="I35" s="487">
        <f t="shared" si="0"/>
      </c>
      <c r="J35" s="487">
        <f t="shared" si="1"/>
      </c>
      <c r="K35" s="487">
        <f t="shared" si="2"/>
      </c>
      <c r="L35" s="485">
        <f>SUM(L33:L34)</f>
      </c>
      <c r="M35" s="485">
        <f>SUM(M33:M34)</f>
      </c>
      <c r="N35" s="485"/>
      <c r="O35" s="486">
        <f>SUM(O33:O34)</f>
      </c>
      <c r="P35" s="485"/>
      <c r="Q35" s="485"/>
      <c r="R35" s="485"/>
      <c r="S35" s="485"/>
    </row>
    <row r="36">
      <c r="A36" s="490" t="s">
        <v>1234</v>
      </c>
      <c r="B36" s="481" t="s">
        <v>1220</v>
      </c>
      <c r="C36" s="481" t="s">
        <v>1225</v>
      </c>
      <c r="D36" s="481">
        <v>4</v>
      </c>
      <c r="E36" s="481">
        <v>9</v>
      </c>
      <c r="F36" s="481"/>
      <c r="G36" s="481">
        <v>10347</v>
      </c>
      <c r="H36" s="481">
        <v>7761.52</v>
      </c>
      <c r="I36" s="483">
        <f t="shared" si="0"/>
      </c>
      <c r="J36" s="483">
        <f t="shared" si="1"/>
      </c>
      <c r="K36" s="483">
        <f t="shared" si="2"/>
      </c>
      <c r="L36" s="481">
        <v>1</v>
      </c>
      <c r="M36" s="481">
        <v>391.2</v>
      </c>
      <c r="N36" s="482"/>
      <c r="O36" s="482"/>
      <c r="P36" s="482"/>
      <c r="Q36" s="482"/>
      <c r="R36" s="482"/>
      <c r="S36" s="482"/>
    </row>
    <row r="37">
      <c r="A37" s="490" t="s">
        <v>1234</v>
      </c>
      <c r="B37" s="481" t="s">
        <v>1216</v>
      </c>
      <c r="C37" s="481" t="s">
        <v>1231</v>
      </c>
      <c r="D37" s="481">
        <v>3</v>
      </c>
      <c r="E37" s="481">
        <v>10</v>
      </c>
      <c r="F37" s="481"/>
      <c r="G37" s="481">
        <v>6404.4</v>
      </c>
      <c r="H37" s="481">
        <v>5428.94</v>
      </c>
      <c r="I37" s="483">
        <f t="shared" si="0"/>
      </c>
      <c r="J37" s="483">
        <f t="shared" si="1"/>
      </c>
      <c r="K37" s="483">
        <f t="shared" si="2"/>
      </c>
      <c r="L37" s="481">
        <v>0</v>
      </c>
      <c r="M37" s="481">
        <v>0</v>
      </c>
      <c r="N37" s="481" t="s">
        <v>1226</v>
      </c>
      <c r="O37" s="488">
        <v>7</v>
      </c>
      <c r="P37" s="482"/>
      <c r="Q37" s="482"/>
      <c r="R37" s="482"/>
      <c r="S37" s="482"/>
    </row>
    <row r="38">
      <c r="A38" s="489" t="s">
        <v>1234</v>
      </c>
      <c r="B38" s="485"/>
      <c r="C38" s="485"/>
      <c r="D38" s="486">
        <f>SUM(D36:D37)</f>
      </c>
      <c r="E38" s="486">
        <f>SUM(E36:E37)</f>
      </c>
      <c r="F38" s="486">
        <f>SUM(F36:F37)</f>
      </c>
      <c r="G38" s="486">
        <f>SUM(G36:G37)</f>
      </c>
      <c r="H38" s="486">
        <f>SUM(H36:H37)</f>
      </c>
      <c r="I38" s="487">
        <f t="shared" si="0"/>
      </c>
      <c r="J38" s="487">
        <f t="shared" si="1"/>
      </c>
      <c r="K38" s="487">
        <f t="shared" si="2"/>
      </c>
      <c r="L38" s="485">
        <f>SUM(L36:L37)</f>
      </c>
      <c r="M38" s="485">
        <f>SUM(M36:M37)</f>
      </c>
      <c r="N38" s="485"/>
      <c r="O38" s="486">
        <f>SUM(O36:O37)</f>
      </c>
      <c r="P38" s="485"/>
      <c r="Q38" s="485"/>
      <c r="R38" s="485"/>
      <c r="S38" s="485"/>
    </row>
    <row r="39">
      <c r="A39" s="490" t="s">
        <v>1235</v>
      </c>
      <c r="B39" s="482" t="s">
        <v>1227</v>
      </c>
      <c r="C39" s="482" t="s">
        <v>1233</v>
      </c>
      <c r="D39" s="482">
        <v>4</v>
      </c>
      <c r="E39" s="481">
        <v>20</v>
      </c>
      <c r="F39" s="482"/>
      <c r="G39" s="482">
        <v>20681.8</v>
      </c>
      <c r="H39" s="482">
        <v>11233.319999999998</v>
      </c>
      <c r="I39" s="483">
        <f t="shared" si="0"/>
      </c>
      <c r="J39" s="483">
        <f t="shared" si="1"/>
      </c>
      <c r="K39" s="483">
        <f t="shared" si="2"/>
      </c>
      <c r="L39" s="481">
        <v>1</v>
      </c>
      <c r="M39" s="482">
        <v>241.2</v>
      </c>
      <c r="N39" s="482"/>
      <c r="O39" s="482"/>
      <c r="P39" s="482"/>
      <c r="Q39" s="482"/>
      <c r="R39" s="482"/>
      <c r="S39" s="482"/>
    </row>
    <row r="40">
      <c r="A40" s="490" t="s">
        <v>1235</v>
      </c>
      <c r="B40" s="482" t="s">
        <v>1216</v>
      </c>
      <c r="C40" s="482" t="s">
        <v>1221</v>
      </c>
      <c r="D40" s="482">
        <v>3</v>
      </c>
      <c r="E40" s="481">
        <v>11</v>
      </c>
      <c r="F40" s="482"/>
      <c r="G40" s="482">
        <v>4449.4000000000015</v>
      </c>
      <c r="H40" s="482">
        <v>7708.87</v>
      </c>
      <c r="I40" s="483">
        <f t="shared" si="0"/>
      </c>
      <c r="J40" s="483">
        <f t="shared" si="1"/>
      </c>
      <c r="K40" s="483">
        <f t="shared" si="2"/>
      </c>
      <c r="L40" s="481">
        <v>1</v>
      </c>
      <c r="M40" s="482">
        <v>356.40000000000003</v>
      </c>
      <c r="N40" s="482" t="s">
        <v>1218</v>
      </c>
      <c r="O40" s="482">
        <v>7</v>
      </c>
      <c r="P40" s="482"/>
      <c r="Q40" s="482"/>
      <c r="R40" s="482"/>
      <c r="S40" s="482"/>
    </row>
    <row r="41">
      <c r="A41" s="489">
        <v>8.14</v>
      </c>
      <c r="B41" s="485"/>
      <c r="C41" s="485"/>
      <c r="D41" s="486">
        <f>SUM(D39:D40)</f>
      </c>
      <c r="E41" s="486">
        <f>SUM(E39:E40)</f>
      </c>
      <c r="F41" s="486">
        <f>SUM(F39:F40)</f>
      </c>
      <c r="G41" s="486">
        <f>SUM(G39:G40)</f>
      </c>
      <c r="H41" s="486">
        <f>SUM(H39:H40)</f>
      </c>
      <c r="I41" s="487">
        <f t="shared" si="0"/>
      </c>
      <c r="J41" s="487">
        <f t="shared" si="1"/>
      </c>
      <c r="K41" s="487">
        <f t="shared" si="2"/>
      </c>
      <c r="L41" s="485">
        <f>SUM(L39:L40)</f>
      </c>
      <c r="M41" s="485">
        <f>SUM(M39:M40)</f>
      </c>
      <c r="N41" s="485"/>
      <c r="O41" s="486">
        <f>SUM(O39:O40)</f>
      </c>
      <c r="P41" s="485"/>
      <c r="Q41" s="485"/>
      <c r="R41" s="485"/>
      <c r="S41" s="485"/>
    </row>
    <row r="42">
      <c r="A42" s="490" t="s">
        <v>1236</v>
      </c>
      <c r="B42" s="481" t="s">
        <v>1220</v>
      </c>
      <c r="C42" s="481" t="s">
        <v>1237</v>
      </c>
      <c r="D42" s="482">
        <v>4</v>
      </c>
      <c r="E42" s="481">
        <v>13</v>
      </c>
      <c r="F42" s="482"/>
      <c r="G42" s="482">
        <v>13329</v>
      </c>
      <c r="H42" s="482">
        <v>10385.999999999998</v>
      </c>
      <c r="I42" s="483">
        <f t="shared" si="0"/>
      </c>
      <c r="J42" s="483">
        <f t="shared" si="1"/>
      </c>
      <c r="K42" s="483">
        <f t="shared" si="2"/>
      </c>
      <c r="L42" s="481">
        <v>4</v>
      </c>
      <c r="M42" s="482">
        <v>4723.2</v>
      </c>
      <c r="N42" s="482"/>
      <c r="O42" s="482"/>
      <c r="P42" s="482"/>
      <c r="Q42" s="482"/>
      <c r="R42" s="482"/>
      <c r="S42" s="482"/>
    </row>
    <row r="43">
      <c r="A43" s="490" t="s">
        <v>1236</v>
      </c>
      <c r="B43" s="482" t="s">
        <v>1216</v>
      </c>
      <c r="C43" s="481" t="s">
        <v>1217</v>
      </c>
      <c r="D43" s="481">
        <v>4</v>
      </c>
      <c r="E43" s="481">
        <v>21</v>
      </c>
      <c r="F43" s="482"/>
      <c r="G43" s="482">
        <v>14344.599999999999</v>
      </c>
      <c r="H43" s="482">
        <v>10994.81</v>
      </c>
      <c r="I43" s="483">
        <f t="shared" si="0"/>
      </c>
      <c r="J43" s="483">
        <f t="shared" si="1"/>
      </c>
      <c r="K43" s="483">
        <f t="shared" si="2"/>
      </c>
      <c r="L43" s="481">
        <v>1</v>
      </c>
      <c r="M43" s="482">
        <v>612</v>
      </c>
      <c r="N43" s="482" t="s">
        <v>1218</v>
      </c>
      <c r="O43" s="481">
        <v>8</v>
      </c>
      <c r="P43" s="482"/>
      <c r="Q43" s="482"/>
      <c r="R43" s="482"/>
      <c r="S43" s="482"/>
    </row>
    <row r="44">
      <c r="A44" s="489">
        <v>8.15</v>
      </c>
      <c r="B44" s="485"/>
      <c r="C44" s="485"/>
      <c r="D44" s="486">
        <f>SUM(D42:D43)</f>
      </c>
      <c r="E44" s="486">
        <f>SUM(E42:E43)</f>
      </c>
      <c r="F44" s="486">
        <f>SUM(F42:F43)</f>
      </c>
      <c r="G44" s="486">
        <f>SUM(G42:G43)</f>
      </c>
      <c r="H44" s="486">
        <f>SUM(H42:H43)</f>
      </c>
      <c r="I44" s="487">
        <f t="shared" si="0"/>
      </c>
      <c r="J44" s="487">
        <f t="shared" si="1"/>
      </c>
      <c r="K44" s="487">
        <f t="shared" si="2"/>
      </c>
      <c r="L44" s="485">
        <f>SUM(L42:L43)</f>
      </c>
      <c r="M44" s="485">
        <f>SUM(M42:M43)</f>
      </c>
      <c r="N44" s="485"/>
      <c r="O44" s="486">
        <f>SUM(O42:O43)</f>
      </c>
      <c r="P44" s="485"/>
      <c r="Q44" s="485"/>
      <c r="R44" s="485"/>
      <c r="S44" s="485"/>
    </row>
    <row r="45">
      <c r="A45" s="490" t="s">
        <v>1238</v>
      </c>
      <c r="B45" s="481" t="s">
        <v>1220</v>
      </c>
      <c r="C45" s="481" t="s">
        <v>1237</v>
      </c>
      <c r="D45" s="482">
        <v>4</v>
      </c>
      <c r="E45" s="481">
        <v>12</v>
      </c>
      <c r="F45" s="482"/>
      <c r="G45" s="482">
        <v>6371.6</v>
      </c>
      <c r="H45" s="482">
        <v>8637.470000000001</v>
      </c>
      <c r="I45" s="483">
        <f t="shared" si="0"/>
      </c>
      <c r="J45" s="483">
        <f t="shared" si="1"/>
      </c>
      <c r="K45" s="483">
        <f t="shared" si="2"/>
      </c>
      <c r="L45" s="481">
        <v>0</v>
      </c>
      <c r="M45" s="481">
        <v>0</v>
      </c>
      <c r="N45" s="482"/>
      <c r="O45" s="482"/>
      <c r="P45" s="482"/>
      <c r="Q45" s="482"/>
      <c r="R45" s="482"/>
      <c r="S45" s="482"/>
    </row>
    <row r="46">
      <c r="A46" s="490" t="s">
        <v>1238</v>
      </c>
      <c r="B46" s="482" t="s">
        <v>1216</v>
      </c>
      <c r="C46" s="481" t="s">
        <v>1217</v>
      </c>
      <c r="D46" s="481">
        <v>4</v>
      </c>
      <c r="E46" s="481">
        <v>6</v>
      </c>
      <c r="F46" s="482"/>
      <c r="G46" s="482">
        <v>3070.7999999999993</v>
      </c>
      <c r="H46" s="482">
        <v>8638.53</v>
      </c>
      <c r="I46" s="483">
        <f t="shared" si="0"/>
      </c>
      <c r="J46" s="483">
        <f t="shared" si="1"/>
      </c>
      <c r="K46" s="483">
        <f t="shared" si="2"/>
      </c>
      <c r="L46" s="481">
        <v>0</v>
      </c>
      <c r="M46" s="481">
        <v>0</v>
      </c>
      <c r="N46" s="482" t="s">
        <v>1218</v>
      </c>
      <c r="O46" s="481">
        <v>8</v>
      </c>
      <c r="P46" s="482"/>
      <c r="Q46" s="482"/>
      <c r="R46" s="482"/>
      <c r="S46" s="482"/>
    </row>
    <row r="47">
      <c r="A47" s="489">
        <v>8.16</v>
      </c>
      <c r="B47" s="485"/>
      <c r="C47" s="485"/>
      <c r="D47" s="486">
        <f>SUM(D45:D46)</f>
      </c>
      <c r="E47" s="486">
        <f>SUM(E45:E46)</f>
      </c>
      <c r="F47" s="486">
        <f>SUM(F45:F46)</f>
      </c>
      <c r="G47" s="486">
        <f>SUM(G45:G46)</f>
      </c>
      <c r="H47" s="486">
        <f>SUM(H45:H46)</f>
      </c>
      <c r="I47" s="487">
        <f t="shared" si="0"/>
      </c>
      <c r="J47" s="487">
        <f t="shared" si="1"/>
      </c>
      <c r="K47" s="487">
        <f t="shared" si="2"/>
      </c>
      <c r="L47" s="485">
        <f>SUM(L45:L46)</f>
      </c>
      <c r="M47" s="485">
        <f>SUM(M45:M46)</f>
      </c>
      <c r="N47" s="485"/>
      <c r="O47" s="486">
        <f>SUM(O45:O46)</f>
      </c>
      <c r="P47" s="485"/>
      <c r="Q47" s="485"/>
      <c r="R47" s="485"/>
      <c r="S47" s="485"/>
    </row>
    <row r="48">
      <c r="A48" s="490" t="s">
        <v>1239</v>
      </c>
      <c r="B48" s="481" t="s">
        <v>1227</v>
      </c>
      <c r="C48" s="481" t="s">
        <v>1237</v>
      </c>
      <c r="D48" s="482">
        <v>4</v>
      </c>
      <c r="E48" s="481">
        <v>16</v>
      </c>
      <c r="F48" s="482"/>
      <c r="G48" s="482">
        <v>17353.2</v>
      </c>
      <c r="H48" s="482">
        <v>8182.28</v>
      </c>
      <c r="I48" s="483">
        <f t="shared" si="0"/>
      </c>
      <c r="J48" s="483">
        <f t="shared" si="1"/>
      </c>
      <c r="K48" s="483">
        <f t="shared" si="2"/>
      </c>
      <c r="L48" s="481">
        <v>6</v>
      </c>
      <c r="M48" s="481">
        <v>8116.8</v>
      </c>
      <c r="N48" s="482"/>
      <c r="O48" s="482"/>
      <c r="P48" s="482"/>
      <c r="Q48" s="482"/>
      <c r="R48" s="482"/>
      <c r="S48" s="482"/>
    </row>
    <row r="49">
      <c r="A49" s="490" t="s">
        <v>1239</v>
      </c>
      <c r="B49" s="482" t="s">
        <v>1216</v>
      </c>
      <c r="C49" s="481" t="s">
        <v>1217</v>
      </c>
      <c r="D49" s="481">
        <v>4</v>
      </c>
      <c r="E49" s="481">
        <v>33</v>
      </c>
      <c r="F49" s="482"/>
      <c r="G49" s="482">
        <v>20082.960000000003</v>
      </c>
      <c r="H49" s="482">
        <v>17698.89</v>
      </c>
      <c r="I49" s="483">
        <f t="shared" si="0"/>
      </c>
      <c r="J49" s="483">
        <f t="shared" si="1"/>
      </c>
      <c r="K49" s="483">
        <f t="shared" si="2"/>
      </c>
      <c r="L49" s="481">
        <v>3</v>
      </c>
      <c r="M49" s="481">
        <v>1356.999999999999</v>
      </c>
      <c r="N49" s="482" t="s">
        <v>1218</v>
      </c>
      <c r="O49" s="481">
        <v>8</v>
      </c>
      <c r="P49" s="482"/>
      <c r="Q49" s="482"/>
      <c r="R49" s="482"/>
      <c r="S49" s="482"/>
    </row>
    <row r="50">
      <c r="A50" s="489">
        <v>8.17</v>
      </c>
      <c r="B50" s="485"/>
      <c r="C50" s="485"/>
      <c r="D50" s="486">
        <f>SUM(D48:D49)</f>
      </c>
      <c r="E50" s="486">
        <f>SUM(E48:E49)</f>
      </c>
      <c r="F50" s="486">
        <f>SUM(F48:F49)</f>
      </c>
      <c r="G50" s="486">
        <f>SUM(G48:G49)</f>
      </c>
      <c r="H50" s="486">
        <f>SUM(H48:H49)</f>
      </c>
      <c r="I50" s="487">
        <f t="shared" si="0"/>
      </c>
      <c r="J50" s="487">
        <f t="shared" si="1"/>
      </c>
      <c r="K50" s="487">
        <f t="shared" si="2"/>
      </c>
      <c r="L50" s="485">
        <f>SUM(L48:L49)</f>
      </c>
      <c r="M50" s="485">
        <f>SUM(M48:M49)</f>
      </c>
      <c r="N50" s="485"/>
      <c r="O50" s="486">
        <f>SUM(O48:O49)</f>
      </c>
      <c r="P50" s="485"/>
      <c r="Q50" s="485"/>
      <c r="R50" s="485"/>
      <c r="S50" s="485"/>
    </row>
    <row r="51">
      <c r="A51" s="490" t="s">
        <v>1240</v>
      </c>
      <c r="B51" s="481" t="s">
        <v>1227</v>
      </c>
      <c r="C51" s="481" t="s">
        <v>1237</v>
      </c>
      <c r="D51" s="482">
        <v>4</v>
      </c>
      <c r="E51" s="481">
        <v>18</v>
      </c>
      <c r="F51" s="482"/>
      <c r="G51" s="482">
        <v>7567.2</v>
      </c>
      <c r="H51" s="482">
        <v>13502.33</v>
      </c>
      <c r="I51" s="483">
        <f t="shared" si="0"/>
      </c>
      <c r="J51" s="483">
        <f t="shared" si="1"/>
      </c>
      <c r="K51" s="483">
        <f t="shared" si="2"/>
      </c>
      <c r="L51" s="481">
        <v>3</v>
      </c>
      <c r="M51" s="481">
        <v>1280.4</v>
      </c>
      <c r="N51" s="482"/>
      <c r="O51" s="482"/>
      <c r="P51" s="482"/>
      <c r="Q51" s="482"/>
      <c r="R51" s="482"/>
      <c r="S51" s="482"/>
    </row>
    <row r="52">
      <c r="A52" s="490" t="s">
        <v>1240</v>
      </c>
      <c r="B52" s="482" t="s">
        <v>1216</v>
      </c>
      <c r="C52" s="481" t="s">
        <v>1217</v>
      </c>
      <c r="D52" s="481">
        <v>4</v>
      </c>
      <c r="E52" s="481">
        <v>16</v>
      </c>
      <c r="F52" s="482"/>
      <c r="G52" s="482">
        <v>11360</v>
      </c>
      <c r="H52" s="482">
        <v>10346.71</v>
      </c>
      <c r="I52" s="483">
        <f t="shared" si="0"/>
      </c>
      <c r="J52" s="483">
        <f t="shared" si="1"/>
      </c>
      <c r="K52" s="483">
        <f t="shared" si="2"/>
      </c>
      <c r="L52" s="481">
        <v>3</v>
      </c>
      <c r="M52" s="481">
        <v>3327.6</v>
      </c>
      <c r="N52" s="482" t="s">
        <v>1218</v>
      </c>
      <c r="O52" s="481">
        <v>8</v>
      </c>
      <c r="P52" s="482"/>
      <c r="Q52" s="482"/>
      <c r="R52" s="482"/>
      <c r="S52" s="482"/>
    </row>
    <row r="53">
      <c r="A53" s="489">
        <v>8.18</v>
      </c>
      <c r="B53" s="485"/>
      <c r="C53" s="485"/>
      <c r="D53" s="486">
        <f>SUM(D51:D52)</f>
      </c>
      <c r="E53" s="486">
        <f>SUM(E51:E52)</f>
      </c>
      <c r="F53" s="486">
        <f>SUM(F51:F52)</f>
      </c>
      <c r="G53" s="486">
        <f>SUM(G51:G52)</f>
      </c>
      <c r="H53" s="486">
        <f>SUM(H51:H52)</f>
      </c>
      <c r="I53" s="487">
        <f t="shared" si="0"/>
      </c>
      <c r="J53" s="487">
        <f t="shared" si="1"/>
      </c>
      <c r="K53" s="487">
        <f t="shared" si="2"/>
      </c>
      <c r="L53" s="485">
        <f>SUM(L51:L52)</f>
      </c>
      <c r="M53" s="485">
        <f>SUM(M51:M52)</f>
      </c>
      <c r="N53" s="485"/>
      <c r="O53" s="486">
        <f>SUM(O51:O52)</f>
      </c>
      <c r="P53" s="485"/>
      <c r="Q53" s="485"/>
      <c r="R53" s="485"/>
      <c r="S53" s="485"/>
    </row>
    <row r="54">
      <c r="A54" s="490" t="s">
        <v>1241</v>
      </c>
      <c r="B54" s="481" t="s">
        <v>1220</v>
      </c>
      <c r="C54" s="481" t="s">
        <v>1237</v>
      </c>
      <c r="D54" s="482">
        <v>4</v>
      </c>
      <c r="E54" s="481">
        <v>19</v>
      </c>
      <c r="F54" s="482"/>
      <c r="G54" s="482">
        <v>17195.8</v>
      </c>
      <c r="H54" s="482">
        <v>10203.380000000001</v>
      </c>
      <c r="I54" s="483">
        <f t="shared" si="0"/>
      </c>
      <c r="J54" s="483">
        <f t="shared" si="1"/>
      </c>
      <c r="K54" s="483">
        <f t="shared" si="2"/>
      </c>
      <c r="L54" s="481">
        <v>3</v>
      </c>
      <c r="M54" s="481">
        <v>6415.2</v>
      </c>
      <c r="N54" s="482"/>
      <c r="O54" s="482"/>
      <c r="P54" s="482"/>
      <c r="Q54" s="482"/>
      <c r="R54" s="482"/>
      <c r="S54" s="482"/>
    </row>
    <row r="55">
      <c r="A55" s="490" t="s">
        <v>1241</v>
      </c>
      <c r="B55" s="482" t="s">
        <v>1216</v>
      </c>
      <c r="C55" s="481" t="s">
        <v>1217</v>
      </c>
      <c r="D55" s="481">
        <v>4</v>
      </c>
      <c r="E55" s="481">
        <v>17</v>
      </c>
      <c r="F55" s="482"/>
      <c r="G55" s="482">
        <v>13222.2</v>
      </c>
      <c r="H55" s="482">
        <v>13751.98</v>
      </c>
      <c r="I55" s="483">
        <f t="shared" si="0"/>
      </c>
      <c r="J55" s="483">
        <f t="shared" si="1"/>
      </c>
      <c r="K55" s="483">
        <f t="shared" si="2"/>
      </c>
      <c r="L55" s="481">
        <v>0</v>
      </c>
      <c r="M55" s="481">
        <v>0</v>
      </c>
      <c r="N55" s="482" t="s">
        <v>1218</v>
      </c>
      <c r="O55" s="481">
        <v>8</v>
      </c>
      <c r="P55" s="482"/>
      <c r="Q55" s="482"/>
      <c r="R55" s="482"/>
      <c r="S55" s="482"/>
    </row>
    <row r="56">
      <c r="A56" s="489">
        <v>8.19</v>
      </c>
      <c r="B56" s="485"/>
      <c r="C56" s="485"/>
      <c r="D56" s="486">
        <f>SUM(D54:D55)</f>
      </c>
      <c r="E56" s="486">
        <f>SUM(E54:E55)</f>
      </c>
      <c r="F56" s="486">
        <f>SUM(F54:F55)</f>
      </c>
      <c r="G56" s="486">
        <f>SUM(G54:G55)</f>
      </c>
      <c r="H56" s="486">
        <f>SUM(H54:H55)</f>
      </c>
      <c r="I56" s="487">
        <f t="shared" si="0"/>
      </c>
      <c r="J56" s="487">
        <f t="shared" si="1"/>
      </c>
      <c r="K56" s="487">
        <f t="shared" si="2"/>
      </c>
      <c r="L56" s="485">
        <f>SUM(L54:L55)</f>
      </c>
      <c r="M56" s="485">
        <f>SUM(M54:M55)</f>
      </c>
      <c r="N56" s="485"/>
      <c r="O56" s="486">
        <f>SUM(O54:O55)</f>
      </c>
      <c r="P56" s="485"/>
      <c r="Q56" s="485"/>
      <c r="R56" s="485"/>
      <c r="S56" s="485"/>
    </row>
    <row r="57">
      <c r="A57" s="490" t="s">
        <v>1242</v>
      </c>
      <c r="B57" s="481" t="s">
        <v>1220</v>
      </c>
      <c r="C57" s="481" t="s">
        <v>1237</v>
      </c>
      <c r="D57" s="482">
        <v>4</v>
      </c>
      <c r="E57" s="481">
        <v>15</v>
      </c>
      <c r="F57" s="482"/>
      <c r="G57" s="482">
        <v>9226.8</v>
      </c>
      <c r="H57" s="482">
        <v>10988.52</v>
      </c>
      <c r="I57" s="483">
        <f t="shared" si="0"/>
      </c>
      <c r="J57" s="483">
        <f t="shared" si="1"/>
      </c>
      <c r="K57" s="483">
        <f t="shared" si="2"/>
      </c>
      <c r="L57" s="481">
        <v>5</v>
      </c>
      <c r="M57" s="481">
        <v>2066.8</v>
      </c>
      <c r="N57" s="482"/>
      <c r="O57" s="482"/>
      <c r="P57" s="482"/>
      <c r="Q57" s="482"/>
      <c r="R57" s="482"/>
      <c r="S57" s="482"/>
    </row>
    <row r="58">
      <c r="A58" s="490" t="s">
        <v>1242</v>
      </c>
      <c r="B58" s="481" t="s">
        <v>1227</v>
      </c>
      <c r="C58" s="481" t="s">
        <v>1217</v>
      </c>
      <c r="D58" s="481">
        <v>4</v>
      </c>
      <c r="E58" s="481">
        <v>27</v>
      </c>
      <c r="F58" s="482"/>
      <c r="G58" s="482">
        <v>11761.2</v>
      </c>
      <c r="H58" s="482">
        <v>12281.509999999998</v>
      </c>
      <c r="I58" s="483">
        <f t="shared" si="0"/>
      </c>
      <c r="J58" s="483">
        <f t="shared" si="1"/>
      </c>
      <c r="K58" s="483">
        <f t="shared" si="2"/>
      </c>
      <c r="L58" s="481">
        <v>4</v>
      </c>
      <c r="M58" s="481">
        <v>2240.5999999999995</v>
      </c>
      <c r="N58" s="482" t="s">
        <v>1218</v>
      </c>
      <c r="O58" s="481">
        <v>8</v>
      </c>
      <c r="P58" s="482"/>
      <c r="Q58" s="482"/>
      <c r="R58" s="482"/>
      <c r="S58" s="482"/>
    </row>
    <row r="59">
      <c r="A59" s="489" t="s">
        <v>1242</v>
      </c>
      <c r="B59" s="485"/>
      <c r="C59" s="485"/>
      <c r="D59" s="486">
        <f>SUM(D57:D58)</f>
      </c>
      <c r="E59" s="486">
        <f>SUM(E57:E58)</f>
      </c>
      <c r="F59" s="486">
        <f>SUM(F57:F58)</f>
      </c>
      <c r="G59" s="486">
        <f>SUM(G57:G58)</f>
      </c>
      <c r="H59" s="486">
        <f>SUM(H57:H58)</f>
      </c>
      <c r="I59" s="487">
        <f t="shared" si="0"/>
      </c>
      <c r="J59" s="487">
        <f t="shared" si="1"/>
      </c>
      <c r="K59" s="487">
        <f t="shared" si="2"/>
      </c>
      <c r="L59" s="485">
        <f>SUM(L57:L58)</f>
      </c>
      <c r="M59" s="485">
        <f>SUM(M57:M58)</f>
      </c>
      <c r="N59" s="485"/>
      <c r="O59" s="486">
        <f>SUM(O57:O58)</f>
      </c>
      <c r="P59" s="485"/>
      <c r="Q59" s="485"/>
      <c r="R59" s="485"/>
      <c r="S59" s="485"/>
    </row>
    <row r="60">
      <c r="A60" s="490" t="s">
        <v>1243</v>
      </c>
      <c r="B60" s="481" t="s">
        <v>1227</v>
      </c>
      <c r="C60" s="481" t="s">
        <v>1237</v>
      </c>
      <c r="D60" s="482">
        <v>4</v>
      </c>
      <c r="E60" s="481">
        <v>10</v>
      </c>
      <c r="F60" s="482"/>
      <c r="G60" s="482">
        <v>4066.8</v>
      </c>
      <c r="H60" s="482">
        <v>8988.93</v>
      </c>
      <c r="I60" s="483">
        <f t="shared" si="0"/>
      </c>
      <c r="J60" s="483">
        <f t="shared" si="1"/>
      </c>
      <c r="K60" s="483">
        <f t="shared" si="2"/>
      </c>
      <c r="L60" s="481">
        <v>2</v>
      </c>
      <c r="M60" s="481">
        <v>704.4</v>
      </c>
      <c r="N60" s="482"/>
      <c r="O60" s="482"/>
      <c r="P60" s="482"/>
      <c r="Q60" s="482"/>
      <c r="R60" s="482"/>
      <c r="S60" s="482"/>
    </row>
    <row r="61">
      <c r="A61" s="490" t="s">
        <v>1243</v>
      </c>
      <c r="B61" s="481" t="s">
        <v>1216</v>
      </c>
      <c r="C61" s="481" t="s">
        <v>1217</v>
      </c>
      <c r="D61" s="481">
        <v>4</v>
      </c>
      <c r="E61" s="481">
        <v>25</v>
      </c>
      <c r="F61" s="482"/>
      <c r="G61" s="482">
        <v>17359.8</v>
      </c>
      <c r="H61" s="482">
        <v>13795.789999999999</v>
      </c>
      <c r="I61" s="483">
        <f t="shared" si="0"/>
      </c>
      <c r="J61" s="483">
        <f t="shared" si="1"/>
      </c>
      <c r="K61" s="483">
        <f t="shared" si="2"/>
      </c>
      <c r="L61" s="481">
        <v>3</v>
      </c>
      <c r="M61" s="481">
        <v>2034.6</v>
      </c>
      <c r="N61" s="482" t="s">
        <v>1218</v>
      </c>
      <c r="O61" s="481">
        <v>8</v>
      </c>
      <c r="P61" s="482"/>
      <c r="Q61" s="482"/>
      <c r="R61" s="482"/>
      <c r="S61" s="482"/>
    </row>
    <row r="62">
      <c r="A62" s="489">
        <v>8.21</v>
      </c>
      <c r="B62" s="485"/>
      <c r="C62" s="485"/>
      <c r="D62" s="486">
        <f>SUM(D60:D61)</f>
      </c>
      <c r="E62" s="486">
        <f>SUM(E60:E61)</f>
      </c>
      <c r="F62" s="486">
        <f>SUM(F60:F61)</f>
      </c>
      <c r="G62" s="486">
        <f>SUM(G60:G61)</f>
      </c>
      <c r="H62" s="486">
        <f>SUM(H60:H61)</f>
      </c>
      <c r="I62" s="487">
        <f t="shared" si="0"/>
      </c>
      <c r="J62" s="487">
        <f t="shared" si="1"/>
      </c>
      <c r="K62" s="487">
        <f t="shared" si="2"/>
      </c>
      <c r="L62" s="485">
        <f>SUM(L60:L61)</f>
      </c>
      <c r="M62" s="485">
        <f>SUM(M60:M61)</f>
      </c>
      <c r="N62" s="485"/>
      <c r="O62" s="486">
        <f>SUM(O60:O61)</f>
      </c>
      <c r="P62" s="485"/>
      <c r="Q62" s="485"/>
      <c r="R62" s="485"/>
      <c r="S62" s="485"/>
    </row>
    <row r="63">
      <c r="A63" s="490" t="s">
        <v>1244</v>
      </c>
      <c r="B63" s="481" t="s">
        <v>1220</v>
      </c>
      <c r="C63" s="481" t="s">
        <v>1228</v>
      </c>
      <c r="D63" s="482">
        <v>4</v>
      </c>
      <c r="E63" s="481">
        <v>19</v>
      </c>
      <c r="F63" s="482"/>
      <c r="G63" s="482">
        <v>12037.6</v>
      </c>
      <c r="H63" s="482">
        <v>9925.56</v>
      </c>
      <c r="I63" s="483">
        <f t="shared" si="0"/>
      </c>
      <c r="J63" s="483">
        <f t="shared" si="1"/>
      </c>
      <c r="K63" s="483">
        <f t="shared" si="2"/>
      </c>
      <c r="L63" s="481">
        <v>2</v>
      </c>
      <c r="M63" s="481">
        <v>628.6</v>
      </c>
      <c r="N63" s="482"/>
      <c r="O63" s="482"/>
      <c r="P63" s="482"/>
      <c r="Q63" s="482"/>
      <c r="R63" s="482"/>
      <c r="S63" s="482"/>
    </row>
    <row r="64">
      <c r="A64" s="490" t="s">
        <v>1244</v>
      </c>
      <c r="B64" s="481" t="s">
        <v>1227</v>
      </c>
      <c r="C64" s="481" t="s">
        <v>1237</v>
      </c>
      <c r="D64" s="481">
        <v>4</v>
      </c>
      <c r="E64" s="481">
        <v>17</v>
      </c>
      <c r="F64" s="482"/>
      <c r="G64" s="482">
        <v>15854.199999999999</v>
      </c>
      <c r="H64" s="482">
        <v>9686.779999999999</v>
      </c>
      <c r="I64" s="483">
        <f t="shared" si="0"/>
      </c>
      <c r="J64" s="483">
        <f t="shared" si="1"/>
      </c>
      <c r="K64" s="483">
        <f t="shared" si="2"/>
      </c>
      <c r="L64" s="481">
        <v>1</v>
      </c>
      <c r="M64" s="481">
        <v>1254</v>
      </c>
      <c r="N64" s="482"/>
      <c r="O64" s="481"/>
      <c r="P64" s="482"/>
      <c r="Q64" s="482"/>
      <c r="R64" s="482"/>
      <c r="S64" s="482"/>
    </row>
    <row r="65">
      <c r="A65" s="490" t="s">
        <v>1244</v>
      </c>
      <c r="B65" s="481" t="s">
        <v>1216</v>
      </c>
      <c r="C65" s="481" t="s">
        <v>1217</v>
      </c>
      <c r="D65" s="481">
        <v>4</v>
      </c>
      <c r="E65" s="481">
        <v>23</v>
      </c>
      <c r="F65" s="482"/>
      <c r="G65" s="482">
        <v>13130.000000000004</v>
      </c>
      <c r="H65" s="482">
        <v>12003.6</v>
      </c>
      <c r="I65" s="483">
        <f t="shared" si="0"/>
      </c>
      <c r="J65" s="483">
        <f t="shared" si="1"/>
      </c>
      <c r="K65" s="483">
        <f t="shared" si="2"/>
      </c>
      <c r="L65" s="481">
        <v>1</v>
      </c>
      <c r="M65" s="481">
        <v>949.2000000000003</v>
      </c>
      <c r="N65" s="482" t="s">
        <v>1218</v>
      </c>
      <c r="O65" s="481">
        <v>12</v>
      </c>
      <c r="P65" s="482"/>
      <c r="Q65" s="482"/>
      <c r="R65" s="482"/>
      <c r="S65" s="482"/>
    </row>
    <row r="66">
      <c r="A66" s="489">
        <v>8.22</v>
      </c>
      <c r="B66" s="485"/>
      <c r="C66" s="485"/>
      <c r="D66" s="486">
        <f>SUM(D63:D65)</f>
      </c>
      <c r="E66" s="486">
        <f>SUM(E63:E65)</f>
      </c>
      <c r="F66" s="491">
        <f>SUM(F63:F65)</f>
      </c>
      <c r="G66" s="486">
        <f>SUM(G63:G65)</f>
      </c>
      <c r="H66" s="486">
        <f>SUM(H63:H65)</f>
      </c>
      <c r="I66" s="487">
        <f t="shared" si="0"/>
      </c>
      <c r="J66" s="487">
        <f t="shared" si="1"/>
      </c>
      <c r="K66" s="487">
        <f t="shared" si="2"/>
      </c>
      <c r="L66" s="485">
        <f>SUM(L63:L65)</f>
      </c>
      <c r="M66" s="485">
        <f>SUM(M63:M65)</f>
      </c>
      <c r="N66" s="485"/>
      <c r="O66" s="486">
        <f>SUM(O63:O65)</f>
      </c>
      <c r="P66" s="485"/>
      <c r="Q66" s="485"/>
      <c r="R66" s="485"/>
      <c r="S66" s="485"/>
    </row>
    <row r="67">
      <c r="A67" s="490" t="s">
        <v>1245</v>
      </c>
      <c r="B67" s="481" t="s">
        <v>1220</v>
      </c>
      <c r="C67" s="481" t="s">
        <v>1228</v>
      </c>
      <c r="D67" s="482">
        <v>4</v>
      </c>
      <c r="E67" s="481">
        <v>10</v>
      </c>
      <c r="F67" s="482"/>
      <c r="G67" s="482">
        <v>4252.2</v>
      </c>
      <c r="H67" s="482">
        <v>10613.4</v>
      </c>
      <c r="I67" s="483">
        <f t="shared" si="0"/>
      </c>
      <c r="J67" s="483">
        <f t="shared" si="1"/>
      </c>
      <c r="K67" s="483">
        <f t="shared" si="2"/>
      </c>
      <c r="L67" s="481">
        <v>1</v>
      </c>
      <c r="M67" s="481">
        <v>223.2</v>
      </c>
      <c r="N67" s="482"/>
      <c r="O67" s="482"/>
      <c r="P67" s="482"/>
      <c r="Q67" s="482"/>
      <c r="R67" s="482"/>
      <c r="S67" s="482"/>
    </row>
    <row r="68">
      <c r="A68" s="490" t="s">
        <v>1245</v>
      </c>
      <c r="B68" s="481" t="s">
        <v>1227</v>
      </c>
      <c r="C68" s="481" t="s">
        <v>1246</v>
      </c>
      <c r="D68" s="481">
        <v>3</v>
      </c>
      <c r="E68" s="481">
        <v>2</v>
      </c>
      <c r="F68" s="482"/>
      <c r="G68" s="482">
        <v>813.1999999999998</v>
      </c>
      <c r="H68" s="482">
        <v>5022.11</v>
      </c>
      <c r="I68" s="483">
        <f t="shared" si="0"/>
      </c>
      <c r="J68" s="483">
        <f t="shared" si="1"/>
      </c>
      <c r="K68" s="483">
        <f t="shared" si="2"/>
      </c>
      <c r="L68" s="481">
        <v>1</v>
      </c>
      <c r="M68" s="481">
        <v>356.00000000000006</v>
      </c>
      <c r="N68" s="481" t="s">
        <v>1218</v>
      </c>
      <c r="O68" s="481">
        <v>7</v>
      </c>
      <c r="P68" s="482"/>
      <c r="Q68" s="482"/>
      <c r="R68" s="482"/>
      <c r="S68" s="482"/>
    </row>
    <row r="69">
      <c r="A69" s="489">
        <v>8.23</v>
      </c>
      <c r="B69" s="485"/>
      <c r="C69" s="485"/>
      <c r="D69" s="486">
        <f>SUM(D67:D68)</f>
      </c>
      <c r="E69" s="486">
        <f>SUM(E67:E68)</f>
      </c>
      <c r="F69" s="486">
        <f>SUM(F67:F68)</f>
      </c>
      <c r="G69" s="486">
        <f>SUM(G67:G68)</f>
      </c>
      <c r="H69" s="486">
        <f>SUM(H67:H68)</f>
      </c>
      <c r="I69" s="487">
        <f t="shared" si="0"/>
      </c>
      <c r="J69" s="487">
        <f t="shared" si="1"/>
      </c>
      <c r="K69" s="487">
        <f t="shared" si="2"/>
      </c>
      <c r="L69" s="485">
        <f>SUM(L67:L68)</f>
      </c>
      <c r="M69" s="485"/>
      <c r="N69" s="485"/>
      <c r="O69" s="486">
        <f>SUM(O67:O68)</f>
      </c>
      <c r="P69" s="485"/>
      <c r="Q69" s="485"/>
      <c r="R69" s="485"/>
      <c r="S69" s="485"/>
    </row>
    <row r="70">
      <c r="A70" s="490" t="s">
        <v>1247</v>
      </c>
      <c r="B70" s="481" t="s">
        <v>1227</v>
      </c>
      <c r="C70" s="481" t="s">
        <v>1228</v>
      </c>
      <c r="D70" s="482">
        <v>4</v>
      </c>
      <c r="E70" s="481">
        <v>22</v>
      </c>
      <c r="F70" s="482"/>
      <c r="G70" s="482">
        <v>13967.4</v>
      </c>
      <c r="H70" s="482">
        <v>12940.7</v>
      </c>
      <c r="I70" s="483">
        <f t="shared" si="0"/>
      </c>
      <c r="J70" s="483">
        <f t="shared" si="1"/>
      </c>
      <c r="K70" s="483">
        <f t="shared" si="2"/>
      </c>
      <c r="L70" s="481">
        <v>3</v>
      </c>
      <c r="M70" s="481">
        <v>2114.4</v>
      </c>
      <c r="N70" s="482"/>
      <c r="O70" s="482"/>
      <c r="P70" s="482"/>
      <c r="Q70" s="482"/>
      <c r="R70" s="482"/>
      <c r="S70" s="482"/>
    </row>
    <row r="71">
      <c r="A71" s="490" t="s">
        <v>1247</v>
      </c>
      <c r="B71" s="481" t="s">
        <v>1220</v>
      </c>
      <c r="C71" s="481" t="s">
        <v>1237</v>
      </c>
      <c r="D71" s="481">
        <v>4</v>
      </c>
      <c r="E71" s="481">
        <v>20</v>
      </c>
      <c r="F71" s="482"/>
      <c r="G71" s="482">
        <v>14557.4</v>
      </c>
      <c r="H71" s="482">
        <v>10861.939999999999</v>
      </c>
      <c r="I71" s="483">
        <f t="shared" si="0"/>
      </c>
      <c r="J71" s="483">
        <f t="shared" si="1"/>
      </c>
      <c r="K71" s="483">
        <f t="shared" si="2"/>
      </c>
      <c r="L71" s="481">
        <v>2</v>
      </c>
      <c r="M71" s="481">
        <v>535.1999999999998</v>
      </c>
      <c r="N71" s="482"/>
      <c r="O71" s="481"/>
      <c r="P71" s="482"/>
      <c r="Q71" s="482"/>
      <c r="R71" s="482"/>
      <c r="S71" s="482"/>
    </row>
    <row r="72">
      <c r="A72" s="490" t="s">
        <v>1247</v>
      </c>
      <c r="B72" s="481" t="s">
        <v>1216</v>
      </c>
      <c r="C72" s="481" t="s">
        <v>1217</v>
      </c>
      <c r="D72" s="481">
        <v>4</v>
      </c>
      <c r="E72" s="481">
        <v>15</v>
      </c>
      <c r="F72" s="482"/>
      <c r="G72" s="482">
        <v>14719.399999999998</v>
      </c>
      <c r="H72" s="482">
        <v>8143.85</v>
      </c>
      <c r="I72" s="483">
        <f t="shared" si="0"/>
      </c>
      <c r="J72" s="483">
        <f t="shared" si="1"/>
      </c>
      <c r="K72" s="483">
        <f t="shared" si="2"/>
      </c>
      <c r="L72" s="481">
        <v>1</v>
      </c>
      <c r="M72" s="481">
        <v>573.5999999999999</v>
      </c>
      <c r="N72" s="482" t="s">
        <v>1218</v>
      </c>
      <c r="O72" s="481">
        <v>12</v>
      </c>
      <c r="P72" s="482"/>
      <c r="Q72" s="482"/>
      <c r="R72" s="482"/>
      <c r="S72" s="482"/>
    </row>
    <row r="73">
      <c r="A73" s="489">
        <v>8.24</v>
      </c>
      <c r="B73" s="485"/>
      <c r="C73" s="485"/>
      <c r="D73" s="486">
        <f>SUM(D70:D72)</f>
      </c>
      <c r="E73" s="486">
        <f>SUM(E70:E72)</f>
      </c>
      <c r="F73" s="491">
        <f>SUM(F70:F72)</f>
      </c>
      <c r="G73" s="486">
        <f>SUM(G70:G72)</f>
      </c>
      <c r="H73" s="486">
        <f>SUM(H70:H72)</f>
      </c>
      <c r="I73" s="487">
        <f t="shared" si="0"/>
      </c>
      <c r="J73" s="487">
        <f t="shared" si="1"/>
      </c>
      <c r="K73" s="487">
        <f t="shared" si="2"/>
      </c>
      <c r="L73" s="485">
        <f>SUM(L70:L72)</f>
      </c>
      <c r="M73" s="485">
        <f>SUM(M70:M72)</f>
      </c>
      <c r="N73" s="485"/>
      <c r="O73" s="486">
        <f>SUM(O70:O72)</f>
      </c>
      <c r="P73" s="485"/>
      <c r="Q73" s="485"/>
      <c r="R73" s="485"/>
      <c r="S73" s="485"/>
    </row>
    <row r="74">
      <c r="A74" s="490" t="s">
        <v>1248</v>
      </c>
      <c r="B74" s="481" t="s">
        <v>1227</v>
      </c>
      <c r="C74" s="481" t="s">
        <v>1228</v>
      </c>
      <c r="D74" s="482">
        <v>4</v>
      </c>
      <c r="E74" s="481">
        <v>11</v>
      </c>
      <c r="F74" s="482"/>
      <c r="G74" s="482">
        <v>9656.2</v>
      </c>
      <c r="H74" s="482">
        <v>8022.08</v>
      </c>
      <c r="I74" s="483">
        <f t="shared" si="0"/>
      </c>
      <c r="J74" s="483">
        <f t="shared" si="1"/>
      </c>
      <c r="K74" s="483">
        <f t="shared" si="2"/>
      </c>
      <c r="L74" s="481">
        <v>1</v>
      </c>
      <c r="M74" s="481">
        <v>895</v>
      </c>
      <c r="N74" s="482"/>
      <c r="O74" s="482"/>
      <c r="P74" s="482"/>
      <c r="Q74" s="482"/>
      <c r="R74" s="482"/>
      <c r="S74" s="482"/>
    </row>
    <row r="75">
      <c r="A75" s="490" t="s">
        <v>1248</v>
      </c>
      <c r="B75" s="481" t="s">
        <v>1220</v>
      </c>
      <c r="C75" s="481" t="s">
        <v>1237</v>
      </c>
      <c r="D75" s="481">
        <v>4</v>
      </c>
      <c r="E75" s="481">
        <v>14</v>
      </c>
      <c r="F75" s="482"/>
      <c r="G75" s="482">
        <v>12983.599999999999</v>
      </c>
      <c r="H75" s="482">
        <v>8953.52</v>
      </c>
      <c r="I75" s="483">
        <f t="shared" si="0"/>
      </c>
      <c r="J75" s="483">
        <f t="shared" si="1"/>
      </c>
      <c r="K75" s="483">
        <f t="shared" si="2"/>
      </c>
      <c r="L75" s="481">
        <v>4</v>
      </c>
      <c r="M75" s="481">
        <v>4582.800000000001</v>
      </c>
      <c r="N75" s="482"/>
      <c r="O75" s="481"/>
      <c r="P75" s="482"/>
      <c r="Q75" s="482"/>
      <c r="R75" s="482"/>
      <c r="S75" s="482"/>
    </row>
    <row r="76">
      <c r="A76" s="490" t="s">
        <v>1248</v>
      </c>
      <c r="B76" s="481" t="s">
        <v>1216</v>
      </c>
      <c r="C76" s="481" t="s">
        <v>1217</v>
      </c>
      <c r="D76" s="481">
        <v>4</v>
      </c>
      <c r="E76" s="481">
        <v>18</v>
      </c>
      <c r="F76" s="482"/>
      <c r="G76" s="482">
        <v>12203.000000000004</v>
      </c>
      <c r="H76" s="482">
        <v>11024.739999999998</v>
      </c>
      <c r="I76" s="483">
        <f t="shared" si="0"/>
      </c>
      <c r="J76" s="483">
        <f t="shared" si="1"/>
      </c>
      <c r="K76" s="483">
        <f t="shared" si="2"/>
      </c>
      <c r="L76" s="481">
        <v>3</v>
      </c>
      <c r="M76" s="481">
        <v>4111.4</v>
      </c>
      <c r="N76" s="482" t="s">
        <v>1218</v>
      </c>
      <c r="O76" s="481">
        <v>12</v>
      </c>
      <c r="P76" s="482"/>
      <c r="Q76" s="482"/>
      <c r="R76" s="482"/>
      <c r="S76" s="482"/>
    </row>
    <row r="77">
      <c r="A77" s="489">
        <v>8.25</v>
      </c>
      <c r="B77" s="485"/>
      <c r="C77" s="485"/>
      <c r="D77" s="486">
        <f>SUM(D74:D76)</f>
      </c>
      <c r="E77" s="486">
        <f>SUM(E74:E76)</f>
      </c>
      <c r="F77" s="491">
        <f>SUM(F74:F76)</f>
      </c>
      <c r="G77" s="486">
        <f>SUM(G74:G76)</f>
      </c>
      <c r="H77" s="486">
        <f>SUM(H74:H76)</f>
      </c>
      <c r="I77" s="487">
        <f t="shared" si="0"/>
      </c>
      <c r="J77" s="487">
        <f t="shared" si="1"/>
      </c>
      <c r="K77" s="487">
        <f t="shared" si="2"/>
      </c>
      <c r="L77" s="485">
        <f>SUM(L74:L76)</f>
      </c>
      <c r="M77" s="485">
        <f>SUM(M74:M76)</f>
      </c>
      <c r="N77" s="485"/>
      <c r="O77" s="486">
        <f>SUM(O74:O76)</f>
      </c>
      <c r="P77" s="485"/>
      <c r="Q77" s="485"/>
      <c r="R77" s="485"/>
      <c r="S77" s="485"/>
    </row>
    <row r="78">
      <c r="A78" s="490" t="s">
        <v>1249</v>
      </c>
      <c r="B78" s="481" t="s">
        <v>1227</v>
      </c>
      <c r="C78" s="481" t="s">
        <v>1228</v>
      </c>
      <c r="D78" s="482">
        <v>4</v>
      </c>
      <c r="E78" s="481">
        <v>14</v>
      </c>
      <c r="F78" s="482"/>
      <c r="G78" s="482">
        <v>9564.8</v>
      </c>
      <c r="H78" s="482">
        <v>7639.08</v>
      </c>
      <c r="I78" s="483">
        <f t="shared" si="0"/>
      </c>
      <c r="J78" s="483">
        <f t="shared" si="1"/>
      </c>
      <c r="K78" s="483">
        <f t="shared" si="2"/>
      </c>
      <c r="L78" s="481">
        <v>3</v>
      </c>
      <c r="M78" s="481">
        <v>2537.6</v>
      </c>
      <c r="N78" s="482"/>
      <c r="O78" s="482"/>
      <c r="P78" s="482"/>
      <c r="Q78" s="482"/>
      <c r="R78" s="482"/>
      <c r="S78" s="482"/>
    </row>
    <row r="79">
      <c r="A79" s="490" t="s">
        <v>1249</v>
      </c>
      <c r="B79" s="481" t="s">
        <v>1250</v>
      </c>
      <c r="C79" s="481" t="s">
        <v>1237</v>
      </c>
      <c r="D79" s="481">
        <v>4</v>
      </c>
      <c r="E79" s="481">
        <v>5</v>
      </c>
      <c r="F79" s="482"/>
      <c r="G79" s="482">
        <v>1822.800000000001</v>
      </c>
      <c r="H79" s="482">
        <v>3008.9700000000003</v>
      </c>
      <c r="I79" s="483">
        <f t="shared" si="0"/>
      </c>
      <c r="J79" s="483">
        <f t="shared" si="1"/>
      </c>
      <c r="K79" s="483">
        <f t="shared" si="2"/>
      </c>
      <c r="L79" s="481">
        <v>0</v>
      </c>
      <c r="M79" s="481">
        <v>0</v>
      </c>
      <c r="N79" s="482"/>
      <c r="O79" s="481"/>
      <c r="P79" s="482"/>
      <c r="Q79" s="482"/>
      <c r="R79" s="482"/>
      <c r="S79" s="482"/>
    </row>
    <row r="80">
      <c r="A80" s="490" t="s">
        <v>1249</v>
      </c>
      <c r="B80" s="481" t="s">
        <v>1216</v>
      </c>
      <c r="C80" s="481" t="s">
        <v>1217</v>
      </c>
      <c r="D80" s="481">
        <v>4</v>
      </c>
      <c r="E80" s="481">
        <v>16</v>
      </c>
      <c r="F80" s="482"/>
      <c r="G80" s="482">
        <v>8829.800000000001</v>
      </c>
      <c r="H80" s="482">
        <v>6790.77</v>
      </c>
      <c r="I80" s="483">
        <f t="shared" si="0"/>
      </c>
      <c r="J80" s="483">
        <f t="shared" si="1"/>
      </c>
      <c r="K80" s="483">
        <f t="shared" si="2"/>
      </c>
      <c r="L80" s="481">
        <v>2</v>
      </c>
      <c r="M80" s="481">
        <v>813.4000000000001</v>
      </c>
      <c r="N80" s="482" t="s">
        <v>1218</v>
      </c>
      <c r="O80" s="481">
        <v>12</v>
      </c>
      <c r="P80" s="482"/>
      <c r="Q80" s="482"/>
      <c r="R80" s="482"/>
      <c r="S80" s="482"/>
    </row>
    <row r="81">
      <c r="A81" s="489">
        <v>8.26</v>
      </c>
      <c r="B81" s="485"/>
      <c r="C81" s="485"/>
      <c r="D81" s="486">
        <f>SUM(D78:D80)</f>
      </c>
      <c r="E81" s="486">
        <f>SUM(E78:E80)</f>
      </c>
      <c r="F81" s="491">
        <f>SUM(F78:F80)</f>
      </c>
      <c r="G81" s="486">
        <f>SUM(G78:G80)</f>
      </c>
      <c r="H81" s="486">
        <f>SUM(H78:H80)</f>
      </c>
      <c r="I81" s="487">
        <f t="shared" si="0"/>
      </c>
      <c r="J81" s="487">
        <f t="shared" si="1"/>
      </c>
      <c r="K81" s="487">
        <f t="shared" si="2"/>
      </c>
      <c r="L81" s="485">
        <f>SUM(L78:L80)</f>
      </c>
      <c r="M81" s="485">
        <f>SUM(M78:M80)</f>
      </c>
      <c r="N81" s="485"/>
      <c r="O81" s="486">
        <f>SUM(O78:O80)</f>
      </c>
      <c r="P81" s="485"/>
      <c r="Q81" s="485"/>
      <c r="R81" s="485"/>
      <c r="S81" s="485"/>
    </row>
    <row r="82">
      <c r="A82" s="490" t="s">
        <v>1251</v>
      </c>
      <c r="B82" s="481" t="s">
        <v>1227</v>
      </c>
      <c r="C82" s="481" t="s">
        <v>1228</v>
      </c>
      <c r="D82" s="482">
        <v>4</v>
      </c>
      <c r="E82" s="481">
        <v>10</v>
      </c>
      <c r="F82" s="482"/>
      <c r="G82" s="482">
        <v>14834.6</v>
      </c>
      <c r="H82" s="482">
        <v>6926.4400000000005</v>
      </c>
      <c r="I82" s="483">
        <f t="shared" si="0"/>
      </c>
      <c r="J82" s="483">
        <f t="shared" si="1"/>
      </c>
      <c r="K82" s="483">
        <f t="shared" si="2"/>
      </c>
      <c r="L82" s="481">
        <v>0</v>
      </c>
      <c r="M82" s="481">
        <v>0</v>
      </c>
      <c r="N82" s="482"/>
      <c r="O82" s="482"/>
      <c r="P82" s="482"/>
      <c r="Q82" s="482"/>
      <c r="R82" s="482"/>
      <c r="S82" s="482"/>
    </row>
    <row r="83">
      <c r="A83" s="490" t="s">
        <v>1251</v>
      </c>
      <c r="B83" s="481" t="s">
        <v>1250</v>
      </c>
      <c r="C83" s="481" t="s">
        <v>1237</v>
      </c>
      <c r="D83" s="481">
        <v>4</v>
      </c>
      <c r="E83" s="481">
        <v>19</v>
      </c>
      <c r="F83" s="482"/>
      <c r="G83" s="482">
        <v>11877.6</v>
      </c>
      <c r="H83" s="482">
        <v>11815.509999999998</v>
      </c>
      <c r="I83" s="483">
        <f t="shared" si="0"/>
      </c>
      <c r="J83" s="483">
        <f t="shared" si="1"/>
      </c>
      <c r="K83" s="483">
        <f t="shared" si="2"/>
      </c>
      <c r="L83" s="481">
        <v>3</v>
      </c>
      <c r="M83" s="481">
        <v>2288.4</v>
      </c>
      <c r="N83" s="482"/>
      <c r="O83" s="481"/>
      <c r="P83" s="482"/>
      <c r="Q83" s="482"/>
      <c r="R83" s="482"/>
      <c r="S83" s="482"/>
    </row>
    <row r="84">
      <c r="A84" s="490" t="s">
        <v>1251</v>
      </c>
      <c r="B84" s="481" t="s">
        <v>1220</v>
      </c>
      <c r="C84" s="481" t="s">
        <v>1217</v>
      </c>
      <c r="D84" s="481">
        <v>4</v>
      </c>
      <c r="E84" s="481">
        <v>20</v>
      </c>
      <c r="F84" s="482"/>
      <c r="G84" s="482">
        <v>13552.999999999996</v>
      </c>
      <c r="H84" s="482">
        <v>12315.95</v>
      </c>
      <c r="I84" s="483">
        <f t="shared" si="0"/>
      </c>
      <c r="J84" s="483">
        <f t="shared" si="1"/>
      </c>
      <c r="K84" s="483">
        <f t="shared" si="2"/>
      </c>
      <c r="L84" s="481">
        <v>0</v>
      </c>
      <c r="M84" s="481">
        <v>0</v>
      </c>
      <c r="N84" s="482" t="s">
        <v>1218</v>
      </c>
      <c r="O84" s="481">
        <v>12</v>
      </c>
      <c r="P84" s="482"/>
      <c r="Q84" s="482"/>
      <c r="R84" s="482"/>
      <c r="S84" s="482"/>
    </row>
    <row r="85">
      <c r="A85" s="489">
        <v>8.27</v>
      </c>
      <c r="B85" s="485"/>
      <c r="C85" s="485"/>
      <c r="D85" s="486">
        <f>SUM(D82:D84)</f>
      </c>
      <c r="E85" s="486">
        <f>SUM(E82:E84)</f>
      </c>
      <c r="F85" s="491">
        <f>SUM(F82:F84)</f>
      </c>
      <c r="G85" s="486">
        <f>SUM(G82:G84)</f>
      </c>
      <c r="H85" s="486">
        <f>SUM(H82:H84)</f>
      </c>
      <c r="I85" s="487">
        <f t="shared" si="0"/>
      </c>
      <c r="J85" s="487">
        <f t="shared" si="1"/>
      </c>
      <c r="K85" s="487">
        <f t="shared" si="2"/>
      </c>
      <c r="L85" s="485">
        <f>SUM(L82:L84)</f>
      </c>
      <c r="M85" s="485">
        <f>SUM(M82:M84)</f>
      </c>
      <c r="N85" s="485"/>
      <c r="O85" s="486">
        <f>SUM(O82:O84)</f>
      </c>
      <c r="P85" s="485"/>
      <c r="Q85" s="485"/>
      <c r="R85" s="485"/>
      <c r="S85" s="485"/>
    </row>
    <row r="86">
      <c r="A86" s="490" t="s">
        <v>1252</v>
      </c>
      <c r="B86" s="481" t="s">
        <v>1220</v>
      </c>
      <c r="C86" s="481" t="s">
        <v>1228</v>
      </c>
      <c r="D86" s="482">
        <v>4</v>
      </c>
      <c r="E86" s="481">
        <v>17</v>
      </c>
      <c r="F86" s="482"/>
      <c r="G86" s="482">
        <v>13317.4</v>
      </c>
      <c r="H86" s="482">
        <v>10833.74</v>
      </c>
      <c r="I86" s="483">
        <f t="shared" si="0"/>
      </c>
      <c r="J86" s="483">
        <f t="shared" si="1"/>
      </c>
      <c r="K86" s="483">
        <f t="shared" si="2"/>
      </c>
      <c r="L86" s="481">
        <v>1</v>
      </c>
      <c r="M86" s="481">
        <v>238.8</v>
      </c>
      <c r="N86" s="482"/>
      <c r="O86" s="482"/>
      <c r="P86" s="482"/>
      <c r="Q86" s="482"/>
      <c r="R86" s="482"/>
      <c r="S86" s="482"/>
    </row>
    <row r="87">
      <c r="A87" s="490" t="s">
        <v>1252</v>
      </c>
      <c r="B87" s="481" t="s">
        <v>1250</v>
      </c>
      <c r="C87" s="481" t="s">
        <v>1237</v>
      </c>
      <c r="D87" s="481">
        <v>4</v>
      </c>
      <c r="E87" s="481">
        <v>7</v>
      </c>
      <c r="F87" s="482"/>
      <c r="G87" s="482">
        <v>2475.3999999999996</v>
      </c>
      <c r="H87" s="482">
        <v>9124.11</v>
      </c>
      <c r="I87" s="483">
        <f t="shared" si="0"/>
      </c>
      <c r="J87" s="483">
        <f t="shared" si="1"/>
      </c>
      <c r="K87" s="483">
        <f t="shared" si="2"/>
      </c>
      <c r="L87" s="481">
        <v>1</v>
      </c>
      <c r="M87" s="481">
        <v>278.40000000000003</v>
      </c>
      <c r="N87" s="482"/>
      <c r="O87" s="481"/>
      <c r="P87" s="482"/>
      <c r="Q87" s="482"/>
      <c r="R87" s="482"/>
      <c r="S87" s="482"/>
    </row>
    <row r="88">
      <c r="A88" s="490" t="s">
        <v>1252</v>
      </c>
      <c r="B88" s="481" t="s">
        <v>1227</v>
      </c>
      <c r="C88" s="481" t="s">
        <v>1217</v>
      </c>
      <c r="D88" s="481">
        <v>4</v>
      </c>
      <c r="E88" s="481">
        <v>16</v>
      </c>
      <c r="F88" s="482"/>
      <c r="G88" s="482">
        <v>12117.2</v>
      </c>
      <c r="H88" s="482">
        <v>7687.110000000001</v>
      </c>
      <c r="I88" s="483">
        <f t="shared" si="0"/>
      </c>
      <c r="J88" s="483">
        <f t="shared" si="1"/>
      </c>
      <c r="K88" s="483">
        <f t="shared" si="2"/>
      </c>
      <c r="L88" s="481">
        <v>0</v>
      </c>
      <c r="M88" s="481">
        <v>0</v>
      </c>
      <c r="N88" s="482" t="s">
        <v>1218</v>
      </c>
      <c r="O88" s="481">
        <v>12</v>
      </c>
      <c r="P88" s="482"/>
      <c r="Q88" s="482"/>
      <c r="R88" s="482"/>
      <c r="S88" s="482"/>
    </row>
    <row r="89">
      <c r="A89" s="489">
        <v>8.28</v>
      </c>
      <c r="B89" s="485"/>
      <c r="C89" s="485"/>
      <c r="D89" s="486">
        <f>SUM(D86:D88)</f>
      </c>
      <c r="E89" s="486">
        <f>SUM(E86:E88)</f>
      </c>
      <c r="F89" s="491">
        <f>SUM(F86:F88)</f>
      </c>
      <c r="G89" s="486">
        <f>SUM(G86:G88)</f>
      </c>
      <c r="H89" s="486">
        <f>SUM(H86:H88)</f>
      </c>
      <c r="I89" s="487">
        <f t="shared" si="0"/>
      </c>
      <c r="J89" s="487">
        <f t="shared" si="1"/>
      </c>
      <c r="K89" s="487">
        <f t="shared" si="2"/>
      </c>
      <c r="L89" s="485">
        <f>SUM(L86:L88)</f>
      </c>
      <c r="M89" s="485">
        <f>SUM(M86:M88)</f>
      </c>
      <c r="N89" s="485"/>
      <c r="O89" s="486">
        <f>SUM(O86:O88)</f>
      </c>
      <c r="P89" s="485"/>
      <c r="Q89" s="485"/>
      <c r="R89" s="485"/>
      <c r="S89" s="485"/>
    </row>
    <row r="90">
      <c r="A90" s="490" t="s">
        <v>1253</v>
      </c>
      <c r="B90" s="481" t="s">
        <v>1227</v>
      </c>
      <c r="C90" s="481" t="s">
        <v>1254</v>
      </c>
      <c r="D90" s="481">
        <v>1.5</v>
      </c>
      <c r="E90" s="481">
        <v>2</v>
      </c>
      <c r="F90" s="481"/>
      <c r="G90" s="482">
        <v>1091.4</v>
      </c>
      <c r="H90" s="482">
        <v>3605.6400000000003</v>
      </c>
      <c r="I90" s="483">
        <f t="shared" si="0"/>
      </c>
      <c r="J90" s="483">
        <f t="shared" si="1"/>
      </c>
      <c r="K90" s="483">
        <f t="shared" si="2"/>
      </c>
      <c r="L90" s="481">
        <v>0</v>
      </c>
      <c r="M90" s="481">
        <v>0</v>
      </c>
      <c r="N90" s="482"/>
      <c r="O90" s="482"/>
      <c r="P90" s="482"/>
      <c r="Q90" s="482"/>
      <c r="R90" s="482"/>
      <c r="S90" s="482"/>
    </row>
    <row r="91">
      <c r="A91" s="490" t="s">
        <v>1253</v>
      </c>
      <c r="B91" s="481" t="s">
        <v>1220</v>
      </c>
      <c r="C91" s="488" t="s">
        <v>1221</v>
      </c>
      <c r="D91" s="492">
        <v>2.5</v>
      </c>
      <c r="E91" s="481">
        <v>16</v>
      </c>
      <c r="F91" s="481"/>
      <c r="G91" s="482">
        <v>9373.2</v>
      </c>
      <c r="H91" s="482">
        <v>10731.800000000001</v>
      </c>
      <c r="I91" s="483">
        <f t="shared" si="0"/>
      </c>
      <c r="J91" s="483">
        <f t="shared" si="1"/>
      </c>
      <c r="K91" s="483">
        <f t="shared" si="2"/>
      </c>
      <c r="L91" s="481">
        <v>1</v>
      </c>
      <c r="M91" s="481">
        <v>270</v>
      </c>
      <c r="N91" s="482" t="s">
        <v>1218</v>
      </c>
      <c r="O91" s="488">
        <v>4.5</v>
      </c>
      <c r="P91" s="482"/>
      <c r="Q91" s="482"/>
      <c r="R91" s="482"/>
      <c r="S91" s="482"/>
    </row>
    <row r="92">
      <c r="A92" s="489">
        <v>8.29</v>
      </c>
      <c r="B92" s="485"/>
      <c r="C92" s="485"/>
      <c r="D92" s="486">
        <f>SUM(D90:D91)</f>
      </c>
      <c r="E92" s="486">
        <f>SUM(E90:E91)</f>
      </c>
      <c r="F92" s="486">
        <f>SUM(F90:F91)</f>
      </c>
      <c r="G92" s="486">
        <f>SUM(G90:G91)</f>
      </c>
      <c r="H92" s="486">
        <f>SUM(H90:H91)</f>
      </c>
      <c r="I92" s="487">
        <f t="shared" si="0"/>
      </c>
      <c r="J92" s="487">
        <f t="shared" si="1"/>
      </c>
      <c r="K92" s="487">
        <f t="shared" si="2"/>
      </c>
      <c r="L92" s="485">
        <f>SUM(L90:L91)</f>
      </c>
      <c r="M92" s="485">
        <f>SUM(M90:M91)</f>
      </c>
      <c r="N92" s="485"/>
      <c r="O92" s="486">
        <f>SUM(O90:O91)</f>
      </c>
      <c r="P92" s="485"/>
      <c r="Q92" s="485"/>
      <c r="R92" s="485"/>
      <c r="S92" s="485"/>
    </row>
    <row r="93">
      <c r="A93" s="490" t="s">
        <v>1255</v>
      </c>
      <c r="B93" s="481" t="s">
        <v>1227</v>
      </c>
      <c r="C93" s="481" t="s">
        <v>1256</v>
      </c>
      <c r="D93" s="481">
        <v>5</v>
      </c>
      <c r="E93" s="481">
        <v>13</v>
      </c>
      <c r="F93" s="481">
        <v>7</v>
      </c>
      <c r="G93" s="482">
        <v>7904.8</v>
      </c>
      <c r="H93" s="482">
        <v>12031.390000000001</v>
      </c>
      <c r="I93" s="483">
        <f t="shared" si="0"/>
      </c>
      <c r="J93" s="483">
        <f t="shared" si="1"/>
      </c>
      <c r="K93" s="483">
        <f t="shared" si="2"/>
      </c>
      <c r="L93" s="481">
        <v>0</v>
      </c>
      <c r="M93" s="481">
        <v>0</v>
      </c>
      <c r="N93" s="482"/>
      <c r="O93" s="482"/>
      <c r="P93" s="482"/>
      <c r="Q93" s="482"/>
      <c r="R93" s="482"/>
      <c r="S93" s="482"/>
    </row>
    <row r="94">
      <c r="A94" s="490" t="s">
        <v>1255</v>
      </c>
      <c r="B94" s="481" t="s">
        <v>1257</v>
      </c>
      <c r="C94" s="481" t="s">
        <v>1258</v>
      </c>
      <c r="D94" s="481">
        <v>3</v>
      </c>
      <c r="E94" s="481">
        <v>5</v>
      </c>
      <c r="F94" s="481">
        <v>5</v>
      </c>
      <c r="G94" s="482">
        <v>2913.5999999999995</v>
      </c>
      <c r="H94" s="482">
        <v>5676.11</v>
      </c>
      <c r="I94" s="483">
        <f t="shared" si="0"/>
      </c>
      <c r="J94" s="483">
        <f t="shared" si="1"/>
      </c>
      <c r="K94" s="483">
        <f t="shared" si="2"/>
      </c>
      <c r="L94" s="481">
        <v>0</v>
      </c>
      <c r="M94" s="481">
        <v>0</v>
      </c>
      <c r="N94" s="482"/>
      <c r="O94" s="481"/>
      <c r="P94" s="482"/>
      <c r="Q94" s="482"/>
      <c r="R94" s="482"/>
      <c r="S94" s="482"/>
    </row>
    <row r="95">
      <c r="A95" s="490" t="s">
        <v>1255</v>
      </c>
      <c r="B95" s="481" t="s">
        <v>1216</v>
      </c>
      <c r="C95" s="481" t="s">
        <v>1259</v>
      </c>
      <c r="D95" s="481">
        <v>4</v>
      </c>
      <c r="E95" s="481">
        <v>19</v>
      </c>
      <c r="F95" s="481">
        <v>11</v>
      </c>
      <c r="G95" s="482">
        <v>19026.1</v>
      </c>
      <c r="H95" s="482">
        <v>7284.509999999999</v>
      </c>
      <c r="I95" s="483">
        <f t="shared" si="0"/>
      </c>
      <c r="J95" s="483">
        <f t="shared" si="1"/>
      </c>
      <c r="K95" s="483">
        <f t="shared" si="2"/>
      </c>
      <c r="L95" s="481">
        <v>0</v>
      </c>
      <c r="M95" s="481">
        <v>0</v>
      </c>
      <c r="N95" s="482" t="s">
        <v>1218</v>
      </c>
      <c r="O95" s="481">
        <v>12</v>
      </c>
      <c r="P95" s="482"/>
      <c r="Q95" s="482"/>
      <c r="R95" s="482"/>
      <c r="S95" s="482"/>
    </row>
    <row r="96">
      <c r="A96" s="493" t="s">
        <v>1255</v>
      </c>
      <c r="B96" s="485"/>
      <c r="C96" s="485"/>
      <c r="D96" s="486">
        <f>SUM(D93:D95)</f>
      </c>
      <c r="E96" s="486">
        <f>SUM(E93:E95)</f>
      </c>
      <c r="F96" s="491">
        <f>SUM(F93:F95)</f>
      </c>
      <c r="G96" s="486">
        <f>SUM(G93:G95)</f>
      </c>
      <c r="H96" s="486">
        <f>SUM(H93:H95)</f>
      </c>
      <c r="I96" s="487">
        <f t="shared" si="0"/>
      </c>
      <c r="J96" s="487">
        <f t="shared" si="1"/>
      </c>
      <c r="K96" s="487">
        <f t="shared" si="2"/>
      </c>
      <c r="L96" s="485">
        <f>SUM(L93:L95)</f>
      </c>
      <c r="M96" s="485">
        <f>SUM(M93:M95)</f>
      </c>
      <c r="N96" s="485"/>
      <c r="O96" s="486">
        <f>SUM(O93:O95)</f>
      </c>
      <c r="P96" s="485"/>
      <c r="Q96" s="485"/>
      <c r="R96" s="485"/>
      <c r="S96" s="485"/>
    </row>
    <row r="97">
      <c r="A97" s="490" t="s">
        <v>1260</v>
      </c>
      <c r="B97" s="481" t="s">
        <v>1227</v>
      </c>
      <c r="C97" s="481" t="s">
        <v>1228</v>
      </c>
      <c r="D97" s="482">
        <v>4</v>
      </c>
      <c r="E97" s="481">
        <v>10</v>
      </c>
      <c r="F97" s="481">
        <v>6</v>
      </c>
      <c r="G97" s="482">
        <v>6212</v>
      </c>
      <c r="H97" s="482">
        <v>7560.120000000001</v>
      </c>
      <c r="I97" s="483">
        <f t="shared" si="0"/>
      </c>
      <c r="J97" s="483">
        <f t="shared" si="1"/>
      </c>
      <c r="K97" s="483">
        <f t="shared" si="2"/>
      </c>
      <c r="L97" s="481">
        <v>1</v>
      </c>
      <c r="M97" s="481">
        <v>543</v>
      </c>
      <c r="N97" s="482"/>
      <c r="O97" s="482"/>
      <c r="P97" s="482"/>
      <c r="Q97" s="482"/>
      <c r="R97" s="482"/>
      <c r="S97" s="482"/>
    </row>
    <row r="98">
      <c r="A98" s="490" t="s">
        <v>1260</v>
      </c>
      <c r="B98" s="481" t="s">
        <v>1250</v>
      </c>
      <c r="C98" s="481" t="s">
        <v>1237</v>
      </c>
      <c r="D98" s="481">
        <v>4</v>
      </c>
      <c r="E98" s="481">
        <v>4</v>
      </c>
      <c r="F98" s="481">
        <v>4</v>
      </c>
      <c r="G98" s="482">
        <v>4854</v>
      </c>
      <c r="H98" s="482">
        <v>6083.299999999999</v>
      </c>
      <c r="I98" s="483">
        <f t="shared" si="0"/>
      </c>
      <c r="J98" s="483">
        <f t="shared" si="1"/>
      </c>
      <c r="K98" s="483">
        <f t="shared" si="2"/>
      </c>
      <c r="L98" s="481">
        <v>1</v>
      </c>
      <c r="M98" s="481">
        <v>327.6</v>
      </c>
      <c r="N98" s="482"/>
      <c r="O98" s="481"/>
      <c r="P98" s="482"/>
      <c r="Q98" s="482"/>
      <c r="R98" s="482"/>
      <c r="S98" s="482"/>
    </row>
    <row r="99">
      <c r="A99" s="490" t="s">
        <v>1260</v>
      </c>
      <c r="B99" s="481" t="s">
        <v>1216</v>
      </c>
      <c r="C99" s="481" t="s">
        <v>1261</v>
      </c>
      <c r="D99" s="481">
        <v>3</v>
      </c>
      <c r="E99" s="481">
        <v>6</v>
      </c>
      <c r="F99" s="481">
        <v>2</v>
      </c>
      <c r="G99" s="481">
        <v>4182.4</v>
      </c>
      <c r="H99" s="481">
        <v>3970.39</v>
      </c>
      <c r="I99" s="483">
        <f t="shared" si="0"/>
      </c>
      <c r="J99" s="483">
        <f t="shared" si="1"/>
      </c>
      <c r="K99" s="483">
        <f t="shared" si="2"/>
      </c>
      <c r="L99" s="481"/>
      <c r="M99" s="481"/>
      <c r="N99" s="482" t="s">
        <v>1218</v>
      </c>
      <c r="O99" s="481">
        <v>11</v>
      </c>
      <c r="P99" s="482"/>
      <c r="Q99" s="482"/>
      <c r="R99" s="482"/>
      <c r="S99" s="482"/>
    </row>
    <row r="100">
      <c r="A100" s="489">
        <v>8.31</v>
      </c>
      <c r="B100" s="485"/>
      <c r="C100" s="485"/>
      <c r="D100" s="486">
        <f>SUM(D97:D99)</f>
      </c>
      <c r="E100" s="486">
        <f>SUM(E97:E99)</f>
      </c>
      <c r="F100" s="491">
        <f>SUM(F97:F99)</f>
      </c>
      <c r="G100" s="486">
        <f>SUM(G97:G99)</f>
      </c>
      <c r="H100" s="486">
        <f>SUM(H97:H99)</f>
      </c>
      <c r="I100" s="487">
        <f t="shared" si="0"/>
      </c>
      <c r="J100" s="487">
        <f t="shared" si="1"/>
      </c>
      <c r="K100" s="487">
        <f t="shared" si="2"/>
      </c>
      <c r="L100" s="485">
        <f>SUM(L97:L99)</f>
      </c>
      <c r="M100" s="485">
        <f>SUM(M97:M99)</f>
      </c>
      <c r="N100" s="485"/>
      <c r="O100" s="486">
        <f>SUM(O97:O99)</f>
      </c>
      <c r="P100" s="485"/>
      <c r="Q100" s="485"/>
      <c r="R100" s="485"/>
      <c r="S100" s="485"/>
    </row>
    <row r="101"/>
    <row r="102">
      <c r="I102" s="494"/>
    </row>
    <row r="103">
      <c r="H103" s="494"/>
      <c r="I103" s="494"/>
    </row>
    <row r="104">
      <c r="I104" s="494"/>
    </row>
    <row r="105">
      <c r="I105" s="494"/>
    </row>
  </sheetData>
  <autoFilter ref="A1:S100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sheetData>
    <row r="1">
      <c r="A1" s="495" t="s">
        <v>1262</v>
      </c>
      <c r="B1" s="495" t="s">
        <v>1263</v>
      </c>
      <c r="C1" s="495" t="s">
        <v>1264</v>
      </c>
      <c r="D1" s="495" t="s">
        <v>1265</v>
      </c>
      <c r="E1" s="495" t="s">
        <v>1266</v>
      </c>
      <c r="F1" s="496" t="s">
        <v>1267</v>
      </c>
      <c r="G1" s="496" t="s">
        <v>1268</v>
      </c>
      <c r="H1" s="496" t="s">
        <v>1269</v>
      </c>
      <c r="I1" s="496" t="s">
        <v>1270</v>
      </c>
      <c r="J1" s="496" t="s">
        <v>1271</v>
      </c>
      <c r="K1" s="495" t="s">
        <v>1272</v>
      </c>
      <c r="L1" s="495" t="s">
        <v>1273</v>
      </c>
      <c r="M1" s="495" t="s">
        <v>1274</v>
      </c>
      <c r="N1" s="495" t="s">
        <v>1275</v>
      </c>
      <c r="O1" s="495" t="s">
        <v>1276</v>
      </c>
      <c r="P1" s="495" t="s">
        <v>1275</v>
      </c>
      <c r="Q1" s="495" t="s">
        <v>1277</v>
      </c>
      <c r="R1" s="495" t="s">
        <v>1278</v>
      </c>
      <c r="S1" s="497"/>
      <c r="T1" s="497"/>
    </row>
    <row r="2">
      <c r="A2" s="498">
        <v>7.22</v>
      </c>
      <c r="B2" s="499" t="s">
        <v>1279</v>
      </c>
      <c r="C2" s="499" t="s">
        <v>1280</v>
      </c>
      <c r="D2" s="499">
        <v>4</v>
      </c>
      <c r="E2" s="499">
        <v>9</v>
      </c>
      <c r="F2" s="500">
        <v>4011.8</v>
      </c>
      <c r="G2" s="500">
        <v>3765.16</v>
      </c>
      <c r="H2" s="501">
        <f t="shared" ref="H2:H24" si="0">F2/G2</f>
      </c>
      <c r="I2" s="501">
        <f t="shared" ref="I2:I24" si="1">F2/E2</f>
      </c>
      <c r="J2" s="501">
        <f t="shared" ref="J2:J24" si="2">G2/E2</f>
      </c>
      <c r="K2" s="499">
        <v>1</v>
      </c>
      <c r="L2" s="499">
        <v>778.8</v>
      </c>
      <c r="M2" s="499" t="s">
        <v>1281</v>
      </c>
      <c r="N2" s="499">
        <v>1.6</v>
      </c>
      <c r="O2" s="500"/>
      <c r="P2" s="500"/>
      <c r="Q2" s="500"/>
      <c r="R2" s="500"/>
      <c r="S2" s="497"/>
      <c r="T2" s="497"/>
    </row>
    <row r="3">
      <c r="A3" s="502">
        <v>7.22</v>
      </c>
      <c r="B3" s="503"/>
      <c r="C3" s="503"/>
      <c r="D3" s="504">
        <f>SUM(D2)</f>
      </c>
      <c r="E3" s="504">
        <f>E2</f>
      </c>
      <c r="F3" s="504">
        <f>F2</f>
      </c>
      <c r="G3" s="504">
        <f>G2</f>
      </c>
      <c r="H3" s="505">
        <f t="shared" si="0"/>
      </c>
      <c r="I3" s="505">
        <f t="shared" si="1"/>
      </c>
      <c r="J3" s="505">
        <f t="shared" si="2"/>
      </c>
      <c r="K3" s="503">
        <f>K2</f>
      </c>
      <c r="L3" s="503">
        <f>L2</f>
      </c>
      <c r="M3" s="503"/>
      <c r="N3" s="504">
        <f>SUM(N2)</f>
      </c>
      <c r="O3" s="503"/>
      <c r="P3" s="503"/>
      <c r="Q3" s="503"/>
      <c r="R3" s="503"/>
      <c r="S3" s="497"/>
      <c r="T3" s="497"/>
    </row>
    <row r="4">
      <c r="A4" s="498">
        <v>7.23</v>
      </c>
      <c r="B4" s="499" t="s">
        <v>1279</v>
      </c>
      <c r="C4" s="499" t="s">
        <v>1280</v>
      </c>
      <c r="D4" s="499">
        <v>4</v>
      </c>
      <c r="E4" s="499">
        <v>2</v>
      </c>
      <c r="F4" s="499">
        <v>536.2</v>
      </c>
      <c r="G4" s="500">
        <v>3607.0399999999995</v>
      </c>
      <c r="H4" s="501">
        <f t="shared" si="0"/>
      </c>
      <c r="I4" s="501">
        <f t="shared" si="1"/>
      </c>
      <c r="J4" s="501">
        <f t="shared" si="2"/>
      </c>
      <c r="K4" s="499">
        <v>0</v>
      </c>
      <c r="L4" s="499">
        <v>0</v>
      </c>
      <c r="M4" s="499" t="s">
        <v>1282</v>
      </c>
      <c r="N4" s="499">
        <v>4</v>
      </c>
      <c r="O4" s="500"/>
      <c r="P4" s="500"/>
      <c r="Q4" s="500"/>
      <c r="R4" s="500"/>
    </row>
    <row r="5">
      <c r="A5" s="506">
        <v>7.23</v>
      </c>
      <c r="B5" s="503"/>
      <c r="C5" s="503"/>
      <c r="D5" s="504">
        <f>SUM(D4)</f>
      </c>
      <c r="E5" s="504">
        <f>E4</f>
      </c>
      <c r="F5" s="504">
        <f>F4</f>
      </c>
      <c r="G5" s="504">
        <f>G4</f>
      </c>
      <c r="H5" s="505">
        <f t="shared" si="0"/>
      </c>
      <c r="I5" s="505">
        <f t="shared" si="1"/>
      </c>
      <c r="J5" s="505">
        <f t="shared" si="2"/>
      </c>
      <c r="K5" s="503">
        <f>K4</f>
      </c>
      <c r="L5" s="503">
        <f>L4</f>
      </c>
      <c r="M5" s="503"/>
      <c r="N5" s="504">
        <f>SUM(N4)</f>
      </c>
      <c r="O5" s="503"/>
      <c r="P5" s="503"/>
      <c r="Q5" s="503"/>
      <c r="R5" s="503"/>
    </row>
    <row r="6">
      <c r="A6" s="498">
        <v>7.24</v>
      </c>
      <c r="B6" s="499" t="s">
        <v>1279</v>
      </c>
      <c r="C6" s="499" t="s">
        <v>1280</v>
      </c>
      <c r="D6" s="499">
        <v>4</v>
      </c>
      <c r="E6" s="499">
        <v>8</v>
      </c>
      <c r="F6" s="499">
        <v>3750</v>
      </c>
      <c r="G6" s="500">
        <v>5317.59</v>
      </c>
      <c r="H6" s="501">
        <f t="shared" si="0"/>
      </c>
      <c r="I6" s="501">
        <f t="shared" si="1"/>
      </c>
      <c r="J6" s="501">
        <f t="shared" si="2"/>
      </c>
      <c r="K6" s="499"/>
      <c r="L6" s="499"/>
      <c r="M6" s="499" t="s">
        <v>1283</v>
      </c>
      <c r="N6" s="499">
        <v>4</v>
      </c>
      <c r="O6" s="500"/>
      <c r="P6" s="500"/>
      <c r="Q6" s="500"/>
      <c r="R6" s="500"/>
    </row>
    <row r="7">
      <c r="A7" s="506">
        <v>7.24</v>
      </c>
      <c r="B7" s="503"/>
      <c r="C7" s="503"/>
      <c r="D7" s="504">
        <f>SUM(D6)</f>
      </c>
      <c r="E7" s="504">
        <f>E6</f>
      </c>
      <c r="F7" s="504">
        <f>F6</f>
      </c>
      <c r="G7" s="504">
        <f>G6</f>
      </c>
      <c r="H7" s="505">
        <f t="shared" si="0"/>
      </c>
      <c r="I7" s="505">
        <f t="shared" si="1"/>
      </c>
      <c r="J7" s="505">
        <f t="shared" si="2"/>
      </c>
      <c r="K7" s="503">
        <f>K6</f>
      </c>
      <c r="L7" s="503">
        <f>L6</f>
      </c>
      <c r="M7" s="503"/>
      <c r="N7" s="504">
        <f>SUM(N6)</f>
      </c>
      <c r="O7" s="503"/>
      <c r="P7" s="503"/>
      <c r="Q7" s="503"/>
      <c r="R7" s="503"/>
    </row>
    <row r="8">
      <c r="A8" s="498">
        <v>7.25</v>
      </c>
      <c r="B8" s="499" t="s">
        <v>1279</v>
      </c>
      <c r="C8" s="499" t="s">
        <v>1280</v>
      </c>
      <c r="D8" s="499">
        <v>4</v>
      </c>
      <c r="E8" s="499">
        <v>15</v>
      </c>
      <c r="F8" s="499">
        <v>10608</v>
      </c>
      <c r="G8" s="500">
        <v>11538.98</v>
      </c>
      <c r="H8" s="501">
        <f t="shared" si="0"/>
      </c>
      <c r="I8" s="501">
        <f t="shared" si="1"/>
      </c>
      <c r="J8" s="501">
        <f t="shared" si="2"/>
      </c>
      <c r="K8" s="499"/>
      <c r="L8" s="499"/>
      <c r="M8" s="499" t="s">
        <v>1284</v>
      </c>
      <c r="N8" s="499">
        <v>4</v>
      </c>
      <c r="O8" s="500"/>
      <c r="P8" s="500"/>
      <c r="Q8" s="500"/>
      <c r="R8" s="500"/>
    </row>
    <row r="9">
      <c r="A9" s="506">
        <v>7.25</v>
      </c>
      <c r="B9" s="503"/>
      <c r="C9" s="503"/>
      <c r="D9" s="504">
        <f>SUM(D8)</f>
      </c>
      <c r="E9" s="504">
        <f>E8</f>
      </c>
      <c r="F9" s="504">
        <f>F8</f>
      </c>
      <c r="G9" s="504">
        <f>G8</f>
      </c>
      <c r="H9" s="505">
        <f t="shared" si="0"/>
      </c>
      <c r="I9" s="505">
        <f t="shared" si="1"/>
      </c>
      <c r="J9" s="505">
        <f t="shared" si="2"/>
      </c>
      <c r="K9" s="503">
        <f>K8</f>
      </c>
      <c r="L9" s="503">
        <f>L8</f>
      </c>
      <c r="M9" s="503"/>
      <c r="N9" s="504">
        <f>SUM(N8)</f>
      </c>
      <c r="O9" s="503"/>
      <c r="P9" s="503"/>
      <c r="Q9" s="503"/>
      <c r="R9" s="503"/>
    </row>
    <row r="10">
      <c r="A10" s="498">
        <v>7.26</v>
      </c>
      <c r="B10" s="499" t="s">
        <v>1285</v>
      </c>
      <c r="C10" s="499" t="s">
        <v>1280</v>
      </c>
      <c r="D10" s="499">
        <v>4</v>
      </c>
      <c r="E10" s="499">
        <v>13</v>
      </c>
      <c r="F10" s="499">
        <v>3688</v>
      </c>
      <c r="G10" s="499">
        <v>7953.49</v>
      </c>
      <c r="H10" s="501">
        <f t="shared" si="0"/>
      </c>
      <c r="I10" s="501">
        <f t="shared" si="1"/>
      </c>
      <c r="J10" s="501">
        <f t="shared" si="2"/>
      </c>
      <c r="K10" s="499">
        <v>1</v>
      </c>
      <c r="L10" s="499">
        <v>240</v>
      </c>
      <c r="M10" s="499" t="s">
        <v>1282</v>
      </c>
      <c r="N10" s="499">
        <v>4</v>
      </c>
      <c r="O10" s="500"/>
      <c r="P10" s="500"/>
      <c r="Q10" s="500"/>
      <c r="R10" s="500"/>
    </row>
    <row r="11">
      <c r="A11" s="506">
        <v>7.26</v>
      </c>
      <c r="B11" s="503"/>
      <c r="C11" s="503"/>
      <c r="D11" s="504">
        <f>SUM(D10)</f>
      </c>
      <c r="E11" s="504">
        <f>E10</f>
      </c>
      <c r="F11" s="504">
        <f>F10</f>
      </c>
      <c r="G11" s="504">
        <f>G10</f>
      </c>
      <c r="H11" s="505">
        <f t="shared" si="0"/>
      </c>
      <c r="I11" s="505">
        <f t="shared" si="1"/>
      </c>
      <c r="J11" s="505">
        <f t="shared" si="2"/>
      </c>
      <c r="K11" s="503">
        <f>K10</f>
      </c>
      <c r="L11" s="503">
        <f>L10</f>
      </c>
      <c r="M11" s="503"/>
      <c r="N11" s="504">
        <f>SUM(N10)</f>
      </c>
      <c r="O11" s="503"/>
      <c r="P11" s="503"/>
      <c r="Q11" s="503"/>
      <c r="R11" s="503"/>
    </row>
    <row r="12">
      <c r="A12" s="498">
        <v>7.27</v>
      </c>
      <c r="B12" s="500" t="s">
        <v>1285</v>
      </c>
      <c r="C12" s="500" t="s">
        <v>1280</v>
      </c>
      <c r="D12" s="500">
        <v>4</v>
      </c>
      <c r="E12" s="499">
        <v>24</v>
      </c>
      <c r="F12" s="500">
        <v>18318.2</v>
      </c>
      <c r="G12" s="500">
        <v>10909.24</v>
      </c>
      <c r="H12" s="501">
        <f t="shared" si="0"/>
      </c>
      <c r="I12" s="501">
        <f t="shared" si="1"/>
      </c>
      <c r="J12" s="501">
        <f t="shared" si="2"/>
      </c>
      <c r="K12" s="499">
        <v>3</v>
      </c>
      <c r="L12" s="499">
        <v>1058.4</v>
      </c>
      <c r="M12" s="500" t="s">
        <v>1282</v>
      </c>
      <c r="N12" s="500">
        <v>4</v>
      </c>
      <c r="O12" s="500"/>
      <c r="P12" s="500"/>
      <c r="Q12" s="500"/>
      <c r="R12" s="500"/>
    </row>
    <row r="13">
      <c r="A13" s="506">
        <v>7.27</v>
      </c>
      <c r="B13" s="503"/>
      <c r="C13" s="503"/>
      <c r="D13" s="504">
        <f>SUM(D12)</f>
      </c>
      <c r="E13" s="504">
        <f>E12</f>
      </c>
      <c r="F13" s="504">
        <f>F12</f>
      </c>
      <c r="G13" s="504">
        <f>G12</f>
      </c>
      <c r="H13" s="505">
        <f t="shared" si="0"/>
      </c>
      <c r="I13" s="505">
        <f t="shared" si="1"/>
      </c>
      <c r="J13" s="505">
        <f t="shared" si="2"/>
      </c>
      <c r="K13" s="503">
        <f>K12</f>
      </c>
      <c r="L13" s="503">
        <f>L12</f>
      </c>
      <c r="M13" s="503"/>
      <c r="N13" s="504">
        <f>SUM(N12)</f>
      </c>
      <c r="O13" s="503"/>
      <c r="P13" s="503"/>
      <c r="Q13" s="503"/>
      <c r="R13" s="503"/>
    </row>
    <row r="14">
      <c r="A14" s="498">
        <v>7.28</v>
      </c>
      <c r="B14" s="499" t="s">
        <v>1279</v>
      </c>
      <c r="C14" s="500" t="s">
        <v>1280</v>
      </c>
      <c r="D14" s="500">
        <v>4</v>
      </c>
      <c r="E14" s="499">
        <v>17</v>
      </c>
      <c r="F14" s="500">
        <v>7330.4</v>
      </c>
      <c r="G14" s="500">
        <v>10706.869999999999</v>
      </c>
      <c r="H14" s="501">
        <f t="shared" si="0"/>
      </c>
      <c r="I14" s="501">
        <f t="shared" si="1"/>
      </c>
      <c r="J14" s="501">
        <f t="shared" si="2"/>
      </c>
      <c r="K14" s="499">
        <v>1</v>
      </c>
      <c r="L14" s="499">
        <v>199.2</v>
      </c>
      <c r="M14" s="500" t="s">
        <v>1282</v>
      </c>
      <c r="N14" s="500">
        <v>4</v>
      </c>
      <c r="O14" s="500"/>
      <c r="P14" s="500"/>
      <c r="Q14" s="500"/>
      <c r="R14" s="500"/>
    </row>
    <row r="15">
      <c r="A15" s="506">
        <v>7.28</v>
      </c>
      <c r="B15" s="503"/>
      <c r="C15" s="503"/>
      <c r="D15" s="504">
        <f>SUM(D14)</f>
      </c>
      <c r="E15" s="504">
        <f>E14</f>
      </c>
      <c r="F15" s="504">
        <f>F14</f>
      </c>
      <c r="G15" s="504">
        <f>G14</f>
      </c>
      <c r="H15" s="505">
        <f t="shared" si="0"/>
      </c>
      <c r="I15" s="505">
        <f t="shared" si="1"/>
      </c>
      <c r="J15" s="505">
        <f t="shared" si="2"/>
      </c>
      <c r="K15" s="503">
        <f>K14</f>
      </c>
      <c r="L15" s="503">
        <f>L14</f>
      </c>
      <c r="M15" s="503"/>
      <c r="N15" s="504">
        <f>SUM(N14)</f>
      </c>
      <c r="O15" s="503"/>
      <c r="P15" s="503"/>
      <c r="Q15" s="503"/>
      <c r="R15" s="503"/>
    </row>
    <row r="16">
      <c r="A16" s="498">
        <v>7.29</v>
      </c>
      <c r="B16" s="499" t="s">
        <v>1285</v>
      </c>
      <c r="C16" s="499" t="s">
        <v>1286</v>
      </c>
      <c r="D16" s="499">
        <v>3</v>
      </c>
      <c r="E16" s="499">
        <v>15</v>
      </c>
      <c r="F16" s="500">
        <v>6645.8</v>
      </c>
      <c r="G16" s="500">
        <v>7798.81</v>
      </c>
      <c r="H16" s="501">
        <f t="shared" si="0"/>
      </c>
      <c r="I16" s="501">
        <f t="shared" si="1"/>
      </c>
      <c r="J16" s="501">
        <f t="shared" si="2"/>
      </c>
      <c r="K16" s="499">
        <v>0</v>
      </c>
      <c r="L16" s="499">
        <v>0</v>
      </c>
      <c r="M16" s="500"/>
      <c r="N16" s="500"/>
      <c r="O16" s="500"/>
      <c r="P16" s="500"/>
      <c r="Q16" s="500"/>
      <c r="R16" s="500"/>
    </row>
    <row r="17">
      <c r="A17" s="498">
        <v>7.29</v>
      </c>
      <c r="B17" s="499" t="s">
        <v>1287</v>
      </c>
      <c r="C17" s="499" t="s">
        <v>1288</v>
      </c>
      <c r="D17" s="499">
        <v>3</v>
      </c>
      <c r="E17" s="499">
        <v>8</v>
      </c>
      <c r="F17" s="500">
        <v>4930.8</v>
      </c>
      <c r="G17" s="500">
        <v>5348.78</v>
      </c>
      <c r="H17" s="501">
        <f t="shared" si="0"/>
      </c>
      <c r="I17" s="501">
        <f t="shared" si="1"/>
      </c>
      <c r="J17" s="501">
        <f t="shared" si="2"/>
      </c>
      <c r="K17" s="499">
        <v>0</v>
      </c>
      <c r="L17" s="499">
        <v>0</v>
      </c>
      <c r="M17" s="500" t="s">
        <v>1282</v>
      </c>
      <c r="N17" s="499">
        <v>6</v>
      </c>
      <c r="O17" s="500"/>
      <c r="P17" s="500"/>
      <c r="Q17" s="500"/>
      <c r="R17" s="500"/>
    </row>
    <row r="18">
      <c r="A18" s="506">
        <v>7.29</v>
      </c>
      <c r="B18" s="503"/>
      <c r="C18" s="503"/>
      <c r="D18" s="504">
        <f>SUM(D16:D17)</f>
      </c>
      <c r="E18" s="504">
        <f>SUM(E16:E17)</f>
      </c>
      <c r="F18" s="504">
        <f>SUM(F16:F17)</f>
      </c>
      <c r="G18" s="504">
        <f>SUM(G16:G17)</f>
      </c>
      <c r="H18" s="505">
        <f t="shared" si="0"/>
      </c>
      <c r="I18" s="505">
        <f t="shared" si="1"/>
      </c>
      <c r="J18" s="505">
        <f t="shared" si="2"/>
      </c>
      <c r="K18" s="503">
        <f>SUM(K16:K17)</f>
      </c>
      <c r="L18" s="503">
        <f>SUM(L16:L17)</f>
      </c>
      <c r="M18" s="503"/>
      <c r="N18" s="504">
        <f>SUM(N16:N17)</f>
      </c>
      <c r="O18" s="503"/>
      <c r="P18" s="503"/>
      <c r="Q18" s="503"/>
      <c r="R18" s="503"/>
    </row>
    <row r="19">
      <c r="A19" s="507">
        <v>7.3</v>
      </c>
      <c r="B19" s="499" t="s">
        <v>1279</v>
      </c>
      <c r="C19" s="499" t="s">
        <v>1286</v>
      </c>
      <c r="D19" s="499">
        <v>3</v>
      </c>
      <c r="E19" s="499">
        <v>8</v>
      </c>
      <c r="F19" s="499">
        <v>3718.4</v>
      </c>
      <c r="G19" s="499">
        <v>4718.11</v>
      </c>
      <c r="H19" s="501">
        <f t="shared" si="0"/>
      </c>
      <c r="I19" s="501">
        <f t="shared" si="1"/>
      </c>
      <c r="J19" s="501">
        <f t="shared" si="2"/>
      </c>
      <c r="K19" s="499">
        <v>1</v>
      </c>
      <c r="L19" s="499">
        <v>1554</v>
      </c>
      <c r="M19" s="500"/>
      <c r="N19" s="500"/>
      <c r="O19" s="500"/>
      <c r="P19" s="500"/>
      <c r="Q19" s="500"/>
      <c r="R19" s="500"/>
    </row>
    <row r="20">
      <c r="A20" s="507">
        <v>7.3</v>
      </c>
      <c r="B20" s="499" t="s">
        <v>1287</v>
      </c>
      <c r="C20" s="499" t="s">
        <v>1288</v>
      </c>
      <c r="D20" s="499">
        <v>3</v>
      </c>
      <c r="E20" s="499">
        <v>9</v>
      </c>
      <c r="F20" s="500">
        <v>4156.799999999999</v>
      </c>
      <c r="G20" s="500">
        <v>7559.219999999999</v>
      </c>
      <c r="H20" s="501">
        <f t="shared" si="0"/>
      </c>
      <c r="I20" s="501">
        <f t="shared" si="1"/>
      </c>
      <c r="J20" s="501">
        <f t="shared" si="2"/>
      </c>
      <c r="K20" s="499">
        <v>1</v>
      </c>
      <c r="L20" s="499">
        <v>246</v>
      </c>
      <c r="M20" s="499" t="s">
        <v>1284</v>
      </c>
      <c r="N20" s="499">
        <v>6</v>
      </c>
      <c r="O20" s="500"/>
      <c r="P20" s="500"/>
      <c r="Q20" s="500"/>
      <c r="R20" s="500"/>
    </row>
    <row r="21">
      <c r="A21" s="508">
        <v>7.3</v>
      </c>
      <c r="B21" s="503"/>
      <c r="C21" s="503"/>
      <c r="D21" s="504">
        <f>SUM(D19:D20)</f>
      </c>
      <c r="E21" s="504">
        <f>SUM(E19:E20)</f>
      </c>
      <c r="F21" s="504">
        <f>SUM(F19:F20)</f>
      </c>
      <c r="G21" s="504">
        <f>SUM(G19:G20)</f>
      </c>
      <c r="H21" s="505">
        <f t="shared" si="0"/>
      </c>
      <c r="I21" s="505">
        <f t="shared" si="1"/>
      </c>
      <c r="J21" s="505">
        <f t="shared" si="2"/>
      </c>
      <c r="K21" s="503">
        <f>SUM(K19:K20)</f>
      </c>
      <c r="L21" s="503">
        <f>SUM(L19:L20)</f>
      </c>
      <c r="M21" s="503"/>
      <c r="N21" s="504">
        <f>SUM(N19:N20)</f>
      </c>
      <c r="O21" s="503"/>
      <c r="P21" s="503"/>
      <c r="Q21" s="503"/>
      <c r="R21" s="503"/>
    </row>
    <row r="22">
      <c r="A22" s="507">
        <v>7.31</v>
      </c>
      <c r="B22" s="499" t="s">
        <v>1279</v>
      </c>
      <c r="C22" s="499" t="s">
        <v>1286</v>
      </c>
      <c r="D22" s="509">
        <v>2.5</v>
      </c>
      <c r="E22" s="499">
        <v>3</v>
      </c>
      <c r="F22" s="499">
        <v>2107.2</v>
      </c>
      <c r="G22" s="499">
        <v>2215.3599999999997</v>
      </c>
      <c r="H22" s="501">
        <f t="shared" si="0"/>
      </c>
      <c r="I22" s="501">
        <f t="shared" si="1"/>
      </c>
      <c r="J22" s="501">
        <f t="shared" si="2"/>
      </c>
      <c r="K22" s="499">
        <v>0</v>
      </c>
      <c r="L22" s="499">
        <v>0</v>
      </c>
      <c r="M22" s="500"/>
      <c r="N22" s="500"/>
      <c r="O22" s="500"/>
      <c r="P22" s="500"/>
      <c r="Q22" s="500"/>
      <c r="R22" s="500"/>
    </row>
    <row r="23">
      <c r="A23" s="507">
        <v>7.31</v>
      </c>
      <c r="B23" s="499" t="s">
        <v>1285</v>
      </c>
      <c r="C23" s="499" t="s">
        <v>1289</v>
      </c>
      <c r="D23" s="499">
        <v>2</v>
      </c>
      <c r="E23" s="499">
        <v>4</v>
      </c>
      <c r="F23" s="500">
        <v>1467.4</v>
      </c>
      <c r="G23" s="500">
        <v>5237.99</v>
      </c>
      <c r="H23" s="501">
        <f t="shared" si="0"/>
      </c>
      <c r="I23" s="501">
        <f t="shared" si="1"/>
      </c>
      <c r="J23" s="501">
        <f t="shared" si="2"/>
      </c>
      <c r="K23" s="499">
        <v>0</v>
      </c>
      <c r="L23" s="499">
        <v>0</v>
      </c>
      <c r="M23" s="499" t="s">
        <v>1282</v>
      </c>
      <c r="N23" s="510">
        <v>5</v>
      </c>
      <c r="O23" s="500"/>
      <c r="P23" s="500"/>
      <c r="Q23" s="500"/>
      <c r="R23" s="500"/>
    </row>
    <row r="24">
      <c r="A24" s="508">
        <v>7.31</v>
      </c>
      <c r="B24" s="503"/>
      <c r="C24" s="503"/>
      <c r="D24" s="504">
        <f>SUM(D22:D23)</f>
      </c>
      <c r="E24" s="504">
        <f>SUM(E22:E23)</f>
      </c>
      <c r="F24" s="504">
        <f>SUM(F22:F23)</f>
      </c>
      <c r="G24" s="504">
        <f>SUM(G22:G23)</f>
      </c>
      <c r="H24" s="505">
        <f t="shared" si="0"/>
      </c>
      <c r="I24" s="505">
        <f t="shared" si="1"/>
      </c>
      <c r="J24" s="505">
        <f t="shared" si="2"/>
      </c>
      <c r="K24" s="503">
        <f>SUM(K22:K23)</f>
      </c>
      <c r="L24" s="503">
        <f>SUM(L22:L23)</f>
      </c>
      <c r="M24" s="503"/>
      <c r="N24" s="504">
        <f>SUM(N22:N23)</f>
      </c>
      <c r="O24" s="503"/>
      <c r="P24" s="503"/>
      <c r="Q24" s="503"/>
      <c r="R24" s="503"/>
    </row>
    <row r="25"/>
    <row r="26"/>
    <row r="27">
      <c r="O27" t="s">
        <v>1290</v>
      </c>
    </row>
  </sheetData>
  <autoFilter ref="A1:R29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2.64480633802817"/>
    <col collapsed="false" customWidth="true" hidden="false" max="9" min="9" style="0" width="11.211267605633802"/>
    <col collapsed="false" customWidth="true" hidden="false" max="10" min="10" style="0" width="11.211267605633802"/>
    <col collapsed="false" customWidth="true" hidden="false" max="11" min="11" style="0" width="14.341329225352112"/>
    <col collapsed="false" customWidth="true" hidden="false" max="12" min="12" style="0" width="12.876540492957746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511" t="s">
        <v>1291</v>
      </c>
      <c r="B1" s="512" t="s">
        <v>1292</v>
      </c>
      <c r="C1" s="512" t="s">
        <v>1293</v>
      </c>
      <c r="D1" s="513" t="s">
        <v>1294</v>
      </c>
      <c r="E1" s="513" t="s">
        <v>1295</v>
      </c>
      <c r="F1" s="514" t="s">
        <v>1296</v>
      </c>
      <c r="G1" s="514" t="s">
        <v>1297</v>
      </c>
      <c r="H1" s="515" t="s">
        <v>1298</v>
      </c>
      <c r="I1" s="515" t="s">
        <v>1299</v>
      </c>
      <c r="J1" s="515" t="s">
        <v>1300</v>
      </c>
      <c r="K1" s="513" t="s">
        <v>1301</v>
      </c>
      <c r="L1" s="512" t="s">
        <v>1302</v>
      </c>
    </row>
    <row hidden="true" r="2">
      <c r="A2" s="516" t="s">
        <v>1303</v>
      </c>
      <c r="B2" s="517" t="s">
        <v>1304</v>
      </c>
      <c r="C2" s="518" t="s">
        <v>1305</v>
      </c>
      <c r="D2" s="519">
        <f>4-1.5</f>
      </c>
      <c r="E2" s="520">
        <v>8</v>
      </c>
      <c r="F2" s="521">
        <v>6646.8</v>
      </c>
      <c r="G2" s="521">
        <v>13624.880000000001</v>
      </c>
      <c r="H2" s="522">
        <f t="shared" ref="H2:H41" si="2">F2/G2</f>
      </c>
      <c r="I2" s="522">
        <f t="shared" ref="I2:I41" si="0">F2/E2</f>
      </c>
      <c r="J2" s="523">
        <f t="shared" ref="J2:J41" si="3">G2/E2</f>
      </c>
      <c r="K2" s="524">
        <v>4</v>
      </c>
      <c r="L2" s="525">
        <v>2002.8000000000002</v>
      </c>
    </row>
    <row hidden="true" r="3">
      <c r="A3" s="516" t="s">
        <v>1303</v>
      </c>
      <c r="B3" s="517" t="s">
        <v>1306</v>
      </c>
      <c r="C3" s="518" t="s">
        <v>1307</v>
      </c>
      <c r="D3" s="519">
        <f>4-1.25</f>
      </c>
      <c r="E3" s="526">
        <v>5</v>
      </c>
      <c r="F3" s="521">
        <v>4584</v>
      </c>
      <c r="G3" s="521">
        <v>8805.43</v>
      </c>
      <c r="H3" s="522">
        <f t="shared" si="2"/>
      </c>
      <c r="I3" s="522">
        <f t="shared" si="0"/>
      </c>
      <c r="J3" s="523">
        <f t="shared" si="3"/>
      </c>
      <c r="K3" s="524">
        <v>2</v>
      </c>
      <c r="L3" s="525">
        <v>792</v>
      </c>
    </row>
    <row r="4">
      <c r="A4" s="516" t="s">
        <v>1303</v>
      </c>
      <c r="B4" s="517" t="s">
        <v>1308</v>
      </c>
      <c r="C4" s="518" t="s">
        <v>1309</v>
      </c>
      <c r="D4" s="519">
        <f>4-3</f>
      </c>
      <c r="E4" s="520">
        <v>4</v>
      </c>
      <c r="F4" s="521">
        <v>4534.400000000001</v>
      </c>
      <c r="G4" s="521">
        <v>5486.44</v>
      </c>
      <c r="H4" s="522">
        <f t="shared" si="2"/>
      </c>
      <c r="I4" s="522">
        <f t="shared" si="0"/>
      </c>
      <c r="J4" s="523">
        <f t="shared" si="3"/>
      </c>
      <c r="K4" s="524">
        <v>0</v>
      </c>
      <c r="L4" s="525">
        <v>0</v>
      </c>
    </row>
    <row hidden="true" r="5">
      <c r="A5" s="516" t="s">
        <v>1303</v>
      </c>
      <c r="B5" s="517" t="s">
        <v>1310</v>
      </c>
      <c r="C5" s="518" t="s">
        <v>1311</v>
      </c>
      <c r="D5" s="519">
        <f>4-1.25</f>
      </c>
      <c r="E5" s="520">
        <v>9</v>
      </c>
      <c r="F5" s="521">
        <v>5913.5999999999985</v>
      </c>
      <c r="G5" s="521">
        <v>9779.08</v>
      </c>
      <c r="H5" s="522">
        <f t="shared" si="2"/>
      </c>
      <c r="I5" s="522">
        <f t="shared" si="0"/>
      </c>
      <c r="J5" s="523">
        <f t="shared" si="3"/>
      </c>
      <c r="K5" s="524">
        <v>0</v>
      </c>
      <c r="L5" s="525">
        <v>0</v>
      </c>
    </row>
    <row hidden="true" r="6">
      <c r="A6" s="516" t="s">
        <v>1303</v>
      </c>
      <c r="B6" s="517" t="s">
        <v>1312</v>
      </c>
      <c r="C6" s="518" t="s">
        <v>1313</v>
      </c>
      <c r="D6" s="519">
        <f>4-1</f>
      </c>
      <c r="E6" s="520">
        <v>12</v>
      </c>
      <c r="F6" s="521">
        <v>10940</v>
      </c>
      <c r="G6" s="527">
        <v>7895.41</v>
      </c>
      <c r="H6" s="522">
        <f t="shared" si="2"/>
      </c>
      <c r="I6" s="522">
        <f t="shared" si="0"/>
      </c>
      <c r="J6" s="523">
        <f t="shared" si="3"/>
      </c>
      <c r="K6" s="524">
        <v>2</v>
      </c>
      <c r="L6" s="525">
        <v>2250</v>
      </c>
    </row>
    <row hidden="true" r="7">
      <c r="A7" s="528" t="s">
        <v>1303</v>
      </c>
      <c r="B7" s="529" t="s">
        <v>1314</v>
      </c>
      <c r="C7" s="529"/>
      <c r="D7" s="530">
        <f>SUM(D2:D6)</f>
      </c>
      <c r="E7" s="530">
        <f>SUM(E2:E6)</f>
      </c>
      <c r="F7" s="530">
        <f>SUM(F2:F6)</f>
      </c>
      <c r="G7" s="530">
        <f>SUM(G2:G6)</f>
      </c>
      <c r="H7" s="531">
        <f t="shared" si="2"/>
      </c>
      <c r="I7" s="531">
        <f t="shared" si="0"/>
      </c>
      <c r="J7" s="532">
        <f t="shared" si="3"/>
      </c>
      <c r="K7" s="530">
        <f>SUM(K2:K6)</f>
      </c>
      <c r="L7" s="530">
        <f>SUM(L2:L6)</f>
      </c>
    </row>
    <row hidden="true" r="8">
      <c r="A8" s="516" t="s">
        <v>1315</v>
      </c>
      <c r="B8" s="517" t="s">
        <v>1304</v>
      </c>
      <c r="C8" s="527" t="s">
        <v>1305</v>
      </c>
      <c r="D8" s="526">
        <v>4</v>
      </c>
      <c r="E8" s="520">
        <v>16</v>
      </c>
      <c r="F8" s="521">
        <v>8064</v>
      </c>
      <c r="G8" s="521">
        <v>11482.749999999998</v>
      </c>
      <c r="H8" s="522">
        <f t="shared" si="2"/>
      </c>
      <c r="I8" s="522">
        <f t="shared" si="0"/>
      </c>
      <c r="J8" s="522">
        <f t="shared" si="3"/>
      </c>
      <c r="K8" s="520">
        <v>7</v>
      </c>
      <c r="L8" s="533">
        <v>4054.7999999999993</v>
      </c>
    </row>
    <row hidden="true" r="9">
      <c r="A9" s="516" t="s">
        <v>1315</v>
      </c>
      <c r="B9" s="517" t="s">
        <v>1306</v>
      </c>
      <c r="C9" s="527" t="s">
        <v>1307</v>
      </c>
      <c r="D9" s="526">
        <v>4</v>
      </c>
      <c r="E9" s="520">
        <v>15</v>
      </c>
      <c r="F9" s="521">
        <v>15481</v>
      </c>
      <c r="G9" s="527">
        <v>15030.669999999998</v>
      </c>
      <c r="H9" s="522">
        <f t="shared" si="2"/>
      </c>
      <c r="I9" s="522">
        <f t="shared" si="0"/>
      </c>
      <c r="J9" s="522">
        <f t="shared" si="3"/>
      </c>
      <c r="K9" s="520">
        <v>4</v>
      </c>
      <c r="L9" s="533">
        <v>1731.6</v>
      </c>
    </row>
    <row r="10">
      <c r="A10" s="516" t="s">
        <v>1315</v>
      </c>
      <c r="B10" s="517" t="s">
        <v>1308</v>
      </c>
      <c r="C10" s="527" t="s">
        <v>1309</v>
      </c>
      <c r="D10" s="526">
        <v>4</v>
      </c>
      <c r="E10" s="520">
        <v>11</v>
      </c>
      <c r="F10" s="521">
        <v>8047.200000000002</v>
      </c>
      <c r="G10" s="521">
        <v>15366.98</v>
      </c>
      <c r="H10" s="522">
        <f t="shared" si="2"/>
      </c>
      <c r="I10" s="522">
        <f t="shared" si="0"/>
      </c>
      <c r="J10" s="522">
        <f t="shared" si="3"/>
      </c>
      <c r="K10" s="520">
        <v>0</v>
      </c>
      <c r="L10" s="533">
        <v>0</v>
      </c>
    </row>
    <row hidden="true" r="11">
      <c r="A11" s="516" t="s">
        <v>1315</v>
      </c>
      <c r="B11" s="517" t="s">
        <v>1310</v>
      </c>
      <c r="C11" s="527" t="s">
        <v>1311</v>
      </c>
      <c r="D11" s="526">
        <v>4</v>
      </c>
      <c r="E11" s="520">
        <v>9</v>
      </c>
      <c r="F11" s="534">
        <v>6724.799999999999</v>
      </c>
      <c r="G11" s="534">
        <v>13934.05</v>
      </c>
      <c r="H11" s="522">
        <f t="shared" si="2"/>
      </c>
      <c r="I11" s="522">
        <f t="shared" si="0"/>
      </c>
      <c r="J11" s="522">
        <f t="shared" si="3"/>
      </c>
      <c r="K11" s="520">
        <v>2</v>
      </c>
      <c r="L11" s="533">
        <v>810</v>
      </c>
    </row>
    <row hidden="true" r="12">
      <c r="A12" s="516" t="s">
        <v>1315</v>
      </c>
      <c r="B12" s="517" t="s">
        <v>1312</v>
      </c>
      <c r="C12" s="527" t="s">
        <v>1313</v>
      </c>
      <c r="D12" s="526">
        <v>4</v>
      </c>
      <c r="E12" s="520">
        <v>11</v>
      </c>
      <c r="F12" s="534">
        <v>8484</v>
      </c>
      <c r="G12" s="534">
        <v>8730.210000000001</v>
      </c>
      <c r="H12" s="522">
        <f t="shared" si="2"/>
      </c>
      <c r="I12" s="522">
        <f t="shared" si="0"/>
      </c>
      <c r="J12" s="522">
        <f t="shared" si="3"/>
      </c>
      <c r="K12" s="520">
        <v>3</v>
      </c>
      <c r="L12" s="533">
        <v>1483.2000000000007</v>
      </c>
    </row>
    <row hidden="true" r="13">
      <c r="A13" s="528" t="s">
        <v>1315</v>
      </c>
      <c r="B13" s="529" t="s">
        <v>1314</v>
      </c>
      <c r="C13" s="529"/>
      <c r="D13" s="530">
        <f>SUM(D8:D12)</f>
      </c>
      <c r="E13" s="530">
        <f>SUM(E8:E12)</f>
      </c>
      <c r="F13" s="530">
        <f>SUM(F8:F12)</f>
      </c>
      <c r="G13" s="530">
        <f>SUM(G8:G12)</f>
      </c>
      <c r="H13" s="531">
        <f t="shared" si="2"/>
      </c>
      <c r="I13" s="531">
        <f t="shared" si="0"/>
      </c>
      <c r="J13" s="531">
        <f t="shared" si="3"/>
      </c>
      <c r="K13" s="530">
        <f>SUM(K8:K12)</f>
      </c>
      <c r="L13" s="530">
        <f>SUM(L8:L12)</f>
      </c>
    </row>
    <row hidden="true" r="14">
      <c r="A14" s="516" t="s">
        <v>1316</v>
      </c>
      <c r="B14" s="517" t="s">
        <v>1306</v>
      </c>
      <c r="C14" s="527" t="s">
        <v>1305</v>
      </c>
      <c r="D14" s="526">
        <v>4</v>
      </c>
      <c r="E14" s="520">
        <v>10</v>
      </c>
      <c r="F14" s="521">
        <v>17925.6</v>
      </c>
      <c r="G14" s="521">
        <v>11504.720000000001</v>
      </c>
      <c r="H14" s="522">
        <f t="shared" si="2"/>
      </c>
      <c r="I14" s="522">
        <f t="shared" si="0"/>
      </c>
      <c r="J14" s="522">
        <f t="shared" si="3"/>
      </c>
      <c r="K14" s="520">
        <v>1</v>
      </c>
      <c r="L14" s="533">
        <v>2467.2</v>
      </c>
    </row>
    <row r="15">
      <c r="A15" s="516" t="s">
        <v>1316</v>
      </c>
      <c r="B15" s="517" t="s">
        <v>1308</v>
      </c>
      <c r="C15" s="527" t="s">
        <v>1307</v>
      </c>
      <c r="D15" s="526">
        <v>4</v>
      </c>
      <c r="E15" s="520">
        <v>6</v>
      </c>
      <c r="F15" s="521">
        <v>6488.4</v>
      </c>
      <c r="G15" s="527">
        <v>11443.2</v>
      </c>
      <c r="H15" s="522">
        <f t="shared" si="2"/>
      </c>
      <c r="I15" s="522">
        <f t="shared" si="0"/>
      </c>
      <c r="J15" s="522">
        <f t="shared" si="3"/>
      </c>
      <c r="K15" s="520">
        <v>1</v>
      </c>
      <c r="L15" s="533">
        <v>2467.2</v>
      </c>
    </row>
    <row hidden="true" r="16">
      <c r="A16" s="516" t="s">
        <v>1316</v>
      </c>
      <c r="B16" s="517" t="s">
        <v>1310</v>
      </c>
      <c r="C16" s="527" t="s">
        <v>1309</v>
      </c>
      <c r="D16" s="526">
        <v>4</v>
      </c>
      <c r="E16" s="520">
        <v>13</v>
      </c>
      <c r="F16" s="521">
        <v>14785.199999999997</v>
      </c>
      <c r="G16" s="521">
        <v>10114.02</v>
      </c>
      <c r="H16" s="522">
        <f t="shared" si="2"/>
      </c>
      <c r="I16" s="522">
        <f t="shared" si="0"/>
      </c>
      <c r="J16" s="522">
        <f t="shared" si="3"/>
      </c>
      <c r="K16" s="520">
        <v>2</v>
      </c>
      <c r="L16" s="533">
        <v>1136.4</v>
      </c>
    </row>
    <row hidden="true" r="17">
      <c r="A17" s="516" t="s">
        <v>1316</v>
      </c>
      <c r="B17" s="517" t="s">
        <v>1312</v>
      </c>
      <c r="C17" s="527" t="s">
        <v>1311</v>
      </c>
      <c r="D17" s="526">
        <v>4</v>
      </c>
      <c r="E17" s="520">
        <v>17</v>
      </c>
      <c r="F17" s="534">
        <v>15257.200000000004</v>
      </c>
      <c r="G17" s="534">
        <v>10575.38</v>
      </c>
      <c r="H17" s="522">
        <f t="shared" si="2"/>
      </c>
      <c r="I17" s="522">
        <f t="shared" si="0"/>
      </c>
      <c r="J17" s="522">
        <f t="shared" si="3"/>
      </c>
      <c r="K17" s="520">
        <v>3</v>
      </c>
      <c r="L17" s="533">
        <v>2730</v>
      </c>
    </row>
    <row hidden="true" r="18">
      <c r="A18" s="516" t="s">
        <v>1316</v>
      </c>
      <c r="B18" s="517" t="s">
        <v>1304</v>
      </c>
      <c r="C18" s="527" t="s">
        <v>1313</v>
      </c>
      <c r="D18" s="526">
        <v>4</v>
      </c>
      <c r="E18" s="520">
        <v>14</v>
      </c>
      <c r="F18" s="534">
        <v>10653.599999999999</v>
      </c>
      <c r="G18" s="534">
        <v>15838.51</v>
      </c>
      <c r="H18" s="522">
        <f t="shared" si="2"/>
      </c>
      <c r="I18" s="522">
        <f t="shared" si="0"/>
      </c>
      <c r="J18" s="522">
        <f t="shared" si="3"/>
      </c>
      <c r="K18" s="520">
        <v>4</v>
      </c>
      <c r="L18" s="533">
        <v>2778</v>
      </c>
    </row>
    <row hidden="true" r="19">
      <c r="A19" s="528" t="s">
        <v>1316</v>
      </c>
      <c r="B19" s="529" t="s">
        <v>1314</v>
      </c>
      <c r="C19" s="529"/>
      <c r="D19" s="530">
        <f>SUM(D14:D18)</f>
      </c>
      <c r="E19" s="530">
        <f>SUM(E14:E18)</f>
      </c>
      <c r="F19" s="530">
        <f>SUM(F14:F18)</f>
      </c>
      <c r="G19" s="530">
        <f>SUM(G14:G18)</f>
      </c>
      <c r="H19" s="531">
        <f t="shared" si="2"/>
      </c>
      <c r="I19" s="531">
        <f t="shared" si="0"/>
      </c>
      <c r="J19" s="531">
        <f t="shared" si="3"/>
      </c>
      <c r="K19" s="530">
        <f>SUM(K14:K18)</f>
      </c>
      <c r="L19" s="530">
        <f>SUM(L14:L18)</f>
      </c>
    </row>
    <row r="20">
      <c r="A20" s="516" t="s">
        <v>1317</v>
      </c>
      <c r="B20" s="517" t="s">
        <v>1308</v>
      </c>
      <c r="C20" s="527" t="s">
        <v>1318</v>
      </c>
      <c r="D20" s="526">
        <v>5</v>
      </c>
      <c r="E20" s="520">
        <v>10</v>
      </c>
      <c r="F20" s="521">
        <v>9504</v>
      </c>
      <c r="G20" s="521">
        <v>16297.199999999999</v>
      </c>
      <c r="H20" s="522">
        <f t="shared" si="2"/>
      </c>
      <c r="I20" s="522">
        <f t="shared" si="0"/>
      </c>
      <c r="J20" s="522">
        <f t="shared" si="3"/>
      </c>
      <c r="K20" s="520">
        <v>3</v>
      </c>
      <c r="L20" s="533">
        <v>4658.4</v>
      </c>
    </row>
    <row hidden="true" r="21">
      <c r="A21" s="516" t="s">
        <v>1317</v>
      </c>
      <c r="B21" s="517" t="s">
        <v>1312</v>
      </c>
      <c r="C21" s="527" t="s">
        <v>1319</v>
      </c>
      <c r="D21" s="526">
        <v>5</v>
      </c>
      <c r="E21" s="520">
        <v>10</v>
      </c>
      <c r="F21" s="521">
        <v>8247.599999999999</v>
      </c>
      <c r="G21" s="527">
        <v>11740.54</v>
      </c>
      <c r="H21" s="522">
        <f t="shared" si="2"/>
      </c>
      <c r="I21" s="522">
        <f t="shared" si="0"/>
      </c>
      <c r="J21" s="522">
        <f t="shared" si="3"/>
      </c>
      <c r="K21" s="520">
        <v>2</v>
      </c>
      <c r="L21" s="533">
        <v>3036</v>
      </c>
    </row>
    <row hidden="true" r="22">
      <c r="A22" s="516" t="s">
        <v>1317</v>
      </c>
      <c r="B22" s="517" t="s">
        <v>1304</v>
      </c>
      <c r="C22" s="527" t="s">
        <v>1320</v>
      </c>
      <c r="D22" s="526">
        <v>5</v>
      </c>
      <c r="E22" s="520">
        <v>5</v>
      </c>
      <c r="F22" s="521">
        <v>5350.800000000003</v>
      </c>
      <c r="G22" s="521">
        <v>7610.78</v>
      </c>
      <c r="H22" s="522">
        <f t="shared" si="2"/>
      </c>
      <c r="I22" s="522">
        <f t="shared" si="0"/>
      </c>
      <c r="J22" s="522">
        <f t="shared" si="3"/>
      </c>
      <c r="K22" s="520">
        <v>2</v>
      </c>
      <c r="L22" s="533">
        <v>2143.2000000000007</v>
      </c>
    </row>
    <row hidden="true" r="23">
      <c r="A23" s="516" t="s">
        <v>1317</v>
      </c>
      <c r="B23" s="517" t="s">
        <v>1306</v>
      </c>
      <c r="C23" s="527" t="s">
        <v>1321</v>
      </c>
      <c r="D23" s="526">
        <v>5</v>
      </c>
      <c r="E23" s="520">
        <v>9</v>
      </c>
      <c r="F23" s="534">
        <v>9183</v>
      </c>
      <c r="G23" s="534">
        <v>7101.44</v>
      </c>
      <c r="H23" s="522">
        <f t="shared" si="2"/>
      </c>
      <c r="I23" s="522">
        <f t="shared" si="0"/>
      </c>
      <c r="J23" s="522">
        <f t="shared" si="3"/>
      </c>
      <c r="K23" s="520">
        <v>2</v>
      </c>
      <c r="L23" s="533">
        <v>1200</v>
      </c>
    </row>
    <row hidden="true" r="24">
      <c r="A24" s="528" t="s">
        <v>1317</v>
      </c>
      <c r="B24" s="529" t="s">
        <v>1314</v>
      </c>
      <c r="C24" s="529"/>
      <c r="D24" s="530">
        <f>SUM(D20:D23)</f>
      </c>
      <c r="E24" s="530">
        <f>SUM(E20:E23)</f>
      </c>
      <c r="F24" s="530">
        <f>SUM(F20:F23)</f>
      </c>
      <c r="G24" s="530">
        <f>SUM(G20:G23)</f>
      </c>
      <c r="H24" s="531">
        <f t="shared" si="2"/>
      </c>
      <c r="I24" s="531">
        <f t="shared" si="0"/>
      </c>
      <c r="J24" s="531">
        <f t="shared" si="3"/>
      </c>
      <c r="K24" s="530">
        <f>SUM(K20:K23)</f>
      </c>
      <c r="L24" s="530">
        <f>SUM(L20:L23)</f>
      </c>
    </row>
    <row r="25">
      <c r="A25" s="516" t="s">
        <v>1322</v>
      </c>
      <c r="B25" s="517" t="s">
        <v>1308</v>
      </c>
      <c r="C25" s="527" t="s">
        <v>1305</v>
      </c>
      <c r="D25" s="526">
        <v>4</v>
      </c>
      <c r="E25" s="520">
        <v>7</v>
      </c>
      <c r="F25" s="521">
        <v>8593</v>
      </c>
      <c r="G25" s="521">
        <v>5861.820000000001</v>
      </c>
      <c r="H25" s="522">
        <f t="shared" si="2"/>
      </c>
      <c r="I25" s="522">
        <f t="shared" si="0"/>
      </c>
      <c r="J25" s="522">
        <f t="shared" si="3"/>
      </c>
      <c r="K25" s="520">
        <v>3</v>
      </c>
      <c r="L25" s="533">
        <v>3327.4</v>
      </c>
    </row>
    <row hidden="true" r="26">
      <c r="A26" s="516" t="s">
        <v>1322</v>
      </c>
      <c r="B26" s="517" t="s">
        <v>1310</v>
      </c>
      <c r="C26" s="527" t="s">
        <v>1307</v>
      </c>
      <c r="D26" s="526">
        <v>4</v>
      </c>
      <c r="E26" s="520">
        <v>10</v>
      </c>
      <c r="F26" s="521">
        <v>6960.8</v>
      </c>
      <c r="G26" s="527">
        <v>9782.410000000002</v>
      </c>
      <c r="H26" s="522">
        <f t="shared" si="2"/>
      </c>
      <c r="I26" s="522">
        <f t="shared" si="0"/>
      </c>
      <c r="J26" s="522">
        <f t="shared" si="3"/>
      </c>
      <c r="K26" s="520">
        <v>2</v>
      </c>
      <c r="L26" s="533">
        <v>1973</v>
      </c>
    </row>
    <row hidden="true" r="27">
      <c r="A27" s="516" t="s">
        <v>1322</v>
      </c>
      <c r="B27" s="517" t="s">
        <v>1312</v>
      </c>
      <c r="C27" s="527" t="s">
        <v>1309</v>
      </c>
      <c r="D27" s="526">
        <v>4</v>
      </c>
      <c r="E27" s="520">
        <v>18</v>
      </c>
      <c r="F27" s="521">
        <v>19593.4</v>
      </c>
      <c r="G27" s="521">
        <v>12531.670000000002</v>
      </c>
      <c r="H27" s="522">
        <f t="shared" si="2"/>
      </c>
      <c r="I27" s="522">
        <f t="shared" si="0"/>
      </c>
      <c r="J27" s="522">
        <f t="shared" si="3"/>
      </c>
      <c r="K27" s="520">
        <v>5</v>
      </c>
      <c r="L27" s="533">
        <v>4534.6</v>
      </c>
    </row>
    <row hidden="true" r="28">
      <c r="A28" s="516" t="s">
        <v>1322</v>
      </c>
      <c r="B28" s="517" t="s">
        <v>1306</v>
      </c>
      <c r="C28" s="527" t="s">
        <v>1311</v>
      </c>
      <c r="D28" s="526">
        <v>4</v>
      </c>
      <c r="E28" s="520">
        <v>9</v>
      </c>
      <c r="F28" s="534">
        <v>8279.799999999996</v>
      </c>
      <c r="G28" s="534">
        <v>10919.37</v>
      </c>
      <c r="H28" s="522">
        <f t="shared" si="2"/>
      </c>
      <c r="I28" s="522">
        <f t="shared" si="0"/>
      </c>
      <c r="J28" s="522">
        <f t="shared" si="3"/>
      </c>
      <c r="K28" s="520">
        <v>1</v>
      </c>
      <c r="L28" s="533">
        <v>420</v>
      </c>
    </row>
    <row hidden="true" r="29">
      <c r="A29" s="516" t="s">
        <v>1322</v>
      </c>
      <c r="B29" s="517" t="s">
        <v>1304</v>
      </c>
      <c r="C29" s="527" t="s">
        <v>1313</v>
      </c>
      <c r="D29" s="526">
        <v>4</v>
      </c>
      <c r="E29" s="520">
        <v>14</v>
      </c>
      <c r="F29" s="534">
        <v>20482.6</v>
      </c>
      <c r="G29" s="534">
        <v>10275.67</v>
      </c>
      <c r="H29" s="522">
        <f t="shared" si="2"/>
      </c>
      <c r="I29" s="522">
        <f t="shared" si="0"/>
      </c>
      <c r="J29" s="522">
        <f t="shared" si="3"/>
      </c>
      <c r="K29" s="520">
        <v>4</v>
      </c>
      <c r="L29" s="533">
        <v>4142.4</v>
      </c>
    </row>
    <row hidden="true" r="30">
      <c r="A30" s="528" t="s">
        <v>1322</v>
      </c>
      <c r="B30" s="529" t="s">
        <v>1314</v>
      </c>
      <c r="C30" s="529"/>
      <c r="D30" s="530">
        <f>SUM(D25:D29)</f>
      </c>
      <c r="E30" s="530">
        <f>SUM(E25:E29)</f>
      </c>
      <c r="F30" s="530">
        <f>SUM(F25:F29)</f>
      </c>
      <c r="G30" s="530">
        <f>SUM(G25:G29)</f>
      </c>
      <c r="H30" s="531">
        <f t="shared" si="2"/>
      </c>
      <c r="I30" s="531">
        <f t="shared" si="0"/>
      </c>
      <c r="J30" s="531">
        <f t="shared" si="3"/>
      </c>
      <c r="K30" s="530">
        <f>SUM(K25:K29)</f>
      </c>
      <c r="L30" s="530">
        <f>SUM(L25:L29)</f>
      </c>
    </row>
    <row r="31">
      <c r="A31" s="516" t="s">
        <v>1323</v>
      </c>
      <c r="B31" s="517" t="s">
        <v>1308</v>
      </c>
      <c r="C31" s="527" t="s">
        <v>1305</v>
      </c>
      <c r="D31" s="526">
        <v>4</v>
      </c>
      <c r="E31" s="520">
        <v>11</v>
      </c>
      <c r="F31" s="521">
        <v>15172.399999999998</v>
      </c>
      <c r="G31" s="521">
        <v>11733.01</v>
      </c>
      <c r="H31" s="522">
        <f t="shared" si="2"/>
      </c>
      <c r="I31" s="522">
        <f t="shared" si="0"/>
      </c>
      <c r="J31" s="522">
        <f t="shared" si="3"/>
      </c>
      <c r="K31" s="520">
        <v>1</v>
      </c>
      <c r="L31" s="533">
        <v>2971.2</v>
      </c>
    </row>
    <row hidden="true" r="32">
      <c r="A32" s="516" t="s">
        <v>1323</v>
      </c>
      <c r="B32" s="517" t="s">
        <v>1310</v>
      </c>
      <c r="C32" s="527" t="s">
        <v>1307</v>
      </c>
      <c r="D32" s="526">
        <v>4</v>
      </c>
      <c r="E32" s="520">
        <v>15</v>
      </c>
      <c r="F32" s="521">
        <v>13225.199999999999</v>
      </c>
      <c r="G32" s="527">
        <v>13346.02</v>
      </c>
      <c r="H32" s="522">
        <f t="shared" si="2"/>
      </c>
      <c r="I32" s="522">
        <f t="shared" si="0"/>
      </c>
      <c r="J32" s="522">
        <f t="shared" si="3"/>
      </c>
      <c r="K32" s="520">
        <v>6</v>
      </c>
      <c r="L32" s="533">
        <v>4000.8000000000006</v>
      </c>
    </row>
    <row hidden="true" r="33">
      <c r="A33" s="516" t="s">
        <v>1323</v>
      </c>
      <c r="B33" s="517" t="s">
        <v>1312</v>
      </c>
      <c r="C33" s="527" t="s">
        <v>1309</v>
      </c>
      <c r="D33" s="526">
        <v>4</v>
      </c>
      <c r="E33" s="520">
        <v>17</v>
      </c>
      <c r="F33" s="521">
        <v>14123.800000000003</v>
      </c>
      <c r="G33" s="521">
        <v>15876.57</v>
      </c>
      <c r="H33" s="522">
        <f t="shared" si="2"/>
      </c>
      <c r="I33" s="522">
        <f t="shared" si="0"/>
      </c>
      <c r="J33" s="522">
        <f t="shared" si="3"/>
      </c>
      <c r="K33" s="520">
        <v>3</v>
      </c>
      <c r="L33" s="533">
        <v>1888.7999999999995</v>
      </c>
    </row>
    <row hidden="true" r="34">
      <c r="A34" s="516" t="s">
        <v>1323</v>
      </c>
      <c r="B34" s="517" t="s">
        <v>1304</v>
      </c>
      <c r="C34" s="527" t="s">
        <v>1311</v>
      </c>
      <c r="D34" s="526">
        <v>4</v>
      </c>
      <c r="E34" s="520">
        <v>9</v>
      </c>
      <c r="F34" s="534">
        <v>5749.200000000004</v>
      </c>
      <c r="G34" s="534">
        <v>14648.52</v>
      </c>
      <c r="H34" s="522">
        <f t="shared" si="2"/>
      </c>
      <c r="I34" s="522">
        <f t="shared" si="0"/>
      </c>
      <c r="J34" s="522">
        <f t="shared" si="3"/>
      </c>
      <c r="K34" s="520">
        <v>1</v>
      </c>
      <c r="L34" s="533">
        <v>560.4000000000015</v>
      </c>
    </row>
    <row hidden="true" r="35">
      <c r="A35" s="516" t="s">
        <v>1323</v>
      </c>
      <c r="B35" s="517" t="s">
        <v>1306</v>
      </c>
      <c r="C35" s="527" t="s">
        <v>1313</v>
      </c>
      <c r="D35" s="526">
        <v>4</v>
      </c>
      <c r="E35" s="520">
        <v>11</v>
      </c>
      <c r="F35" s="534">
        <v>15213.599999999991</v>
      </c>
      <c r="G35" s="534">
        <v>12082.960000000001</v>
      </c>
      <c r="H35" s="522">
        <f t="shared" si="2"/>
      </c>
      <c r="I35" s="522">
        <f t="shared" si="0"/>
      </c>
      <c r="J35" s="522">
        <f t="shared" si="3"/>
      </c>
      <c r="K35" s="520">
        <v>2</v>
      </c>
      <c r="L35" s="533">
        <v>4538.399999999998</v>
      </c>
    </row>
    <row hidden="true" r="36">
      <c r="A36" s="528" t="s">
        <v>1323</v>
      </c>
      <c r="B36" s="529" t="s">
        <v>1314</v>
      </c>
      <c r="C36" s="529"/>
      <c r="D36" s="530">
        <f>SUM(D31:D35)</f>
      </c>
      <c r="E36" s="530">
        <f>SUM(E31:E35)</f>
      </c>
      <c r="F36" s="530">
        <f>SUM(F31:F35)</f>
      </c>
      <c r="G36" s="530">
        <f>SUM(G31:G35)</f>
      </c>
      <c r="H36" s="531">
        <f t="shared" si="2"/>
      </c>
      <c r="I36" s="531">
        <f t="shared" si="0"/>
      </c>
      <c r="J36" s="531">
        <f t="shared" si="3"/>
      </c>
      <c r="K36" s="530">
        <f>SUM(K31:K35)</f>
      </c>
      <c r="L36" s="530">
        <f>SUM(L31:L35)</f>
      </c>
    </row>
    <row hidden="true" r="37">
      <c r="A37" s="516" t="s">
        <v>1324</v>
      </c>
      <c r="B37" s="517" t="s">
        <v>1310</v>
      </c>
      <c r="C37" s="527" t="s">
        <v>1318</v>
      </c>
      <c r="D37" s="526">
        <v>5</v>
      </c>
      <c r="E37" s="520">
        <v>10</v>
      </c>
      <c r="F37" s="521">
        <v>9321.2</v>
      </c>
      <c r="G37" s="521">
        <v>10034.380000000001</v>
      </c>
      <c r="H37" s="522">
        <f t="shared" si="2"/>
      </c>
      <c r="I37" s="522">
        <f t="shared" si="0"/>
      </c>
      <c r="J37" s="522">
        <f t="shared" si="3"/>
      </c>
      <c r="K37" s="520">
        <v>4</v>
      </c>
      <c r="L37" s="533">
        <v>3354</v>
      </c>
    </row>
    <row hidden="true" r="38">
      <c r="A38" s="516" t="s">
        <v>1324</v>
      </c>
      <c r="B38" s="517" t="s">
        <v>1312</v>
      </c>
      <c r="C38" s="527" t="s">
        <v>1319</v>
      </c>
      <c r="D38" s="526">
        <v>5</v>
      </c>
      <c r="E38" s="520">
        <v>8</v>
      </c>
      <c r="F38" s="521">
        <v>12526.599999999999</v>
      </c>
      <c r="G38" s="527">
        <v>9290.819999999998</v>
      </c>
      <c r="H38" s="522">
        <f t="shared" si="2"/>
      </c>
      <c r="I38" s="522">
        <f t="shared" si="0"/>
      </c>
      <c r="J38" s="522">
        <f t="shared" si="3"/>
      </c>
      <c r="K38" s="520">
        <v>2</v>
      </c>
      <c r="L38" s="533">
        <v>2574</v>
      </c>
    </row>
    <row hidden="true" r="39">
      <c r="A39" s="516" t="s">
        <v>1324</v>
      </c>
      <c r="B39" s="517" t="s">
        <v>1304</v>
      </c>
      <c r="C39" s="527" t="s">
        <v>1320</v>
      </c>
      <c r="D39" s="526">
        <v>5</v>
      </c>
      <c r="E39" s="520">
        <v>7</v>
      </c>
      <c r="F39" s="521">
        <v>5722.4000000000015</v>
      </c>
      <c r="G39" s="521">
        <v>4699.67</v>
      </c>
      <c r="H39" s="522">
        <f t="shared" si="2"/>
      </c>
      <c r="I39" s="522">
        <f t="shared" si="0"/>
      </c>
      <c r="J39" s="522">
        <f t="shared" si="3"/>
      </c>
      <c r="K39" s="520">
        <v>2</v>
      </c>
      <c r="L39" s="533">
        <v>2370</v>
      </c>
    </row>
    <row hidden="true" r="40">
      <c r="A40" s="516" t="s">
        <v>1324</v>
      </c>
      <c r="B40" s="517" t="s">
        <v>1306</v>
      </c>
      <c r="C40" s="527" t="s">
        <v>1321</v>
      </c>
      <c r="D40" s="526">
        <v>5</v>
      </c>
      <c r="E40" s="520">
        <v>15</v>
      </c>
      <c r="F40" s="534">
        <v>19644.399999999998</v>
      </c>
      <c r="G40" s="534">
        <v>15441.099999999999</v>
      </c>
      <c r="H40" s="522">
        <f t="shared" si="2"/>
      </c>
      <c r="I40" s="522">
        <f t="shared" si="0"/>
      </c>
      <c r="J40" s="522">
        <f t="shared" si="3"/>
      </c>
      <c r="K40" s="520">
        <v>2</v>
      </c>
      <c r="L40" s="533">
        <v>1867.2000000000007</v>
      </c>
    </row>
    <row hidden="true" r="41">
      <c r="A41" s="528" t="s">
        <v>1324</v>
      </c>
      <c r="B41" s="529" t="s">
        <v>1314</v>
      </c>
      <c r="C41" s="529"/>
      <c r="D41" s="530">
        <f>SUM(D37:D40)</f>
      </c>
      <c r="E41" s="530">
        <f>SUM(E37:E40)</f>
      </c>
      <c r="F41" s="530">
        <f>SUM(F37:F40)</f>
      </c>
      <c r="G41" s="530">
        <f>SUM(G37:G40)</f>
      </c>
      <c r="H41" s="531">
        <f t="shared" si="2"/>
      </c>
      <c r="I41" s="531">
        <f t="shared" si="0"/>
      </c>
      <c r="J41" s="531">
        <f t="shared" si="3"/>
      </c>
      <c r="K41" s="530">
        <f>SUM(K37:K40)</f>
      </c>
      <c r="L41" s="530">
        <f>SUM(L37:L40)</f>
      </c>
    </row>
    <row hidden="true" r="42"/>
    <row hidden="true" r="43"/>
    <row hidden="true" r="44"/>
    <row hidden="true" r="45"/>
    <row hidden="true" r="46"/>
    <row hidden="true" r="47"/>
    <row hidden="true" r="48"/>
    <row hidden="true" r="49"/>
    <row hidden="true" r="50">
      <c r="M50" s="535" t="s">
        <v>1325</v>
      </c>
      <c r="N50" s="535" t="s">
        <v>1326</v>
      </c>
    </row>
    <row hidden="true" r="51">
      <c r="M51" s="536">
        <f t="shared" ref="M51:M56" si="4">I51/J51</f>
      </c>
      <c r="N51" s="536">
        <f t="shared" ref="N51:N56" si="1">J51/G51</f>
      </c>
    </row>
    <row hidden="true" r="52">
      <c r="M52" s="536">
        <f t="shared" si="4"/>
      </c>
      <c r="N52" s="536">
        <f t="shared" si="1"/>
      </c>
    </row>
    <row hidden="true" r="53">
      <c r="M53" s="536">
        <f t="shared" si="4"/>
      </c>
      <c r="N53" s="536">
        <f t="shared" si="1"/>
      </c>
    </row>
    <row hidden="true" r="54">
      <c r="M54" s="536">
        <f t="shared" si="4"/>
      </c>
      <c r="N54" s="536">
        <f t="shared" si="1"/>
      </c>
    </row>
    <row hidden="true" r="55">
      <c r="M55" s="536">
        <f t="shared" si="4"/>
      </c>
      <c r="N55" s="536">
        <f t="shared" si="1"/>
      </c>
    </row>
    <row hidden="true" r="56">
      <c r="M56" s="536">
        <f t="shared" si="4"/>
      </c>
      <c r="N56" s="536">
        <f t="shared" si="1"/>
      </c>
    </row>
    <row hidden="true" r="57"/>
    <row hidden="true" r="58"/>
    <row hidden="true" r="59"/>
    <row hidden="true" r="60"/>
    <row hidden="true" r="61"/>
    <row hidden="true" r="62"/>
    <row hidden="true" r="63"/>
    <row hidden="true" r="64"/>
    <row hidden="true" r="65"/>
    <row hidden="true" r="66"/>
    <row hidden="true" r="67"/>
    <row hidden="true" r="68"/>
    <row hidden="true" r="69"/>
    <row hidden="true" r="70"/>
    <row hidden="true" r="71"/>
    <row hidden="true" r="72"/>
    <row hidden="true" r="73"/>
    <row hidden="true" r="74"/>
    <row hidden="true" r="75"/>
    <row hidden="true" r="76"/>
    <row hidden="true" r="77"/>
    <row hidden="true" r="78"/>
    <row hidden="true" r="79"/>
    <row hidden="true" r="80"/>
    <row hidden="true" r="81"/>
    <row hidden="true" r="82"/>
    <row hidden="true" r="83"/>
    <row hidden="true" r="84"/>
    <row hidden="true" r="85"/>
    <row hidden="true" r="86"/>
    <row hidden="true" r="87"/>
    <row hidden="true" r="88"/>
    <row hidden="true" r="89"/>
    <row hidden="true" r="90"/>
    <row hidden="true" r="91"/>
    <row hidden="true" r="92"/>
    <row hidden="true" r="93"/>
    <row hidden="true" r="94"/>
    <row hidden="true" r="95"/>
    <row hidden="true" r="96"/>
    <row hidden="true" r="97"/>
    <row hidden="true" r="98"/>
    <row hidden="true" r="99"/>
    <row hidden="true" r="100"/>
    <row hidden="true" r="101"/>
    <row hidden="true" r="102"/>
    <row hidden="true" r="103"/>
    <row hidden="true" r="104"/>
    <row hidden="true" r="105"/>
    <row hidden="true" r="106"/>
    <row hidden="true" r="107"/>
    <row hidden="true" r="108"/>
    <row hidden="true" r="109"/>
    <row hidden="true" r="110"/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</sheetData>
  <autoFilter ref="A1:T200">
    <filterColumn colId="1">
      <filters>
        <filter val="王硕硕"/>
      </filters>
    </filterColumn>
  </autoFilter>
  <dataValidations count="1">
    <dataValidation allowBlank="true" errorStyle="stop" showErrorMessage="true" sqref="B2:B6 B8:B12 B14:B18 B20:B23 B25:B29 B31:B35 B37:B40" type="list">
      <formula1>"王硕硕,李紫瑞,刘杰宇,井欣阅,陈旭,于慧,李娜,栗敏纳"</formula1>
    </dataValidation>
  </dataValidation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2" min="2" style="0" width="11.211267605633802"/>
    <col collapsed="false" customWidth="true" hidden="false" max="3" min="3" style="0" width="12.64480633802817"/>
    <col collapsed="false" customWidth="true" hidden="false" max="6" min="6" style="0" width="11.211267605633802"/>
    <col collapsed="false" customWidth="true" hidden="false" max="8" min="8" style="0" width="11.211267605633802"/>
  </cols>
  <sheetData>
    <row r="1"/>
    <row r="2">
      <c r="F2" s="537">
        <f t="shared" ref="F2:F6" si="0">D2/E2</f>
      </c>
    </row>
    <row r="3">
      <c r="F3" s="537">
        <f t="shared" si="0"/>
      </c>
    </row>
    <row r="4">
      <c r="F4" s="537">
        <f t="shared" si="0"/>
      </c>
    </row>
    <row r="5">
      <c r="F5" s="537">
        <f t="shared" si="0"/>
      </c>
    </row>
    <row r="6">
      <c r="F6" s="537">
        <f t="shared" si="0"/>
      </c>
    </row>
    <row r="7"/>
    <row r="8"/>
    <row r="9"/>
    <row r="10"/>
    <row r="11"/>
    <row r="12"/>
    <row r="13">
      <c r="D13" t="s">
        <v>1327</v>
      </c>
      <c r="E13" t="s">
        <v>1328</v>
      </c>
      <c r="F13" t="s">
        <v>1329</v>
      </c>
      <c r="G13" t="s">
        <v>1330</v>
      </c>
      <c r="H13" t="s">
        <v>1331</v>
      </c>
      <c r="I13" t="s">
        <v>1332</v>
      </c>
      <c r="J13" t="s">
        <v>1333</v>
      </c>
      <c r="K13" t="s">
        <v>1334</v>
      </c>
      <c r="L13" t="s">
        <v>1335</v>
      </c>
      <c r="M13" t="s">
        <v>1336</v>
      </c>
      <c r="N13" t="s">
        <v>1337</v>
      </c>
      <c r="O13" t="s">
        <v>1338</v>
      </c>
      <c r="P13" t="s">
        <v>1339</v>
      </c>
      <c r="Q13" t="s">
        <v>1340</v>
      </c>
      <c r="R13" t="s">
        <v>1341</v>
      </c>
      <c r="S13" t="s">
        <v>1342</v>
      </c>
    </row>
    <row r="14">
      <c r="D14" t="s">
        <v>1343</v>
      </c>
      <c r="E14" t="s">
        <v>1344</v>
      </c>
      <c r="G14">
        <v>20</v>
      </c>
      <c r="H14">
        <v>62</v>
      </c>
      <c r="I14">
        <v>46801</v>
      </c>
      <c r="J14">
        <v>64560.09</v>
      </c>
      <c r="K14">
        <v>0.7249215420858305</v>
      </c>
      <c r="L14">
        <v>754.8548387096774</v>
      </c>
      <c r="M14">
        <v>1041.2917741935482</v>
      </c>
      <c r="N14">
        <v>16</v>
      </c>
      <c r="O14">
        <v>8079.6</v>
      </c>
      <c r="Q14">
        <v>20</v>
      </c>
      <c r="S14">
        <v>20</v>
      </c>
    </row>
    <row r="15">
      <c r="D15" t="s">
        <v>1345</v>
      </c>
      <c r="E15" t="s">
        <v>1344</v>
      </c>
      <c r="G15">
        <v>20</v>
      </c>
      <c r="H15">
        <v>60</v>
      </c>
      <c r="I15">
        <v>65110</v>
      </c>
      <c r="J15">
        <v>59475.83</v>
      </c>
      <c r="K15">
        <v>1.094730414018602</v>
      </c>
      <c r="L15">
        <v>1085.1666666666667</v>
      </c>
      <c r="M15">
        <v>991.2638333333333</v>
      </c>
      <c r="N15">
        <v>11</v>
      </c>
      <c r="O15">
        <v>11578.8</v>
      </c>
      <c r="Q15">
        <v>20</v>
      </c>
      <c r="S15">
        <v>20</v>
      </c>
    </row>
    <row r="16">
      <c r="D16" t="s">
        <v>1346</v>
      </c>
      <c r="E16" t="s">
        <v>1344</v>
      </c>
      <c r="G16">
        <v>20</v>
      </c>
      <c r="H16">
        <v>34</v>
      </c>
      <c r="I16">
        <v>32285.4</v>
      </c>
      <c r="J16">
        <v>42749.96</v>
      </c>
      <c r="K16">
        <v>0.7552147417213958</v>
      </c>
      <c r="L16">
        <v>949.5705882352942</v>
      </c>
      <c r="M16">
        <v>1257.3517647058823</v>
      </c>
      <c r="N16">
        <v>9</v>
      </c>
      <c r="O16">
        <v>11037.6</v>
      </c>
      <c r="Q16">
        <v>20</v>
      </c>
      <c r="S16">
        <v>20</v>
      </c>
    </row>
    <row r="17">
      <c r="D17" t="s">
        <v>1347</v>
      </c>
      <c r="E17" t="s">
        <v>1344</v>
      </c>
      <c r="G17">
        <v>20</v>
      </c>
      <c r="H17">
        <v>58</v>
      </c>
      <c r="I17">
        <v>63909.59999999999</v>
      </c>
      <c r="J17">
        <v>49370.94</v>
      </c>
      <c r="K17">
        <v>1.2944780877171873</v>
      </c>
      <c r="L17">
        <v>1101.8896551724135</v>
      </c>
      <c r="M17">
        <v>851.2231034482759</v>
      </c>
      <c r="N17">
        <v>15</v>
      </c>
      <c r="O17">
        <v>14397.4</v>
      </c>
      <c r="Q17">
        <v>20</v>
      </c>
      <c r="S17">
        <v>20</v>
      </c>
    </row>
    <row r="18">
      <c r="D18" t="s">
        <v>1348</v>
      </c>
      <c r="E18" t="s">
        <v>1344</v>
      </c>
      <c r="G18">
        <v>20</v>
      </c>
      <c r="H18">
        <v>63</v>
      </c>
      <c r="I18">
        <v>63484.2</v>
      </c>
      <c r="J18">
        <v>67742.70999999999</v>
      </c>
      <c r="K18">
        <v>0.9371369996860179</v>
      </c>
      <c r="L18">
        <v>1007.6857142857142</v>
      </c>
      <c r="M18">
        <v>1075.281111111111</v>
      </c>
      <c r="N18">
        <v>13</v>
      </c>
      <c r="O18">
        <v>13959.599999999999</v>
      </c>
      <c r="Q18">
        <v>20</v>
      </c>
      <c r="S18">
        <v>20</v>
      </c>
    </row>
    <row r="19">
      <c r="D19" t="s">
        <v>1349</v>
      </c>
      <c r="E19" t="s">
        <v>1344</v>
      </c>
      <c r="G19">
        <v>20</v>
      </c>
      <c r="H19">
        <v>40</v>
      </c>
      <c r="I19">
        <v>47214.6</v>
      </c>
      <c r="J19">
        <v>39593.84999999999</v>
      </c>
      <c r="K19">
        <v>1.1924730734697437</v>
      </c>
      <c r="L19">
        <v>1180.365</v>
      </c>
      <c r="M19">
        <v>989.8462499999998</v>
      </c>
      <c r="N19">
        <v>10</v>
      </c>
      <c r="O19">
        <v>10165.2</v>
      </c>
      <c r="Q19">
        <v>20</v>
      </c>
      <c r="S19">
        <v>20</v>
      </c>
    </row>
    <row r="20">
      <c r="D20" t="s">
        <v>1350</v>
      </c>
      <c r="E20" t="s">
        <v>1344</v>
      </c>
      <c r="G20">
        <v>16</v>
      </c>
      <c r="H20">
        <v>21</v>
      </c>
      <c r="I20">
        <v>16269</v>
      </c>
      <c r="J20">
        <v>32669.96</v>
      </c>
      <c r="K20">
        <v>0.4979804076895105</v>
      </c>
      <c r="L20">
        <v>774.7142857142857</v>
      </c>
      <c r="M20">
        <v>1555.712380952381</v>
      </c>
      <c r="N20">
        <v>2</v>
      </c>
      <c r="O20">
        <v>3812</v>
      </c>
      <c r="Q20">
        <v>16</v>
      </c>
      <c r="S20">
        <v>16</v>
      </c>
    </row>
    <row r="21">
      <c r="D21" t="s">
        <v>1351</v>
      </c>
      <c r="E21" t="s">
        <v>1344</v>
      </c>
      <c r="G21">
        <v>20</v>
      </c>
      <c r="H21">
        <v>35</v>
      </c>
      <c r="I21">
        <v>33672.2</v>
      </c>
      <c r="J21">
        <v>35090.369999999995</v>
      </c>
      <c r="K21">
        <v>0.9595852081354515</v>
      </c>
      <c r="L21">
        <v>962.0628571428571</v>
      </c>
      <c r="M21">
        <v>1002.5819999999999</v>
      </c>
      <c r="N21">
        <v>7</v>
      </c>
      <c r="O21">
        <v>8241.2</v>
      </c>
      <c r="Q21">
        <v>20</v>
      </c>
      <c r="S21">
        <v>20</v>
      </c>
    </row>
    <row r="22">
      <c r="D22" t="s">
        <v>1352</v>
      </c>
      <c r="E22" t="s">
        <v>1344</v>
      </c>
      <c r="G22">
        <v>20</v>
      </c>
      <c r="H22">
        <v>49</v>
      </c>
      <c r="I22">
        <v>54745.19999999999</v>
      </c>
      <c r="J22">
        <v>56880.95999999999</v>
      </c>
      <c r="K22">
        <v>0.9624521105129027</v>
      </c>
      <c r="L22">
        <v>1117.2489795918366</v>
      </c>
      <c r="M22">
        <v>1160.8359183673467</v>
      </c>
      <c r="N22">
        <v>11</v>
      </c>
      <c r="O22">
        <v>10485</v>
      </c>
      <c r="Q22">
        <v>20</v>
      </c>
      <c r="S22">
        <v>20</v>
      </c>
    </row>
    <row r="23">
      <c r="D23" t="s">
        <v>1353</v>
      </c>
      <c r="E23" t="s">
        <v>1344</v>
      </c>
      <c r="G23">
        <v>15</v>
      </c>
      <c r="H23">
        <v>36</v>
      </c>
      <c r="I23">
        <v>21817</v>
      </c>
      <c r="J23">
        <v>36692.19</v>
      </c>
      <c r="K23">
        <v>0.5945951985967586</v>
      </c>
      <c r="L23">
        <v>606.0277777777778</v>
      </c>
      <c r="M23">
        <v>1019.2275000000001</v>
      </c>
      <c r="N23">
        <v>12</v>
      </c>
      <c r="O23">
        <v>7501.199999999999</v>
      </c>
      <c r="Q23">
        <v>15</v>
      </c>
      <c r="S23">
        <v>15</v>
      </c>
    </row>
    <row r="24">
      <c r="D24" t="s">
        <v>1354</v>
      </c>
      <c r="E24" t="s">
        <v>1344</v>
      </c>
      <c r="G24">
        <v>20</v>
      </c>
      <c r="H24">
        <v>32</v>
      </c>
      <c r="I24">
        <v>24682.199999999997</v>
      </c>
      <c r="J24">
        <v>36052.09</v>
      </c>
      <c r="K24">
        <v>0.6846260508059311</v>
      </c>
      <c r="L24">
        <v>771.3187499999999</v>
      </c>
      <c r="M24">
        <v>1126.6278125</v>
      </c>
      <c r="N24">
        <v>9</v>
      </c>
      <c r="O24">
        <v>6191.1</v>
      </c>
      <c r="Q24">
        <v>20</v>
      </c>
      <c r="S24">
        <v>20</v>
      </c>
    </row>
    <row r="25">
      <c r="D25" t="s">
        <v>1355</v>
      </c>
      <c r="E25" t="s">
        <v>1344</v>
      </c>
      <c r="G25">
        <v>20</v>
      </c>
      <c r="H25">
        <v>41</v>
      </c>
      <c r="I25">
        <v>48877.2</v>
      </c>
      <c r="J25">
        <v>53268.91</v>
      </c>
      <c r="K25">
        <v>0.9175558501197039</v>
      </c>
      <c r="L25">
        <v>1192.1268292682926</v>
      </c>
      <c r="M25">
        <v>1299.2417073170732</v>
      </c>
      <c r="N25">
        <v>12</v>
      </c>
      <c r="O25">
        <v>12355</v>
      </c>
      <c r="Q25">
        <v>20</v>
      </c>
      <c r="S25">
        <v>20</v>
      </c>
    </row>
    <row r="26">
      <c r="D26" t="s">
        <v>1356</v>
      </c>
      <c r="E26" t="s">
        <v>1344</v>
      </c>
      <c r="G26">
        <v>20</v>
      </c>
      <c r="H26">
        <v>29</v>
      </c>
      <c r="I26">
        <v>22193.6</v>
      </c>
      <c r="J26">
        <v>35452.61</v>
      </c>
      <c r="K26">
        <v>0.6260075069226214</v>
      </c>
      <c r="L26">
        <v>765.2965517241379</v>
      </c>
      <c r="M26">
        <v>1222.5037931034483</v>
      </c>
      <c r="N26">
        <v>8</v>
      </c>
      <c r="O26">
        <v>6844.6</v>
      </c>
      <c r="Q26">
        <v>20</v>
      </c>
      <c r="S26">
        <v>20</v>
      </c>
    </row>
    <row r="27">
      <c r="D27" t="s">
        <v>1357</v>
      </c>
      <c r="E27" t="s">
        <v>1344</v>
      </c>
      <c r="G27">
        <v>20</v>
      </c>
      <c r="H27">
        <v>41</v>
      </c>
      <c r="I27">
        <v>45004.159999999996</v>
      </c>
      <c r="J27">
        <v>52597.3</v>
      </c>
      <c r="K27">
        <v>0.8556363159325667</v>
      </c>
      <c r="L27">
        <v>1097.66243902439</v>
      </c>
      <c r="M27">
        <v>1282.8609756097562</v>
      </c>
      <c r="N27">
        <v>10</v>
      </c>
      <c r="O27">
        <v>11892</v>
      </c>
      <c r="Q27">
        <v>20</v>
      </c>
      <c r="S27">
        <v>20</v>
      </c>
    </row>
    <row r="28">
      <c r="D28" t="s">
        <v>1358</v>
      </c>
      <c r="E28" t="s">
        <v>1344</v>
      </c>
      <c r="G28">
        <v>20</v>
      </c>
      <c r="H28">
        <v>32</v>
      </c>
      <c r="I28">
        <v>30679.4</v>
      </c>
      <c r="J28">
        <v>46220.119999999995</v>
      </c>
      <c r="K28">
        <v>0.6637672078739736</v>
      </c>
      <c r="L28">
        <v>958.73125</v>
      </c>
      <c r="M28">
        <v>1444.3787499999999</v>
      </c>
      <c r="N28">
        <v>7</v>
      </c>
      <c r="O28">
        <v>5449.2</v>
      </c>
      <c r="Q28">
        <v>20</v>
      </c>
      <c r="S28">
        <v>20</v>
      </c>
    </row>
    <row r="29"/>
    <row r="30"/>
    <row r="31"/>
    <row r="32"/>
    <row r="33"/>
    <row r="34"/>
    <row r="35"/>
    <row r="36"/>
    <row r="37">
      <c r="I37" s="538" t="s">
        <v>1359</v>
      </c>
    </row>
    <row r="38">
      <c r="I38" s="539">
        <f t="shared" ref="I38:I53" si="1">G38/H38</f>
      </c>
    </row>
    <row r="39">
      <c r="I39" s="539">
        <f t="shared" si="1"/>
      </c>
    </row>
    <row r="40">
      <c r="I40" s="539">
        <f t="shared" si="1"/>
      </c>
    </row>
    <row r="41">
      <c r="I41" s="539">
        <f t="shared" si="1"/>
      </c>
    </row>
    <row r="42">
      <c r="I42" s="539">
        <f t="shared" si="1"/>
      </c>
    </row>
    <row r="43">
      <c r="I43" s="539">
        <f t="shared" si="1"/>
      </c>
    </row>
    <row r="44">
      <c r="I44" s="539">
        <f t="shared" si="1"/>
      </c>
    </row>
    <row r="45">
      <c r="I45" s="539">
        <f t="shared" si="1"/>
      </c>
    </row>
    <row r="46">
      <c r="I46" s="539">
        <f t="shared" si="1"/>
      </c>
    </row>
    <row r="47">
      <c r="I47" s="539">
        <f t="shared" si="1"/>
      </c>
    </row>
    <row r="48">
      <c r="I48" s="539">
        <f t="shared" si="1"/>
      </c>
    </row>
    <row r="49">
      <c r="I49" s="539">
        <f t="shared" si="1"/>
      </c>
    </row>
    <row r="50">
      <c r="I50" s="539">
        <f t="shared" si="1"/>
      </c>
    </row>
    <row r="51">
      <c r="I51" s="539">
        <f t="shared" si="1"/>
      </c>
    </row>
    <row r="52">
      <c r="I52" s="539">
        <f t="shared" si="1"/>
      </c>
    </row>
    <row r="53">
      <c r="I53" s="539">
        <f t="shared" si="1"/>
      </c>
    </row>
  </sheetData>
  <autoFilter ref="D13:S28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2.64480633802817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540" t="s">
        <v>1360</v>
      </c>
      <c r="B1" s="541" t="s">
        <v>1361</v>
      </c>
      <c r="C1" s="541" t="s">
        <v>1362</v>
      </c>
      <c r="D1" s="542" t="s">
        <v>1363</v>
      </c>
      <c r="E1" s="542" t="s">
        <v>1364</v>
      </c>
      <c r="F1" s="543" t="s">
        <v>1365</v>
      </c>
      <c r="G1" s="543" t="s">
        <v>1366</v>
      </c>
      <c r="H1" s="544" t="s">
        <v>1367</v>
      </c>
      <c r="I1" s="544" t="s">
        <v>1368</v>
      </c>
      <c r="J1" s="544" t="s">
        <v>1369</v>
      </c>
    </row>
    <row r="2">
      <c r="A2" s="545" t="s">
        <v>1370</v>
      </c>
      <c r="B2" s="546" t="s">
        <v>1371</v>
      </c>
      <c r="C2" s="547" t="s">
        <v>1372</v>
      </c>
      <c r="D2" s="548">
        <v>4</v>
      </c>
      <c r="E2" s="549">
        <v>16</v>
      </c>
      <c r="F2" s="550">
        <v>8064</v>
      </c>
      <c r="G2" s="550">
        <v>11482.749999999998</v>
      </c>
      <c r="H2" s="551">
        <f t="shared" ref="H2:H51" si="3">F2/G2</f>
      </c>
      <c r="I2" s="551">
        <f t="shared" ref="I2:I51" si="0">F2/E2</f>
      </c>
      <c r="J2" s="551">
        <f t="shared" ref="J2:J51" si="1">G2/E2</f>
      </c>
    </row>
    <row r="3">
      <c r="A3" s="545" t="s">
        <v>1370</v>
      </c>
      <c r="B3" s="546" t="s">
        <v>1373</v>
      </c>
      <c r="C3" s="547" t="s">
        <v>1374</v>
      </c>
      <c r="D3" s="548">
        <v>4</v>
      </c>
      <c r="E3" s="549">
        <v>15</v>
      </c>
      <c r="F3" s="550">
        <v>15481</v>
      </c>
      <c r="G3" s="547">
        <v>15030.669999999998</v>
      </c>
      <c r="H3" s="551">
        <f t="shared" si="3"/>
      </c>
      <c r="I3" s="551">
        <f t="shared" si="0"/>
      </c>
      <c r="J3" s="551">
        <f t="shared" si="1"/>
      </c>
    </row>
    <row r="4">
      <c r="A4" s="545" t="s">
        <v>1370</v>
      </c>
      <c r="B4" s="546" t="s">
        <v>1375</v>
      </c>
      <c r="C4" s="547" t="s">
        <v>1376</v>
      </c>
      <c r="D4" s="548">
        <v>4</v>
      </c>
      <c r="E4" s="549">
        <v>11</v>
      </c>
      <c r="F4" s="550">
        <v>8047.200000000002</v>
      </c>
      <c r="G4" s="550">
        <v>15366.98</v>
      </c>
      <c r="H4" s="551">
        <f t="shared" si="3"/>
      </c>
      <c r="I4" s="551">
        <f t="shared" si="0"/>
      </c>
      <c r="J4" s="551">
        <f t="shared" si="1"/>
      </c>
    </row>
    <row r="5">
      <c r="A5" s="545" t="s">
        <v>1370</v>
      </c>
      <c r="B5" s="546" t="s">
        <v>1377</v>
      </c>
      <c r="C5" s="547" t="s">
        <v>1378</v>
      </c>
      <c r="D5" s="548">
        <v>4</v>
      </c>
      <c r="E5" s="549">
        <v>9</v>
      </c>
      <c r="F5" s="552">
        <v>6724.799999999999</v>
      </c>
      <c r="G5" s="552">
        <v>13934.05</v>
      </c>
      <c r="H5" s="551">
        <f t="shared" si="3"/>
      </c>
      <c r="I5" s="551">
        <f t="shared" si="0"/>
      </c>
      <c r="J5" s="551">
        <f t="shared" si="1"/>
      </c>
    </row>
    <row r="6">
      <c r="A6" s="545" t="s">
        <v>1370</v>
      </c>
      <c r="B6" s="546" t="s">
        <v>1379</v>
      </c>
      <c r="C6" s="547" t="s">
        <v>1380</v>
      </c>
      <c r="D6" s="548">
        <v>4</v>
      </c>
      <c r="E6" s="549">
        <v>11</v>
      </c>
      <c r="F6" s="552">
        <v>8484</v>
      </c>
      <c r="G6" s="552">
        <v>8730.210000000001</v>
      </c>
      <c r="H6" s="551">
        <f t="shared" si="3"/>
      </c>
      <c r="I6" s="551">
        <f t="shared" si="0"/>
      </c>
      <c r="J6" s="551">
        <f t="shared" si="1"/>
      </c>
    </row>
    <row r="7">
      <c r="A7" s="553" t="s">
        <v>1370</v>
      </c>
      <c r="B7" s="554" t="s">
        <v>1381</v>
      </c>
      <c r="C7" s="554"/>
      <c r="D7" s="555">
        <f>SUM(D2:D6)</f>
      </c>
      <c r="E7" s="555">
        <f>SUM(E2:E6)</f>
      </c>
      <c r="F7" s="555">
        <f>SUM(F2:F6)</f>
      </c>
      <c r="G7" s="555">
        <f>SUM(G2:G6)</f>
      </c>
      <c r="H7" s="556">
        <f t="shared" si="3"/>
      </c>
      <c r="I7" s="556">
        <f t="shared" si="0"/>
      </c>
      <c r="J7" s="556">
        <f t="shared" si="1"/>
      </c>
    </row>
    <row r="8">
      <c r="A8" s="545" t="s">
        <v>1382</v>
      </c>
      <c r="B8" s="546" t="s">
        <v>1373</v>
      </c>
      <c r="C8" s="547" t="s">
        <v>1372</v>
      </c>
      <c r="D8" s="548">
        <v>4</v>
      </c>
      <c r="E8" s="549">
        <v>10</v>
      </c>
      <c r="F8" s="550">
        <v>17925.6</v>
      </c>
      <c r="G8" s="550">
        <v>11504.720000000001</v>
      </c>
      <c r="H8" s="551">
        <f t="shared" si="3"/>
      </c>
      <c r="I8" s="551">
        <f t="shared" si="0"/>
      </c>
      <c r="J8" s="551">
        <f t="shared" si="1"/>
      </c>
    </row>
    <row r="9">
      <c r="A9" s="545" t="s">
        <v>1382</v>
      </c>
      <c r="B9" s="546" t="s">
        <v>1375</v>
      </c>
      <c r="C9" s="547" t="s">
        <v>1374</v>
      </c>
      <c r="D9" s="548">
        <v>4</v>
      </c>
      <c r="E9" s="549">
        <v>6</v>
      </c>
      <c r="F9" s="550">
        <v>6488.4</v>
      </c>
      <c r="G9" s="547">
        <v>11443.2</v>
      </c>
      <c r="H9" s="551">
        <f t="shared" si="3"/>
      </c>
      <c r="I9" s="551">
        <f t="shared" si="0"/>
      </c>
      <c r="J9" s="551">
        <f t="shared" si="1"/>
      </c>
    </row>
    <row r="10">
      <c r="A10" s="545" t="s">
        <v>1382</v>
      </c>
      <c r="B10" s="546" t="s">
        <v>1377</v>
      </c>
      <c r="C10" s="547" t="s">
        <v>1376</v>
      </c>
      <c r="D10" s="548">
        <v>4</v>
      </c>
      <c r="E10" s="549">
        <v>13</v>
      </c>
      <c r="F10" s="550">
        <v>14785.199999999997</v>
      </c>
      <c r="G10" s="550">
        <v>10114.02</v>
      </c>
      <c r="H10" s="551">
        <f t="shared" si="3"/>
      </c>
      <c r="I10" s="551">
        <f t="shared" si="0"/>
      </c>
      <c r="J10" s="551">
        <f t="shared" si="1"/>
      </c>
    </row>
    <row r="11">
      <c r="A11" s="545" t="s">
        <v>1382</v>
      </c>
      <c r="B11" s="546" t="s">
        <v>1379</v>
      </c>
      <c r="C11" s="547" t="s">
        <v>1378</v>
      </c>
      <c r="D11" s="548">
        <v>4</v>
      </c>
      <c r="E11" s="549">
        <v>17</v>
      </c>
      <c r="F11" s="552">
        <v>15257.200000000004</v>
      </c>
      <c r="G11" s="552">
        <v>10575.38</v>
      </c>
      <c r="H11" s="551">
        <f t="shared" si="3"/>
      </c>
      <c r="I11" s="551">
        <f t="shared" si="0"/>
      </c>
      <c r="J11" s="551">
        <f t="shared" si="1"/>
      </c>
    </row>
    <row r="12">
      <c r="A12" s="545" t="s">
        <v>1382</v>
      </c>
      <c r="B12" s="546" t="s">
        <v>1371</v>
      </c>
      <c r="C12" s="547" t="s">
        <v>1380</v>
      </c>
      <c r="D12" s="548">
        <v>4</v>
      </c>
      <c r="E12" s="549">
        <v>14</v>
      </c>
      <c r="F12" s="552">
        <v>10653.599999999999</v>
      </c>
      <c r="G12" s="552">
        <v>15838.51</v>
      </c>
      <c r="H12" s="551">
        <f t="shared" si="3"/>
      </c>
      <c r="I12" s="551">
        <f t="shared" si="0"/>
      </c>
      <c r="J12" s="551">
        <f t="shared" si="1"/>
      </c>
    </row>
    <row r="13">
      <c r="A13" s="553" t="s">
        <v>1382</v>
      </c>
      <c r="B13" s="554" t="s">
        <v>1381</v>
      </c>
      <c r="C13" s="554"/>
      <c r="D13" s="555">
        <f>SUM(D8:D12)</f>
      </c>
      <c r="E13" s="555">
        <f>SUM(E8:E12)</f>
      </c>
      <c r="F13" s="555">
        <f>SUM(F8:F12)</f>
      </c>
      <c r="G13" s="555">
        <f>SUM(G8:G12)</f>
      </c>
      <c r="H13" s="556">
        <f t="shared" si="3"/>
      </c>
      <c r="I13" s="556">
        <f t="shared" si="0"/>
      </c>
      <c r="J13" s="556">
        <f t="shared" si="1"/>
      </c>
    </row>
    <row r="14">
      <c r="A14" s="545" t="s">
        <v>1383</v>
      </c>
      <c r="B14" s="546" t="s">
        <v>1375</v>
      </c>
      <c r="C14" s="547" t="s">
        <v>1384</v>
      </c>
      <c r="D14" s="548">
        <v>5</v>
      </c>
      <c r="E14" s="549">
        <v>10</v>
      </c>
      <c r="F14" s="550">
        <v>9504</v>
      </c>
      <c r="G14" s="550">
        <v>16297.199999999999</v>
      </c>
      <c r="H14" s="551">
        <f t="shared" si="3"/>
      </c>
      <c r="I14" s="551">
        <f t="shared" si="0"/>
      </c>
      <c r="J14" s="551">
        <f t="shared" si="1"/>
      </c>
    </row>
    <row r="15">
      <c r="A15" s="545" t="s">
        <v>1383</v>
      </c>
      <c r="B15" s="546" t="s">
        <v>1379</v>
      </c>
      <c r="C15" s="547" t="s">
        <v>1385</v>
      </c>
      <c r="D15" s="548">
        <v>5</v>
      </c>
      <c r="E15" s="549">
        <v>10</v>
      </c>
      <c r="F15" s="550">
        <v>8247.599999999999</v>
      </c>
      <c r="G15" s="547">
        <v>11740.54</v>
      </c>
      <c r="H15" s="551">
        <f t="shared" si="3"/>
      </c>
      <c r="I15" s="551">
        <f t="shared" si="0"/>
      </c>
      <c r="J15" s="551">
        <f t="shared" si="1"/>
      </c>
    </row>
    <row r="16">
      <c r="A16" s="545" t="s">
        <v>1383</v>
      </c>
      <c r="B16" s="546" t="s">
        <v>1371</v>
      </c>
      <c r="C16" s="547" t="s">
        <v>1386</v>
      </c>
      <c r="D16" s="548">
        <v>5</v>
      </c>
      <c r="E16" s="549">
        <v>5</v>
      </c>
      <c r="F16" s="550">
        <v>5350.800000000003</v>
      </c>
      <c r="G16" s="550">
        <v>7610.78</v>
      </c>
      <c r="H16" s="551">
        <f t="shared" si="3"/>
      </c>
      <c r="I16" s="551">
        <f t="shared" si="0"/>
      </c>
      <c r="J16" s="551">
        <f t="shared" si="1"/>
      </c>
    </row>
    <row r="17">
      <c r="A17" s="545" t="s">
        <v>1383</v>
      </c>
      <c r="B17" s="546" t="s">
        <v>1373</v>
      </c>
      <c r="C17" s="547" t="s">
        <v>1387</v>
      </c>
      <c r="D17" s="548">
        <v>5</v>
      </c>
      <c r="E17" s="549">
        <v>9</v>
      </c>
      <c r="F17" s="552">
        <v>9183</v>
      </c>
      <c r="G17" s="552">
        <v>7101.44</v>
      </c>
      <c r="H17" s="551">
        <f t="shared" si="3"/>
      </c>
      <c r="I17" s="551">
        <f t="shared" si="0"/>
      </c>
      <c r="J17" s="551">
        <f t="shared" si="1"/>
      </c>
    </row>
    <row r="18">
      <c r="A18" s="553" t="s">
        <v>1383</v>
      </c>
      <c r="B18" s="554" t="s">
        <v>1381</v>
      </c>
      <c r="C18" s="554"/>
      <c r="D18" s="555">
        <f>SUM(D14:D17)</f>
      </c>
      <c r="E18" s="555">
        <f>SUM(E14:E17)</f>
      </c>
      <c r="F18" s="555">
        <f>SUM(F14:F17)</f>
      </c>
      <c r="G18" s="555">
        <f>SUM(G14:G17)</f>
      </c>
      <c r="H18" s="556">
        <f t="shared" si="3"/>
      </c>
      <c r="I18" s="556">
        <f t="shared" si="0"/>
      </c>
      <c r="J18" s="556">
        <f t="shared" si="1"/>
      </c>
    </row>
    <row r="19">
      <c r="A19" s="545" t="s">
        <v>1388</v>
      </c>
      <c r="B19" s="546" t="s">
        <v>1375</v>
      </c>
      <c r="C19" s="547" t="s">
        <v>1372</v>
      </c>
      <c r="D19" s="548">
        <v>4</v>
      </c>
      <c r="E19" s="549">
        <v>7</v>
      </c>
      <c r="F19" s="550">
        <v>8593</v>
      </c>
      <c r="G19" s="550">
        <v>5861.820000000001</v>
      </c>
      <c r="H19" s="551">
        <f t="shared" si="3"/>
      </c>
      <c r="I19" s="551">
        <f t="shared" si="0"/>
      </c>
      <c r="J19" s="551">
        <f t="shared" si="1"/>
      </c>
    </row>
    <row r="20">
      <c r="A20" s="545" t="s">
        <v>1388</v>
      </c>
      <c r="B20" s="546" t="s">
        <v>1377</v>
      </c>
      <c r="C20" s="547" t="s">
        <v>1374</v>
      </c>
      <c r="D20" s="548">
        <v>4</v>
      </c>
      <c r="E20" s="549">
        <v>10</v>
      </c>
      <c r="F20" s="550">
        <v>6960.8</v>
      </c>
      <c r="G20" s="547">
        <v>9782.410000000002</v>
      </c>
      <c r="H20" s="551">
        <f t="shared" si="3"/>
      </c>
      <c r="I20" s="551">
        <f t="shared" si="0"/>
      </c>
      <c r="J20" s="551">
        <f t="shared" si="1"/>
      </c>
    </row>
    <row r="21">
      <c r="A21" s="545" t="s">
        <v>1388</v>
      </c>
      <c r="B21" s="546" t="s">
        <v>1379</v>
      </c>
      <c r="C21" s="547" t="s">
        <v>1376</v>
      </c>
      <c r="D21" s="548">
        <v>4</v>
      </c>
      <c r="E21" s="549">
        <v>18</v>
      </c>
      <c r="F21" s="550">
        <v>19593.4</v>
      </c>
      <c r="G21" s="550">
        <v>12531.670000000002</v>
      </c>
      <c r="H21" s="551">
        <f t="shared" si="3"/>
      </c>
      <c r="I21" s="551">
        <f t="shared" si="0"/>
      </c>
      <c r="J21" s="551">
        <f t="shared" si="1"/>
      </c>
    </row>
    <row r="22">
      <c r="A22" s="545" t="s">
        <v>1388</v>
      </c>
      <c r="B22" s="546" t="s">
        <v>1373</v>
      </c>
      <c r="C22" s="547" t="s">
        <v>1378</v>
      </c>
      <c r="D22" s="548">
        <v>4</v>
      </c>
      <c r="E22" s="549">
        <v>9</v>
      </c>
      <c r="F22" s="552">
        <v>8279.799999999996</v>
      </c>
      <c r="G22" s="552">
        <v>10919.37</v>
      </c>
      <c r="H22" s="551">
        <f t="shared" si="3"/>
      </c>
      <c r="I22" s="551">
        <f t="shared" si="0"/>
      </c>
      <c r="J22" s="551">
        <f t="shared" si="1"/>
      </c>
    </row>
    <row r="23">
      <c r="A23" s="545" t="s">
        <v>1388</v>
      </c>
      <c r="B23" s="546" t="s">
        <v>1371</v>
      </c>
      <c r="C23" s="547" t="s">
        <v>1380</v>
      </c>
      <c r="D23" s="548">
        <v>4</v>
      </c>
      <c r="E23" s="549">
        <v>14</v>
      </c>
      <c r="F23" s="552">
        <v>20482.6</v>
      </c>
      <c r="G23" s="552">
        <v>10275.67</v>
      </c>
      <c r="H23" s="551">
        <f t="shared" si="3"/>
      </c>
      <c r="I23" s="551">
        <f t="shared" si="0"/>
      </c>
      <c r="J23" s="551">
        <f t="shared" si="1"/>
      </c>
    </row>
    <row r="24">
      <c r="A24" s="553" t="s">
        <v>1388</v>
      </c>
      <c r="B24" s="554" t="s">
        <v>1381</v>
      </c>
      <c r="C24" s="554"/>
      <c r="D24" s="555">
        <f>SUM(D19:D23)</f>
      </c>
      <c r="E24" s="555">
        <f>SUM(E19:E23)</f>
      </c>
      <c r="F24" s="555">
        <f>SUM(F19:F23)</f>
      </c>
      <c r="G24" s="555">
        <f>SUM(G19:G23)</f>
      </c>
      <c r="H24" s="556">
        <f t="shared" si="3"/>
      </c>
      <c r="I24" s="556">
        <f t="shared" si="0"/>
      </c>
      <c r="J24" s="556">
        <f t="shared" si="1"/>
      </c>
    </row>
    <row r="25">
      <c r="A25" s="545" t="s">
        <v>1389</v>
      </c>
      <c r="B25" s="546" t="s">
        <v>1375</v>
      </c>
      <c r="C25" s="547" t="s">
        <v>1372</v>
      </c>
      <c r="D25" s="548">
        <v>4</v>
      </c>
      <c r="E25" s="549">
        <v>11</v>
      </c>
      <c r="F25" s="550">
        <v>15172.399999999998</v>
      </c>
      <c r="G25" s="550">
        <v>11733.01</v>
      </c>
      <c r="H25" s="551">
        <f t="shared" si="3"/>
      </c>
      <c r="I25" s="551">
        <f t="shared" si="0"/>
      </c>
      <c r="J25" s="551">
        <f t="shared" si="1"/>
      </c>
    </row>
    <row r="26">
      <c r="A26" s="545" t="s">
        <v>1389</v>
      </c>
      <c r="B26" s="546" t="s">
        <v>1377</v>
      </c>
      <c r="C26" s="547" t="s">
        <v>1374</v>
      </c>
      <c r="D26" s="548">
        <v>4</v>
      </c>
      <c r="E26" s="549">
        <v>15</v>
      </c>
      <c r="F26" s="550">
        <v>13225.199999999999</v>
      </c>
      <c r="G26" s="547">
        <v>13346.02</v>
      </c>
      <c r="H26" s="551">
        <f t="shared" si="3"/>
      </c>
      <c r="I26" s="551">
        <f t="shared" si="0"/>
      </c>
      <c r="J26" s="551">
        <f t="shared" si="1"/>
      </c>
    </row>
    <row r="27">
      <c r="A27" s="545" t="s">
        <v>1389</v>
      </c>
      <c r="B27" s="546" t="s">
        <v>1379</v>
      </c>
      <c r="C27" s="547" t="s">
        <v>1376</v>
      </c>
      <c r="D27" s="548">
        <v>4</v>
      </c>
      <c r="E27" s="549">
        <v>17</v>
      </c>
      <c r="F27" s="550">
        <v>14123.800000000003</v>
      </c>
      <c r="G27" s="550">
        <v>15876.57</v>
      </c>
      <c r="H27" s="551">
        <f t="shared" si="3"/>
      </c>
      <c r="I27" s="551">
        <f t="shared" si="0"/>
      </c>
      <c r="J27" s="551">
        <f t="shared" si="1"/>
      </c>
    </row>
    <row r="28">
      <c r="A28" s="545" t="s">
        <v>1389</v>
      </c>
      <c r="B28" s="546" t="s">
        <v>1371</v>
      </c>
      <c r="C28" s="547" t="s">
        <v>1378</v>
      </c>
      <c r="D28" s="548">
        <v>4</v>
      </c>
      <c r="E28" s="549">
        <v>9</v>
      </c>
      <c r="F28" s="552">
        <v>5749.200000000004</v>
      </c>
      <c r="G28" s="552">
        <v>14648.52</v>
      </c>
      <c r="H28" s="551">
        <f t="shared" si="3"/>
      </c>
      <c r="I28" s="551">
        <f t="shared" si="0"/>
      </c>
      <c r="J28" s="551">
        <f t="shared" si="1"/>
      </c>
    </row>
    <row r="29">
      <c r="A29" s="545" t="s">
        <v>1389</v>
      </c>
      <c r="B29" s="546" t="s">
        <v>1373</v>
      </c>
      <c r="C29" s="547" t="s">
        <v>1380</v>
      </c>
      <c r="D29" s="548">
        <v>4</v>
      </c>
      <c r="E29" s="549">
        <v>11</v>
      </c>
      <c r="F29" s="552">
        <v>15213.599999999991</v>
      </c>
      <c r="G29" s="552">
        <v>12138.59</v>
      </c>
      <c r="H29" s="551">
        <f t="shared" si="3"/>
      </c>
      <c r="I29" s="551">
        <f t="shared" si="0"/>
      </c>
      <c r="J29" s="551">
        <f t="shared" si="1"/>
      </c>
    </row>
    <row r="30">
      <c r="A30" s="553" t="s">
        <v>1389</v>
      </c>
      <c r="B30" s="554" t="s">
        <v>1381</v>
      </c>
      <c r="C30" s="554"/>
      <c r="D30" s="555">
        <f>SUM(D25:D29)</f>
      </c>
      <c r="E30" s="555">
        <f>SUM(E25:E29)</f>
      </c>
      <c r="F30" s="555">
        <f>SUM(F25:F29)</f>
      </c>
      <c r="G30" s="555">
        <f>SUM(G25:G29)</f>
      </c>
      <c r="H30" s="556">
        <f t="shared" si="3"/>
      </c>
      <c r="I30" s="556">
        <f t="shared" si="0"/>
      </c>
      <c r="J30" s="556">
        <f t="shared" si="1"/>
      </c>
    </row>
    <row r="31">
      <c r="A31" s="545" t="s">
        <v>1390</v>
      </c>
      <c r="B31" s="546" t="s">
        <v>1377</v>
      </c>
      <c r="C31" s="547" t="s">
        <v>1384</v>
      </c>
      <c r="D31" s="548">
        <v>5</v>
      </c>
      <c r="E31" s="549">
        <v>10</v>
      </c>
      <c r="F31" s="550">
        <v>9321.2</v>
      </c>
      <c r="G31" s="550">
        <v>10034.380000000001</v>
      </c>
      <c r="H31" s="551">
        <f t="shared" si="3"/>
      </c>
      <c r="I31" s="551">
        <f t="shared" si="0"/>
      </c>
      <c r="J31" s="551">
        <f t="shared" si="1"/>
      </c>
    </row>
    <row r="32">
      <c r="A32" s="545" t="s">
        <v>1390</v>
      </c>
      <c r="B32" s="546" t="s">
        <v>1379</v>
      </c>
      <c r="C32" s="547" t="s">
        <v>1385</v>
      </c>
      <c r="D32" s="548">
        <v>5</v>
      </c>
      <c r="E32" s="549">
        <v>8</v>
      </c>
      <c r="F32" s="550">
        <v>12526.599999999999</v>
      </c>
      <c r="G32" s="547">
        <v>9290.819999999998</v>
      </c>
      <c r="H32" s="551">
        <f t="shared" si="3"/>
      </c>
      <c r="I32" s="551">
        <f t="shared" si="0"/>
      </c>
      <c r="J32" s="551">
        <f t="shared" si="1"/>
      </c>
    </row>
    <row r="33">
      <c r="A33" s="545" t="s">
        <v>1390</v>
      </c>
      <c r="B33" s="546" t="s">
        <v>1371</v>
      </c>
      <c r="C33" s="547" t="s">
        <v>1386</v>
      </c>
      <c r="D33" s="548">
        <v>5</v>
      </c>
      <c r="E33" s="549">
        <v>7</v>
      </c>
      <c r="F33" s="550">
        <v>5722.4000000000015</v>
      </c>
      <c r="G33" s="550">
        <v>4699.67</v>
      </c>
      <c r="H33" s="551">
        <f t="shared" si="3"/>
      </c>
      <c r="I33" s="551">
        <f t="shared" si="0"/>
      </c>
      <c r="J33" s="551">
        <f t="shared" si="1"/>
      </c>
    </row>
    <row r="34">
      <c r="A34" s="545" t="s">
        <v>1390</v>
      </c>
      <c r="B34" s="546" t="s">
        <v>1373</v>
      </c>
      <c r="C34" s="547" t="s">
        <v>1387</v>
      </c>
      <c r="D34" s="548">
        <v>5</v>
      </c>
      <c r="E34" s="549">
        <v>15</v>
      </c>
      <c r="F34" s="552">
        <v>19644.399999999998</v>
      </c>
      <c r="G34" s="552">
        <v>15568.98</v>
      </c>
      <c r="H34" s="551">
        <f t="shared" si="3"/>
      </c>
      <c r="I34" s="551">
        <f t="shared" si="0"/>
      </c>
      <c r="J34" s="551">
        <f t="shared" si="1"/>
      </c>
    </row>
    <row r="35">
      <c r="A35" s="553" t="s">
        <v>1390</v>
      </c>
      <c r="B35" s="554" t="s">
        <v>1381</v>
      </c>
      <c r="C35" s="554"/>
      <c r="D35" s="555">
        <f>SUM(D31:D34)</f>
      </c>
      <c r="E35" s="555">
        <f>SUM(E31:E34)</f>
      </c>
      <c r="F35" s="555">
        <f>SUM(F31:F34)</f>
      </c>
      <c r="G35" s="555">
        <f>SUM(G31:G34)</f>
      </c>
      <c r="H35" s="556">
        <f t="shared" si="3"/>
      </c>
      <c r="I35" s="556">
        <f t="shared" si="0"/>
      </c>
      <c r="J35" s="556">
        <f t="shared" si="1"/>
      </c>
    </row>
    <row r="36">
      <c r="A36" s="545" t="s">
        <v>1391</v>
      </c>
      <c r="B36" s="546" t="s">
        <v>1377</v>
      </c>
      <c r="C36" s="547" t="s">
        <v>1372</v>
      </c>
      <c r="D36" s="548">
        <v>4</v>
      </c>
      <c r="E36" s="549">
        <v>11</v>
      </c>
      <c r="F36" s="550">
        <v>7853.4</v>
      </c>
      <c r="G36" s="550">
        <v>8867.05</v>
      </c>
      <c r="H36" s="551">
        <f t="shared" si="3"/>
      </c>
      <c r="I36" s="551">
        <f t="shared" si="0"/>
      </c>
      <c r="J36" s="551">
        <f t="shared" si="1"/>
      </c>
    </row>
    <row r="37">
      <c r="A37" s="545" t="s">
        <v>1391</v>
      </c>
      <c r="B37" s="546" t="s">
        <v>1379</v>
      </c>
      <c r="C37" s="547" t="s">
        <v>1374</v>
      </c>
      <c r="D37" s="548">
        <v>4</v>
      </c>
      <c r="E37" s="549">
        <v>6</v>
      </c>
      <c r="F37" s="550">
        <v>5778</v>
      </c>
      <c r="G37" s="547">
        <v>11738.5</v>
      </c>
      <c r="H37" s="551">
        <f t="shared" si="3"/>
      </c>
      <c r="I37" s="551">
        <f t="shared" si="0"/>
      </c>
      <c r="J37" s="551">
        <f t="shared" si="1"/>
      </c>
    </row>
    <row r="38">
      <c r="A38" s="545" t="s">
        <v>1391</v>
      </c>
      <c r="B38" s="546" t="s">
        <v>1371</v>
      </c>
      <c r="C38" s="547" t="s">
        <v>1376</v>
      </c>
      <c r="D38" s="548">
        <v>4</v>
      </c>
      <c r="E38" s="549">
        <v>3</v>
      </c>
      <c r="F38" s="550">
        <v>2241.6000000000004</v>
      </c>
      <c r="G38" s="550">
        <v>8862.3</v>
      </c>
      <c r="H38" s="551">
        <f t="shared" si="3"/>
      </c>
      <c r="I38" s="551">
        <f t="shared" si="0"/>
      </c>
      <c r="J38" s="551">
        <f t="shared" si="1"/>
      </c>
    </row>
    <row r="39">
      <c r="A39" s="545" t="s">
        <v>1391</v>
      </c>
      <c r="B39" s="546" t="s">
        <v>1373</v>
      </c>
      <c r="C39" s="547" t="s">
        <v>1378</v>
      </c>
      <c r="D39" s="548">
        <v>4</v>
      </c>
      <c r="E39" s="549">
        <v>1</v>
      </c>
      <c r="F39" s="552">
        <v>396</v>
      </c>
      <c r="G39" s="552">
        <v>3148.75</v>
      </c>
      <c r="H39" s="551">
        <f t="shared" si="3"/>
      </c>
      <c r="I39" s="551">
        <f t="shared" si="0"/>
      </c>
      <c r="J39" s="551">
        <f t="shared" si="1"/>
      </c>
    </row>
    <row r="40">
      <c r="A40" s="553" t="s">
        <v>1391</v>
      </c>
      <c r="B40" s="554" t="s">
        <v>1381</v>
      </c>
      <c r="C40" s="554"/>
      <c r="D40" s="555">
        <f>SUM(D36:D39)</f>
      </c>
      <c r="E40" s="555">
        <f>SUM(E36:E39)</f>
      </c>
      <c r="F40" s="555">
        <f>SUM(F36:F39)</f>
      </c>
      <c r="G40" s="555">
        <f>SUM(G36:G39)</f>
      </c>
      <c r="H40" s="556">
        <f t="shared" si="3"/>
      </c>
      <c r="I40" s="556">
        <f t="shared" si="0"/>
      </c>
      <c r="J40" s="556">
        <f t="shared" si="1"/>
      </c>
    </row>
    <row r="41">
      <c r="A41" s="545" t="s">
        <v>1392</v>
      </c>
      <c r="B41" s="546" t="s">
        <v>1379</v>
      </c>
      <c r="C41" s="547" t="s">
        <v>1372</v>
      </c>
      <c r="D41" s="548">
        <v>4</v>
      </c>
      <c r="E41" s="549">
        <v>5</v>
      </c>
      <c r="F41" s="550">
        <v>2745.2</v>
      </c>
      <c r="G41" s="550">
        <v>6107.900000000001</v>
      </c>
      <c r="H41" s="551">
        <f t="shared" si="3"/>
      </c>
      <c r="I41" s="551">
        <f t="shared" si="0"/>
      </c>
      <c r="J41" s="551">
        <f t="shared" si="1"/>
      </c>
    </row>
    <row r="42">
      <c r="A42" s="545" t="s">
        <v>1392</v>
      </c>
      <c r="B42" s="546" t="s">
        <v>1371</v>
      </c>
      <c r="C42" s="547" t="s">
        <v>1374</v>
      </c>
      <c r="D42" s="548">
        <v>4</v>
      </c>
      <c r="E42" s="549">
        <v>6</v>
      </c>
      <c r="F42" s="550">
        <v>5587.000000000001</v>
      </c>
      <c r="G42" s="547">
        <v>5860.41</v>
      </c>
      <c r="H42" s="551">
        <f t="shared" si="3"/>
      </c>
      <c r="I42" s="551">
        <f t="shared" si="0"/>
      </c>
      <c r="J42" s="551">
        <f t="shared" si="1"/>
      </c>
    </row>
    <row r="43">
      <c r="A43" s="545" t="s">
        <v>1392</v>
      </c>
      <c r="B43" s="546" t="s">
        <v>1373</v>
      </c>
      <c r="C43" s="547" t="s">
        <v>1376</v>
      </c>
      <c r="D43" s="548">
        <v>4</v>
      </c>
      <c r="E43" s="549">
        <v>13</v>
      </c>
      <c r="F43" s="550">
        <v>14295.2</v>
      </c>
      <c r="G43" s="550">
        <v>12750.169999999998</v>
      </c>
      <c r="H43" s="551">
        <f t="shared" si="3"/>
      </c>
      <c r="I43" s="551">
        <f t="shared" si="0"/>
      </c>
      <c r="J43" s="551">
        <f t="shared" si="1"/>
      </c>
    </row>
    <row r="44">
      <c r="A44" s="545" t="s">
        <v>1392</v>
      </c>
      <c r="B44" s="546" t="s">
        <v>1375</v>
      </c>
      <c r="C44" s="547" t="s">
        <v>1378</v>
      </c>
      <c r="D44" s="548">
        <v>4</v>
      </c>
      <c r="E44" s="549">
        <v>6</v>
      </c>
      <c r="F44" s="552">
        <v>7569.5999999999985</v>
      </c>
      <c r="G44" s="552">
        <v>4820.64</v>
      </c>
      <c r="H44" s="551">
        <f t="shared" si="3"/>
      </c>
      <c r="I44" s="551">
        <f t="shared" si="0"/>
      </c>
      <c r="J44" s="551">
        <f t="shared" si="1"/>
      </c>
    </row>
    <row r="45">
      <c r="A45" s="545" t="s">
        <v>1392</v>
      </c>
      <c r="B45" s="546" t="s">
        <v>1377</v>
      </c>
      <c r="C45" s="547" t="s">
        <v>1380</v>
      </c>
      <c r="D45" s="548">
        <v>4</v>
      </c>
      <c r="E45" s="549">
        <v>5</v>
      </c>
      <c r="F45" s="552">
        <v>3475.199999999997</v>
      </c>
      <c r="G45" s="552">
        <v>5551.25</v>
      </c>
      <c r="H45" s="551">
        <f t="shared" si="3"/>
      </c>
      <c r="I45" s="551">
        <f t="shared" si="0"/>
      </c>
      <c r="J45" s="551">
        <f t="shared" si="1"/>
      </c>
    </row>
    <row r="46">
      <c r="A46" s="553" t="s">
        <v>1392</v>
      </c>
      <c r="B46" s="554" t="s">
        <v>1381</v>
      </c>
      <c r="C46" s="554"/>
      <c r="D46" s="555">
        <f>SUM(D41:D45)</f>
      </c>
      <c r="E46" s="555">
        <f>SUM(E41:E45)</f>
      </c>
      <c r="F46" s="555">
        <f>SUM(F41:F45)</f>
      </c>
      <c r="G46" s="555">
        <f>SUM(G41:G45)</f>
      </c>
      <c r="H46" s="556">
        <f t="shared" si="3"/>
      </c>
      <c r="I46" s="556">
        <f t="shared" si="0"/>
      </c>
      <c r="J46" s="556">
        <f t="shared" si="1"/>
      </c>
    </row>
    <row r="47">
      <c r="A47" s="545" t="s">
        <v>1393</v>
      </c>
      <c r="B47" s="546" t="s">
        <v>1379</v>
      </c>
      <c r="C47" s="547" t="s">
        <v>1384</v>
      </c>
      <c r="D47" s="548">
        <v>5</v>
      </c>
      <c r="E47" s="549">
        <v>15</v>
      </c>
      <c r="F47" s="550">
        <v>22773.8</v>
      </c>
      <c r="G47" s="550">
        <v>15608.71</v>
      </c>
      <c r="H47" s="551">
        <f t="shared" si="3"/>
      </c>
      <c r="I47" s="551">
        <f t="shared" si="0"/>
      </c>
      <c r="J47" s="551">
        <f t="shared" si="1"/>
      </c>
    </row>
    <row r="48">
      <c r="A48" s="545" t="s">
        <v>1393</v>
      </c>
      <c r="B48" s="546" t="s">
        <v>1373</v>
      </c>
      <c r="C48" s="547" t="s">
        <v>1385</v>
      </c>
      <c r="D48" s="548">
        <v>5</v>
      </c>
      <c r="E48" s="549">
        <v>11</v>
      </c>
      <c r="F48" s="550">
        <v>11091.600000000004</v>
      </c>
      <c r="G48" s="547">
        <v>14327.43</v>
      </c>
      <c r="H48" s="551">
        <f t="shared" si="3"/>
      </c>
      <c r="I48" s="551">
        <f t="shared" si="0"/>
      </c>
      <c r="J48" s="551">
        <f t="shared" si="1"/>
      </c>
    </row>
    <row r="49">
      <c r="A49" s="545" t="s">
        <v>1393</v>
      </c>
      <c r="B49" s="546" t="s">
        <v>1375</v>
      </c>
      <c r="C49" s="547" t="s">
        <v>1386</v>
      </c>
      <c r="D49" s="548">
        <v>5</v>
      </c>
      <c r="E49" s="549">
        <v>14</v>
      </c>
      <c r="F49" s="550">
        <v>16387.199999999997</v>
      </c>
      <c r="G49" s="550">
        <v>15480.08</v>
      </c>
      <c r="H49" s="551">
        <f t="shared" si="3"/>
      </c>
      <c r="I49" s="551">
        <f t="shared" si="0"/>
      </c>
      <c r="J49" s="551">
        <f t="shared" si="1"/>
      </c>
    </row>
    <row r="50">
      <c r="A50" s="545" t="s">
        <v>1393</v>
      </c>
      <c r="B50" s="546" t="s">
        <v>1377</v>
      </c>
      <c r="C50" s="547" t="s">
        <v>1387</v>
      </c>
      <c r="D50" s="548">
        <v>5</v>
      </c>
      <c r="E50" s="549">
        <v>9</v>
      </c>
      <c r="F50" s="552">
        <v>4492.599999999991</v>
      </c>
      <c r="G50" s="552">
        <v>11001.05</v>
      </c>
      <c r="H50" s="551">
        <f t="shared" si="3"/>
      </c>
      <c r="I50" s="551">
        <f t="shared" si="0"/>
      </c>
      <c r="J50" s="551">
        <f t="shared" si="1"/>
      </c>
    </row>
    <row r="51">
      <c r="A51" s="553" t="s">
        <v>1393</v>
      </c>
      <c r="B51" s="554" t="s">
        <v>1381</v>
      </c>
      <c r="C51" s="554"/>
      <c r="D51" s="555">
        <f>SUM(D47:D50)</f>
      </c>
      <c r="E51" s="555">
        <f>SUM(E47:E50)</f>
      </c>
      <c r="F51" s="555">
        <f>SUM(F47:F50)</f>
      </c>
      <c r="G51" s="555">
        <f>SUM(G47:G50)</f>
      </c>
      <c r="H51" s="556">
        <f t="shared" si="3"/>
      </c>
      <c r="I51" s="556">
        <f t="shared" si="0"/>
      </c>
      <c r="J51" s="556">
        <f t="shared" si="1"/>
      </c>
    </row>
    <row r="52"/>
    <row r="53"/>
    <row r="54"/>
    <row r="55"/>
    <row r="56"/>
    <row r="57"/>
    <row r="58"/>
    <row r="59"/>
    <row r="60"/>
    <row r="61">
      <c r="C61" s="557" t="s">
        <v>1394</v>
      </c>
      <c r="D61" s="558"/>
      <c r="E61" s="558"/>
      <c r="F61" s="558"/>
      <c r="G61" s="558"/>
      <c r="H61" s="558"/>
      <c r="I61" s="558"/>
    </row>
    <row r="62">
      <c r="H62" s="559" t="s">
        <v>1395</v>
      </c>
      <c r="I62" s="559" t="s">
        <v>1396</v>
      </c>
    </row>
    <row r="63">
      <c r="H63" s="560">
        <f t="shared" ref="H63:H68" si="4">F63/G63</f>
      </c>
      <c r="I63" s="560">
        <f t="shared" ref="I63:I68" si="2">G63/D63</f>
      </c>
    </row>
    <row r="64">
      <c r="H64" s="560">
        <f t="shared" si="4"/>
      </c>
      <c r="I64" s="560">
        <f t="shared" si="2"/>
      </c>
    </row>
    <row r="65">
      <c r="H65" s="560">
        <f t="shared" si="4"/>
      </c>
      <c r="I65" s="560">
        <f t="shared" si="2"/>
      </c>
    </row>
    <row r="66">
      <c r="H66" s="560">
        <f t="shared" si="4"/>
      </c>
      <c r="I66" s="560">
        <f t="shared" si="2"/>
      </c>
    </row>
    <row r="67">
      <c r="H67" s="560">
        <f t="shared" si="4"/>
      </c>
      <c r="I67" s="560">
        <f t="shared" si="2"/>
      </c>
    </row>
    <row r="68">
      <c r="H68" s="560">
        <f t="shared" si="4"/>
      </c>
      <c r="I68" s="560">
        <f t="shared" si="2"/>
      </c>
    </row>
  </sheetData>
  <mergeCells>
    <mergeCell ref="C61:I61"/>
  </mergeCells>
  <dataValidations count="1">
    <dataValidation allowBlank="true" errorStyle="stop" showErrorMessage="true" sqref="B2:B6 B8:B12 B14:B17 B19:B23 B25:B29 B31:B34 B36:B39 B41:B45 B47:B50" type="list">
      <formula1>"王硕硕,李紫瑞,刘杰宇,井欣阅,陈旭,于慧,李娜,栗敏纳"</formula1>
    </dataValidation>
  </dataValidation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2.64480633802817"/>
    <col collapsed="false" customWidth="true" hidden="false" max="8" min="8" style="0" width="11.211267605633802"/>
  </cols>
  <sheetData>
    <row r="1">
      <c r="A1" s="561" t="s">
        <v>1397</v>
      </c>
      <c r="B1" s="562" t="s">
        <v>1398</v>
      </c>
      <c r="C1" s="562" t="s">
        <v>1399</v>
      </c>
      <c r="D1" s="563" t="s">
        <v>1400</v>
      </c>
      <c r="E1" s="563" t="s">
        <v>1401</v>
      </c>
      <c r="F1" s="564" t="s">
        <v>1402</v>
      </c>
      <c r="G1" s="564" t="s">
        <v>1403</v>
      </c>
      <c r="H1" s="565" t="s">
        <v>1404</v>
      </c>
      <c r="I1" s="565" t="s">
        <v>1405</v>
      </c>
      <c r="J1" s="565" t="s">
        <v>1406</v>
      </c>
      <c r="K1" s="563" t="s">
        <v>1407</v>
      </c>
      <c r="L1" s="562" t="s">
        <v>1408</v>
      </c>
    </row>
    <row r="2">
      <c r="A2" s="566" t="s">
        <v>1409</v>
      </c>
      <c r="B2" s="567" t="s">
        <v>1410</v>
      </c>
      <c r="C2" s="568" t="s">
        <v>1411</v>
      </c>
      <c r="D2" s="569">
        <v>4</v>
      </c>
      <c r="E2" s="570">
        <v>16</v>
      </c>
      <c r="F2" s="571">
        <v>8064</v>
      </c>
      <c r="G2" s="571">
        <v>11482.749999999998</v>
      </c>
      <c r="H2" s="572">
        <f t="shared" ref="H2:H83" si="3">F2/G2</f>
      </c>
      <c r="I2" s="572">
        <f t="shared" ref="I2:I83" si="0">F2/E2</f>
      </c>
      <c r="J2" s="572">
        <f t="shared" ref="J2:J83" si="1">G2/E2</f>
      </c>
      <c r="K2" s="570">
        <v>7</v>
      </c>
      <c r="L2" s="573">
        <v>4054.7999999999993</v>
      </c>
    </row>
    <row r="3">
      <c r="A3" s="566" t="s">
        <v>1409</v>
      </c>
      <c r="B3" s="567" t="s">
        <v>1412</v>
      </c>
      <c r="C3" s="568" t="s">
        <v>1413</v>
      </c>
      <c r="D3" s="569">
        <v>4</v>
      </c>
      <c r="E3" s="570">
        <v>15</v>
      </c>
      <c r="F3" s="571">
        <v>15481</v>
      </c>
      <c r="G3" s="568">
        <v>15030.669999999998</v>
      </c>
      <c r="H3" s="572">
        <f t="shared" si="3"/>
      </c>
      <c r="I3" s="572">
        <f t="shared" si="0"/>
      </c>
      <c r="J3" s="572">
        <f t="shared" si="1"/>
      </c>
      <c r="K3" s="570">
        <v>4</v>
      </c>
      <c r="L3" s="573">
        <v>1731.6</v>
      </c>
    </row>
    <row r="4">
      <c r="A4" s="566" t="s">
        <v>1409</v>
      </c>
      <c r="B4" s="567" t="s">
        <v>1414</v>
      </c>
      <c r="C4" s="568" t="s">
        <v>1415</v>
      </c>
      <c r="D4" s="569">
        <v>4</v>
      </c>
      <c r="E4" s="570">
        <v>11</v>
      </c>
      <c r="F4" s="571">
        <v>8047.200000000002</v>
      </c>
      <c r="G4" s="571">
        <v>15366.98</v>
      </c>
      <c r="H4" s="572">
        <f t="shared" si="3"/>
      </c>
      <c r="I4" s="572">
        <f t="shared" si="0"/>
      </c>
      <c r="J4" s="572">
        <f t="shared" si="1"/>
      </c>
      <c r="K4" s="570">
        <v>0</v>
      </c>
      <c r="L4" s="573">
        <v>0</v>
      </c>
    </row>
    <row r="5">
      <c r="A5" s="566" t="s">
        <v>1409</v>
      </c>
      <c r="B5" s="567" t="s">
        <v>1416</v>
      </c>
      <c r="C5" s="568" t="s">
        <v>1417</v>
      </c>
      <c r="D5" s="569">
        <v>4</v>
      </c>
      <c r="E5" s="570">
        <v>9</v>
      </c>
      <c r="F5" s="574">
        <v>6724.799999999999</v>
      </c>
      <c r="G5" s="574">
        <v>13934.05</v>
      </c>
      <c r="H5" s="572">
        <f t="shared" si="3"/>
      </c>
      <c r="I5" s="572">
        <f t="shared" si="0"/>
      </c>
      <c r="J5" s="572">
        <f t="shared" si="1"/>
      </c>
      <c r="K5" s="570">
        <v>2</v>
      </c>
      <c r="L5" s="573">
        <v>810</v>
      </c>
    </row>
    <row r="6">
      <c r="A6" s="566" t="s">
        <v>1409</v>
      </c>
      <c r="B6" s="567" t="s">
        <v>1418</v>
      </c>
      <c r="C6" s="568" t="s">
        <v>1419</v>
      </c>
      <c r="D6" s="569">
        <v>4</v>
      </c>
      <c r="E6" s="570">
        <v>11</v>
      </c>
      <c r="F6" s="574">
        <v>8484</v>
      </c>
      <c r="G6" s="574">
        <v>8745.64</v>
      </c>
      <c r="H6" s="572">
        <f t="shared" si="3"/>
      </c>
      <c r="I6" s="572">
        <f t="shared" si="0"/>
      </c>
      <c r="J6" s="572">
        <f t="shared" si="1"/>
      </c>
      <c r="K6" s="570">
        <v>3</v>
      </c>
      <c r="L6" s="573">
        <v>1483.2000000000007</v>
      </c>
    </row>
    <row r="7">
      <c r="A7" s="575" t="s">
        <v>1409</v>
      </c>
      <c r="B7" s="576" t="s">
        <v>1420</v>
      </c>
      <c r="C7" s="576"/>
      <c r="D7" s="577">
        <f>SUM(D2:D6)</f>
      </c>
      <c r="E7" s="577">
        <f>SUM(E2:E6)</f>
      </c>
      <c r="F7" s="577">
        <f>SUM(F2:F6)</f>
      </c>
      <c r="G7" s="577">
        <f>SUM(G2:G6)</f>
      </c>
      <c r="H7" s="578">
        <f t="shared" si="3"/>
      </c>
      <c r="I7" s="578">
        <f t="shared" si="0"/>
      </c>
      <c r="J7" s="578">
        <f t="shared" si="1"/>
      </c>
      <c r="K7" s="577">
        <f>SUM(K2:K6)</f>
      </c>
      <c r="L7" s="577">
        <f>SUM(L2:L6)</f>
      </c>
    </row>
    <row r="8">
      <c r="A8" s="566" t="s">
        <v>1421</v>
      </c>
      <c r="B8" s="567" t="s">
        <v>1412</v>
      </c>
      <c r="C8" s="568" t="s">
        <v>1411</v>
      </c>
      <c r="D8" s="569">
        <v>4</v>
      </c>
      <c r="E8" s="570">
        <v>10</v>
      </c>
      <c r="F8" s="571">
        <v>17925.6</v>
      </c>
      <c r="G8" s="571">
        <v>11504.720000000001</v>
      </c>
      <c r="H8" s="572">
        <f t="shared" si="3"/>
      </c>
      <c r="I8" s="572">
        <f t="shared" si="0"/>
      </c>
      <c r="J8" s="572">
        <f t="shared" si="1"/>
      </c>
      <c r="K8" s="570">
        <v>1</v>
      </c>
      <c r="L8" s="573">
        <v>2467.2</v>
      </c>
    </row>
    <row r="9">
      <c r="A9" s="566" t="s">
        <v>1421</v>
      </c>
      <c r="B9" s="567" t="s">
        <v>1414</v>
      </c>
      <c r="C9" s="568" t="s">
        <v>1413</v>
      </c>
      <c r="D9" s="569">
        <v>4</v>
      </c>
      <c r="E9" s="570">
        <v>6</v>
      </c>
      <c r="F9" s="571">
        <v>6488.4</v>
      </c>
      <c r="G9" s="568">
        <v>11443.2</v>
      </c>
      <c r="H9" s="572">
        <f t="shared" si="3"/>
      </c>
      <c r="I9" s="572">
        <f t="shared" si="0"/>
      </c>
      <c r="J9" s="572">
        <f t="shared" si="1"/>
      </c>
      <c r="K9" s="570">
        <v>1</v>
      </c>
      <c r="L9" s="573">
        <v>2467.2</v>
      </c>
    </row>
    <row r="10">
      <c r="A10" s="566" t="s">
        <v>1421</v>
      </c>
      <c r="B10" s="567" t="s">
        <v>1416</v>
      </c>
      <c r="C10" s="568" t="s">
        <v>1415</v>
      </c>
      <c r="D10" s="569">
        <v>4</v>
      </c>
      <c r="E10" s="570">
        <v>13</v>
      </c>
      <c r="F10" s="571">
        <v>14785.199999999997</v>
      </c>
      <c r="G10" s="571">
        <v>10114.02</v>
      </c>
      <c r="H10" s="572">
        <f t="shared" si="3"/>
      </c>
      <c r="I10" s="572">
        <f t="shared" si="0"/>
      </c>
      <c r="J10" s="572">
        <f t="shared" si="1"/>
      </c>
      <c r="K10" s="570">
        <v>2</v>
      </c>
      <c r="L10" s="573">
        <v>1136.4</v>
      </c>
    </row>
    <row r="11">
      <c r="A11" s="566" t="s">
        <v>1421</v>
      </c>
      <c r="B11" s="567" t="s">
        <v>1418</v>
      </c>
      <c r="C11" s="568" t="s">
        <v>1417</v>
      </c>
      <c r="D11" s="569">
        <v>4</v>
      </c>
      <c r="E11" s="570">
        <v>17</v>
      </c>
      <c r="F11" s="574">
        <v>15257.200000000004</v>
      </c>
      <c r="G11" s="574">
        <v>10575.38</v>
      </c>
      <c r="H11" s="572">
        <f t="shared" si="3"/>
      </c>
      <c r="I11" s="572">
        <f t="shared" si="0"/>
      </c>
      <c r="J11" s="572">
        <f t="shared" si="1"/>
      </c>
      <c r="K11" s="570">
        <v>3</v>
      </c>
      <c r="L11" s="573">
        <v>2730</v>
      </c>
    </row>
    <row r="12">
      <c r="A12" s="566" t="s">
        <v>1421</v>
      </c>
      <c r="B12" s="567" t="s">
        <v>1410</v>
      </c>
      <c r="C12" s="568" t="s">
        <v>1419</v>
      </c>
      <c r="D12" s="569">
        <v>4</v>
      </c>
      <c r="E12" s="570">
        <v>14</v>
      </c>
      <c r="F12" s="574">
        <v>10653.599999999999</v>
      </c>
      <c r="G12" s="574">
        <v>15838.51</v>
      </c>
      <c r="H12" s="572">
        <f t="shared" si="3"/>
      </c>
      <c r="I12" s="572">
        <f t="shared" si="0"/>
      </c>
      <c r="J12" s="572">
        <f t="shared" si="1"/>
      </c>
      <c r="K12" s="570">
        <v>4</v>
      </c>
      <c r="L12" s="573">
        <v>2778</v>
      </c>
    </row>
    <row r="13">
      <c r="A13" s="575" t="s">
        <v>1421</v>
      </c>
      <c r="B13" s="576" t="s">
        <v>1420</v>
      </c>
      <c r="C13" s="576"/>
      <c r="D13" s="577">
        <f>SUM(D8:D12)</f>
      </c>
      <c r="E13" s="577">
        <f>SUM(E8:E12)</f>
      </c>
      <c r="F13" s="577">
        <f>SUM(F8:F12)</f>
      </c>
      <c r="G13" s="577">
        <f>SUM(G8:G12)</f>
      </c>
      <c r="H13" s="578">
        <f t="shared" si="3"/>
      </c>
      <c r="I13" s="578">
        <f t="shared" si="0"/>
      </c>
      <c r="J13" s="578">
        <f t="shared" si="1"/>
      </c>
      <c r="K13" s="577">
        <f>SUM(K8:K12)</f>
      </c>
      <c r="L13" s="577">
        <f>SUM(L8:L12)</f>
      </c>
    </row>
    <row r="14">
      <c r="A14" s="566" t="s">
        <v>1422</v>
      </c>
      <c r="B14" s="567" t="s">
        <v>1414</v>
      </c>
      <c r="C14" s="568" t="s">
        <v>1423</v>
      </c>
      <c r="D14" s="569">
        <v>5</v>
      </c>
      <c r="E14" s="570">
        <v>10</v>
      </c>
      <c r="F14" s="571">
        <v>9504</v>
      </c>
      <c r="G14" s="571">
        <v>16297.199999999999</v>
      </c>
      <c r="H14" s="572">
        <f t="shared" si="3"/>
      </c>
      <c r="I14" s="572">
        <f t="shared" si="0"/>
      </c>
      <c r="J14" s="572">
        <f t="shared" si="1"/>
      </c>
      <c r="K14" s="570">
        <v>3</v>
      </c>
      <c r="L14" s="573">
        <v>4658.4</v>
      </c>
    </row>
    <row r="15">
      <c r="A15" s="566" t="s">
        <v>1422</v>
      </c>
      <c r="B15" s="567" t="s">
        <v>1418</v>
      </c>
      <c r="C15" s="568" t="s">
        <v>1424</v>
      </c>
      <c r="D15" s="569">
        <v>5</v>
      </c>
      <c r="E15" s="570">
        <v>10</v>
      </c>
      <c r="F15" s="571">
        <v>8247.599999999999</v>
      </c>
      <c r="G15" s="568">
        <v>11740.54</v>
      </c>
      <c r="H15" s="572">
        <f t="shared" si="3"/>
      </c>
      <c r="I15" s="572">
        <f t="shared" si="0"/>
      </c>
      <c r="J15" s="572">
        <f t="shared" si="1"/>
      </c>
      <c r="K15" s="570">
        <v>2</v>
      </c>
      <c r="L15" s="573">
        <v>3036</v>
      </c>
    </row>
    <row r="16">
      <c r="A16" s="566" t="s">
        <v>1422</v>
      </c>
      <c r="B16" s="567" t="s">
        <v>1410</v>
      </c>
      <c r="C16" s="568" t="s">
        <v>1425</v>
      </c>
      <c r="D16" s="569">
        <v>5</v>
      </c>
      <c r="E16" s="570">
        <v>5</v>
      </c>
      <c r="F16" s="571">
        <v>5350.800000000003</v>
      </c>
      <c r="G16" s="571">
        <v>7610.78</v>
      </c>
      <c r="H16" s="572">
        <f t="shared" si="3"/>
      </c>
      <c r="I16" s="572">
        <f t="shared" si="0"/>
      </c>
      <c r="J16" s="572">
        <f t="shared" si="1"/>
      </c>
      <c r="K16" s="570">
        <v>2</v>
      </c>
      <c r="L16" s="573">
        <v>2143.2000000000007</v>
      </c>
    </row>
    <row r="17">
      <c r="A17" s="566" t="s">
        <v>1422</v>
      </c>
      <c r="B17" s="567" t="s">
        <v>1412</v>
      </c>
      <c r="C17" s="568" t="s">
        <v>1426</v>
      </c>
      <c r="D17" s="569">
        <v>5</v>
      </c>
      <c r="E17" s="570">
        <v>9</v>
      </c>
      <c r="F17" s="574">
        <v>9183</v>
      </c>
      <c r="G17" s="574">
        <v>7101.44</v>
      </c>
      <c r="H17" s="572">
        <f t="shared" si="3"/>
      </c>
      <c r="I17" s="572">
        <f t="shared" si="0"/>
      </c>
      <c r="J17" s="572">
        <f t="shared" si="1"/>
      </c>
      <c r="K17" s="570">
        <v>2</v>
      </c>
      <c r="L17" s="573">
        <v>1200</v>
      </c>
    </row>
    <row r="18">
      <c r="A18" s="575" t="s">
        <v>1422</v>
      </c>
      <c r="B18" s="576" t="s">
        <v>1420</v>
      </c>
      <c r="C18" s="576"/>
      <c r="D18" s="577">
        <f>SUM(D14:D17)</f>
      </c>
      <c r="E18" s="577">
        <f>SUM(E14:E17)</f>
      </c>
      <c r="F18" s="577">
        <f>SUM(F14:F17)</f>
      </c>
      <c r="G18" s="577">
        <f>SUM(G14:G17)</f>
      </c>
      <c r="H18" s="578">
        <f t="shared" si="3"/>
      </c>
      <c r="I18" s="578">
        <f t="shared" si="0"/>
      </c>
      <c r="J18" s="578">
        <f t="shared" si="1"/>
      </c>
      <c r="K18" s="577">
        <f>SUM(K14:K17)</f>
      </c>
      <c r="L18" s="577">
        <f>SUM(L14:L17)</f>
      </c>
    </row>
    <row r="19">
      <c r="A19" s="566" t="s">
        <v>1427</v>
      </c>
      <c r="B19" s="567" t="s">
        <v>1414</v>
      </c>
      <c r="C19" s="568" t="s">
        <v>1411</v>
      </c>
      <c r="D19" s="569">
        <v>4</v>
      </c>
      <c r="E19" s="570">
        <v>7</v>
      </c>
      <c r="F19" s="571">
        <v>8593</v>
      </c>
      <c r="G19" s="571">
        <v>5861.820000000001</v>
      </c>
      <c r="H19" s="572">
        <f t="shared" si="3"/>
      </c>
      <c r="I19" s="572">
        <f t="shared" si="0"/>
      </c>
      <c r="J19" s="572">
        <f t="shared" si="1"/>
      </c>
      <c r="K19" s="570">
        <v>3</v>
      </c>
      <c r="L19" s="573">
        <v>3327.4</v>
      </c>
    </row>
    <row r="20">
      <c r="A20" s="566" t="s">
        <v>1427</v>
      </c>
      <c r="B20" s="567" t="s">
        <v>1416</v>
      </c>
      <c r="C20" s="568" t="s">
        <v>1413</v>
      </c>
      <c r="D20" s="569">
        <v>4</v>
      </c>
      <c r="E20" s="570">
        <v>10</v>
      </c>
      <c r="F20" s="571">
        <v>6960.8</v>
      </c>
      <c r="G20" s="568">
        <v>9782.410000000002</v>
      </c>
      <c r="H20" s="572">
        <f t="shared" si="3"/>
      </c>
      <c r="I20" s="572">
        <f t="shared" si="0"/>
      </c>
      <c r="J20" s="572">
        <f t="shared" si="1"/>
      </c>
      <c r="K20" s="570">
        <v>2</v>
      </c>
      <c r="L20" s="573">
        <v>1973</v>
      </c>
    </row>
    <row r="21">
      <c r="A21" s="566" t="s">
        <v>1427</v>
      </c>
      <c r="B21" s="567" t="s">
        <v>1418</v>
      </c>
      <c r="C21" s="568" t="s">
        <v>1415</v>
      </c>
      <c r="D21" s="569">
        <v>4</v>
      </c>
      <c r="E21" s="570">
        <v>18</v>
      </c>
      <c r="F21" s="571">
        <v>19593.4</v>
      </c>
      <c r="G21" s="571">
        <v>12531.670000000002</v>
      </c>
      <c r="H21" s="572">
        <f t="shared" si="3"/>
      </c>
      <c r="I21" s="572">
        <f t="shared" si="0"/>
      </c>
      <c r="J21" s="572">
        <f t="shared" si="1"/>
      </c>
      <c r="K21" s="570">
        <v>5</v>
      </c>
      <c r="L21" s="573">
        <v>4534.6</v>
      </c>
    </row>
    <row r="22">
      <c r="A22" s="566" t="s">
        <v>1427</v>
      </c>
      <c r="B22" s="567" t="s">
        <v>1412</v>
      </c>
      <c r="C22" s="568" t="s">
        <v>1417</v>
      </c>
      <c r="D22" s="569">
        <v>4</v>
      </c>
      <c r="E22" s="570">
        <v>9</v>
      </c>
      <c r="F22" s="574">
        <v>8279.799999999996</v>
      </c>
      <c r="G22" s="574">
        <v>10919.37</v>
      </c>
      <c r="H22" s="572">
        <f t="shared" si="3"/>
      </c>
      <c r="I22" s="572">
        <f t="shared" si="0"/>
      </c>
      <c r="J22" s="572">
        <f t="shared" si="1"/>
      </c>
      <c r="K22" s="570">
        <v>1</v>
      </c>
      <c r="L22" s="573">
        <v>420</v>
      </c>
    </row>
    <row r="23">
      <c r="A23" s="566" t="s">
        <v>1427</v>
      </c>
      <c r="B23" s="567" t="s">
        <v>1410</v>
      </c>
      <c r="C23" s="568" t="s">
        <v>1419</v>
      </c>
      <c r="D23" s="569">
        <v>4</v>
      </c>
      <c r="E23" s="570">
        <v>14</v>
      </c>
      <c r="F23" s="574">
        <v>20482.6</v>
      </c>
      <c r="G23" s="574">
        <v>10275.67</v>
      </c>
      <c r="H23" s="572">
        <f t="shared" si="3"/>
      </c>
      <c r="I23" s="572">
        <f t="shared" si="0"/>
      </c>
      <c r="J23" s="572">
        <f t="shared" si="1"/>
      </c>
      <c r="K23" s="570">
        <v>4</v>
      </c>
      <c r="L23" s="573">
        <v>4142.4</v>
      </c>
    </row>
    <row r="24">
      <c r="A24" s="575" t="s">
        <v>1427</v>
      </c>
      <c r="B24" s="576" t="s">
        <v>1420</v>
      </c>
      <c r="C24" s="576"/>
      <c r="D24" s="577">
        <f>SUM(D19:D23)</f>
      </c>
      <c r="E24" s="577">
        <f>SUM(E19:E23)</f>
      </c>
      <c r="F24" s="577">
        <f>SUM(F19:F23)</f>
      </c>
      <c r="G24" s="577">
        <f>SUM(G19:G23)</f>
      </c>
      <c r="H24" s="578">
        <f t="shared" si="3"/>
      </c>
      <c r="I24" s="578">
        <f t="shared" si="0"/>
      </c>
      <c r="J24" s="578">
        <f t="shared" si="1"/>
      </c>
      <c r="K24" s="577">
        <f>SUM(K19:K23)</f>
      </c>
      <c r="L24" s="577">
        <f>SUM(L19:L23)</f>
      </c>
    </row>
    <row r="25">
      <c r="A25" s="566" t="s">
        <v>1428</v>
      </c>
      <c r="B25" s="567" t="s">
        <v>1414</v>
      </c>
      <c r="C25" s="568" t="s">
        <v>1411</v>
      </c>
      <c r="D25" s="569">
        <v>4</v>
      </c>
      <c r="E25" s="570">
        <v>11</v>
      </c>
      <c r="F25" s="571">
        <v>15172.399999999998</v>
      </c>
      <c r="G25" s="571">
        <v>11733.01</v>
      </c>
      <c r="H25" s="572">
        <f t="shared" si="3"/>
      </c>
      <c r="I25" s="572">
        <f t="shared" si="0"/>
      </c>
      <c r="J25" s="572">
        <f t="shared" si="1"/>
      </c>
      <c r="K25" s="570">
        <v>1</v>
      </c>
      <c r="L25" s="573">
        <v>2971.2</v>
      </c>
    </row>
    <row r="26">
      <c r="A26" s="566" t="s">
        <v>1428</v>
      </c>
      <c r="B26" s="567" t="s">
        <v>1416</v>
      </c>
      <c r="C26" s="568" t="s">
        <v>1413</v>
      </c>
      <c r="D26" s="569">
        <v>4</v>
      </c>
      <c r="E26" s="570">
        <v>15</v>
      </c>
      <c r="F26" s="571">
        <v>13225.199999999999</v>
      </c>
      <c r="G26" s="568">
        <v>13346.02</v>
      </c>
      <c r="H26" s="572">
        <f t="shared" si="3"/>
      </c>
      <c r="I26" s="572">
        <f t="shared" si="0"/>
      </c>
      <c r="J26" s="572">
        <f t="shared" si="1"/>
      </c>
      <c r="K26" s="570">
        <v>6</v>
      </c>
      <c r="L26" s="573">
        <v>4000.8000000000006</v>
      </c>
    </row>
    <row r="27">
      <c r="A27" s="566" t="s">
        <v>1428</v>
      </c>
      <c r="B27" s="567" t="s">
        <v>1418</v>
      </c>
      <c r="C27" s="568" t="s">
        <v>1415</v>
      </c>
      <c r="D27" s="569">
        <v>4</v>
      </c>
      <c r="E27" s="570">
        <v>17</v>
      </c>
      <c r="F27" s="571">
        <v>14123.800000000003</v>
      </c>
      <c r="G27" s="571">
        <v>15876.57</v>
      </c>
      <c r="H27" s="572">
        <f t="shared" si="3"/>
      </c>
      <c r="I27" s="572">
        <f t="shared" si="0"/>
      </c>
      <c r="J27" s="572">
        <f t="shared" si="1"/>
      </c>
      <c r="K27" s="570">
        <v>3</v>
      </c>
      <c r="L27" s="573">
        <v>1888.7999999999995</v>
      </c>
    </row>
    <row r="28">
      <c r="A28" s="566" t="s">
        <v>1428</v>
      </c>
      <c r="B28" s="567" t="s">
        <v>1410</v>
      </c>
      <c r="C28" s="568" t="s">
        <v>1417</v>
      </c>
      <c r="D28" s="569">
        <v>4</v>
      </c>
      <c r="E28" s="570">
        <v>9</v>
      </c>
      <c r="F28" s="574">
        <v>5749.200000000004</v>
      </c>
      <c r="G28" s="574">
        <v>14648.52</v>
      </c>
      <c r="H28" s="572">
        <f t="shared" si="3"/>
      </c>
      <c r="I28" s="572">
        <f t="shared" si="0"/>
      </c>
      <c r="J28" s="572">
        <f t="shared" si="1"/>
      </c>
      <c r="K28" s="570">
        <v>1</v>
      </c>
      <c r="L28" s="573">
        <v>560.4000000000015</v>
      </c>
    </row>
    <row r="29">
      <c r="A29" s="566" t="s">
        <v>1428</v>
      </c>
      <c r="B29" s="567" t="s">
        <v>1412</v>
      </c>
      <c r="C29" s="568" t="s">
        <v>1419</v>
      </c>
      <c r="D29" s="569">
        <v>4</v>
      </c>
      <c r="E29" s="570">
        <v>11</v>
      </c>
      <c r="F29" s="574">
        <v>15213.599999999991</v>
      </c>
      <c r="G29" s="574">
        <v>12138.59</v>
      </c>
      <c r="H29" s="572">
        <f t="shared" si="3"/>
      </c>
      <c r="I29" s="572">
        <f t="shared" si="0"/>
      </c>
      <c r="J29" s="572">
        <f t="shared" si="1"/>
      </c>
      <c r="K29" s="570">
        <v>2</v>
      </c>
      <c r="L29" s="573">
        <v>4538.399999999998</v>
      </c>
    </row>
    <row r="30">
      <c r="A30" s="575" t="s">
        <v>1428</v>
      </c>
      <c r="B30" s="576" t="s">
        <v>1420</v>
      </c>
      <c r="C30" s="576"/>
      <c r="D30" s="577">
        <f>SUM(D25:D29)</f>
      </c>
      <c r="E30" s="577">
        <f>SUM(E25:E29)</f>
      </c>
      <c r="F30" s="577">
        <f>SUM(F25:F29)</f>
      </c>
      <c r="G30" s="577">
        <f>SUM(G25:G29)</f>
      </c>
      <c r="H30" s="578">
        <f t="shared" si="3"/>
      </c>
      <c r="I30" s="578">
        <f t="shared" si="0"/>
      </c>
      <c r="J30" s="578">
        <f t="shared" si="1"/>
      </c>
      <c r="K30" s="577">
        <f>SUM(K25:K29)</f>
      </c>
      <c r="L30" s="577">
        <f>SUM(L25:L29)</f>
      </c>
    </row>
    <row r="31">
      <c r="A31" s="566" t="s">
        <v>1429</v>
      </c>
      <c r="B31" s="567" t="s">
        <v>1416</v>
      </c>
      <c r="C31" s="568" t="s">
        <v>1423</v>
      </c>
      <c r="D31" s="569">
        <v>5</v>
      </c>
      <c r="E31" s="570">
        <v>10</v>
      </c>
      <c r="F31" s="571">
        <v>9321.2</v>
      </c>
      <c r="G31" s="571">
        <v>10034.380000000001</v>
      </c>
      <c r="H31" s="572">
        <f t="shared" si="3"/>
      </c>
      <c r="I31" s="572">
        <f t="shared" si="0"/>
      </c>
      <c r="J31" s="572">
        <f t="shared" si="1"/>
      </c>
      <c r="K31" s="570">
        <v>4</v>
      </c>
      <c r="L31" s="573">
        <v>3354</v>
      </c>
    </row>
    <row r="32">
      <c r="A32" s="566" t="s">
        <v>1429</v>
      </c>
      <c r="B32" s="567" t="s">
        <v>1418</v>
      </c>
      <c r="C32" s="568" t="s">
        <v>1424</v>
      </c>
      <c r="D32" s="569">
        <v>5</v>
      </c>
      <c r="E32" s="570">
        <v>8</v>
      </c>
      <c r="F32" s="571">
        <v>12526.599999999999</v>
      </c>
      <c r="G32" s="568">
        <v>9290.819999999998</v>
      </c>
      <c r="H32" s="572">
        <f t="shared" si="3"/>
      </c>
      <c r="I32" s="572">
        <f t="shared" si="0"/>
      </c>
      <c r="J32" s="572">
        <f t="shared" si="1"/>
      </c>
      <c r="K32" s="570">
        <v>2</v>
      </c>
      <c r="L32" s="573">
        <v>2574</v>
      </c>
    </row>
    <row r="33">
      <c r="A33" s="566" t="s">
        <v>1429</v>
      </c>
      <c r="B33" s="567" t="s">
        <v>1410</v>
      </c>
      <c r="C33" s="568" t="s">
        <v>1425</v>
      </c>
      <c r="D33" s="569">
        <v>5</v>
      </c>
      <c r="E33" s="570">
        <v>7</v>
      </c>
      <c r="F33" s="571">
        <v>5722.4000000000015</v>
      </c>
      <c r="G33" s="571">
        <v>4699.67</v>
      </c>
      <c r="H33" s="572">
        <f t="shared" si="3"/>
      </c>
      <c r="I33" s="572">
        <f t="shared" si="0"/>
      </c>
      <c r="J33" s="572">
        <f t="shared" si="1"/>
      </c>
      <c r="K33" s="570">
        <v>2</v>
      </c>
      <c r="L33" s="573">
        <v>2370</v>
      </c>
    </row>
    <row r="34">
      <c r="A34" s="566" t="s">
        <v>1429</v>
      </c>
      <c r="B34" s="567" t="s">
        <v>1412</v>
      </c>
      <c r="C34" s="568" t="s">
        <v>1426</v>
      </c>
      <c r="D34" s="569">
        <v>5</v>
      </c>
      <c r="E34" s="570">
        <v>15</v>
      </c>
      <c r="F34" s="574">
        <v>19644.399999999998</v>
      </c>
      <c r="G34" s="574">
        <v>15568.98</v>
      </c>
      <c r="H34" s="572">
        <f t="shared" si="3"/>
      </c>
      <c r="I34" s="572">
        <f t="shared" si="0"/>
      </c>
      <c r="J34" s="572">
        <f t="shared" si="1"/>
      </c>
      <c r="K34" s="570">
        <v>2</v>
      </c>
      <c r="L34" s="573">
        <v>1867.2000000000007</v>
      </c>
    </row>
    <row r="35">
      <c r="A35" s="575" t="s">
        <v>1429</v>
      </c>
      <c r="B35" s="576" t="s">
        <v>1420</v>
      </c>
      <c r="C35" s="576"/>
      <c r="D35" s="577">
        <f>SUM(D31:D34)</f>
      </c>
      <c r="E35" s="577">
        <f>SUM(E31:E34)</f>
      </c>
      <c r="F35" s="577">
        <f>SUM(F31:F34)</f>
      </c>
      <c r="G35" s="577">
        <f>SUM(G31:G34)</f>
      </c>
      <c r="H35" s="578">
        <f t="shared" si="3"/>
      </c>
      <c r="I35" s="578">
        <f t="shared" si="0"/>
      </c>
      <c r="J35" s="578">
        <f t="shared" si="1"/>
      </c>
      <c r="K35" s="577">
        <f>SUM(K31:K34)</f>
      </c>
      <c r="L35" s="577">
        <f>SUM(L31:L34)</f>
      </c>
    </row>
    <row r="36">
      <c r="A36" s="566" t="s">
        <v>1430</v>
      </c>
      <c r="B36" s="567" t="s">
        <v>1416</v>
      </c>
      <c r="C36" s="568" t="s">
        <v>1411</v>
      </c>
      <c r="D36" s="569">
        <v>4</v>
      </c>
      <c r="E36" s="570">
        <v>11</v>
      </c>
      <c r="F36" s="571">
        <v>7853.4</v>
      </c>
      <c r="G36" s="571">
        <v>8867.05</v>
      </c>
      <c r="H36" s="572">
        <f t="shared" si="3"/>
      </c>
      <c r="I36" s="572">
        <f t="shared" si="0"/>
      </c>
      <c r="J36" s="572">
        <f t="shared" si="1"/>
      </c>
      <c r="K36" s="570">
        <v>2</v>
      </c>
      <c r="L36" s="573">
        <v>3812</v>
      </c>
    </row>
    <row r="37">
      <c r="A37" s="566" t="s">
        <v>1430</v>
      </c>
      <c r="B37" s="567" t="s">
        <v>1418</v>
      </c>
      <c r="C37" s="568" t="s">
        <v>1413</v>
      </c>
      <c r="D37" s="569">
        <v>4</v>
      </c>
      <c r="E37" s="570">
        <v>6</v>
      </c>
      <c r="F37" s="571">
        <v>5778</v>
      </c>
      <c r="G37" s="568">
        <v>11738.5</v>
      </c>
      <c r="H37" s="572">
        <f t="shared" si="3"/>
      </c>
      <c r="I37" s="572">
        <f t="shared" si="0"/>
      </c>
      <c r="J37" s="572">
        <f t="shared" si="1"/>
      </c>
      <c r="K37" s="570">
        <v>0</v>
      </c>
      <c r="L37" s="573">
        <v>0</v>
      </c>
    </row>
    <row r="38">
      <c r="A38" s="566" t="s">
        <v>1430</v>
      </c>
      <c r="B38" s="567" t="s">
        <v>1410</v>
      </c>
      <c r="C38" s="568" t="s">
        <v>1415</v>
      </c>
      <c r="D38" s="569">
        <v>4</v>
      </c>
      <c r="E38" s="570">
        <v>3</v>
      </c>
      <c r="F38" s="571">
        <v>2241.6000000000004</v>
      </c>
      <c r="G38" s="571">
        <v>8862.3</v>
      </c>
      <c r="H38" s="572">
        <f t="shared" si="3"/>
      </c>
      <c r="I38" s="572">
        <f t="shared" si="0"/>
      </c>
      <c r="J38" s="572">
        <f t="shared" si="1"/>
      </c>
      <c r="K38" s="570">
        <v>0</v>
      </c>
      <c r="L38" s="573">
        <v>0</v>
      </c>
    </row>
    <row r="39">
      <c r="A39" s="566" t="s">
        <v>1430</v>
      </c>
      <c r="B39" s="567" t="s">
        <v>1412</v>
      </c>
      <c r="C39" s="568" t="s">
        <v>1417</v>
      </c>
      <c r="D39" s="569">
        <v>4</v>
      </c>
      <c r="E39" s="570">
        <v>1</v>
      </c>
      <c r="F39" s="574">
        <v>396</v>
      </c>
      <c r="G39" s="574">
        <v>3202.11</v>
      </c>
      <c r="H39" s="572">
        <f t="shared" si="3"/>
      </c>
      <c r="I39" s="572">
        <f t="shared" si="0"/>
      </c>
      <c r="J39" s="572">
        <f t="shared" si="1"/>
      </c>
      <c r="K39" s="570">
        <v>0</v>
      </c>
      <c r="L39" s="573">
        <v>0</v>
      </c>
    </row>
    <row r="40">
      <c r="A40" s="575" t="s">
        <v>1430</v>
      </c>
      <c r="B40" s="576" t="s">
        <v>1420</v>
      </c>
      <c r="C40" s="576"/>
      <c r="D40" s="577">
        <f>SUM(D36:D39)</f>
      </c>
      <c r="E40" s="577">
        <f>SUM(E36:E39)</f>
      </c>
      <c r="F40" s="577">
        <f>SUM(F36:F39)</f>
      </c>
      <c r="G40" s="577">
        <f>SUM(G36:G39)</f>
      </c>
      <c r="H40" s="578">
        <f t="shared" si="3"/>
      </c>
      <c r="I40" s="578">
        <f t="shared" si="0"/>
      </c>
      <c r="J40" s="578">
        <f t="shared" si="1"/>
      </c>
      <c r="K40" s="577">
        <f>SUM(K36:K39)</f>
      </c>
      <c r="L40" s="577">
        <f>SUM(L36:L39)</f>
      </c>
    </row>
    <row r="41">
      <c r="A41" s="566" t="s">
        <v>1431</v>
      </c>
      <c r="B41" s="567" t="s">
        <v>1418</v>
      </c>
      <c r="C41" s="568" t="s">
        <v>1411</v>
      </c>
      <c r="D41" s="569">
        <v>4</v>
      </c>
      <c r="E41" s="570">
        <v>5</v>
      </c>
      <c r="F41" s="571">
        <v>2745.2</v>
      </c>
      <c r="G41" s="571">
        <v>6107.900000000001</v>
      </c>
      <c r="H41" s="572">
        <f t="shared" si="3"/>
      </c>
      <c r="I41" s="572">
        <f t="shared" si="0"/>
      </c>
      <c r="J41" s="572">
        <f t="shared" si="1"/>
      </c>
      <c r="K41" s="570">
        <v>1</v>
      </c>
      <c r="L41" s="573">
        <v>396</v>
      </c>
    </row>
    <row r="42">
      <c r="A42" s="566" t="s">
        <v>1431</v>
      </c>
      <c r="B42" s="567" t="s">
        <v>1410</v>
      </c>
      <c r="C42" s="568" t="s">
        <v>1413</v>
      </c>
      <c r="D42" s="569">
        <v>4</v>
      </c>
      <c r="E42" s="570">
        <v>6</v>
      </c>
      <c r="F42" s="571">
        <v>5587.000000000001</v>
      </c>
      <c r="G42" s="568">
        <v>5860.41</v>
      </c>
      <c r="H42" s="572">
        <f t="shared" si="3"/>
      </c>
      <c r="I42" s="572">
        <f t="shared" si="0"/>
      </c>
      <c r="J42" s="572">
        <f t="shared" si="1"/>
      </c>
      <c r="K42" s="570">
        <v>1</v>
      </c>
      <c r="L42" s="573">
        <v>560.4</v>
      </c>
    </row>
    <row r="43">
      <c r="A43" s="566" t="s">
        <v>1431</v>
      </c>
      <c r="B43" s="567" t="s">
        <v>1412</v>
      </c>
      <c r="C43" s="568" t="s">
        <v>1415</v>
      </c>
      <c r="D43" s="569">
        <v>4</v>
      </c>
      <c r="E43" s="570">
        <v>13</v>
      </c>
      <c r="F43" s="571">
        <v>14295.2</v>
      </c>
      <c r="G43" s="571">
        <v>12750.169999999998</v>
      </c>
      <c r="H43" s="572">
        <f t="shared" si="3"/>
      </c>
      <c r="I43" s="572">
        <f t="shared" si="0"/>
      </c>
      <c r="J43" s="572">
        <f t="shared" si="1"/>
      </c>
      <c r="K43" s="570">
        <v>4</v>
      </c>
      <c r="L43" s="573">
        <v>6569.6</v>
      </c>
    </row>
    <row r="44">
      <c r="A44" s="566" t="s">
        <v>1431</v>
      </c>
      <c r="B44" s="567" t="s">
        <v>1414</v>
      </c>
      <c r="C44" s="568" t="s">
        <v>1417</v>
      </c>
      <c r="D44" s="569">
        <v>4</v>
      </c>
      <c r="E44" s="570">
        <v>6</v>
      </c>
      <c r="F44" s="574">
        <v>7569.5999999999985</v>
      </c>
      <c r="G44" s="574">
        <v>4820.64</v>
      </c>
      <c r="H44" s="572">
        <f t="shared" si="3"/>
      </c>
      <c r="I44" s="572">
        <f t="shared" si="0"/>
      </c>
      <c r="J44" s="572">
        <f t="shared" si="1"/>
      </c>
      <c r="K44" s="570">
        <v>0</v>
      </c>
      <c r="L44" s="573">
        <v>0</v>
      </c>
    </row>
    <row r="45">
      <c r="A45" s="566" t="s">
        <v>1431</v>
      </c>
      <c r="B45" s="567" t="s">
        <v>1416</v>
      </c>
      <c r="C45" s="568" t="s">
        <v>1419</v>
      </c>
      <c r="D45" s="569">
        <v>4</v>
      </c>
      <c r="E45" s="570">
        <v>5</v>
      </c>
      <c r="F45" s="574">
        <v>3475.199999999997</v>
      </c>
      <c r="G45" s="574">
        <v>5551.25</v>
      </c>
      <c r="H45" s="572">
        <f t="shared" si="3"/>
      </c>
      <c r="I45" s="572">
        <f t="shared" si="0"/>
      </c>
      <c r="J45" s="572">
        <f t="shared" si="1"/>
      </c>
      <c r="K45" s="570">
        <v>1</v>
      </c>
      <c r="L45" s="573">
        <v>715.2000000000007</v>
      </c>
    </row>
    <row r="46">
      <c r="A46" s="575" t="s">
        <v>1431</v>
      </c>
      <c r="B46" s="576" t="s">
        <v>1420</v>
      </c>
      <c r="C46" s="576"/>
      <c r="D46" s="577">
        <f>SUM(D41:D45)</f>
      </c>
      <c r="E46" s="577">
        <f>SUM(E41:E45)</f>
      </c>
      <c r="F46" s="577">
        <f>SUM(F41:F45)</f>
      </c>
      <c r="G46" s="577">
        <f>SUM(G41:G45)</f>
      </c>
      <c r="H46" s="578">
        <f t="shared" si="3"/>
      </c>
      <c r="I46" s="578">
        <f t="shared" si="0"/>
      </c>
      <c r="J46" s="578">
        <f t="shared" si="1"/>
      </c>
      <c r="K46" s="577">
        <f>SUM(K41:K45)</f>
      </c>
      <c r="L46" s="577">
        <f>SUM(L41:L45)</f>
      </c>
    </row>
    <row r="47">
      <c r="A47" s="566" t="s">
        <v>1432</v>
      </c>
      <c r="B47" s="567" t="s">
        <v>1418</v>
      </c>
      <c r="C47" s="568" t="s">
        <v>1423</v>
      </c>
      <c r="D47" s="569">
        <v>5</v>
      </c>
      <c r="E47" s="570">
        <v>15</v>
      </c>
      <c r="F47" s="571">
        <v>22773.8</v>
      </c>
      <c r="G47" s="571">
        <v>15608.71</v>
      </c>
      <c r="H47" s="572">
        <f t="shared" si="3"/>
      </c>
      <c r="I47" s="572">
        <f t="shared" si="0"/>
      </c>
      <c r="J47" s="572">
        <f t="shared" si="1"/>
      </c>
      <c r="K47" s="570">
        <v>2</v>
      </c>
      <c r="L47" s="573">
        <v>3021</v>
      </c>
    </row>
    <row r="48">
      <c r="A48" s="566" t="s">
        <v>1432</v>
      </c>
      <c r="B48" s="567" t="s">
        <v>1412</v>
      </c>
      <c r="C48" s="568" t="s">
        <v>1424</v>
      </c>
      <c r="D48" s="569">
        <v>5</v>
      </c>
      <c r="E48" s="570">
        <v>11</v>
      </c>
      <c r="F48" s="571">
        <v>11091.600000000004</v>
      </c>
      <c r="G48" s="568">
        <v>14327.43</v>
      </c>
      <c r="H48" s="572">
        <f t="shared" si="3"/>
      </c>
      <c r="I48" s="572">
        <f t="shared" si="0"/>
      </c>
      <c r="J48" s="572">
        <f t="shared" si="1"/>
      </c>
      <c r="K48" s="570">
        <v>4</v>
      </c>
      <c r="L48" s="573">
        <v>2058</v>
      </c>
    </row>
    <row r="49">
      <c r="A49" s="566" t="s">
        <v>1432</v>
      </c>
      <c r="B49" s="567" t="s">
        <v>1414</v>
      </c>
      <c r="C49" s="568" t="s">
        <v>1425</v>
      </c>
      <c r="D49" s="569">
        <v>5</v>
      </c>
      <c r="E49" s="570">
        <v>14</v>
      </c>
      <c r="F49" s="571">
        <v>16387.199999999997</v>
      </c>
      <c r="G49" s="571">
        <v>15804.869999999999</v>
      </c>
      <c r="H49" s="572">
        <f t="shared" si="3"/>
      </c>
      <c r="I49" s="572">
        <f t="shared" si="0"/>
      </c>
      <c r="J49" s="572">
        <f t="shared" si="1"/>
      </c>
      <c r="K49" s="570">
        <v>5</v>
      </c>
      <c r="L49" s="573">
        <v>5406</v>
      </c>
    </row>
    <row r="50">
      <c r="A50" s="566" t="s">
        <v>1432</v>
      </c>
      <c r="B50" s="567" t="s">
        <v>1416</v>
      </c>
      <c r="C50" s="568" t="s">
        <v>1426</v>
      </c>
      <c r="D50" s="569">
        <v>5</v>
      </c>
      <c r="E50" s="570">
        <v>9</v>
      </c>
      <c r="F50" s="574">
        <v>4492.599999999991</v>
      </c>
      <c r="G50" s="574">
        <v>11139.949999999999</v>
      </c>
      <c r="H50" s="572">
        <f t="shared" si="3"/>
      </c>
      <c r="I50" s="572">
        <f t="shared" si="0"/>
      </c>
      <c r="J50" s="572">
        <f t="shared" si="1"/>
      </c>
      <c r="K50" s="570">
        <v>0</v>
      </c>
      <c r="L50" s="573">
        <v>0</v>
      </c>
    </row>
    <row r="51">
      <c r="A51" s="575" t="s">
        <v>1432</v>
      </c>
      <c r="B51" s="576" t="s">
        <v>1420</v>
      </c>
      <c r="C51" s="576"/>
      <c r="D51" s="577">
        <f>SUM(D47:D50)</f>
      </c>
      <c r="E51" s="577">
        <f>SUM(E47:E50)</f>
      </c>
      <c r="F51" s="577">
        <f>SUM(F47:F50)</f>
      </c>
      <c r="G51" s="577">
        <f>SUM(G47:G50)</f>
      </c>
      <c r="H51" s="578">
        <f t="shared" si="3"/>
      </c>
      <c r="I51" s="578">
        <f t="shared" si="0"/>
      </c>
      <c r="J51" s="578">
        <f t="shared" si="1"/>
      </c>
      <c r="K51" s="577">
        <f>SUM(K47:K50)</f>
      </c>
      <c r="L51" s="577">
        <f>SUM(L47:L50)</f>
      </c>
    </row>
    <row r="52">
      <c r="A52" s="566" t="s">
        <v>1433</v>
      </c>
      <c r="B52" s="567" t="s">
        <v>1412</v>
      </c>
      <c r="C52" s="568" t="s">
        <v>1423</v>
      </c>
      <c r="D52" s="569">
        <v>5</v>
      </c>
      <c r="E52" s="570">
        <v>6</v>
      </c>
      <c r="F52" s="571">
        <v>2160</v>
      </c>
      <c r="G52" s="571">
        <v>6994.14</v>
      </c>
      <c r="H52" s="572">
        <f t="shared" si="3"/>
      </c>
      <c r="I52" s="572">
        <f t="shared" si="0"/>
      </c>
      <c r="J52" s="572">
        <f t="shared" si="1"/>
      </c>
      <c r="K52" s="570">
        <v>1</v>
      </c>
      <c r="L52" s="573">
        <v>187.2</v>
      </c>
    </row>
    <row r="53">
      <c r="A53" s="566" t="s">
        <v>1433</v>
      </c>
      <c r="B53" s="567" t="s">
        <v>1414</v>
      </c>
      <c r="C53" s="568" t="s">
        <v>1424</v>
      </c>
      <c r="D53" s="569">
        <v>5</v>
      </c>
      <c r="E53" s="570">
        <v>17</v>
      </c>
      <c r="F53" s="571">
        <v>10467.400000000001</v>
      </c>
      <c r="G53" s="568">
        <v>13873.190000000002</v>
      </c>
      <c r="H53" s="572">
        <f t="shared" si="3"/>
      </c>
      <c r="I53" s="572">
        <f t="shared" si="0"/>
      </c>
      <c r="J53" s="572">
        <f t="shared" si="1"/>
      </c>
      <c r="K53" s="570">
        <v>8</v>
      </c>
      <c r="L53" s="573">
        <v>5078.4</v>
      </c>
    </row>
    <row r="54">
      <c r="A54" s="566" t="s">
        <v>1433</v>
      </c>
      <c r="B54" s="567" t="s">
        <v>1416</v>
      </c>
      <c r="C54" s="568" t="s">
        <v>1425</v>
      </c>
      <c r="D54" s="569">
        <v>5</v>
      </c>
      <c r="E54" s="570">
        <v>13</v>
      </c>
      <c r="F54" s="571">
        <v>9189.6</v>
      </c>
      <c r="G54" s="571">
        <v>15824.859999999999</v>
      </c>
      <c r="H54" s="572">
        <f t="shared" si="3"/>
      </c>
      <c r="I54" s="572">
        <f t="shared" si="0"/>
      </c>
      <c r="J54" s="572">
        <f t="shared" si="1"/>
      </c>
      <c r="K54" s="570">
        <v>3</v>
      </c>
      <c r="L54" s="573">
        <v>2235.6</v>
      </c>
    </row>
    <row r="55">
      <c r="A55" s="575" t="s">
        <v>1433</v>
      </c>
      <c r="B55" s="576" t="s">
        <v>1420</v>
      </c>
      <c r="C55" s="576"/>
      <c r="D55" s="577">
        <f>SUM(D52:D54)</f>
      </c>
      <c r="E55" s="577">
        <f>SUM(E52:E54)</f>
      </c>
      <c r="F55" s="577">
        <f>SUM(F52:F54)</f>
      </c>
      <c r="G55" s="577">
        <f>SUM(G52:G54)</f>
      </c>
      <c r="H55" s="578">
        <f t="shared" si="3"/>
      </c>
      <c r="I55" s="578">
        <f t="shared" si="0"/>
      </c>
      <c r="J55" s="578">
        <f t="shared" si="1"/>
      </c>
      <c r="K55" s="577">
        <f>SUM(K52:K54)</f>
      </c>
      <c r="L55" s="577">
        <f>SUM(L52:L54)</f>
      </c>
    </row>
    <row r="56">
      <c r="A56" s="566" t="s">
        <v>1434</v>
      </c>
      <c r="B56" s="567" t="s">
        <v>1410</v>
      </c>
      <c r="C56" s="568" t="s">
        <v>1423</v>
      </c>
      <c r="D56" s="569">
        <v>5</v>
      </c>
      <c r="E56" s="570">
        <v>5</v>
      </c>
      <c r="F56" s="571">
        <v>4198.8</v>
      </c>
      <c r="G56" s="571">
        <v>12271.529999999999</v>
      </c>
      <c r="H56" s="572">
        <f t="shared" si="3"/>
      </c>
      <c r="I56" s="572">
        <f t="shared" si="0"/>
      </c>
      <c r="J56" s="572">
        <f t="shared" si="1"/>
      </c>
      <c r="K56" s="570">
        <v>2</v>
      </c>
      <c r="L56" s="573">
        <v>2774.3999999999996</v>
      </c>
    </row>
    <row r="57">
      <c r="A57" s="566" t="s">
        <v>1434</v>
      </c>
      <c r="B57" s="567" t="s">
        <v>1416</v>
      </c>
      <c r="C57" s="568" t="s">
        <v>1424</v>
      </c>
      <c r="D57" s="569">
        <v>5</v>
      </c>
      <c r="E57" s="570">
        <v>14</v>
      </c>
      <c r="F57" s="571">
        <v>7231.2</v>
      </c>
      <c r="G57" s="568">
        <v>9446.43</v>
      </c>
      <c r="H57" s="572">
        <f t="shared" si="3"/>
      </c>
      <c r="I57" s="572">
        <f t="shared" si="0"/>
      </c>
      <c r="J57" s="572">
        <f t="shared" si="1"/>
      </c>
      <c r="K57" s="570">
        <v>5</v>
      </c>
      <c r="L57" s="573">
        <v>1984.8000000000004</v>
      </c>
    </row>
    <row r="58">
      <c r="A58" s="566" t="s">
        <v>1434</v>
      </c>
      <c r="B58" s="567" t="s">
        <v>1414</v>
      </c>
      <c r="C58" s="568" t="s">
        <v>1425</v>
      </c>
      <c r="D58" s="569">
        <v>5</v>
      </c>
      <c r="E58" s="570">
        <v>2</v>
      </c>
      <c r="F58" s="571">
        <v>1252.8000000000002</v>
      </c>
      <c r="G58" s="571">
        <v>4738.21</v>
      </c>
      <c r="H58" s="572">
        <f t="shared" si="3"/>
      </c>
      <c r="I58" s="572">
        <f t="shared" si="0"/>
      </c>
      <c r="J58" s="572">
        <f t="shared" si="1"/>
      </c>
      <c r="K58" s="570">
        <v>0</v>
      </c>
      <c r="L58" s="573">
        <v>0</v>
      </c>
    </row>
    <row r="59">
      <c r="A59" s="566" t="s">
        <v>1434</v>
      </c>
      <c r="B59" s="567" t="s">
        <v>1418</v>
      </c>
      <c r="C59" s="568" t="s">
        <v>1426</v>
      </c>
      <c r="D59" s="569">
        <v>5</v>
      </c>
      <c r="E59" s="570">
        <v>11</v>
      </c>
      <c r="F59" s="574">
        <v>11999.4</v>
      </c>
      <c r="G59" s="574">
        <v>9595.92</v>
      </c>
      <c r="H59" s="572">
        <f t="shared" si="3"/>
      </c>
      <c r="I59" s="572">
        <f t="shared" si="0"/>
      </c>
      <c r="J59" s="572">
        <f t="shared" si="1"/>
      </c>
      <c r="K59" s="570">
        <v>2</v>
      </c>
      <c r="L59" s="573">
        <v>1431.9</v>
      </c>
    </row>
    <row r="60">
      <c r="A60" s="575" t="s">
        <v>1434</v>
      </c>
      <c r="B60" s="576" t="s">
        <v>1420</v>
      </c>
      <c r="C60" s="576"/>
      <c r="D60" s="577">
        <f>SUM(D56:D59)</f>
      </c>
      <c r="E60" s="577">
        <f>SUM(E56:E59)</f>
      </c>
      <c r="F60" s="577">
        <f>SUM(F56:F59)</f>
      </c>
      <c r="G60" s="577">
        <f>SUM(G56:G59)</f>
      </c>
      <c r="H60" s="578">
        <f t="shared" si="3"/>
      </c>
      <c r="I60" s="578">
        <f t="shared" si="0"/>
      </c>
      <c r="J60" s="578">
        <f t="shared" si="1"/>
      </c>
      <c r="K60" s="577">
        <f>SUM(K56:K59)</f>
      </c>
      <c r="L60" s="577">
        <f>SUM(L56:L59)</f>
      </c>
    </row>
    <row r="61">
      <c r="A61" s="566" t="s">
        <v>1435</v>
      </c>
      <c r="B61" s="567" t="s">
        <v>1410</v>
      </c>
      <c r="C61" s="568" t="s">
        <v>1423</v>
      </c>
      <c r="D61" s="569">
        <v>5</v>
      </c>
      <c r="E61" s="570">
        <v>16</v>
      </c>
      <c r="F61" s="571">
        <v>20189.4</v>
      </c>
      <c r="G61" s="571">
        <v>18669.11</v>
      </c>
      <c r="H61" s="572">
        <f t="shared" si="3"/>
      </c>
      <c r="I61" s="572">
        <f t="shared" si="0"/>
      </c>
      <c r="J61" s="572">
        <f t="shared" si="1"/>
      </c>
      <c r="K61" s="570">
        <v>3</v>
      </c>
      <c r="L61" s="573">
        <v>3145.2</v>
      </c>
    </row>
    <row r="62">
      <c r="A62" s="566" t="s">
        <v>1435</v>
      </c>
      <c r="B62" s="567" t="s">
        <v>1414</v>
      </c>
      <c r="C62" s="568" t="s">
        <v>1424</v>
      </c>
      <c r="D62" s="569">
        <v>5</v>
      </c>
      <c r="E62" s="570">
        <v>7</v>
      </c>
      <c r="F62" s="571">
        <v>8282.399999999998</v>
      </c>
      <c r="G62" s="568">
        <v>10248.480000000001</v>
      </c>
      <c r="H62" s="572">
        <f t="shared" si="3"/>
      </c>
      <c r="I62" s="572">
        <f t="shared" si="0"/>
      </c>
      <c r="J62" s="572">
        <f t="shared" si="1"/>
      </c>
      <c r="K62" s="570">
        <v>3</v>
      </c>
      <c r="L62" s="573">
        <v>1780.8</v>
      </c>
    </row>
    <row r="63">
      <c r="A63" s="566" t="s">
        <v>1435</v>
      </c>
      <c r="B63" s="567" t="s">
        <v>1416</v>
      </c>
      <c r="C63" s="568" t="s">
        <v>1425</v>
      </c>
      <c r="D63" s="569">
        <v>5</v>
      </c>
      <c r="E63" s="570">
        <v>8</v>
      </c>
      <c r="F63" s="571">
        <v>8428.4</v>
      </c>
      <c r="G63" s="571">
        <v>11018.62</v>
      </c>
      <c r="H63" s="572">
        <f t="shared" si="3"/>
      </c>
      <c r="I63" s="572">
        <f t="shared" si="0"/>
      </c>
      <c r="J63" s="572">
        <f t="shared" si="1"/>
      </c>
      <c r="K63" s="570">
        <v>2</v>
      </c>
      <c r="L63" s="573">
        <v>1728</v>
      </c>
    </row>
    <row r="64">
      <c r="A64" s="566" t="s">
        <v>1435</v>
      </c>
      <c r="B64" s="567" t="s">
        <v>1418</v>
      </c>
      <c r="C64" s="568" t="s">
        <v>1426</v>
      </c>
      <c r="D64" s="569">
        <v>5</v>
      </c>
      <c r="E64" s="570">
        <v>10</v>
      </c>
      <c r="F64" s="574">
        <v>11977</v>
      </c>
      <c r="G64" s="574">
        <v>13332.699999999999</v>
      </c>
      <c r="H64" s="572">
        <f t="shared" si="3"/>
      </c>
      <c r="I64" s="572">
        <f t="shared" si="0"/>
      </c>
      <c r="J64" s="572">
        <f t="shared" si="1"/>
      </c>
      <c r="K64" s="570">
        <v>4</v>
      </c>
      <c r="L64" s="573">
        <v>5701</v>
      </c>
    </row>
    <row r="65">
      <c r="A65" s="575" t="s">
        <v>1435</v>
      </c>
      <c r="B65" s="576" t="s">
        <v>1420</v>
      </c>
      <c r="C65" s="576"/>
      <c r="D65" s="577">
        <f>SUM(D61:D64)</f>
      </c>
      <c r="E65" s="577">
        <f>SUM(E61:E64)</f>
      </c>
      <c r="F65" s="577">
        <f>SUM(F61:F64)</f>
      </c>
      <c r="G65" s="577">
        <f>SUM(G61:G64)</f>
      </c>
      <c r="H65" s="578">
        <f t="shared" si="3"/>
      </c>
      <c r="I65" s="578">
        <f t="shared" si="0"/>
      </c>
      <c r="J65" s="578">
        <f t="shared" si="1"/>
      </c>
      <c r="K65" s="577">
        <f>SUM(K61:K64)</f>
      </c>
      <c r="L65" s="577">
        <f>SUM(L61:L64)</f>
      </c>
    </row>
    <row r="66">
      <c r="A66" s="566" t="s">
        <v>1436</v>
      </c>
      <c r="B66" s="567" t="s">
        <v>1414</v>
      </c>
      <c r="C66" s="568" t="s">
        <v>1411</v>
      </c>
      <c r="D66" s="569">
        <v>4</v>
      </c>
      <c r="E66" s="570">
        <v>4</v>
      </c>
      <c r="F66" s="571">
        <v>5102.4</v>
      </c>
      <c r="G66" s="571">
        <v>5531.12</v>
      </c>
      <c r="H66" s="572">
        <f t="shared" si="3"/>
      </c>
      <c r="I66" s="572">
        <f t="shared" si="0"/>
      </c>
      <c r="J66" s="572">
        <f t="shared" si="1"/>
      </c>
      <c r="K66" s="570">
        <v>1</v>
      </c>
      <c r="L66" s="573">
        <v>468</v>
      </c>
    </row>
    <row r="67">
      <c r="A67" s="566" t="s">
        <v>1436</v>
      </c>
      <c r="B67" s="567" t="s">
        <v>1416</v>
      </c>
      <c r="C67" s="568" t="s">
        <v>1413</v>
      </c>
      <c r="D67" s="569">
        <v>4</v>
      </c>
      <c r="E67" s="570">
        <v>6</v>
      </c>
      <c r="F67" s="571">
        <v>6256.6</v>
      </c>
      <c r="G67" s="568">
        <v>7077.74</v>
      </c>
      <c r="H67" s="572">
        <f t="shared" si="3"/>
      </c>
      <c r="I67" s="572">
        <f t="shared" si="0"/>
      </c>
      <c r="J67" s="572">
        <f t="shared" si="1"/>
      </c>
      <c r="K67" s="570">
        <v>4</v>
      </c>
      <c r="L67" s="573">
        <v>4754.2</v>
      </c>
    </row>
    <row r="68">
      <c r="A68" s="566" t="s">
        <v>1436</v>
      </c>
      <c r="B68" s="567" t="s">
        <v>1418</v>
      </c>
      <c r="C68" s="568" t="s">
        <v>1415</v>
      </c>
      <c r="D68" s="569">
        <v>4</v>
      </c>
      <c r="E68" s="570">
        <v>0</v>
      </c>
      <c r="F68" s="571">
        <v>0</v>
      </c>
      <c r="G68" s="571">
        <v>3516.28</v>
      </c>
      <c r="H68" s="572">
        <f t="shared" si="3"/>
      </c>
      <c r="I68" s="572">
        <f t="shared" si="0"/>
      </c>
      <c r="J68" s="572">
        <f t="shared" si="1"/>
      </c>
      <c r="K68" s="570">
        <v>0</v>
      </c>
      <c r="L68" s="573">
        <v>0</v>
      </c>
    </row>
    <row r="69">
      <c r="A69" s="566" t="s">
        <v>1436</v>
      </c>
      <c r="B69" s="567" t="s">
        <v>1412</v>
      </c>
      <c r="C69" s="568" t="s">
        <v>1417</v>
      </c>
      <c r="D69" s="569">
        <v>4</v>
      </c>
      <c r="E69" s="570">
        <v>7</v>
      </c>
      <c r="F69" s="574">
        <v>4828.8</v>
      </c>
      <c r="G69" s="574">
        <v>7520.69</v>
      </c>
      <c r="H69" s="572">
        <f t="shared" si="3"/>
      </c>
      <c r="I69" s="572">
        <f t="shared" si="0"/>
      </c>
      <c r="J69" s="572">
        <f t="shared" si="1"/>
      </c>
      <c r="K69" s="570">
        <v>1</v>
      </c>
      <c r="L69" s="573">
        <v>396</v>
      </c>
    </row>
    <row r="70">
      <c r="A70" s="566" t="s">
        <v>1436</v>
      </c>
      <c r="B70" s="567" t="s">
        <v>1410</v>
      </c>
      <c r="C70" s="568" t="s">
        <v>1419</v>
      </c>
      <c r="D70" s="569">
        <v>4</v>
      </c>
      <c r="E70" s="570">
        <v>12</v>
      </c>
      <c r="F70" s="574">
        <v>6005.8</v>
      </c>
      <c r="G70" s="574">
        <v>11806.78</v>
      </c>
      <c r="H70" s="572">
        <f t="shared" si="3"/>
      </c>
      <c r="I70" s="572">
        <f t="shared" si="0"/>
      </c>
      <c r="J70" s="572">
        <f t="shared" si="1"/>
      </c>
      <c r="K70" s="570">
        <v>2</v>
      </c>
      <c r="L70" s="573">
        <v>1226.4</v>
      </c>
    </row>
    <row r="71">
      <c r="A71" s="575" t="s">
        <v>1436</v>
      </c>
      <c r="B71" s="576" t="s">
        <v>1420</v>
      </c>
      <c r="C71" s="576"/>
      <c r="D71" s="577">
        <f>SUM(D66:D70)</f>
      </c>
      <c r="E71" s="577">
        <f>SUM(E66:E70)</f>
      </c>
      <c r="F71" s="577">
        <f>SUM(F66:F70)</f>
      </c>
      <c r="G71" s="577">
        <f>SUM(G66:G70)</f>
      </c>
      <c r="H71" s="578">
        <f t="shared" si="3"/>
      </c>
      <c r="I71" s="578">
        <f t="shared" si="0"/>
      </c>
      <c r="J71" s="578">
        <f t="shared" si="1"/>
      </c>
      <c r="K71" s="577">
        <f>SUM(K66:K70)</f>
      </c>
      <c r="L71" s="577">
        <f>SUM(L66:L70)</f>
      </c>
    </row>
    <row r="72">
      <c r="A72" s="566" t="s">
        <v>1437</v>
      </c>
      <c r="B72" s="567" t="s">
        <v>1414</v>
      </c>
      <c r="C72" s="568" t="s">
        <v>1411</v>
      </c>
      <c r="D72" s="569">
        <v>4</v>
      </c>
      <c r="E72" s="570">
        <v>1</v>
      </c>
      <c r="F72" s="571">
        <v>415.2</v>
      </c>
      <c r="G72" s="571">
        <v>4435.1</v>
      </c>
      <c r="H72" s="572">
        <f t="shared" si="3"/>
      </c>
      <c r="I72" s="572">
        <f t="shared" si="0"/>
      </c>
      <c r="J72" s="572">
        <f t="shared" si="1"/>
      </c>
      <c r="K72" s="570">
        <v>0</v>
      </c>
      <c r="L72" s="573">
        <v>0</v>
      </c>
    </row>
    <row r="73">
      <c r="A73" s="566" t="s">
        <v>1437</v>
      </c>
      <c r="B73" s="567" t="s">
        <v>1416</v>
      </c>
      <c r="C73" s="568" t="s">
        <v>1413</v>
      </c>
      <c r="D73" s="569">
        <v>4</v>
      </c>
      <c r="E73" s="570">
        <v>4</v>
      </c>
      <c r="F73" s="571">
        <v>5972.2</v>
      </c>
      <c r="G73" s="568">
        <v>3214.4799999999996</v>
      </c>
      <c r="H73" s="572">
        <f t="shared" si="3"/>
      </c>
      <c r="I73" s="572">
        <f t="shared" si="0"/>
      </c>
      <c r="J73" s="572">
        <f t="shared" si="1"/>
      </c>
      <c r="K73" s="570">
        <v>1</v>
      </c>
      <c r="L73" s="573">
        <v>2148</v>
      </c>
    </row>
    <row r="74">
      <c r="A74" s="566" t="s">
        <v>1437</v>
      </c>
      <c r="B74" s="567" t="s">
        <v>1418</v>
      </c>
      <c r="C74" s="568" t="s">
        <v>1415</v>
      </c>
      <c r="D74" s="569">
        <v>4</v>
      </c>
      <c r="E74" s="570">
        <v>9</v>
      </c>
      <c r="F74" s="571">
        <v>7425.4</v>
      </c>
      <c r="G74" s="571">
        <v>13011.859999999999</v>
      </c>
      <c r="H74" s="572">
        <f t="shared" si="3"/>
      </c>
      <c r="I74" s="572">
        <f t="shared" si="0"/>
      </c>
      <c r="J74" s="572">
        <f t="shared" si="1"/>
      </c>
      <c r="K74" s="570">
        <v>3</v>
      </c>
      <c r="L74" s="573">
        <v>2850</v>
      </c>
    </row>
    <row r="75">
      <c r="A75" s="566" t="s">
        <v>1437</v>
      </c>
      <c r="B75" s="567" t="s">
        <v>1412</v>
      </c>
      <c r="C75" s="568" t="s">
        <v>1417</v>
      </c>
      <c r="D75" s="569">
        <v>4</v>
      </c>
      <c r="E75" s="570">
        <v>15</v>
      </c>
      <c r="F75" s="574">
        <v>17743.2</v>
      </c>
      <c r="G75" s="574">
        <v>13925.02</v>
      </c>
      <c r="H75" s="572">
        <f t="shared" si="3"/>
      </c>
      <c r="I75" s="572">
        <f t="shared" si="0"/>
      </c>
      <c r="J75" s="572">
        <f t="shared" si="1"/>
      </c>
      <c r="K75" s="570">
        <v>2</v>
      </c>
      <c r="L75" s="573">
        <v>1436.4</v>
      </c>
    </row>
    <row r="76">
      <c r="A76" s="566" t="s">
        <v>1437</v>
      </c>
      <c r="B76" s="567" t="s">
        <v>1410</v>
      </c>
      <c r="C76" s="568" t="s">
        <v>1419</v>
      </c>
      <c r="D76" s="569">
        <v>4</v>
      </c>
      <c r="E76" s="570">
        <v>12</v>
      </c>
      <c r="F76" s="574">
        <v>13448.159999999998</v>
      </c>
      <c r="G76" s="574">
        <v>18010.84</v>
      </c>
      <c r="H76" s="572">
        <f t="shared" si="3"/>
      </c>
      <c r="I76" s="572">
        <f t="shared" si="0"/>
      </c>
      <c r="J76" s="572">
        <f t="shared" si="1"/>
      </c>
      <c r="K76" s="570">
        <v>4</v>
      </c>
      <c r="L76" s="573">
        <v>5457.599999999999</v>
      </c>
    </row>
    <row r="77">
      <c r="A77" s="575" t="s">
        <v>1437</v>
      </c>
      <c r="B77" s="576" t="s">
        <v>1420</v>
      </c>
      <c r="C77" s="576"/>
      <c r="D77" s="577">
        <f>SUM(D72:D76)</f>
      </c>
      <c r="E77" s="577">
        <f>SUM(E72:E76)</f>
      </c>
      <c r="F77" s="577">
        <f>SUM(F72:F76)</f>
      </c>
      <c r="G77" s="577">
        <f>SUM(G72:G76)</f>
      </c>
      <c r="H77" s="578">
        <f t="shared" si="3"/>
      </c>
      <c r="I77" s="578">
        <f t="shared" si="0"/>
      </c>
      <c r="J77" s="578">
        <f t="shared" si="1"/>
      </c>
      <c r="K77" s="577">
        <f>SUM(K72:K76)</f>
      </c>
      <c r="L77" s="577">
        <f>SUM(L72:L76)</f>
      </c>
    </row>
    <row r="78">
      <c r="A78" s="566" t="s">
        <v>1438</v>
      </c>
      <c r="B78" s="567" t="s">
        <v>1416</v>
      </c>
      <c r="C78" s="568" t="s">
        <v>1411</v>
      </c>
      <c r="D78" s="569">
        <v>4</v>
      </c>
      <c r="E78" s="570">
        <v>9</v>
      </c>
      <c r="F78" s="571">
        <v>9580.8</v>
      </c>
      <c r="G78" s="571">
        <v>11485.28</v>
      </c>
      <c r="H78" s="572">
        <f t="shared" si="3"/>
      </c>
      <c r="I78" s="572">
        <f t="shared" si="0"/>
      </c>
      <c r="J78" s="572">
        <f t="shared" si="1"/>
      </c>
      <c r="K78" s="570">
        <v>2</v>
      </c>
      <c r="L78" s="573">
        <v>2691.6</v>
      </c>
    </row>
    <row r="79">
      <c r="A79" s="566" t="s">
        <v>1438</v>
      </c>
      <c r="B79" s="567" t="s">
        <v>1418</v>
      </c>
      <c r="C79" s="568" t="s">
        <v>1413</v>
      </c>
      <c r="D79" s="569">
        <v>4</v>
      </c>
      <c r="E79" s="570">
        <v>3</v>
      </c>
      <c r="F79" s="571">
        <v>3415.2000000000007</v>
      </c>
      <c r="G79" s="568">
        <v>7494.25</v>
      </c>
      <c r="H79" s="572">
        <f t="shared" si="3"/>
      </c>
      <c r="I79" s="572">
        <f t="shared" si="0"/>
      </c>
      <c r="J79" s="572">
        <f t="shared" si="1"/>
      </c>
      <c r="K79" s="570">
        <v>0</v>
      </c>
      <c r="L79" s="573">
        <v>0</v>
      </c>
    </row>
    <row r="80">
      <c r="A80" s="566" t="s">
        <v>1438</v>
      </c>
      <c r="B80" s="567" t="s">
        <v>1412</v>
      </c>
      <c r="C80" s="568" t="s">
        <v>1415</v>
      </c>
      <c r="D80" s="569">
        <v>4</v>
      </c>
      <c r="E80" s="570">
        <v>2</v>
      </c>
      <c r="F80" s="571">
        <v>442.80000000000035</v>
      </c>
      <c r="G80" s="571">
        <v>5339.05</v>
      </c>
      <c r="H80" s="572">
        <f t="shared" si="3"/>
      </c>
      <c r="I80" s="572">
        <f t="shared" si="0"/>
      </c>
      <c r="J80" s="572">
        <f t="shared" si="1"/>
      </c>
      <c r="K80" s="570">
        <v>1</v>
      </c>
      <c r="L80" s="573">
        <v>243.6</v>
      </c>
    </row>
    <row r="81">
      <c r="A81" s="566" t="s">
        <v>1438</v>
      </c>
      <c r="B81" s="567" t="s">
        <v>1410</v>
      </c>
      <c r="C81" s="568" t="s">
        <v>1417</v>
      </c>
      <c r="D81" s="569">
        <v>4</v>
      </c>
      <c r="E81" s="570">
        <v>7</v>
      </c>
      <c r="F81" s="574">
        <v>5812.8</v>
      </c>
      <c r="G81" s="574">
        <v>10364.12</v>
      </c>
      <c r="H81" s="572">
        <f t="shared" si="3"/>
      </c>
      <c r="I81" s="572">
        <f t="shared" si="0"/>
      </c>
      <c r="J81" s="572">
        <f t="shared" si="1"/>
      </c>
      <c r="K81" s="570">
        <v>1</v>
      </c>
      <c r="L81" s="573">
        <v>202.8</v>
      </c>
    </row>
    <row r="82">
      <c r="A82" s="566" t="s">
        <v>1438</v>
      </c>
      <c r="B82" s="567" t="s">
        <v>1414</v>
      </c>
      <c r="C82" s="568" t="s">
        <v>1419</v>
      </c>
      <c r="D82" s="569">
        <v>4</v>
      </c>
      <c r="E82" s="570">
        <v>11</v>
      </c>
      <c r="F82" s="574">
        <v>11427.8</v>
      </c>
      <c r="G82" s="574">
        <v>11537.42</v>
      </c>
      <c r="H82" s="572">
        <f t="shared" si="3"/>
      </c>
      <c r="I82" s="572">
        <f t="shared" si="0"/>
      </c>
      <c r="J82" s="572">
        <f t="shared" si="1"/>
      </c>
      <c r="K82" s="570">
        <v>3</v>
      </c>
      <c r="L82" s="573">
        <v>2311.2</v>
      </c>
    </row>
    <row r="83">
      <c r="A83" s="575" t="s">
        <v>1438</v>
      </c>
      <c r="B83" s="576" t="s">
        <v>1420</v>
      </c>
      <c r="C83" s="576"/>
      <c r="D83" s="577">
        <f>SUM(D78:D82)</f>
      </c>
      <c r="E83" s="577">
        <f>SUM(E78:E82)</f>
      </c>
      <c r="F83" s="577">
        <f>SUM(F78:F82)</f>
      </c>
      <c r="G83" s="577">
        <f>SUM(G78:G82)</f>
      </c>
      <c r="H83" s="578">
        <f t="shared" si="3"/>
      </c>
      <c r="I83" s="578">
        <f t="shared" si="0"/>
      </c>
      <c r="J83" s="578">
        <f t="shared" si="1"/>
      </c>
      <c r="K83" s="577">
        <f>SUM(K78:K82)</f>
      </c>
      <c r="L83" s="577">
        <f>SUM(L78:L82)</f>
      </c>
    </row>
    <row r="84"/>
    <row r="85"/>
    <row r="86"/>
    <row r="87"/>
    <row r="88"/>
    <row r="89"/>
    <row r="90"/>
    <row r="91"/>
    <row r="92"/>
    <row r="93"/>
    <row r="94"/>
    <row r="95">
      <c r="J95" s="579" t="s">
        <v>1439</v>
      </c>
      <c r="K95" s="579" t="s">
        <v>1440</v>
      </c>
    </row>
    <row r="96">
      <c r="J96" s="580">
        <f t="shared" ref="J96:J101" si="4">H96/I96</f>
      </c>
      <c r="K96" s="580">
        <f t="shared" ref="K96:K101" si="2">I96/F96</f>
      </c>
    </row>
    <row r="97">
      <c r="J97" s="580">
        <f t="shared" si="4"/>
      </c>
      <c r="K97" s="580">
        <f t="shared" si="2"/>
      </c>
    </row>
    <row r="98">
      <c r="J98" s="580">
        <f t="shared" si="4"/>
      </c>
      <c r="K98" s="580">
        <f t="shared" si="2"/>
      </c>
    </row>
    <row r="99">
      <c r="J99" s="580">
        <f t="shared" si="4"/>
      </c>
      <c r="K99" s="580">
        <f t="shared" si="2"/>
      </c>
    </row>
    <row r="100">
      <c r="J100" s="580">
        <f t="shared" si="4"/>
      </c>
      <c r="K100" s="580">
        <f t="shared" si="2"/>
      </c>
    </row>
    <row r="101">
      <c r="J101" s="580">
        <f t="shared" si="4"/>
      </c>
      <c r="K101" s="580">
        <f t="shared" si="2"/>
      </c>
    </row>
  </sheetData>
  <dataValidations count="1">
    <dataValidation allowBlank="true" errorStyle="stop" showErrorMessage="true" sqref="B2:B6 B8:B12 B14:B17 B19:B23 B25:B29 B31:B34 B36:B39 B41:B45 B47:B50 B52:B54 B56:B59 B61:B64 B66:B70 B72:B76 B78:B82" type="list">
      <formula1>"王硕硕,李紫瑞,刘杰宇,井欣阅,陈旭,于慧,李娜,栗敏纳"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