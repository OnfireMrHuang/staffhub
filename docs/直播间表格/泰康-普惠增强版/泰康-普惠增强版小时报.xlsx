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7"/>
    <sheet name="2026.7" sheetId="5" r:id="rId8"/>
    <sheet name="刷单" sheetId="6" r:id="rId9"/>
    <sheet name="2026.6" sheetId="7" r:id="rId10"/>
    <sheet name="2026.5" sheetId="8" r:id="rId11"/>
    <sheet name="2026.4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<sst xmlns="http://schemas.openxmlformats.org/spreadsheetml/2006/main" count="1061" uniqueCount="1061">
  <si>
    <t xml:space="preserve">  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</si>
  <si>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</si>
  <si>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</si>
  <si>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</si>
  <si>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</si>
  <si>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</si>
  <si>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</si>
  <si>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</si>
  <si>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</si>
  <si>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</si>
  <si>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</si>
  <si>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</si>
  <si>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</si>
  <si>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</si>
  <si>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</si>
  <si>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</si>
  <si>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</si>
  <si>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</si>
  <si>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</si>
  <si>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超一分钟观看率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</si>
  <si>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</si>
  <si>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</si>
  <si>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</si>
  <si>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</si>
  <si>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组件点击数</t>
  </si>
  <si>
    <t xml:space="preserve">观看数</t>
  </si>
  <si>
    <t xml:space="preserve">超一分钟观看数</t>
  </si>
  <si>
    <t xml:space="preserve">后台订单提交数</t>
  </si>
  <si>
    <t xml:space="preserve">有效评论</t>
  </si>
  <si>
    <t xml:space="preserve">2026.10.1</t>
  </si>
  <si>
    <t xml:space="preserve">李佳怡</t>
  </si>
  <si>
    <t xml:space="preserve">16:00-17:00</t>
  </si>
  <si>
    <t xml:space="preserve">张德华</t>
  </si>
  <si>
    <t xml:space="preserve">李寒玉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</si>
  <si>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</si>
  <si>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</si>
  <si>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</si>
  <si>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</si>
  <si>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郭玉龙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</si>
  <si>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</si>
  <si>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</si>
  <si>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</si>
  <si>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</si>
  <si>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</si>
  <si>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 2026.10.12</t>
  </si>
  <si>
    <t xml:space="preserve">08:00-09:00</t>
  </si>
  <si>
    <t xml:space="preserve">江勇</t>
  </si>
  <si>
    <t xml:space="preserve">09:00-10:00</t>
  </si>
  <si>
    <t xml:space="preserve">10:00-11:00</t>
  </si>
  <si>
    <t xml:space="preserve">11:00-12:00</t>
  </si>
  <si>
    <t xml:space="preserve">李凯丽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</si>
  <si>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</si>
  <si>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</si>
  <si>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</si>
  <si>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</si>
  <si>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赖法彬</t>
  </si>
  <si>
    <t xml:space="preserve">李子健</t>
  </si>
  <si>
    <t xml:space="preserve"> 2026.10.13</t>
  </si>
  <si>
    <t xml:space="preserve">李哲</t>
  </si>
  <si>
    <t xml:space="preserve">王笑荣</t>
  </si>
  <si>
    <t xml:space="preserve">任子硕</t>
  </si>
  <si>
    <t xml:space="preserve"> 2026.10.14</t>
  </si>
  <si>
    <t xml:space="preserve">张欣颖</t>
  </si>
  <si>
    <t xml:space="preserve">07:00-08:00</t>
  </si>
  <si>
    <t xml:space="preserve">董柯言</t>
  </si>
  <si>
    <t xml:space="preserve">孟治君</t>
  </si>
  <si>
    <t xml:space="preserve">韩红</t>
  </si>
  <si>
    <t xml:space="preserve"> 2026.10.15</t>
  </si>
  <si>
    <t xml:space="preserve">王学伟</t>
  </si>
  <si>
    <t xml:space="preserve"> 2026.10.16</t>
  </si>
  <si>
    <t xml:space="preserve">何彩樱</t>
  </si>
  <si>
    <t xml:space="preserve">00:00-01:00</t>
  </si>
  <si>
    <t xml:space="preserve"> 2026.10.17</t>
  </si>
  <si>
    <t xml:space="preserve"> 2026.10.18</t>
  </si>
  <si>
    <t xml:space="preserve"> 2026.10.19</t>
  </si>
  <si>
    <t xml:space="preserve">小助手保费</t>
  </si>
  <si>
    <t xml:space="preserve">电商小助手保费</t>
  </si>
  <si>
    <t xml:space="preserve">主看板保费</t>
  </si>
  <si>
    <t xml:space="preserve">主看板单量</t>
  </si>
  <si>
    <t xml:space="preserve">直投</t>
  </si>
  <si>
    <t xml:space="preserve">素材</t>
  </si>
  <si>
    <t xml:space="preserve">混投1</t>
  </si>
  <si>
    <t xml:space="preserve">混投2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</si>
  <si>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</si>
  <si>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</si>
  <si>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</si>
  <si>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</si>
  <si>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</si>
  <si>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</si>
  <si>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</si>
  <si>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</si>
  <si>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</si>
  <si>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</si>
  <si>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</si>
  <si>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</si>
  <si>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</si>
  <si>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</si>
  <si>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</si>
  <si>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</si>
  <si>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</si>
  <si>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</si>
  <si>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超一分钟观看率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</si>
  <si>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</si>
  <si>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</si>
  <si>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</si>
  <si>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</si>
  <si>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组件点击数</t>
  </si>
  <si>
    <t xml:space="preserve">观看数</t>
  </si>
  <si>
    <t xml:space="preserve">超一分钟观看数</t>
  </si>
  <si>
    <t xml:space="preserve">后台订单提交数</t>
  </si>
  <si>
    <t xml:space="preserve">有效评论</t>
  </si>
  <si>
    <t xml:space="preserve"> 2026.9.1</t>
  </si>
  <si>
    <t xml:space="preserve">李凯丽</t>
  </si>
  <si>
    <t xml:space="preserve">07:00-08:00</t>
  </si>
  <si>
    <t xml:space="preserve">张德华</t>
  </si>
  <si>
    <t xml:space="preserve">李哲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</si>
  <si>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</si>
  <si>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</si>
  <si>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</si>
  <si>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</si>
  <si>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王笑荣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</si>
  <si>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</si>
  <si>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</si>
  <si>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</si>
  <si>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</si>
  <si>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郭玉龙</t>
  </si>
  <si>
    <t xml:space="preserve">15:00-16:00</t>
  </si>
  <si>
    <t xml:space="preserve">孟治君</t>
  </si>
  <si>
    <t xml:space="preserve">16:00-17:00</t>
  </si>
  <si>
    <t xml:space="preserve">李寒玉</t>
  </si>
  <si>
    <t xml:space="preserve">17:00-18:00</t>
  </si>
  <si>
    <t xml:space="preserve">18:00-19:00</t>
  </si>
  <si>
    <t xml:space="preserve">张欣颖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</si>
  <si>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</si>
  <si>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</si>
  <si>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</si>
  <si>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</si>
  <si>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</si>
  <si>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</si>
  <si>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 2026.9.2</t>
  </si>
  <si>
    <t xml:space="preserve"> 2026.9.3</t>
  </si>
  <si>
    <t xml:space="preserve">何彩樱</t>
  </si>
  <si>
    <t xml:space="preserve"> 2026.9.4</t>
  </si>
  <si>
    <t xml:space="preserve"> 2026.9.5</t>
  </si>
  <si>
    <t xml:space="preserve">李佳怡</t>
  </si>
  <si>
    <t xml:space="preserve"> 2026.9.6</t>
  </si>
  <si>
    <t xml:space="preserve"> 2026.9.7</t>
  </si>
  <si>
    <t xml:space="preserve"> 2026.9.8</t>
  </si>
  <si>
    <t xml:space="preserve">董柯言</t>
  </si>
  <si>
    <t xml:space="preserve">24:00-01:00</t>
  </si>
  <si>
    <t xml:space="preserve"> 2026.9.9</t>
  </si>
  <si>
    <t xml:space="preserve">18:00-18:30</t>
  </si>
  <si>
    <t xml:space="preserve"> 2026.9.10</t>
  </si>
  <si>
    <t xml:space="preserve"> 2026.9.11</t>
  </si>
  <si>
    <t xml:space="preserve">13:00-13:30</t>
  </si>
  <si>
    <t xml:space="preserve"> 2026.9.12</t>
  </si>
  <si>
    <t xml:space="preserve"> 2026.9.13</t>
  </si>
  <si>
    <t xml:space="preserve"> 2026.9.14</t>
  </si>
  <si>
    <t xml:space="preserve"> 2026.9.15</t>
  </si>
  <si>
    <t xml:space="preserve"> 2026.9.16</t>
  </si>
  <si>
    <t xml:space="preserve">孟璐瑶</t>
  </si>
  <si>
    <t xml:space="preserve"> 2026.9.17</t>
  </si>
  <si>
    <t xml:space="preserve"> 2026.9.18</t>
  </si>
  <si>
    <t xml:space="preserve"> 2026.9.19</t>
  </si>
  <si>
    <t xml:space="preserve">任子硕</t>
  </si>
  <si>
    <t xml:space="preserve">15:00-15:30</t>
  </si>
  <si>
    <t xml:space="preserve">刘梦</t>
  </si>
  <si>
    <t xml:space="preserve">15:30-16:00</t>
  </si>
  <si>
    <t xml:space="preserve"> 2026.9.20</t>
  </si>
  <si>
    <t xml:space="preserve"> 2026.9.21</t>
  </si>
  <si>
    <t xml:space="preserve"> 2026.9.22</t>
  </si>
  <si>
    <t xml:space="preserve">22:00-22:30</t>
  </si>
  <si>
    <t xml:space="preserve"> 2026.9.23</t>
  </si>
  <si>
    <t xml:space="preserve"> 2026.9.24</t>
  </si>
  <si>
    <t xml:space="preserve"> 2026.9.25</t>
  </si>
  <si>
    <t xml:space="preserve"> 2026.9.26</t>
  </si>
  <si>
    <t xml:space="preserve">0:00-01:00</t>
  </si>
  <si>
    <t xml:space="preserve"> 2026.9.27</t>
  </si>
  <si>
    <t xml:space="preserve"> 2026.9.28</t>
  </si>
  <si>
    <t xml:space="preserve"> 2026.9.29</t>
  </si>
  <si>
    <t xml:space="preserve"> 2026.9.30</t>
  </si>
  <si>
    <t xml:space="preserve">直投</t>
  </si>
  <si>
    <t xml:space="preserve">素材</t>
  </si>
  <si>
    <t xml:space="preserve">混投1</t>
  </si>
  <si>
    <t xml:space="preserve">混投2</t>
  </si>
  <si>
    <t xml:space="preserve">总</t>
  </si>
  <si>
    <t xml:space="preserve">小助手保费</t>
  </si>
  <si>
    <t xml:space="preserve">用户4880925411965</t>
  </si>
  <si>
    <t xml:space="preserve">电商小助手保费</t>
  </si>
  <si>
    <t xml:space="preserve">主看板保费</t>
  </si>
  <si>
    <t xml:space="preserve">主看板单量</t>
  </si>
  <si>
    <t xml:space="preserve">双子星上有只摩羯猫</t>
  </si>
  <si>
    <t xml:space="preserve">☀️涂涂☄</t>
  </si>
  <si>
    <t xml:space="preserve">豆沙包</t>
  </si>
  <si>
    <t xml:space="preserve">苍松翠柏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</si>
  <si>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</si>
  <si>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</si>
  <si>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</si>
  <si>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</si>
  <si>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</si>
  <si>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</si>
  <si>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</si>
  <si>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</si>
  <si>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</si>
  <si>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</si>
  <si>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</si>
  <si>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</si>
  <si>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</si>
  <si>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</si>
  <si>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</si>
  <si>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</si>
  <si>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</si>
  <si>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</si>
  <si>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超一分钟观看率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</si>
  <si>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</si>
  <si>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</si>
  <si>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</si>
  <si>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</si>
  <si>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组件点击数</t>
  </si>
  <si>
    <t xml:space="preserve">观看数</t>
  </si>
  <si>
    <t xml:space="preserve">超一分钟观看数</t>
  </si>
  <si>
    <t xml:space="preserve">后台订单提交数</t>
  </si>
  <si>
    <t xml:space="preserve">有效评论</t>
  </si>
  <si>
    <t xml:space="preserve">2026.8.1</t>
  </si>
  <si>
    <t xml:space="preserve">王笑荣</t>
  </si>
  <si>
    <t xml:space="preserve">06:00-07:00</t>
  </si>
  <si>
    <t xml:space="preserve">江勇</t>
  </si>
  <si>
    <t xml:space="preserve">程思佳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</si>
  <si>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</si>
  <si>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</si>
  <si>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</si>
  <si>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</si>
  <si>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</si>
  <si>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李佳怡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</si>
  <si>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</si>
  <si>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</si>
  <si>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</si>
  <si>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</si>
  <si>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尹怡诺</t>
  </si>
  <si>
    <t xml:space="preserve">15:00-16:00</t>
  </si>
  <si>
    <t xml:space="preserve">董柯言</t>
  </si>
  <si>
    <t xml:space="preserve">16:00-17:00</t>
  </si>
  <si>
    <t xml:space="preserve">17:00-18:00</t>
  </si>
  <si>
    <t xml:space="preserve">刘梦</t>
  </si>
  <si>
    <t xml:space="preserve">18:00-19:00</t>
  </si>
  <si>
    <t xml:space="preserve">19:00-20:00</t>
  </si>
  <si>
    <t xml:space="preserve">总计</t>
  </si>
  <si>
    <t xml:space="preserve">2026.8.2</t>
  </si>
  <si>
    <t xml:space="preserve">郭玉龙</t>
  </si>
  <si>
    <t xml:space="preserve"> 2026.8.3</t>
  </si>
  <si>
    <t xml:space="preserve">20:00-21:00</t>
  </si>
  <si>
    <t xml:space="preserve"> 2026.8.4</t>
  </si>
  <si>
    <t xml:space="preserve"> 2026.8.5</t>
  </si>
  <si>
    <t xml:space="preserve">何雅源</t>
  </si>
  <si>
    <t xml:space="preserve"> 2026.8.6</t>
  </si>
  <si>
    <t xml:space="preserve">张德华</t>
  </si>
  <si>
    <t xml:space="preserve"> 2026.8.7</t>
  </si>
  <si>
    <t xml:space="preserve">李凯丽</t>
  </si>
  <si>
    <t xml:space="preserve">孟治君</t>
  </si>
  <si>
    <t xml:space="preserve">董珂言</t>
  </si>
  <si>
    <t xml:space="preserve">张欣颖</t>
  </si>
  <si>
    <t xml:space="preserve">何彩樱</t>
  </si>
  <si>
    <t xml:space="preserve"> 2026.8.8</t>
  </si>
  <si>
    <t xml:space="preserve">曹颖慧</t>
  </si>
  <si>
    <t xml:space="preserve">21:00-22:00</t>
  </si>
  <si>
    <t xml:space="preserve"> 2026.8.9</t>
  </si>
  <si>
    <t xml:space="preserve">22:00-23:00</t>
  </si>
  <si>
    <t xml:space="preserve">23:00-24:00</t>
  </si>
  <si>
    <t xml:space="preserve"> 2026.8.10</t>
  </si>
  <si>
    <t xml:space="preserve">王学伟</t>
  </si>
  <si>
    <t xml:space="preserve"> 2026.8.11</t>
  </si>
  <si>
    <t xml:space="preserve"> 2026.8.12</t>
  </si>
  <si>
    <t xml:space="preserve"> 2026.8.13</t>
  </si>
  <si>
    <t xml:space="preserve">李子健</t>
  </si>
  <si>
    <t xml:space="preserve"> 2026.8.14</t>
  </si>
  <si>
    <t xml:space="preserve"> 2026.8.15</t>
  </si>
  <si>
    <t xml:space="preserve"> 2026.8.16</t>
  </si>
  <si>
    <t xml:space="preserve"> 2026.8.17</t>
  </si>
  <si>
    <t xml:space="preserve"> 2026.8.18</t>
  </si>
  <si>
    <t xml:space="preserve"> 2026.8.19</t>
  </si>
  <si>
    <t xml:space="preserve"> 2026.8.20</t>
  </si>
  <si>
    <t xml:space="preserve"> 2026.8.21</t>
  </si>
  <si>
    <t xml:space="preserve"> 2026.8.22</t>
  </si>
  <si>
    <t xml:space="preserve"> 2026.8.23</t>
  </si>
  <si>
    <t xml:space="preserve"> 2026.8.24</t>
  </si>
  <si>
    <t xml:space="preserve"> 2026.8.25</t>
  </si>
  <si>
    <t xml:space="preserve"> 2026.8.26</t>
  </si>
  <si>
    <t xml:space="preserve"> 2026.8.27</t>
  </si>
  <si>
    <t xml:space="preserve"> 2026.8.28</t>
  </si>
  <si>
    <t xml:space="preserve"> 2026.8.29</t>
  </si>
  <si>
    <t xml:space="preserve"> 2026.8.30</t>
  </si>
  <si>
    <t xml:space="preserve"> 2026.8.31</t>
  </si>
  <si>
    <t xml:space="preserve">李寒玉</t>
  </si>
  <si>
    <t xml:space="preserve">小助手保费</t>
  </si>
  <si>
    <t xml:space="preserve">开心</t>
  </si>
  <si>
    <t xml:space="preserve">电商小助手保费</t>
  </si>
  <si>
    <t xml:space="preserve">主看板保费</t>
  </si>
  <si>
    <t xml:space="preserve">主看板单量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</si>
  <si>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</si>
  <si>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</si>
  <si>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</si>
  <si>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</si>
  <si>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</si>
  <si>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</si>
  <si>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</si>
  <si>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</si>
  <si>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</si>
  <si>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</si>
  <si>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</si>
  <si>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</si>
  <si>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</si>
  <si>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</si>
  <si>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</si>
  <si>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</si>
  <si>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</si>
  <si>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</si>
  <si>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</si>
  <si>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</si>
  <si>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</si>
  <si>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</si>
  <si>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后台订单提交数</t>
  </si>
  <si>
    <t xml:space="preserve">有效评论</t>
  </si>
  <si>
    <t xml:space="preserve">2026.7.2</t>
  </si>
  <si>
    <t xml:space="preserve">卢林琰</t>
  </si>
  <si>
    <t xml:space="preserve">16:00-17:00</t>
  </si>
  <si>
    <t xml:space="preserve">江勇</t>
  </si>
  <si>
    <t xml:space="preserve">周舒馨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</si>
  <si>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</si>
  <si>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</si>
  <si>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</si>
  <si>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</si>
  <si>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王笑荣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</si>
  <si>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</si>
  <si>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</si>
  <si>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</si>
  <si>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</si>
  <si>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</si>
  <si>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2026.7.3</t>
  </si>
  <si>
    <t xml:space="preserve">郭玉龙</t>
  </si>
  <si>
    <t xml:space="preserve">06:00-07:00</t>
  </si>
  <si>
    <t xml:space="preserve">李子健</t>
  </si>
  <si>
    <t xml:space="preserve">07:00-08:00</t>
  </si>
  <si>
    <t xml:space="preserve">08:00-09:00</t>
  </si>
  <si>
    <t xml:space="preserve">董柯言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</si>
  <si>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</si>
  <si>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</si>
  <si>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</si>
  <si>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</si>
  <si>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</si>
  <si>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</si>
  <si>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</si>
  <si>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何雅源</t>
  </si>
  <si>
    <t xml:space="preserve">2026.7.4</t>
  </si>
  <si>
    <t xml:space="preserve">何彩樱</t>
  </si>
  <si>
    <t xml:space="preserve">李佳怡</t>
  </si>
  <si>
    <t xml:space="preserve">2026.7.5</t>
  </si>
  <si>
    <t xml:space="preserve">2026.7.6</t>
  </si>
  <si>
    <t xml:space="preserve">曹颖慧</t>
  </si>
  <si>
    <t xml:space="preserve">2026.7.7</t>
  </si>
  <si>
    <t xml:space="preserve">2026.7.8</t>
  </si>
  <si>
    <t xml:space="preserve">尹怡诺</t>
  </si>
  <si>
    <t xml:space="preserve">2026.7.9</t>
  </si>
  <si>
    <t xml:space="preserve">2026.7.10</t>
  </si>
  <si>
    <t xml:space="preserve">程思佳</t>
  </si>
  <si>
    <t xml:space="preserve">2026.7.11</t>
  </si>
  <si>
    <t xml:space="preserve">2026.7.12</t>
  </si>
  <si>
    <t xml:space="preserve">14:00-14:30</t>
  </si>
  <si>
    <t xml:space="preserve">2026.7.13</t>
  </si>
  <si>
    <t xml:space="preserve">2026.7.14</t>
  </si>
  <si>
    <t xml:space="preserve">刘昊冉</t>
  </si>
  <si>
    <t xml:space="preserve">2026.7.15</t>
  </si>
  <si>
    <t xml:space="preserve">13:00-13:30</t>
  </si>
  <si>
    <t xml:space="preserve">2026.7.16</t>
  </si>
  <si>
    <t xml:space="preserve">邵二波</t>
  </si>
  <si>
    <t xml:space="preserve">2026.7.17</t>
  </si>
  <si>
    <t xml:space="preserve">刘梦</t>
  </si>
  <si>
    <t xml:space="preserve">2026.7.18</t>
  </si>
  <si>
    <t xml:space="preserve">2026.7.19</t>
  </si>
  <si>
    <t xml:space="preserve">2026.7.20</t>
  </si>
  <si>
    <t xml:space="preserve">22:00-22:30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</si>
  <si>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</si>
  <si>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</si>
  <si>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</si>
  <si>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</si>
  <si>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</si>
  <si>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2026.7.26</t>
  </si>
  <si>
    <t xml:space="preserve">2026.7.27</t>
  </si>
  <si>
    <t xml:space="preserve">2026.7.28</t>
  </si>
  <si>
    <t xml:space="preserve">2026.7.29</t>
  </si>
  <si>
    <t xml:space="preserve">2026.7.30</t>
  </si>
  <si>
    <t xml:space="preserve">2026.7.31</t>
  </si>
  <si>
    <t xml:space="preserve">小助手保费</t>
  </si>
  <si>
    <t xml:space="preserve">电商小助手保费</t>
  </si>
  <si>
    <t xml:space="preserve">主看板保费</t>
  </si>
  <si>
    <t xml:space="preserve">主看板单量</t>
  </si>
  <si>
    <t xml:space="preserve">刷单名字</t>
  </si>
  <si>
    <t xml:space="preserve">保单号</t>
  </si>
  <si>
    <t xml:space="preserve">保险订单ID</t>
  </si>
  <si>
    <t xml:space="preserve">投保时间</t>
  </si>
  <si>
    <t xml:space="preserve">不发脾只发财</t>
  </si>
  <si>
    <t xml:space="preserve">H260707319882380111393</t>
  </si>
  <si>
    <t xml:space="preserve">7659638042239636014</t>
  </si>
  <si>
    <t xml:space="preserve">H260707319908880100157</t>
  </si>
  <si>
    <t xml:space="preserve">7659642629687382538</t>
  </si>
  <si>
    <t xml:space="preserve">H260707319911730102351</t>
  </si>
  <si>
    <t xml:space="preserve">7659643180146053658</t>
  </si>
  <si>
    <t xml:space="preserve">H260707319919360178850</t>
  </si>
  <si>
    <t xml:space="preserve">7659644567412281902</t>
  </si>
  <si>
    <t xml:space="preserve">王焕娜</t>
  </si>
  <si>
    <t xml:space="preserve">H260709322005520190401</t>
  </si>
  <si>
    <t xml:space="preserve">7660296802452836905</t>
  </si>
  <si>
    <t xml:space="preserve">H260709322007580173959</t>
  </si>
  <si>
    <t xml:space="preserve">7660298390694597161</t>
  </si>
  <si>
    <t xml:space="preserve">H260709322008330198548</t>
  </si>
  <si>
    <t xml:space="preserve">7660298852508750399</t>
  </si>
  <si>
    <t xml:space="preserve">H260709322018060141735</t>
  </si>
  <si>
    <t xml:space="preserve">7660305341183365686</t>
  </si>
  <si>
    <t xml:space="preserve">1982 幸运王子</t>
  </si>
  <si>
    <t xml:space="preserve">H260707319850420188560</t>
  </si>
  <si>
    <t xml:space="preserve">7659632533274563123</t>
  </si>
  <si>
    <t xml:space="preserve">H260707319852770183933</t>
  </si>
  <si>
    <t xml:space="preserve">7659633191111889434</t>
  </si>
  <si>
    <t xml:space="preserve">H260707319860510136466</t>
  </si>
  <si>
    <t xml:space="preserve">7659634380263248434</t>
  </si>
  <si>
    <t xml:space="preserve">爱跑步运动丽哥👄Annie</t>
  </si>
  <si>
    <t xml:space="preserve">H260707320589020147396</t>
  </si>
  <si>
    <t xml:space="preserve">7659786678648558118</t>
  </si>
  <si>
    <t xml:space="preserve">H260707320593480143943</t>
  </si>
  <si>
    <t xml:space="preserve">7659787936236704294</t>
  </si>
  <si>
    <t xml:space="preserve">H260707320597780185796</t>
  </si>
  <si>
    <t xml:space="preserve">7659789072667267634</t>
  </si>
  <si>
    <t xml:space="preserve">张奚维</t>
  </si>
  <si>
    <t xml:space="preserve">H260707320622180157203</t>
  </si>
  <si>
    <t xml:space="preserve">7659795829466452516</t>
  </si>
  <si>
    <t xml:space="preserve">H260707320622940163485</t>
  </si>
  <si>
    <t xml:space="preserve">7659797212276412971</t>
  </si>
  <si>
    <t xml:space="preserve">H260707320623450130047</t>
  </si>
  <si>
    <t xml:space="preserve">7659797434113020457</t>
  </si>
  <si>
    <t xml:space="preserve">米虫不吃米</t>
  </si>
  <si>
    <t xml:space="preserve">H260708320749920159701</t>
  </si>
  <si>
    <t xml:space="preserve">7659931270682874395</t>
  </si>
  <si>
    <t xml:space="preserve">H260708320752840141005</t>
  </si>
  <si>
    <t xml:space="preserve">7659933229297947163</t>
  </si>
  <si>
    <t xml:space="preserve">H260708320753890122744</t>
  </si>
  <si>
    <t xml:space="preserve">7659933948721517106</t>
  </si>
  <si>
    <t xml:space="preserve">海滩</t>
  </si>
  <si>
    <t xml:space="preserve">H260709323136420110919</t>
  </si>
  <si>
    <t xml:space="preserve">7660517019565003290</t>
  </si>
  <si>
    <t xml:space="preserve">H260709323199480101945</t>
  </si>
  <si>
    <t xml:space="preserve">7660535151301251630</t>
  </si>
  <si>
    <t xml:space="preserve">H260709323208540197724</t>
  </si>
  <si>
    <t xml:space="preserve">7660538366615441947</t>
  </si>
  <si>
    <t xml:space="preserve">yimin</t>
  </si>
  <si>
    <t xml:space="preserve">H260711326355450194393</t>
  </si>
  <si>
    <t xml:space="preserve">7661243610106008091</t>
  </si>
  <si>
    <t xml:space="preserve">H260711326377820176655</t>
  </si>
  <si>
    <t xml:space="preserve">7661250604723098122</t>
  </si>
  <si>
    <t xml:space="preserve">H260711326393040122747</t>
  </si>
  <si>
    <t xml:space="preserve">7661255074524811785</t>
  </si>
  <si>
    <t xml:space="preserve">爱吃零食</t>
  </si>
  <si>
    <t xml:space="preserve">H260712326956650186991</t>
  </si>
  <si>
    <t xml:space="preserve">7661452996357804570</t>
  </si>
  <si>
    <t xml:space="preserve">H260712326960050101661</t>
  </si>
  <si>
    <t xml:space="preserve">7661453494611710502</t>
  </si>
  <si>
    <t xml:space="preserve">H260712326962080104623</t>
  </si>
  <si>
    <t xml:space="preserve">7661453810468164142</t>
  </si>
  <si>
    <t xml:space="preserve">yyty</t>
  </si>
  <si>
    <t xml:space="preserve">H260712327382830115241</t>
  </si>
  <si>
    <t xml:space="preserve">7661495798773027382</t>
  </si>
  <si>
    <t xml:space="preserve">H260712327389160123132</t>
  </si>
  <si>
    <t xml:space="preserve">7661496502879146539</t>
  </si>
  <si>
    <t xml:space="preserve">H260712327514400150370</t>
  </si>
  <si>
    <t xml:space="preserve">7661516066455343622</t>
  </si>
  <si>
    <t xml:space="preserve">静馨</t>
  </si>
  <si>
    <t xml:space="preserve">H260707319372460165135</t>
  </si>
  <si>
    <t xml:space="preserve">7659547576120447539</t>
  </si>
  <si>
    <t xml:space="preserve">H260707319373740149737</t>
  </si>
  <si>
    <t xml:space="preserve">7659548608090935859</t>
  </si>
  <si>
    <t xml:space="preserve">阳光</t>
  </si>
  <si>
    <t xml:space="preserve">H260707319395180184312</t>
  </si>
  <si>
    <t xml:space="preserve">7659562079771808310</t>
  </si>
  <si>
    <t xml:space="preserve">H260707319401890156139</t>
  </si>
  <si>
    <t xml:space="preserve">7659565693502968383</t>
  </si>
  <si>
    <t xml:space="preserve">冰露</t>
  </si>
  <si>
    <t xml:space="preserve">H260707319429640124440</t>
  </si>
  <si>
    <t xml:space="preserve">7659575261310243378</t>
  </si>
  <si>
    <t xml:space="preserve">H260707319440130182515</t>
  </si>
  <si>
    <t xml:space="preserve">7659577985743000090</t>
  </si>
  <si>
    <t xml:space="preserve">H260707319528890181244</t>
  </si>
  <si>
    <t xml:space="preserve">7659589147950305842</t>
  </si>
  <si>
    <t xml:space="preserve">杨扬.</t>
  </si>
  <si>
    <t xml:space="preserve">H260707319530030138771</t>
  </si>
  <si>
    <t xml:space="preserve">7659588078443745838</t>
  </si>
  <si>
    <t xml:space="preserve">H260707319558030145348</t>
  </si>
  <si>
    <t xml:space="preserve">7659592628111184422</t>
  </si>
  <si>
    <t xml:space="preserve">你是那颗最亮的星</t>
  </si>
  <si>
    <t xml:space="preserve">H260707319565440139750</t>
  </si>
  <si>
    <t xml:space="preserve">7659593281336267315</t>
  </si>
  <si>
    <t xml:space="preserve">H260707319582590120470</t>
  </si>
  <si>
    <t xml:space="preserve">7659595502823281203</t>
  </si>
  <si>
    <t xml:space="preserve">痘医生（天府新区店）</t>
  </si>
  <si>
    <t xml:space="preserve">H260707319668860108211</t>
  </si>
  <si>
    <t xml:space="preserve">7659605016621224499</t>
  </si>
  <si>
    <t xml:space="preserve">H260707319674220100598</t>
  </si>
  <si>
    <t xml:space="preserve">7659605969914384906</t>
  </si>
  <si>
    <t xml:space="preserve">小金果</t>
  </si>
  <si>
    <t xml:space="preserve">H260707319729210160900</t>
  </si>
  <si>
    <t xml:space="preserve">7659614795280814643</t>
  </si>
  <si>
    <t xml:space="preserve">H260707319772080160900</t>
  </si>
  <si>
    <t xml:space="preserve">7659621187550482970</t>
  </si>
  <si>
    <t xml:space="preserve">风轻轻</t>
  </si>
  <si>
    <t xml:space="preserve">H260707319774890185201</t>
  </si>
  <si>
    <t xml:space="preserve">7659621494483079689</t>
  </si>
  <si>
    <t xml:space="preserve">H260707319781500117907</t>
  </si>
  <si>
    <t xml:space="preserve">7659622460789477938</t>
  </si>
  <si>
    <t xml:space="preserve">一切都无所谓</t>
  </si>
  <si>
    <t xml:space="preserve">H260707319854490198130</t>
  </si>
  <si>
    <t xml:space="preserve">7659632663120351790</t>
  </si>
  <si>
    <t xml:space="preserve">H260707319861650154392</t>
  </si>
  <si>
    <t xml:space="preserve">7659634600158908954</t>
  </si>
  <si>
    <t xml:space="preserve">丹沨</t>
  </si>
  <si>
    <t xml:space="preserve">H260707319947240111045</t>
  </si>
  <si>
    <t xml:space="preserve">7659649500352631337</t>
  </si>
  <si>
    <t xml:space="preserve">H260707319954750196354</t>
  </si>
  <si>
    <t xml:space="preserve">7659650073634279955</t>
  </si>
  <si>
    <t xml:space="preserve">天佑天霖</t>
  </si>
  <si>
    <t xml:space="preserve">H260707320040430169857</t>
  </si>
  <si>
    <t xml:space="preserve">7659665429945831942</t>
  </si>
  <si>
    <t xml:space="preserve">H260707320046670137681</t>
  </si>
  <si>
    <t xml:space="preserve">7659666652182811190</t>
  </si>
  <si>
    <t xml:space="preserve">花枝俏</t>
  </si>
  <si>
    <t xml:space="preserve">H260707320050750101619</t>
  </si>
  <si>
    <t xml:space="preserve">7659667263137665563</t>
  </si>
  <si>
    <t xml:space="preserve">H260707320055730176216</t>
  </si>
  <si>
    <t xml:space="preserve">7659668040008274441</t>
  </si>
  <si>
    <t xml:space="preserve">不违我心</t>
  </si>
  <si>
    <t xml:space="preserve">H260707320363280148692</t>
  </si>
  <si>
    <t xml:space="preserve">7659726851824177673</t>
  </si>
  <si>
    <t xml:space="preserve">H260707320370400123718</t>
  </si>
  <si>
    <t xml:space="preserve">7659728541503787566</t>
  </si>
  <si>
    <t xml:space="preserve">小甜心</t>
  </si>
  <si>
    <t xml:space="preserve">H260707320386670111409</t>
  </si>
  <si>
    <t xml:space="preserve">7659729685605044790</t>
  </si>
  <si>
    <t xml:space="preserve">H260707320399090135406</t>
  </si>
  <si>
    <t xml:space="preserve">7659734381465571859</t>
  </si>
  <si>
    <t xml:space="preserve">用户1995384492200</t>
  </si>
  <si>
    <t xml:space="preserve">H260707320419200113566</t>
  </si>
  <si>
    <t xml:space="preserve">7659739784874381833</t>
  </si>
  <si>
    <t xml:space="preserve">H260707320425710175919</t>
  </si>
  <si>
    <t xml:space="preserve">7659741517241913882</t>
  </si>
  <si>
    <t xml:space="preserve">网红小奶狗</t>
  </si>
  <si>
    <t xml:space="preserve">H260708320660990147716</t>
  </si>
  <si>
    <t xml:space="preserve">7659816511841767945</t>
  </si>
  <si>
    <t xml:space="preserve">H260708320661530155364</t>
  </si>
  <si>
    <t xml:space="preserve">7659816680244793907</t>
  </si>
  <si>
    <t xml:space="preserve">萍水相逢</t>
  </si>
  <si>
    <t xml:space="preserve">H260708320725150136554</t>
  </si>
  <si>
    <t xml:space="preserve">7659911371886219782</t>
  </si>
  <si>
    <t xml:space="preserve">H260708320725770100180</t>
  </si>
  <si>
    <t xml:space="preserve">7659913003342336566</t>
  </si>
  <si>
    <t xml:space="preserve">摩卡唢呐</t>
  </si>
  <si>
    <t xml:space="preserve">H260708320727430121770</t>
  </si>
  <si>
    <t xml:space="preserve">7659914392019931690</t>
  </si>
  <si>
    <t xml:space="preserve">H260708320730990136892</t>
  </si>
  <si>
    <t xml:space="preserve">7659917901863883318</t>
  </si>
  <si>
    <t xml:space="preserve">人生都很累</t>
  </si>
  <si>
    <t xml:space="preserve">H260708320728770172953</t>
  </si>
  <si>
    <t xml:space="preserve">7659915748519907859</t>
  </si>
  <si>
    <t xml:space="preserve">H260708320730690126220</t>
  </si>
  <si>
    <t xml:space="preserve">7659916898456539689</t>
  </si>
  <si>
    <t xml:space="preserve">富养四代人</t>
  </si>
  <si>
    <t xml:space="preserve">H260708320734520168903</t>
  </si>
  <si>
    <t xml:space="preserve">7659919797294338569</t>
  </si>
  <si>
    <t xml:space="preserve">H260708320735430148451</t>
  </si>
  <si>
    <t xml:space="preserve">7659921273473798683</t>
  </si>
  <si>
    <t xml:space="preserve">四海春风</t>
  </si>
  <si>
    <t xml:space="preserve">H260708320736710123182</t>
  </si>
  <si>
    <t xml:space="preserve">7659922060493034022</t>
  </si>
  <si>
    <t xml:space="preserve">H260708320737340134180</t>
  </si>
  <si>
    <t xml:space="preserve">7659922419406230066</t>
  </si>
  <si>
    <t xml:space="preserve">晴晴</t>
  </si>
  <si>
    <t xml:space="preserve">H260708320778700172482</t>
  </si>
  <si>
    <t xml:space="preserve">7659944682545222150</t>
  </si>
  <si>
    <t xml:space="preserve">H260708320822470131538</t>
  </si>
  <si>
    <t xml:space="preserve">7659954665531609642</t>
  </si>
  <si>
    <t xml:space="preserve">迎接朝阳</t>
  </si>
  <si>
    <t xml:space="preserve">H260708320780070145618</t>
  </si>
  <si>
    <t xml:space="preserve">7659945408868717062</t>
  </si>
  <si>
    <t xml:space="preserve">H260708320786390139493</t>
  </si>
  <si>
    <t xml:space="preserve">7659947274461516294</t>
  </si>
  <si>
    <t xml:space="preserve">蝴蝶</t>
  </si>
  <si>
    <t xml:space="preserve">H260708321043860105205</t>
  </si>
  <si>
    <t xml:space="preserve">7659981002292105738</t>
  </si>
  <si>
    <t xml:space="preserve">H260708321046160158571</t>
  </si>
  <si>
    <t xml:space="preserve">7659981363419927066</t>
  </si>
  <si>
    <t xml:space="preserve">ღ微笑༊向日葵🌻</t>
  </si>
  <si>
    <t xml:space="preserve">H260708321049060166285</t>
  </si>
  <si>
    <t xml:space="preserve">7659981996923474475</t>
  </si>
  <si>
    <t xml:space="preserve">H260708321057390188488</t>
  </si>
  <si>
    <t xml:space="preserve">7659982986099642886</t>
  </si>
  <si>
    <t xml:space="preserve">珠玉</t>
  </si>
  <si>
    <t xml:space="preserve">H260708321174910141688</t>
  </si>
  <si>
    <t xml:space="preserve">7660000668066435593</t>
  </si>
  <si>
    <t xml:space="preserve">H260708321193030149960</t>
  </si>
  <si>
    <t xml:space="preserve">7660003774621372966</t>
  </si>
  <si>
    <t xml:space="preserve">轻风恋雨</t>
  </si>
  <si>
    <t xml:space="preserve">H260708321214840198874</t>
  </si>
  <si>
    <t xml:space="preserve">7660008527785398811</t>
  </si>
  <si>
    <t xml:space="preserve">H260708321218440102021</t>
  </si>
  <si>
    <t xml:space="preserve">7660009273016635950</t>
  </si>
  <si>
    <t xml:space="preserve">御弟哥哥</t>
  </si>
  <si>
    <t xml:space="preserve">H260708321340710175187</t>
  </si>
  <si>
    <t xml:space="preserve">7660032406904410633</t>
  </si>
  <si>
    <t xml:space="preserve">H260708321384390151783</t>
  </si>
  <si>
    <t xml:space="preserve">7660039963618169382</t>
  </si>
  <si>
    <t xml:space="preserve">黑土匠人的美学馆</t>
  </si>
  <si>
    <t xml:space="preserve">H260708321445250142144</t>
  </si>
  <si>
    <t xml:space="preserve">7660052223992271398</t>
  </si>
  <si>
    <t xml:space="preserve">H260708321447810118182</t>
  </si>
  <si>
    <t xml:space="preserve">7660052993029624347</t>
  </si>
  <si>
    <t xml:space="preserve">盖盖吖_</t>
  </si>
  <si>
    <t xml:space="preserve">H260708321526340137181</t>
  </si>
  <si>
    <t xml:space="preserve">7660069088936546859</t>
  </si>
  <si>
    <t xml:space="preserve">H260708321550500161720</t>
  </si>
  <si>
    <t xml:space="preserve">7660074593209586218</t>
  </si>
  <si>
    <t xml:space="preserve">H260708321553600129565</t>
  </si>
  <si>
    <t xml:space="preserve">7660075538676159018</t>
  </si>
  <si>
    <t xml:space="preserve">用户蕾</t>
  </si>
  <si>
    <t xml:space="preserve">H260708321545180135705</t>
  </si>
  <si>
    <t xml:space="preserve">7660072538036048403</t>
  </si>
  <si>
    <t xml:space="preserve">H260708321547990151429</t>
  </si>
  <si>
    <t xml:space="preserve">7660074023801147923</t>
  </si>
  <si>
    <t xml:space="preserve">随和</t>
  </si>
  <si>
    <t xml:space="preserve">H260708321549620171188</t>
  </si>
  <si>
    <t xml:space="preserve">7660073482532950538</t>
  </si>
  <si>
    <t xml:space="preserve">H260708321552080128076</t>
  </si>
  <si>
    <t xml:space="preserve">7660075276446814747</t>
  </si>
  <si>
    <t xml:space="preserve">北京老太</t>
  </si>
  <si>
    <t xml:space="preserve">H260708321607140196119</t>
  </si>
  <si>
    <t xml:space="preserve">7660086737894134310</t>
  </si>
  <si>
    <t xml:space="preserve">H260708321612790167345</t>
  </si>
  <si>
    <t xml:space="preserve">7660088332449223219</t>
  </si>
  <si>
    <t xml:space="preserve">姝妍shuyan</t>
  </si>
  <si>
    <t xml:space="preserve">H260708321851080150514</t>
  </si>
  <si>
    <t xml:space="preserve">7660154790139351562</t>
  </si>
  <si>
    <t xml:space="preserve">H260708321851750182778</t>
  </si>
  <si>
    <t xml:space="preserve">7660155002804654630</t>
  </si>
  <si>
    <t xml:space="preserve">九鼎商贸城E区81，82，83鞋业批发</t>
  </si>
  <si>
    <t xml:space="preserve">H260709321990500106913</t>
  </si>
  <si>
    <t xml:space="preserve">7660284422805180978</t>
  </si>
  <si>
    <t xml:space="preserve">H260709321992970119843</t>
  </si>
  <si>
    <t xml:space="preserve">7660286736764965414</t>
  </si>
  <si>
    <t xml:space="preserve">慧蓝，</t>
  </si>
  <si>
    <t xml:space="preserve">H260709321995890154066</t>
  </si>
  <si>
    <t xml:space="preserve">7660288579612119579</t>
  </si>
  <si>
    <t xml:space="preserve">H260709321998980192649</t>
  </si>
  <si>
    <t xml:space="preserve">7660291786987016713</t>
  </si>
  <si>
    <t xml:space="preserve">ღ᭄嘵檸檬ꦿএ</t>
  </si>
  <si>
    <t xml:space="preserve">H260709322036880194615</t>
  </si>
  <si>
    <t xml:space="preserve">7660314829026284041</t>
  </si>
  <si>
    <t xml:space="preserve">H260709322038130103968</t>
  </si>
  <si>
    <t xml:space="preserve">7660315398939628082</t>
  </si>
  <si>
    <t xml:space="preserve">云是丹青</t>
  </si>
  <si>
    <t xml:space="preserve">H260709322527220142351</t>
  </si>
  <si>
    <t xml:space="preserve">7660382979250885158</t>
  </si>
  <si>
    <t xml:space="preserve">H260709322528760177437</t>
  </si>
  <si>
    <t xml:space="preserve">7660383312955085350</t>
  </si>
  <si>
    <t xml:space="preserve">媛媛</t>
  </si>
  <si>
    <t xml:space="preserve">H260709322614120147680</t>
  </si>
  <si>
    <t xml:space="preserve">7660398811948503615</t>
  </si>
  <si>
    <t xml:space="preserve">H260709322860510147680</t>
  </si>
  <si>
    <t xml:space="preserve">7660444976878244371</t>
  </si>
  <si>
    <t xml:space="preserve">阿红</t>
  </si>
  <si>
    <t xml:space="preserve">H260709323096770170649</t>
  </si>
  <si>
    <t xml:space="preserve">7660504898131333658</t>
  </si>
  <si>
    <t xml:space="preserve">H260709323098640191814</t>
  </si>
  <si>
    <t xml:space="preserve">7660505664329208330</t>
  </si>
  <si>
    <t xml:space="preserve">静心</t>
  </si>
  <si>
    <t xml:space="preserve">H260709323206150184465</t>
  </si>
  <si>
    <t xml:space="preserve">7660536774024024627</t>
  </si>
  <si>
    <t xml:space="preserve">H260709323212550167766</t>
  </si>
  <si>
    <t xml:space="preserve">7660540088908304922</t>
  </si>
  <si>
    <t xml:space="preserve">꧁꧂相濡以沫</t>
  </si>
  <si>
    <t xml:space="preserve">H260710323356400118749</t>
  </si>
  <si>
    <t xml:space="preserve">7660676906858713650</t>
  </si>
  <si>
    <t xml:space="preserve">H260710323365160199293</t>
  </si>
  <si>
    <t xml:space="preserve">7660681672647823882</t>
  </si>
  <si>
    <t xml:space="preserve">福泽</t>
  </si>
  <si>
    <t xml:space="preserve">H260710323369680128476</t>
  </si>
  <si>
    <t xml:space="preserve">7660683533593219620</t>
  </si>
  <si>
    <t xml:space="preserve">H260710323372140150023</t>
  </si>
  <si>
    <t xml:space="preserve">7660684275972510251</t>
  </si>
  <si>
    <t xml:space="preserve">偶尔</t>
  </si>
  <si>
    <t xml:space="preserve">H260710323468450184332</t>
  </si>
  <si>
    <t xml:space="preserve">7660699318010729010</t>
  </si>
  <si>
    <t xml:space="preserve">H260710323479640194057</t>
  </si>
  <si>
    <t xml:space="preserve">7660699785639563802</t>
  </si>
  <si>
    <t xml:space="preserve">星星🌟（首播 干货分享）</t>
  </si>
  <si>
    <t xml:space="preserve">H260710323633610128061</t>
  </si>
  <si>
    <t xml:space="preserve">7660709314488537609</t>
  </si>
  <si>
    <t xml:space="preserve">H260710323660200103455</t>
  </si>
  <si>
    <t xml:space="preserve">7660713138078863926</t>
  </si>
  <si>
    <t xml:space="preserve">岁岁逢吉</t>
  </si>
  <si>
    <t xml:space="preserve">H260710323978830150900</t>
  </si>
  <si>
    <t xml:space="preserve">7660739512846520886</t>
  </si>
  <si>
    <t xml:space="preserve">H260710323994340103504</t>
  </si>
  <si>
    <t xml:space="preserve">7660740981877903914</t>
  </si>
  <si>
    <t xml:space="preserve">竹子</t>
  </si>
  <si>
    <t xml:space="preserve">H260710324376720115605</t>
  </si>
  <si>
    <t xml:space="preserve">7660793330532979227</t>
  </si>
  <si>
    <t xml:space="preserve">H260710324577780174101</t>
  </si>
  <si>
    <t xml:space="preserve">7660836565865861642</t>
  </si>
  <si>
    <t xml:space="preserve">心随凤舞</t>
  </si>
  <si>
    <t xml:space="preserve">H260710324639420110392</t>
  </si>
  <si>
    <t xml:space="preserve">7660850894682067506</t>
  </si>
  <si>
    <t xml:space="preserve">H260710324655910125533</t>
  </si>
  <si>
    <t xml:space="preserve">7660856590962168358</t>
  </si>
  <si>
    <t xml:space="preserve">back</t>
  </si>
  <si>
    <t xml:space="preserve">H260710324806320188424</t>
  </si>
  <si>
    <t xml:space="preserve">7660895868605911578</t>
  </si>
  <si>
    <t xml:space="preserve">H260710324807640100364</t>
  </si>
  <si>
    <t xml:space="preserve">7660896482829718067</t>
  </si>
  <si>
    <t xml:space="preserve">张j</t>
  </si>
  <si>
    <t xml:space="preserve">H260711324987540159821</t>
  </si>
  <si>
    <t xml:space="preserve">7661035443959190043</t>
  </si>
  <si>
    <t xml:space="preserve">H260711324988840178044</t>
  </si>
  <si>
    <t xml:space="preserve">7661036566474920498</t>
  </si>
  <si>
    <t xml:space="preserve">用户21345679441956</t>
  </si>
  <si>
    <t xml:space="preserve">H260711324987510165385</t>
  </si>
  <si>
    <t xml:space="preserve">7661035594945630730</t>
  </si>
  <si>
    <t xml:space="preserve">H260711324998490141186</t>
  </si>
  <si>
    <t xml:space="preserve">7661042582563852827</t>
  </si>
  <si>
    <t xml:space="preserve">夏晴</t>
  </si>
  <si>
    <t xml:space="preserve">H260711325012300194946</t>
  </si>
  <si>
    <t xml:space="preserve">7661050602865807881</t>
  </si>
  <si>
    <t xml:space="preserve">H260711325014680122367</t>
  </si>
  <si>
    <t xml:space="preserve">7661051948648485402</t>
  </si>
  <si>
    <t xml:space="preserve">活着潇洒</t>
  </si>
  <si>
    <t xml:space="preserve">H260711325055490177079</t>
  </si>
  <si>
    <t xml:space="preserve">7661063419408831018</t>
  </si>
  <si>
    <t xml:space="preserve">H260711325071060193029</t>
  </si>
  <si>
    <t xml:space="preserve">7661065830162158099</t>
  </si>
  <si>
    <t xml:space="preserve">优雅女人</t>
  </si>
  <si>
    <t xml:space="preserve">H260711325056950185362</t>
  </si>
  <si>
    <t xml:space="preserve">7661063648572953131</t>
  </si>
  <si>
    <t xml:space="preserve">H260711325196700185362</t>
  </si>
  <si>
    <t xml:space="preserve">7661074463018078762</t>
  </si>
  <si>
    <t xml:space="preserve">张建玲</t>
  </si>
  <si>
    <t xml:space="preserve">H260711325203670130667</t>
  </si>
  <si>
    <t xml:space="preserve">7661074703364379162</t>
  </si>
  <si>
    <t xml:space="preserve">H260711325233830165661</t>
  </si>
  <si>
    <t xml:space="preserve">7661076916251218470</t>
  </si>
  <si>
    <t xml:space="preserve">肖姐在山里烤鸡</t>
  </si>
  <si>
    <t xml:space="preserve">H260711325826130134528</t>
  </si>
  <si>
    <t xml:space="preserve">7661132037197156902</t>
  </si>
  <si>
    <t xml:space="preserve">H260711325828340112389</t>
  </si>
  <si>
    <t xml:space="preserve">7661132467176493577</t>
  </si>
  <si>
    <t xml:space="preserve">紫月</t>
  </si>
  <si>
    <t xml:space="preserve">H260711326019830132464</t>
  </si>
  <si>
    <t xml:space="preserve">7661161135348945444</t>
  </si>
  <si>
    <t xml:space="preserve">H260711326027390181885</t>
  </si>
  <si>
    <t xml:space="preserve">7661162134419591743</t>
  </si>
  <si>
    <t xml:space="preserve">歌迷华姐</t>
  </si>
  <si>
    <t xml:space="preserve">H260711326383380135726</t>
  </si>
  <si>
    <t xml:space="preserve">7661252322769474086</t>
  </si>
  <si>
    <t xml:space="preserve">H260711326389240111985</t>
  </si>
  <si>
    <t xml:space="preserve">7661254074978619954</t>
  </si>
  <si>
    <t xml:space="preserve">ღ᭄赵💰财ꦿ᭄进ঞᩚ宝²⁰²6࿐</t>
  </si>
  <si>
    <t xml:space="preserve">H260711326500640166027</t>
  </si>
  <si>
    <t xml:space="preserve">7661257402090689060</t>
  </si>
  <si>
    <t xml:space="preserve">H260711326502450172865</t>
  </si>
  <si>
    <t xml:space="preserve">7661258031937933843</t>
  </si>
  <si>
    <t xml:space="preserve">唯一</t>
  </si>
  <si>
    <t xml:space="preserve">H260712327210990129740</t>
  </si>
  <si>
    <t xml:space="preserve">7661474306047824426</t>
  </si>
  <si>
    <t xml:space="preserve">H260712327245110144676</t>
  </si>
  <si>
    <t xml:space="preserve">7661479555109212726</t>
  </si>
  <si>
    <t xml:space="preserve">。。</t>
  </si>
  <si>
    <t xml:space="preserve">H260712327545810142824</t>
  </si>
  <si>
    <t xml:space="preserve">7661520296645792310</t>
  </si>
  <si>
    <t xml:space="preserve">H260712327549570116142</t>
  </si>
  <si>
    <t xml:space="preserve">7661520847902069284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</si>
  <si>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</si>
  <si>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</si>
  <si>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</si>
  <si>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</si>
  <si>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</si>
  <si>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</si>
  <si>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</si>
  <si>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</si>
  <si>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</si>
  <si>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</si>
  <si>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</si>
  <si>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</si>
  <si>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</si>
  <si>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</si>
  <si>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</si>
  <si>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</si>
  <si>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</si>
  <si>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</si>
  <si>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</si>
  <si>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</si>
  <si>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</si>
  <si>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</si>
  <si>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后台订单提交数</t>
  </si>
  <si>
    <t xml:space="preserve">有效评论</t>
  </si>
  <si>
    <t xml:space="preserve">2026.6.1</t>
  </si>
  <si>
    <t xml:space="preserve">郭玉龙</t>
  </si>
  <si>
    <t xml:space="preserve">06:00-07:00</t>
  </si>
  <si>
    <t xml:space="preserve">江勇</t>
  </si>
  <si>
    <t xml:space="preserve">董柯言</t>
  </si>
  <si>
    <t xml:space="preserve">07:00-08:00</t>
  </si>
  <si>
    <t xml:space="preserve">08:00-09:00</t>
  </si>
  <si>
    <t xml:space="preserve">09:00-10:00</t>
  </si>
  <si>
    <t xml:space="preserve">分主播汇总</t>
  </si>
  <si>
    <t xml:space="preserve">王笑荣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</si>
  <si>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</si>
  <si>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</si>
  <si>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</si>
  <si>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</si>
  <si>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宋博阳</t>
  </si>
  <si>
    <t xml:space="preserve">19:00-20:00</t>
  </si>
  <si>
    <t xml:space="preserve">李子健</t>
  </si>
  <si>
    <t xml:space="preserve">20:00-21:00</t>
  </si>
  <si>
    <t xml:space="preserve">21:00-22:00</t>
  </si>
  <si>
    <t xml:space="preserve">总计</t>
  </si>
  <si>
    <t xml:space="preserve">2026.6.2</t>
  </si>
  <si>
    <t xml:space="preserve">程思佳</t>
  </si>
  <si>
    <t xml:space="preserve">冯羽馨</t>
  </si>
  <si>
    <t xml:space="preserve">2026.6.3</t>
  </si>
  <si>
    <t xml:space="preserve">14:00-15:00</t>
  </si>
  <si>
    <t xml:space="preserve">15:00-16:00</t>
  </si>
  <si>
    <t xml:space="preserve">16:00-17:00</t>
  </si>
  <si>
    <t xml:space="preserve">17:00-18:00</t>
  </si>
  <si>
    <t xml:space="preserve">2026.6.4</t>
  </si>
  <si>
    <t xml:space="preserve">2026.6.5</t>
  </si>
  <si>
    <t xml:space="preserve">2026.6.6</t>
  </si>
  <si>
    <t xml:space="preserve">李佳怡</t>
  </si>
  <si>
    <t xml:space="preserve">2026.6.7</t>
  </si>
  <si>
    <t xml:space="preserve">2026.6.8</t>
  </si>
  <si>
    <t xml:space="preserve">2026.6.9</t>
  </si>
  <si>
    <t xml:space="preserve">何雅源</t>
  </si>
  <si>
    <t xml:space="preserve">2026.6.10</t>
  </si>
  <si>
    <t xml:space="preserve">2026.6.11</t>
  </si>
  <si>
    <t xml:space="preserve">2026.6.12</t>
  </si>
  <si>
    <t xml:space="preserve">18:00-19:00</t>
  </si>
  <si>
    <t xml:space="preserve">2026.6.13</t>
  </si>
  <si>
    <t xml:space="preserve">2026.6.14</t>
  </si>
  <si>
    <t xml:space="preserve">2026.6.15</t>
  </si>
  <si>
    <t xml:space="preserve">2026.6.16</t>
  </si>
  <si>
    <t xml:space="preserve">2026.6.17</t>
  </si>
  <si>
    <t xml:space="preserve">2026.6.18</t>
  </si>
  <si>
    <t xml:space="preserve">2026.6.19</t>
  </si>
  <si>
    <t xml:space="preserve">2026.6.20</t>
  </si>
  <si>
    <t xml:space="preserve">2026.6.21</t>
  </si>
  <si>
    <t xml:space="preserve">2026.6.22</t>
  </si>
  <si>
    <t xml:space="preserve">2026.6.23</t>
  </si>
  <si>
    <t xml:space="preserve">2026.6.24</t>
  </si>
  <si>
    <t xml:space="preserve">卢林岩</t>
  </si>
  <si>
    <t xml:space="preserve">卢佳轩</t>
  </si>
  <si>
    <t xml:space="preserve">2026.6.25</t>
  </si>
  <si>
    <t xml:space="preserve">卢林琰</t>
  </si>
  <si>
    <t xml:space="preserve">2026.6.26</t>
  </si>
  <si>
    <t xml:space="preserve">2026.6.27</t>
  </si>
  <si>
    <t xml:space="preserve">22:00-23:00</t>
  </si>
  <si>
    <t xml:space="preserve">23:00-24:00</t>
  </si>
  <si>
    <t xml:space="preserve">2026.6.28</t>
  </si>
  <si>
    <t xml:space="preserve">24:00-01:00</t>
  </si>
  <si>
    <t xml:space="preserve">01:00-01:30</t>
  </si>
  <si>
    <t xml:space="preserve">2026.6.29</t>
  </si>
  <si>
    <t xml:space="preserve">2026.6.30</t>
  </si>
  <si>
    <t xml:space="preserve">周舒馨</t>
  </si>
  <si>
    <t xml:space="preserve">小助手保费</t>
  </si>
  <si>
    <t xml:space="preserve">电商小助手保费</t>
  </si>
  <si>
    <t xml:space="preserve">主看板保费</t>
  </si>
  <si>
    <t xml:space="preserve">主看板单量</t>
  </si>
  <si>
    <t xml:space="preserve"> 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</si>
  <si>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</si>
  <si>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</si>
  <si>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</si>
  <si>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</si>
  <si>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</si>
  <si>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</si>
  <si>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</si>
  <si>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</si>
  <si>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</si>
  <si>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</si>
  <si>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</si>
  <si>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</si>
  <si>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</si>
  <si>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</si>
  <si>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</si>
  <si>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</si>
  <si>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</si>
  <si>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</si>
  <si>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</si>
  <si>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</si>
  <si>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</si>
  <si>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</si>
  <si>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后台订单提交数</t>
  </si>
  <si>
    <t xml:space="preserve">有效评论</t>
  </si>
  <si>
    <t xml:space="preserve">2026.5.1</t>
  </si>
  <si>
    <t xml:space="preserve">郭玉龙</t>
  </si>
  <si>
    <t xml:space="preserve">08:00-09:00</t>
  </si>
  <si>
    <t xml:space="preserve">江勇</t>
  </si>
  <si>
    <t xml:space="preserve">任子硕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</si>
  <si>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</si>
  <si>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</si>
  <si>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</si>
  <si>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</si>
  <si>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分主播汇总</t>
  </si>
  <si>
    <t xml:space="preserve">李佳怡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</si>
  <si>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</si>
  <si>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</si>
  <si>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</si>
  <si>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</si>
  <si>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何彩樱</t>
  </si>
  <si>
    <t xml:space="preserve">17:00-18:00</t>
  </si>
  <si>
    <t xml:space="preserve">冯羽馨</t>
  </si>
  <si>
    <t xml:space="preserve">18:00-19:00</t>
  </si>
  <si>
    <t xml:space="preserve">19:00-20:00</t>
  </si>
  <si>
    <t xml:space="preserve">20:00-21:00</t>
  </si>
  <si>
    <t xml:space="preserve">王笑荣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</si>
  <si>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</si>
  <si>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</si>
  <si>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</si>
  <si>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</si>
  <si>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2026.5.2</t>
  </si>
  <si>
    <t xml:space="preserve">2026.5.3</t>
  </si>
  <si>
    <t xml:space="preserve">2026.5.4</t>
  </si>
  <si>
    <t xml:space="preserve">王茜</t>
  </si>
  <si>
    <t xml:space="preserve">2026.5.5</t>
  </si>
  <si>
    <t xml:space="preserve">董柯言</t>
  </si>
  <si>
    <t xml:space="preserve">2026.5.6</t>
  </si>
  <si>
    <t xml:space="preserve">2026.5.7</t>
  </si>
  <si>
    <t xml:space="preserve">2026.5.8</t>
  </si>
  <si>
    <t xml:space="preserve">李仓</t>
  </si>
  <si>
    <t xml:space="preserve">16:30-17:00</t>
  </si>
  <si>
    <t xml:space="preserve">20:00-20:30</t>
  </si>
  <si>
    <t xml:space="preserve">2026.5.9</t>
  </si>
  <si>
    <t xml:space="preserve">2026.5.10</t>
  </si>
  <si>
    <t xml:space="preserve">2026.5.11</t>
  </si>
  <si>
    <t xml:space="preserve">2026.5.12</t>
  </si>
  <si>
    <t xml:space="preserve">2026.5.13</t>
  </si>
  <si>
    <t xml:space="preserve">2026.5.14</t>
  </si>
  <si>
    <t xml:space="preserve">2026.5.15</t>
  </si>
  <si>
    <t xml:space="preserve">2026.5.16</t>
  </si>
  <si>
    <t xml:space="preserve">2026.5.17</t>
  </si>
  <si>
    <t xml:space="preserve">7:00-8:00</t>
  </si>
  <si>
    <t xml:space="preserve">李子健</t>
  </si>
  <si>
    <t xml:space="preserve">8:00-9:00</t>
  </si>
  <si>
    <t xml:space="preserve">周舒馨</t>
  </si>
  <si>
    <t xml:space="preserve">9:00-10:00</t>
  </si>
  <si>
    <t xml:space="preserve">2026.5.18</t>
  </si>
  <si>
    <t xml:space="preserve">07:00-08:00</t>
  </si>
  <si>
    <t xml:space="preserve">宋博阳</t>
  </si>
  <si>
    <t xml:space="preserve">2026.5.19</t>
  </si>
  <si>
    <t xml:space="preserve">2026.5.20</t>
  </si>
  <si>
    <t xml:space="preserve">2026.5.21</t>
  </si>
  <si>
    <t xml:space="preserve">2026.5.22</t>
  </si>
  <si>
    <t xml:space="preserve">06:00-07:00</t>
  </si>
  <si>
    <t xml:space="preserve">2026.5.23</t>
  </si>
  <si>
    <t xml:space="preserve">2026.5.24</t>
  </si>
  <si>
    <t xml:space="preserve">21:00-21:30</t>
  </si>
  <si>
    <t xml:space="preserve">2026.5.25</t>
  </si>
  <si>
    <t xml:space="preserve">2026.5.26</t>
  </si>
  <si>
    <t xml:space="preserve">2026.5.27</t>
  </si>
  <si>
    <t xml:space="preserve">2026.5.28</t>
  </si>
  <si>
    <t xml:space="preserve">2026.5.29</t>
  </si>
  <si>
    <t xml:space="preserve">程思佳</t>
  </si>
  <si>
    <t xml:space="preserve">2026.5.30</t>
  </si>
  <si>
    <t xml:space="preserve">2026.5.31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</si>
  <si>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</si>
  <si>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</si>
  <si>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</si>
  <si>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</si>
  <si>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</si>
  <si>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</si>
  <si>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</si>
  <si>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</si>
  <si>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</si>
  <si>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</si>
  <si>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</si>
  <si>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</si>
  <si>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</si>
  <si>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</si>
  <si>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</si>
  <si>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</si>
  <si>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</si>
  <si>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</si>
  <si>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</si>
  <si>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</si>
  <si>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后台订单提交数</t>
  </si>
  <si>
    <t xml:space="preserve">有效评论</t>
  </si>
  <si>
    <t xml:space="preserve">2026.4.5</t>
  </si>
  <si>
    <t xml:space="preserve">冯羽鑫</t>
  </si>
  <si>
    <t xml:space="preserve">08:30-9:00</t>
  </si>
  <si>
    <t xml:space="preserve">江勇</t>
  </si>
  <si>
    <t xml:space="preserve">闫雪儒</t>
  </si>
  <si>
    <t xml:space="preserve">09:00-10:00</t>
  </si>
  <si>
    <t xml:space="preserve">10:00-11:00</t>
  </si>
  <si>
    <t xml:space="preserve">分主播汇总</t>
  </si>
  <si>
    <t xml:space="preserve">王茜</t>
  </si>
  <si>
    <t xml:space="preserve">11:00-12:00</t>
  </si>
  <si>
    <t xml:space="preserve">12:00-13:00</t>
  </si>
  <si>
    <t xml:space="preserve">13:00-14:00</t>
  </si>
  <si>
    <t xml:space="preserve">总计</t>
  </si>
  <si>
    <t xml:space="preserve">2026.4.6</t>
  </si>
  <si>
    <t xml:space="preserve">冯羽馨</t>
  </si>
  <si>
    <t xml:space="preserve">08:00-9:00</t>
  </si>
  <si>
    <t xml:space="preserve">何彩樱</t>
  </si>
  <si>
    <t xml:space="preserve">2026.4.7</t>
  </si>
  <si>
    <t xml:space="preserve">08:00-09:00</t>
  </si>
  <si>
    <t xml:space="preserve">周舒馨</t>
  </si>
  <si>
    <t xml:space="preserve">2026.4.8</t>
  </si>
  <si>
    <t xml:space="preserve">06:00-07:00</t>
  </si>
  <si>
    <t xml:space="preserve">07:00-08:00</t>
  </si>
  <si>
    <t xml:space="preserve">2026.4.9</t>
  </si>
  <si>
    <t xml:space="preserve">2026.4.10</t>
  </si>
  <si>
    <t xml:space="preserve">2026.4.11</t>
  </si>
  <si>
    <t xml:space="preserve">2026.4.12</t>
  </si>
  <si>
    <t xml:space="preserve">2026.4.13</t>
  </si>
  <si>
    <t xml:space="preserve">直投消耗</t>
  </si>
  <si>
    <t xml:space="preserve">素材消耗</t>
  </si>
  <si>
    <t xml:space="preserve">2026.4.14</t>
  </si>
  <si>
    <t xml:space="preserve">2026.4.15</t>
  </si>
  <si>
    <t xml:space="preserve">2026.4.16</t>
  </si>
  <si>
    <t xml:space="preserve">2026.4.17</t>
  </si>
  <si>
    <t xml:space="preserve">2026.4.18</t>
  </si>
  <si>
    <t xml:space="preserve">李佳怡</t>
  </si>
  <si>
    <t xml:space="preserve">2026.4.19</t>
  </si>
  <si>
    <t xml:space="preserve">2026.4.20</t>
  </si>
  <si>
    <t xml:space="preserve">2026.4.21</t>
  </si>
  <si>
    <t xml:space="preserve">2026.4.22</t>
  </si>
  <si>
    <t xml:space="preserve">2026.4.23</t>
  </si>
  <si>
    <t xml:space="preserve">2026.4.24</t>
  </si>
  <si>
    <t xml:space="preserve">郭玉龙</t>
  </si>
  <si>
    <t xml:space="preserve">16:00-17:00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</si>
  <si>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</si>
  <si>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</si>
  <si>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</si>
  <si>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</si>
  <si>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</si>
  <si>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</si>
  <si>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</si>
  <si>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2026.4.25</t>
  </si>
  <si>
    <t xml:space="preserve">2026.4.26</t>
  </si>
  <si>
    <t xml:space="preserve">2026.4.27</t>
  </si>
  <si>
    <t xml:space="preserve">2026.4.28</t>
  </si>
  <si>
    <t xml:space="preserve">2026.4.29</t>
  </si>
  <si>
    <t xml:space="preserve">2026.4.30</t>
  </si>
  <si>
    <t xml:space="preserve">15:00-16:00</t>
  </si>
  <si>
    <t xml:space="preserve">王笑荣</t>
  </si>
  <si>
    <t xml:space="preserve">21:30-22:00</t>
  </si>
  <si>
    <t xml:space="preserve">24:00-24:30</t>
  </si>
  <si>
    <t xml:space="preserve">刘姐短剧</t>
  </si>
  <si>
    <t xml:space="preserve">轩辕巧峰</t>
  </si>
  <si>
    <t xml:space="preserve">67凤姐</t>
  </si>
  <si>
    <t xml:space="preserve">家庭教育田老师</t>
  </si>
  <si>
    <t xml:space="preserve">哎呀我去</t>
  </si>
  <si>
    <t xml:space="preserve">顺其自然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</si>
</sst>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2">
    <numFmt numFmtId="164" formatCode="yyyy/m/d"/>
    <numFmt numFmtId="165" formatCode="#,##0.00"/>
    <numFmt numFmtId="166" formatCode="0.00_);(0.00)"/>
    <numFmt numFmtId="167" formatCode="0.00%"/>
    <numFmt numFmtId="168" formatCode="0_);[Red](0)"/>
    <numFmt numFmtId="169" formatCode="0_);(0)"/>
    <numFmt numFmtId="170" formatCode="0.00;[Red]0.00"/>
    <numFmt numFmtId="171" formatCode="0.00_ "/>
    <numFmt numFmtId="172" formatCode="0"/>
    <numFmt numFmtId="173" formatCode="0.00_);[Red](0.00)"/>
    <numFmt numFmtId="174" formatCode="0.00"/>
    <numFmt numFmtId="175" formatCode="General"/>
    <numFmt numFmtId="176" formatCode="@"/>
    <numFmt numFmtId="177" formatCode="0单"/>
    <numFmt numFmtId="178" formatCode="yyyy/m/d"/>
    <numFmt numFmtId="179" formatCode="#,##0.00"/>
    <numFmt numFmtId="180" formatCode="0.00_);(0.00)"/>
    <numFmt numFmtId="181" formatCode="0.00%"/>
    <numFmt numFmtId="182" formatCode="0_);[Red](0)"/>
    <numFmt numFmtId="183" formatCode="0_);(0)"/>
    <numFmt numFmtId="184" formatCode="0.00;[Red]0.00"/>
    <numFmt numFmtId="185" formatCode="0.00_ "/>
    <numFmt numFmtId="186" formatCode="0"/>
    <numFmt numFmtId="187" formatCode="0.00_);[Red](0.00)"/>
    <numFmt numFmtId="188" formatCode="0.00"/>
    <numFmt numFmtId="189" formatCode="General"/>
    <numFmt numFmtId="190" formatCode="@"/>
    <numFmt numFmtId="191" formatCode="0单"/>
    <numFmt numFmtId="192" formatCode="yyyy/m/d"/>
    <numFmt numFmtId="193" formatCode="#,##0.00"/>
    <numFmt numFmtId="194" formatCode="0.00_);(0.00)"/>
    <numFmt numFmtId="195" formatCode="0.00%"/>
    <numFmt numFmtId="196" formatCode="0_);[Red](0)"/>
    <numFmt numFmtId="197" formatCode="0_);(0)"/>
    <numFmt numFmtId="198" formatCode="0.00;[Red]0.00"/>
    <numFmt numFmtId="199" formatCode="0.00_ "/>
    <numFmt numFmtId="200" formatCode="0"/>
    <numFmt numFmtId="201" formatCode="0.00_);[Red](0.00)"/>
    <numFmt numFmtId="202" formatCode="0.00"/>
    <numFmt numFmtId="203" formatCode="General"/>
    <numFmt numFmtId="204" formatCode="0单"/>
    <numFmt numFmtId="205" formatCode="yyyy/m/d"/>
    <numFmt numFmtId="206" formatCode="0.00_);(0.00)"/>
    <numFmt numFmtId="207" formatCode="0.00%"/>
    <numFmt numFmtId="208" formatCode="0_);[Red](0)"/>
    <numFmt numFmtId="209" formatCode="#,##0.00"/>
    <numFmt numFmtId="210" formatCode="0_);(0)"/>
    <numFmt numFmtId="211" formatCode="0.00;[Red]0.00"/>
    <numFmt numFmtId="212" formatCode="0.00_ "/>
    <numFmt numFmtId="213" formatCode="0"/>
    <numFmt numFmtId="214" formatCode="0.00_);[Red](0.00)"/>
    <numFmt numFmtId="215" formatCode="0.00"/>
    <numFmt numFmtId="216" formatCode="General"/>
    <numFmt numFmtId="217" formatCode="0单"/>
    <numFmt numFmtId="218" formatCode="m月d日"/>
    <numFmt numFmtId="219" formatCode="yyyy/m/d h:mm"/>
    <numFmt numFmtId="220" formatCode="yyyy/m/d"/>
    <numFmt numFmtId="221" formatCode="0.00_);(0.00)"/>
    <numFmt numFmtId="222" formatCode="0_);(0)"/>
    <numFmt numFmtId="223" formatCode="0_);[Red](0)"/>
    <numFmt numFmtId="224" formatCode="0.00;[Red]0.00"/>
    <numFmt numFmtId="225" formatCode="0.00_ "/>
    <numFmt numFmtId="226" formatCode="0.00%"/>
    <numFmt numFmtId="227" formatCode="0.00"/>
    <numFmt numFmtId="228" formatCode="#,##0.00"/>
    <numFmt numFmtId="229" formatCode="0.00_);[Red](0.00)"/>
    <numFmt numFmtId="230" formatCode="0"/>
    <numFmt numFmtId="231" formatCode="0单"/>
    <numFmt numFmtId="232" formatCode="General"/>
    <numFmt numFmtId="233" formatCode="yyyy/m/d"/>
    <numFmt numFmtId="234" formatCode="0.00_);(0.00)"/>
    <numFmt numFmtId="235" formatCode="0_);(0)"/>
    <numFmt numFmtId="236" formatCode="0_);[Red](0)"/>
    <numFmt numFmtId="237" formatCode="0.00;[Red]0.00"/>
    <numFmt numFmtId="238" formatCode="0.00_ "/>
    <numFmt numFmtId="239" formatCode="0.00%"/>
    <numFmt numFmtId="240" formatCode="0.00"/>
    <numFmt numFmtId="241" formatCode="#,##0.00"/>
    <numFmt numFmtId="242" formatCode="0.00_);[Red](0.00)"/>
    <numFmt numFmtId="243" formatCode="0"/>
    <numFmt numFmtId="244" formatCode="yyyy/m/d"/>
    <numFmt numFmtId="245" formatCode="0.00_);(0.00)"/>
    <numFmt numFmtId="246" formatCode="0_);[Red](0)"/>
    <numFmt numFmtId="247" formatCode="0_);(0)"/>
    <numFmt numFmtId="248" formatCode="0.00;[Red]0.00"/>
    <numFmt numFmtId="249" formatCode="0.00_ "/>
    <numFmt numFmtId="250" formatCode="0.00%"/>
    <numFmt numFmtId="251" formatCode="0.00"/>
    <numFmt numFmtId="252" formatCode="#,##0.00"/>
    <numFmt numFmtId="253" formatCode="0.00_);[Red](0.00)"/>
    <numFmt numFmtId="254" formatCode="0"/>
    <numFmt numFmtId="255" formatCode="General"/>
  </numFmts>
  <fonts count="35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23335"/>
      <name val="Calibri"/>
      <family val="2"/>
      <scheme val="minor"/>
    </font>
    <font>
      <b val="true"/>
      <sz val="12"/>
      <color rgb="FFC00000"/>
      <name val="Calibri"/>
      <family val="2"/>
      <scheme val="minor"/>
    </font>
    <font>
      <sz val="12"/>
      <color rgb="FFC60900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31343B"/>
      <name val="PingFang SC"/>
      <family val="2"/>
    </font>
    <font>
      <b val="true"/>
      <sz val="14"/>
      <color rgb="FF000000"/>
      <name val="Calibri"/>
      <family val="2"/>
      <scheme val="minor"/>
    </font>
    <font>
      <sz val="14"/>
      <color rgb="FF0F1114"/>
      <name val="Calibri"/>
      <family val="2"/>
      <scheme val="minor"/>
    </font>
    <font>
      <sz val="14"/>
      <color rgb="FF31343B"/>
      <name val="Noto Sans SC"/>
      <family val="2"/>
    </font>
    <font>
      <sz val="12"/>
      <color rgb="FF000000"/>
      <name val="Calibri"/>
      <family val="2"/>
      <scheme val="minor"/>
    </font>
    <font>
      <b val="true"/>
      <sz val="14"/>
      <color rgb="FF0F1114"/>
      <name val="Calibri"/>
      <family val="2"/>
      <scheme val="minor"/>
    </font>
    <font>
      <sz val="15"/>
      <color rgb="FF222222"/>
      <name val="Calibri"/>
      <family val="2"/>
      <scheme val="minor"/>
    </font>
    <font>
      <sz val="14"/>
      <color rgb="FF323335"/>
      <name val="Calibri"/>
      <family val="2"/>
      <scheme val="minor"/>
    </font>
    <font>
      <sz val="9"/>
      <color rgb="FF32333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9"/>
      <color rgb="FF31343B"/>
      <name val="PingFang SC"/>
      <family val="2"/>
    </font>
    <font>
      <sz val="9"/>
      <color rgb="FF31343B"/>
      <name val="Noto Sans SC"/>
      <family val="2"/>
    </font>
    <font>
      <sz val="9"/>
      <color rgb="FF0F1114"/>
      <name val="Calibri"/>
      <family val="2"/>
      <scheme val="minor"/>
    </font>
    <font>
      <sz val="11"/>
      <color rgb="FF0F1114"/>
      <name val="Calibri"/>
      <family val="2"/>
      <scheme val="minor"/>
    </font>
    <font>
      <b val="true"/>
      <sz val="11"/>
      <color rgb="FF0F1114"/>
      <name val="Calibri"/>
      <family val="2"/>
      <scheme val="minor"/>
    </font>
    <font>
      <b val="true"/>
      <sz val="18"/>
      <color rgb="FF222222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0"/>
      <color rgb="FF1D2129"/>
      <name val="Calibri"/>
      <family val="2"/>
      <scheme val="minor"/>
    </font>
    <font>
      <sz val="10"/>
      <color rgb="FF1F2329"/>
      <name val="Calibri"/>
      <family val="2"/>
      <scheme val="minor"/>
    </font>
    <font>
      <sz val="11"/>
      <color rgb="FF1F2329"/>
      <name val="Calibri"/>
      <family val="2"/>
      <scheme val="minor"/>
    </font>
    <font>
      <sz val="11"/>
      <color rgb="FF1D2129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sz val="9"/>
      <color rgb="FF31343B"/>
      <name val="Calibri"/>
      <family val="2"/>
      <scheme val="minor"/>
    </font>
  </fonts>
  <fills count="7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258"/>
        <bgColor/>
      </patternFill>
    </fill>
    <fill>
      <patternFill patternType="solid">
        <fgColor rgb="FFF8F9FA"/>
        <bgColor/>
      </patternFill>
    </fill>
    <fill>
      <patternFill patternType="solid">
        <fgColor rgb="FFD9F3FD"/>
        <bgColor/>
      </patternFill>
    </fill>
    <fill>
      <patternFill patternType="solid">
        <fgColor rgb="FF5A91FF"/>
        <bgColor/>
      </patternFill>
    </fill>
    <fill>
      <patternFill patternType="solid">
        <fgColor rgb="FFFFF258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258"/>
        <bgColor/>
      </patternFill>
    </fill>
    <fill>
      <patternFill patternType="solid">
        <fgColor rgb="FFF2F5FD"/>
        <bgColor/>
      </patternFill>
    </fill>
    <fill>
      <patternFill patternType="solid">
        <fgColor rgb="FFF8F9FA"/>
        <bgColor/>
      </patternFill>
    </fill>
    <fill>
      <patternFill patternType="solid">
        <fgColor rgb="FF5A91FF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FFF258"/>
        <bgColor/>
      </patternFill>
    </fill>
    <fill>
      <patternFill patternType="solid">
        <fgColor rgb="FFF8F9FA"/>
        <bgColor/>
      </patternFill>
    </fill>
    <fill>
      <patternFill patternType="solid">
        <fgColor rgb="FF5A91FF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F8F9FA"/>
        <bgColor/>
      </patternFill>
    </fill>
    <fill>
      <patternFill patternType="solid">
        <fgColor rgb="FFF2F5FD"/>
        <bgColor/>
      </patternFill>
    </fill>
    <fill>
      <patternFill patternType="solid">
        <fgColor rgb="FF5A91FF"/>
        <bgColor/>
      </patternFill>
    </fill>
    <fill>
      <patternFill patternType="solid">
        <fgColor rgb="FFFFFFFF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5A91FF"/>
        <bgColor/>
      </patternFill>
    </fill>
    <fill>
      <patternFill patternType="solid">
        <fgColor rgb="FFFFF258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258"/>
        <bgColor/>
      </patternFill>
    </fill>
    <fill>
      <patternFill patternType="solid">
        <fgColor rgb="FF5A91FF"/>
        <bgColor/>
      </patternFill>
    </fill>
  </fills>
  <borders count="8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medium">
        <color rgb="FFEBEBEB"/>
      </bottom>
      <diagonal/>
    </border>
    <border>
      <left/>
      <right/>
      <top/>
      <bottom style="medium">
        <color rgb="FFDFE0E2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medium">
        <color rgb="FFEBEBEB"/>
      </bottom>
      <diagonal/>
    </border>
    <border>
      <left/>
      <right/>
      <top/>
      <bottom style="medium">
        <color rgb="FFDFE0E2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medium">
        <color rgb="FFEBEBE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medium">
        <color rgb="FFEBEBE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medium">
        <color rgb="FFEBEBE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/>
      <diagonal/>
    </border>
    <border>
      <left style="medium">
        <color rgb="FF1F2329"/>
      </left>
      <right/>
      <top style="medium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4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/>
    </xf>
    <xf applyAlignment="true" applyBorder="false" applyFill="true" applyFont="true" applyNumberFormat="true" applyProtection="false" borderId="1" fillId="4" fontId="1" numFmtId="167" xfId="0">
      <alignment horizontal="center" vertical="center"/>
    </xf>
    <xf applyAlignment="true" applyBorder="false" applyFill="true" applyFont="true" applyNumberFormat="true" applyProtection="false" borderId="1" fillId="5" fontId="2" numFmtId="16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/>
    </xf>
    <xf applyAlignment="true" applyBorder="false" applyFill="true" applyFont="true" applyNumberFormat="true" applyProtection="false" borderId="1" fillId="3" fontId="1" numFmtId="169" xfId="0">
      <alignment horizontal="center" vertical="center"/>
    </xf>
    <xf applyAlignment="true" applyBorder="false" applyFill="true" applyFont="true" applyNumberFormat="true" applyProtection="false" borderId="1" fillId="3" fontId="1" numFmtId="170" xfId="0">
      <alignment horizontal="center" vertical="center"/>
    </xf>
    <xf applyAlignment="true" applyBorder="false" applyFill="true" applyFont="true" applyNumberFormat="true" applyProtection="false" borderId="1" fillId="3" fontId="1" numFmtId="171" xfId="0">
      <alignment horizontal="center" vertical="center"/>
    </xf>
    <xf applyAlignment="true" applyBorder="false" applyFill="true" applyFont="true" applyNumberFormat="true" applyProtection="false" borderId="1" fillId="4" fontId="1" numFmtId="172" xfId="0">
      <alignment horizontal="center" vertical="center"/>
    </xf>
    <xf applyAlignment="true" applyBorder="false" applyFill="false" applyFont="true" applyNumberFormat="true" applyProtection="false" borderId="2" fillId="0" fontId="2" numFmtId="168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/>
    </xf>
    <xf applyAlignment="true" applyBorder="false" applyFill="true" applyFont="true" applyNumberFormat="true" applyProtection="false" borderId="1" fillId="6" fontId="3" numFmtId="164" xfId="0">
      <alignment horizontal="center" vertical="center"/>
    </xf>
    <xf applyAlignment="true" applyBorder="false" applyFill="false" applyFont="true" applyNumberFormat="true" applyProtection="false" borderId="1" fillId="0" fontId="2" numFmtId="173" xfId="0">
      <alignment horizontal="center" vertical="center"/>
    </xf>
    <xf applyAlignment="true" applyBorder="false" applyFill="false" applyFont="true" applyNumberFormat="true" applyProtection="false" borderId="1" fillId="0" fontId="3" numFmtId="166" xfId="0">
      <alignment horizontal="center" vertical="center"/>
    </xf>
    <xf applyAlignment="true" applyBorder="false" applyFill="false" applyFont="true" applyNumberFormat="true" applyProtection="false" borderId="1" fillId="0" fontId="3" numFmtId="166" xfId="0">
      <alignment horizontal="center" vertical="center"/>
    </xf>
    <xf applyAlignment="true" applyBorder="false" applyFill="false" applyFont="true" applyNumberFormat="true" applyProtection="false" borderId="1" fillId="0" fontId="3" numFmtId="169" xfId="0">
      <alignment horizontal="center" vertical="center"/>
    </xf>
    <xf applyAlignment="true" applyBorder="false" applyFill="false" applyFont="true" applyNumberFormat="true" applyProtection="false" borderId="1" fillId="0" fontId="3" numFmtId="171" xfId="0">
      <alignment horizontal="center" vertical="center"/>
    </xf>
    <xf applyAlignment="true" applyBorder="false" applyFill="false" applyFont="true" applyNumberFormat="true" applyProtection="false" borderId="1" fillId="0" fontId="4" numFmtId="167" xfId="0">
      <alignment horizontal="center" vertical="center"/>
    </xf>
    <xf applyAlignment="true" applyBorder="false" applyFill="false" applyFont="true" applyNumberFormat="true" applyProtection="false" borderId="1" fillId="0" fontId="3" numFmtId="167" xfId="0">
      <alignment horizontal="center" vertical="center"/>
    </xf>
    <xf applyAlignment="true" applyBorder="false" applyFill="false" applyFont="true" applyNumberFormat="true" applyProtection="false" borderId="1" fillId="0" fontId="3" numFmtId="174" xfId="0">
      <alignment horizontal="center" vertical="center"/>
    </xf>
    <xf applyAlignment="true" applyBorder="false" applyFill="false" applyFont="true" applyNumberFormat="true" applyProtection="false" borderId="1" fillId="0" fontId="3" numFmtId="165" xfId="0">
      <alignment horizontal="center" vertical="center"/>
    </xf>
    <xf applyAlignment="true" applyBorder="false" applyFill="true" applyFont="true" applyNumberFormat="true" applyProtection="false" borderId="1" fillId="6" fontId="3" numFmtId="165" xfId="0">
      <alignment horizontal="center" vertical="center"/>
    </xf>
    <xf applyAlignment="true" applyBorder="false" applyFill="false" applyFont="true" applyNumberFormat="true" applyProtection="false" borderId="1" fillId="0" fontId="2" numFmtId="169" xfId="0">
      <alignment horizontal="center" vertical="center"/>
    </xf>
    <xf applyAlignment="true" applyBorder="false" applyFill="true" applyFont="true" applyNumberFormat="true" applyProtection="false" borderId="1" fillId="6" fontId="3" numFmtId="175" xfId="0">
      <alignment horizontal="center" vertical="center"/>
    </xf>
    <xf applyAlignment="true" applyBorder="false" applyFill="true" applyFont="true" applyNumberFormat="true" applyProtection="false" borderId="1" fillId="7" fontId="1" numFmtId="166" xfId="0">
      <alignment horizontal="center" vertical="center"/>
    </xf>
    <xf applyAlignment="true" applyBorder="false" applyFill="true" applyFont="true" applyNumberFormat="true" applyProtection="false" borderId="1" fillId="7" fontId="5" numFmtId="166" xfId="0">
      <alignment horizontal="center" vertical="center"/>
    </xf>
    <xf applyAlignment="true" applyBorder="false" applyFill="true" applyFont="true" applyNumberFormat="true" applyProtection="false" borderId="1" fillId="7" fontId="5" numFmtId="169" xfId="0">
      <alignment horizontal="center" vertical="center"/>
    </xf>
    <xf applyAlignment="true" applyBorder="false" applyFill="true" applyFont="true" applyNumberFormat="true" applyProtection="false" borderId="1" fillId="7" fontId="5" numFmtId="173" xfId="0">
      <alignment horizontal="center" vertical="center"/>
    </xf>
    <xf applyAlignment="true" applyBorder="false" applyFill="true" applyFont="true" applyNumberFormat="true" applyProtection="false" borderId="1" fillId="7" fontId="5" numFmtId="171" xfId="0">
      <alignment horizontal="center" vertical="center"/>
    </xf>
    <xf applyAlignment="true" applyBorder="false" applyFill="true" applyFont="true" applyNumberFormat="true" applyProtection="false" borderId="1" fillId="7" fontId="5" numFmtId="174" xfId="0">
      <alignment horizontal="center" vertical="center"/>
    </xf>
    <xf applyAlignment="true" applyBorder="false" applyFill="true" applyFont="true" applyNumberFormat="true" applyProtection="false" borderId="1" fillId="7" fontId="1" numFmtId="167" xfId="0">
      <alignment horizontal="center" vertical="center"/>
    </xf>
    <xf applyAlignment="true" applyBorder="false" applyFill="true" applyFont="true" applyNumberFormat="true" applyProtection="false" borderId="1" fillId="7" fontId="1" numFmtId="173" xfId="0">
      <alignment horizontal="center" vertical="center"/>
    </xf>
    <xf applyAlignment="true" applyBorder="false" applyFill="false" applyFont="true" applyNumberFormat="true" applyProtection="false" borderId="2" fillId="0" fontId="2" numFmtId="169" xfId="0">
      <alignment horizontal="center" vertical="center"/>
    </xf>
    <xf applyAlignment="true" applyBorder="false" applyFill="false" applyFont="true" applyNumberFormat="true" applyProtection="false" borderId="3" fillId="0" fontId="2" numFmtId="169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4" fillId="0" fontId="2" numFmtId="169" xfId="0">
      <alignment horizontal="center" vertical="center"/>
    </xf>
    <xf applyAlignment="true" applyBorder="false" applyFill="true" applyFont="true" applyNumberFormat="true" applyProtection="false" borderId="1" fillId="7" fontId="5" numFmtId="173" xfId="0">
      <alignment horizontal="center" vertical="center"/>
    </xf>
    <xf applyAlignment="true" applyBorder="false" applyFill="true" applyFont="true" applyNumberFormat="true" applyProtection="false" borderId="1" fillId="7" fontId="5" numFmtId="174" xfId="0">
      <alignment horizontal="center" vertical="center"/>
    </xf>
    <xf applyAlignment="true" applyBorder="false" applyFill="true" applyFont="true" applyNumberFormat="true" applyProtection="false" borderId="5" fillId="7" fontId="1" numFmtId="173" xfId="0">
      <alignment horizontal="center" vertical="center"/>
    </xf>
    <xf applyAlignment="true" applyBorder="false" applyFill="true" applyFont="true" applyNumberFormat="true" applyProtection="false" borderId="1" fillId="8" fontId="5" numFmtId="173" xfId="0">
      <alignment horizontal="center" vertical="center"/>
    </xf>
    <xf applyAlignment="true" applyBorder="false" applyFill="true" applyFont="true" applyNumberFormat="true" applyProtection="false" borderId="1" fillId="8" fontId="5" numFmtId="166" xfId="0">
      <alignment horizontal="center" vertical="center"/>
    </xf>
    <xf applyAlignment="true" applyBorder="false" applyFill="true" applyFont="true" applyNumberFormat="true" applyProtection="false" borderId="1" fillId="8" fontId="5" numFmtId="169" xfId="0">
      <alignment horizontal="center" vertical="center"/>
    </xf>
    <xf applyAlignment="true" applyBorder="false" applyFill="true" applyFont="true" applyNumberFormat="true" applyProtection="false" borderId="1" fillId="8" fontId="5" numFmtId="173" xfId="0">
      <alignment horizontal="center" vertical="center"/>
    </xf>
    <xf applyAlignment="true" applyBorder="false" applyFill="true" applyFont="true" applyNumberFormat="true" applyProtection="false" borderId="1" fillId="8" fontId="5" numFmtId="167" xfId="0">
      <alignment horizontal="center" vertical="center"/>
    </xf>
    <xf applyAlignment="true" applyBorder="false" applyFill="true" applyFont="true" applyNumberFormat="true" applyProtection="false" borderId="1" fillId="8" fontId="6" numFmtId="172" xfId="0">
      <alignment horizontal="center" vertical="center"/>
    </xf>
    <xf applyAlignment="true" applyBorder="false" applyFill="true" applyFont="true" applyNumberFormat="true" applyProtection="false" borderId="5" fillId="8" fontId="6" numFmtId="172" xfId="0">
      <alignment horizontal="center" vertical="center"/>
    </xf>
    <xf applyAlignment="true" applyBorder="false" applyFill="true" applyFont="true" applyNumberFormat="true" applyProtection="false" borderId="2" fillId="8" fontId="5" numFmtId="169" xfId="0">
      <alignment horizontal="center" vertical="center"/>
    </xf>
    <xf applyAlignment="true" applyBorder="false" applyFill="true" applyFont="true" applyNumberFormat="true" applyProtection="false" borderId="4" fillId="8" fontId="5" numFmtId="169" xfId="0">
      <alignment horizontal="center" vertical="center"/>
    </xf>
    <xf applyAlignment="true" applyBorder="false" applyFill="false" applyFont="true" applyNumberFormat="true" applyProtection="false" borderId="1" fillId="0" fontId="2" numFmtId="173" xfId="0">
      <alignment horizontal="center" vertical="center"/>
    </xf>
    <xf applyAlignment="true" applyBorder="false" applyFill="false" applyFont="true" applyNumberFormat="true" applyProtection="false" borderId="1" fillId="0" fontId="3" numFmtId="171" xfId="0">
      <alignment horizontal="center" vertical="center"/>
    </xf>
    <xf applyAlignment="true" applyBorder="false" applyFill="false" applyFont="true" applyNumberFormat="true" applyProtection="false" borderId="1" fillId="0" fontId="3" numFmtId="165" xfId="0">
      <alignment horizontal="center" vertical="center"/>
    </xf>
    <xf applyAlignment="true" applyBorder="false" applyFill="true" applyFont="true" applyNumberFormat="true" applyProtection="false" borderId="5" fillId="6" fontId="3" numFmtId="165" xfId="0">
      <alignment horizontal="center" vertical="center"/>
    </xf>
    <xf applyAlignment="true" applyBorder="false" applyFill="false" applyFont="true" applyNumberFormat="true" applyProtection="false" borderId="1" fillId="0" fontId="2" numFmtId="175" xfId="0">
      <alignment horizontal="center" vertical="center"/>
    </xf>
    <xf applyAlignment="true" applyBorder="false" applyFill="false" applyFont="true" applyNumberFormat="true" applyProtection="false" borderId="4" fillId="0" fontId="2" numFmtId="175" xfId="0">
      <alignment horizontal="center" vertical="center"/>
    </xf>
    <xf applyAlignment="true" applyBorder="false" applyFill="false" applyFont="true" applyNumberFormat="true" applyProtection="false" borderId="6" fillId="0" fontId="2" numFmtId="175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9" xfId="0">
      <alignment horizontal="center" vertical="center"/>
    </xf>
    <xf applyAlignment="true" applyBorder="false" applyFill="false" applyFont="true" applyNumberFormat="true" applyProtection="false" borderId="1" fillId="0" fontId="3" numFmtId="169" xfId="0">
      <alignment horizontal="center" vertical="center"/>
    </xf>
    <xf applyAlignment="true" applyBorder="false" applyFill="false" applyFont="true" applyNumberFormat="true" applyProtection="false" borderId="1" fillId="0" fontId="3" numFmtId="166" xfId="0">
      <alignment horizontal="center" vertical="center"/>
    </xf>
    <xf applyAlignment="true" applyBorder="false" applyFill="false" applyFont="true" applyNumberFormat="true" applyProtection="false" borderId="1" fillId="0" fontId="4" numFmtId="167" xfId="0">
      <alignment horizontal="center" vertical="center"/>
    </xf>
    <xf applyAlignment="true" applyBorder="false" applyFill="false" applyFont="true" applyNumberFormat="true" applyProtection="false" borderId="1" fillId="0" fontId="3" numFmtId="167" xfId="0">
      <alignment horizontal="center" vertical="center"/>
    </xf>
    <xf applyAlignment="true" applyBorder="false" applyFill="false" applyFont="true" applyNumberFormat="true" applyProtection="false" borderId="1" fillId="0" fontId="3" numFmtId="174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true" applyFont="true" applyNumberFormat="true" applyProtection="false" borderId="1" fillId="7" fontId="5" numFmtId="171" xfId="0">
      <alignment horizontal="center" vertical="center"/>
    </xf>
    <xf applyAlignment="true" applyBorder="false" applyFill="true" applyFont="true" applyNumberFormat="true" applyProtection="false" borderId="1" fillId="7" fontId="1" numFmtId="167" xfId="0">
      <alignment horizontal="center" vertical="center"/>
    </xf>
    <xf applyAlignment="true" applyBorder="false" applyFill="true" applyFont="true" applyNumberFormat="true" applyProtection="false" borderId="1" fillId="7" fontId="1" numFmtId="173" xfId="0">
      <alignment horizontal="center" vertical="center"/>
    </xf>
    <xf applyAlignment="true" applyBorder="false" applyFill="false" applyFont="true" applyNumberFormat="true" applyProtection="false" borderId="1" fillId="0" fontId="2" numFmtId="173" xfId="0">
      <alignment horizontal="center" vertical="center"/>
    </xf>
    <xf applyAlignment="true" applyBorder="false" applyFill="false" applyFont="true" applyNumberFormat="true" applyProtection="false" borderId="2" fillId="0" fontId="2" numFmtId="169" xfId="0">
      <alignment horizontal="center" vertical="center"/>
    </xf>
    <xf applyAlignment="true" applyBorder="false" applyFill="false" applyFont="true" applyNumberFormat="true" applyProtection="false" borderId="3" fillId="0" fontId="2" numFmtId="169" xfId="0">
      <alignment horizontal="center" vertical="center"/>
    </xf>
    <xf applyAlignment="true" applyBorder="false" applyFill="false" applyFont="true" applyNumberFormat="true" applyProtection="false" borderId="6" fillId="0" fontId="2" numFmtId="169" xfId="0">
      <alignment horizontal="center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true" applyProtection="false" borderId="5" fillId="0" fontId="3" numFmtId="167" xfId="0">
      <alignment horizontal="center" vertical="center"/>
    </xf>
    <xf applyAlignment="true" applyBorder="false" applyFill="false" applyFont="true" applyNumberFormat="true" applyProtection="false" borderId="7" fillId="0" fontId="2" numFmtId="169" xfId="0">
      <alignment horizontal="center" vertical="center"/>
    </xf>
    <xf applyAlignment="true" applyBorder="false" applyFill="false" applyFont="true" applyNumberFormat="true" applyProtection="false" borderId="4" fillId="0" fontId="2" numFmtId="169" xfId="0">
      <alignment horizontal="center" vertical="center"/>
    </xf>
    <xf applyAlignment="true" applyBorder="false" applyFill="true" applyFont="true" applyNumberFormat="true" applyProtection="false" borderId="5" fillId="7" fontId="1" numFmtId="167" xfId="0">
      <alignment horizontal="center" vertical="center"/>
    </xf>
    <xf applyAlignment="true" applyBorder="false" applyFill="true" applyFont="true" applyNumberFormat="true" applyProtection="false" borderId="7" fillId="7" fontId="1" numFmtId="173" xfId="0">
      <alignment horizontal="center" vertical="center"/>
    </xf>
    <xf applyAlignment="true" applyBorder="false" applyFill="true" applyFont="true" applyNumberFormat="true" applyProtection="false" borderId="7" fillId="7" fontId="5" numFmtId="166" xfId="0">
      <alignment horizontal="center" vertical="center"/>
    </xf>
    <xf applyAlignment="true" applyBorder="false" applyFill="true" applyFont="true" applyNumberFormat="true" applyProtection="false" borderId="4" fillId="7" fontId="5" numFmtId="166" xfId="0">
      <alignment horizontal="center" vertical="center"/>
    </xf>
    <xf applyAlignment="true" applyBorder="false" applyFill="false" applyFont="true" applyNumberFormat="true" applyProtection="false" borderId="7" fillId="0" fontId="3" numFmtId="165" xfId="0">
      <alignment horizontal="center" vertical="center"/>
    </xf>
    <xf applyAlignment="true" applyBorder="false" applyFill="true" applyFont="true" applyNumberFormat="true" applyProtection="false" borderId="7" fillId="6" fontId="3" numFmtId="165" xfId="0">
      <alignment horizontal="center" vertical="center"/>
    </xf>
    <xf applyAlignment="true" applyBorder="false" applyFill="true" applyFont="true" applyNumberFormat="true" applyProtection="false" borderId="7" fillId="7" fontId="5" numFmtId="169" xfId="0">
      <alignment horizontal="center" vertical="center"/>
    </xf>
    <xf applyAlignment="true" applyBorder="false" applyFill="true" applyFont="true" applyNumberFormat="true" applyProtection="false" borderId="4" fillId="7" fontId="5" numFmtId="169" xfId="0">
      <alignment horizontal="center" vertical="center"/>
    </xf>
    <xf applyAlignment="true" applyBorder="false" applyFill="false" applyFont="true" applyNumberFormat="true" applyProtection="false" borderId="8" fillId="0" fontId="2" numFmtId="169" xfId="0">
      <alignment horizontal="center" vertical="center"/>
    </xf>
    <xf applyAlignment="true" applyBorder="false" applyFill="true" applyFont="true" applyNumberFormat="true" applyProtection="false" borderId="5" fillId="8" fontId="5" numFmtId="167" xfId="0">
      <alignment horizontal="center" vertical="center"/>
    </xf>
    <xf applyAlignment="true" applyBorder="false" applyFill="true" applyFont="true" applyNumberFormat="true" applyProtection="false" borderId="7" fillId="8" fontId="6" numFmtId="172" xfId="0">
      <alignment horizontal="center" vertical="center"/>
    </xf>
    <xf applyAlignment="true" applyBorder="false" applyFill="true" applyFont="true" applyNumberFormat="true" applyProtection="false" borderId="7" fillId="8" fontId="5" numFmtId="169" xfId="0">
      <alignment horizontal="center" vertical="center"/>
    </xf>
    <xf applyAlignment="true" applyBorder="false" applyFill="true" applyFont="true" applyNumberFormat="true" applyProtection="false" borderId="0" fillId="6" fontId="3" numFmtId="164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2" fillId="6" fontId="3" numFmtId="164" xfId="0">
      <alignment horizontal="center" vertical="center"/>
    </xf>
    <xf applyAlignment="true" applyBorder="false" applyFill="true" applyFont="true" applyNumberFormat="true" applyProtection="false" borderId="2" fillId="8" fontId="5" numFmtId="173" xfId="0">
      <alignment horizontal="center" vertical="center"/>
    </xf>
    <xf applyAlignment="true" applyBorder="false" applyFill="true" applyFont="true" applyNumberFormat="true" applyProtection="false" borderId="2" fillId="8" fontId="5" numFmtId="166" xfId="0">
      <alignment horizontal="center" vertical="center"/>
    </xf>
    <xf applyAlignment="true" applyBorder="false" applyFill="true" applyFont="true" applyNumberFormat="true" applyProtection="false" borderId="2" fillId="8" fontId="5" numFmtId="173" xfId="0">
      <alignment horizontal="center" vertical="center"/>
    </xf>
    <xf applyAlignment="true" applyBorder="false" applyFill="true" applyFont="true" applyNumberFormat="true" applyProtection="false" borderId="2" fillId="8" fontId="5" numFmtId="167" xfId="0">
      <alignment horizontal="center" vertical="center"/>
    </xf>
    <xf applyAlignment="true" applyBorder="false" applyFill="true" applyFont="true" applyNumberFormat="true" applyProtection="false" borderId="3" fillId="8" fontId="5" numFmtId="167" xfId="0">
      <alignment horizontal="center" vertical="center"/>
    </xf>
    <xf applyAlignment="true" applyBorder="false" applyFill="true" applyFont="true" applyNumberFormat="true" applyProtection="false" borderId="9" fillId="8" fontId="6" numFmtId="172" xfId="0">
      <alignment horizontal="center" vertical="center"/>
    </xf>
    <xf applyAlignment="true" applyBorder="false" applyFill="true" applyFont="true" applyNumberFormat="true" applyProtection="false" borderId="7" fillId="2" fontId="1" numFmtId="164" xfId="0">
      <alignment horizontal="center" vertical="center"/>
    </xf>
    <xf applyAlignment="true" applyBorder="false" applyFill="true" applyFont="true" applyNumberFormat="true" applyProtection="false" borderId="7" fillId="3" fontId="1" numFmtId="166" xfId="0">
      <alignment horizontal="center" vertical="center"/>
    </xf>
    <xf applyAlignment="true" applyBorder="false" applyFill="true" applyFont="true" applyNumberFormat="true" applyProtection="false" borderId="7" fillId="4" fontId="1" numFmtId="167" xfId="0">
      <alignment horizontal="center" vertical="center"/>
    </xf>
    <xf applyAlignment="true" applyBorder="false" applyFill="true" applyFont="true" applyNumberFormat="true" applyProtection="false" borderId="4" fillId="5" fontId="2" numFmtId="168" xfId="0">
      <alignment horizontal="center" vertical="center"/>
    </xf>
    <xf applyAlignment="true" applyBorder="false" applyFill="true" applyFont="true" applyNumberFormat="true" applyProtection="false" borderId="7" fillId="3" fontId="1" numFmtId="166" xfId="0">
      <alignment horizontal="center" vertical="center"/>
    </xf>
    <xf applyAlignment="true" applyBorder="false" applyFill="true" applyFont="true" applyNumberFormat="true" applyProtection="false" borderId="7" fillId="3" fontId="1" numFmtId="169" xfId="0">
      <alignment horizontal="center" vertical="center"/>
    </xf>
    <xf applyAlignment="true" applyBorder="false" applyFill="true" applyFont="true" applyNumberFormat="true" applyProtection="false" borderId="7" fillId="3" fontId="1" numFmtId="170" xfId="0">
      <alignment horizontal="center" vertical="center"/>
    </xf>
    <xf applyAlignment="true" applyBorder="false" applyFill="true" applyFont="true" applyNumberFormat="true" applyProtection="false" borderId="7" fillId="3" fontId="1" numFmtId="171" xfId="0">
      <alignment horizontal="center" vertical="center"/>
    </xf>
    <xf applyAlignment="true" applyBorder="false" applyFill="true" applyFont="true" applyNumberFormat="true" applyProtection="false" borderId="7" fillId="4" fontId="1" numFmtId="172" xfId="0">
      <alignment horizontal="center" vertical="center"/>
    </xf>
    <xf applyAlignment="true" applyBorder="false" applyFill="false" applyFont="true" applyNumberFormat="true" applyProtection="false" borderId="8" fillId="0" fontId="2" numFmtId="168" xfId="0">
      <alignment horizontal="center" vertical="center"/>
    </xf>
    <xf applyAlignment="true" applyBorder="false" applyFill="true" applyFont="true" applyNumberFormat="true" applyProtection="false" borderId="7" fillId="6" fontId="3" numFmtId="164" xfId="0">
      <alignment horizontal="center" vertical="center"/>
    </xf>
    <xf applyAlignment="true" applyBorder="false" applyFill="false" applyFont="true" applyNumberFormat="true" applyProtection="false" borderId="7" fillId="0" fontId="2" numFmtId="173" xfId="0">
      <alignment horizontal="center" vertical="center"/>
    </xf>
    <xf applyAlignment="true" applyBorder="false" applyFill="false" applyFont="true" applyNumberFormat="true" applyProtection="false" borderId="7" fillId="0" fontId="3" numFmtId="166" xfId="0">
      <alignment horizontal="center" vertical="center"/>
    </xf>
    <xf applyAlignment="true" applyBorder="false" applyFill="false" applyFont="true" applyNumberFormat="true" applyProtection="false" borderId="7" fillId="0" fontId="3" numFmtId="166" xfId="0">
      <alignment horizontal="center" vertical="center"/>
    </xf>
    <xf applyAlignment="true" applyBorder="false" applyFill="false" applyFont="true" applyNumberFormat="true" applyProtection="false" borderId="7" fillId="0" fontId="3" numFmtId="169" xfId="0">
      <alignment horizontal="center" vertical="center"/>
    </xf>
    <xf applyAlignment="true" applyBorder="false" applyFill="false" applyFont="true" applyNumberFormat="true" applyProtection="false" borderId="7" fillId="0" fontId="3" numFmtId="171" xfId="0">
      <alignment horizontal="center" vertical="center"/>
    </xf>
    <xf applyAlignment="true" applyBorder="false" applyFill="false" applyFont="true" applyNumberFormat="true" applyProtection="false" borderId="7" fillId="0" fontId="3" numFmtId="171" xfId="0">
      <alignment horizontal="center" vertical="center"/>
    </xf>
    <xf applyAlignment="true" applyBorder="false" applyFill="false" applyFont="true" applyNumberFormat="true" applyProtection="false" borderId="7" fillId="0" fontId="4" numFmtId="167" xfId="0">
      <alignment horizontal="center" vertical="center"/>
    </xf>
    <xf applyAlignment="true" applyBorder="false" applyFill="false" applyFont="true" applyNumberFormat="true" applyProtection="false" borderId="7" fillId="0" fontId="3" numFmtId="167" xfId="0">
      <alignment horizontal="center" vertical="center"/>
    </xf>
    <xf applyAlignment="true" applyBorder="false" applyFill="false" applyFont="true" applyNumberFormat="true" applyProtection="false" borderId="7" fillId="0" fontId="3" numFmtId="174" xfId="0">
      <alignment horizontal="center" vertical="center"/>
    </xf>
    <xf applyAlignment="true" applyBorder="false" applyFill="false" applyFont="true" applyNumberFormat="true" applyProtection="false" borderId="7" fillId="0" fontId="3" numFmtId="169" xfId="0">
      <alignment horizontal="center" vertical="center"/>
    </xf>
    <xf applyAlignment="true" applyBorder="false" applyFill="false" applyFont="true" applyNumberFormat="true" applyProtection="false" borderId="10" fillId="0" fontId="2" numFmtId="175" xfId="0">
      <alignment horizontal="center" vertical="center"/>
    </xf>
    <xf applyAlignment="true" applyBorder="false" applyFill="false" applyFont="true" applyNumberFormat="true" applyProtection="false" borderId="7" fillId="0" fontId="3" numFmtId="166" xfId="0">
      <alignment horizontal="center" vertical="center"/>
    </xf>
    <xf applyAlignment="true" applyBorder="false" applyFill="false" applyFont="true" applyNumberFormat="true" applyProtection="false" borderId="7" fillId="0" fontId="4" numFmtId="167" xfId="0">
      <alignment horizontal="center" vertical="center"/>
    </xf>
    <xf applyAlignment="true" applyBorder="false" applyFill="false" applyFont="true" applyNumberFormat="true" applyProtection="false" borderId="7" fillId="0" fontId="3" numFmtId="167" xfId="0">
      <alignment horizontal="center" vertical="center"/>
    </xf>
    <xf applyAlignment="true" applyBorder="false" applyFill="false" applyFont="true" applyNumberFormat="true" applyProtection="false" borderId="7" fillId="0" fontId="3" numFmtId="174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true" applyFont="true" applyNumberFormat="true" applyProtection="false" borderId="7" fillId="7" fontId="1" numFmtId="166" xfId="0">
      <alignment horizontal="center" vertical="center"/>
    </xf>
    <xf applyAlignment="true" applyBorder="false" applyFill="true" applyFont="true" applyNumberFormat="true" applyProtection="false" borderId="7" fillId="7" fontId="5" numFmtId="173" xfId="0">
      <alignment horizontal="center" vertical="center"/>
    </xf>
    <xf applyAlignment="true" applyBorder="false" applyFill="true" applyFont="true" applyNumberFormat="true" applyProtection="false" borderId="7" fillId="7" fontId="5" numFmtId="171" xfId="0">
      <alignment horizontal="center" vertical="center"/>
    </xf>
    <xf applyAlignment="true" applyBorder="false" applyFill="true" applyFont="true" applyNumberFormat="true" applyProtection="false" borderId="7" fillId="7" fontId="5" numFmtId="174" xfId="0">
      <alignment horizontal="center" vertical="center"/>
    </xf>
    <xf applyAlignment="true" applyBorder="false" applyFill="true" applyFont="true" applyNumberFormat="true" applyProtection="false" borderId="7" fillId="7" fontId="1" numFmtId="167" xfId="0">
      <alignment horizontal="center" vertical="center"/>
    </xf>
    <xf applyAlignment="true" applyBorder="false" applyFill="true" applyFont="true" applyNumberFormat="true" applyProtection="false" borderId="7" fillId="7" fontId="1" numFmtId="167" xfId="0">
      <alignment horizontal="center" vertical="center"/>
    </xf>
    <xf applyAlignment="true" applyBorder="false" applyFill="true" applyFont="true" applyNumberFormat="true" applyProtection="false" borderId="7" fillId="7" fontId="1" numFmtId="173" xfId="0">
      <alignment horizontal="center" vertical="center"/>
    </xf>
    <xf applyAlignment="true" applyBorder="false" applyFill="false" applyFont="true" applyNumberFormat="true" applyProtection="false" borderId="7" fillId="0" fontId="2" numFmtId="173" xfId="0">
      <alignment horizontal="center" vertical="center"/>
    </xf>
    <xf applyAlignment="true" applyBorder="false" applyFill="false" applyFont="true" applyNumberFormat="true" applyProtection="false" borderId="11" fillId="0" fontId="2" numFmtId="169" xfId="0">
      <alignment horizontal="center" vertical="center"/>
    </xf>
    <xf applyAlignment="true" applyBorder="false" applyFill="true" applyFont="true" applyNumberFormat="true" applyProtection="false" borderId="7" fillId="7" fontId="5" numFmtId="173" xfId="0">
      <alignment horizontal="center" vertical="center"/>
    </xf>
    <xf applyAlignment="true" applyBorder="false" applyFill="true" applyFont="true" applyNumberFormat="true" applyProtection="false" borderId="7" fillId="7" fontId="5" numFmtId="171" xfId="0">
      <alignment horizontal="center" vertical="center"/>
    </xf>
    <xf applyAlignment="true" applyBorder="false" applyFill="true" applyFont="true" applyNumberFormat="true" applyProtection="false" borderId="7" fillId="7" fontId="5" numFmtId="174" xfId="0">
      <alignment horizontal="center" vertical="center"/>
    </xf>
    <xf applyAlignment="true" applyBorder="false" applyFill="true" applyFont="true" applyNumberFormat="true" applyProtection="false" borderId="11" fillId="7" fontId="5" numFmtId="166" xfId="0">
      <alignment horizontal="center" vertical="center"/>
    </xf>
    <xf applyAlignment="true" applyBorder="false" applyFill="true" applyFont="true" applyNumberFormat="true" applyProtection="false" borderId="11" fillId="7" fontId="5" numFmtId="169" xfId="0">
      <alignment horizontal="center" vertical="center"/>
    </xf>
    <xf applyAlignment="true" applyBorder="false" applyFill="false" applyFont="true" applyNumberFormat="true" applyProtection="false" borderId="7" fillId="0" fontId="8" numFmtId="165" xfId="0">
      <alignment vertical="center"/>
    </xf>
    <xf applyAlignment="true" applyBorder="false" applyFill="true" applyFont="true" applyNumberFormat="true" applyProtection="false" borderId="7" fillId="8" fontId="5" numFmtId="173" xfId="0">
      <alignment horizontal="center" vertical="center"/>
    </xf>
    <xf applyAlignment="true" applyBorder="false" applyFill="true" applyFont="true" applyNumberFormat="true" applyProtection="false" borderId="7" fillId="8" fontId="5" numFmtId="166" xfId="0">
      <alignment horizontal="center" vertical="center"/>
    </xf>
    <xf applyAlignment="true" applyBorder="false" applyFill="true" applyFont="true" applyNumberFormat="true" applyProtection="false" borderId="7" fillId="8" fontId="5" numFmtId="173" xfId="0">
      <alignment horizontal="center" vertical="center"/>
    </xf>
    <xf applyAlignment="true" applyBorder="false" applyFill="true" applyFont="true" applyNumberFormat="true" applyProtection="false" borderId="7" fillId="8" fontId="5" numFmtId="167" xfId="0">
      <alignment horizontal="center" vertical="center"/>
    </xf>
    <xf applyAlignment="true" applyBorder="false" applyFill="true" applyFont="true" applyNumberFormat="true" applyProtection="false" borderId="11" fillId="8" fontId="5" numFmtId="169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true" applyProtection="false" borderId="7" fillId="0" fontId="3" numFmtId="166" xfId="0">
      <alignment horizontal="center" vertical="center"/>
    </xf>
    <xf applyAlignment="true" applyBorder="false" applyFill="false" applyFont="true" applyNumberFormat="true" applyProtection="false" borderId="0" fillId="0" fontId="8" numFmtId="165" xfId="0">
      <alignment vertical="center"/>
    </xf>
    <xf applyAlignment="true" applyBorder="false" applyFill="false" applyFont="true" applyNumberFormat="true" applyProtection="false" borderId="0" fillId="0" fontId="8" numFmtId="165" xfId="0">
      <alignment vertical="center"/>
    </xf>
    <xf applyAlignment="true" applyBorder="false" applyFill="false" applyFont="true" applyNumberFormat="true" applyProtection="false" borderId="0" fillId="0" fontId="8" numFmtId="165" xfId="0">
      <alignment vertical="center"/>
    </xf>
    <xf applyAlignment="true" applyBorder="false" applyFill="false" applyFont="true" applyNumberFormat="true" applyProtection="false" borderId="0" fillId="0" fontId="8" numFmtId="176" xfId="0">
      <alignment vertical="center"/>
    </xf>
    <xf applyAlignment="true" applyBorder="false" applyFill="true" applyFont="true" applyNumberFormat="false" applyProtection="false" borderId="0" fillId="6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true" applyProtection="false" borderId="0" fillId="0" fontId="8" numFmtId="169" xfId="0">
      <alignment horizontal="right" vertical="center"/>
    </xf>
    <xf applyAlignment="true" applyBorder="false" applyFill="false" applyFont="true" applyNumberFormat="true" applyProtection="false" borderId="0" fillId="0" fontId="8" numFmtId="166" xfId="0">
      <alignment vertical="center"/>
    </xf>
    <xf applyAlignment="true" applyBorder="false" applyFill="true" applyFont="true" applyNumberFormat="false" applyProtection="false" borderId="12" fillId="6" fontId="10" numFmtId="0" xfId="0">
      <alignment horizontal="right" vertical="center" wrapText="true"/>
    </xf>
    <xf applyAlignment="true" applyBorder="false" applyFill="true" applyFont="true" applyNumberFormat="true" applyProtection="false" borderId="0" fillId="6" fontId="10" numFmtId="175" xfId="0">
      <alignment horizontal="right" vertical="center" wrapText="true"/>
    </xf>
    <xf applyAlignment="true" applyBorder="false" applyFill="false" applyFont="true" applyNumberFormat="true" applyProtection="false" borderId="0" fillId="0" fontId="8" numFmtId="165" xfId="0">
      <alignment vertical="center"/>
    </xf>
    <xf applyAlignment="true" applyBorder="false" applyFill="true" applyFont="true" applyNumberFormat="true" applyProtection="false" borderId="5" fillId="9" fontId="11" numFmtId="177" xfId="0">
      <alignment horizontal="right" vertical="center"/>
    </xf>
    <xf applyAlignment="true" applyBorder="false" applyFill="true" applyFont="true" applyNumberFormat="true" applyProtection="false" borderId="4" fillId="9" fontId="11" numFmtId="166" xfId="0">
      <alignment horizontal="right" vertical="center"/>
    </xf>
    <xf applyAlignment="true" applyBorder="false" applyFill="true" applyFont="true" applyNumberFormat="false" applyProtection="false" borderId="0" fillId="6" fontId="12" numFmtId="0" xfId="0">
      <alignment vertical="center" wrapText="true"/>
    </xf>
    <xf applyAlignment="true" applyBorder="false" applyFill="true" applyFont="true" applyNumberFormat="true" applyProtection="false" borderId="7" fillId="6" fontId="13" numFmtId="169" xfId="0">
      <alignment horizontal="center" vertical="center" wrapText="true"/>
    </xf>
    <xf applyAlignment="true" applyBorder="false" applyFill="true" applyFont="true" applyNumberFormat="true" applyProtection="false" borderId="7" fillId="6" fontId="13" numFmtId="169" xfId="0">
      <alignment horizontal="center" vertical="center" wrapText="true"/>
    </xf>
    <xf applyAlignment="true" applyBorder="false" applyFill="true" applyFont="true" applyNumberFormat="false" applyProtection="false" borderId="13" fillId="6" fontId="13" numFmtId="0" xfId="0">
      <alignment horizontal="right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0" fillId="6" fontId="12" numFmtId="165" xfId="0">
      <alignment vertical="center" wrapText="true"/>
    </xf>
    <xf applyAlignment="true" applyBorder="false" applyFill="true" applyFont="true" applyNumberFormat="true" applyProtection="false" borderId="0" fillId="10" fontId="8" numFmtId="165" xfId="0">
      <alignment horizontal="center" vertical="center"/>
    </xf>
    <xf applyAlignment="true" applyBorder="false" applyFill="true" applyFont="true" applyNumberFormat="false" applyProtection="false" borderId="0" fillId="6" fontId="10" numFmtId="0" xfId="0">
      <alignment horizontal="right" vertical="center" wrapText="true"/>
    </xf>
    <xf applyAlignment="true" applyBorder="false" applyFill="true" applyFont="true" applyNumberFormat="false" applyProtection="false" borderId="0" fillId="6" fontId="8" numFmtId="0" xfId="0">
      <alignment vertical="center"/>
    </xf>
    <xf applyAlignment="true" applyBorder="false" applyFill="true" applyFont="true" applyNumberFormat="true" applyProtection="false" borderId="7" fillId="6" fontId="13" numFmtId="175" xfId="0">
      <alignment horizontal="center" vertical="center" wrapText="true"/>
    </xf>
    <xf applyAlignment="true" applyBorder="false" applyFill="true" applyFont="true" applyNumberFormat="false" applyProtection="false" borderId="7" fillId="11" fontId="14" numFmtId="0" xfId="0">
      <alignment horizontal="center" vertical="center"/>
    </xf>
    <xf applyAlignment="true" applyBorder="false" applyFill="false" applyFont="true" applyNumberFormat="true" applyProtection="false" borderId="0" fillId="0" fontId="8" numFmtId="169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7" fillId="6" fontId="11" numFmtId="175" xfId="0">
      <alignment horizontal="center" vertical="center"/>
    </xf>
    <xf applyAlignment="true" applyBorder="false" applyFill="true" applyFont="true" applyNumberFormat="false" applyProtection="false" borderId="0" fillId="6" fontId="15" numFmtId="0" xfId="0">
      <alignment vertical="center" wrapText="true"/>
    </xf>
    <xf applyAlignment="true" applyBorder="false" applyFill="false" applyFont="true" applyNumberFormat="false" applyProtection="false" borderId="7" fillId="0" fontId="8" numFmtId="0" xfId="0">
      <alignment horizontal="center" vertical="center"/>
    </xf>
    <xf applyAlignment="true" applyBorder="false" applyFill="true" applyFont="true" applyNumberFormat="true" applyProtection="false" borderId="0" fillId="12" fontId="16" numFmtId="165" xfId="0">
      <alignment vertical="center" wrapText="true"/>
    </xf>
    <xf applyAlignment="true" applyBorder="false" applyFill="false" applyFont="true" applyNumberFormat="true" applyProtection="false" borderId="7" fillId="0" fontId="8" numFmtId="175" xfId="0">
      <alignment horizontal="center" vertical="center"/>
    </xf>
    <xf applyAlignment="true" applyBorder="false" applyFill="false" applyFont="true" applyNumberFormat="true" applyProtection="false" borderId="0" fillId="0" fontId="8" numFmtId="165" xfId="0">
      <alignment horizontal="center" vertical="center"/>
    </xf>
    <xf applyAlignment="true" applyBorder="false" applyFill="true" applyFont="true" applyNumberFormat="true" applyProtection="false" borderId="0" fillId="9" fontId="8" numFmtId="165" xfId="0">
      <alignment horizontal="center" vertical="center"/>
    </xf>
    <xf applyAlignment="true" applyBorder="false" applyFill="true" applyFont="true" applyNumberFormat="false" applyProtection="false" borderId="0" fillId="9" fontId="8" numFmtId="0" xfId="0">
      <alignment vertical="center"/>
    </xf>
    <xf applyAlignment="true" applyBorder="false" applyFill="true" applyFont="true" applyNumberFormat="true" applyProtection="false" borderId="0" fillId="6" fontId="17" numFmtId="165" xfId="0">
      <alignment horizontal="right" vertical="center"/>
    </xf>
    <xf applyAlignment="true" applyBorder="false" applyFill="false" applyFont="true" applyNumberFormat="true" applyProtection="false" borderId="0" fillId="0" fontId="8" numFmtId="165" xfId="0">
      <alignment horizontal="center" vertical="center"/>
    </xf>
    <xf applyAlignment="true" applyBorder="false" applyFill="true" applyFont="true" applyNumberFormat="true" applyProtection="false" borderId="0" fillId="13" fontId="18" numFmtId="165" xfId="0">
      <alignment horizontal="right" vertical="center"/>
    </xf>
    <xf applyAlignment="true" applyBorder="false" applyFill="true" applyFont="true" applyNumberFormat="false" applyProtection="false" borderId="0" fillId="9" fontId="8" numFmtId="0" xfId="0">
      <alignment horizontal="center" vertical="center"/>
    </xf>
    <xf applyAlignment="true" applyBorder="false" applyFill="true" applyFont="true" applyNumberFormat="true" applyProtection="false" borderId="0" fillId="10" fontId="8" numFmtId="165" xfId="0">
      <alignment horizontal="center" vertical="center"/>
    </xf>
    <xf applyAlignment="true" applyBorder="false" applyFill="true" applyFont="true" applyNumberFormat="false" applyProtection="false" borderId="0" fillId="6" fontId="17" numFmtId="0" xfId="0">
      <alignment horizontal="right" vertical="center"/>
    </xf>
    <xf applyAlignment="true" applyBorder="false" applyFill="true" applyFont="true" applyNumberFormat="true" applyProtection="false" borderId="0" fillId="6" fontId="12" numFmtId="165" xfId="0">
      <alignment vertical="center" wrapText="true"/>
    </xf>
    <xf applyAlignment="true" applyBorder="false" applyFill="true" applyFont="true" applyNumberFormat="true" applyProtection="false" borderId="14" fillId="14" fontId="1" numFmtId="178" xfId="0">
      <alignment horizontal="center" vertical="center"/>
    </xf>
    <xf applyAlignment="true" applyBorder="false" applyFill="true" applyFont="true" applyNumberFormat="true" applyProtection="false" borderId="14" fillId="15" fontId="1" numFmtId="180" xfId="0">
      <alignment horizontal="center" vertical="center"/>
    </xf>
    <xf applyAlignment="true" applyBorder="false" applyFill="true" applyFont="true" applyNumberFormat="true" applyProtection="false" borderId="14" fillId="16" fontId="1" numFmtId="181" xfId="0">
      <alignment horizontal="center" vertical="center"/>
    </xf>
    <xf applyAlignment="true" applyBorder="false" applyFill="true" applyFont="true" applyNumberFormat="true" applyProtection="false" borderId="14" fillId="17" fontId="2" numFmtId="182" xfId="0">
      <alignment horizontal="center" vertical="center"/>
    </xf>
    <xf applyAlignment="true" applyBorder="false" applyFill="true" applyFont="true" applyNumberFormat="true" applyProtection="false" borderId="14" fillId="14" fontId="1" numFmtId="178" xfId="0">
      <alignment horizontal="center" vertical="center"/>
    </xf>
    <xf applyAlignment="true" applyBorder="false" applyFill="true" applyFont="true" applyNumberFormat="true" applyProtection="false" borderId="14" fillId="15" fontId="1" numFmtId="180" xfId="0">
      <alignment horizontal="center" vertical="center"/>
    </xf>
    <xf applyAlignment="true" applyBorder="false" applyFill="true" applyFont="true" applyNumberFormat="true" applyProtection="false" borderId="14" fillId="15" fontId="1" numFmtId="183" xfId="0">
      <alignment horizontal="center" vertical="center"/>
    </xf>
    <xf applyAlignment="true" applyBorder="false" applyFill="true" applyFont="true" applyNumberFormat="true" applyProtection="false" borderId="14" fillId="15" fontId="1" numFmtId="184" xfId="0">
      <alignment horizontal="center" vertical="center"/>
    </xf>
    <xf applyAlignment="true" applyBorder="false" applyFill="true" applyFont="true" applyNumberFormat="true" applyProtection="false" borderId="14" fillId="15" fontId="1" numFmtId="185" xfId="0">
      <alignment horizontal="center" vertical="center"/>
    </xf>
    <xf applyAlignment="true" applyBorder="false" applyFill="true" applyFont="true" applyNumberFormat="true" applyProtection="false" borderId="14" fillId="16" fontId="1" numFmtId="186" xfId="0">
      <alignment horizontal="center" vertical="center"/>
    </xf>
    <xf applyAlignment="true" applyBorder="false" applyFill="false" applyFont="true" applyNumberFormat="true" applyProtection="false" borderId="15" fillId="0" fontId="2" numFmtId="182" xfId="0">
      <alignment horizontal="center" vertical="center"/>
    </xf>
    <xf applyAlignment="true" applyBorder="false" applyFill="false" applyFont="true" applyNumberFormat="true" applyProtection="false" borderId="14" fillId="0" fontId="2" numFmtId="182" xfId="0">
      <alignment horizontal="center" vertical="center"/>
    </xf>
    <xf applyAlignment="true" applyBorder="false" applyFill="true" applyFont="true" applyNumberFormat="true" applyProtection="false" borderId="14" fillId="18" fontId="3" numFmtId="178" xfId="0">
      <alignment horizontal="center" vertical="center"/>
    </xf>
    <xf applyAlignment="true" applyBorder="false" applyFill="false" applyFont="true" applyNumberFormat="true" applyProtection="false" borderId="14" fillId="0" fontId="2" numFmtId="187" xfId="0">
      <alignment horizontal="center" vertical="center"/>
    </xf>
    <xf applyAlignment="true" applyBorder="false" applyFill="false" applyFont="true" applyNumberFormat="true" applyProtection="false" borderId="14" fillId="0" fontId="3" numFmtId="180" xfId="0">
      <alignment horizontal="center" vertical="center"/>
    </xf>
    <xf applyAlignment="true" applyBorder="false" applyFill="false" applyFont="true" applyNumberFormat="true" applyProtection="false" borderId="14" fillId="0" fontId="3" numFmtId="180" xfId="0">
      <alignment horizontal="center" vertical="center"/>
    </xf>
    <xf applyAlignment="true" applyBorder="false" applyFill="false" applyFont="true" applyNumberFormat="true" applyProtection="false" borderId="14" fillId="0" fontId="3" numFmtId="183" xfId="0">
      <alignment horizontal="center" vertical="center"/>
    </xf>
    <xf applyAlignment="true" applyBorder="false" applyFill="false" applyFont="true" applyNumberFormat="true" applyProtection="false" borderId="14" fillId="0" fontId="3" numFmtId="185" xfId="0">
      <alignment horizontal="center" vertical="center"/>
    </xf>
    <xf applyAlignment="true" applyBorder="false" applyFill="false" applyFont="true" applyNumberFormat="true" applyProtection="false" borderId="14" fillId="0" fontId="3" numFmtId="185" xfId="0">
      <alignment horizontal="center" vertical="center"/>
    </xf>
    <xf applyAlignment="true" applyBorder="false" applyFill="false" applyFont="true" applyNumberFormat="true" applyProtection="false" borderId="14" fillId="0" fontId="4" numFmtId="181" xfId="0">
      <alignment horizontal="center" vertical="center"/>
    </xf>
    <xf applyAlignment="true" applyBorder="false" applyFill="false" applyFont="true" applyNumberFormat="true" applyProtection="false" borderId="14" fillId="0" fontId="3" numFmtId="181" xfId="0">
      <alignment horizontal="center" vertical="center"/>
    </xf>
    <xf applyAlignment="true" applyBorder="false" applyFill="false" applyFont="true" applyNumberFormat="true" applyProtection="false" borderId="14" fillId="0" fontId="3" numFmtId="188" xfId="0">
      <alignment horizontal="center" vertical="center"/>
    </xf>
    <xf applyAlignment="true" applyBorder="false" applyFill="false" applyFont="true" applyNumberFormat="true" applyProtection="false" borderId="14" fillId="0" fontId="3" numFmtId="179" xfId="0">
      <alignment horizontal="center" vertical="center"/>
    </xf>
    <xf applyAlignment="true" applyBorder="false" applyFill="true" applyFont="true" applyNumberFormat="true" applyProtection="false" borderId="16" fillId="18" fontId="3" numFmtId="179" xfId="0">
      <alignment horizontal="center" vertical="center"/>
    </xf>
    <xf applyAlignment="true" applyBorder="false" applyFill="false" applyFont="true" applyNumberFormat="true" applyProtection="false" borderId="14" fillId="0" fontId="2" numFmtId="189" xfId="0">
      <alignment horizontal="center" vertical="center"/>
    </xf>
    <xf applyAlignment="true" applyBorder="false" applyFill="false" applyFont="true" applyNumberFormat="true" applyProtection="false" borderId="17" fillId="0" fontId="2" numFmtId="189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true" applyProtection="false" borderId="14" fillId="0" fontId="3" numFmtId="183" xfId="0">
      <alignment horizontal="center" vertical="center"/>
    </xf>
    <xf applyAlignment="true" applyBorder="false" applyFill="false" applyFont="true" applyNumberFormat="true" applyProtection="false" borderId="18" fillId="0" fontId="2" numFmtId="189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true" applyProtection="false" borderId="14" fillId="0" fontId="3" numFmtId="180" xfId="0">
      <alignment horizontal="center" vertical="center"/>
    </xf>
    <xf applyAlignment="true" applyBorder="false" applyFill="true" applyFont="true" applyNumberFormat="true" applyProtection="false" borderId="14" fillId="19" fontId="1" numFmtId="180" xfId="0">
      <alignment horizontal="center" vertical="center"/>
    </xf>
    <xf applyAlignment="true" applyBorder="false" applyFill="true" applyFont="true" applyNumberFormat="true" applyProtection="false" borderId="14" fillId="19" fontId="5" numFmtId="180" xfId="0">
      <alignment horizontal="center" vertical="center"/>
    </xf>
    <xf applyAlignment="true" applyBorder="false" applyFill="true" applyFont="true" applyNumberFormat="true" applyProtection="false" borderId="14" fillId="19" fontId="5" numFmtId="183" xfId="0">
      <alignment horizontal="center" vertical="center"/>
    </xf>
    <xf applyAlignment="true" applyBorder="false" applyFill="true" applyFont="true" applyNumberFormat="true" applyProtection="false" borderId="14" fillId="19" fontId="5" numFmtId="187" xfId="0">
      <alignment horizontal="center" vertical="center"/>
    </xf>
    <xf applyAlignment="true" applyBorder="false" applyFill="true" applyFont="true" applyNumberFormat="true" applyProtection="false" borderId="14" fillId="19" fontId="5" numFmtId="185" xfId="0">
      <alignment horizontal="center" vertical="center"/>
    </xf>
    <xf applyAlignment="true" applyBorder="false" applyFill="true" applyFont="true" applyNumberFormat="true" applyProtection="false" borderId="14" fillId="19" fontId="5" numFmtId="188" xfId="0">
      <alignment horizontal="center" vertical="center"/>
    </xf>
    <xf applyAlignment="true" applyBorder="false" applyFill="true" applyFont="true" applyNumberFormat="true" applyProtection="false" borderId="14" fillId="19" fontId="1" numFmtId="181" xfId="0">
      <alignment horizontal="center" vertical="center"/>
    </xf>
    <xf applyAlignment="true" applyBorder="false" applyFill="true" applyFont="true" applyNumberFormat="true" applyProtection="false" borderId="14" fillId="19" fontId="1" numFmtId="187" xfId="0">
      <alignment horizontal="center" vertical="center"/>
    </xf>
    <xf applyAlignment="true" applyBorder="false" applyFill="false" applyFont="true" applyNumberFormat="true" applyProtection="false" borderId="14" fillId="0" fontId="2" numFmtId="187" xfId="0">
      <alignment horizontal="center" vertical="center"/>
    </xf>
    <xf applyAlignment="true" applyBorder="false" applyFill="false" applyFont="true" applyNumberFormat="true" applyProtection="false" borderId="14" fillId="0" fontId="2" numFmtId="183" xfId="0">
      <alignment horizontal="center" vertical="center"/>
    </xf>
    <xf applyAlignment="true" applyBorder="false" applyFill="false" applyFont="true" applyNumberFormat="true" applyProtection="false" borderId="14" fillId="0" fontId="2" numFmtId="183" xfId="0">
      <alignment horizontal="center" vertical="center"/>
    </xf>
    <xf applyAlignment="true" applyBorder="false" applyFill="true" applyFont="true" applyNumberFormat="true" applyProtection="false" borderId="14" fillId="18" fontId="3" numFmtId="189" xfId="0">
      <alignment horizontal="center" vertical="center"/>
    </xf>
    <xf applyAlignment="true" applyBorder="false" applyFill="true" applyFont="true" applyNumberFormat="true" applyProtection="false" borderId="14" fillId="18" fontId="3" numFmtId="179" xfId="0">
      <alignment horizontal="center" vertical="center"/>
    </xf>
    <xf applyAlignment="true" applyBorder="false" applyFill="true" applyFont="true" applyNumberFormat="true" applyProtection="false" borderId="14" fillId="18" fontId="3" numFmtId="179" xfId="0">
      <alignment horizontal="center" vertical="center"/>
    </xf>
    <xf applyAlignment="true" applyBorder="false" applyFill="false" applyFont="true" applyNumberFormat="true" applyProtection="false" borderId="15" fillId="0" fontId="2" numFmtId="18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16" fillId="19" fontId="1" numFmtId="187" xfId="0">
      <alignment horizontal="center" vertical="center"/>
    </xf>
    <xf applyAlignment="true" applyBorder="false" applyFill="true" applyFont="true" applyNumberFormat="true" applyProtection="false" borderId="14" fillId="20" fontId="5" numFmtId="187" xfId="0">
      <alignment horizontal="center" vertical="center"/>
    </xf>
    <xf applyAlignment="true" applyBorder="false" applyFill="true" applyFont="true" applyNumberFormat="true" applyProtection="false" borderId="14" fillId="20" fontId="5" numFmtId="180" xfId="0">
      <alignment horizontal="center" vertical="center"/>
    </xf>
    <xf applyAlignment="true" applyBorder="false" applyFill="true" applyFont="true" applyNumberFormat="true" applyProtection="false" borderId="14" fillId="20" fontId="5" numFmtId="183" xfId="0">
      <alignment horizontal="center" vertical="center"/>
    </xf>
    <xf applyAlignment="true" applyBorder="false" applyFill="true" applyFont="true" applyNumberFormat="true" applyProtection="false" borderId="14" fillId="20" fontId="5" numFmtId="187" xfId="0">
      <alignment horizontal="center" vertical="center"/>
    </xf>
    <xf applyAlignment="true" applyBorder="false" applyFill="true" applyFont="true" applyNumberFormat="true" applyProtection="false" borderId="14" fillId="20" fontId="5" numFmtId="181" xfId="0">
      <alignment horizontal="center" vertical="center"/>
    </xf>
    <xf applyAlignment="true" applyBorder="false" applyFill="true" applyFont="true" applyNumberFormat="true" applyProtection="false" borderId="14" fillId="20" fontId="6" numFmtId="186" xfId="0">
      <alignment horizontal="center" vertical="center"/>
    </xf>
    <xf applyAlignment="true" applyBorder="false" applyFill="true" applyFont="true" applyNumberFormat="true" applyProtection="false" borderId="16" fillId="20" fontId="6" numFmtId="186" xfId="0">
      <alignment horizontal="center" vertical="center"/>
    </xf>
    <xf applyAlignment="true" applyBorder="false" applyFill="true" applyFont="true" applyNumberFormat="true" applyProtection="false" borderId="15" fillId="20" fontId="5" numFmtId="183" xfId="0">
      <alignment horizontal="center" vertical="center"/>
    </xf>
    <xf applyAlignment="true" applyBorder="false" applyFill="true" applyFont="true" applyNumberFormat="true" applyProtection="false" borderId="17" fillId="20" fontId="5" numFmtId="183" xfId="0">
      <alignment horizontal="center" vertical="center"/>
    </xf>
    <xf applyAlignment="true" applyBorder="false" applyFill="false" applyFont="true" applyNumberFormat="true" applyProtection="false" borderId="14" fillId="0" fontId="2" numFmtId="187" xfId="0">
      <alignment horizontal="center" vertical="center"/>
    </xf>
    <xf applyAlignment="true" applyBorder="false" applyFill="false" applyFont="true" applyNumberFormat="true" applyProtection="false" borderId="19" fillId="0" fontId="2" numFmtId="183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true" applyProtection="false" borderId="17" fillId="0" fontId="2" numFmtId="183" xfId="0">
      <alignment horizontal="center" vertical="center"/>
    </xf>
    <xf applyAlignment="true" applyBorder="false" applyFill="false" applyFont="true" applyNumberFormat="true" applyProtection="false" borderId="18" fillId="0" fontId="2" numFmtId="18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16" fillId="18" fontId="3" numFmtId="179" xfId="0">
      <alignment horizontal="center" vertical="center"/>
    </xf>
    <xf applyAlignment="true" applyBorder="false" applyFill="true" applyFont="true" applyNumberFormat="true" applyProtection="false" borderId="14" fillId="18" fontId="3" numFmtId="178" xfId="0">
      <alignment horizontal="center" vertical="center"/>
    </xf>
    <xf applyAlignment="true" applyBorder="false" applyFill="true" applyFont="true" applyNumberFormat="true" applyProtection="false" borderId="14" fillId="19" fontId="5" numFmtId="187" xfId="0">
      <alignment horizontal="center" vertical="center"/>
    </xf>
    <xf applyAlignment="true" applyBorder="false" applyFill="true" applyFont="true" applyNumberFormat="true" applyProtection="false" borderId="14" fillId="19" fontId="5" numFmtId="18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15" fillId="18" fontId="3" numFmtId="178" xfId="0">
      <alignment horizontal="center" vertical="center"/>
    </xf>
    <xf applyAlignment="true" applyBorder="false" applyFill="true" applyFont="true" applyNumberFormat="true" applyProtection="false" borderId="14" fillId="18" fontId="3" numFmtId="189" xfId="0">
      <alignment horizontal="center" vertical="center"/>
    </xf>
    <xf applyAlignment="true" applyBorder="false" applyFill="true" applyFont="true" applyNumberFormat="true" applyProtection="false" borderId="14" fillId="18" fontId="3" numFmtId="178" xfId="0">
      <alignment horizontal="center" vertical="center"/>
    </xf>
    <xf applyAlignment="true" applyBorder="false" applyFill="false" applyFont="true" applyNumberFormat="true" applyProtection="false" borderId="14" fillId="0" fontId="4" numFmtId="181" xfId="0">
      <alignment horizontal="center" vertical="center"/>
    </xf>
    <xf applyAlignment="true" applyBorder="false" applyFill="false" applyFont="true" applyNumberFormat="true" applyProtection="false" borderId="14" fillId="0" fontId="3" numFmtId="181" xfId="0">
      <alignment horizontal="center" vertical="center"/>
    </xf>
    <xf applyAlignment="true" applyBorder="false" applyFill="false" applyFont="true" applyNumberFormat="true" applyProtection="false" borderId="14" fillId="0" fontId="3" numFmtId="188" xfId="0">
      <alignment horizontal="center" vertical="center"/>
    </xf>
    <xf applyAlignment="true" applyBorder="false" applyFill="false" applyFont="true" applyNumberFormat="true" applyProtection="false" borderId="14" fillId="0" fontId="3" numFmtId="179" xfId="0">
      <alignment horizontal="center" vertical="center"/>
    </xf>
    <xf applyAlignment="true" applyBorder="false" applyFill="false" applyFont="true" applyNumberFormat="true" applyProtection="false" borderId="14" fillId="0" fontId="2" numFmtId="179" xfId="0">
      <alignment horizontal="center" vertical="center"/>
    </xf>
    <xf applyAlignment="true" applyBorder="false" applyFill="true" applyFont="true" applyNumberFormat="true" applyProtection="false" borderId="14" fillId="19" fontId="5" numFmtId="185" xfId="0">
      <alignment horizontal="center" vertical="center"/>
    </xf>
    <xf applyAlignment="true" applyBorder="false" applyFill="true" applyFont="true" applyNumberFormat="true" applyProtection="false" borderId="14" fillId="19" fontId="1" numFmtId="181" xfId="0">
      <alignment horizontal="center" vertical="center"/>
    </xf>
    <xf applyAlignment="true" applyBorder="false" applyFill="true" applyFont="true" applyNumberFormat="true" applyProtection="false" borderId="14" fillId="19" fontId="1" numFmtId="187" xfId="0">
      <alignment horizontal="center" vertical="center"/>
    </xf>
    <xf applyAlignment="true" applyBorder="false" applyFill="false" applyFont="true" applyNumberFormat="true" applyProtection="false" borderId="15" fillId="0" fontId="2" numFmtId="183" xfId="0">
      <alignment horizontal="center" vertical="center"/>
    </xf>
    <xf applyAlignment="true" applyBorder="false" applyFill="false" applyFont="true" applyNumberFormat="true" applyProtection="false" borderId="19" fillId="0" fontId="2" numFmtId="183" xfId="0">
      <alignment horizontal="center" vertical="center"/>
    </xf>
    <xf applyAlignment="true" applyBorder="false" applyFill="true" applyFont="true" applyNumberFormat="true" applyProtection="false" borderId="14" fillId="20" fontId="5" numFmtId="180" xfId="0">
      <alignment horizontal="center" vertical="center"/>
    </xf>
    <xf applyAlignment="true" applyBorder="false" applyFill="true" applyFont="true" applyNumberFormat="true" applyProtection="false" borderId="14" fillId="18" fontId="19" numFmtId="189" xfId="0">
      <alignment horizontal="center" vertical="center"/>
    </xf>
    <xf applyAlignment="true" applyBorder="false" applyFill="true" applyFont="true" applyNumberFormat="true" applyProtection="false" borderId="0" fillId="18" fontId="3" numFmtId="178" xfId="0">
      <alignment horizontal="center" vertical="center"/>
    </xf>
    <xf applyAlignment="true" applyBorder="false" applyFill="false" applyFont="true" applyNumberFormat="true" applyProtection="false" borderId="0" fillId="0" fontId="2" numFmtId="179" xfId="0">
      <alignment vertical="center"/>
    </xf>
    <xf applyAlignment="true" applyBorder="false" applyFill="false" applyFont="true" applyNumberFormat="true" applyProtection="false" borderId="0" fillId="0" fontId="2" numFmtId="179" xfId="0">
      <alignment vertical="center"/>
    </xf>
    <xf applyAlignment="true" applyBorder="false" applyFill="false" applyFont="true" applyNumberFormat="true" applyProtection="false" borderId="0" fillId="0" fontId="8" numFmtId="190" xfId="0">
      <alignment vertical="center"/>
    </xf>
    <xf applyAlignment="true" applyBorder="false" applyFill="true" applyFont="true" applyNumberFormat="false" applyProtection="false" borderId="0" fillId="18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true" applyProtection="false" borderId="0" fillId="0" fontId="8" numFmtId="183" xfId="0">
      <alignment horizontal="right" vertical="center"/>
    </xf>
    <xf applyAlignment="true" applyBorder="false" applyFill="false" applyFont="true" applyNumberFormat="true" applyProtection="false" borderId="0" fillId="0" fontId="8" numFmtId="180" xfId="0">
      <alignment horizontal="right" vertical="center"/>
    </xf>
    <xf applyAlignment="true" applyBorder="false" applyFill="false" applyFont="true" applyNumberFormat="true" applyProtection="false" borderId="0" fillId="0" fontId="2" numFmtId="180" xfId="0">
      <alignment vertical="center"/>
    </xf>
    <xf applyAlignment="true" applyBorder="false" applyFill="true" applyFont="true" applyNumberFormat="false" applyProtection="false" borderId="21" fillId="18" fontId="20" numFmtId="0" xfId="0">
      <alignment horizontal="right" vertical="center" wrapText="true"/>
    </xf>
    <xf applyAlignment="true" applyBorder="false" applyFill="true" applyFont="true" applyNumberFormat="true" applyProtection="false" borderId="0" fillId="18" fontId="20" numFmtId="189" xfId="0">
      <alignment horizontal="right" vertical="center" wrapText="true"/>
    </xf>
    <xf applyAlignment="true" applyBorder="false" applyFill="true" applyFont="true" applyNumberFormat="true" applyProtection="false" borderId="14" fillId="18" fontId="20" numFmtId="189" xfId="0">
      <alignment horizontal="center" vertical="center" wrapText="true"/>
    </xf>
    <xf applyAlignment="true" applyBorder="false" applyFill="false" applyFont="true" applyNumberFormat="true" applyProtection="false" borderId="0" fillId="0" fontId="2" numFmtId="179" xfId="0">
      <alignment vertical="center"/>
    </xf>
    <xf applyAlignment="true" applyBorder="false" applyFill="false" applyFont="true" applyNumberFormat="true" applyProtection="false" borderId="0" fillId="0" fontId="8" numFmtId="179" xfId="0">
      <alignment vertical="center"/>
    </xf>
    <xf applyAlignment="true" applyBorder="false" applyFill="true" applyFont="true" applyNumberFormat="true" applyProtection="false" borderId="16" fillId="21" fontId="11" numFmtId="191" xfId="0">
      <alignment horizontal="right" vertical="center"/>
    </xf>
    <xf applyAlignment="true" applyBorder="false" applyFill="true" applyFont="true" applyNumberFormat="true" applyProtection="false" borderId="17" fillId="21" fontId="11" numFmtId="180" xfId="0">
      <alignment horizontal="right" vertical="center"/>
    </xf>
    <xf applyAlignment="true" applyBorder="false" applyFill="true" applyFont="true" applyNumberFormat="true" applyProtection="false" borderId="22" fillId="18" fontId="21" numFmtId="183" xfId="0">
      <alignment horizontal="right" vertical="center" wrapText="true"/>
    </xf>
    <xf applyAlignment="true" applyBorder="false" applyFill="true" applyFont="true" applyNumberFormat="false" applyProtection="false" borderId="22" fillId="18" fontId="21" numFmtId="0" xfId="0">
      <alignment horizontal="right" vertical="center" wrapText="true"/>
    </xf>
    <xf applyAlignment="true" applyBorder="false" applyFill="false" applyFont="true" applyNumberFormat="true" applyProtection="false" borderId="0" fillId="0" fontId="8" numFmtId="183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false" applyProtection="false" borderId="0" fillId="18" fontId="22" numFmtId="0" xfId="0">
      <alignment vertical="center" wrapText="true"/>
    </xf>
    <xf applyAlignment="true" applyBorder="false" applyFill="true" applyFont="true" applyNumberFormat="true" applyProtection="false" borderId="22" fillId="18" fontId="21" numFmtId="189" xfId="0">
      <alignment horizontal="right" vertical="center" wrapText="true"/>
    </xf>
    <xf applyAlignment="true" applyBorder="false" applyFill="false" applyFont="true" applyNumberFormat="true" applyProtection="false" borderId="0" fillId="0" fontId="8" numFmtId="179" xfId="0">
      <alignment horizontal="center" vertical="center"/>
    </xf>
    <xf applyAlignment="true" applyBorder="false" applyFill="true" applyFont="true" applyNumberFormat="true" applyProtection="false" borderId="0" fillId="21" fontId="8" numFmtId="179" xfId="0">
      <alignment horizontal="center" vertical="center"/>
    </xf>
    <xf applyAlignment="true" applyBorder="false" applyFill="true" applyFont="true" applyNumberFormat="false" applyProtection="false" borderId="0" fillId="18" fontId="20" numFmtId="0" xfId="0">
      <alignment horizontal="right" vertical="center" wrapText="true"/>
    </xf>
    <xf applyAlignment="true" applyBorder="false" applyFill="true" applyFont="true" applyNumberFormat="true" applyProtection="false" borderId="0" fillId="18" fontId="23" numFmtId="179" xfId="0">
      <alignment vertical="center" wrapText="true"/>
    </xf>
    <xf applyAlignment="true" applyBorder="false" applyFill="true" applyFont="true" applyNumberFormat="true" applyProtection="false" borderId="0" fillId="18" fontId="20" numFmtId="179" xfId="0">
      <alignment horizontal="right" vertical="center" wrapText="true"/>
    </xf>
    <xf applyAlignment="true" applyBorder="false" applyFill="true" applyFont="true" applyNumberFormat="true" applyProtection="false" borderId="0" fillId="18" fontId="18" numFmtId="179" xfId="0">
      <alignment horizontal="right" vertical="center"/>
    </xf>
    <xf applyAlignment="true" applyBorder="false" applyFill="false" applyFont="true" applyNumberFormat="true" applyProtection="false" borderId="0" fillId="0" fontId="2" numFmtId="17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21" fontId="8" numFmtId="0" xfId="0">
      <alignment horizontal="center" vertical="center"/>
    </xf>
    <xf applyAlignment="true" applyBorder="false" applyFill="true" applyFont="true" applyNumberFormat="false" applyProtection="false" borderId="0" fillId="18" fontId="24" numFmtId="0" xfId="0">
      <alignment vertical="center" wrapText="true"/>
    </xf>
    <xf applyAlignment="true" applyBorder="false" applyFill="true" applyFont="true" applyNumberFormat="false" applyProtection="false" borderId="0" fillId="22" fontId="20" numFmtId="0" xfId="0">
      <alignment horizontal="right" vertical="center" wrapText="true"/>
    </xf>
    <xf applyAlignment="true" applyBorder="false" applyFill="true" applyFont="true" applyNumberFormat="true" applyProtection="false" borderId="0" fillId="23" fontId="2" numFmtId="179" xfId="0">
      <alignment horizontal="center" vertical="center"/>
    </xf>
    <xf applyAlignment="true" applyBorder="false" applyFill="true" applyFont="true" applyNumberFormat="true" applyProtection="false" borderId="0" fillId="18" fontId="23" numFmtId="179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0" fillId="24" fontId="25" numFmtId="179" xfId="0">
      <alignment vertical="center" wrapText="true"/>
    </xf>
    <xf applyAlignment="true" applyBorder="false" applyFill="false" applyFont="true" applyNumberFormat="true" applyProtection="false" borderId="0" fillId="0" fontId="26" numFmtId="189" xfId="0">
      <alignment horizontal="center" vertical="center"/>
    </xf>
    <xf applyAlignment="true" applyBorder="false" applyFill="false" applyFont="true" applyNumberFormat="true" applyProtection="false" borderId="0" fillId="0" fontId="7" numFmtId="179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23" fillId="25" fontId="1" numFmtId="192" xfId="0">
      <alignment horizontal="center" vertical="center"/>
    </xf>
    <xf applyAlignment="true" applyBorder="false" applyFill="true" applyFont="true" applyNumberFormat="true" applyProtection="false" borderId="23" fillId="26" fontId="1" numFmtId="194" xfId="0">
      <alignment horizontal="center" vertical="center"/>
    </xf>
    <xf applyAlignment="true" applyBorder="false" applyFill="true" applyFont="true" applyNumberFormat="true" applyProtection="false" borderId="23" fillId="27" fontId="1" numFmtId="195" xfId="0">
      <alignment horizontal="center" vertical="center"/>
    </xf>
    <xf applyAlignment="true" applyBorder="false" applyFill="true" applyFont="true" applyNumberFormat="true" applyProtection="false" borderId="23" fillId="28" fontId="2" numFmtId="196" xfId="0">
      <alignment horizontal="center" vertical="center"/>
    </xf>
    <xf applyAlignment="true" applyBorder="false" applyFill="true" applyFont="true" applyNumberFormat="true" applyProtection="false" borderId="23" fillId="25" fontId="1" numFmtId="192" xfId="0">
      <alignment horizontal="center" vertical="center"/>
    </xf>
    <xf applyAlignment="true" applyBorder="false" applyFill="true" applyFont="true" applyNumberFormat="true" applyProtection="false" borderId="23" fillId="26" fontId="1" numFmtId="194" xfId="0">
      <alignment horizontal="center" vertical="center"/>
    </xf>
    <xf applyAlignment="true" applyBorder="false" applyFill="true" applyFont="true" applyNumberFormat="true" applyProtection="false" borderId="23" fillId="26" fontId="1" numFmtId="197" xfId="0">
      <alignment horizontal="center" vertical="center"/>
    </xf>
    <xf applyAlignment="true" applyBorder="false" applyFill="true" applyFont="true" applyNumberFormat="true" applyProtection="false" borderId="23" fillId="26" fontId="1" numFmtId="198" xfId="0">
      <alignment horizontal="center" vertical="center"/>
    </xf>
    <xf applyAlignment="true" applyBorder="false" applyFill="true" applyFont="true" applyNumberFormat="true" applyProtection="false" borderId="23" fillId="26" fontId="1" numFmtId="199" xfId="0">
      <alignment horizontal="center" vertical="center"/>
    </xf>
    <xf applyAlignment="true" applyBorder="false" applyFill="true" applyFont="true" applyNumberFormat="true" applyProtection="false" borderId="23" fillId="27" fontId="1" numFmtId="195" xfId="0">
      <alignment horizontal="center" vertical="center"/>
    </xf>
    <xf applyAlignment="true" applyBorder="false" applyFill="true" applyFont="true" applyNumberFormat="true" applyProtection="false" borderId="23" fillId="27" fontId="1" numFmtId="200" xfId="0">
      <alignment horizontal="center" vertical="center"/>
    </xf>
    <xf applyAlignment="true" applyBorder="false" applyFill="false" applyFont="true" applyNumberFormat="true" applyProtection="false" borderId="23" fillId="0" fontId="2" numFmtId="196" xfId="0">
      <alignment horizontal="center" vertical="center"/>
    </xf>
    <xf applyAlignment="true" applyBorder="false" applyFill="false" applyFont="true" applyNumberFormat="true" applyProtection="false" borderId="23" fillId="0" fontId="2" numFmtId="196" xfId="0">
      <alignment horizontal="center" vertical="center"/>
    </xf>
    <xf applyAlignment="true" applyBorder="false" applyFill="false" applyFont="true" applyNumberFormat="true" applyProtection="false" borderId="23" fillId="0" fontId="3" numFmtId="192" xfId="0">
      <alignment horizontal="center" vertical="center"/>
    </xf>
    <xf applyAlignment="true" applyBorder="false" applyFill="false" applyFont="true" applyNumberFormat="true" applyProtection="false" borderId="23" fillId="0" fontId="2" numFmtId="201" xfId="0">
      <alignment horizontal="center" vertical="center"/>
    </xf>
    <xf applyAlignment="true" applyBorder="false" applyFill="false" applyFont="true" applyNumberFormat="true" applyProtection="false" borderId="23" fillId="0" fontId="3" numFmtId="194" xfId="0">
      <alignment horizontal="center" vertical="center"/>
    </xf>
    <xf applyAlignment="true" applyBorder="false" applyFill="false" applyFont="true" applyNumberFormat="true" applyProtection="false" borderId="23" fillId="0" fontId="3" numFmtId="194" xfId="0">
      <alignment horizontal="center" vertical="center"/>
    </xf>
    <xf applyAlignment="true" applyBorder="false" applyFill="false" applyFont="true" applyNumberFormat="true" applyProtection="false" borderId="23" fillId="0" fontId="3" numFmtId="197" xfId="0">
      <alignment horizontal="center" vertical="center"/>
    </xf>
    <xf applyAlignment="true" applyBorder="false" applyFill="false" applyFont="true" applyNumberFormat="true" applyProtection="false" borderId="23" fillId="0" fontId="3" numFmtId="199" xfId="0">
      <alignment horizontal="center" vertical="center"/>
    </xf>
    <xf applyAlignment="true" applyBorder="false" applyFill="false" applyFont="true" applyNumberFormat="true" applyProtection="false" borderId="23" fillId="0" fontId="3" numFmtId="199" xfId="0">
      <alignment horizontal="center" vertical="center"/>
    </xf>
    <xf applyAlignment="true" applyBorder="false" applyFill="false" applyFont="true" applyNumberFormat="true" applyProtection="false" borderId="23" fillId="0" fontId="4" numFmtId="195" xfId="0">
      <alignment horizontal="center" vertical="center"/>
    </xf>
    <xf applyAlignment="true" applyBorder="false" applyFill="false" applyFont="true" applyNumberFormat="true" applyProtection="false" borderId="23" fillId="0" fontId="3" numFmtId="195" xfId="0">
      <alignment horizontal="center" vertical="center"/>
    </xf>
    <xf applyAlignment="true" applyBorder="false" applyFill="false" applyFont="true" applyNumberFormat="true" applyProtection="false" borderId="23" fillId="0" fontId="3" numFmtId="202" xfId="0">
      <alignment horizontal="center" vertical="center"/>
    </xf>
    <xf applyAlignment="true" applyBorder="false" applyFill="false" applyFont="true" applyNumberFormat="true" applyProtection="false" borderId="23" fillId="0" fontId="3" numFmtId="193" xfId="0">
      <alignment horizontal="center" vertical="center"/>
    </xf>
    <xf applyAlignment="true" applyBorder="false" applyFill="true" applyFont="true" applyNumberFormat="true" applyProtection="false" borderId="23" fillId="29" fontId="3" numFmtId="193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true" applyProtection="false" borderId="23" fillId="0" fontId="3" numFmtId="197" xfId="0">
      <alignment horizontal="center" vertical="center"/>
    </xf>
    <xf applyAlignment="true" applyBorder="false" applyFill="true" applyFont="true" applyNumberFormat="true" applyProtection="false" borderId="23" fillId="30" fontId="1" numFmtId="194" xfId="0">
      <alignment horizontal="center" vertical="center"/>
    </xf>
    <xf applyAlignment="true" applyBorder="false" applyFill="true" applyFont="true" applyNumberFormat="true" applyProtection="false" borderId="23" fillId="30" fontId="5" numFmtId="194" xfId="0">
      <alignment horizontal="center" vertical="center"/>
    </xf>
    <xf applyAlignment="true" applyBorder="false" applyFill="true" applyFont="true" applyNumberFormat="true" applyProtection="false" borderId="23" fillId="30" fontId="5" numFmtId="197" xfId="0">
      <alignment horizontal="center" vertical="center"/>
    </xf>
    <xf applyAlignment="true" applyBorder="false" applyFill="true" applyFont="true" applyNumberFormat="true" applyProtection="false" borderId="23" fillId="30" fontId="5" numFmtId="201" xfId="0">
      <alignment horizontal="center" vertical="center"/>
    </xf>
    <xf applyAlignment="true" applyBorder="false" applyFill="true" applyFont="true" applyNumberFormat="true" applyProtection="false" borderId="23" fillId="30" fontId="5" numFmtId="199" xfId="0">
      <alignment horizontal="center" vertical="center"/>
    </xf>
    <xf applyAlignment="true" applyBorder="false" applyFill="true" applyFont="true" applyNumberFormat="true" applyProtection="false" borderId="23" fillId="30" fontId="5" numFmtId="202" xfId="0">
      <alignment horizontal="center" vertical="center"/>
    </xf>
    <xf applyAlignment="true" applyBorder="false" applyFill="true" applyFont="true" applyNumberFormat="true" applyProtection="false" borderId="23" fillId="30" fontId="1" numFmtId="195" xfId="0">
      <alignment horizontal="center" vertical="center"/>
    </xf>
    <xf applyAlignment="true" applyBorder="false" applyFill="true" applyFont="true" applyNumberFormat="true" applyProtection="false" borderId="23" fillId="30" fontId="1" numFmtId="201" xfId="0">
      <alignment horizontal="center" vertical="center"/>
    </xf>
    <xf applyAlignment="true" applyBorder="false" applyFill="false" applyFont="true" applyNumberFormat="true" applyProtection="false" borderId="23" fillId="0" fontId="2" numFmtId="197" xfId="0">
      <alignment horizontal="center" vertical="center"/>
    </xf>
    <xf applyAlignment="true" applyBorder="false" applyFill="false" applyFont="true" applyNumberFormat="true" applyProtection="false" borderId="23" fillId="0" fontId="2" numFmtId="197" xfId="0">
      <alignment horizontal="center" vertical="center"/>
    </xf>
    <xf applyAlignment="true" applyBorder="false" applyFill="false" applyFont="true" applyNumberFormat="true" applyProtection="false" borderId="23" fillId="0" fontId="3" numFmtId="194" xfId="0">
      <alignment horizontal="center" vertical="center"/>
    </xf>
    <xf applyAlignment="true" applyBorder="false" applyFill="true" applyFont="true" applyNumberFormat="true" applyProtection="false" borderId="23" fillId="29" fontId="3" numFmtId="193" xfId="0">
      <alignment horizontal="center" vertical="center"/>
    </xf>
    <xf applyAlignment="true" applyBorder="false" applyFill="true" applyFont="true" applyNumberFormat="true" applyProtection="false" borderId="24" fillId="30" fontId="1" numFmtId="201" xfId="0">
      <alignment horizontal="center" vertical="center"/>
    </xf>
    <xf applyAlignment="true" applyBorder="false" applyFill="true" applyFont="true" applyNumberFormat="true" applyProtection="false" borderId="25" fillId="30" fontId="5" numFmtId="197" xfId="0">
      <alignment horizontal="center" vertical="center"/>
    </xf>
    <xf applyAlignment="true" applyBorder="false" applyFill="true" applyFont="true" applyNumberFormat="true" applyProtection="false" borderId="23" fillId="31" fontId="5" numFmtId="201" xfId="0">
      <alignment horizontal="center" vertical="center"/>
    </xf>
    <xf applyAlignment="true" applyBorder="false" applyFill="true" applyFont="true" applyNumberFormat="true" applyProtection="false" borderId="23" fillId="31" fontId="5" numFmtId="194" xfId="0">
      <alignment horizontal="center" vertical="center"/>
    </xf>
    <xf applyAlignment="true" applyBorder="false" applyFill="true" applyFont="true" applyNumberFormat="true" applyProtection="false" borderId="23" fillId="31" fontId="5" numFmtId="197" xfId="0">
      <alignment horizontal="center" vertical="center"/>
    </xf>
    <xf applyAlignment="true" applyBorder="false" applyFill="true" applyFont="true" applyNumberFormat="true" applyProtection="false" borderId="23" fillId="31" fontId="5" numFmtId="201" xfId="0">
      <alignment horizontal="center" vertical="center"/>
    </xf>
    <xf applyAlignment="true" applyBorder="false" applyFill="true" applyFont="true" applyNumberFormat="true" applyProtection="false" borderId="23" fillId="31" fontId="5" numFmtId="195" xfId="0">
      <alignment horizontal="center" vertical="center"/>
    </xf>
    <xf applyAlignment="true" applyBorder="false" applyFill="true" applyFont="true" applyNumberFormat="true" applyProtection="false" borderId="23" fillId="31" fontId="6" numFmtId="200" xfId="0">
      <alignment horizontal="center" vertical="center"/>
    </xf>
    <xf applyAlignment="true" applyBorder="false" applyFill="true" applyFont="true" applyNumberFormat="true" applyProtection="false" borderId="24" fillId="31" fontId="6" numFmtId="200" xfId="0">
      <alignment horizontal="center" vertical="center"/>
    </xf>
    <xf applyAlignment="true" applyBorder="false" applyFill="true" applyFont="true" applyNumberFormat="true" applyProtection="false" borderId="25" fillId="31" fontId="5" numFmtId="197" xfId="0">
      <alignment horizontal="center" vertical="center"/>
    </xf>
    <xf applyAlignment="true" applyBorder="false" applyFill="false" applyFont="true" applyNumberFormat="true" applyProtection="false" borderId="26" fillId="0" fontId="2" numFmtId="197" xfId="0">
      <alignment horizontal="center" vertical="center"/>
    </xf>
    <xf applyAlignment="true" applyBorder="false" applyFill="false" applyFont="true" applyNumberFormat="true" applyProtection="false" borderId="26" fillId="0" fontId="2" numFmtId="197" xfId="0">
      <alignment horizontal="center" vertical="center"/>
    </xf>
    <xf applyAlignment="true" applyBorder="false" applyFill="true" applyFont="true" applyNumberFormat="true" applyProtection="false" borderId="23" fillId="32" fontId="3" numFmtId="192" xfId="0">
      <alignment horizontal="center" vertical="center"/>
    </xf>
    <xf applyAlignment="true" applyBorder="false" applyFill="false" applyFont="true" applyNumberFormat="true" applyProtection="false" borderId="27" fillId="0" fontId="3" numFmtId="194" xfId="0">
      <alignment horizontal="center" vertical="center"/>
    </xf>
    <xf applyAlignment="true" applyBorder="false" applyFill="true" applyFont="true" applyNumberFormat="true" applyProtection="false" borderId="23" fillId="33" fontId="5" numFmtId="194" xfId="0">
      <alignment horizontal="center" vertical="center"/>
    </xf>
    <xf applyAlignment="true" applyBorder="false" applyFill="false" applyFont="true" applyNumberFormat="true" applyProtection="false" borderId="26" fillId="0" fontId="2" numFmtId="196" xfId="0">
      <alignment horizontal="center" vertical="center"/>
    </xf>
    <xf applyAlignment="true" applyBorder="false" applyFill="true" applyFont="true" applyNumberFormat="true" applyProtection="false" borderId="24" fillId="29" fontId="3" numFmtId="193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8" fillId="0" fontId="2" numFmtId="0" xfId="0">
      <alignment horizontal="center" vertical="center"/>
    </xf>
    <xf applyAlignment="true" applyBorder="false" applyFill="true" applyFont="true" applyNumberFormat="true" applyProtection="false" borderId="24" fillId="29" fontId="3" numFmtId="193" xfId="0">
      <alignment horizontal="center" vertical="center"/>
    </xf>
    <xf applyAlignment="true" applyBorder="false" applyFill="false" applyFont="true" applyNumberFormat="true" applyProtection="false" borderId="27" fillId="0" fontId="2" numFmtId="201" xfId="0">
      <alignment horizontal="center" vertical="center"/>
    </xf>
    <xf applyAlignment="true" applyBorder="false" applyFill="false" applyFont="true" applyNumberFormat="true" applyProtection="false" borderId="27" fillId="0" fontId="3" numFmtId="197" xfId="0">
      <alignment horizontal="center" vertical="center"/>
    </xf>
    <xf applyAlignment="true" applyBorder="false" applyFill="false" applyFont="true" applyNumberFormat="true" applyProtection="false" borderId="27" fillId="0" fontId="3" numFmtId="199" xfId="0">
      <alignment horizontal="center" vertical="center"/>
    </xf>
    <xf applyAlignment="true" applyBorder="false" applyFill="false" applyFont="true" applyNumberFormat="true" applyProtection="false" borderId="27" fillId="0" fontId="4" numFmtId="195" xfId="0">
      <alignment horizontal="center" vertical="center"/>
    </xf>
    <xf applyAlignment="true" applyBorder="false" applyFill="false" applyFont="true" applyNumberFormat="true" applyProtection="false" borderId="27" fillId="0" fontId="3" numFmtId="195" xfId="0">
      <alignment horizontal="center" vertical="center"/>
    </xf>
    <xf applyAlignment="true" applyBorder="false" applyFill="false" applyFont="true" applyNumberFormat="true" applyProtection="false" borderId="27" fillId="0" fontId="3" numFmtId="202" xfId="0">
      <alignment horizontal="center" vertical="center"/>
    </xf>
    <xf applyAlignment="true" applyBorder="false" applyFill="false" applyFont="true" applyNumberFormat="true" applyProtection="false" borderId="27" fillId="0" fontId="3" numFmtId="193" xfId="0">
      <alignment horizontal="center" vertical="center"/>
    </xf>
    <xf applyAlignment="true" applyBorder="false" applyFill="true" applyFont="true" applyNumberFormat="true" applyProtection="false" borderId="29" fillId="29" fontId="3" numFmtId="193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true" applyFont="true" applyNumberFormat="true" applyProtection="false" borderId="26" fillId="31" fontId="5" numFmtId="197" xfId="0">
      <alignment horizontal="center" vertical="center"/>
    </xf>
    <xf applyAlignment="true" applyBorder="false" applyFill="true" applyFont="true" applyNumberFormat="true" applyProtection="false" borderId="27" fillId="25" fontId="1" numFmtId="192" xfId="0">
      <alignment horizontal="center" vertical="center"/>
    </xf>
    <xf applyAlignment="true" applyBorder="false" applyFill="true" applyFont="true" applyNumberFormat="true" applyProtection="false" borderId="27" fillId="26" fontId="1" numFmtId="194" xfId="0">
      <alignment horizontal="center" vertical="center"/>
    </xf>
    <xf applyAlignment="true" applyBorder="false" applyFill="true" applyFont="true" applyNumberFormat="true" applyProtection="false" borderId="27" fillId="27" fontId="1" numFmtId="195" xfId="0">
      <alignment horizontal="center" vertical="center"/>
    </xf>
    <xf applyAlignment="true" applyBorder="false" applyFill="true" applyFont="true" applyNumberFormat="true" applyProtection="false" borderId="27" fillId="28" fontId="2" numFmtId="196" xfId="0">
      <alignment horizontal="center" vertical="center"/>
    </xf>
    <xf applyAlignment="true" applyBorder="false" applyFill="true" applyFont="true" applyNumberFormat="true" applyProtection="false" borderId="27" fillId="25" fontId="1" numFmtId="192" xfId="0">
      <alignment horizontal="center" vertical="center"/>
    </xf>
    <xf applyAlignment="true" applyBorder="false" applyFill="true" applyFont="true" applyNumberFormat="true" applyProtection="false" borderId="27" fillId="26" fontId="1" numFmtId="194" xfId="0">
      <alignment horizontal="center" vertical="center"/>
    </xf>
    <xf applyAlignment="true" applyBorder="false" applyFill="true" applyFont="true" applyNumberFormat="true" applyProtection="false" borderId="27" fillId="26" fontId="1" numFmtId="197" xfId="0">
      <alignment horizontal="center" vertical="center"/>
    </xf>
    <xf applyAlignment="true" applyBorder="false" applyFill="true" applyFont="true" applyNumberFormat="true" applyProtection="false" borderId="27" fillId="26" fontId="1" numFmtId="198" xfId="0">
      <alignment horizontal="center" vertical="center"/>
    </xf>
    <xf applyAlignment="true" applyBorder="false" applyFill="true" applyFont="true" applyNumberFormat="true" applyProtection="false" borderId="27" fillId="26" fontId="1" numFmtId="199" xfId="0">
      <alignment horizontal="center" vertical="center"/>
    </xf>
    <xf applyAlignment="true" applyBorder="false" applyFill="true" applyFont="true" applyNumberFormat="true" applyProtection="false" borderId="27" fillId="27" fontId="1" numFmtId="200" xfId="0">
      <alignment horizontal="center" vertical="center"/>
    </xf>
    <xf applyAlignment="true" applyBorder="false" applyFill="false" applyFont="true" applyNumberFormat="true" applyProtection="false" borderId="30" fillId="0" fontId="2" numFmtId="196" xfId="0">
      <alignment horizontal="center" vertical="center"/>
    </xf>
    <xf applyAlignment="true" applyBorder="false" applyFill="false" applyFont="true" applyNumberFormat="true" applyProtection="false" borderId="27" fillId="0" fontId="2" numFmtId="196" xfId="0">
      <alignment horizontal="center" vertical="center"/>
    </xf>
    <xf applyAlignment="true" applyBorder="false" applyFill="true" applyFont="true" applyNumberFormat="true" applyProtection="false" borderId="27" fillId="32" fontId="3" numFmtId="192" xfId="0">
      <alignment horizontal="center" vertical="center"/>
    </xf>
    <xf applyAlignment="true" applyBorder="false" applyFill="false" applyFont="true" applyNumberFormat="true" applyProtection="false" borderId="27" fillId="0" fontId="2" numFmtId="201" xfId="0">
      <alignment horizontal="center" vertical="center"/>
    </xf>
    <xf applyAlignment="true" applyBorder="false" applyFill="false" applyFont="true" applyNumberFormat="true" applyProtection="false" borderId="27" fillId="0" fontId="3" numFmtId="197" xfId="0">
      <alignment horizontal="center" vertical="center"/>
    </xf>
    <xf applyAlignment="true" applyBorder="false" applyFill="false" applyFont="true" applyNumberFormat="true" applyProtection="false" borderId="27" fillId="0" fontId="3" numFmtId="199" xfId="0">
      <alignment horizontal="center" vertical="center"/>
    </xf>
    <xf applyAlignment="true" applyBorder="false" applyFill="false" applyFont="true" applyNumberFormat="true" applyProtection="false" borderId="27" fillId="0" fontId="2" numFmtId="203" xfId="0">
      <alignment horizontal="center" vertical="center"/>
    </xf>
    <xf applyAlignment="true" applyBorder="false" applyFill="false" applyFont="true" applyNumberFormat="true" applyProtection="false" borderId="31" fillId="0" fontId="2" numFmtId="203" xfId="0">
      <alignment horizontal="center" vertical="center"/>
    </xf>
    <xf applyAlignment="true" applyBorder="false" applyFill="false" applyFont="true" applyNumberFormat="true" applyProtection="false" borderId="27" fillId="0" fontId="3" numFmtId="19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27" fillId="30" fontId="1" numFmtId="194" xfId="0">
      <alignment horizontal="center" vertical="center"/>
    </xf>
    <xf applyAlignment="true" applyBorder="false" applyFill="true" applyFont="true" applyNumberFormat="true" applyProtection="false" borderId="27" fillId="30" fontId="5" numFmtId="194" xfId="0">
      <alignment horizontal="center" vertical="center"/>
    </xf>
    <xf applyAlignment="true" applyBorder="false" applyFill="true" applyFont="true" applyNumberFormat="true" applyProtection="false" borderId="27" fillId="30" fontId="5" numFmtId="197" xfId="0">
      <alignment horizontal="center" vertical="center"/>
    </xf>
    <xf applyAlignment="true" applyBorder="false" applyFill="true" applyFont="true" applyNumberFormat="true" applyProtection="false" borderId="27" fillId="30" fontId="5" numFmtId="201" xfId="0">
      <alignment horizontal="center" vertical="center"/>
    </xf>
    <xf applyAlignment="true" applyBorder="false" applyFill="true" applyFont="true" applyNumberFormat="true" applyProtection="false" borderId="27" fillId="30" fontId="5" numFmtId="199" xfId="0">
      <alignment horizontal="center" vertical="center"/>
    </xf>
    <xf applyAlignment="true" applyBorder="false" applyFill="true" applyFont="true" applyNumberFormat="true" applyProtection="false" borderId="27" fillId="30" fontId="5" numFmtId="202" xfId="0">
      <alignment horizontal="center" vertical="center"/>
    </xf>
    <xf applyAlignment="true" applyBorder="false" applyFill="true" applyFont="true" applyNumberFormat="true" applyProtection="false" borderId="27" fillId="30" fontId="1" numFmtId="195" xfId="0">
      <alignment horizontal="center" vertical="center"/>
    </xf>
    <xf applyAlignment="true" applyBorder="false" applyFill="true" applyFont="true" applyNumberFormat="true" applyProtection="false" borderId="27" fillId="30" fontId="1" numFmtId="201" xfId="0">
      <alignment horizontal="center" vertical="center"/>
    </xf>
    <xf applyAlignment="true" applyBorder="false" applyFill="false" applyFont="true" applyNumberFormat="true" applyProtection="false" borderId="27" fillId="0" fontId="2" numFmtId="197" xfId="0">
      <alignment horizontal="center" vertical="center"/>
    </xf>
    <xf applyAlignment="true" applyBorder="false" applyFill="true" applyFont="true" applyNumberFormat="true" applyProtection="false" borderId="27" fillId="29" fontId="3" numFmtId="193" xfId="0">
      <alignment horizontal="center" vertical="center"/>
    </xf>
    <xf applyAlignment="true" applyBorder="false" applyFill="false" applyFont="true" applyNumberFormat="true" applyProtection="false" borderId="30" fillId="0" fontId="2" numFmtId="197" xfId="0">
      <alignment horizontal="center" vertical="center"/>
    </xf>
    <xf applyAlignment="true" applyBorder="false" applyFill="true" applyFont="true" applyNumberFormat="true" applyProtection="false" borderId="29" fillId="30" fontId="1" numFmtId="201" xfId="0">
      <alignment horizontal="center" vertical="center"/>
    </xf>
    <xf applyAlignment="true" applyBorder="false" applyFill="true" applyFont="true" applyNumberFormat="true" applyProtection="false" borderId="27" fillId="31" fontId="5" numFmtId="201" xfId="0">
      <alignment horizontal="center" vertical="center"/>
    </xf>
    <xf applyAlignment="true" applyBorder="false" applyFill="true" applyFont="true" applyNumberFormat="true" applyProtection="false" borderId="27" fillId="31" fontId="5" numFmtId="194" xfId="0">
      <alignment horizontal="center" vertical="center"/>
    </xf>
    <xf applyAlignment="true" applyBorder="false" applyFill="true" applyFont="true" applyNumberFormat="true" applyProtection="false" borderId="27" fillId="31" fontId="5" numFmtId="197" xfId="0">
      <alignment horizontal="center" vertical="center"/>
    </xf>
    <xf applyAlignment="true" applyBorder="false" applyFill="true" applyFont="true" applyNumberFormat="true" applyProtection="false" borderId="27" fillId="31" fontId="5" numFmtId="201" xfId="0">
      <alignment horizontal="center" vertical="center"/>
    </xf>
    <xf applyAlignment="true" applyBorder="false" applyFill="true" applyFont="true" applyNumberFormat="true" applyProtection="false" borderId="27" fillId="31" fontId="5" numFmtId="195" xfId="0">
      <alignment horizontal="center" vertical="center"/>
    </xf>
    <xf applyAlignment="true" applyBorder="false" applyFill="true" applyFont="true" applyNumberFormat="true" applyProtection="false" borderId="27" fillId="31" fontId="6" numFmtId="200" xfId="0">
      <alignment horizontal="center" vertical="center"/>
    </xf>
    <xf applyAlignment="true" applyBorder="false" applyFill="true" applyFont="true" applyNumberFormat="true" applyProtection="false" borderId="29" fillId="31" fontId="6" numFmtId="200" xfId="0">
      <alignment horizontal="center" vertical="center"/>
    </xf>
    <xf applyAlignment="true" applyBorder="false" applyFill="true" applyFont="true" applyNumberFormat="true" applyProtection="false" borderId="30" fillId="31" fontId="5" numFmtId="197" xfId="0">
      <alignment horizontal="center" vertical="center"/>
    </xf>
    <xf applyAlignment="true" applyBorder="false" applyFill="true" applyFont="true" applyNumberFormat="true" applyProtection="false" borderId="31" fillId="31" fontId="5" numFmtId="197" xfId="0">
      <alignment horizontal="center" vertical="center"/>
    </xf>
    <xf applyAlignment="true" applyBorder="false" applyFill="false" applyFont="true" applyNumberFormat="true" applyProtection="false" borderId="27" fillId="0" fontId="3" numFmtId="194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/>
    </xf>
    <xf applyAlignment="true" applyBorder="false" applyFill="false" applyFont="true" applyNumberFormat="true" applyProtection="false" borderId="27" fillId="0" fontId="3" numFmtId="192" xfId="0">
      <alignment horizontal="center" vertical="center"/>
    </xf>
    <xf applyAlignment="true" applyBorder="false" applyFill="true" applyFont="true" applyNumberFormat="true" applyProtection="false" borderId="27" fillId="29" fontId="3" numFmtId="192" xfId="0">
      <alignment horizontal="center" vertical="center"/>
    </xf>
    <xf applyAlignment="true" applyBorder="false" applyFill="true" applyFont="true" applyNumberFormat="true" applyProtection="false" borderId="27" fillId="29" fontId="3" numFmtId="192" xfId="0">
      <alignment horizontal="center" vertical="center"/>
    </xf>
    <xf applyAlignment="true" applyBorder="false" applyFill="false" applyFont="true" applyNumberFormat="true" applyProtection="false" borderId="32" fillId="0" fontId="2" numFmtId="203" xfId="0">
      <alignment horizontal="center" vertical="center"/>
    </xf>
    <xf applyAlignment="true" applyBorder="false" applyFill="false" applyFont="true" applyNumberFormat="true" applyProtection="false" borderId="27" fillId="0" fontId="2" numFmtId="201" xfId="0">
      <alignment horizontal="center" vertical="center"/>
    </xf>
    <xf applyAlignment="true" applyBorder="false" applyFill="false" applyFont="true" applyNumberFormat="true" applyProtection="false" borderId="27" fillId="0" fontId="2" numFmtId="197" xfId="0">
      <alignment horizontal="center" vertical="center"/>
    </xf>
    <xf applyAlignment="true" applyBorder="false" applyFill="true" applyFont="true" applyNumberFormat="true" applyProtection="false" borderId="27" fillId="29" fontId="19" numFmtId="203" xfId="0">
      <alignment horizontal="center" vertical="center"/>
    </xf>
    <xf applyAlignment="true" applyBorder="false" applyFill="true" applyFont="true" applyNumberFormat="true" applyProtection="false" borderId="27" fillId="29" fontId="3" numFmtId="203" xfId="0">
      <alignment horizontal="center" vertical="center"/>
    </xf>
    <xf applyAlignment="true" applyBorder="false" applyFill="true" applyFont="true" applyNumberFormat="true" applyProtection="false" borderId="27" fillId="29" fontId="3" numFmtId="193" xfId="0">
      <alignment horizontal="center" vertical="center"/>
    </xf>
    <xf applyAlignment="true" applyBorder="false" applyFill="false" applyFont="true" applyNumberFormat="true" applyProtection="false" borderId="30" fillId="0" fontId="2" numFmtId="19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93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9" fontId="2" numFmtId="0" xfId="0">
      <alignment vertical="center"/>
    </xf>
    <xf applyAlignment="true" applyBorder="false" applyFill="false" applyFont="true" applyNumberFormat="true" applyProtection="false" borderId="0" fillId="0" fontId="8" numFmtId="197" xfId="0">
      <alignment horizontal="right" vertical="center"/>
    </xf>
    <xf applyAlignment="true" applyBorder="false" applyFill="false" applyFont="true" applyNumberFormat="true" applyProtection="false" borderId="0" fillId="0" fontId="8" numFmtId="194" xfId="0">
      <alignment horizontal="right" vertical="center"/>
    </xf>
    <xf applyAlignment="true" applyBorder="false" applyFill="false" applyFont="true" applyNumberFormat="true" applyProtection="false" borderId="0" fillId="0" fontId="2" numFmtId="194" xfId="0">
      <alignment vertical="center"/>
    </xf>
    <xf applyAlignment="true" applyBorder="false" applyFill="true" applyFont="true" applyNumberFormat="false" applyProtection="false" borderId="33" fillId="29" fontId="20" numFmtId="0" xfId="0">
      <alignment horizontal="right" vertical="center" wrapText="true"/>
    </xf>
    <xf applyAlignment="true" applyBorder="false" applyFill="true" applyFont="true" applyNumberFormat="true" applyProtection="false" borderId="33" fillId="29" fontId="20" numFmtId="203" xfId="0">
      <alignment horizontal="right" vertical="center" wrapText="true"/>
    </xf>
    <xf applyAlignment="true" applyBorder="false" applyFill="true" applyFont="true" applyNumberFormat="false" applyProtection="false" borderId="0" fillId="29" fontId="20" numFmtId="0" xfId="0">
      <alignment horizontal="right" vertical="center" wrapText="true"/>
    </xf>
    <xf applyAlignment="true" applyBorder="false" applyFill="true" applyFont="true" applyNumberFormat="true" applyProtection="false" borderId="29" fillId="34" fontId="11" numFmtId="204" xfId="0">
      <alignment horizontal="right" vertical="center"/>
    </xf>
    <xf applyAlignment="true" applyBorder="false" applyFill="true" applyFont="true" applyNumberFormat="true" applyProtection="false" borderId="31" fillId="34" fontId="11" numFmtId="194" xfId="0">
      <alignment horizontal="right" vertical="center"/>
    </xf>
    <xf applyAlignment="true" applyBorder="false" applyFill="true" applyFont="true" applyNumberFormat="true" applyProtection="false" borderId="0" fillId="35" fontId="2" numFmtId="193" xfId="0">
      <alignment horizontal="center" vertical="center"/>
    </xf>
    <xf applyAlignment="true" applyBorder="false" applyFill="false" applyFont="true" applyNumberFormat="true" applyProtection="false" borderId="0" fillId="0" fontId="2" numFmtId="197" xfId="0">
      <alignment horizontal="center" vertical="center"/>
    </xf>
    <xf applyAlignment="true" applyBorder="false" applyFill="false" applyFont="true" applyNumberFormat="true" applyProtection="false" borderId="0" fillId="0" fontId="2" numFmtId="197" xfId="0">
      <alignment vertical="center"/>
    </xf>
    <xf applyAlignment="true" applyBorder="false" applyFill="true" applyFont="true" applyNumberFormat="false" applyProtection="false" borderId="0" fillId="29" fontId="22" numFmtId="0" xfId="0">
      <alignment vertical="center" wrapText="true"/>
    </xf>
    <xf applyAlignment="true" applyBorder="false" applyFill="true" applyFont="true" applyNumberFormat="true" applyProtection="false" borderId="33" fillId="29" fontId="20" numFmtId="203" xfId="0">
      <alignment horizontal="right" vertical="center" wrapText="true"/>
    </xf>
    <xf applyAlignment="true" applyBorder="false" applyFill="true" applyFont="true" applyNumberFormat="true" applyProtection="false" borderId="0" fillId="29" fontId="23" numFmtId="193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27" fillId="29" fontId="19" numFmtId="203" xfId="0">
      <alignment horizontal="center" vertical="center"/>
    </xf>
    <xf applyAlignment="true" applyBorder="false" applyFill="true" applyFont="true" applyNumberFormat="false" applyProtection="false" borderId="0" fillId="29" fontId="23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0" fillId="36" fontId="16" numFmtId="193" xfId="0">
      <alignment vertical="center" wrapText="true"/>
    </xf>
    <xf applyAlignment="true" applyBorder="false" applyFill="false" applyFont="true" applyNumberFormat="true" applyProtection="false" borderId="0" fillId="0" fontId="8" numFmtId="203" xfId="0">
      <alignment horizontal="center" vertical="center"/>
    </xf>
    <xf applyAlignment="true" applyBorder="false" applyFill="false" applyFont="true" applyNumberFormat="true" applyProtection="false" borderId="0" fillId="0" fontId="8" numFmtId="20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29" fontId="24" numFmtId="0" xfId="0">
      <alignment vertical="center" wrapText="true"/>
    </xf>
    <xf applyAlignment="true" applyBorder="false" applyFill="true" applyFont="true" applyNumberFormat="true" applyProtection="false" borderId="34" fillId="37" fontId="1" numFmtId="205" xfId="0">
      <alignment horizontal="center" vertical="center"/>
    </xf>
    <xf applyAlignment="true" applyBorder="false" applyFill="true" applyFont="true" applyNumberFormat="true" applyProtection="false" borderId="34" fillId="38" fontId="1" numFmtId="206" xfId="0">
      <alignment horizontal="center" vertical="center"/>
    </xf>
    <xf applyAlignment="true" applyBorder="false" applyFill="true" applyFont="true" applyNumberFormat="true" applyProtection="false" borderId="34" fillId="39" fontId="1" numFmtId="207" xfId="0">
      <alignment horizontal="center" vertical="center"/>
    </xf>
    <xf applyAlignment="true" applyBorder="false" applyFill="true" applyFont="true" applyNumberFormat="true" applyProtection="false" borderId="35" fillId="40" fontId="2" numFmtId="208" xfId="0">
      <alignment horizontal="center" vertical="center"/>
    </xf>
    <xf applyAlignment="true" applyBorder="false" applyFill="true" applyFont="true" applyNumberFormat="true" applyProtection="false" borderId="36" fillId="37" fontId="1" numFmtId="205" xfId="0">
      <alignment horizontal="center" vertical="center"/>
    </xf>
    <xf applyAlignment="true" applyBorder="false" applyFill="true" applyFont="true" applyNumberFormat="true" applyProtection="false" borderId="36" fillId="37" fontId="1" numFmtId="205" xfId="0">
      <alignment horizontal="center" vertical="center"/>
    </xf>
    <xf applyAlignment="true" applyBorder="false" applyFill="true" applyFont="true" applyNumberFormat="true" applyProtection="false" borderId="37" fillId="37" fontId="1" numFmtId="205" xfId="0">
      <alignment horizontal="center" vertical="center"/>
    </xf>
    <xf applyAlignment="true" applyBorder="false" applyFill="true" applyFont="true" applyNumberFormat="true" applyProtection="false" borderId="37" fillId="38" fontId="1" numFmtId="206" xfId="0">
      <alignment horizontal="center" vertical="center"/>
    </xf>
    <xf applyAlignment="true" applyBorder="false" applyFill="true" applyFont="true" applyNumberFormat="true" applyProtection="false" borderId="37" fillId="38" fontId="1" numFmtId="206" xfId="0">
      <alignment horizontal="center" vertical="center"/>
    </xf>
    <xf applyAlignment="true" applyBorder="false" applyFill="true" applyFont="true" applyNumberFormat="true" applyProtection="false" borderId="36" fillId="38" fontId="1" numFmtId="210" xfId="0">
      <alignment horizontal="center" vertical="center"/>
    </xf>
    <xf applyAlignment="true" applyBorder="false" applyFill="true" applyFont="true" applyNumberFormat="true" applyProtection="false" borderId="36" fillId="38" fontId="1" numFmtId="206" xfId="0">
      <alignment horizontal="center" vertical="center"/>
    </xf>
    <xf applyAlignment="true" applyBorder="false" applyFill="true" applyFont="true" applyNumberFormat="true" applyProtection="false" borderId="36" fillId="38" fontId="1" numFmtId="211" xfId="0">
      <alignment horizontal="center" vertical="center"/>
    </xf>
    <xf applyAlignment="true" applyBorder="false" applyFill="true" applyFont="true" applyNumberFormat="true" applyProtection="false" borderId="36" fillId="38" fontId="1" numFmtId="212" xfId="0">
      <alignment horizontal="center" vertical="center"/>
    </xf>
    <xf applyAlignment="true" applyBorder="false" applyFill="true" applyFont="true" applyNumberFormat="true" applyProtection="false" borderId="38" fillId="38" fontId="1" numFmtId="206" xfId="0">
      <alignment horizontal="center" vertical="center"/>
    </xf>
    <xf applyAlignment="true" applyBorder="false" applyFill="true" applyFont="true" applyNumberFormat="true" applyProtection="false" borderId="34" fillId="39" fontId="1" numFmtId="213" xfId="0">
      <alignment horizontal="center" vertical="center"/>
    </xf>
    <xf applyAlignment="true" applyBorder="false" applyFill="true" applyFont="true" applyNumberFormat="true" applyProtection="false" borderId="39" fillId="39" fontId="1" numFmtId="213" xfId="0">
      <alignment horizontal="center" vertical="center"/>
    </xf>
    <xf applyAlignment="true" applyBorder="false" applyFill="false" applyFont="true" applyNumberFormat="true" applyProtection="false" borderId="34" fillId="0" fontId="2" numFmtId="208" xfId="0">
      <alignment horizontal="center" vertical="center"/>
    </xf>
    <xf applyAlignment="true" applyBorder="false" applyFill="false" applyFont="true" applyNumberFormat="true" applyProtection="false" borderId="40" fillId="0" fontId="2" numFmtId="208" xfId="0">
      <alignment horizontal="center" vertical="center"/>
    </xf>
    <xf applyAlignment="true" applyBorder="false" applyFill="false" applyFont="true" applyNumberFormat="true" applyProtection="false" borderId="34" fillId="0" fontId="3" numFmtId="205" xfId="0">
      <alignment horizontal="center" vertical="center"/>
    </xf>
    <xf applyAlignment="true" applyBorder="false" applyFill="false" applyFont="true" applyNumberFormat="true" applyProtection="false" borderId="34" fillId="0" fontId="2" numFmtId="214" xfId="0">
      <alignment horizontal="center" vertical="center"/>
    </xf>
    <xf applyAlignment="true" applyBorder="false" applyFill="false" applyFont="true" applyNumberFormat="true" applyProtection="false" borderId="34" fillId="0" fontId="3" numFmtId="206" xfId="0">
      <alignment horizontal="center" vertical="center"/>
    </xf>
    <xf applyAlignment="true" applyBorder="false" applyFill="false" applyFont="true" applyNumberFormat="true" applyProtection="false" borderId="40" fillId="0" fontId="3" numFmtId="206" xfId="0">
      <alignment horizontal="center" vertical="center"/>
    </xf>
    <xf applyAlignment="true" applyBorder="false" applyFill="false" applyFont="true" applyNumberFormat="true" applyProtection="false" borderId="40" fillId="0" fontId="3" numFmtId="210" xfId="0">
      <alignment horizontal="center" vertical="center"/>
    </xf>
    <xf applyAlignment="true" applyBorder="false" applyFill="false" applyFont="true" applyNumberFormat="true" applyProtection="false" borderId="34" fillId="0" fontId="3" numFmtId="212" xfId="0">
      <alignment horizontal="center" vertical="center"/>
    </xf>
    <xf applyAlignment="true" applyBorder="false" applyFill="false" applyFont="true" applyNumberFormat="true" applyProtection="false" borderId="39" fillId="0" fontId="3" numFmtId="212" xfId="0">
      <alignment horizontal="center" vertical="center"/>
    </xf>
    <xf applyAlignment="true" applyBorder="false" applyFill="false" applyFont="true" applyNumberFormat="true" applyProtection="false" borderId="34" fillId="0" fontId="4" numFmtId="207" xfId="0">
      <alignment horizontal="center" vertical="center"/>
    </xf>
    <xf applyAlignment="true" applyBorder="false" applyFill="false" applyFont="true" applyNumberFormat="true" applyProtection="false" borderId="34" fillId="0" fontId="3" numFmtId="207" xfId="0">
      <alignment horizontal="center" vertical="center"/>
    </xf>
    <xf applyAlignment="true" applyBorder="false" applyFill="false" applyFont="true" applyNumberFormat="true" applyProtection="false" borderId="34" fillId="0" fontId="3" numFmtId="215" xfId="0">
      <alignment horizontal="center" vertical="center"/>
    </xf>
    <xf applyAlignment="true" applyBorder="false" applyFill="false" applyFont="true" applyNumberFormat="true" applyProtection="false" borderId="34" fillId="0" fontId="3" numFmtId="209" xfId="0">
      <alignment horizontal="center" vertical="center"/>
    </xf>
    <xf applyAlignment="true" applyBorder="false" applyFill="true" applyFont="true" applyNumberFormat="true" applyProtection="false" borderId="34" fillId="41" fontId="3" numFmtId="209" xfId="0">
      <alignment horizontal="center" vertical="center"/>
    </xf>
    <xf applyAlignment="true" applyBorder="false" applyFill="false" applyFont="true" applyNumberFormat="false" applyProtection="false" borderId="36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3" numFmtId="205" xfId="0">
      <alignment horizontal="center" vertical="center"/>
    </xf>
    <xf applyAlignment="true" applyBorder="false" applyFill="false" applyFont="true" applyNumberFormat="true" applyProtection="false" borderId="36" fillId="0" fontId="3" numFmtId="206" xfId="0">
      <alignment horizontal="center" vertical="center"/>
    </xf>
    <xf applyAlignment="true" applyBorder="false" applyFill="false" applyFont="true" applyNumberFormat="true" applyProtection="false" borderId="38" fillId="0" fontId="3" numFmtId="206" xfId="0">
      <alignment horizontal="center" vertical="center"/>
    </xf>
    <xf applyAlignment="true" applyBorder="false" applyFill="false" applyFont="true" applyNumberFormat="true" applyProtection="false" borderId="36" fillId="0" fontId="3" numFmtId="206" xfId="0">
      <alignment horizontal="center" vertical="center"/>
    </xf>
    <xf applyAlignment="true" applyBorder="false" applyFill="false" applyFont="true" applyNumberFormat="true" applyProtection="false" borderId="34" fillId="0" fontId="3" numFmtId="210" xfId="0">
      <alignment horizontal="center" vertical="center"/>
    </xf>
    <xf applyAlignment="true" applyBorder="false" applyFill="false" applyFont="true" applyNumberFormat="true" applyProtection="false" borderId="39" fillId="0" fontId="3" numFmtId="206" xfId="0">
      <alignment horizontal="center" vertical="center"/>
    </xf>
    <xf applyAlignment="true" applyBorder="false" applyFill="false" applyFont="true" applyNumberFormat="true" applyProtection="false" borderId="34" fillId="0" fontId="3" numFmtId="206" xfId="0">
      <alignment horizontal="center" vertical="center"/>
    </xf>
    <xf applyAlignment="true" applyBorder="false" applyFill="false" applyFont="true" applyNumberFormat="true" applyProtection="false" borderId="35" fillId="0" fontId="3" numFmtId="210" xfId="0">
      <alignment horizontal="center" vertical="center"/>
    </xf>
    <xf applyAlignment="true" applyBorder="false" applyFill="false" applyFont="true" applyNumberFormat="true" applyProtection="false" borderId="35" fillId="0" fontId="3" numFmtId="206" xfId="0">
      <alignment horizontal="center" vertical="center"/>
    </xf>
    <xf applyAlignment="true" applyBorder="false" applyFill="false" applyFont="true" applyNumberFormat="true" applyProtection="false" borderId="34" fillId="0" fontId="2" numFmtId="210" xfId="0">
      <alignment horizontal="center" vertical="center"/>
    </xf>
    <xf applyAlignment="true" applyBorder="false" applyFill="false" applyFont="true" applyNumberFormat="true" applyProtection="false" borderId="34" fillId="0" fontId="2" numFmtId="210" xfId="0">
      <alignment horizontal="center" vertical="center"/>
    </xf>
    <xf applyAlignment="true" applyBorder="false" applyFill="true" applyFont="true" applyNumberFormat="true" applyProtection="false" borderId="34" fillId="42" fontId="1" numFmtId="206" xfId="0">
      <alignment horizontal="center" vertical="center"/>
    </xf>
    <xf applyAlignment="true" applyBorder="false" applyFill="true" applyFont="true" applyNumberFormat="true" applyProtection="false" borderId="34" fillId="42" fontId="5" numFmtId="206" xfId="0">
      <alignment horizontal="center" vertical="center"/>
    </xf>
    <xf applyAlignment="true" applyBorder="false" applyFill="true" applyFont="true" applyNumberFormat="true" applyProtection="false" borderId="34" fillId="42" fontId="5" numFmtId="210" xfId="0">
      <alignment horizontal="center" vertical="center"/>
    </xf>
    <xf applyAlignment="true" applyBorder="false" applyFill="true" applyFont="true" applyNumberFormat="true" applyProtection="false" borderId="40" fillId="42" fontId="5" numFmtId="214" xfId="0">
      <alignment horizontal="center" vertical="center"/>
    </xf>
    <xf applyAlignment="true" applyBorder="false" applyFill="true" applyFont="true" applyNumberFormat="true" applyProtection="false" borderId="34" fillId="42" fontId="5" numFmtId="212" xfId="0">
      <alignment horizontal="center" vertical="center"/>
    </xf>
    <xf applyAlignment="true" applyBorder="false" applyFill="true" applyFont="true" applyNumberFormat="true" applyProtection="false" borderId="39" fillId="42" fontId="5" numFmtId="215" xfId="0">
      <alignment horizontal="center" vertical="center"/>
    </xf>
    <xf applyAlignment="true" applyBorder="false" applyFill="true" applyFont="true" applyNumberFormat="true" applyProtection="false" borderId="34" fillId="42" fontId="1" numFmtId="207" xfId="0">
      <alignment horizontal="center" vertical="center"/>
    </xf>
    <xf applyAlignment="true" applyBorder="false" applyFill="true" applyFont="true" applyNumberFormat="true" applyProtection="false" borderId="34" fillId="42" fontId="1" numFmtId="214" xfId="0">
      <alignment horizontal="center" vertical="center"/>
    </xf>
    <xf applyAlignment="true" applyBorder="false" applyFill="true" applyFont="true" applyNumberFormat="true" applyProtection="false" borderId="34" fillId="42" fontId="1" numFmtId="206" xfId="0">
      <alignment horizontal="center" vertical="center"/>
    </xf>
    <xf applyAlignment="true" applyBorder="false" applyFill="true" applyFont="true" applyNumberFormat="true" applyProtection="false" borderId="34" fillId="42" fontId="5" numFmtId="214" xfId="0">
      <alignment horizontal="center" vertical="center"/>
    </xf>
    <xf applyAlignment="true" applyBorder="false" applyFill="true" applyFont="true" applyNumberFormat="true" applyProtection="false" borderId="34" fillId="43" fontId="5" numFmtId="214" xfId="0">
      <alignment horizontal="center" vertical="center"/>
    </xf>
    <xf applyAlignment="true" applyBorder="false" applyFill="true" applyFont="true" applyNumberFormat="true" applyProtection="false" borderId="34" fillId="43" fontId="5" numFmtId="206" xfId="0">
      <alignment horizontal="center" vertical="center"/>
    </xf>
    <xf applyAlignment="true" applyBorder="false" applyFill="true" applyFont="true" applyNumberFormat="true" applyProtection="false" borderId="34" fillId="43" fontId="5" numFmtId="213" xfId="0">
      <alignment horizontal="center" vertical="center"/>
    </xf>
    <xf applyAlignment="true" applyBorder="false" applyFill="true" applyFont="true" applyNumberFormat="true" applyProtection="false" borderId="34" fillId="43" fontId="5" numFmtId="214" xfId="0">
      <alignment horizontal="center" vertical="center"/>
    </xf>
    <xf applyAlignment="true" applyBorder="false" applyFill="true" applyFont="true" applyNumberFormat="true" applyProtection="false" borderId="39" fillId="43" fontId="5" numFmtId="214" xfId="0">
      <alignment horizontal="center" vertical="center"/>
    </xf>
    <xf applyAlignment="true" applyBorder="false" applyFill="true" applyFont="true" applyNumberFormat="true" applyProtection="false" borderId="34" fillId="43" fontId="5" numFmtId="207" xfId="0">
      <alignment horizontal="center" vertical="center"/>
    </xf>
    <xf applyAlignment="true" applyBorder="false" applyFill="true" applyFont="true" applyNumberFormat="true" applyProtection="false" borderId="34" fillId="43" fontId="6" numFmtId="213" xfId="0">
      <alignment horizontal="center" vertical="center"/>
    </xf>
    <xf applyAlignment="true" applyBorder="false" applyFill="false" applyFont="true" applyNumberFormat="true" applyProtection="false" borderId="34" fillId="0" fontId="2" numFmtId="214" xfId="0">
      <alignment horizontal="center" vertical="center"/>
    </xf>
    <xf applyAlignment="true" applyBorder="false" applyFill="false" applyFont="true" applyNumberFormat="true" applyProtection="false" borderId="40" fillId="0" fontId="3" numFmtId="206" xfId="0">
      <alignment horizontal="center" vertical="center"/>
    </xf>
    <xf applyAlignment="true" applyBorder="false" applyFill="false" applyFont="true" applyNumberFormat="true" applyProtection="false" borderId="34" fillId="0" fontId="3" numFmtId="206" xfId="0">
      <alignment horizontal="center" vertical="center"/>
    </xf>
    <xf applyAlignment="true" applyBorder="false" applyFill="true" applyFont="true" applyNumberFormat="true" applyProtection="false" borderId="34" fillId="41" fontId="3" numFmtId="209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true" applyProtection="false" borderId="36" fillId="0" fontId="3" numFmtId="206" xfId="0">
      <alignment horizontal="center" vertical="center"/>
    </xf>
    <xf applyAlignment="true" applyBorder="false" applyFill="false" applyFont="true" applyNumberFormat="true" applyProtection="false" borderId="34" fillId="0" fontId="3" numFmtId="210" xfId="0">
      <alignment horizontal="center" vertical="center"/>
    </xf>
    <xf applyAlignment="true" applyBorder="false" applyFill="true" applyFont="true" applyNumberFormat="true" applyProtection="false" borderId="34" fillId="43" fontId="5" numFmtId="216" xfId="0">
      <alignment horizontal="center" vertical="center"/>
    </xf>
    <xf applyAlignment="true" applyBorder="false" applyFill="false" applyFont="true" applyNumberFormat="true" applyProtection="false" borderId="35" fillId="0" fontId="3" numFmtId="210" xfId="0">
      <alignment horizontal="center" vertical="center"/>
    </xf>
    <xf applyAlignment="true" applyBorder="false" applyFill="false" applyFont="true" applyNumberFormat="true" applyProtection="false" borderId="40" fillId="0" fontId="3" numFmtId="210" xfId="0">
      <alignment horizontal="center" vertical="center"/>
    </xf>
    <xf applyAlignment="true" applyBorder="false" applyFill="false" applyFont="true" applyNumberFormat="true" applyProtection="false" borderId="35" fillId="0" fontId="3" numFmtId="206" xfId="0">
      <alignment horizontal="center" vertical="center"/>
    </xf>
    <xf applyAlignment="true" applyBorder="false" applyFill="true" applyFont="true" applyNumberFormat="true" applyProtection="false" borderId="34" fillId="37" fontId="1" numFmtId="20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34" fillId="0" fontId="2" numFmtId="214" xfId="0">
      <alignment horizontal="center" vertical="center"/>
    </xf>
    <xf applyAlignment="true" applyBorder="false" applyFill="false" applyFont="true" applyNumberFormat="true" applyProtection="false" borderId="34" fillId="0" fontId="3" numFmtId="212" xfId="0">
      <alignment horizontal="center" vertical="center"/>
    </xf>
    <xf applyAlignment="true" applyBorder="false" applyFill="false" applyFont="true" applyNumberFormat="true" applyProtection="false" borderId="39" fillId="0" fontId="3" numFmtId="21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35" fillId="42" fontId="5" numFmtId="206" xfId="0">
      <alignment horizontal="center" vertical="center"/>
    </xf>
    <xf applyAlignment="true" applyBorder="false" applyFill="false" applyFont="true" applyNumberFormat="true" applyProtection="false" borderId="41" fillId="0" fontId="3" numFmtId="206" xfId="0">
      <alignment horizontal="center" vertical="center"/>
    </xf>
    <xf applyAlignment="true" applyBorder="false" applyFill="false" applyFont="true" applyNumberFormat="true" applyProtection="false" borderId="39" fillId="0" fontId="3" numFmtId="206" xfId="0">
      <alignment horizontal="center" vertical="center"/>
    </xf>
    <xf applyAlignment="true" applyBorder="false" applyFill="true" applyFont="true" applyNumberFormat="true" applyProtection="false" borderId="36" fillId="42" fontId="5" numFmtId="206" xfId="0">
      <alignment horizontal="center" vertical="center"/>
    </xf>
    <xf applyAlignment="true" applyBorder="false" applyFill="true" applyFont="true" applyNumberFormat="true" applyProtection="false" borderId="34" fillId="43" fontId="5" numFmtId="210" xfId="0">
      <alignment horizontal="center" vertical="center"/>
    </xf>
    <xf applyAlignment="true" applyBorder="false" applyFill="false" applyFont="true" applyNumberFormat="true" applyProtection="false" borderId="42" fillId="0" fontId="3" numFmtId="210" xfId="0">
      <alignment horizontal="center" vertical="center"/>
    </xf>
    <xf applyAlignment="true" applyBorder="false" applyFill="false" applyFont="true" applyNumberFormat="true" applyProtection="false" borderId="38" fillId="0" fontId="3" numFmtId="206" xfId="0">
      <alignment horizontal="center" vertical="center"/>
    </xf>
    <xf applyAlignment="true" applyBorder="false" applyFill="false" applyFont="true" applyNumberFormat="true" applyProtection="false" borderId="40" fillId="0" fontId="3" numFmtId="212" xfId="0">
      <alignment horizontal="center" vertical="center"/>
    </xf>
    <xf applyAlignment="true" applyBorder="false" applyFill="false" applyFont="true" applyNumberFormat="true" applyProtection="false" borderId="37" fillId="0" fontId="3" numFmtId="210" xfId="0">
      <alignment horizontal="center" vertical="center"/>
    </xf>
    <xf applyAlignment="true" applyBorder="false" applyFill="false" applyFont="true" applyNumberFormat="true" applyProtection="false" borderId="37" fillId="0" fontId="3" numFmtId="206" xfId="0">
      <alignment horizontal="center" vertical="center"/>
    </xf>
    <xf applyAlignment="true" applyBorder="false" applyFill="false" applyFont="true" applyNumberFormat="true" applyProtection="false" borderId="35" fillId="0" fontId="3" numFmtId="205" xfId="0">
      <alignment horizontal="center" vertical="center"/>
    </xf>
    <xf applyAlignment="true" applyBorder="false" applyFill="true" applyFont="true" applyNumberFormat="true" applyProtection="false" borderId="35" fillId="43" fontId="5" numFmtId="214" xfId="0">
      <alignment horizontal="center" vertical="center"/>
    </xf>
    <xf applyAlignment="true" applyBorder="false" applyFill="true" applyFont="true" applyNumberFormat="true" applyProtection="false" borderId="35" fillId="43" fontId="5" numFmtId="206" xfId="0">
      <alignment horizontal="center" vertical="center"/>
    </xf>
    <xf applyAlignment="true" applyBorder="false" applyFill="true" applyFont="true" applyNumberFormat="true" applyProtection="false" borderId="35" fillId="43" fontId="5" numFmtId="210" xfId="0">
      <alignment horizontal="center" vertical="center"/>
    </xf>
    <xf applyAlignment="true" applyBorder="false" applyFill="true" applyFont="true" applyNumberFormat="true" applyProtection="false" borderId="35" fillId="43" fontId="5" numFmtId="214" xfId="0">
      <alignment horizontal="center" vertical="center"/>
    </xf>
    <xf applyAlignment="true" applyBorder="false" applyFill="true" applyFont="true" applyNumberFormat="true" applyProtection="false" borderId="43" fillId="43" fontId="5" numFmtId="214" xfId="0">
      <alignment horizontal="center" vertical="center"/>
    </xf>
    <xf applyAlignment="true" applyBorder="false" applyFill="true" applyFont="true" applyNumberFormat="true" applyProtection="false" borderId="41" fillId="37" fontId="1" numFmtId="205" xfId="0">
      <alignment horizontal="center" vertical="center"/>
    </xf>
    <xf applyAlignment="true" applyBorder="false" applyFill="true" applyFont="true" applyNumberFormat="true" applyProtection="false" borderId="41" fillId="38" fontId="1" numFmtId="206" xfId="0">
      <alignment horizontal="center" vertical="center"/>
    </xf>
    <xf applyAlignment="true" applyBorder="false" applyFill="true" applyFont="true" applyNumberFormat="true" applyProtection="false" borderId="40" fillId="39" fontId="1" numFmtId="207" xfId="0">
      <alignment horizontal="center" vertical="center"/>
    </xf>
    <xf applyAlignment="true" applyBorder="false" applyFill="true" applyFont="true" applyNumberFormat="true" applyProtection="false" borderId="41" fillId="37" fontId="1" numFmtId="205" xfId="0">
      <alignment horizontal="center" vertical="center"/>
    </xf>
    <xf applyAlignment="true" applyBorder="false" applyFill="true" applyFont="true" applyNumberFormat="true" applyProtection="false" borderId="41" fillId="38" fontId="1" numFmtId="206" xfId="0">
      <alignment horizontal="center" vertical="center"/>
    </xf>
    <xf applyAlignment="true" applyBorder="false" applyFill="true" applyFont="true" applyNumberFormat="true" applyProtection="false" borderId="41" fillId="38" fontId="1" numFmtId="210" xfId="0">
      <alignment horizontal="center" vertical="center"/>
    </xf>
    <xf applyAlignment="true" applyBorder="false" applyFill="true" applyFont="true" applyNumberFormat="true" applyProtection="false" borderId="41" fillId="38" fontId="1" numFmtId="211" xfId="0">
      <alignment horizontal="center" vertical="center"/>
    </xf>
    <xf applyAlignment="true" applyBorder="false" applyFill="true" applyFont="true" applyNumberFormat="true" applyProtection="false" borderId="41" fillId="38" fontId="1" numFmtId="212" xfId="0">
      <alignment horizontal="center" vertical="center"/>
    </xf>
    <xf applyAlignment="true" applyBorder="false" applyFill="false" applyFont="true" applyNumberFormat="true" applyProtection="false" borderId="41" fillId="0" fontId="3" numFmtId="205" xfId="0">
      <alignment horizontal="center" vertical="center"/>
    </xf>
    <xf applyAlignment="true" applyBorder="false" applyFill="false" applyFont="true" applyNumberFormat="true" applyProtection="false" borderId="41" fillId="0" fontId="2" numFmtId="214" xfId="0">
      <alignment horizontal="center" vertical="center"/>
    </xf>
    <xf applyAlignment="true" applyBorder="false" applyFill="false" applyFont="true" applyNumberFormat="true" applyProtection="false" borderId="41" fillId="0" fontId="3" numFmtId="210" xfId="0">
      <alignment horizontal="center" vertical="center"/>
    </xf>
    <xf applyAlignment="true" applyBorder="false" applyFill="false" applyFont="true" applyNumberFormat="true" applyProtection="false" borderId="41" fillId="0" fontId="3" numFmtId="212" xfId="0">
      <alignment horizontal="center" vertical="center"/>
    </xf>
    <xf applyAlignment="true" applyBorder="false" applyFill="false" applyFont="true" applyNumberFormat="true" applyProtection="false" borderId="41" fillId="0" fontId="3" numFmtId="212" xfId="0">
      <alignment horizontal="center" vertical="center"/>
    </xf>
    <xf applyAlignment="true" applyBorder="false" applyFill="false" applyFont="true" applyNumberFormat="true" applyProtection="false" borderId="40" fillId="0" fontId="4" numFmtId="207" xfId="0">
      <alignment horizontal="center" vertical="center"/>
    </xf>
    <xf applyAlignment="true" applyBorder="false" applyFill="false" applyFont="true" applyNumberFormat="true" applyProtection="false" borderId="41" fillId="0" fontId="3" numFmtId="206" xfId="0">
      <alignment horizontal="center" vertical="center"/>
    </xf>
    <xf applyAlignment="true" applyBorder="false" applyFill="false" applyFont="true" applyNumberFormat="true" applyProtection="false" borderId="41" fillId="0" fontId="3" numFmtId="210" xfId="0">
      <alignment horizontal="center" vertical="center"/>
    </xf>
    <xf applyAlignment="true" applyBorder="false" applyFill="true" applyFont="true" applyNumberFormat="true" applyProtection="false" borderId="41" fillId="42" fontId="1" numFmtId="206" xfId="0">
      <alignment horizontal="center" vertical="center"/>
    </xf>
    <xf applyAlignment="true" applyBorder="false" applyFill="true" applyFont="true" applyNumberFormat="true" applyProtection="false" borderId="41" fillId="42" fontId="5" numFmtId="206" xfId="0">
      <alignment horizontal="center" vertical="center"/>
    </xf>
    <xf applyAlignment="true" applyBorder="false" applyFill="true" applyFont="true" applyNumberFormat="true" applyProtection="false" borderId="41" fillId="42" fontId="5" numFmtId="210" xfId="0">
      <alignment horizontal="center" vertical="center"/>
    </xf>
    <xf applyAlignment="true" applyBorder="false" applyFill="true" applyFont="true" applyNumberFormat="true" applyProtection="false" borderId="41" fillId="42" fontId="5" numFmtId="214" xfId="0">
      <alignment horizontal="center" vertical="center"/>
    </xf>
    <xf applyAlignment="true" applyBorder="false" applyFill="true" applyFont="true" applyNumberFormat="true" applyProtection="false" borderId="41" fillId="42" fontId="5" numFmtId="212" xfId="0">
      <alignment horizontal="center" vertical="center"/>
    </xf>
    <xf applyAlignment="true" applyBorder="false" applyFill="true" applyFont="true" applyNumberFormat="true" applyProtection="false" borderId="41" fillId="42" fontId="5" numFmtId="215" xfId="0">
      <alignment horizontal="center" vertical="center"/>
    </xf>
    <xf applyAlignment="true" applyBorder="false" applyFill="true" applyFont="true" applyNumberFormat="true" applyProtection="false" borderId="40" fillId="42" fontId="1" numFmtId="207" xfId="0">
      <alignment horizontal="center" vertical="center"/>
    </xf>
    <xf applyAlignment="true" applyBorder="false" applyFill="false" applyFont="true" applyNumberFormat="true" applyProtection="false" borderId="41" fillId="0" fontId="2" numFmtId="214" xfId="0">
      <alignment horizontal="center" vertical="center"/>
    </xf>
    <xf applyAlignment="true" applyBorder="false" applyFill="false" applyFont="true" applyNumberFormat="true" applyProtection="false" borderId="41" fillId="0" fontId="3" numFmtId="206" xfId="0">
      <alignment horizontal="center" vertical="center"/>
    </xf>
    <xf applyAlignment="true" applyBorder="false" applyFill="true" applyFont="true" applyNumberFormat="true" applyProtection="false" borderId="41" fillId="43" fontId="5" numFmtId="214" xfId="0">
      <alignment horizontal="center" vertical="center"/>
    </xf>
    <xf applyAlignment="true" applyBorder="false" applyFill="true" applyFont="true" applyNumberFormat="true" applyProtection="false" borderId="41" fillId="43" fontId="5" numFmtId="206" xfId="0">
      <alignment horizontal="center" vertical="center"/>
    </xf>
    <xf applyAlignment="true" applyBorder="false" applyFill="true" applyFont="true" applyNumberFormat="true" applyProtection="false" borderId="41" fillId="43" fontId="5" numFmtId="210" xfId="0">
      <alignment horizontal="center" vertical="center"/>
    </xf>
    <xf applyAlignment="true" applyBorder="false" applyFill="true" applyFont="true" applyNumberFormat="true" applyProtection="false" borderId="41" fillId="43" fontId="5" numFmtId="214" xfId="0">
      <alignment horizontal="center" vertical="center"/>
    </xf>
    <xf applyAlignment="true" applyBorder="false" applyFill="true" applyFont="true" applyNumberFormat="true" applyProtection="false" borderId="40" fillId="43" fontId="5" numFmtId="207" xfId="0">
      <alignment horizontal="center" vertical="center"/>
    </xf>
    <xf applyAlignment="true" applyBorder="false" applyFill="false" applyFont="true" applyNumberFormat="true" applyProtection="false" borderId="39" fillId="0" fontId="3" numFmtId="205" xfId="0">
      <alignment horizontal="center" vertical="center"/>
    </xf>
    <xf applyAlignment="true" applyBorder="false" applyFill="false" applyFont="true" applyNumberFormat="true" applyProtection="false" borderId="36" fillId="0" fontId="2" numFmtId="214" xfId="0">
      <alignment horizontal="center" vertical="center"/>
    </xf>
    <xf applyAlignment="true" applyBorder="false" applyFill="true" applyFont="true" applyNumberFormat="true" applyProtection="false" borderId="36" fillId="42" fontId="5" numFmtId="210" xfId="0">
      <alignment horizontal="center" vertical="center"/>
    </xf>
    <xf applyAlignment="true" applyBorder="false" applyFill="true" applyFont="true" applyNumberFormat="true" applyProtection="false" borderId="35" fillId="43" fontId="5" numFmtId="216" xfId="0">
      <alignment horizontal="center" vertical="center"/>
    </xf>
    <xf applyAlignment="true" applyBorder="false" applyFill="true" applyFont="true" applyNumberFormat="true" applyProtection="false" borderId="37" fillId="37" fontId="1" numFmtId="205" xfId="0">
      <alignment horizontal="center" vertical="center"/>
    </xf>
    <xf applyAlignment="true" applyBorder="false" applyFill="true" applyFont="true" applyNumberFormat="true" applyProtection="false" borderId="37" fillId="38" fontId="1" numFmtId="210" xfId="0">
      <alignment horizontal="center" vertical="center"/>
    </xf>
    <xf applyAlignment="true" applyBorder="false" applyFill="true" applyFont="true" applyNumberFormat="true" applyProtection="false" borderId="37" fillId="38" fontId="1" numFmtId="211" xfId="0">
      <alignment horizontal="center" vertical="center"/>
    </xf>
    <xf applyAlignment="true" applyBorder="false" applyFill="true" applyFont="true" applyNumberFormat="true" applyProtection="false" borderId="37" fillId="38" fontId="1" numFmtId="212" xfId="0">
      <alignment horizontal="center" vertical="center"/>
    </xf>
    <xf applyAlignment="true" applyBorder="false" applyFill="true" applyFont="true" applyNumberFormat="true" applyProtection="false" borderId="44" fillId="38" fontId="1" numFmtId="206" xfId="0">
      <alignment horizontal="center" vertical="center"/>
    </xf>
    <xf applyAlignment="true" applyBorder="false" applyFill="true" applyFont="true" applyNumberFormat="true" applyProtection="false" borderId="35" fillId="39" fontId="1" numFmtId="207" xfId="0">
      <alignment horizontal="center" vertical="center"/>
    </xf>
    <xf applyAlignment="true" applyBorder="false" applyFill="true" applyFont="true" applyNumberFormat="true" applyProtection="false" borderId="35" fillId="39" fontId="1" numFmtId="213" xfId="0">
      <alignment horizontal="center" vertical="center"/>
    </xf>
    <xf applyAlignment="true" applyBorder="false" applyFill="true" applyFont="true" applyNumberFormat="true" applyProtection="false" borderId="43" fillId="39" fontId="1" numFmtId="213" xfId="0">
      <alignment horizontal="center" vertical="center"/>
    </xf>
    <xf applyAlignment="true" applyBorder="false" applyFill="false" applyFont="true" applyNumberFormat="true" applyProtection="false" borderId="35" fillId="0" fontId="2" numFmtId="208" xfId="0">
      <alignment horizontal="center" vertical="center"/>
    </xf>
    <xf applyAlignment="true" applyBorder="false" applyFill="false" applyFont="true" applyNumberFormat="true" applyProtection="false" borderId="42" fillId="0" fontId="2" numFmtId="208" xfId="0">
      <alignment horizontal="center" vertical="center"/>
    </xf>
    <xf applyAlignment="true" applyBorder="false" applyFill="false" applyFont="true" applyNumberFormat="true" applyProtection="false" borderId="41" fillId="0" fontId="4" numFmtId="207" xfId="0">
      <alignment horizontal="center" vertical="center"/>
    </xf>
    <xf applyAlignment="true" applyBorder="false" applyFill="false" applyFont="true" applyNumberFormat="true" applyProtection="false" borderId="41" fillId="0" fontId="3" numFmtId="207" xfId="0">
      <alignment horizontal="center" vertical="center"/>
    </xf>
    <xf applyAlignment="true" applyBorder="false" applyFill="false" applyFont="true" applyNumberFormat="true" applyProtection="false" borderId="41" fillId="0" fontId="3" numFmtId="215" xfId="0">
      <alignment horizontal="center" vertical="center"/>
    </xf>
    <xf applyAlignment="true" applyBorder="false" applyFill="false" applyFont="true" applyNumberFormat="true" applyProtection="false" borderId="41" fillId="0" fontId="3" numFmtId="209" xfId="0">
      <alignment horizontal="center" vertical="center"/>
    </xf>
    <xf applyAlignment="true" applyBorder="false" applyFill="true" applyFont="true" applyNumberFormat="true" applyProtection="false" borderId="41" fillId="41" fontId="3" numFmtId="209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41" fillId="42" fontId="1" numFmtId="207" xfId="0">
      <alignment horizontal="center" vertical="center"/>
    </xf>
    <xf applyAlignment="true" applyBorder="false" applyFill="true" applyFont="true" applyNumberFormat="true" applyProtection="false" borderId="41" fillId="42" fontId="1" numFmtId="214" xfId="0">
      <alignment horizontal="center" vertical="center"/>
    </xf>
    <xf applyAlignment="true" applyBorder="false" applyFill="false" applyFont="true" applyNumberFormat="true" applyProtection="false" borderId="41" fillId="0" fontId="2" numFmtId="210" xfId="0">
      <alignment horizontal="center" vertical="center"/>
    </xf>
    <xf applyAlignment="true" applyBorder="false" applyFill="false" applyFont="true" applyNumberFormat="true" applyProtection="false" borderId="41" fillId="0" fontId="2" numFmtId="210" xfId="0">
      <alignment horizontal="center" vertical="center"/>
    </xf>
    <xf applyAlignment="true" applyBorder="false" applyFill="false" applyFont="true" applyNumberFormat="true" applyProtection="false" borderId="41" fillId="0" fontId="2" numFmtId="214" xfId="0">
      <alignment horizontal="center" vertical="center"/>
    </xf>
    <xf applyAlignment="true" applyBorder="false" applyFill="true" applyFont="true" applyNumberFormat="true" applyProtection="false" borderId="41" fillId="43" fontId="5" numFmtId="216" xfId="0">
      <alignment horizontal="center" vertical="center"/>
    </xf>
    <xf applyAlignment="true" applyBorder="false" applyFill="true" applyFont="true" applyNumberFormat="true" applyProtection="false" borderId="41" fillId="43" fontId="5" numFmtId="207" xfId="0">
      <alignment horizontal="center" vertical="center"/>
    </xf>
    <xf applyAlignment="true" applyBorder="false" applyFill="true" applyFont="true" applyNumberFormat="true" applyProtection="false" borderId="41" fillId="43" fontId="6" numFmtId="213" xfId="0">
      <alignment horizontal="center" vertical="center"/>
    </xf>
    <xf applyAlignment="true" applyBorder="false" applyFill="false" applyFont="true" applyNumberFormat="true" applyProtection="false" borderId="0" fillId="0" fontId="2" numFmtId="209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44" fontId="2" numFmtId="0" xfId="0">
      <alignment vertical="center"/>
    </xf>
    <xf applyAlignment="true" applyBorder="false" applyFill="false" applyFont="true" applyNumberFormat="true" applyProtection="false" borderId="0" fillId="0" fontId="8" numFmtId="210" xfId="0">
      <alignment horizontal="right" vertical="center"/>
    </xf>
    <xf applyAlignment="true" applyBorder="false" applyFill="false" applyFont="true" applyNumberFormat="true" applyProtection="false" borderId="0" fillId="0" fontId="8" numFmtId="206" xfId="0">
      <alignment horizontal="right" vertical="center"/>
    </xf>
    <xf applyAlignment="true" applyBorder="false" applyFill="true" applyFont="true" applyNumberFormat="false" applyProtection="false" borderId="45" fillId="41" fontId="20" numFmtId="0" xfId="0">
      <alignment horizontal="right" vertical="center" wrapText="true"/>
    </xf>
    <xf applyAlignment="true" applyBorder="false" applyFill="true" applyFont="true" applyNumberFormat="true" applyProtection="false" borderId="0" fillId="41" fontId="20" numFmtId="209" xfId="0">
      <alignment horizontal="right" vertical="center" wrapText="true"/>
    </xf>
    <xf applyAlignment="true" applyBorder="false" applyFill="true" applyFont="true" applyNumberFormat="false" applyProtection="false" borderId="0" fillId="45" fontId="7" numFmtId="0" xfId="0">
      <alignment vertical="center"/>
    </xf>
    <xf applyAlignment="true" applyBorder="false" applyFill="true" applyFont="true" applyNumberFormat="true" applyProtection="false" borderId="39" fillId="46" fontId="11" numFmtId="217" xfId="0">
      <alignment horizontal="right" vertical="center"/>
    </xf>
    <xf applyAlignment="true" applyBorder="false" applyFill="true" applyFont="true" applyNumberFormat="true" applyProtection="false" borderId="40" fillId="46" fontId="11" numFmtId="206" xfId="0">
      <alignment horizontal="right" vertical="center"/>
    </xf>
    <xf applyAlignment="true" applyBorder="false" applyFill="false" applyFont="true" applyNumberFormat="true" applyProtection="false" borderId="0" fillId="0" fontId="2" numFmtId="207" xfId="0">
      <alignment vertical="center"/>
    </xf>
    <xf applyAlignment="true" applyBorder="false" applyFill="true" applyFont="true" applyNumberFormat="true" applyProtection="false" borderId="0" fillId="47" fontId="2" numFmtId="209" xfId="0">
      <alignment horizontal="center" vertical="center"/>
    </xf>
    <xf applyAlignment="true" applyBorder="false" applyFill="true" applyFont="true" applyNumberFormat="false" applyProtection="false" borderId="0" fillId="45" fontId="2" numFmtId="0" xfId="0">
      <alignment vertical="center"/>
    </xf>
    <xf applyAlignment="true" applyBorder="false" applyFill="false" applyFont="true" applyNumberFormat="true" applyProtection="false" borderId="0" fillId="0" fontId="2" numFmtId="210" xfId="0">
      <alignment horizontal="center" vertical="center"/>
    </xf>
    <xf applyAlignment="true" applyBorder="false" applyFill="false" applyFont="true" applyNumberFormat="true" applyProtection="false" borderId="0" fillId="0" fontId="2" numFmtId="210" xfId="0">
      <alignment vertical="center"/>
    </xf>
    <xf applyAlignment="true" applyBorder="false" applyFill="true" applyFont="true" applyNumberFormat="false" applyProtection="false" borderId="0" fillId="48" fontId="20" numFmtId="0" xfId="0">
      <alignment horizontal="right" vertical="center" wrapText="true"/>
    </xf>
    <xf applyAlignment="true" applyBorder="false" applyFill="true" applyFont="true" applyNumberFormat="false" applyProtection="false" borderId="0" fillId="41" fontId="22" numFmtId="0" xfId="0">
      <alignment vertical="center" wrapText="true"/>
    </xf>
    <xf applyAlignment="true" applyBorder="false" applyFill="false" applyFont="true" applyNumberFormat="true" applyProtection="false" borderId="0" fillId="0" fontId="2" numFmtId="209" xfId="0">
      <alignment vertical="center"/>
    </xf>
    <xf applyAlignment="true" applyBorder="false" applyFill="true" applyFont="true" applyNumberFormat="false" applyProtection="false" borderId="0" fillId="41" fontId="2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41" fontId="20" numFmtId="0" xfId="0">
      <alignment horizontal="righ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0" fillId="49" fontId="16" numFmtId="209" xfId="0">
      <alignment vertical="center" wrapText="true"/>
    </xf>
    <xf applyAlignment="true" applyBorder="false" applyFill="false" applyFont="true" applyNumberFormat="true" applyProtection="false" borderId="0" fillId="0" fontId="8" numFmtId="216" xfId="0">
      <alignment horizontal="center" vertical="center"/>
    </xf>
    <xf applyAlignment="true" applyBorder="false" applyFill="true" applyFont="true" applyNumberFormat="false" applyProtection="false" borderId="0" fillId="41" fontId="23" numFmtId="0" xfId="0">
      <alignment vertical="center" wrapText="true"/>
    </xf>
    <xf applyAlignment="true" applyBorder="false" applyFill="true" applyFont="true" applyNumberFormat="true" applyProtection="false" borderId="0" fillId="41" fontId="23" numFmtId="209" xfId="0">
      <alignment vertical="center" wrapText="true"/>
    </xf>
    <xf applyAlignment="true" applyBorder="false" applyFill="true" applyFont="true" applyNumberFormat="true" applyProtection="false" borderId="0" fillId="41" fontId="23" numFmtId="209" xfId="0">
      <alignment vertical="center" wrapText="true"/>
    </xf>
    <xf applyAlignment="true" applyBorder="false" applyFill="false" applyFont="true" applyNumberFormat="true" applyProtection="false" borderId="0" fillId="0" fontId="7" numFmtId="218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219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0" fillId="50" fontId="27" numFmtId="219" xfId="0">
      <alignment horizontal="center" vertical="center" wrapText="true"/>
    </xf>
    <xf applyAlignment="true" applyBorder="false" applyFill="true" applyFont="true" applyNumberFormat="false" applyProtection="false" borderId="0" fillId="50" fontId="28" numFmtId="0" xfId="0">
      <alignment horizontal="center" vertical="center"/>
    </xf>
    <xf applyAlignment="true" applyBorder="false" applyFill="true" applyFont="true" applyNumberFormat="false" applyProtection="false" borderId="0" fillId="50" fontId="29" numFmtId="0" xfId="0">
      <alignment horizontal="center" vertical="center"/>
    </xf>
    <xf applyAlignment="true" applyBorder="false" applyFill="true" applyFont="true" applyNumberFormat="true" applyProtection="false" borderId="0" fillId="50" fontId="30" numFmtId="219" xfId="0">
      <alignment horizontal="center" vertical="center" wrapText="true"/>
    </xf>
    <xf applyAlignment="true" applyBorder="false" applyFill="true" applyFont="true" applyNumberFormat="false" applyProtection="false" borderId="0" fillId="50" fontId="29" numFmtId="0" xfId="0">
      <alignment horizontal="center" vertical="center" wrapText="true"/>
    </xf>
    <xf applyAlignment="true" applyBorder="false" applyFill="true" applyFont="true" applyNumberFormat="true" applyProtection="false" borderId="46" fillId="51" fontId="1" numFmtId="220" xfId="0">
      <alignment horizontal="center" vertical="center"/>
    </xf>
    <xf applyAlignment="true" applyBorder="false" applyFill="true" applyFont="true" applyNumberFormat="true" applyProtection="false" borderId="46" fillId="52" fontId="1" numFmtId="221" xfId="0">
      <alignment horizontal="center" vertical="center"/>
    </xf>
    <xf applyAlignment="true" applyBorder="false" applyFill="true" applyFont="true" applyNumberFormat="true" applyProtection="false" borderId="46" fillId="52" fontId="1" numFmtId="222" xfId="0">
      <alignment horizontal="center" vertical="center"/>
    </xf>
    <xf applyAlignment="true" applyBorder="false" applyFill="true" applyFont="true" applyNumberFormat="false" applyProtection="false" borderId="46" fillId="53" fontId="1" numFmtId="0" xfId="0">
      <alignment horizontal="center" vertical="center"/>
    </xf>
    <xf applyAlignment="true" applyBorder="false" applyFill="true" applyFont="true" applyNumberFormat="true" applyProtection="false" borderId="46" fillId="54" fontId="2" numFmtId="223" xfId="0">
      <alignment horizontal="center" vertical="center"/>
    </xf>
    <xf applyAlignment="true" applyBorder="false" applyFill="true" applyFont="true" applyNumberFormat="true" applyProtection="false" borderId="47" fillId="51" fontId="1" numFmtId="220" xfId="0">
      <alignment horizontal="center" vertical="center"/>
    </xf>
    <xf applyAlignment="true" applyBorder="false" applyFill="true" applyFont="true" applyNumberFormat="true" applyProtection="false" borderId="47" fillId="52" fontId="1" numFmtId="221" xfId="0">
      <alignment horizontal="center" vertical="center"/>
    </xf>
    <xf applyAlignment="true" applyBorder="false" applyFill="true" applyFont="true" applyNumberFormat="true" applyProtection="false" borderId="47" fillId="52" fontId="1" numFmtId="222" xfId="0">
      <alignment horizontal="center" vertical="center"/>
    </xf>
    <xf applyAlignment="true" applyBorder="false" applyFill="true" applyFont="true" applyNumberFormat="true" applyProtection="false" borderId="47" fillId="52" fontId="1" numFmtId="224" xfId="0">
      <alignment horizontal="center" vertical="center"/>
    </xf>
    <xf applyAlignment="true" applyBorder="false" applyFill="true" applyFont="true" applyNumberFormat="true" applyProtection="false" borderId="47" fillId="52" fontId="1" numFmtId="225" xfId="0">
      <alignment horizontal="center" vertical="center"/>
    </xf>
    <xf applyAlignment="true" applyBorder="false" applyFill="true" applyFont="true" applyNumberFormat="true" applyProtection="false" borderId="48" fillId="52" fontId="1" numFmtId="221" xfId="0">
      <alignment horizontal="center" vertical="center"/>
    </xf>
    <xf applyAlignment="true" applyBorder="false" applyFill="true" applyFont="true" applyNumberFormat="true" applyProtection="false" borderId="46" fillId="53" fontId="1" numFmtId="226" xfId="0">
      <alignment horizontal="center" vertical="center"/>
    </xf>
    <xf applyAlignment="true" applyBorder="false" applyFill="false" applyFont="true" applyNumberFormat="true" applyProtection="false" borderId="46" fillId="0" fontId="2" numFmtId="223" xfId="0">
      <alignment horizontal="center" vertical="center"/>
    </xf>
    <xf applyAlignment="true" applyBorder="false" applyFill="false" applyFont="true" applyNumberFormat="true" applyProtection="false" borderId="46" fillId="0" fontId="3" numFmtId="220" xfId="0">
      <alignment horizontal="center" vertical="center"/>
    </xf>
    <xf applyAlignment="true" applyBorder="false" applyFill="false" applyFont="true" applyNumberFormat="true" applyProtection="false" borderId="46" fillId="0" fontId="2" numFmtId="221" xfId="0">
      <alignment horizontal="center" vertical="center"/>
    </xf>
    <xf applyAlignment="true" applyBorder="false" applyFill="false" applyFont="true" applyNumberFormat="true" applyProtection="false" borderId="46" fillId="0" fontId="3" numFmtId="221" xfId="0">
      <alignment horizontal="center" vertical="center"/>
    </xf>
    <xf applyAlignment="true" applyBorder="false" applyFill="false" applyFont="true" applyNumberFormat="true" applyProtection="false" borderId="46" fillId="0" fontId="3" numFmtId="222" xfId="0">
      <alignment horizontal="center" vertical="center"/>
    </xf>
    <xf applyAlignment="true" applyBorder="false" applyFill="false" applyFont="true" applyNumberFormat="true" applyProtection="false" borderId="46" fillId="0" fontId="3" numFmtId="225" xfId="0">
      <alignment horizontal="center" vertical="center"/>
    </xf>
    <xf applyAlignment="true" applyBorder="false" applyFill="false" applyFont="true" applyNumberFormat="true" applyProtection="false" borderId="49" fillId="0" fontId="3" numFmtId="225" xfId="0">
      <alignment horizontal="center" vertical="center"/>
    </xf>
    <xf applyAlignment="true" applyBorder="false" applyFill="false" applyFont="true" applyNumberFormat="true" applyProtection="false" borderId="46" fillId="0" fontId="4" numFmtId="226" xfId="0">
      <alignment horizontal="center" vertical="center"/>
    </xf>
    <xf applyAlignment="true" applyBorder="false" applyFill="false" applyFont="true" applyNumberFormat="true" applyProtection="false" borderId="46" fillId="0" fontId="3" numFmtId="226" xfId="0">
      <alignment horizontal="center" vertical="center"/>
    </xf>
    <xf applyAlignment="true" applyBorder="false" applyFill="false" applyFont="true" applyNumberFormat="true" applyProtection="false" borderId="46" fillId="0" fontId="3" numFmtId="227" xfId="0">
      <alignment horizontal="center" vertical="center"/>
    </xf>
    <xf applyAlignment="true" applyBorder="false" applyFill="false" applyFont="true" applyNumberFormat="true" applyProtection="false" borderId="46" fillId="0" fontId="3" numFmtId="228" xfId="0">
      <alignment horizontal="center" vertical="center"/>
    </xf>
    <xf applyAlignment="true" applyBorder="false" applyFill="true" applyFont="true" applyNumberFormat="true" applyProtection="false" borderId="46" fillId="55" fontId="3" numFmtId="228" xfId="0">
      <alignment horizontal="center" vertical="center"/>
    </xf>
    <xf applyAlignment="true" applyBorder="false" applyFill="false" applyFont="true" applyNumberFormat="false" applyProtection="false" borderId="46" fillId="0" fontId="2" numFmtId="0" xfId="0">
      <alignment horizontal="center" vertical="center"/>
    </xf>
    <xf applyAlignment="true" applyBorder="false" applyFill="false" applyFont="true" applyNumberFormat="true" applyProtection="false" borderId="50" fillId="0" fontId="3" numFmtId="222" xfId="0">
      <alignment horizontal="center" vertical="center"/>
    </xf>
    <xf applyAlignment="true" applyBorder="false" applyFill="false" applyFont="true" applyNumberFormat="true" applyProtection="false" borderId="50" fillId="0" fontId="3" numFmtId="221" xfId="0">
      <alignment horizontal="center" vertical="center"/>
    </xf>
    <xf applyAlignment="true" applyBorder="false" applyFill="false" applyFont="true" applyNumberFormat="true" applyProtection="false" borderId="49" fillId="0" fontId="3" numFmtId="221" xfId="0">
      <alignment horizontal="center" vertical="center"/>
    </xf>
    <xf applyAlignment="true" applyBorder="false" applyFill="false" applyFont="true" applyNumberFormat="true" applyProtection="false" borderId="51" fillId="0" fontId="3" numFmtId="225" xfId="0">
      <alignment horizontal="center" vertical="center"/>
    </xf>
    <xf applyAlignment="true" applyBorder="false" applyFill="true" applyFont="true" applyNumberFormat="true" applyProtection="false" borderId="46" fillId="56" fontId="1" numFmtId="221" xfId="0">
      <alignment horizontal="center" vertical="center"/>
    </xf>
    <xf applyAlignment="true" applyBorder="false" applyFill="true" applyFont="true" applyNumberFormat="true" applyProtection="false" borderId="46" fillId="56" fontId="5" numFmtId="221" xfId="0">
      <alignment horizontal="center" vertical="center"/>
    </xf>
    <xf applyAlignment="true" applyBorder="false" applyFill="true" applyFont="true" applyNumberFormat="true" applyProtection="false" borderId="49" fillId="56" fontId="5" numFmtId="221" xfId="0">
      <alignment horizontal="center" vertical="center"/>
    </xf>
    <xf applyAlignment="true" applyBorder="false" applyFill="true" applyFont="true" applyNumberFormat="true" applyProtection="false" borderId="46" fillId="56" fontId="5" numFmtId="222" xfId="0">
      <alignment horizontal="center" vertical="center"/>
    </xf>
    <xf applyAlignment="true" applyBorder="false" applyFill="true" applyFont="true" applyNumberFormat="true" applyProtection="false" borderId="51" fillId="56" fontId="5" numFmtId="229" xfId="0">
      <alignment horizontal="center" vertical="center"/>
    </xf>
    <xf applyAlignment="true" applyBorder="false" applyFill="true" applyFont="true" applyNumberFormat="true" applyProtection="false" borderId="46" fillId="56" fontId="5" numFmtId="225" xfId="0">
      <alignment horizontal="center" vertical="center"/>
    </xf>
    <xf applyAlignment="true" applyBorder="false" applyFill="true" applyFont="true" applyNumberFormat="true" applyProtection="false" borderId="49" fillId="56" fontId="5" numFmtId="227" xfId="0">
      <alignment horizontal="center" vertical="center"/>
    </xf>
    <xf applyAlignment="true" applyBorder="false" applyFill="true" applyFont="true" applyNumberFormat="true" applyProtection="false" borderId="46" fillId="56" fontId="1" numFmtId="226" xfId="0">
      <alignment horizontal="center" vertical="center"/>
    </xf>
    <xf applyAlignment="true" applyBorder="false" applyFill="true" applyFont="true" applyNumberFormat="true" applyProtection="false" borderId="46" fillId="56" fontId="1" numFmtId="229" xfId="0">
      <alignment horizontal="center" vertical="center"/>
    </xf>
    <xf applyAlignment="true" applyBorder="false" applyFill="true" applyFont="true" applyNumberFormat="true" applyProtection="false" borderId="46" fillId="56" fontId="1" numFmtId="223" xfId="0">
      <alignment horizontal="center" vertical="center"/>
    </xf>
    <xf applyAlignment="true" applyBorder="false" applyFill="false" applyFont="true" applyNumberFormat="true" applyProtection="false" borderId="46" fillId="0" fontId="2" numFmtId="229" xfId="0">
      <alignment horizontal="center" vertical="center"/>
    </xf>
    <xf applyAlignment="true" applyBorder="false" applyFill="false" applyFont="true" applyNumberFormat="true" applyProtection="false" borderId="47" fillId="0" fontId="3" numFmtId="222" xfId="0">
      <alignment horizontal="center" vertical="center"/>
    </xf>
    <xf applyAlignment="true" applyBorder="false" applyFill="false" applyFont="true" applyNumberFormat="true" applyProtection="false" borderId="47" fillId="0" fontId="3" numFmtId="221" xfId="0">
      <alignment horizontal="center" vertical="center"/>
    </xf>
    <xf applyAlignment="true" applyBorder="false" applyFill="false" applyFont="true" applyNumberFormat="true" applyProtection="false" borderId="46" fillId="0" fontId="2" numFmtId="222" xfId="0">
      <alignment horizontal="center" vertical="center"/>
    </xf>
    <xf applyAlignment="true" applyBorder="false" applyFill="false" applyFont="true" applyNumberFormat="true" applyProtection="false" borderId="46" fillId="0" fontId="3" numFmtId="221" xfId="0">
      <alignment horizontal="center" vertical="center"/>
    </xf>
    <xf applyAlignment="true" applyBorder="false" applyFill="true" applyFont="true" applyNumberFormat="true" applyProtection="false" borderId="46" fillId="56" fontId="5" numFmtId="229" xfId="0">
      <alignment horizontal="center" vertical="center"/>
    </xf>
    <xf applyAlignment="true" applyBorder="false" applyFill="true" applyFont="true" applyNumberFormat="true" applyProtection="false" borderId="46" fillId="57" fontId="5" numFmtId="229" xfId="0">
      <alignment horizontal="center" vertical="center"/>
    </xf>
    <xf applyAlignment="true" applyBorder="false" applyFill="true" applyFont="true" applyNumberFormat="true" applyProtection="false" borderId="46" fillId="57" fontId="5" numFmtId="221" xfId="0">
      <alignment horizontal="center" vertical="center"/>
    </xf>
    <xf applyAlignment="true" applyBorder="false" applyFill="true" applyFont="true" applyNumberFormat="true" applyProtection="false" borderId="46" fillId="57" fontId="5" numFmtId="222" xfId="0">
      <alignment horizontal="center" vertical="center"/>
    </xf>
    <xf applyAlignment="true" applyBorder="false" applyFill="true" applyFont="true" applyNumberFormat="true" applyProtection="false" borderId="46" fillId="57" fontId="5" numFmtId="229" xfId="0">
      <alignment horizontal="center" vertical="center"/>
    </xf>
    <xf applyAlignment="true" applyBorder="false" applyFill="true" applyFont="true" applyNumberFormat="true" applyProtection="false" borderId="49" fillId="57" fontId="5" numFmtId="229" xfId="0">
      <alignment horizontal="center" vertical="center"/>
    </xf>
    <xf applyAlignment="true" applyBorder="false" applyFill="true" applyFont="true" applyNumberFormat="true" applyProtection="false" borderId="46" fillId="57" fontId="5" numFmtId="226" xfId="0">
      <alignment horizontal="center" vertical="center"/>
    </xf>
    <xf applyAlignment="true" applyBorder="false" applyFill="true" applyFont="true" applyNumberFormat="true" applyProtection="false" borderId="46" fillId="57" fontId="6" numFmtId="230" xfId="0">
      <alignment horizontal="center" vertical="center"/>
    </xf>
    <xf applyAlignment="true" applyBorder="false" applyFill="true" applyFont="true" applyNumberFormat="true" applyProtection="false" borderId="50" fillId="57" fontId="5" numFmtId="222" xfId="0">
      <alignment horizontal="center" vertical="center"/>
    </xf>
    <xf applyAlignment="true" applyBorder="false" applyFill="false" applyFont="true" applyNumberFormat="true" applyProtection="false" borderId="46" fillId="0" fontId="3" numFmtId="220" xfId="0">
      <alignment horizontal="center" vertical="center"/>
    </xf>
    <xf applyAlignment="true" applyBorder="false" applyFill="false" applyFont="true" applyNumberFormat="true" applyProtection="false" borderId="46" fillId="0" fontId="3" numFmtId="222" xfId="0">
      <alignment horizontal="center" vertical="center"/>
    </xf>
    <xf applyAlignment="true" applyBorder="false" applyFill="true" applyFont="true" applyNumberFormat="true" applyProtection="false" borderId="46" fillId="55" fontId="3" numFmtId="228" xfId="0">
      <alignment horizontal="center" vertical="center"/>
    </xf>
    <xf applyAlignment="true" applyBorder="false" applyFill="false" applyFont="true" applyNumberFormat="false" applyProtection="false" borderId="46" fillId="0" fontId="2" numFmtId="0" xfId="0">
      <alignment horizontal="center" vertical="center"/>
    </xf>
    <xf applyAlignment="true" applyBorder="false" applyFill="false" applyFont="true" applyNumberFormat="true" applyProtection="false" borderId="50" fillId="0" fontId="3" numFmtId="222" xfId="0">
      <alignment horizontal="center" vertical="center"/>
    </xf>
    <xf applyAlignment="true" applyBorder="false" applyFill="true" applyFont="true" applyNumberFormat="true" applyProtection="false" borderId="52" fillId="56" fontId="5" numFmtId="222" xfId="0">
      <alignment horizontal="center" vertical="center"/>
    </xf>
    <xf applyAlignment="true" applyBorder="false" applyFill="true" applyFont="true" applyNumberFormat="true" applyProtection="false" borderId="52" fillId="56" fontId="5" numFmtId="221" xfId="0">
      <alignment horizontal="center" vertical="center"/>
    </xf>
    <xf applyAlignment="true" applyBorder="false" applyFill="false" applyFont="true" applyNumberFormat="true" applyProtection="false" borderId="47" fillId="0" fontId="3" numFmtId="222" xfId="0">
      <alignment horizontal="center" vertical="center"/>
    </xf>
    <xf applyAlignment="true" applyBorder="false" applyFill="false" applyFont="true" applyNumberFormat="true" applyProtection="false" borderId="46" fillId="0" fontId="2" numFmtId="223" xfId="0">
      <alignment horizontal="center" vertical="center"/>
    </xf>
    <xf applyAlignment="true" applyBorder="false" applyFill="false" applyFont="true" applyNumberFormat="true" applyProtection="false" borderId="46" fillId="0" fontId="2" numFmtId="222" xfId="0">
      <alignment horizontal="center" vertical="center"/>
    </xf>
    <xf applyAlignment="true" applyBorder="false" applyFill="false" applyFont="true" applyNumberFormat="true" applyProtection="false" borderId="46" fillId="0" fontId="2" numFmtId="229" xfId="0">
      <alignment horizontal="center" vertical="center"/>
    </xf>
    <xf applyAlignment="true" applyBorder="false" applyFill="false" applyFont="true" applyNumberFormat="true" applyProtection="false" borderId="50" fillId="0" fontId="3" numFmtId="221" xfId="0">
      <alignment horizontal="center" vertical="center"/>
    </xf>
    <xf applyAlignment="true" applyBorder="false" applyFill="true" applyFont="true" applyNumberFormat="true" applyProtection="false" borderId="47" fillId="51" fontId="1" numFmtId="220" xfId="0">
      <alignment horizontal="center" vertical="center"/>
    </xf>
    <xf applyAlignment="true" applyBorder="false" applyFill="true" applyFont="true" applyNumberFormat="true" applyProtection="false" borderId="53" fillId="52" fontId="1" numFmtId="221" xfId="0">
      <alignment horizontal="center" vertical="center"/>
    </xf>
    <xf applyAlignment="true" applyBorder="false" applyFill="true" applyFont="true" applyNumberFormat="true" applyProtection="false" borderId="53" fillId="52" fontId="1" numFmtId="221" xfId="0">
      <alignment horizontal="center" vertical="center"/>
    </xf>
    <xf applyAlignment="true" applyBorder="false" applyFill="true" applyFont="true" applyNumberFormat="true" applyProtection="false" borderId="46" fillId="53" fontId="1" numFmtId="230" xfId="0">
      <alignment horizontal="center" vertical="center"/>
    </xf>
    <xf applyAlignment="true" applyBorder="false" applyFill="false" applyFont="true" applyNumberFormat="true" applyProtection="false" borderId="52" fillId="0" fontId="3" numFmtId="221" xfId="0">
      <alignment horizontal="center" vertical="center"/>
    </xf>
    <xf applyAlignment="true" applyBorder="false" applyFill="false" applyFont="true" applyNumberFormat="true" applyProtection="false" borderId="51" fillId="0" fontId="3" numFmtId="222" xfId="0">
      <alignment horizontal="center" vertical="center"/>
    </xf>
    <xf applyAlignment="true" applyBorder="false" applyFill="false" applyFont="true" applyNumberFormat="true" applyProtection="false" borderId="46" fillId="0" fontId="2" numFmtId="229" xfId="0">
      <alignment horizontal="center" vertical="center"/>
    </xf>
    <xf applyAlignment="true" applyBorder="false" applyFill="false" applyFont="true" applyNumberFormat="true" applyProtection="false" borderId="47" fillId="0" fontId="3" numFmtId="221" xfId="0">
      <alignment horizontal="center" vertical="center"/>
    </xf>
    <xf applyAlignment="true" applyBorder="false" applyFill="false" applyFont="true" applyNumberFormat="true" applyProtection="false" borderId="46" fillId="0" fontId="3" numFmtId="221" xfId="0">
      <alignment horizontal="center" vertical="center"/>
    </xf>
    <xf applyAlignment="true" applyBorder="false" applyFill="false" applyFont="true" applyNumberFormat="true" applyProtection="false" borderId="46" fillId="0" fontId="3" numFmtId="225" xfId="0">
      <alignment horizontal="center" vertical="center"/>
    </xf>
    <xf applyAlignment="true" applyBorder="false" applyFill="true" applyFont="true" applyNumberFormat="true" applyProtection="false" borderId="46" fillId="56" fontId="1" numFmtId="221" xfId="0">
      <alignment horizontal="center" vertical="center"/>
    </xf>
    <xf applyAlignment="true" applyBorder="false" applyFill="true" applyFont="true" applyNumberFormat="true" applyProtection="false" borderId="46" fillId="56" fontId="5" numFmtId="221" xfId="0">
      <alignment horizontal="center" vertical="center"/>
    </xf>
    <xf applyAlignment="true" applyBorder="false" applyFill="false" applyFont="true" applyNumberFormat="true" applyProtection="false" borderId="46" fillId="0" fontId="2" numFmtId="221" xfId="0">
      <alignment horizontal="center" vertical="center"/>
    </xf>
    <xf applyAlignment="true" applyBorder="false" applyFill="false" applyFont="true" applyNumberFormat="true" applyProtection="false" borderId="46" fillId="0" fontId="3" numFmtId="226" xfId="0">
      <alignment horizontal="center" vertical="center"/>
    </xf>
    <xf applyAlignment="true" applyBorder="false" applyFill="true" applyFont="true" applyNumberFormat="true" applyProtection="false" borderId="46" fillId="56" fontId="5" numFmtId="229" xfId="0">
      <alignment horizontal="center" vertical="center"/>
    </xf>
    <xf applyAlignment="true" applyBorder="false" applyFill="false" applyFont="true" applyNumberFormat="true" applyProtection="false" borderId="46" fillId="0" fontId="2" numFmtId="221" xfId="0">
      <alignment horizontal="center" vertical="center"/>
    </xf>
    <xf applyAlignment="true" applyBorder="false" applyFill="true" applyFont="true" applyNumberFormat="true" applyProtection="false" borderId="46" fillId="56" fontId="5" numFmtId="222" xfId="0">
      <alignment horizontal="center" vertical="center"/>
    </xf>
    <xf applyAlignment="true" applyBorder="false" applyFill="true" applyFont="true" applyNumberFormat="true" applyProtection="false" borderId="50" fillId="54" fontId="2" numFmtId="223" xfId="0">
      <alignment horizontal="center" vertical="center"/>
    </xf>
    <xf applyAlignment="true" applyBorder="false" applyFill="true" applyFont="true" applyNumberFormat="true" applyProtection="false" borderId="49" fillId="53" fontId="1" numFmtId="230" xfId="0">
      <alignment horizontal="center" vertical="center"/>
    </xf>
    <xf applyAlignment="true" applyBorder="false" applyFill="false" applyFont="true" applyNumberFormat="true" applyProtection="false" borderId="52" fillId="0" fontId="2" numFmtId="223" xfId="0">
      <alignment horizontal="center" vertical="center"/>
    </xf>
    <xf applyAlignment="true" applyBorder="false" applyFill="false" applyFont="true" applyNumberFormat="true" applyProtection="false" borderId="51" fillId="0" fontId="2" numFmtId="223" xfId="0">
      <alignment horizontal="center" vertical="center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false" applyFont="true" applyNumberFormat="true" applyProtection="false" borderId="47" fillId="0" fontId="3" numFmtId="221" xfId="0">
      <alignment horizontal="center" vertical="center"/>
    </xf>
    <xf applyAlignment="true" applyBorder="false" applyFill="true" applyFont="true" applyNumberFormat="true" applyProtection="false" borderId="53" fillId="51" fontId="1" numFmtId="220" xfId="0">
      <alignment horizontal="center" vertical="center"/>
    </xf>
    <xf applyAlignment="true" applyBorder="false" applyFill="false" applyFont="true" applyNumberFormat="true" applyProtection="false" borderId="49" fillId="0" fontId="2" numFmtId="229" xfId="0">
      <alignment horizontal="center" vertical="center"/>
    </xf>
    <xf applyAlignment="true" applyBorder="false" applyFill="false" applyFont="true" applyNumberFormat="true" applyProtection="false" borderId="51" fillId="0" fontId="3" numFmtId="221" xfId="0">
      <alignment horizontal="center" vertical="center"/>
    </xf>
    <xf applyAlignment="true" applyBorder="false" applyFill="false" applyFont="true" applyNumberFormat="true" applyProtection="false" borderId="54" fillId="0" fontId="3" numFmtId="221" xfId="0">
      <alignment horizontal="center" vertical="center"/>
    </xf>
    <xf applyAlignment="true" applyBorder="false" applyFill="false" applyFont="true" applyNumberFormat="true" applyProtection="false" borderId="51" fillId="0" fontId="3" numFmtId="222" xfId="0">
      <alignment horizontal="center" vertical="center"/>
    </xf>
    <xf applyAlignment="true" applyBorder="false" applyFill="false" applyFont="true" applyNumberFormat="true" applyProtection="false" borderId="49" fillId="0" fontId="2" numFmtId="229" xfId="0">
      <alignment horizontal="center" vertical="center"/>
    </xf>
    <xf applyAlignment="true" applyBorder="false" applyFill="false" applyFont="true" applyNumberFormat="true" applyProtection="false" borderId="55" fillId="0" fontId="3" numFmtId="221" xfId="0">
      <alignment horizontal="center" vertical="center"/>
    </xf>
    <xf applyAlignment="true" applyBorder="false" applyFill="true" applyFont="true" applyNumberFormat="true" applyProtection="false" borderId="46" fillId="56" fontId="5" numFmtId="221" xfId="0">
      <alignment horizontal="center" vertical="center"/>
    </xf>
    <xf applyAlignment="true" applyBorder="false" applyFill="false" applyFont="true" applyNumberFormat="true" applyProtection="false" borderId="52" fillId="0" fontId="3" numFmtId="221" xfId="0">
      <alignment horizontal="center" vertical="center"/>
    </xf>
    <xf applyAlignment="true" applyBorder="false" applyFill="false" applyFont="true" applyNumberFormat="true" applyProtection="false" borderId="48" fillId="0" fontId="3" numFmtId="221" xfId="0">
      <alignment horizontal="center" vertical="center"/>
    </xf>
    <xf applyAlignment="true" applyBorder="false" applyFill="true" applyFont="true" applyNumberFormat="true" applyProtection="false" borderId="46" fillId="56" fontId="5" numFmtId="230" xfId="0">
      <alignment horizontal="center" vertical="center"/>
    </xf>
    <xf applyAlignment="true" applyBorder="false" applyFill="true" applyFont="true" applyNumberFormat="true" applyProtection="false" borderId="0" fillId="58" fontId="16" numFmtId="228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22" xfId="0">
      <alignment horizontal="right" vertical="center"/>
    </xf>
    <xf applyAlignment="true" applyBorder="false" applyFill="false" applyFont="true" applyNumberFormat="false" applyProtection="false" borderId="0" fillId="0" fontId="2" numFmtId="0" xfId="0">
      <alignment horizontal="right" vertical="center"/>
    </xf>
    <xf applyAlignment="true" applyBorder="false" applyFill="true" applyFont="true" applyNumberFormat="false" applyProtection="false" borderId="46" fillId="59" fontId="20" numFmtId="0" xfId="0">
      <alignment horizontal="center" vertical="center" wrapText="true"/>
    </xf>
    <xf applyAlignment="true" applyBorder="false" applyFill="true" applyFont="true" applyNumberFormat="false" applyProtection="false" borderId="56" fillId="55" fontId="20" numFmtId="0" xfId="0">
      <alignment horizontal="right" vertical="center" wrapText="true"/>
    </xf>
    <xf applyAlignment="true" applyBorder="false" applyFill="false" applyFont="true" applyNumberFormat="true" applyProtection="false" borderId="0" fillId="0" fontId="2" numFmtId="231" xfId="0">
      <alignment horizontal="right" vertical="center"/>
    </xf>
    <xf applyAlignment="true" applyBorder="false" applyFill="false" applyFont="true" applyNumberFormat="true" applyProtection="false" borderId="0" fillId="0" fontId="2" numFmtId="221" xfId="0">
      <alignment horizontal="righ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28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222" xfId="0">
      <alignment horizontal="center" vertical="center"/>
    </xf>
    <xf applyAlignment="true" applyBorder="false" applyFill="false" applyFont="true" applyNumberFormat="true" applyProtection="false" borderId="0" fillId="0" fontId="2" numFmtId="222" xfId="0">
      <alignment vertical="center"/>
    </xf>
    <xf applyAlignment="true" applyBorder="false" applyFill="true" applyFont="true" applyNumberFormat="true" applyProtection="false" borderId="0" fillId="55" fontId="23" numFmtId="228" xfId="0">
      <alignment vertical="center" wrapText="true"/>
    </xf>
    <xf applyAlignment="true" applyBorder="false" applyFill="true" applyFont="true" applyNumberFormat="false" applyProtection="false" borderId="0" fillId="55" fontId="22" numFmtId="0" xfId="0">
      <alignment vertical="center" wrapText="true"/>
    </xf>
    <xf applyAlignment="true" applyBorder="false" applyFill="true" applyFont="true" applyNumberFormat="true" applyProtection="false" borderId="0" fillId="55" fontId="23" numFmtId="228" xfId="0">
      <alignment vertical="center" wrapText="true"/>
    </xf>
    <xf applyAlignment="true" applyBorder="false" applyFill="true" applyFont="true" applyNumberFormat="true" applyProtection="false" borderId="0" fillId="58" fontId="16" numFmtId="232" xfId="0">
      <alignment vertical="center" wrapText="true"/>
    </xf>
    <xf applyAlignment="true" applyBorder="false" applyFill="true" applyFont="true" applyNumberFormat="true" applyProtection="false" borderId="0" fillId="58" fontId="31" numFmtId="232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2" numFmtId="222" xfId="0">
      <alignment vertical="center"/>
    </xf>
    <xf applyAlignment="true" applyBorder="false" applyFill="true" applyFont="true" applyNumberFormat="false" applyProtection="false" borderId="0" fillId="55" fontId="23" numFmtId="0" xfId="0">
      <alignment vertical="center" wrapText="true"/>
    </xf>
    <xf applyAlignment="true" applyBorder="false" applyFill="true" applyFont="true" applyNumberFormat="true" applyProtection="false" borderId="57" fillId="60" fontId="1" numFmtId="233" xfId="0">
      <alignment horizontal="center" vertical="center"/>
    </xf>
    <xf applyAlignment="true" applyBorder="false" applyFill="true" applyFont="true" applyNumberFormat="true" applyProtection="false" borderId="57" fillId="61" fontId="1" numFmtId="234" xfId="0">
      <alignment horizontal="center" vertical="center"/>
    </xf>
    <xf applyAlignment="true" applyBorder="false" applyFill="true" applyFont="true" applyNumberFormat="true" applyProtection="false" borderId="57" fillId="61" fontId="1" numFmtId="235" xfId="0">
      <alignment horizontal="center" vertical="center"/>
    </xf>
    <xf applyAlignment="true" applyBorder="false" applyFill="true" applyFont="true" applyNumberFormat="false" applyProtection="false" borderId="57" fillId="62" fontId="1" numFmtId="0" xfId="0">
      <alignment horizontal="center" vertical="center"/>
    </xf>
    <xf applyAlignment="true" applyBorder="false" applyFill="true" applyFont="true" applyNumberFormat="true" applyProtection="false" borderId="57" fillId="63" fontId="2" numFmtId="236" xfId="0">
      <alignment horizontal="center" vertical="center"/>
    </xf>
    <xf applyAlignment="true" applyBorder="false" applyFill="true" applyFont="true" applyNumberFormat="false" applyProtection="false" borderId="57" fillId="60" fontId="1" numFmtId="0" xfId="0">
      <alignment horizontal="center" vertical="center"/>
    </xf>
    <xf applyAlignment="true" applyBorder="false" applyFill="true" applyFont="true" applyNumberFormat="true" applyProtection="false" borderId="57" fillId="61" fontId="1" numFmtId="237" xfId="0">
      <alignment horizontal="center" vertical="center"/>
    </xf>
    <xf applyAlignment="true" applyBorder="false" applyFill="true" applyFont="true" applyNumberFormat="true" applyProtection="false" borderId="57" fillId="61" fontId="1" numFmtId="238" xfId="0">
      <alignment horizontal="center" vertical="center"/>
    </xf>
    <xf applyAlignment="true" applyBorder="false" applyFill="true" applyFont="true" applyNumberFormat="true" applyProtection="false" borderId="57" fillId="62" fontId="1" numFmtId="239" xfId="0">
      <alignment horizontal="center" vertical="center"/>
    </xf>
    <xf applyAlignment="true" applyBorder="false" applyFill="false" applyFont="true" applyNumberFormat="false" applyProtection="false" borderId="57" fillId="0" fontId="2" numFmtId="0" xfId="0">
      <alignment horizontal="center" vertical="center"/>
    </xf>
    <xf applyAlignment="true" applyBorder="false" applyFill="false" applyFont="true" applyNumberFormat="true" applyProtection="false" borderId="57" fillId="0" fontId="3" numFmtId="233" xfId="0">
      <alignment horizontal="center" vertical="center"/>
    </xf>
    <xf applyAlignment="true" applyBorder="false" applyFill="false" applyFont="true" applyNumberFormat="false" applyProtection="false" borderId="57" fillId="0" fontId="7" numFmtId="0" xfId="0">
      <alignment horizontal="center" vertical="center"/>
    </xf>
    <xf applyAlignment="true" applyBorder="false" applyFill="false" applyFont="true" applyNumberFormat="false" applyProtection="false" borderId="57" fillId="0" fontId="32" numFmtId="0" xfId="0">
      <alignment horizontal="center" vertical="center"/>
    </xf>
    <xf applyAlignment="true" applyBorder="false" applyFill="false" applyFont="true" applyNumberFormat="true" applyProtection="false" borderId="57" fillId="0" fontId="3" numFmtId="234" xfId="0">
      <alignment horizontal="center" vertical="center"/>
    </xf>
    <xf applyAlignment="true" applyBorder="false" applyFill="false" applyFont="true" applyNumberFormat="true" applyProtection="false" borderId="57" fillId="0" fontId="3" numFmtId="234" xfId="0">
      <alignment horizontal="center" vertical="center"/>
    </xf>
    <xf applyAlignment="true" applyBorder="false" applyFill="false" applyFont="true" applyNumberFormat="true" applyProtection="false" borderId="57" fillId="0" fontId="3" numFmtId="235" xfId="0">
      <alignment horizontal="center" vertical="center"/>
    </xf>
    <xf applyAlignment="true" applyBorder="false" applyFill="false" applyFont="true" applyNumberFormat="true" applyProtection="false" borderId="57" fillId="0" fontId="3" numFmtId="238" xfId="0">
      <alignment horizontal="center" vertical="center"/>
    </xf>
    <xf applyAlignment="true" applyBorder="false" applyFill="false" applyFont="true" applyNumberFormat="true" applyProtection="false" borderId="57" fillId="0" fontId="4" numFmtId="239" xfId="0">
      <alignment horizontal="center" vertical="center"/>
    </xf>
    <xf applyAlignment="true" applyBorder="false" applyFill="false" applyFont="true" applyNumberFormat="true" applyProtection="false" borderId="57" fillId="0" fontId="3" numFmtId="239" xfId="0">
      <alignment horizontal="center" vertical="center"/>
    </xf>
    <xf applyAlignment="true" applyBorder="false" applyFill="false" applyFont="true" applyNumberFormat="true" applyProtection="false" borderId="57" fillId="0" fontId="3" numFmtId="240" xfId="0">
      <alignment horizontal="center" vertical="center"/>
    </xf>
    <xf applyAlignment="true" applyBorder="false" applyFill="false" applyFont="true" applyNumberFormat="true" applyProtection="false" borderId="57" fillId="0" fontId="3" numFmtId="241" xfId="0">
      <alignment horizontal="center" vertical="center"/>
    </xf>
    <xf applyAlignment="true" applyBorder="false" applyFill="true" applyFont="true" applyNumberFormat="true" applyProtection="false" borderId="57" fillId="64" fontId="3" numFmtId="241" xfId="0">
      <alignment horizontal="center" vertical="center"/>
    </xf>
    <xf applyAlignment="true" applyBorder="false" applyFill="false" applyFont="true" applyNumberFormat="false" applyProtection="false" borderId="57" fillId="0" fontId="2" numFmtId="0" xfId="0">
      <alignment horizontal="center" vertical="center"/>
    </xf>
    <xf applyAlignment="true" applyBorder="false" applyFill="true" applyFont="true" applyNumberFormat="false" applyProtection="false" borderId="57" fillId="65" fontId="1" numFmtId="0" xfId="0">
      <alignment horizontal="center" vertical="center"/>
    </xf>
    <xf applyAlignment="true" applyBorder="false" applyFill="true" applyFont="true" applyNumberFormat="true" applyProtection="false" borderId="57" fillId="65" fontId="5" numFmtId="234" xfId="0">
      <alignment horizontal="center" vertical="center"/>
    </xf>
    <xf applyAlignment="true" applyBorder="false" applyFill="true" applyFont="true" applyNumberFormat="true" applyProtection="false" borderId="57" fillId="65" fontId="5" numFmtId="235" xfId="0">
      <alignment horizontal="center" vertical="center"/>
    </xf>
    <xf applyAlignment="true" applyBorder="false" applyFill="true" applyFont="true" applyNumberFormat="true" applyProtection="false" borderId="57" fillId="65" fontId="5" numFmtId="242" xfId="0">
      <alignment horizontal="center" vertical="center"/>
    </xf>
    <xf applyAlignment="true" applyBorder="false" applyFill="true" applyFont="true" applyNumberFormat="true" applyProtection="false" borderId="57" fillId="65" fontId="5" numFmtId="238" xfId="0">
      <alignment horizontal="center" vertical="center"/>
    </xf>
    <xf applyAlignment="true" applyBorder="false" applyFill="true" applyFont="true" applyNumberFormat="true" applyProtection="false" borderId="57" fillId="65" fontId="5" numFmtId="240" xfId="0">
      <alignment horizontal="center" vertical="center"/>
    </xf>
    <xf applyAlignment="true" applyBorder="false" applyFill="true" applyFont="true" applyNumberFormat="true" applyProtection="false" borderId="57" fillId="65" fontId="1" numFmtId="239" xfId="0">
      <alignment horizontal="center" vertical="center"/>
    </xf>
    <xf applyAlignment="true" applyBorder="false" applyFill="true" applyFont="true" applyNumberFormat="true" applyProtection="false" borderId="57" fillId="65" fontId="1" numFmtId="242" xfId="0">
      <alignment horizontal="center" vertical="center"/>
    </xf>
    <xf applyAlignment="true" applyBorder="false" applyFill="true" applyFont="true" applyNumberFormat="true" applyProtection="false" borderId="57" fillId="65" fontId="1" numFmtId="236" xfId="0">
      <alignment horizontal="center" vertical="center"/>
    </xf>
    <xf applyAlignment="true" applyBorder="false" applyFill="false" applyFont="true" applyNumberFormat="true" applyProtection="false" borderId="57" fillId="0" fontId="3" numFmtId="235" xfId="0">
      <alignment horizontal="center" vertical="center"/>
    </xf>
    <xf applyAlignment="true" applyBorder="false" applyFill="true" applyFont="true" applyNumberFormat="true" applyProtection="false" borderId="57" fillId="65" fontId="1" numFmtId="234" xfId="0">
      <alignment horizontal="center" vertical="center"/>
    </xf>
    <xf applyAlignment="true" applyBorder="false" applyFill="true" applyFont="true" applyNumberFormat="true" applyProtection="false" borderId="57" fillId="66" fontId="5" numFmtId="242" xfId="0">
      <alignment horizontal="center" vertical="center"/>
    </xf>
    <xf applyAlignment="true" applyBorder="false" applyFill="true" applyFont="true" applyNumberFormat="true" applyProtection="false" borderId="57" fillId="66" fontId="5" numFmtId="234" xfId="0">
      <alignment horizontal="center" vertical="center"/>
    </xf>
    <xf applyAlignment="true" applyBorder="false" applyFill="true" applyFont="true" applyNumberFormat="true" applyProtection="false" borderId="57" fillId="66" fontId="5" numFmtId="235" xfId="0">
      <alignment horizontal="center" vertical="center"/>
    </xf>
    <xf applyAlignment="true" applyBorder="false" applyFill="true" applyFont="true" applyNumberFormat="true" applyProtection="false" borderId="57" fillId="66" fontId="5" numFmtId="239" xfId="0">
      <alignment horizontal="center" vertical="center"/>
    </xf>
    <xf applyAlignment="true" applyBorder="false" applyFill="true" applyFont="true" applyNumberFormat="true" applyProtection="false" borderId="57" fillId="66" fontId="6" numFmtId="243" xfId="0">
      <alignment horizontal="center" vertical="center"/>
    </xf>
    <xf applyAlignment="true" applyBorder="false" applyFill="true" applyFont="true" applyNumberFormat="false" applyProtection="false" borderId="58" fillId="60" fontId="1" numFmtId="0" xfId="0">
      <alignment horizontal="center" vertical="center"/>
    </xf>
    <xf applyAlignment="true" applyBorder="false" applyFill="true" applyFont="true" applyNumberFormat="true" applyProtection="false" borderId="58" fillId="61" fontId="1" numFmtId="234" xfId="0">
      <alignment horizontal="center" vertical="center"/>
    </xf>
    <xf applyAlignment="true" applyBorder="false" applyFill="true" applyFont="true" applyNumberFormat="true" applyProtection="false" borderId="58" fillId="61" fontId="1" numFmtId="235" xfId="0">
      <alignment horizontal="center" vertical="center"/>
    </xf>
    <xf applyAlignment="true" applyBorder="false" applyFill="true" applyFont="true" applyNumberFormat="true" applyProtection="false" borderId="58" fillId="61" fontId="1" numFmtId="237" xfId="0">
      <alignment horizontal="center" vertical="center"/>
    </xf>
    <xf applyAlignment="true" applyBorder="false" applyFill="true" applyFont="true" applyNumberFormat="true" applyProtection="false" borderId="58" fillId="61" fontId="1" numFmtId="238" xfId="0">
      <alignment horizontal="center" vertical="center"/>
    </xf>
    <xf applyAlignment="true" applyBorder="false" applyFill="false" applyFont="true" applyNumberFormat="true" applyProtection="false" borderId="59" fillId="0" fontId="4" numFmtId="239" xfId="0">
      <alignment horizontal="center" vertical="center"/>
    </xf>
    <xf applyAlignment="true" applyBorder="false" applyFill="true" applyFont="true" applyNumberFormat="true" applyProtection="false" borderId="59" fillId="65" fontId="1" numFmtId="239" xfId="0">
      <alignment horizontal="center" vertical="center"/>
    </xf>
    <xf applyAlignment="true" applyBorder="false" applyFill="true" applyFont="true" applyNumberFormat="true" applyProtection="false" borderId="60" fillId="66" fontId="5" numFmtId="239" xfId="0">
      <alignment horizontal="center" vertical="center"/>
    </xf>
    <xf applyAlignment="true" applyBorder="false" applyFill="true" applyFont="true" applyNumberFormat="true" applyProtection="false" borderId="58" fillId="66" fontId="5" numFmtId="239" xfId="0">
      <alignment horizontal="center" vertical="center"/>
    </xf>
    <xf applyAlignment="true" applyBorder="false" applyFill="true" applyFont="true" applyNumberFormat="true" applyProtection="false" borderId="58" fillId="66" fontId="5" numFmtId="242" xfId="0">
      <alignment horizontal="center" vertical="center"/>
    </xf>
    <xf applyAlignment="true" applyBorder="false" applyFill="true" applyFont="true" applyNumberFormat="true" applyProtection="false" borderId="58" fillId="66" fontId="6" numFmtId="243" xfId="0">
      <alignment horizontal="center" vertical="center"/>
    </xf>
    <xf applyAlignment="true" applyBorder="false" applyFill="true" applyFont="true" applyNumberFormat="true" applyProtection="false" borderId="58" fillId="66" fontId="5" numFmtId="235" xfId="0">
      <alignment horizontal="center" vertical="center"/>
    </xf>
    <xf applyAlignment="true" applyBorder="false" applyFill="true" applyFont="true" applyNumberFormat="false" applyProtection="false" borderId="59" fillId="62" fontId="1" numFmtId="0" xfId="0">
      <alignment horizontal="center" vertical="center"/>
    </xf>
    <xf applyAlignment="true" applyBorder="false" applyFill="true" applyFont="true" applyNumberFormat="true" applyProtection="false" borderId="61" fillId="60" fontId="1" numFmtId="233" xfId="0">
      <alignment horizontal="center" vertical="center"/>
    </xf>
    <xf applyAlignment="true" applyBorder="false" applyFill="true" applyFont="true" applyNumberFormat="true" applyProtection="false" borderId="61" fillId="61" fontId="1" numFmtId="234" xfId="0">
      <alignment horizontal="center" vertical="center"/>
    </xf>
    <xf applyAlignment="true" applyBorder="false" applyFill="true" applyFont="true" applyNumberFormat="true" applyProtection="false" borderId="61" fillId="61" fontId="1" numFmtId="235" xfId="0">
      <alignment horizontal="center" vertical="center"/>
    </xf>
    <xf applyAlignment="true" applyBorder="false" applyFill="true" applyFont="true" applyNumberFormat="true" applyProtection="false" borderId="61" fillId="61" fontId="1" numFmtId="237" xfId="0">
      <alignment horizontal="center" vertical="center"/>
    </xf>
    <xf applyAlignment="true" applyBorder="false" applyFill="true" applyFont="true" applyNumberFormat="true" applyProtection="false" borderId="61" fillId="61" fontId="1" numFmtId="238" xfId="0">
      <alignment horizontal="center" vertical="center"/>
    </xf>
    <xf applyAlignment="true" applyBorder="false" applyFill="false" applyFont="true" applyNumberFormat="true" applyProtection="false" borderId="57" fillId="0" fontId="2" numFmtId="236" xfId="0">
      <alignment horizontal="center" vertical="center"/>
    </xf>
    <xf applyAlignment="true" applyBorder="false" applyFill="true" applyFont="true" applyNumberFormat="true" applyProtection="false" borderId="57" fillId="64" fontId="3" numFmtId="241" xfId="0">
      <alignment horizontal="center" vertical="center"/>
    </xf>
    <xf applyAlignment="true" applyBorder="false" applyFill="false" applyFont="true" applyNumberFormat="true" applyProtection="false" borderId="57" fillId="0" fontId="3" numFmtId="233" xfId="0">
      <alignment horizontal="center" vertical="center"/>
    </xf>
    <xf applyAlignment="true" applyBorder="false" applyFill="false" applyFont="true" applyNumberFormat="true" applyProtection="false" borderId="57" fillId="0" fontId="2" numFmtId="242" xfId="0">
      <alignment horizontal="center" vertical="center"/>
    </xf>
    <xf applyAlignment="true" applyBorder="false" applyFill="false" applyFont="true" applyNumberFormat="true" applyProtection="false" borderId="57" fillId="0" fontId="2" numFmtId="236" xfId="0">
      <alignment horizontal="center" vertical="center"/>
    </xf>
    <xf applyAlignment="true" applyBorder="false" applyFill="false" applyFont="true" applyNumberFormat="true" applyProtection="false" borderId="57" fillId="0" fontId="2" numFmtId="235" xfId="0">
      <alignment horizontal="center" vertical="center"/>
    </xf>
    <xf applyAlignment="true" applyBorder="false" applyFill="false" applyFont="true" applyNumberFormat="true" applyProtection="false" borderId="57" fillId="0" fontId="2" numFmtId="235" xfId="0">
      <alignment horizontal="center" vertical="center"/>
    </xf>
    <xf applyAlignment="true" applyBorder="false" applyFill="false" applyFont="true" applyNumberFormat="true" applyProtection="false" borderId="57" fillId="0" fontId="2" numFmtId="242" xfId="0">
      <alignment horizontal="center" vertical="center"/>
    </xf>
    <xf applyAlignment="true" applyBorder="false" applyFill="false" applyFont="true" applyNumberFormat="true" applyProtection="false" borderId="58" fillId="0" fontId="3" numFmtId="234" xfId="0">
      <alignment horizontal="center" vertical="center"/>
    </xf>
    <xf applyAlignment="true" applyBorder="false" applyFill="false" applyFont="true" applyNumberFormat="true" applyProtection="false" borderId="62" fillId="0" fontId="3" numFmtId="234" xfId="0">
      <alignment horizontal="center" vertical="center"/>
    </xf>
    <xf applyAlignment="true" applyBorder="false" applyFill="false" applyFont="true" applyNumberFormat="true" applyProtection="false" borderId="59" fillId="0" fontId="3" numFmtId="235" xfId="0">
      <alignment horizontal="center" vertical="center"/>
    </xf>
    <xf applyAlignment="true" applyBorder="false" applyFill="false" applyFont="true" applyNumberFormat="true" applyProtection="false" borderId="59" fillId="0" fontId="3" numFmtId="235" xfId="0">
      <alignment horizontal="center" vertical="center"/>
    </xf>
    <xf applyAlignment="true" applyBorder="false" applyFill="true" applyFont="true" applyNumberFormat="true" applyProtection="false" borderId="58" fillId="65" fontId="1" numFmtId="242" xfId="0">
      <alignment horizontal="center" vertical="center"/>
    </xf>
    <xf applyAlignment="true" applyBorder="false" applyFill="true" applyFont="true" applyNumberFormat="true" applyProtection="false" borderId="62" fillId="66" fontId="5" numFmtId="242" xfId="0">
      <alignment horizontal="center" vertical="center"/>
    </xf>
    <xf applyAlignment="true" applyBorder="false" applyFill="true" applyFont="true" applyNumberFormat="true" applyProtection="false" borderId="60" fillId="66" fontId="5" numFmtId="235" xfId="0">
      <alignment horizontal="center" vertical="center"/>
    </xf>
    <xf applyAlignment="true" applyBorder="false" applyFill="false" applyFont="true" applyNumberFormat="true" applyProtection="false" borderId="58" fillId="0" fontId="4" numFmtId="239" xfId="0">
      <alignment horizontal="center" vertical="center"/>
    </xf>
    <xf applyAlignment="true" applyBorder="false" applyFill="false" applyFont="true" applyNumberFormat="true" applyProtection="false" borderId="58" fillId="0" fontId="3" numFmtId="239" xfId="0">
      <alignment horizontal="center" vertical="center"/>
    </xf>
    <xf applyAlignment="true" applyBorder="false" applyFill="false" applyFont="true" applyNumberFormat="true" applyProtection="false" borderId="58" fillId="0" fontId="3" numFmtId="240" xfId="0">
      <alignment horizontal="center" vertical="center"/>
    </xf>
    <xf applyAlignment="true" applyBorder="false" applyFill="false" applyFont="true" applyNumberFormat="true" applyProtection="false" borderId="58" fillId="0" fontId="3" numFmtId="241" xfId="0">
      <alignment horizontal="center" vertical="center"/>
    </xf>
    <xf applyAlignment="true" applyBorder="false" applyFill="true" applyFont="true" applyNumberFormat="true" applyProtection="false" borderId="58" fillId="64" fontId="3" numFmtId="241" xfId="0">
      <alignment horizontal="center" vertical="center"/>
    </xf>
    <xf applyAlignment="true" applyBorder="false" applyFill="false" applyFont="true" applyNumberFormat="true" applyProtection="false" borderId="58" fillId="0" fontId="2" numFmtId="235" xfId="0">
      <alignment horizontal="center" vertical="center"/>
    </xf>
    <xf applyAlignment="true" applyBorder="false" applyFill="false" applyFont="true" applyNumberFormat="true" applyProtection="false" borderId="58" fillId="0" fontId="2" numFmtId="235" xfId="0">
      <alignment horizontal="center" vertical="center"/>
    </xf>
    <xf applyAlignment="true" applyBorder="false" applyFill="true" applyFont="true" applyNumberFormat="true" applyProtection="false" borderId="62" fillId="65" fontId="5" numFmtId="240" xfId="0">
      <alignment horizontal="center" vertical="center"/>
    </xf>
    <xf applyAlignment="true" applyBorder="false" applyFill="true" applyFont="true" applyNumberFormat="true" applyProtection="false" borderId="62" fillId="61" fontId="1" numFmtId="234" xfId="0">
      <alignment horizontal="center" vertical="center"/>
    </xf>
    <xf applyAlignment="true" applyBorder="false" applyFill="true" applyFont="true" applyNumberFormat="true" applyProtection="false" borderId="63" fillId="61" fontId="1" numFmtId="234" xfId="0">
      <alignment horizontal="center" vertical="center"/>
    </xf>
    <xf applyAlignment="true" applyBorder="false" applyFill="false" applyFont="true" applyNumberFormat="true" applyProtection="false" borderId="62" fillId="0" fontId="3" numFmtId="238" xfId="0">
      <alignment horizontal="center" vertical="center"/>
    </xf>
    <xf applyAlignment="true" applyBorder="false" applyFill="false" applyFont="true" applyNumberFormat="true" applyProtection="false" borderId="64" fillId="0" fontId="2" numFmtId="242" xfId="0">
      <alignment horizontal="center" vertical="center"/>
    </xf>
    <xf applyAlignment="true" applyBorder="false" applyFill="false" applyFont="true" applyNumberFormat="true" applyProtection="false" borderId="57" fillId="0" fontId="3" numFmtId="234" xfId="0">
      <alignment horizontal="center" vertical="center"/>
    </xf>
    <xf applyAlignment="true" applyBorder="false" applyFill="true" applyFont="true" applyNumberFormat="true" applyProtection="false" borderId="64" fillId="60" fontId="1" numFmtId="233" xfId="0">
      <alignment horizontal="center" vertical="center"/>
    </xf>
    <xf applyAlignment="true" applyBorder="false" applyFill="true" applyFont="true" applyNumberFormat="true" applyProtection="false" borderId="64" fillId="61" fontId="1" numFmtId="234" xfId="0">
      <alignment horizontal="center" vertical="center"/>
    </xf>
    <xf applyAlignment="true" applyBorder="false" applyFill="true" applyFont="true" applyNumberFormat="false" applyProtection="false" borderId="64" fillId="62" fontId="1" numFmtId="0" xfId="0">
      <alignment horizontal="center" vertical="center"/>
    </xf>
    <xf applyAlignment="true" applyBorder="false" applyFill="true" applyFont="true" applyNumberFormat="true" applyProtection="false" borderId="64" fillId="63" fontId="2" numFmtId="23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65" fillId="60" fontId="1" numFmtId="233" xfId="0">
      <alignment horizontal="center" vertical="center"/>
    </xf>
    <xf applyAlignment="true" applyBorder="false" applyFill="true" applyFont="true" applyNumberFormat="true" applyProtection="false" borderId="65" fillId="61" fontId="1" numFmtId="234" xfId="0">
      <alignment horizontal="center" vertical="center"/>
    </xf>
    <xf applyAlignment="true" applyBorder="false" applyFill="true" applyFont="true" applyNumberFormat="true" applyProtection="false" borderId="65" fillId="61" fontId="1" numFmtId="235" xfId="0">
      <alignment horizontal="center" vertical="center"/>
    </xf>
    <xf applyAlignment="true" applyBorder="false" applyFill="true" applyFont="true" applyNumberFormat="true" applyProtection="false" borderId="65" fillId="61" fontId="1" numFmtId="237" xfId="0">
      <alignment horizontal="center" vertical="center"/>
    </xf>
    <xf applyAlignment="true" applyBorder="false" applyFill="true" applyFont="true" applyNumberFormat="true" applyProtection="false" borderId="65" fillId="61" fontId="1" numFmtId="238" xfId="0">
      <alignment horizontal="center" vertical="center"/>
    </xf>
    <xf applyAlignment="true" applyBorder="false" applyFill="true" applyFont="true" applyNumberFormat="true" applyProtection="false" borderId="66" fillId="61" fontId="1" numFmtId="234" xfId="0">
      <alignment horizontal="center" vertical="center"/>
    </xf>
    <xf applyAlignment="true" applyBorder="false" applyFill="true" applyFont="true" applyNumberFormat="true" applyProtection="false" borderId="64" fillId="62" fontId="1" numFmtId="239" xfId="0">
      <alignment horizontal="center" vertical="center"/>
    </xf>
    <xf applyAlignment="true" applyBorder="false" applyFill="false" applyFont="true" applyNumberFormat="true" applyProtection="false" borderId="64" fillId="0" fontId="2" numFmtId="236" xfId="0">
      <alignment horizontal="center" vertical="center"/>
    </xf>
    <xf applyAlignment="true" applyBorder="false" applyFill="false" applyFont="true" applyNumberFormat="true" applyProtection="false" borderId="64" fillId="0" fontId="3" numFmtId="233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horizontal="center" vertical="center"/>
    </xf>
    <xf applyAlignment="true" applyBorder="false" applyFill="false" applyFont="true" applyNumberFormat="true" applyProtection="false" borderId="64" fillId="0" fontId="3" numFmtId="234" xfId="0">
      <alignment horizontal="center" vertical="center"/>
    </xf>
    <xf applyAlignment="true" applyBorder="false" applyFill="false" applyFont="true" applyNumberFormat="true" applyProtection="false" borderId="64" fillId="0" fontId="3" numFmtId="235" xfId="0">
      <alignment horizontal="center" vertical="center"/>
    </xf>
    <xf applyAlignment="true" applyBorder="false" applyFill="false" applyFont="true" applyNumberFormat="true" applyProtection="false" borderId="64" fillId="0" fontId="3" numFmtId="238" xfId="0">
      <alignment horizontal="center" vertical="center"/>
    </xf>
    <xf applyAlignment="true" applyBorder="false" applyFill="false" applyFont="true" applyNumberFormat="true" applyProtection="false" borderId="67" fillId="0" fontId="3" numFmtId="238" xfId="0">
      <alignment horizontal="center" vertical="center"/>
    </xf>
    <xf applyAlignment="true" applyBorder="false" applyFill="false" applyFont="true" applyNumberFormat="true" applyProtection="false" borderId="64" fillId="0" fontId="4" numFmtId="239" xfId="0">
      <alignment horizontal="center" vertical="center"/>
    </xf>
    <xf applyAlignment="true" applyBorder="false" applyFill="false" applyFont="true" applyNumberFormat="true" applyProtection="false" borderId="64" fillId="0" fontId="3" numFmtId="239" xfId="0">
      <alignment horizontal="center" vertical="center"/>
    </xf>
    <xf applyAlignment="true" applyBorder="false" applyFill="false" applyFont="true" applyNumberFormat="true" applyProtection="false" borderId="64" fillId="0" fontId="3" numFmtId="240" xfId="0">
      <alignment horizontal="center" vertical="center"/>
    </xf>
    <xf applyAlignment="true" applyBorder="false" applyFill="false" applyFont="true" applyNumberFormat="true" applyProtection="false" borderId="64" fillId="0" fontId="3" numFmtId="241" xfId="0">
      <alignment horizontal="center" vertical="center"/>
    </xf>
    <xf applyAlignment="true" applyBorder="false" applyFill="true" applyFont="true" applyNumberFormat="true" applyProtection="false" borderId="64" fillId="64" fontId="3" numFmtId="241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horizontal="center" vertical="center"/>
    </xf>
    <xf applyAlignment="true" applyBorder="false" applyFill="true" applyFont="true" applyNumberFormat="true" applyProtection="false" borderId="64" fillId="65" fontId="1" numFmtId="234" xfId="0">
      <alignment horizontal="center" vertical="center"/>
    </xf>
    <xf applyAlignment="true" applyBorder="false" applyFill="true" applyFont="true" applyNumberFormat="true" applyProtection="false" borderId="64" fillId="65" fontId="5" numFmtId="234" xfId="0">
      <alignment horizontal="center" vertical="center"/>
    </xf>
    <xf applyAlignment="true" applyBorder="false" applyFill="true" applyFont="true" applyNumberFormat="true" applyProtection="false" borderId="64" fillId="65" fontId="5" numFmtId="235" xfId="0">
      <alignment horizontal="center" vertical="center"/>
    </xf>
    <xf applyAlignment="true" applyBorder="false" applyFill="true" applyFont="true" applyNumberFormat="true" applyProtection="false" borderId="64" fillId="65" fontId="5" numFmtId="242" xfId="0">
      <alignment horizontal="center" vertical="center"/>
    </xf>
    <xf applyAlignment="true" applyBorder="false" applyFill="true" applyFont="true" applyNumberFormat="true" applyProtection="false" borderId="64" fillId="65" fontId="5" numFmtId="238" xfId="0">
      <alignment horizontal="center" vertical="center"/>
    </xf>
    <xf applyAlignment="true" applyBorder="false" applyFill="true" applyFont="true" applyNumberFormat="true" applyProtection="false" borderId="67" fillId="65" fontId="5" numFmtId="240" xfId="0">
      <alignment horizontal="center" vertical="center"/>
    </xf>
    <xf applyAlignment="true" applyBorder="false" applyFill="true" applyFont="true" applyNumberFormat="true" applyProtection="false" borderId="64" fillId="65" fontId="1" numFmtId="239" xfId="0">
      <alignment horizontal="center" vertical="center"/>
    </xf>
    <xf applyAlignment="true" applyBorder="false" applyFill="true" applyFont="true" applyNumberFormat="true" applyProtection="false" borderId="64" fillId="65" fontId="1" numFmtId="242" xfId="0">
      <alignment horizontal="center" vertical="center"/>
    </xf>
    <xf applyAlignment="true" applyBorder="false" applyFill="true" applyFont="true" applyNumberFormat="true" applyProtection="false" borderId="64" fillId="65" fontId="1" numFmtId="236" xfId="0">
      <alignment horizontal="center" vertical="center"/>
    </xf>
    <xf applyAlignment="true" applyBorder="false" applyFill="false" applyFont="true" applyNumberFormat="true" applyProtection="false" borderId="64" fillId="0" fontId="2" numFmtId="234" xfId="0">
      <alignment horizontal="center" vertical="center"/>
    </xf>
    <xf applyAlignment="true" applyBorder="false" applyFill="false" applyFont="true" applyNumberFormat="true" applyProtection="false" borderId="64" fillId="0" fontId="2" numFmtId="236" xfId="0">
      <alignment horizontal="center" vertical="center"/>
    </xf>
    <xf applyAlignment="true" applyBorder="false" applyFill="false" applyFont="true" applyNumberFormat="true" applyProtection="false" borderId="64" fillId="0" fontId="2" numFmtId="235" xfId="0">
      <alignment horizontal="center" vertical="center"/>
    </xf>
    <xf applyAlignment="true" applyBorder="false" applyFill="false" applyFont="true" applyNumberFormat="true" applyProtection="false" borderId="64" fillId="0" fontId="2" numFmtId="235" xfId="0">
      <alignment horizontal="center" vertical="center"/>
    </xf>
    <xf applyAlignment="true" applyBorder="false" applyFill="true" applyFont="true" applyNumberFormat="true" applyProtection="false" borderId="64" fillId="66" fontId="5" numFmtId="242" xfId="0">
      <alignment horizontal="center" vertical="center"/>
    </xf>
    <xf applyAlignment="true" applyBorder="false" applyFill="true" applyFont="true" applyNumberFormat="true" applyProtection="false" borderId="64" fillId="66" fontId="5" numFmtId="234" xfId="0">
      <alignment horizontal="center" vertical="center"/>
    </xf>
    <xf applyAlignment="true" applyBorder="false" applyFill="true" applyFont="true" applyNumberFormat="true" applyProtection="false" borderId="64" fillId="66" fontId="5" numFmtId="235" xfId="0">
      <alignment horizontal="center" vertical="center"/>
    </xf>
    <xf applyAlignment="true" applyBorder="false" applyFill="true" applyFont="true" applyNumberFormat="true" applyProtection="false" borderId="64" fillId="66" fontId="5" numFmtId="242" xfId="0">
      <alignment horizontal="center" vertical="center"/>
    </xf>
    <xf applyAlignment="true" applyBorder="false" applyFill="true" applyFont="true" applyNumberFormat="true" applyProtection="false" borderId="67" fillId="66" fontId="5" numFmtId="242" xfId="0">
      <alignment horizontal="center" vertical="center"/>
    </xf>
    <xf applyAlignment="true" applyBorder="false" applyFill="true" applyFont="true" applyNumberFormat="true" applyProtection="false" borderId="64" fillId="66" fontId="5" numFmtId="239" xfId="0">
      <alignment horizontal="center" vertical="center"/>
    </xf>
    <xf applyAlignment="true" applyBorder="false" applyFill="true" applyFont="true" applyNumberFormat="true" applyProtection="false" borderId="64" fillId="66" fontId="6" numFmtId="243" xfId="0">
      <alignment horizontal="center" vertical="center"/>
    </xf>
    <xf applyAlignment="true" applyBorder="false" applyFill="false" applyFont="true" applyNumberFormat="true" applyProtection="false" borderId="64" fillId="0" fontId="3" numFmtId="233" xfId="0">
      <alignment horizontal="center" vertical="center"/>
    </xf>
    <xf applyAlignment="true" applyBorder="false" applyFill="false" applyFont="true" applyNumberFormat="true" applyProtection="false" borderId="64" fillId="0" fontId="3" numFmtId="235" xfId="0">
      <alignment horizontal="center" vertical="center"/>
    </xf>
    <xf applyAlignment="true" applyBorder="false" applyFill="false" applyFont="true" applyNumberFormat="true" applyProtection="false" borderId="64" fillId="0" fontId="3" numFmtId="234" xfId="0">
      <alignment horizontal="center" vertical="center"/>
    </xf>
    <xf applyAlignment="true" applyBorder="false" applyFill="true" applyFont="true" applyNumberFormat="true" applyProtection="false" borderId="64" fillId="64" fontId="3" numFmtId="241" xfId="0">
      <alignment horizontal="center" vertical="center"/>
    </xf>
    <xf applyAlignment="true" applyBorder="false" applyFill="false" applyFont="true" applyNumberFormat="true" applyProtection="false" borderId="64" fillId="0" fontId="2" numFmtId="242" xfId="0">
      <alignment horizontal="center" vertical="center"/>
    </xf>
    <xf applyAlignment="true" applyBorder="false" applyFill="false" applyFont="true" applyNumberFormat="true" applyProtection="false" borderId="68" fillId="0" fontId="3" numFmtId="235" xfId="0">
      <alignment horizontal="center" vertical="center"/>
    </xf>
    <xf applyAlignment="true" applyBorder="false" applyFill="false" applyFont="true" applyNumberFormat="true" applyProtection="false" borderId="68" fillId="0" fontId="3" numFmtId="234" xfId="0">
      <alignment horizontal="center" vertical="center"/>
    </xf>
    <xf applyAlignment="true" applyBorder="false" applyFill="false" applyFont="true" applyNumberFormat="true" applyProtection="false" borderId="67" fillId="0" fontId="3" numFmtId="234" xfId="0">
      <alignment horizontal="center" vertical="center"/>
    </xf>
    <xf applyAlignment="true" applyBorder="false" applyFill="false" applyFont="true" applyNumberFormat="true" applyProtection="false" borderId="68" fillId="0" fontId="3" numFmtId="235" xfId="0">
      <alignment horizontal="center" vertical="center"/>
    </xf>
    <xf applyAlignment="true" applyBorder="false" applyFill="false" applyFont="true" applyNumberFormat="true" applyProtection="false" borderId="69" fillId="0" fontId="3" numFmtId="238" xfId="0">
      <alignment horizontal="center" vertical="center"/>
    </xf>
    <xf applyAlignment="true" applyBorder="false" applyFill="true" applyFont="true" applyNumberFormat="true" applyProtection="false" borderId="67" fillId="65" fontId="5" numFmtId="234" xfId="0">
      <alignment horizontal="center" vertical="center"/>
    </xf>
    <xf applyAlignment="true" applyBorder="false" applyFill="true" applyFont="true" applyNumberFormat="true" applyProtection="false" borderId="69" fillId="65" fontId="5" numFmtId="242" xfId="0">
      <alignment horizontal="center" vertical="center"/>
    </xf>
    <xf applyAlignment="true" applyBorder="false" applyFill="false" applyFont="true" applyNumberFormat="true" applyProtection="false" borderId="65" fillId="0" fontId="3" numFmtId="235" xfId="0">
      <alignment horizontal="center" vertical="center"/>
    </xf>
    <xf applyAlignment="true" applyBorder="false" applyFill="false" applyFont="true" applyNumberFormat="true" applyProtection="false" borderId="65" fillId="0" fontId="3" numFmtId="234" xfId="0">
      <alignment horizontal="center" vertical="center"/>
    </xf>
    <xf applyAlignment="true" applyBorder="false" applyFill="true" applyFont="true" applyNumberFormat="true" applyProtection="false" borderId="68" fillId="66" fontId="5" numFmtId="235" xfId="0">
      <alignment horizontal="center" vertical="center"/>
    </xf>
    <xf applyAlignment="true" applyBorder="false" applyFill="true" applyFont="true" applyNumberFormat="true" applyProtection="false" borderId="70" fillId="60" fontId="1" numFmtId="233" xfId="0">
      <alignment horizontal="center" vertical="center"/>
    </xf>
    <xf applyAlignment="true" applyBorder="false" applyFill="false" applyFont="true" applyNumberFormat="false" applyProtection="false" borderId="57" fillId="0" fontId="32" numFmtId="0" xfId="0">
      <alignment horizontal="center" vertical="center"/>
    </xf>
    <xf applyAlignment="true" applyBorder="false" applyFill="false" applyFont="true" applyNumberFormat="true" applyProtection="false" borderId="69" fillId="0" fontId="2" numFmtId="242" xfId="0">
      <alignment horizontal="center" vertical="center"/>
    </xf>
    <xf applyAlignment="true" applyBorder="false" applyFill="true" applyFont="true" applyNumberFormat="true" applyProtection="false" borderId="69" fillId="65" fontId="1" numFmtId="234" xfId="0">
      <alignment horizontal="center" vertical="center"/>
    </xf>
    <xf applyAlignment="true" applyBorder="false" applyFill="false" applyFont="true" applyNumberFormat="true" applyProtection="false" borderId="69" fillId="0" fontId="2" numFmtId="234" xfId="0">
      <alignment horizontal="center" vertical="center"/>
    </xf>
    <xf applyAlignment="true" applyBorder="false" applyFill="false" applyFont="true" applyNumberFormat="true" applyProtection="false" borderId="69" fillId="0" fontId="2" numFmtId="242" xfId="0">
      <alignment horizontal="center" vertical="center"/>
    </xf>
    <xf applyAlignment="true" applyBorder="false" applyFill="true" applyFont="true" applyNumberFormat="true" applyProtection="false" borderId="64" fillId="65" fontId="1" numFmtId="236" xfId="0">
      <alignment horizontal="center" vertical="center"/>
    </xf>
    <xf applyAlignment="true" applyBorder="false" applyFill="true" applyFont="true" applyNumberFormat="true" applyProtection="false" borderId="69" fillId="66" fontId="5" numFmtId="242" xfId="0">
      <alignment horizontal="center" vertical="center"/>
    </xf>
    <xf applyAlignment="true" applyBorder="false" applyFill="false" applyFont="true" applyNumberFormat="false" applyProtection="false" borderId="64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2" numFmtId="235" xfId="0">
      <alignment vertical="center"/>
    </xf>
    <xf applyAlignment="true" applyBorder="false" applyFill="false" applyFont="true" applyNumberFormat="true" applyProtection="false" borderId="0" fillId="0" fontId="7" numFmtId="235" xfId="0">
      <alignment vertical="center"/>
    </xf>
    <xf applyAlignment="true" applyBorder="false" applyFill="true" applyFont="true" applyNumberFormat="true" applyProtection="false" borderId="71" fillId="67" fontId="1" numFmtId="244" xfId="0">
      <alignment horizontal="center" vertical="center"/>
    </xf>
    <xf applyAlignment="true" applyBorder="false" applyFill="true" applyFont="true" applyNumberFormat="true" applyProtection="false" borderId="71" fillId="68" fontId="1" numFmtId="245" xfId="0">
      <alignment horizontal="center" vertical="center"/>
    </xf>
    <xf applyAlignment="true" applyBorder="false" applyFill="true" applyFont="true" applyNumberFormat="false" applyProtection="false" borderId="71" fillId="69" fontId="1" numFmtId="0" xfId="0">
      <alignment horizontal="center" vertical="center"/>
    </xf>
    <xf applyAlignment="true" applyBorder="false" applyFill="true" applyFont="true" applyNumberFormat="true" applyProtection="false" borderId="72" fillId="70" fontId="2" numFmtId="24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73" fillId="67" fontId="1" numFmtId="0" xfId="0">
      <alignment horizontal="center" vertical="center"/>
    </xf>
    <xf applyAlignment="true" applyBorder="false" applyFill="true" applyFont="true" applyNumberFormat="false" applyProtection="false" borderId="74" fillId="67" fontId="1" numFmtId="0" xfId="0">
      <alignment horizontal="center" vertical="center"/>
    </xf>
    <xf applyAlignment="true" applyBorder="false" applyFill="true" applyFont="true" applyNumberFormat="true" applyProtection="false" borderId="71" fillId="68" fontId="1" numFmtId="247" xfId="0">
      <alignment horizontal="center" vertical="center"/>
    </xf>
    <xf applyAlignment="true" applyBorder="false" applyFill="true" applyFont="true" applyNumberFormat="true" applyProtection="false" borderId="71" fillId="68" fontId="1" numFmtId="248" xfId="0">
      <alignment horizontal="center" vertical="center"/>
    </xf>
    <xf applyAlignment="true" applyBorder="false" applyFill="true" applyFont="true" applyNumberFormat="true" applyProtection="false" borderId="71" fillId="68" fontId="1" numFmtId="249" xfId="0">
      <alignment horizontal="center" vertical="center"/>
    </xf>
    <xf applyAlignment="true" applyBorder="false" applyFill="true" applyFont="true" applyNumberFormat="true" applyProtection="false" borderId="71" fillId="69" fontId="1" numFmtId="250" xfId="0">
      <alignment horizontal="center" vertical="center"/>
    </xf>
    <xf applyAlignment="true" applyBorder="false" applyFill="false" applyFont="true" applyNumberFormat="false" applyProtection="false" borderId="75" fillId="0" fontId="2" numFmtId="0" xfId="0">
      <alignment horizontal="center" vertical="center"/>
    </xf>
    <xf applyAlignment="true" applyBorder="false" applyFill="false" applyFont="true" applyNumberFormat="false" applyProtection="false" borderId="71" fillId="0" fontId="2" numFmtId="0" xfId="0">
      <alignment horizontal="center" vertical="center"/>
    </xf>
    <xf applyAlignment="true" applyBorder="false" applyFill="false" applyFont="true" applyNumberFormat="true" applyProtection="false" borderId="71" fillId="0" fontId="3" numFmtId="244" xfId="0">
      <alignment horizontal="center" vertical="center"/>
    </xf>
    <xf applyAlignment="true" applyBorder="false" applyFill="false" applyFont="true" applyNumberFormat="true" applyProtection="false" borderId="71" fillId="0" fontId="3" numFmtId="245" xfId="0">
      <alignment horizontal="center" vertical="center"/>
    </xf>
    <xf applyAlignment="true" applyBorder="false" applyFill="false" applyFont="true" applyNumberFormat="true" applyProtection="false" borderId="76" fillId="0" fontId="3" numFmtId="245" xfId="0">
      <alignment horizontal="center" vertical="center"/>
    </xf>
    <xf applyAlignment="true" applyBorder="false" applyFill="false" applyFont="true" applyNumberFormat="true" applyProtection="false" borderId="71" fillId="0" fontId="3" numFmtId="245" xfId="0">
      <alignment horizontal="center" vertical="center"/>
    </xf>
    <xf applyAlignment="true" applyBorder="false" applyFill="false" applyFont="true" applyNumberFormat="true" applyProtection="false" borderId="71" fillId="0" fontId="3" numFmtId="249" xfId="0">
      <alignment horizontal="center" vertical="center"/>
    </xf>
    <xf applyAlignment="true" applyBorder="false" applyFill="false" applyFont="true" applyNumberFormat="true" applyProtection="false" borderId="71" fillId="0" fontId="4" numFmtId="250" xfId="0">
      <alignment horizontal="center" vertical="center"/>
    </xf>
    <xf applyAlignment="true" applyBorder="false" applyFill="false" applyFont="true" applyNumberFormat="true" applyProtection="false" borderId="71" fillId="0" fontId="3" numFmtId="250" xfId="0">
      <alignment horizontal="center" vertical="center"/>
    </xf>
    <xf applyAlignment="true" applyBorder="false" applyFill="false" applyFont="true" applyNumberFormat="true" applyProtection="false" borderId="71" fillId="0" fontId="3" numFmtId="251" xfId="0">
      <alignment horizontal="center" vertical="center"/>
    </xf>
    <xf applyAlignment="true" applyBorder="false" applyFill="false" applyFont="true" applyNumberFormat="true" applyProtection="false" borderId="71" fillId="0" fontId="3" numFmtId="252" xfId="0">
      <alignment horizontal="center" vertical="center"/>
    </xf>
    <xf applyAlignment="true" applyBorder="false" applyFill="true" applyFont="true" applyNumberFormat="true" applyProtection="false" borderId="71" fillId="71" fontId="3" numFmtId="252" xfId="0">
      <alignment horizontal="center" vertical="center"/>
    </xf>
    <xf applyAlignment="true" applyBorder="false" applyFill="false" applyFont="true" applyNumberFormat="false" applyProtection="false" borderId="77" fillId="0" fontId="2" numFmtId="0" xfId="0">
      <alignment horizontal="center" vertical="center"/>
    </xf>
    <xf applyAlignment="true" applyBorder="false" applyFill="false" applyFont="true" applyNumberFormat="false" applyProtection="false" borderId="77" fillId="0" fontId="2" numFmtId="0" xfId="0">
      <alignment horizontal="center" vertical="center"/>
    </xf>
    <xf applyAlignment="true" applyBorder="false" applyFill="false" applyFont="true" applyNumberFormat="true" applyProtection="false" borderId="71" fillId="0" fontId="3" numFmtId="244" xfId="0">
      <alignment horizontal="center" vertical="center"/>
    </xf>
    <xf applyAlignment="true" applyBorder="false" applyFill="false" applyFont="true" applyNumberFormat="true" applyProtection="false" borderId="76" fillId="0" fontId="3" numFmtId="245" xfId="0">
      <alignment horizontal="center" vertical="center"/>
    </xf>
    <xf applyAlignment="true" applyBorder="false" applyFill="false" applyFont="true" applyNumberFormat="true" applyProtection="false" borderId="71" fillId="0" fontId="3" numFmtId="247" xfId="0">
      <alignment horizontal="center" vertical="center"/>
    </xf>
    <xf applyAlignment="true" applyBorder="false" applyFill="false" applyFont="true" applyNumberFormat="false" applyProtection="false" borderId="78" fillId="0" fontId="2" numFmtId="0" xfId="0">
      <alignment horizontal="center" vertical="center"/>
    </xf>
    <xf applyAlignment="true" applyBorder="false" applyFill="false" applyFont="true" applyNumberFormat="false" applyProtection="false" borderId="78" fillId="0" fontId="2" numFmtId="0" xfId="0">
      <alignment horizontal="center" vertical="center"/>
    </xf>
    <xf applyAlignment="true" applyBorder="false" applyFill="true" applyFont="true" applyNumberFormat="false" applyProtection="false" borderId="71" fillId="72" fontId="1" numFmtId="0" xfId="0">
      <alignment horizontal="center" vertical="center"/>
    </xf>
    <xf applyAlignment="true" applyBorder="false" applyFill="true" applyFont="true" applyNumberFormat="true" applyProtection="false" borderId="71" fillId="72" fontId="5" numFmtId="245" xfId="0">
      <alignment horizontal="center" vertical="center"/>
    </xf>
    <xf applyAlignment="true" applyBorder="false" applyFill="true" applyFont="true" applyNumberFormat="true" applyProtection="false" borderId="71" fillId="72" fontId="5" numFmtId="247" xfId="0">
      <alignment horizontal="center" vertical="center"/>
    </xf>
    <xf applyAlignment="true" applyBorder="false" applyFill="true" applyFont="true" applyNumberFormat="true" applyProtection="false" borderId="71" fillId="72" fontId="5" numFmtId="253" xfId="0">
      <alignment horizontal="center" vertical="center"/>
    </xf>
    <xf applyAlignment="true" applyBorder="false" applyFill="true" applyFont="true" applyNumberFormat="true" applyProtection="false" borderId="71" fillId="72" fontId="5" numFmtId="249" xfId="0">
      <alignment horizontal="center" vertical="center"/>
    </xf>
    <xf applyAlignment="true" applyBorder="false" applyFill="true" applyFont="true" applyNumberFormat="true" applyProtection="false" borderId="71" fillId="72" fontId="5" numFmtId="251" xfId="0">
      <alignment horizontal="center" vertical="center"/>
    </xf>
    <xf applyAlignment="true" applyBorder="false" applyFill="true" applyFont="true" applyNumberFormat="true" applyProtection="false" borderId="71" fillId="72" fontId="1" numFmtId="250" xfId="0">
      <alignment horizontal="center" vertical="center"/>
    </xf>
    <xf applyAlignment="true" applyBorder="false" applyFill="true" applyFont="true" applyNumberFormat="true" applyProtection="false" borderId="71" fillId="72" fontId="1" numFmtId="253" xfId="0">
      <alignment horizontal="center" vertical="center"/>
    </xf>
    <xf applyAlignment="true" applyBorder="false" applyFill="true" applyFont="true" applyNumberFormat="true" applyProtection="false" borderId="77" fillId="72" fontId="1" numFmtId="246" xfId="0">
      <alignment horizontal="center" vertical="center"/>
    </xf>
    <xf applyAlignment="true" applyBorder="false" applyFill="false" applyFont="true" applyNumberFormat="false" applyProtection="false" borderId="79" fillId="0" fontId="2" numFmtId="0" xfId="0">
      <alignment horizontal="center" vertical="center"/>
    </xf>
    <xf applyAlignment="true" applyBorder="false" applyFill="false" applyFont="true" applyNumberFormat="true" applyProtection="false" borderId="71" fillId="0" fontId="3" numFmtId="247" xfId="0">
      <alignment horizontal="center" vertical="center"/>
    </xf>
    <xf applyAlignment="true" applyBorder="false" applyFill="true" applyFont="true" applyNumberFormat="true" applyProtection="false" borderId="71" fillId="72" fontId="1" numFmtId="245" xfId="0">
      <alignment horizontal="center" vertical="center"/>
    </xf>
    <xf applyAlignment="true" applyBorder="false" applyFill="true" applyFont="true" applyNumberFormat="true" applyProtection="false" borderId="71" fillId="73" fontId="5" numFmtId="253" xfId="0">
      <alignment horizontal="center" vertical="center"/>
    </xf>
    <xf applyAlignment="true" applyBorder="false" applyFill="true" applyFont="true" applyNumberFormat="true" applyProtection="false" borderId="71" fillId="73" fontId="5" numFmtId="245" xfId="0">
      <alignment horizontal="center" vertical="center"/>
    </xf>
    <xf applyAlignment="true" applyBorder="false" applyFill="true" applyFont="true" applyNumberFormat="true" applyProtection="false" borderId="76" fillId="73" fontId="5" numFmtId="253" xfId="0">
      <alignment horizontal="center" vertical="center"/>
    </xf>
    <xf applyAlignment="true" applyBorder="false" applyFill="true" applyFont="true" applyNumberFormat="true" applyProtection="false" borderId="71" fillId="73" fontId="5" numFmtId="250" xfId="0">
      <alignment horizontal="center" vertical="center"/>
    </xf>
    <xf applyAlignment="true" applyBorder="false" applyFill="true" applyFont="true" applyNumberFormat="true" applyProtection="false" borderId="71" fillId="73" fontId="6" numFmtId="254" xfId="0">
      <alignment horizontal="center" vertical="center"/>
    </xf>
    <xf applyAlignment="true" applyBorder="false" applyFill="false" applyFont="true" applyNumberFormat="true" applyProtection="false" borderId="71" fillId="0" fontId="3" numFmtId="252" xfId="0">
      <alignment horizontal="center" vertical="center"/>
    </xf>
    <xf applyAlignment="true" applyBorder="false" applyFill="true" applyFont="true" applyNumberFormat="true" applyProtection="false" borderId="71" fillId="71" fontId="3" numFmtId="252" xfId="0">
      <alignment horizontal="center" vertical="center"/>
    </xf>
    <xf applyAlignment="true" applyBorder="false" applyFill="false" applyFont="true" applyNumberFormat="false" applyProtection="false" borderId="79" fillId="0" fontId="2" numFmtId="0" xfId="0">
      <alignment horizontal="center" vertical="center"/>
    </xf>
    <xf applyAlignment="true" applyBorder="false" applyFill="true" applyFont="true" applyNumberFormat="true" applyProtection="false" borderId="80" fillId="73" fontId="5" numFmtId="245" xfId="0">
      <alignment horizontal="center" vertical="center"/>
    </xf>
    <xf applyAlignment="true" applyBorder="false" applyFill="true" applyFont="true" applyNumberFormat="true" applyProtection="false" borderId="71" fillId="73" fontId="5" numFmtId="247" xfId="0">
      <alignment horizontal="center" vertical="center"/>
    </xf>
    <xf applyAlignment="true" applyBorder="false" applyFill="true" applyFont="true" applyNumberFormat="true" applyProtection="false" borderId="80" fillId="73" fontId="5" numFmtId="247" xfId="0">
      <alignment horizontal="center" vertical="center"/>
    </xf>
    <xf applyAlignment="true" applyBorder="false" applyFill="false" applyFont="true" applyNumberFormat="true" applyProtection="false" borderId="76" fillId="0" fontId="3" numFmtId="244" xfId="0">
      <alignment horizontal="center" vertical="center"/>
    </xf>
    <xf applyAlignment="true" applyBorder="false" applyFill="false" applyFont="true" applyNumberFormat="false" applyProtection="false" borderId="81" fillId="0" fontId="7" numFmtId="0" xfId="0">
      <alignment horizontal="center" vertical="center"/>
    </xf>
    <xf applyAlignment="true" applyBorder="false" applyFill="false" applyFont="true" applyNumberFormat="true" applyProtection="false" borderId="82" fillId="0" fontId="3" numFmtId="245" xfId="0">
      <alignment horizontal="center" vertical="center"/>
    </xf>
    <xf applyAlignment="true" applyBorder="false" applyFill="true" applyFont="true" applyNumberFormat="false" applyProtection="false" borderId="83" fillId="72" fontId="1" numFmtId="0" xfId="0">
      <alignment horizontal="center" vertical="center"/>
    </xf>
    <xf applyAlignment="true" applyBorder="false" applyFill="true" applyFont="true" applyNumberFormat="false" applyProtection="false" borderId="84" fillId="72" fontId="1" numFmtId="0" xfId="0">
      <alignment horizontal="center" vertical="center"/>
    </xf>
    <xf applyAlignment="true" applyBorder="false" applyFill="true" applyFont="true" applyNumberFormat="true" applyProtection="false" borderId="83" fillId="72" fontId="1" numFmtId="245" xfId="0">
      <alignment horizontal="center" vertical="center"/>
    </xf>
    <xf applyAlignment="true" applyBorder="false" applyFill="false" applyFont="true" applyNumberFormat="true" applyProtection="false" borderId="85" fillId="0" fontId="3" numFmtId="244" xfId="0">
      <alignment horizontal="center" vertical="center"/>
    </xf>
    <xf applyAlignment="true" applyBorder="false" applyFill="true" applyFont="true" applyNumberFormat="true" applyProtection="false" borderId="80" fillId="73" fontId="5" numFmtId="253" xfId="0">
      <alignment horizontal="center" vertical="center"/>
    </xf>
    <xf applyAlignment="true" applyBorder="false" applyFill="true" applyFont="true" applyNumberFormat="true" applyProtection="false" borderId="85" fillId="73" fontId="5" numFmtId="253" xfId="0">
      <alignment horizontal="center" vertical="center"/>
    </xf>
    <xf applyAlignment="true" applyBorder="false" applyFill="true" applyFont="true" applyNumberFormat="true" applyProtection="false" borderId="80" fillId="73" fontId="5" numFmtId="250" xfId="0">
      <alignment horizontal="center" vertical="center"/>
    </xf>
    <xf applyAlignment="true" applyBorder="false" applyFill="true" applyFont="true" applyNumberFormat="true" applyProtection="false" borderId="80" fillId="73" fontId="6" numFmtId="254" xfId="0">
      <alignment horizontal="center" vertical="center"/>
    </xf>
    <xf applyAlignment="true" applyBorder="false" applyFill="true" applyFont="true" applyNumberFormat="true" applyProtection="false" borderId="81" fillId="67" fontId="1" numFmtId="244" xfId="0">
      <alignment horizontal="center" vertical="center"/>
    </xf>
    <xf applyAlignment="true" applyBorder="false" applyFill="true" applyFont="true" applyNumberFormat="true" applyProtection="false" borderId="81" fillId="68" fontId="1" numFmtId="245" xfId="0">
      <alignment horizontal="center" vertical="center"/>
    </xf>
    <xf applyAlignment="true" applyBorder="false" applyFill="true" applyFont="true" applyNumberFormat="false" applyProtection="false" borderId="81" fillId="69" fontId="1" numFmtId="0" xfId="0">
      <alignment horizontal="center" vertical="center"/>
    </xf>
    <xf applyAlignment="true" applyBorder="false" applyFill="true" applyFont="true" applyNumberFormat="true" applyProtection="false" borderId="81" fillId="70" fontId="2" numFmtId="246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81" fillId="67" fontId="1" numFmtId="0" xfId="0">
      <alignment horizontal="center" vertical="center"/>
    </xf>
    <xf applyAlignment="true" applyBorder="false" applyFill="true" applyFont="true" applyNumberFormat="true" applyProtection="false" borderId="81" fillId="68" fontId="1" numFmtId="247" xfId="0">
      <alignment horizontal="center" vertical="center"/>
    </xf>
    <xf applyAlignment="true" applyBorder="false" applyFill="true" applyFont="true" applyNumberFormat="true" applyProtection="false" borderId="81" fillId="68" fontId="1" numFmtId="248" xfId="0">
      <alignment horizontal="center" vertical="center"/>
    </xf>
    <xf applyAlignment="true" applyBorder="false" applyFill="true" applyFont="true" applyNumberFormat="true" applyProtection="false" borderId="81" fillId="68" fontId="1" numFmtId="249" xfId="0">
      <alignment horizontal="center" vertical="center"/>
    </xf>
    <xf applyAlignment="true" applyBorder="false" applyFill="true" applyFont="true" applyNumberFormat="true" applyProtection="false" borderId="81" fillId="69" fontId="1" numFmtId="250" xfId="0">
      <alignment horizontal="center" vertical="center"/>
    </xf>
    <xf applyAlignment="true" applyBorder="false" applyFill="false" applyFont="true" applyNumberFormat="false" applyProtection="false" borderId="81" fillId="0" fontId="2" numFmtId="0" xfId="0">
      <alignment horizontal="center" vertical="center"/>
    </xf>
    <xf applyAlignment="true" applyBorder="false" applyFill="false" applyFont="true" applyNumberFormat="true" applyProtection="false" borderId="81" fillId="0" fontId="3" numFmtId="244" xfId="0">
      <alignment horizontal="center" vertical="center"/>
    </xf>
    <xf applyAlignment="true" applyBorder="false" applyFill="false" applyFont="true" applyNumberFormat="true" applyProtection="false" borderId="81" fillId="0" fontId="3" numFmtId="245" xfId="0">
      <alignment horizontal="center" vertical="center"/>
    </xf>
    <xf applyAlignment="true" applyBorder="false" applyFill="false" applyFont="true" applyNumberFormat="true" applyProtection="false" borderId="81" fillId="0" fontId="3" numFmtId="245" xfId="0">
      <alignment horizontal="center" vertical="center"/>
    </xf>
    <xf applyAlignment="true" applyBorder="false" applyFill="false" applyFont="true" applyNumberFormat="true" applyProtection="false" borderId="81" fillId="0" fontId="3" numFmtId="247" xfId="0">
      <alignment horizontal="center" vertical="center"/>
    </xf>
    <xf applyAlignment="true" applyBorder="false" applyFill="false" applyFont="true" applyNumberFormat="true" applyProtection="false" borderId="81" fillId="0" fontId="3" numFmtId="249" xfId="0">
      <alignment horizontal="center" vertical="center"/>
    </xf>
    <xf applyAlignment="true" applyBorder="false" applyFill="false" applyFont="true" applyNumberFormat="true" applyProtection="false" borderId="81" fillId="0" fontId="4" numFmtId="250" xfId="0">
      <alignment horizontal="center" vertical="center"/>
    </xf>
    <xf applyAlignment="true" applyBorder="false" applyFill="false" applyFont="true" applyNumberFormat="true" applyProtection="false" borderId="81" fillId="0" fontId="3" numFmtId="250" xfId="0">
      <alignment horizontal="center" vertical="center"/>
    </xf>
    <xf applyAlignment="true" applyBorder="false" applyFill="false" applyFont="true" applyNumberFormat="true" applyProtection="false" borderId="81" fillId="0" fontId="3" numFmtId="251" xfId="0">
      <alignment horizontal="center" vertical="center"/>
    </xf>
    <xf applyAlignment="true" applyBorder="false" applyFill="false" applyFont="true" applyNumberFormat="true" applyProtection="false" borderId="81" fillId="0" fontId="3" numFmtId="252" xfId="0">
      <alignment horizontal="center" vertical="center"/>
    </xf>
    <xf applyAlignment="true" applyBorder="false" applyFill="true" applyFont="true" applyNumberFormat="true" applyProtection="false" borderId="81" fillId="71" fontId="3" numFmtId="252" xfId="0">
      <alignment horizontal="center" vertical="center"/>
    </xf>
    <xf applyAlignment="true" applyBorder="false" applyFill="false" applyFont="true" applyNumberFormat="false" applyProtection="false" borderId="81" fillId="0" fontId="2" numFmtId="0" xfId="0">
      <alignment horizontal="center" vertical="center"/>
    </xf>
    <xf applyAlignment="true" applyBorder="false" applyFill="true" applyFont="true" applyNumberFormat="false" applyProtection="false" borderId="81" fillId="72" fontId="1" numFmtId="0" xfId="0">
      <alignment horizontal="center" vertical="center"/>
    </xf>
    <xf applyAlignment="true" applyBorder="false" applyFill="true" applyFont="true" applyNumberFormat="true" applyProtection="false" borderId="81" fillId="72" fontId="5" numFmtId="245" xfId="0">
      <alignment horizontal="center" vertical="center"/>
    </xf>
    <xf applyAlignment="true" applyBorder="false" applyFill="true" applyFont="true" applyNumberFormat="true" applyProtection="false" borderId="81" fillId="72" fontId="5" numFmtId="247" xfId="0">
      <alignment horizontal="center" vertical="center"/>
    </xf>
    <xf applyAlignment="true" applyBorder="false" applyFill="true" applyFont="true" applyNumberFormat="true" applyProtection="false" borderId="81" fillId="72" fontId="5" numFmtId="253" xfId="0">
      <alignment horizontal="center" vertical="center"/>
    </xf>
    <xf applyAlignment="true" applyBorder="false" applyFill="true" applyFont="true" applyNumberFormat="true" applyProtection="false" borderId="81" fillId="72" fontId="5" numFmtId="249" xfId="0">
      <alignment horizontal="center" vertical="center"/>
    </xf>
    <xf applyAlignment="true" applyBorder="false" applyFill="true" applyFont="true" applyNumberFormat="true" applyProtection="false" borderId="81" fillId="72" fontId="5" numFmtId="251" xfId="0">
      <alignment horizontal="center" vertical="center"/>
    </xf>
    <xf applyAlignment="true" applyBorder="false" applyFill="true" applyFont="true" applyNumberFormat="true" applyProtection="false" borderId="81" fillId="72" fontId="1" numFmtId="250" xfId="0">
      <alignment horizontal="center" vertical="center"/>
    </xf>
    <xf applyAlignment="true" applyBorder="false" applyFill="true" applyFont="true" applyNumberFormat="true" applyProtection="false" borderId="81" fillId="72" fontId="1" numFmtId="253" xfId="0">
      <alignment horizontal="center" vertical="center"/>
    </xf>
    <xf applyAlignment="true" applyBorder="false" applyFill="true" applyFont="true" applyNumberFormat="true" applyProtection="false" borderId="81" fillId="72" fontId="1" numFmtId="246" xfId="0">
      <alignment horizontal="center" vertical="center"/>
    </xf>
    <xf applyAlignment="true" applyBorder="false" applyFill="true" applyFont="true" applyNumberFormat="true" applyProtection="false" borderId="81" fillId="72" fontId="1" numFmtId="245" xfId="0">
      <alignment horizontal="center" vertical="center"/>
    </xf>
    <xf applyAlignment="true" applyBorder="false" applyFill="true" applyFont="true" applyNumberFormat="true" applyProtection="false" borderId="81" fillId="73" fontId="5" numFmtId="253" xfId="0">
      <alignment horizontal="center" vertical="center"/>
    </xf>
    <xf applyAlignment="true" applyBorder="false" applyFill="true" applyFont="true" applyNumberFormat="true" applyProtection="false" borderId="81" fillId="73" fontId="5" numFmtId="245" xfId="0">
      <alignment horizontal="center" vertical="center"/>
    </xf>
    <xf applyAlignment="true" applyBorder="false" applyFill="true" applyFont="true" applyNumberFormat="true" applyProtection="false" borderId="81" fillId="73" fontId="5" numFmtId="250" xfId="0">
      <alignment horizontal="center" vertical="center"/>
    </xf>
    <xf applyAlignment="true" applyBorder="false" applyFill="true" applyFont="true" applyNumberFormat="true" applyProtection="false" borderId="81" fillId="73" fontId="6" numFmtId="254" xfId="0">
      <alignment horizontal="center" vertical="center"/>
    </xf>
    <xf applyAlignment="true" applyBorder="false" applyFill="false" applyFont="true" applyNumberFormat="false" applyProtection="false" borderId="0" fillId="0" fontId="32" numFmtId="0" xfId="0">
      <alignment horizontal="center" vertical="center"/>
    </xf>
    <xf applyAlignment="true" applyBorder="false" applyFill="false" applyFont="true" applyNumberFormat="true" applyProtection="false" borderId="81" fillId="0" fontId="3" numFmtId="245" xfId="0">
      <alignment horizontal="center" vertical="center"/>
    </xf>
    <xf applyAlignment="true" applyBorder="false" applyFill="false" applyFont="true" applyNumberFormat="true" applyProtection="false" borderId="81" fillId="0" fontId="3" numFmtId="247" xfId="0">
      <alignment horizontal="center" vertical="center"/>
    </xf>
    <xf applyAlignment="true" applyBorder="false" applyFill="false" applyFont="true" applyNumberFormat="false" applyProtection="false" borderId="81" fillId="0" fontId="2" numFmtId="0" xfId="0">
      <alignment horizontal="center" vertical="center"/>
    </xf>
    <xf applyAlignment="true" applyBorder="false" applyFill="true" applyFont="true" applyNumberFormat="false" applyProtection="false" borderId="83" fillId="74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55" xfId="0">
      <alignment vertical="center"/>
    </xf>
    <xf applyAlignment="true" applyBorder="false" applyFill="true" applyFont="true" applyNumberFormat="true" applyProtection="false" borderId="0" fillId="75" fontId="33" numFmtId="252" xfId="0">
      <alignment vertical="center" wrapText="true"/>
    </xf>
    <xf applyAlignment="true" applyBorder="false" applyFill="true" applyFont="true" applyNumberFormat="false" applyProtection="false" borderId="71" fillId="74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252" xfId="0">
      <alignment vertical="center"/>
    </xf>
    <xf applyAlignment="true" applyBorder="false" applyFill="true" applyFont="true" applyNumberFormat="false" applyProtection="false" borderId="0" fillId="71" fontId="34" numFmtId="0" xfId="0">
      <alignment horizontal="center" vertical="center" wrapText="true"/>
    </xf>
    <xf applyAlignment="true" applyBorder="false" applyFill="false" applyFont="true" applyNumberFormat="true" applyProtection="false" borderId="0" fillId="0" fontId="7" numFmtId="252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2"/>
      <c r="K1" s="2"/>
      <c r="L1" s="2"/>
      <c r="M1" s="3" t="s">
        <v>3</v>
      </c>
      <c r="N1" s="3"/>
      <c r="O1" s="3"/>
      <c r="P1" s="3"/>
      <c r="Q1" s="3"/>
      <c r="R1" s="3"/>
      <c r="S1" s="4" t="s">
        <v>4</v>
      </c>
      <c r="T1" s="4"/>
      <c r="U1" s="4"/>
      <c r="V1" s="4"/>
      <c r="W1" s="4"/>
      <c r="X1" s="4"/>
      <c r="Y1" s="4"/>
      <c r="Z1" s="5"/>
    </row>
    <row r="2">
      <c r="A2" s="6" t="s">
        <v>5</v>
      </c>
      <c r="B2" s="1" t="s">
        <v>6</v>
      </c>
      <c r="C2" s="1" t="s">
        <v>7</v>
      </c>
      <c r="D2" s="7" t="s">
        <v>8</v>
      </c>
      <c r="E2" s="7" t="s">
        <v>9</v>
      </c>
      <c r="F2" s="2" t="s">
        <v>10</v>
      </c>
      <c r="G2" s="2"/>
      <c r="H2" s="8" t="s">
        <v>11</v>
      </c>
      <c r="I2" s="2" t="s">
        <v>12</v>
      </c>
      <c r="J2" s="9" t="s">
        <v>13</v>
      </c>
      <c r="K2" s="10" t="s">
        <v>14</v>
      </c>
      <c r="L2" s="2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11" t="s">
        <v>20</v>
      </c>
      <c r="R2" s="11" t="s">
        <v>21</v>
      </c>
      <c r="S2" s="12" t="s">
        <v>22</v>
      </c>
      <c r="T2" s="12" t="s">
        <v>23</v>
      </c>
      <c r="U2" s="13" t="s">
        <v>24</v>
      </c>
      <c r="V2" s="13" t="s">
        <v>25</v>
      </c>
      <c r="W2" s="13" t="s">
        <v>26</v>
      </c>
      <c r="X2" s="13" t="s">
        <v>27</v>
      </c>
      <c r="Y2" s="13" t="s">
        <v>28</v>
      </c>
      <c r="Z2" s="5"/>
    </row>
    <row r="3">
      <c r="A3" s="14" t="s">
        <v>29</v>
      </c>
      <c r="B3" s="15" t="s">
        <v>30</v>
      </c>
      <c r="C3" s="16" t="s">
        <v>31</v>
      </c>
      <c r="D3" s="17">
        <f t="shared" ref="D3:D6" si="18">E3+G3+F3</f>
      </c>
      <c r="E3" s="16">
        <v>1488.35</v>
      </c>
      <c r="F3" s="16">
        <v>1733.63</v>
      </c>
      <c r="G3" s="16">
        <v>0</v>
      </c>
      <c r="H3" s="18">
        <v>11</v>
      </c>
      <c r="I3" s="16">
        <v>5102.64</v>
      </c>
      <c r="J3" s="19">
        <f t="shared" ref="J3:J13" si="51">I3/D3</f>
      </c>
      <c r="K3" s="19">
        <f t="shared" ref="K3:K13" si="60">D3/H3</f>
      </c>
      <c r="L3" s="19">
        <f t="shared" ref="L3:L13" si="69">I3/H3</f>
      </c>
      <c r="M3" s="20">
        <f t="shared" ref="M3:M13" si="79">T3/S3</f>
      </c>
      <c r="N3" s="21">
        <f t="shared" ref="N3:N13" si="0">H3/X3</f>
      </c>
      <c r="O3" s="22">
        <f t="shared" ref="O3:O13" si="9">(Y3*1000)/D3</f>
      </c>
      <c r="P3" s="21">
        <f t="shared" ref="P3:P13" si="88">W3/V3</f>
      </c>
      <c r="Q3" s="23" t="s">
        <v>32</v>
      </c>
      <c r="R3" s="24" t="s">
        <v>33</v>
      </c>
      <c r="S3" s="25">
        <v>60804</v>
      </c>
      <c r="T3" s="25">
        <v>3790</v>
      </c>
      <c r="U3" s="25">
        <v>234</v>
      </c>
      <c r="V3" s="25">
        <v>6661</v>
      </c>
      <c r="W3" s="25">
        <v>804</v>
      </c>
      <c r="X3" s="25">
        <v>25</v>
      </c>
      <c r="Y3" s="25">
        <v>60</v>
      </c>
    </row>
    <row r="4">
      <c r="A4" s="14"/>
      <c r="B4" s="15" t="s">
        <v>30</v>
      </c>
      <c r="C4" s="16" t="s">
        <v>34</v>
      </c>
      <c r="D4" s="17">
        <f t="shared" si="18"/>
      </c>
      <c r="E4" s="16">
        <v>2049.5</v>
      </c>
      <c r="F4" s="16">
        <v>1231.64</v>
      </c>
      <c r="G4" s="16">
        <v>0</v>
      </c>
      <c r="H4" s="18">
        <v>13</v>
      </c>
      <c r="I4" s="16">
        <v>7783.08</v>
      </c>
      <c r="J4" s="19">
        <f t="shared" si="51"/>
      </c>
      <c r="K4" s="19">
        <f t="shared" si="60"/>
      </c>
      <c r="L4" s="19">
        <f t="shared" si="69"/>
      </c>
      <c r="M4" s="20">
        <f t="shared" si="79"/>
      </c>
      <c r="N4" s="21">
        <f t="shared" si="0"/>
      </c>
      <c r="O4" s="22">
        <f t="shared" si="9"/>
      </c>
      <c r="P4" s="21">
        <f t="shared" si="88"/>
      </c>
      <c r="Q4" s="23" t="s">
        <v>32</v>
      </c>
      <c r="R4" s="24" t="s">
        <v>33</v>
      </c>
      <c r="S4" s="25">
        <v>58281</v>
      </c>
      <c r="T4" s="25">
        <v>4409</v>
      </c>
      <c r="U4" s="25">
        <v>272</v>
      </c>
      <c r="V4" s="25">
        <v>9148</v>
      </c>
      <c r="W4" s="25">
        <v>1380</v>
      </c>
      <c r="X4" s="25">
        <v>24</v>
      </c>
      <c r="Y4" s="25">
        <v>73</v>
      </c>
    </row>
    <row r="5">
      <c r="A5" s="14"/>
      <c r="B5" s="15" t="s">
        <v>30</v>
      </c>
      <c r="C5" s="16" t="s">
        <v>35</v>
      </c>
      <c r="D5" s="17">
        <f t="shared" si="18"/>
      </c>
      <c r="E5" s="16">
        <v>3076.45</v>
      </c>
      <c r="F5" s="16">
        <v>649.46</v>
      </c>
      <c r="G5" s="16">
        <v>0</v>
      </c>
      <c r="H5" s="18">
        <v>17</v>
      </c>
      <c r="I5" s="16">
        <v>9539.52</v>
      </c>
      <c r="J5" s="19">
        <f t="shared" si="51"/>
      </c>
      <c r="K5" s="19">
        <f t="shared" si="60"/>
      </c>
      <c r="L5" s="19">
        <f t="shared" si="69"/>
      </c>
      <c r="M5" s="20">
        <f t="shared" si="79"/>
      </c>
      <c r="N5" s="21">
        <f t="shared" si="0"/>
      </c>
      <c r="O5" s="22">
        <f t="shared" si="9"/>
      </c>
      <c r="P5" s="21">
        <f t="shared" si="88"/>
      </c>
      <c r="Q5" s="23" t="s">
        <v>32</v>
      </c>
      <c r="R5" s="24" t="s">
        <v>33</v>
      </c>
      <c r="S5" s="26">
        <v>76069</v>
      </c>
      <c r="T5" s="26">
        <v>6591</v>
      </c>
      <c r="U5" s="26">
        <v>295</v>
      </c>
      <c r="V5" s="26">
        <v>14117</v>
      </c>
      <c r="W5" s="26">
        <v>1985</v>
      </c>
      <c r="X5" s="25">
        <v>28</v>
      </c>
      <c r="Y5" s="25">
        <v>64</v>
      </c>
    </row>
    <row r="6">
      <c r="A6" s="14"/>
      <c r="B6" s="15" t="s">
        <v>30</v>
      </c>
      <c r="C6" s="16" t="s">
        <v>36</v>
      </c>
      <c r="D6" s="17">
        <f t="shared" si="18"/>
      </c>
      <c r="E6" s="16">
        <v>3746.94</v>
      </c>
      <c r="F6" s="16">
        <v>1040.5</v>
      </c>
      <c r="G6" s="16">
        <v>0</v>
      </c>
      <c r="H6" s="18">
        <v>40</v>
      </c>
      <c r="I6" s="16">
        <v>27854.24</v>
      </c>
      <c r="J6" s="19">
        <f t="shared" si="51"/>
      </c>
      <c r="K6" s="19">
        <f t="shared" si="60"/>
      </c>
      <c r="L6" s="19">
        <f t="shared" si="69"/>
      </c>
      <c r="M6" s="20">
        <f t="shared" si="79"/>
      </c>
      <c r="N6" s="21">
        <f t="shared" si="0"/>
      </c>
      <c r="O6" s="22">
        <f t="shared" si="9"/>
      </c>
      <c r="P6" s="21">
        <f t="shared" si="88"/>
      </c>
      <c r="Q6" s="23" t="s">
        <v>32</v>
      </c>
      <c r="R6" s="24" t="s">
        <v>33</v>
      </c>
      <c r="S6" s="25">
        <v>101686</v>
      </c>
      <c r="T6" s="25">
        <v>8077</v>
      </c>
      <c r="U6" s="25">
        <v>460</v>
      </c>
      <c r="V6" s="25">
        <v>15917</v>
      </c>
      <c r="W6" s="25">
        <v>2173</v>
      </c>
      <c r="X6" s="25">
        <v>53</v>
      </c>
      <c r="Y6" s="25">
        <v>96</v>
      </c>
    </row>
    <row r="7">
      <c r="A7" s="14"/>
      <c r="B7" s="27" t="s">
        <v>37</v>
      </c>
      <c r="C7" s="27"/>
      <c r="D7" s="28">
        <f>SUM(D3:D6)</f>
      </c>
      <c r="E7" s="28">
        <f>SUM(E3:E6)</f>
      </c>
      <c r="F7" s="28">
        <f>SUM(F3:G6)</f>
      </c>
      <c r="G7" s="28"/>
      <c r="H7" s="29">
        <f>SUM(H3:H6)</f>
      </c>
      <c r="I7" s="28">
        <f>SUM(I3:I6)</f>
      </c>
      <c r="J7" s="30">
        <f t="shared" si="51"/>
      </c>
      <c r="K7" s="31">
        <f t="shared" si="60"/>
      </c>
      <c r="L7" s="32">
        <f t="shared" si="69"/>
      </c>
      <c r="M7" s="33">
        <f t="shared" si="79"/>
      </c>
      <c r="N7" s="33">
        <f t="shared" si="0"/>
      </c>
      <c r="O7" s="34">
        <f t="shared" si="9"/>
      </c>
      <c r="P7" s="33">
        <f t="shared" si="88"/>
      </c>
      <c r="Q7" s="34"/>
      <c r="R7" s="34"/>
      <c r="S7" s="29">
        <f>SUM(S3:S6)</f>
      </c>
      <c r="T7" s="29">
        <f>SUM(T3:T6)</f>
      </c>
      <c r="U7" s="29">
        <f>SUM(U3:U6)</f>
      </c>
      <c r="V7" s="29">
        <f>SUM(V3:V6)</f>
      </c>
      <c r="W7" s="29">
        <f>SUM(W3:W6)</f>
      </c>
      <c r="X7" s="29">
        <f>SUM(X3:X6)</f>
      </c>
      <c r="Y7" s="29">
        <f>SUM(Y3:Y6)</f>
      </c>
    </row>
    <row r="8">
      <c r="A8" s="14"/>
      <c r="B8" s="15" t="s">
        <v>38</v>
      </c>
      <c r="C8" s="16" t="s">
        <v>39</v>
      </c>
      <c r="D8" s="17">
        <f t="shared" ref="D8:D11" si="19">E8+G8+F8</f>
      </c>
      <c r="E8" s="16">
        <v>5833.61</v>
      </c>
      <c r="F8" s="16">
        <v>987.64</v>
      </c>
      <c r="G8" s="16">
        <v>0</v>
      </c>
      <c r="H8" s="18">
        <v>20</v>
      </c>
      <c r="I8" s="16">
        <v>14409.12</v>
      </c>
      <c r="J8" s="19">
        <f t="shared" si="51"/>
      </c>
      <c r="K8" s="19">
        <f t="shared" si="60"/>
      </c>
      <c r="L8" s="19">
        <f t="shared" si="69"/>
      </c>
      <c r="M8" s="20">
        <f t="shared" si="79"/>
      </c>
      <c r="N8" s="21">
        <f t="shared" si="0"/>
      </c>
      <c r="O8" s="22">
        <f t="shared" si="9"/>
      </c>
      <c r="P8" s="21">
        <f t="shared" si="88"/>
      </c>
      <c r="Q8" s="23" t="s">
        <v>32</v>
      </c>
      <c r="R8" s="24" t="s">
        <v>33</v>
      </c>
      <c r="S8" s="25">
        <v>114990</v>
      </c>
      <c r="T8" s="25">
        <v>10084</v>
      </c>
      <c r="U8" s="25">
        <v>478</v>
      </c>
      <c r="V8" s="25">
        <v>20150</v>
      </c>
      <c r="W8" s="25">
        <v>2680</v>
      </c>
      <c r="X8" s="25">
        <v>31</v>
      </c>
      <c r="Y8" s="25">
        <v>113</v>
      </c>
    </row>
    <row customHeight="true" ht="16.666666666666668" r="9">
      <c r="A9" s="14"/>
      <c r="B9" s="15" t="s">
        <v>38</v>
      </c>
      <c r="C9" s="16" t="s">
        <v>40</v>
      </c>
      <c r="D9" s="17">
        <f t="shared" si="19"/>
      </c>
      <c r="E9" s="16">
        <v>5009.05</v>
      </c>
      <c r="F9" s="16">
        <v>860.96</v>
      </c>
      <c r="G9" s="16">
        <v>0</v>
      </c>
      <c r="H9" s="18">
        <v>28</v>
      </c>
      <c r="I9" s="16">
        <v>15956.72</v>
      </c>
      <c r="J9" s="19">
        <f t="shared" si="51"/>
      </c>
      <c r="K9" s="19">
        <f t="shared" si="60"/>
      </c>
      <c r="L9" s="19">
        <f t="shared" si="69"/>
      </c>
      <c r="M9" s="20">
        <f t="shared" si="79"/>
      </c>
      <c r="N9" s="21">
        <f t="shared" si="0"/>
      </c>
      <c r="O9" s="22">
        <f t="shared" si="9"/>
      </c>
      <c r="P9" s="21">
        <f t="shared" si="88"/>
      </c>
      <c r="Q9" s="23" t="s">
        <v>32</v>
      </c>
      <c r="R9" s="24" t="s">
        <v>33</v>
      </c>
      <c r="S9" s="25">
        <v>133760</v>
      </c>
      <c r="T9" s="25">
        <v>11269</v>
      </c>
      <c r="U9" s="25">
        <v>590</v>
      </c>
      <c r="V9" s="25">
        <v>22469</v>
      </c>
      <c r="W9" s="25">
        <v>2870</v>
      </c>
      <c r="X9" s="25">
        <v>57</v>
      </c>
      <c r="Y9" s="25">
        <v>132</v>
      </c>
    </row>
    <row r="10">
      <c r="A10" s="14"/>
      <c r="B10" s="15" t="s">
        <v>38</v>
      </c>
      <c r="C10" s="16" t="s">
        <v>41</v>
      </c>
      <c r="D10" s="17">
        <f t="shared" si="19"/>
      </c>
      <c r="E10" s="16">
        <v>8489.6</v>
      </c>
      <c r="F10" s="16">
        <v>1301.62</v>
      </c>
      <c r="G10" s="16">
        <v>0</v>
      </c>
      <c r="H10" s="18">
        <v>51</v>
      </c>
      <c r="I10" s="16">
        <v>31176.65</v>
      </c>
      <c r="J10" s="19">
        <f t="shared" si="51"/>
      </c>
      <c r="K10" s="19">
        <f t="shared" si="60"/>
      </c>
      <c r="L10" s="19">
        <f t="shared" si="69"/>
      </c>
      <c r="M10" s="20">
        <f t="shared" si="79"/>
      </c>
      <c r="N10" s="21">
        <f t="shared" si="0"/>
      </c>
      <c r="O10" s="22">
        <f t="shared" si="9"/>
      </c>
      <c r="P10" s="21">
        <f t="shared" si="88"/>
      </c>
      <c r="Q10" s="23" t="s">
        <v>32</v>
      </c>
      <c r="R10" s="24" t="s">
        <v>33</v>
      </c>
      <c r="S10" s="35">
        <v>183081</v>
      </c>
      <c r="T10" s="35">
        <v>15436</v>
      </c>
      <c r="U10" s="35">
        <v>809</v>
      </c>
      <c r="V10" s="35">
        <v>29078</v>
      </c>
      <c r="W10" s="35">
        <v>3833</v>
      </c>
      <c r="X10" s="35">
        <v>80</v>
      </c>
      <c r="Y10" s="25">
        <v>212</v>
      </c>
    </row>
    <row r="11">
      <c r="A11" s="14"/>
      <c r="B11" s="15" t="s">
        <v>38</v>
      </c>
      <c r="C11" s="16" t="s">
        <v>42</v>
      </c>
      <c r="D11" s="17">
        <f t="shared" si="19"/>
      </c>
      <c r="E11" s="16">
        <v>9467.26</v>
      </c>
      <c r="F11" s="16">
        <v>2798.94</v>
      </c>
      <c r="G11" s="16">
        <v>0</v>
      </c>
      <c r="H11" s="18">
        <v>42</v>
      </c>
      <c r="I11" s="16">
        <v>20971.68</v>
      </c>
      <c r="J11" s="19">
        <f t="shared" si="51"/>
      </c>
      <c r="K11" s="19">
        <f t="shared" si="60"/>
      </c>
      <c r="L11" s="19">
        <f t="shared" si="69"/>
      </c>
      <c r="M11" s="20">
        <f t="shared" si="79"/>
      </c>
      <c r="N11" s="21">
        <f t="shared" si="0"/>
      </c>
      <c r="O11" s="22">
        <f t="shared" si="9"/>
      </c>
      <c r="P11" s="21">
        <f t="shared" si="88"/>
      </c>
      <c r="Q11" s="23" t="s">
        <v>32</v>
      </c>
      <c r="R11" s="24" t="s">
        <v>33</v>
      </c>
      <c r="S11" s="35">
        <v>179573</v>
      </c>
      <c r="T11" s="35">
        <v>18221</v>
      </c>
      <c r="U11" s="35">
        <v>777</v>
      </c>
      <c r="V11" s="35">
        <v>33203</v>
      </c>
      <c r="W11" s="36">
        <v>4024</v>
      </c>
      <c r="X11" s="37">
        <v>70</v>
      </c>
      <c r="Y11" s="38">
        <v>151</v>
      </c>
    </row>
    <row r="12">
      <c r="A12" s="14"/>
      <c r="B12" s="27" t="s">
        <v>37</v>
      </c>
      <c r="C12" s="27"/>
      <c r="D12" s="28">
        <f>SUM(D8:D11)</f>
      </c>
      <c r="E12" s="28">
        <f>SUM(E8:E11)</f>
      </c>
      <c r="F12" s="28">
        <f>SUM(F8:G11)</f>
      </c>
      <c r="G12" s="28"/>
      <c r="H12" s="28">
        <f>SUM(H8:H11)</f>
      </c>
      <c r="I12" s="28">
        <f>SUM(I8:I11)</f>
      </c>
      <c r="J12" s="39">
        <f t="shared" si="51"/>
      </c>
      <c r="K12" s="31">
        <f t="shared" si="60"/>
      </c>
      <c r="L12" s="40">
        <f t="shared" si="69"/>
      </c>
      <c r="M12" s="33">
        <f t="shared" si="79"/>
      </c>
      <c r="N12" s="33">
        <f t="shared" si="0"/>
      </c>
      <c r="O12" s="34">
        <f t="shared" si="9"/>
      </c>
      <c r="P12" s="33">
        <f t="shared" si="88"/>
      </c>
      <c r="Q12" s="34"/>
      <c r="R12" s="41"/>
      <c r="S12" s="28">
        <f>SUM(S8:S11)</f>
      </c>
      <c r="T12" s="28">
        <f>SUM(T8:T11)</f>
      </c>
      <c r="U12" s="28">
        <f>SUM(U8:U11)</f>
      </c>
      <c r="V12" s="28">
        <f>SUM(V8:V11)</f>
      </c>
      <c r="W12" s="28">
        <f>SUM(W8:W11)</f>
      </c>
      <c r="X12" s="28">
        <f>SUM(X8:X11)</f>
      </c>
      <c r="Y12" s="28">
        <f>SUM(Y8:Y11)</f>
      </c>
    </row>
    <row r="13">
      <c r="A13" s="14"/>
      <c r="B13" s="42" t="s">
        <v>43</v>
      </c>
      <c r="C13" s="42"/>
      <c r="D13" s="43">
        <f>D12+D7</f>
      </c>
      <c r="E13" s="43">
        <f>E12+E7</f>
      </c>
      <c r="F13" s="43">
        <f>F12+F7</f>
      </c>
      <c r="G13" s="43"/>
      <c r="H13" s="44">
        <f>H12+H7</f>
      </c>
      <c r="I13" s="43">
        <f>I12+I7</f>
      </c>
      <c r="J13" s="45">
        <f t="shared" si="51"/>
      </c>
      <c r="K13" s="45">
        <f t="shared" si="60"/>
      </c>
      <c r="L13" s="45">
        <f t="shared" si="69"/>
      </c>
      <c r="M13" s="46">
        <f t="shared" si="79"/>
      </c>
      <c r="N13" s="46">
        <f t="shared" si="0"/>
      </c>
      <c r="O13" s="45">
        <f t="shared" si="9"/>
      </c>
      <c r="P13" s="46">
        <f t="shared" si="88"/>
      </c>
      <c r="Q13" s="47"/>
      <c r="R13" s="48"/>
      <c r="S13" s="49">
        <f>S12+S7</f>
      </c>
      <c r="T13" s="49">
        <f>T12+T7</f>
      </c>
      <c r="U13" s="49">
        <f>U12+U7</f>
      </c>
      <c r="V13" s="49">
        <f>V12+V7</f>
      </c>
      <c r="W13" s="49">
        <f>W12+W7</f>
      </c>
      <c r="X13" s="50">
        <f>X12+X7</f>
      </c>
      <c r="Y13" s="44">
        <f>Y12+Y7</f>
      </c>
    </row>
    <row r="14">
      <c r="A14" s="1" t="s">
        <v>1</v>
      </c>
      <c r="B14" s="1"/>
      <c r="C14" s="1"/>
      <c r="D14" s="2" t="s">
        <v>2</v>
      </c>
      <c r="E14" s="2"/>
      <c r="F14" s="2"/>
      <c r="G14" s="2"/>
      <c r="H14" s="2"/>
      <c r="I14" s="2"/>
      <c r="J14" s="2"/>
      <c r="K14" s="2"/>
      <c r="L14" s="2"/>
      <c r="M14" s="3" t="s">
        <v>3</v>
      </c>
      <c r="N14" s="3"/>
      <c r="O14" s="3"/>
      <c r="P14" s="3"/>
      <c r="Q14" s="3"/>
      <c r="R14" s="3"/>
      <c r="S14" s="4" t="s">
        <v>4</v>
      </c>
      <c r="T14" s="4"/>
      <c r="U14" s="4"/>
      <c r="V14" s="4"/>
      <c r="W14" s="4"/>
      <c r="X14" s="4"/>
      <c r="Y14" s="4"/>
      <c r="Z14" s="5"/>
    </row>
    <row r="15">
      <c r="A15" s="6" t="s">
        <v>5</v>
      </c>
      <c r="B15" s="1" t="s">
        <v>6</v>
      </c>
      <c r="C15" s="1" t="s">
        <v>7</v>
      </c>
      <c r="D15" s="7" t="s">
        <v>8</v>
      </c>
      <c r="E15" s="7" t="s">
        <v>9</v>
      </c>
      <c r="F15" s="2" t="s">
        <v>10</v>
      </c>
      <c r="G15" s="2"/>
      <c r="H15" s="8" t="s">
        <v>11</v>
      </c>
      <c r="I15" s="2" t="s">
        <v>12</v>
      </c>
      <c r="J15" s="9" t="s">
        <v>13</v>
      </c>
      <c r="K15" s="10" t="s">
        <v>14</v>
      </c>
      <c r="L15" s="2" t="s">
        <v>15</v>
      </c>
      <c r="M15" s="3" t="s">
        <v>16</v>
      </c>
      <c r="N15" s="3" t="s">
        <v>17</v>
      </c>
      <c r="O15" s="3" t="s">
        <v>18</v>
      </c>
      <c r="P15" s="3" t="s">
        <v>19</v>
      </c>
      <c r="Q15" s="11" t="s">
        <v>20</v>
      </c>
      <c r="R15" s="11" t="s">
        <v>21</v>
      </c>
      <c r="S15" s="12" t="s">
        <v>22</v>
      </c>
      <c r="T15" s="12" t="s">
        <v>23</v>
      </c>
      <c r="U15" s="13" t="s">
        <v>24</v>
      </c>
      <c r="V15" s="13" t="s">
        <v>25</v>
      </c>
      <c r="W15" s="13" t="s">
        <v>26</v>
      </c>
      <c r="X15" s="13" t="s">
        <v>27</v>
      </c>
      <c r="Y15" s="13" t="s">
        <v>28</v>
      </c>
      <c r="Z15" s="5"/>
    </row>
    <row r="16">
      <c r="A16" s="14" t="s">
        <v>44</v>
      </c>
      <c r="B16" s="51" t="s">
        <v>38</v>
      </c>
      <c r="C16" s="16" t="s">
        <v>45</v>
      </c>
      <c r="D16" s="17">
        <f t="shared" ref="D16:D19" si="20">E16+G16+F16</f>
      </c>
      <c r="E16" s="16">
        <v>891.16</v>
      </c>
      <c r="F16" s="16">
        <v>906.03</v>
      </c>
      <c r="G16" s="16">
        <v>0</v>
      </c>
      <c r="H16" s="18">
        <v>3</v>
      </c>
      <c r="I16" s="16">
        <v>1107.84</v>
      </c>
      <c r="J16" s="52">
        <f t="shared" ref="J16:J31" si="52">I16/D16</f>
      </c>
      <c r="K16" s="52">
        <f t="shared" ref="K16:K31" si="61">D16/H16</f>
      </c>
      <c r="L16" s="19">
        <f t="shared" ref="L16:L31" si="70">I16/H16</f>
      </c>
      <c r="M16" s="20">
        <f t="shared" ref="M16:M31" si="80">T16/S16</f>
      </c>
      <c r="N16" s="21">
        <f t="shared" ref="N16:N31" si="1">H16/X16</f>
      </c>
      <c r="O16" s="22">
        <f t="shared" ref="O16:O31" si="10">(Y16*1000)/D16</f>
      </c>
      <c r="P16" s="21">
        <f t="shared" ref="P16:P31" si="89">W16/V16</f>
      </c>
      <c r="Q16" s="53" t="s">
        <v>46</v>
      </c>
      <c r="R16" s="54" t="s">
        <v>33</v>
      </c>
      <c r="S16" s="55">
        <v>30612</v>
      </c>
      <c r="T16" s="55">
        <v>1700</v>
      </c>
      <c r="U16" s="56">
        <v>185</v>
      </c>
      <c r="V16" s="55">
        <v>3265</v>
      </c>
      <c r="W16" s="55">
        <v>611</v>
      </c>
      <c r="X16" s="37">
        <v>10</v>
      </c>
      <c r="Y16" s="37">
        <v>49</v>
      </c>
    </row>
    <row r="17">
      <c r="A17" s="14"/>
      <c r="B17" s="51" t="s">
        <v>38</v>
      </c>
      <c r="C17" s="16" t="s">
        <v>47</v>
      </c>
      <c r="D17" s="17">
        <f t="shared" si="20"/>
      </c>
      <c r="E17" s="16">
        <v>1168.2</v>
      </c>
      <c r="F17" s="16">
        <v>1961.06</v>
      </c>
      <c r="G17" s="16">
        <v>0</v>
      </c>
      <c r="H17" s="18">
        <v>11</v>
      </c>
      <c r="I17" s="16">
        <v>7353</v>
      </c>
      <c r="J17" s="19">
        <f t="shared" si="52"/>
      </c>
      <c r="K17" s="19">
        <f t="shared" si="61"/>
      </c>
      <c r="L17" s="52">
        <f t="shared" si="70"/>
      </c>
      <c r="M17" s="20">
        <f t="shared" si="80"/>
      </c>
      <c r="N17" s="21">
        <f t="shared" si="1"/>
      </c>
      <c r="O17" s="22">
        <f t="shared" si="10"/>
      </c>
      <c r="P17" s="21">
        <f t="shared" si="89"/>
      </c>
      <c r="Q17" s="53" t="s">
        <v>46</v>
      </c>
      <c r="R17" s="54" t="s">
        <v>33</v>
      </c>
      <c r="S17" s="57">
        <v>59253</v>
      </c>
      <c r="T17" s="57">
        <v>2370</v>
      </c>
      <c r="U17" s="55">
        <v>254</v>
      </c>
      <c r="V17" s="55">
        <v>5010</v>
      </c>
      <c r="W17" s="55">
        <v>931</v>
      </c>
      <c r="X17" s="37">
        <v>19</v>
      </c>
      <c r="Y17" s="37">
        <v>53</v>
      </c>
    </row>
    <row r="18">
      <c r="A18" s="14"/>
      <c r="B18" s="51" t="s">
        <v>38</v>
      </c>
      <c r="C18" s="16" t="s">
        <v>48</v>
      </c>
      <c r="D18" s="17">
        <f t="shared" si="20"/>
      </c>
      <c r="E18" s="16">
        <v>868.41</v>
      </c>
      <c r="F18" s="16">
        <v>972.8</v>
      </c>
      <c r="G18" s="16">
        <v>0</v>
      </c>
      <c r="H18" s="18">
        <v>6</v>
      </c>
      <c r="I18" s="16">
        <v>4431.38</v>
      </c>
      <c r="J18" s="19">
        <f t="shared" si="52"/>
      </c>
      <c r="K18" s="19">
        <f t="shared" si="61"/>
      </c>
      <c r="L18" s="19">
        <f t="shared" si="70"/>
      </c>
      <c r="M18" s="20">
        <f t="shared" si="80"/>
      </c>
      <c r="N18" s="21">
        <f t="shared" si="1"/>
      </c>
      <c r="O18" s="22">
        <f t="shared" si="10"/>
      </c>
      <c r="P18" s="21">
        <f t="shared" si="89"/>
      </c>
      <c r="Q18" s="53" t="s">
        <v>46</v>
      </c>
      <c r="R18" s="54" t="s">
        <v>33</v>
      </c>
      <c r="S18" s="58">
        <v>36581</v>
      </c>
      <c r="T18" s="58">
        <v>1680</v>
      </c>
      <c r="U18" s="58">
        <v>179</v>
      </c>
      <c r="V18" s="58">
        <v>3634</v>
      </c>
      <c r="W18" s="58">
        <v>641</v>
      </c>
      <c r="X18" s="37">
        <v>14</v>
      </c>
      <c r="Y18" s="37">
        <v>29</v>
      </c>
    </row>
    <row r="19">
      <c r="A19" s="14"/>
      <c r="B19" s="51" t="s">
        <v>38</v>
      </c>
      <c r="C19" s="16" t="s">
        <v>49</v>
      </c>
      <c r="D19" s="17">
        <f t="shared" si="20"/>
      </c>
      <c r="E19" s="16">
        <v>530.29</v>
      </c>
      <c r="F19" s="16">
        <v>1084.82</v>
      </c>
      <c r="G19" s="16">
        <v>0</v>
      </c>
      <c r="H19" s="18">
        <v>1</v>
      </c>
      <c r="I19" s="16">
        <v>215.04</v>
      </c>
      <c r="J19" s="19">
        <f t="shared" si="52"/>
      </c>
      <c r="K19" s="19">
        <f t="shared" si="61"/>
      </c>
      <c r="L19" s="19">
        <f t="shared" si="70"/>
      </c>
      <c r="M19" s="20">
        <f t="shared" si="80"/>
      </c>
      <c r="N19" s="21">
        <f t="shared" si="1"/>
      </c>
      <c r="O19" s="22">
        <f t="shared" si="10"/>
      </c>
      <c r="P19" s="21">
        <f t="shared" si="89"/>
      </c>
      <c r="Q19" s="53" t="s">
        <v>46</v>
      </c>
      <c r="R19" s="54" t="s">
        <v>33</v>
      </c>
      <c r="S19" s="58">
        <v>31039</v>
      </c>
      <c r="T19" s="58">
        <v>1150</v>
      </c>
      <c r="U19" s="58">
        <v>126</v>
      </c>
      <c r="V19" s="58">
        <v>2540</v>
      </c>
      <c r="W19" s="58">
        <v>413</v>
      </c>
      <c r="X19" s="37">
        <v>3</v>
      </c>
      <c r="Y19" s="37">
        <v>32</v>
      </c>
    </row>
    <row r="20">
      <c r="A20" s="14"/>
      <c r="B20" s="27" t="s">
        <v>37</v>
      </c>
      <c r="C20" s="27"/>
      <c r="D20" s="28">
        <f>SUM(D16:D19)</f>
      </c>
      <c r="E20" s="28">
        <f>SUM(E16:E19)</f>
      </c>
      <c r="F20" s="28">
        <f>SUM(F16:G19)</f>
      </c>
      <c r="G20" s="28"/>
      <c r="H20" s="29">
        <f>SUM(H16:H19)</f>
      </c>
      <c r="I20" s="28">
        <f>SUM(I16:I19)</f>
      </c>
      <c r="J20" s="30">
        <f t="shared" si="52"/>
      </c>
      <c r="K20" s="31">
        <f t="shared" si="61"/>
      </c>
      <c r="L20" s="32">
        <f t="shared" si="70"/>
      </c>
      <c r="M20" s="33">
        <f t="shared" si="80"/>
      </c>
      <c r="N20" s="33">
        <f t="shared" si="1"/>
      </c>
      <c r="O20" s="34">
        <f t="shared" si="10"/>
      </c>
      <c r="P20" s="33">
        <f t="shared" si="89"/>
      </c>
      <c r="Q20" s="34"/>
      <c r="R20" s="34"/>
      <c r="S20" s="29">
        <f>SUM(S16:S19)</f>
      </c>
      <c r="T20" s="29">
        <f>SUM(T16:T19)</f>
      </c>
      <c r="U20" s="29">
        <f>SUM(U16:U19)</f>
      </c>
      <c r="V20" s="29">
        <f>SUM(V16:V19)</f>
      </c>
      <c r="W20" s="29">
        <f>SUM(W16:W19)</f>
      </c>
      <c r="X20" s="29">
        <f>SUM(X16:X19)</f>
      </c>
      <c r="Y20" s="29">
        <f>SUM(Y16:Y19)</f>
      </c>
    </row>
    <row r="21">
      <c r="A21" s="14"/>
      <c r="B21" s="51" t="s">
        <v>50</v>
      </c>
      <c r="C21" s="16" t="s">
        <v>51</v>
      </c>
      <c r="D21" s="17">
        <f t="shared" ref="D21:D25" si="21">E21+G21+F21</f>
      </c>
      <c r="E21" s="16">
        <v>595.19</v>
      </c>
      <c r="F21" s="16">
        <v>695.78</v>
      </c>
      <c r="G21" s="16">
        <v>0</v>
      </c>
      <c r="H21" s="18">
        <v>3</v>
      </c>
      <c r="I21" s="16">
        <v>1107.84</v>
      </c>
      <c r="J21" s="19">
        <f t="shared" si="52"/>
      </c>
      <c r="K21" s="19">
        <f t="shared" si="61"/>
      </c>
      <c r="L21" s="19">
        <f t="shared" si="70"/>
      </c>
      <c r="M21" s="20">
        <f t="shared" si="80"/>
      </c>
      <c r="N21" s="21">
        <f t="shared" si="1"/>
      </c>
      <c r="O21" s="22">
        <f t="shared" si="10"/>
      </c>
      <c r="P21" s="21">
        <f t="shared" si="89"/>
      </c>
      <c r="Q21" s="53" t="s">
        <v>46</v>
      </c>
      <c r="R21" s="54" t="s">
        <v>33</v>
      </c>
      <c r="S21" s="59">
        <v>26751</v>
      </c>
      <c r="T21" s="59">
        <v>1259</v>
      </c>
      <c r="U21" s="59">
        <v>118</v>
      </c>
      <c r="V21" s="59">
        <v>2676</v>
      </c>
      <c r="W21" s="59">
        <v>422</v>
      </c>
      <c r="X21" s="25">
        <v>5</v>
      </c>
      <c r="Y21" s="25">
        <v>35</v>
      </c>
    </row>
    <row r="22">
      <c r="A22" s="14"/>
      <c r="B22" s="51" t="s">
        <v>50</v>
      </c>
      <c r="C22" s="16" t="s">
        <v>52</v>
      </c>
      <c r="D22" s="17">
        <f t="shared" si="21"/>
      </c>
      <c r="E22" s="16">
        <v>933.61</v>
      </c>
      <c r="F22" s="16">
        <v>1005.81</v>
      </c>
      <c r="G22" s="16">
        <v>0</v>
      </c>
      <c r="H22" s="18">
        <v>3</v>
      </c>
      <c r="I22" s="16">
        <v>2934.6</v>
      </c>
      <c r="J22" s="19">
        <f t="shared" si="52"/>
      </c>
      <c r="K22" s="19">
        <f t="shared" si="61"/>
      </c>
      <c r="L22" s="19">
        <f t="shared" si="70"/>
      </c>
      <c r="M22" s="20">
        <f t="shared" si="80"/>
      </c>
      <c r="N22" s="21">
        <f t="shared" si="1"/>
      </c>
      <c r="O22" s="22">
        <f t="shared" si="10"/>
      </c>
      <c r="P22" s="21">
        <f t="shared" si="89"/>
      </c>
      <c r="Q22" s="53" t="s">
        <v>46</v>
      </c>
      <c r="R22" s="54" t="s">
        <v>33</v>
      </c>
      <c r="S22" s="59">
        <v>35600</v>
      </c>
      <c r="T22" s="59">
        <v>1900</v>
      </c>
      <c r="U22" s="59">
        <v>174</v>
      </c>
      <c r="V22" s="59">
        <v>3857</v>
      </c>
      <c r="W22" s="59">
        <v>606</v>
      </c>
      <c r="X22" s="25">
        <v>10</v>
      </c>
      <c r="Y22" s="25">
        <v>41</v>
      </c>
    </row>
    <row customHeight="true" ht="16.666666666666668" r="23">
      <c r="A23" s="14"/>
      <c r="B23" s="51" t="s">
        <v>50</v>
      </c>
      <c r="C23" s="16" t="s">
        <v>53</v>
      </c>
      <c r="D23" s="17">
        <f t="shared" si="21"/>
      </c>
      <c r="E23" s="16">
        <v>928.93</v>
      </c>
      <c r="F23" s="16">
        <v>2057.93</v>
      </c>
      <c r="G23" s="16">
        <v>0</v>
      </c>
      <c r="H23" s="18">
        <v>9</v>
      </c>
      <c r="I23" s="16">
        <v>3284.4</v>
      </c>
      <c r="J23" s="19">
        <f t="shared" si="52"/>
      </c>
      <c r="K23" s="19">
        <f t="shared" si="61"/>
      </c>
      <c r="L23" s="19">
        <f t="shared" si="70"/>
      </c>
      <c r="M23" s="20">
        <f t="shared" si="80"/>
      </c>
      <c r="N23" s="21">
        <f t="shared" si="1"/>
      </c>
      <c r="O23" s="22">
        <f t="shared" si="10"/>
      </c>
      <c r="P23" s="21">
        <f t="shared" si="89"/>
      </c>
      <c r="Q23" s="53" t="s">
        <v>46</v>
      </c>
      <c r="R23" s="54" t="s">
        <v>33</v>
      </c>
      <c r="S23" s="59">
        <v>59927</v>
      </c>
      <c r="T23" s="59">
        <v>2224</v>
      </c>
      <c r="U23" s="59">
        <v>260</v>
      </c>
      <c r="V23" s="59">
        <v>4188</v>
      </c>
      <c r="W23" s="59">
        <v>667</v>
      </c>
      <c r="X23" s="25">
        <v>15</v>
      </c>
      <c r="Y23" s="25">
        <v>52</v>
      </c>
    </row>
    <row customHeight="true" ht="16.666666666666668" r="24">
      <c r="A24" s="14"/>
      <c r="B24" s="51" t="s">
        <v>50</v>
      </c>
      <c r="C24" s="16" t="s">
        <v>54</v>
      </c>
      <c r="D24" s="17">
        <f t="shared" si="21"/>
      </c>
      <c r="E24" s="16">
        <v>1176.65</v>
      </c>
      <c r="F24" s="16">
        <v>1573.85</v>
      </c>
      <c r="G24" s="16">
        <v>0</v>
      </c>
      <c r="H24" s="60">
        <v>13</v>
      </c>
      <c r="I24" s="17">
        <v>5823.869999999999</v>
      </c>
      <c r="J24" s="19">
        <f t="shared" si="52"/>
      </c>
      <c r="K24" s="19">
        <f t="shared" si="61"/>
      </c>
      <c r="L24" s="19">
        <f t="shared" si="70"/>
      </c>
      <c r="M24" s="20">
        <f t="shared" si="80"/>
      </c>
      <c r="N24" s="21">
        <f t="shared" si="1"/>
      </c>
      <c r="O24" s="22">
        <f t="shared" si="10"/>
      </c>
      <c r="P24" s="21">
        <f t="shared" si="89"/>
      </c>
      <c r="Q24" s="53" t="s">
        <v>46</v>
      </c>
      <c r="R24" s="54" t="s">
        <v>33</v>
      </c>
      <c r="S24" s="59">
        <v>63583</v>
      </c>
      <c r="T24" s="59">
        <v>2218</v>
      </c>
      <c r="U24" s="59">
        <v>190</v>
      </c>
      <c r="V24" s="59">
        <v>4205</v>
      </c>
      <c r="W24" s="59">
        <v>594</v>
      </c>
      <c r="X24" s="25">
        <v>14</v>
      </c>
      <c r="Y24" s="25">
        <v>64</v>
      </c>
    </row>
    <row r="25">
      <c r="A25" s="14"/>
      <c r="B25" s="51" t="s">
        <v>50</v>
      </c>
      <c r="C25" s="16" t="s">
        <v>31</v>
      </c>
      <c r="D25" s="17">
        <f t="shared" si="21"/>
      </c>
      <c r="E25" s="16">
        <v>778.49</v>
      </c>
      <c r="F25" s="16">
        <v>2557.43</v>
      </c>
      <c r="G25" s="16">
        <v>0</v>
      </c>
      <c r="H25" s="60">
        <v>13</v>
      </c>
      <c r="I25" s="17">
        <v>7817.540000000001</v>
      </c>
      <c r="J25" s="19">
        <f t="shared" si="52"/>
      </c>
      <c r="K25" s="19">
        <f t="shared" si="61"/>
      </c>
      <c r="L25" s="19">
        <f t="shared" si="70"/>
      </c>
      <c r="M25" s="20">
        <f t="shared" si="80"/>
      </c>
      <c r="N25" s="21">
        <f t="shared" si="1"/>
      </c>
      <c r="O25" s="22">
        <f t="shared" si="10"/>
      </c>
      <c r="P25" s="21">
        <f t="shared" si="89"/>
      </c>
      <c r="Q25" s="53" t="s">
        <v>55</v>
      </c>
      <c r="R25" s="54" t="s">
        <v>56</v>
      </c>
      <c r="S25" s="59">
        <v>73567</v>
      </c>
      <c r="T25" s="59">
        <v>2991</v>
      </c>
      <c r="U25" s="59">
        <v>229</v>
      </c>
      <c r="V25" s="59">
        <v>5558</v>
      </c>
      <c r="W25" s="59">
        <v>847</v>
      </c>
      <c r="X25" s="25">
        <v>31</v>
      </c>
      <c r="Y25" s="25">
        <v>53</v>
      </c>
    </row>
    <row r="26">
      <c r="A26" s="14"/>
      <c r="B26" s="27" t="s">
        <v>37</v>
      </c>
      <c r="C26" s="27"/>
      <c r="D26" s="28">
        <f>SUM(D21:D25)</f>
      </c>
      <c r="E26" s="28">
        <f>SUM(E21:E25)</f>
      </c>
      <c r="F26" s="28">
        <f>SUM(F21:G25)</f>
      </c>
      <c r="G26" s="28"/>
      <c r="H26" s="28">
        <f>SUM(H21:H25)</f>
      </c>
      <c r="I26" s="28">
        <f>SUM(I21:I25)</f>
      </c>
      <c r="J26" s="39">
        <f t="shared" si="52"/>
      </c>
      <c r="K26" s="31">
        <f t="shared" si="61"/>
      </c>
      <c r="L26" s="40">
        <f t="shared" si="70"/>
      </c>
      <c r="M26" s="33">
        <f t="shared" si="80"/>
      </c>
      <c r="N26" s="33">
        <f t="shared" si="1"/>
      </c>
      <c r="O26" s="34">
        <f t="shared" si="10"/>
      </c>
      <c r="P26" s="33">
        <f t="shared" si="89"/>
      </c>
      <c r="Q26" s="34"/>
      <c r="R26" s="34"/>
      <c r="S26" s="28">
        <f>SUM(S21:S25)</f>
      </c>
      <c r="T26" s="28">
        <f>SUM(T21:T25)</f>
      </c>
      <c r="U26" s="28">
        <f>SUM(U21:U25)</f>
      </c>
      <c r="V26" s="28">
        <f>SUM(V21:V25)</f>
      </c>
      <c r="W26" s="28">
        <f>SUM(W21:W25)</f>
      </c>
      <c r="X26" s="28">
        <f>SUM(X21:X25)</f>
      </c>
      <c r="Y26" s="28">
        <f>SUM(Y21:Y25)</f>
      </c>
    </row>
    <row r="27">
      <c r="A27" s="14"/>
      <c r="B27" s="15" t="s">
        <v>38</v>
      </c>
      <c r="C27" s="16" t="s">
        <v>34</v>
      </c>
      <c r="D27" s="17">
        <f t="shared" ref="D27:D29" si="22">E27+G27+F27</f>
      </c>
      <c r="E27" s="16">
        <v>740.3199999999997</v>
      </c>
      <c r="F27" s="16">
        <v>3602.399999999998</v>
      </c>
      <c r="G27" s="16">
        <v>0</v>
      </c>
      <c r="H27" s="18">
        <v>11</v>
      </c>
      <c r="I27" s="16">
        <v>8278.439999999995</v>
      </c>
      <c r="J27" s="19">
        <f t="shared" si="52"/>
      </c>
      <c r="K27" s="19">
        <f t="shared" si="61"/>
      </c>
      <c r="L27" s="19">
        <f t="shared" si="70"/>
      </c>
      <c r="M27" s="20">
        <f t="shared" si="80"/>
      </c>
      <c r="N27" s="21">
        <f t="shared" si="1"/>
      </c>
      <c r="O27" s="22">
        <f t="shared" si="10"/>
      </c>
      <c r="P27" s="21">
        <f t="shared" si="89"/>
      </c>
      <c r="Q27" s="53" t="s">
        <v>55</v>
      </c>
      <c r="R27" s="54" t="s">
        <v>56</v>
      </c>
      <c r="S27" s="25">
        <v>101345</v>
      </c>
      <c r="T27" s="25">
        <v>2626</v>
      </c>
      <c r="U27" s="25">
        <v>280</v>
      </c>
      <c r="V27" s="25">
        <v>4326</v>
      </c>
      <c r="W27" s="25">
        <v>615</v>
      </c>
      <c r="X27" s="25">
        <v>22</v>
      </c>
      <c r="Y27" s="25">
        <v>56</v>
      </c>
    </row>
    <row r="28">
      <c r="A28" s="14"/>
      <c r="B28" s="15" t="s">
        <v>38</v>
      </c>
      <c r="C28" s="16" t="s">
        <v>35</v>
      </c>
      <c r="D28" s="17">
        <f t="shared" si="22"/>
      </c>
      <c r="E28" s="16">
        <v>364.49</v>
      </c>
      <c r="F28" s="16">
        <v>2704.75</v>
      </c>
      <c r="G28" s="16">
        <v>0</v>
      </c>
      <c r="H28" s="18">
        <v>6</v>
      </c>
      <c r="I28" s="16">
        <v>3083.6399999999994</v>
      </c>
      <c r="J28" s="19">
        <f t="shared" si="52"/>
      </c>
      <c r="K28" s="19">
        <f t="shared" si="61"/>
      </c>
      <c r="L28" s="19">
        <f t="shared" si="70"/>
      </c>
      <c r="M28" s="20">
        <f t="shared" si="80"/>
      </c>
      <c r="N28" s="21">
        <f t="shared" si="1"/>
      </c>
      <c r="O28" s="22">
        <f t="shared" si="10"/>
      </c>
      <c r="P28" s="21">
        <f t="shared" si="89"/>
      </c>
      <c r="Q28" s="53" t="s">
        <v>55</v>
      </c>
      <c r="R28" s="54" t="s">
        <v>56</v>
      </c>
      <c r="S28" s="25">
        <v>79272</v>
      </c>
      <c r="T28" s="25">
        <v>2025</v>
      </c>
      <c r="U28" s="25">
        <v>221</v>
      </c>
      <c r="V28" s="25">
        <v>2731</v>
      </c>
      <c r="W28" s="25">
        <v>397</v>
      </c>
      <c r="X28" s="25">
        <v>13</v>
      </c>
      <c r="Y28" s="25">
        <v>53</v>
      </c>
    </row>
    <row r="29">
      <c r="A29" s="14"/>
      <c r="B29" s="15" t="s">
        <v>38</v>
      </c>
      <c r="C29" s="16" t="s">
        <v>36</v>
      </c>
      <c r="D29" s="17">
        <f t="shared" si="22"/>
      </c>
      <c r="E29" s="16">
        <v>125.80000000000109</v>
      </c>
      <c r="F29" s="16">
        <v>1612.25</v>
      </c>
      <c r="G29" s="16">
        <v>0</v>
      </c>
      <c r="H29" s="18">
        <v>4</v>
      </c>
      <c r="I29" s="16">
        <v>1800.6000000000058</v>
      </c>
      <c r="J29" s="19">
        <f t="shared" si="52"/>
      </c>
      <c r="K29" s="19">
        <f t="shared" si="61"/>
      </c>
      <c r="L29" s="19">
        <f t="shared" si="70"/>
      </c>
      <c r="M29" s="20">
        <f t="shared" si="80"/>
      </c>
      <c r="N29" s="21">
        <f t="shared" si="1"/>
      </c>
      <c r="O29" s="22">
        <f t="shared" si="10"/>
      </c>
      <c r="P29" s="21">
        <f t="shared" si="89"/>
      </c>
      <c r="Q29" s="53" t="s">
        <v>55</v>
      </c>
      <c r="R29" s="54" t="s">
        <v>56</v>
      </c>
      <c r="S29" s="25">
        <v>45671</v>
      </c>
      <c r="T29" s="25">
        <v>2303</v>
      </c>
      <c r="U29" s="25">
        <v>164</v>
      </c>
      <c r="V29" s="25">
        <v>2694</v>
      </c>
      <c r="W29" s="25">
        <v>223</v>
      </c>
      <c r="X29" s="25">
        <v>13</v>
      </c>
      <c r="Y29" s="25">
        <v>37</v>
      </c>
      <c r="Z29" s="5"/>
    </row>
    <row r="30">
      <c r="A30" s="14"/>
      <c r="B30" s="27" t="s">
        <v>37</v>
      </c>
      <c r="C30" s="27"/>
      <c r="D30" s="28">
        <f>SUM(D27:D29)</f>
      </c>
      <c r="E30" s="28">
        <f>SUM(E27:E29)</f>
      </c>
      <c r="F30" s="28">
        <f>SUM(F27:G29)</f>
      </c>
      <c r="G30" s="28"/>
      <c r="H30" s="29">
        <f>SUM(H27:H29)</f>
      </c>
      <c r="I30" s="28">
        <f>SUM(I27:I29)</f>
      </c>
      <c r="J30" s="30">
        <f t="shared" si="52"/>
      </c>
      <c r="K30" s="31">
        <f t="shared" si="61"/>
      </c>
      <c r="L30" s="32">
        <f t="shared" si="70"/>
      </c>
      <c r="M30" s="33">
        <f t="shared" si="80"/>
      </c>
      <c r="N30" s="33">
        <f t="shared" si="1"/>
      </c>
      <c r="O30" s="34">
        <f t="shared" si="10"/>
      </c>
      <c r="P30" s="33">
        <f t="shared" si="89"/>
      </c>
      <c r="Q30" s="34"/>
      <c r="R30" s="34"/>
      <c r="S30" s="29">
        <f>SUM(S27:S29)</f>
      </c>
      <c r="T30" s="29">
        <f>SUM(T27:T29)</f>
      </c>
      <c r="U30" s="29">
        <f>SUM(U27:U29)</f>
      </c>
      <c r="V30" s="29">
        <f>SUM(V27:V29)</f>
      </c>
      <c r="W30" s="29">
        <f>SUM(W27:W29)</f>
      </c>
      <c r="X30" s="29">
        <f>SUM(X27:X29)</f>
      </c>
      <c r="Y30" s="29">
        <f>SUM(Y27:Y29)</f>
      </c>
      <c r="Z30" s="5"/>
    </row>
    <row r="31">
      <c r="A31" s="14"/>
      <c r="B31" s="42" t="s">
        <v>43</v>
      </c>
      <c r="C31" s="42"/>
      <c r="D31" s="43">
        <f>D30+D26+D20</f>
      </c>
      <c r="E31" s="43">
        <f>E30+E26+E20</f>
      </c>
      <c r="F31" s="43">
        <f>F30+F26+F20</f>
      </c>
      <c r="G31" s="43"/>
      <c r="H31" s="44">
        <f>H30+H26+H20</f>
      </c>
      <c r="I31" s="43">
        <f>I30+I26+I20</f>
      </c>
      <c r="J31" s="45">
        <f t="shared" si="52"/>
      </c>
      <c r="K31" s="45">
        <f t="shared" si="61"/>
      </c>
      <c r="L31" s="45">
        <f t="shared" si="70"/>
      </c>
      <c r="M31" s="46">
        <f t="shared" si="80"/>
      </c>
      <c r="N31" s="46">
        <f t="shared" si="1"/>
      </c>
      <c r="O31" s="45">
        <f t="shared" si="10"/>
      </c>
      <c r="P31" s="46">
        <f t="shared" si="89"/>
      </c>
      <c r="Q31" s="47"/>
      <c r="R31" s="48"/>
      <c r="S31" s="49">
        <f>S30+S26+S20</f>
      </c>
      <c r="T31" s="49">
        <f>T30+T26+T20</f>
      </c>
      <c r="U31" s="49">
        <f>U30+U26+U20</f>
      </c>
      <c r="V31" s="49">
        <f>V30+V26+V20</f>
      </c>
      <c r="W31" s="49">
        <f>W30+W26+W20</f>
      </c>
      <c r="X31" s="50">
        <f>X30+X26+X20</f>
      </c>
      <c r="Y31" s="44">
        <f>Y30+Y26+Y20</f>
      </c>
      <c r="Z31" s="5"/>
    </row>
    <row r="32">
      <c r="A32" s="1" t="s">
        <v>1</v>
      </c>
      <c r="B32" s="1"/>
      <c r="C32" s="1"/>
      <c r="D32" s="2" t="s">
        <v>2</v>
      </c>
      <c r="E32" s="2"/>
      <c r="F32" s="2"/>
      <c r="G32" s="2"/>
      <c r="H32" s="2"/>
      <c r="I32" s="2"/>
      <c r="J32" s="2"/>
      <c r="K32" s="2"/>
      <c r="L32" s="2"/>
      <c r="M32" s="3" t="s">
        <v>3</v>
      </c>
      <c r="N32" s="3"/>
      <c r="O32" s="3"/>
      <c r="P32" s="3"/>
      <c r="Q32" s="3"/>
      <c r="R32" s="3"/>
      <c r="S32" s="4" t="s">
        <v>4</v>
      </c>
      <c r="T32" s="4"/>
      <c r="U32" s="4"/>
      <c r="V32" s="4"/>
      <c r="W32" s="4"/>
      <c r="X32" s="4"/>
      <c r="Y32" s="4"/>
      <c r="Z32" s="5"/>
    </row>
    <row r="33">
      <c r="A33" s="1" t="s">
        <v>5</v>
      </c>
      <c r="B33" s="1" t="s">
        <v>6</v>
      </c>
      <c r="C33" s="1" t="s">
        <v>7</v>
      </c>
      <c r="D33" s="7" t="s">
        <v>8</v>
      </c>
      <c r="E33" s="7" t="s">
        <v>9</v>
      </c>
      <c r="F33" s="2" t="s">
        <v>10</v>
      </c>
      <c r="G33" s="2"/>
      <c r="H33" s="8" t="s">
        <v>11</v>
      </c>
      <c r="I33" s="2" t="s">
        <v>12</v>
      </c>
      <c r="J33" s="9" t="s">
        <v>13</v>
      </c>
      <c r="K33" s="10" t="s">
        <v>14</v>
      </c>
      <c r="L33" s="2" t="s">
        <v>15</v>
      </c>
      <c r="M33" s="3" t="s">
        <v>16</v>
      </c>
      <c r="N33" s="3" t="s">
        <v>17</v>
      </c>
      <c r="O33" s="3" t="s">
        <v>18</v>
      </c>
      <c r="P33" s="3" t="s">
        <v>19</v>
      </c>
      <c r="Q33" s="11" t="s">
        <v>20</v>
      </c>
      <c r="R33" s="11" t="s">
        <v>21</v>
      </c>
      <c r="S33" s="12" t="s">
        <v>22</v>
      </c>
      <c r="T33" s="12" t="s">
        <v>23</v>
      </c>
      <c r="U33" s="13" t="s">
        <v>24</v>
      </c>
      <c r="V33" s="13" t="s">
        <v>25</v>
      </c>
      <c r="W33" s="13" t="s">
        <v>26</v>
      </c>
      <c r="X33" s="13" t="s">
        <v>27</v>
      </c>
      <c r="Y33" s="13" t="s">
        <v>28</v>
      </c>
      <c r="Z33" s="5"/>
    </row>
    <row r="34">
      <c r="A34" s="14" t="s">
        <v>57</v>
      </c>
      <c r="B34" s="15" t="s">
        <v>38</v>
      </c>
      <c r="C34" s="17" t="s">
        <v>45</v>
      </c>
      <c r="D34" s="17">
        <f t="shared" ref="D34:D37" si="23">E34+G34+F34</f>
      </c>
      <c r="E34" s="17">
        <v>1161.72</v>
      </c>
      <c r="F34" s="17">
        <v>916.1000000000001</v>
      </c>
      <c r="G34" s="16">
        <v>0</v>
      </c>
      <c r="H34" s="18">
        <v>5</v>
      </c>
      <c r="I34" s="17">
        <v>1035.88</v>
      </c>
      <c r="J34" s="52">
        <f t="shared" ref="J34:J54" si="53">I34/D34</f>
      </c>
      <c r="K34" s="52">
        <f t="shared" ref="K34:K54" si="62">D34/H34</f>
      </c>
      <c r="L34" s="19">
        <f t="shared" ref="L34:L54" si="71">I34/H34</f>
      </c>
      <c r="M34" s="20">
        <f t="shared" ref="M34:M54" si="81">T34/S34</f>
      </c>
      <c r="N34" s="21">
        <f t="shared" ref="N34:N54" si="2">H34/X34</f>
      </c>
      <c r="O34" s="22">
        <f t="shared" ref="O34:O54" si="11">(Y34*1000)/D34</f>
      </c>
      <c r="P34" s="21">
        <f t="shared" ref="P34:P54" si="90">W34/V34</f>
      </c>
      <c r="Q34" s="53" t="s">
        <v>46</v>
      </c>
      <c r="R34" s="54" t="s">
        <v>58</v>
      </c>
      <c r="S34" s="55">
        <v>37649</v>
      </c>
      <c r="T34" s="55">
        <v>2339</v>
      </c>
      <c r="U34" s="56">
        <v>197</v>
      </c>
      <c r="V34" s="55">
        <v>4586</v>
      </c>
      <c r="W34" s="55">
        <v>759</v>
      </c>
      <c r="X34" s="37">
        <v>10</v>
      </c>
      <c r="Y34" s="37">
        <v>50</v>
      </c>
      <c r="Z34" s="5"/>
    </row>
    <row r="35">
      <c r="A35" s="14"/>
      <c r="B35" s="15" t="s">
        <v>38</v>
      </c>
      <c r="C35" s="17" t="s">
        <v>47</v>
      </c>
      <c r="D35" s="17">
        <f t="shared" si="23"/>
      </c>
      <c r="E35" s="61">
        <v>822.53</v>
      </c>
      <c r="F35" s="17">
        <v>1234.5499999999995</v>
      </c>
      <c r="G35" s="16">
        <v>0</v>
      </c>
      <c r="H35" s="60">
        <v>7</v>
      </c>
      <c r="I35" s="17">
        <v>2854.3199999999997</v>
      </c>
      <c r="J35" s="19">
        <f t="shared" si="53"/>
      </c>
      <c r="K35" s="19">
        <f t="shared" si="62"/>
      </c>
      <c r="L35" s="52">
        <f t="shared" si="71"/>
      </c>
      <c r="M35" s="20">
        <f t="shared" si="81"/>
      </c>
      <c r="N35" s="21">
        <f t="shared" si="2"/>
      </c>
      <c r="O35" s="22">
        <f t="shared" si="11"/>
      </c>
      <c r="P35" s="21">
        <f t="shared" si="90"/>
      </c>
      <c r="Q35" s="53" t="s">
        <v>46</v>
      </c>
      <c r="R35" s="54" t="s">
        <v>58</v>
      </c>
      <c r="S35" s="57">
        <v>39043</v>
      </c>
      <c r="T35" s="57">
        <v>1952</v>
      </c>
      <c r="U35" s="55">
        <v>160</v>
      </c>
      <c r="V35" s="55">
        <v>4002</v>
      </c>
      <c r="W35" s="55">
        <v>726</v>
      </c>
      <c r="X35" s="58">
        <v>17</v>
      </c>
      <c r="Y35" s="37">
        <v>38</v>
      </c>
      <c r="Z35" s="5"/>
    </row>
    <row r="36">
      <c r="A36" s="14"/>
      <c r="B36" s="15" t="s">
        <v>38</v>
      </c>
      <c r="C36" s="17" t="s">
        <v>48</v>
      </c>
      <c r="D36" s="17">
        <f t="shared" si="23"/>
      </c>
      <c r="E36" s="61">
        <v>575.5300000000002</v>
      </c>
      <c r="F36" s="16">
        <v>1094.95</v>
      </c>
      <c r="G36" s="16">
        <v>0</v>
      </c>
      <c r="H36" s="60">
        <v>2</v>
      </c>
      <c r="I36" s="17">
        <v>892.8000000000002</v>
      </c>
      <c r="J36" s="52">
        <f t="shared" si="53"/>
      </c>
      <c r="K36" s="52">
        <f t="shared" si="62"/>
      </c>
      <c r="L36" s="52">
        <f t="shared" si="71"/>
      </c>
      <c r="M36" s="62">
        <f t="shared" si="81"/>
      </c>
      <c r="N36" s="63">
        <f t="shared" si="2"/>
      </c>
      <c r="O36" s="64">
        <f t="shared" si="11"/>
      </c>
      <c r="P36" s="21">
        <f t="shared" si="90"/>
      </c>
      <c r="Q36" s="53" t="s">
        <v>46</v>
      </c>
      <c r="R36" s="54" t="s">
        <v>58</v>
      </c>
      <c r="S36" s="58">
        <v>26155</v>
      </c>
      <c r="T36" s="58">
        <v>1139</v>
      </c>
      <c r="U36" s="65">
        <v>130</v>
      </c>
      <c r="V36" s="58">
        <v>2274</v>
      </c>
      <c r="W36" s="58">
        <v>387</v>
      </c>
      <c r="X36" s="58">
        <v>7</v>
      </c>
      <c r="Y36" s="58">
        <v>27</v>
      </c>
      <c r="Z36" s="5"/>
    </row>
    <row r="37">
      <c r="A37" s="14"/>
      <c r="B37" s="15" t="s">
        <v>38</v>
      </c>
      <c r="C37" s="17" t="s">
        <v>49</v>
      </c>
      <c r="D37" s="17">
        <f t="shared" si="23"/>
      </c>
      <c r="E37" s="17">
        <v>386.00999999999976</v>
      </c>
      <c r="F37" s="16">
        <v>2862.26</v>
      </c>
      <c r="G37" s="16">
        <v>0</v>
      </c>
      <c r="H37" s="60">
        <v>5</v>
      </c>
      <c r="I37" s="17">
        <v>1075.1999999999998</v>
      </c>
      <c r="J37" s="52">
        <f t="shared" si="53"/>
      </c>
      <c r="K37" s="19">
        <f t="shared" si="62"/>
      </c>
      <c r="L37" s="19">
        <f t="shared" si="71"/>
      </c>
      <c r="M37" s="20">
        <f t="shared" si="81"/>
      </c>
      <c r="N37" s="21">
        <f t="shared" si="2"/>
      </c>
      <c r="O37" s="22">
        <f t="shared" si="11"/>
      </c>
      <c r="P37" s="21">
        <f t="shared" si="90"/>
      </c>
      <c r="Q37" s="53" t="s">
        <v>46</v>
      </c>
      <c r="R37" s="54" t="s">
        <v>58</v>
      </c>
      <c r="S37" s="58">
        <v>38140</v>
      </c>
      <c r="T37" s="58">
        <v>1453</v>
      </c>
      <c r="U37" s="58">
        <v>210</v>
      </c>
      <c r="V37" s="58">
        <v>2189</v>
      </c>
      <c r="W37" s="58">
        <v>341</v>
      </c>
      <c r="X37" s="58">
        <v>22</v>
      </c>
      <c r="Y37" s="58">
        <v>28</v>
      </c>
      <c r="Z37" s="5"/>
    </row>
    <row r="38">
      <c r="A38" s="14"/>
      <c r="B38" s="27" t="s">
        <v>37</v>
      </c>
      <c r="C38" s="27"/>
      <c r="D38" s="28">
        <f>SUM(D34:D37)</f>
      </c>
      <c r="E38" s="28">
        <f>SUM(E34:E37)</f>
      </c>
      <c r="F38" s="28">
        <f>SUM(F34:G37)</f>
      </c>
      <c r="G38" s="28"/>
      <c r="H38" s="29">
        <f>SUM(H34:H37)</f>
      </c>
      <c r="I38" s="28">
        <f>SUM(I34:I37)</f>
      </c>
      <c r="J38" s="30">
        <f t="shared" si="53"/>
      </c>
      <c r="K38" s="66">
        <f t="shared" si="62"/>
      </c>
      <c r="L38" s="32">
        <f t="shared" si="71"/>
      </c>
      <c r="M38" s="67">
        <f t="shared" si="81"/>
      </c>
      <c r="N38" s="33">
        <f t="shared" si="2"/>
      </c>
      <c r="O38" s="68">
        <f t="shared" si="11"/>
      </c>
      <c r="P38" s="33">
        <f t="shared" si="90"/>
      </c>
      <c r="Q38" s="34"/>
      <c r="R38" s="34"/>
      <c r="S38" s="29">
        <f>SUM(S34:S37)</f>
      </c>
      <c r="T38" s="29">
        <f>SUM(T34:T37)</f>
      </c>
      <c r="U38" s="29">
        <f>SUM(U34:U37)</f>
      </c>
      <c r="V38" s="29">
        <f>SUM(V34:V37)</f>
      </c>
      <c r="W38" s="29">
        <f>SUM(W34:W37)</f>
      </c>
      <c r="X38" s="29">
        <f>SUM(X34:X37)</f>
      </c>
      <c r="Y38" s="29">
        <f>SUM(Y34:Y37)</f>
      </c>
      <c r="Z38" s="5"/>
    </row>
    <row r="39">
      <c r="A39" s="14"/>
      <c r="B39" s="69" t="s">
        <v>59</v>
      </c>
      <c r="C39" s="17" t="s">
        <v>51</v>
      </c>
      <c r="D39" s="17">
        <f t="shared" ref="D39:D43" si="24">E39+G39+F39</f>
      </c>
      <c r="E39" s="17">
        <v>545.8499999999999</v>
      </c>
      <c r="F39" s="16">
        <v>801.04</v>
      </c>
      <c r="G39" s="16">
        <v>0</v>
      </c>
      <c r="H39" s="60">
        <v>4</v>
      </c>
      <c r="I39" s="17">
        <v>2201.6400000000003</v>
      </c>
      <c r="J39" s="19">
        <f t="shared" si="53"/>
      </c>
      <c r="K39" s="19">
        <f t="shared" si="62"/>
      </c>
      <c r="L39" s="19">
        <f t="shared" si="71"/>
      </c>
      <c r="M39" s="20">
        <f t="shared" si="81"/>
      </c>
      <c r="N39" s="21">
        <f t="shared" si="2"/>
      </c>
      <c r="O39" s="22">
        <f t="shared" si="11"/>
      </c>
      <c r="P39" s="21">
        <f t="shared" si="90"/>
      </c>
      <c r="Q39" s="53" t="s">
        <v>46</v>
      </c>
      <c r="R39" s="54" t="s">
        <v>58</v>
      </c>
      <c r="S39" s="59">
        <v>18972</v>
      </c>
      <c r="T39" s="59">
        <v>963</v>
      </c>
      <c r="U39" s="59">
        <v>114</v>
      </c>
      <c r="V39" s="59">
        <v>1722</v>
      </c>
      <c r="W39" s="59">
        <v>252</v>
      </c>
      <c r="X39" s="25">
        <v>8</v>
      </c>
      <c r="Y39" s="25">
        <v>28</v>
      </c>
      <c r="Z39" s="5"/>
    </row>
    <row r="40">
      <c r="A40" s="14"/>
      <c r="B40" s="69" t="s">
        <v>59</v>
      </c>
      <c r="C40" s="17" t="s">
        <v>52</v>
      </c>
      <c r="D40" s="17">
        <f t="shared" si="24"/>
      </c>
      <c r="E40" s="61">
        <v>641.0899999999997</v>
      </c>
      <c r="F40" s="16">
        <v>865.5</v>
      </c>
      <c r="G40" s="16">
        <v>0</v>
      </c>
      <c r="H40" s="18">
        <v>0</v>
      </c>
      <c r="I40" s="16">
        <v>0</v>
      </c>
      <c r="J40" s="19">
        <f t="shared" si="53"/>
      </c>
      <c r="K40" s="19">
        <f t="shared" si="62"/>
      </c>
      <c r="L40" s="19">
        <f t="shared" si="71"/>
      </c>
      <c r="M40" s="20">
        <f t="shared" si="81"/>
      </c>
      <c r="N40" s="21">
        <f t="shared" si="2"/>
      </c>
      <c r="O40" s="22">
        <f t="shared" si="11"/>
      </c>
      <c r="P40" s="21">
        <f t="shared" si="90"/>
      </c>
      <c r="Q40" s="53" t="s">
        <v>46</v>
      </c>
      <c r="R40" s="54" t="s">
        <v>58</v>
      </c>
      <c r="S40" s="59">
        <v>25656</v>
      </c>
      <c r="T40" s="59">
        <v>1293</v>
      </c>
      <c r="U40" s="59">
        <v>102</v>
      </c>
      <c r="V40" s="59">
        <v>2714</v>
      </c>
      <c r="W40" s="59">
        <v>406</v>
      </c>
      <c r="X40" s="25">
        <v>10</v>
      </c>
      <c r="Y40" s="25">
        <v>29</v>
      </c>
      <c r="Z40" s="5"/>
    </row>
    <row r="41">
      <c r="A41" s="14"/>
      <c r="B41" s="69" t="s">
        <v>59</v>
      </c>
      <c r="C41" s="17" t="s">
        <v>53</v>
      </c>
      <c r="D41" s="17">
        <f t="shared" si="24"/>
      </c>
      <c r="E41" s="17">
        <v>608.9000000000005</v>
      </c>
      <c r="F41" s="16">
        <v>1203.59</v>
      </c>
      <c r="G41" s="16">
        <v>0</v>
      </c>
      <c r="H41" s="60">
        <v>8</v>
      </c>
      <c r="I41" s="17">
        <v>3546.879999999999</v>
      </c>
      <c r="J41" s="19">
        <f t="shared" si="53"/>
      </c>
      <c r="K41" s="19">
        <f t="shared" si="62"/>
      </c>
      <c r="L41" s="19">
        <f t="shared" si="71"/>
      </c>
      <c r="M41" s="20">
        <f t="shared" si="81"/>
      </c>
      <c r="N41" s="21">
        <f t="shared" si="2"/>
      </c>
      <c r="O41" s="22">
        <f t="shared" si="11"/>
      </c>
      <c r="P41" s="21">
        <f t="shared" si="90"/>
      </c>
      <c r="Q41" s="53" t="s">
        <v>46</v>
      </c>
      <c r="R41" s="54" t="s">
        <v>58</v>
      </c>
      <c r="S41" s="59">
        <v>25526</v>
      </c>
      <c r="T41" s="59">
        <v>1257</v>
      </c>
      <c r="U41" s="59">
        <v>172</v>
      </c>
      <c r="V41" s="59">
        <v>2277</v>
      </c>
      <c r="W41" s="59">
        <v>362</v>
      </c>
      <c r="X41" s="59">
        <v>14</v>
      </c>
      <c r="Y41" s="59">
        <v>33</v>
      </c>
      <c r="Z41" s="5"/>
    </row>
    <row r="42">
      <c r="A42" s="14"/>
      <c r="B42" s="69" t="s">
        <v>59</v>
      </c>
      <c r="C42" s="17" t="s">
        <v>54</v>
      </c>
      <c r="D42" s="17">
        <f t="shared" si="24"/>
      </c>
      <c r="E42" s="17">
        <v>447.8900000000003</v>
      </c>
      <c r="F42" s="17">
        <v>1199.4999999999982</v>
      </c>
      <c r="G42" s="16">
        <v>0</v>
      </c>
      <c r="H42" s="60">
        <v>3</v>
      </c>
      <c r="I42" s="17">
        <v>1585.5600000000013</v>
      </c>
      <c r="J42" s="19">
        <f t="shared" si="53"/>
      </c>
      <c r="K42" s="19">
        <f t="shared" si="62"/>
      </c>
      <c r="L42" s="19">
        <f t="shared" si="71"/>
      </c>
      <c r="M42" s="20">
        <f t="shared" si="81"/>
      </c>
      <c r="N42" s="21">
        <f t="shared" si="2"/>
      </c>
      <c r="O42" s="22">
        <f t="shared" si="11"/>
      </c>
      <c r="P42" s="21">
        <f t="shared" si="90"/>
      </c>
      <c r="Q42" s="53" t="s">
        <v>46</v>
      </c>
      <c r="R42" s="54" t="s">
        <v>58</v>
      </c>
      <c r="S42" s="59">
        <v>23962</v>
      </c>
      <c r="T42" s="59">
        <v>1064</v>
      </c>
      <c r="U42" s="59">
        <v>116</v>
      </c>
      <c r="V42" s="59">
        <v>1946</v>
      </c>
      <c r="W42" s="59">
        <v>306</v>
      </c>
      <c r="X42" s="59">
        <v>6</v>
      </c>
      <c r="Y42" s="59">
        <v>20</v>
      </c>
      <c r="Z42" s="5"/>
    </row>
    <row r="43">
      <c r="A43" s="14"/>
      <c r="B43" s="69" t="s">
        <v>59</v>
      </c>
      <c r="C43" s="17" t="s">
        <v>31</v>
      </c>
      <c r="D43" s="17">
        <f t="shared" si="24"/>
      </c>
      <c r="E43" s="16">
        <v>404.41999999999916</v>
      </c>
      <c r="F43" s="16">
        <v>3117.340000000004</v>
      </c>
      <c r="G43" s="16">
        <v>0</v>
      </c>
      <c r="H43" s="18">
        <v>9</v>
      </c>
      <c r="I43" s="16">
        <v>4259.300000000001</v>
      </c>
      <c r="J43" s="19">
        <f t="shared" si="53"/>
      </c>
      <c r="K43" s="19">
        <f t="shared" si="62"/>
      </c>
      <c r="L43" s="19">
        <f t="shared" si="71"/>
      </c>
      <c r="M43" s="20">
        <f t="shared" si="81"/>
      </c>
      <c r="N43" s="21">
        <f t="shared" si="2"/>
      </c>
      <c r="O43" s="22">
        <f t="shared" si="11"/>
      </c>
      <c r="P43" s="21">
        <f t="shared" si="90"/>
      </c>
      <c r="Q43" s="53" t="s">
        <v>55</v>
      </c>
      <c r="R43" s="54" t="s">
        <v>60</v>
      </c>
      <c r="S43" s="59">
        <v>100247</v>
      </c>
      <c r="T43" s="59">
        <v>1511</v>
      </c>
      <c r="U43" s="59">
        <v>260</v>
      </c>
      <c r="V43" s="59">
        <v>2332</v>
      </c>
      <c r="W43" s="59">
        <v>391</v>
      </c>
      <c r="X43" s="25">
        <v>17</v>
      </c>
      <c r="Y43" s="25">
        <v>47</v>
      </c>
      <c r="Z43" s="5"/>
    </row>
    <row r="44">
      <c r="A44" s="14"/>
      <c r="B44" s="27" t="s">
        <v>37</v>
      </c>
      <c r="C44" s="27"/>
      <c r="D44" s="28">
        <f>SUM(D39:D43)</f>
      </c>
      <c r="E44" s="28">
        <f>SUM(E39:E43)</f>
      </c>
      <c r="F44" s="28">
        <f>SUM(F39:G43)</f>
      </c>
      <c r="G44" s="28"/>
      <c r="H44" s="28">
        <f>SUM(H39:H43)</f>
      </c>
      <c r="I44" s="28">
        <f>SUM(I39:I43)</f>
      </c>
      <c r="J44" s="39">
        <f t="shared" si="53"/>
      </c>
      <c r="K44" s="31">
        <f t="shared" si="62"/>
      </c>
      <c r="L44" s="40">
        <f t="shared" si="71"/>
      </c>
      <c r="M44" s="33">
        <f t="shared" si="81"/>
      </c>
      <c r="N44" s="33">
        <f t="shared" si="2"/>
      </c>
      <c r="O44" s="34">
        <f t="shared" si="11"/>
      </c>
      <c r="P44" s="33">
        <f t="shared" si="90"/>
      </c>
      <c r="Q44" s="34"/>
      <c r="R44" s="34"/>
      <c r="S44" s="28">
        <f>SUM(S39:S43)</f>
      </c>
      <c r="T44" s="28">
        <f>SUM(T39:T43)</f>
      </c>
      <c r="U44" s="28">
        <f>SUM(U39:U43)</f>
      </c>
      <c r="V44" s="28">
        <f>SUM(V39:V43)</f>
      </c>
      <c r="W44" s="28">
        <f>SUM(W39:W43)</f>
      </c>
      <c r="X44" s="28">
        <f>SUM(X39:X43)</f>
      </c>
      <c r="Y44" s="28">
        <f>SUM(Y39:Y43)</f>
      </c>
      <c r="Z44" s="5"/>
    </row>
    <row r="45">
      <c r="A45" s="14"/>
      <c r="B45" s="15" t="s">
        <v>38</v>
      </c>
      <c r="C45" s="17" t="s">
        <v>34</v>
      </c>
      <c r="D45" s="17">
        <f t="shared" ref="D45:D47" si="25">E45+G45+F45</f>
      </c>
      <c r="E45" s="16">
        <v>254.1900000000005</v>
      </c>
      <c r="F45" s="16">
        <v>2433.8599999999988</v>
      </c>
      <c r="G45" s="16">
        <v>0</v>
      </c>
      <c r="H45" s="18">
        <v>8</v>
      </c>
      <c r="I45" s="16">
        <v>3069.359999999997</v>
      </c>
      <c r="J45" s="19">
        <f t="shared" si="53"/>
      </c>
      <c r="K45" s="19">
        <f t="shared" si="62"/>
      </c>
      <c r="L45" s="19">
        <f t="shared" si="71"/>
      </c>
      <c r="M45" s="20">
        <f t="shared" si="81"/>
      </c>
      <c r="N45" s="21">
        <f t="shared" si="2"/>
      </c>
      <c r="O45" s="22">
        <f t="shared" si="11"/>
      </c>
      <c r="P45" s="21">
        <f t="shared" si="90"/>
      </c>
      <c r="Q45" s="53" t="s">
        <v>55</v>
      </c>
      <c r="R45" s="54" t="s">
        <v>60</v>
      </c>
      <c r="S45" s="59">
        <v>69365</v>
      </c>
      <c r="T45" s="59">
        <v>1078</v>
      </c>
      <c r="U45" s="59">
        <v>190</v>
      </c>
      <c r="V45" s="59">
        <v>1660</v>
      </c>
      <c r="W45" s="59">
        <v>258</v>
      </c>
      <c r="X45" s="25">
        <v>16</v>
      </c>
      <c r="Y45" s="25">
        <v>34</v>
      </c>
      <c r="Z45" s="5"/>
    </row>
    <row r="46">
      <c r="A46" s="14"/>
      <c r="B46" s="15" t="s">
        <v>38</v>
      </c>
      <c r="C46" s="17" t="s">
        <v>35</v>
      </c>
      <c r="D46" s="17">
        <f t="shared" si="25"/>
      </c>
      <c r="E46" s="16">
        <v>297.97000000000025</v>
      </c>
      <c r="F46" s="16">
        <v>2979.069999999996</v>
      </c>
      <c r="G46" s="16">
        <v>0</v>
      </c>
      <c r="H46" s="18">
        <v>10</v>
      </c>
      <c r="I46" s="16">
        <v>5365.32</v>
      </c>
      <c r="J46" s="19">
        <f t="shared" si="53"/>
      </c>
      <c r="K46" s="19">
        <f t="shared" si="62"/>
      </c>
      <c r="L46" s="19">
        <f t="shared" si="71"/>
      </c>
      <c r="M46" s="20">
        <f t="shared" si="81"/>
      </c>
      <c r="N46" s="21">
        <f t="shared" si="2"/>
      </c>
      <c r="O46" s="22">
        <f t="shared" si="11"/>
      </c>
      <c r="P46" s="21">
        <f t="shared" si="90"/>
      </c>
      <c r="Q46" s="53" t="s">
        <v>55</v>
      </c>
      <c r="R46" s="54" t="s">
        <v>60</v>
      </c>
      <c r="S46" s="59">
        <v>112196</v>
      </c>
      <c r="T46" s="59">
        <v>1485</v>
      </c>
      <c r="U46" s="59">
        <v>242</v>
      </c>
      <c r="V46" s="59">
        <v>2138</v>
      </c>
      <c r="W46" s="59">
        <v>395</v>
      </c>
      <c r="X46" s="25">
        <v>22</v>
      </c>
      <c r="Y46" s="25">
        <v>46</v>
      </c>
      <c r="Z46" s="5"/>
    </row>
    <row r="47">
      <c r="A47" s="14"/>
      <c r="B47" s="15" t="s">
        <v>38</v>
      </c>
      <c r="C47" s="17" t="s">
        <v>36</v>
      </c>
      <c r="D47" s="17">
        <f t="shared" si="25"/>
      </c>
      <c r="E47" s="16">
        <v>425.6700000000001</v>
      </c>
      <c r="F47" s="16">
        <v>3196.9400000000023</v>
      </c>
      <c r="G47" s="16">
        <v>0</v>
      </c>
      <c r="H47" s="18">
        <v>16</v>
      </c>
      <c r="I47" s="16">
        <v>10684.320000000003</v>
      </c>
      <c r="J47" s="19">
        <f t="shared" si="53"/>
      </c>
      <c r="K47" s="19">
        <f t="shared" si="62"/>
      </c>
      <c r="L47" s="19">
        <f t="shared" si="71"/>
      </c>
      <c r="M47" s="20">
        <f t="shared" si="81"/>
      </c>
      <c r="N47" s="21">
        <f t="shared" si="2"/>
      </c>
      <c r="O47" s="22">
        <f t="shared" si="11"/>
      </c>
      <c r="P47" s="21">
        <f t="shared" si="90"/>
      </c>
      <c r="Q47" s="53" t="s">
        <v>55</v>
      </c>
      <c r="R47" s="54" t="s">
        <v>60</v>
      </c>
      <c r="S47" s="59">
        <v>142926</v>
      </c>
      <c r="T47" s="59">
        <v>1823</v>
      </c>
      <c r="U47" s="59">
        <v>303</v>
      </c>
      <c r="V47" s="59">
        <v>2650</v>
      </c>
      <c r="W47" s="59">
        <v>392</v>
      </c>
      <c r="X47" s="25">
        <v>24</v>
      </c>
      <c r="Y47" s="25">
        <v>57</v>
      </c>
      <c r="Z47" s="5"/>
    </row>
    <row r="48">
      <c r="A48" s="14"/>
      <c r="B48" s="27" t="s">
        <v>37</v>
      </c>
      <c r="C48" s="27"/>
      <c r="D48" s="28">
        <f>SUM(D45:D47)</f>
      </c>
      <c r="E48" s="28">
        <f>SUM(E45:E47)</f>
      </c>
      <c r="F48" s="28">
        <f>SUM(F45:G47)</f>
      </c>
      <c r="G48" s="28"/>
      <c r="H48" s="29">
        <f>SUM(H45:H47)</f>
      </c>
      <c r="I48" s="28">
        <f>SUM(I45:I47)</f>
      </c>
      <c r="J48" s="30">
        <f t="shared" si="53"/>
      </c>
      <c r="K48" s="31">
        <f t="shared" si="62"/>
      </c>
      <c r="L48" s="32">
        <f t="shared" si="71"/>
      </c>
      <c r="M48" s="33">
        <f t="shared" si="81"/>
      </c>
      <c r="N48" s="33">
        <f t="shared" si="2"/>
      </c>
      <c r="O48" s="34">
        <f t="shared" si="11"/>
      </c>
      <c r="P48" s="33">
        <f t="shared" si="90"/>
      </c>
      <c r="Q48" s="34"/>
      <c r="R48" s="34"/>
      <c r="S48" s="29">
        <f>SUM(S45:S47)</f>
      </c>
      <c r="T48" s="29">
        <f>SUM(T45:T47)</f>
      </c>
      <c r="U48" s="29">
        <f>SUM(U45:U47)</f>
      </c>
      <c r="V48" s="29">
        <f>SUM(V45:V47)</f>
      </c>
      <c r="W48" s="29">
        <f>SUM(W45:W47)</f>
      </c>
      <c r="X48" s="29">
        <f>SUM(X45:X47)</f>
      </c>
      <c r="Y48" s="29">
        <f>SUM(Y45:Y47)</f>
      </c>
      <c r="Z48" s="5"/>
    </row>
    <row r="49">
      <c r="A49" s="14"/>
      <c r="B49" s="15" t="s">
        <v>50</v>
      </c>
      <c r="C49" s="17" t="s">
        <v>39</v>
      </c>
      <c r="D49" s="17">
        <f t="shared" ref="D49:D52" si="26">E49+G49+F49</f>
      </c>
      <c r="E49" s="16">
        <v>434.6899999999996</v>
      </c>
      <c r="F49" s="16">
        <v>4017.5700000000033</v>
      </c>
      <c r="G49" s="16">
        <v>0</v>
      </c>
      <c r="H49" s="18">
        <v>13</v>
      </c>
      <c r="I49" s="16">
        <v>7706.4000000000015</v>
      </c>
      <c r="J49" s="19">
        <f t="shared" si="53"/>
      </c>
      <c r="K49" s="19">
        <f t="shared" si="62"/>
      </c>
      <c r="L49" s="19">
        <f t="shared" si="71"/>
      </c>
      <c r="M49" s="20">
        <f t="shared" si="81"/>
      </c>
      <c r="N49" s="21">
        <f t="shared" si="2"/>
      </c>
      <c r="O49" s="22">
        <f t="shared" si="11"/>
      </c>
      <c r="P49" s="21">
        <f t="shared" si="90"/>
      </c>
      <c r="Q49" s="53" t="s">
        <v>55</v>
      </c>
      <c r="R49" s="54" t="s">
        <v>60</v>
      </c>
      <c r="S49" s="70">
        <v>176051</v>
      </c>
      <c r="T49" s="70">
        <v>2342</v>
      </c>
      <c r="U49" s="70">
        <v>359</v>
      </c>
      <c r="V49" s="70">
        <v>3286</v>
      </c>
      <c r="W49" s="70">
        <v>464</v>
      </c>
      <c r="X49" s="35">
        <v>26</v>
      </c>
      <c r="Y49" s="25">
        <v>58</v>
      </c>
      <c r="Z49" s="5"/>
    </row>
    <row r="50">
      <c r="A50" s="14"/>
      <c r="B50" s="15" t="s">
        <v>50</v>
      </c>
      <c r="C50" s="17" t="s">
        <v>40</v>
      </c>
      <c r="D50" s="17">
        <f t="shared" si="26"/>
      </c>
      <c r="E50" s="16">
        <v>741.0799999999999</v>
      </c>
      <c r="F50" s="16">
        <v>4402.989999999994</v>
      </c>
      <c r="G50" s="16">
        <v>0</v>
      </c>
      <c r="H50" s="18">
        <v>30</v>
      </c>
      <c r="I50" s="16">
        <v>11325.36</v>
      </c>
      <c r="J50" s="19">
        <f t="shared" si="53"/>
      </c>
      <c r="K50" s="19">
        <f t="shared" si="62"/>
      </c>
      <c r="L50" s="19">
        <f t="shared" si="71"/>
      </c>
      <c r="M50" s="20">
        <f t="shared" si="81"/>
      </c>
      <c r="N50" s="21">
        <f t="shared" si="2"/>
      </c>
      <c r="O50" s="22">
        <f t="shared" si="11"/>
      </c>
      <c r="P50" s="21">
        <f t="shared" si="90"/>
      </c>
      <c r="Q50" s="53" t="s">
        <v>55</v>
      </c>
      <c r="R50" s="54" t="s">
        <v>60</v>
      </c>
      <c r="S50" s="70">
        <v>119246</v>
      </c>
      <c r="T50" s="70">
        <v>2712</v>
      </c>
      <c r="U50" s="70">
        <v>352</v>
      </c>
      <c r="V50" s="70">
        <v>4347</v>
      </c>
      <c r="W50" s="71">
        <v>597</v>
      </c>
      <c r="X50" s="37">
        <v>45</v>
      </c>
      <c r="Y50" s="38">
        <v>69</v>
      </c>
      <c r="Z50" s="5"/>
    </row>
    <row r="51">
      <c r="A51" s="14"/>
      <c r="B51" s="15" t="s">
        <v>50</v>
      </c>
      <c r="C51" s="17" t="s">
        <v>41</v>
      </c>
      <c r="D51" s="17">
        <f t="shared" si="26"/>
      </c>
      <c r="E51" s="16">
        <v>1703.8200000000006</v>
      </c>
      <c r="F51" s="16">
        <v>4731.460000000006</v>
      </c>
      <c r="G51" s="16">
        <v>0</v>
      </c>
      <c r="H51" s="18">
        <v>23</v>
      </c>
      <c r="I51" s="16">
        <v>16309.540000000008</v>
      </c>
      <c r="J51" s="19">
        <f t="shared" si="53"/>
      </c>
      <c r="K51" s="19">
        <f t="shared" si="62"/>
      </c>
      <c r="L51" s="19">
        <f t="shared" si="71"/>
      </c>
      <c r="M51" s="20">
        <f t="shared" si="81"/>
      </c>
      <c r="N51" s="21">
        <f t="shared" si="2"/>
      </c>
      <c r="O51" s="22">
        <f t="shared" si="11"/>
      </c>
      <c r="P51" s="21">
        <f t="shared" si="90"/>
      </c>
      <c r="Q51" s="53" t="s">
        <v>55</v>
      </c>
      <c r="R51" s="54" t="s">
        <v>60</v>
      </c>
      <c r="S51" s="70">
        <v>162087</v>
      </c>
      <c r="T51" s="70">
        <v>4272</v>
      </c>
      <c r="U51" s="70">
        <v>392</v>
      </c>
      <c r="V51" s="70">
        <v>8115</v>
      </c>
      <c r="W51" s="71">
        <v>934</v>
      </c>
      <c r="X51" s="37">
        <v>40</v>
      </c>
      <c r="Y51" s="38">
        <v>92</v>
      </c>
      <c r="Z51" s="5"/>
    </row>
    <row r="52">
      <c r="A52" s="14"/>
      <c r="B52" s="15" t="s">
        <v>50</v>
      </c>
      <c r="C52" s="17" t="s">
        <v>42</v>
      </c>
      <c r="D52" s="17">
        <f t="shared" si="26"/>
      </c>
      <c r="E52" s="16">
        <v>261.1899999999987</v>
      </c>
      <c r="F52" s="16">
        <v>4071.75</v>
      </c>
      <c r="G52" s="16">
        <v>0</v>
      </c>
      <c r="H52" s="18">
        <v>17</v>
      </c>
      <c r="I52" s="16">
        <v>10853.779999999999</v>
      </c>
      <c r="J52" s="19">
        <f t="shared" si="53"/>
      </c>
      <c r="K52" s="19">
        <f t="shared" si="62"/>
      </c>
      <c r="L52" s="19">
        <f t="shared" si="71"/>
      </c>
      <c r="M52" s="20">
        <f t="shared" si="81"/>
      </c>
      <c r="N52" s="21">
        <f t="shared" si="2"/>
      </c>
      <c r="O52" s="22">
        <f t="shared" si="11"/>
      </c>
      <c r="P52" s="21">
        <f t="shared" si="90"/>
      </c>
      <c r="Q52" s="53" t="s">
        <v>55</v>
      </c>
      <c r="R52" s="54" t="s">
        <v>60</v>
      </c>
      <c r="S52" s="70">
        <v>116034</v>
      </c>
      <c r="T52" s="70">
        <v>4065</v>
      </c>
      <c r="U52" s="70">
        <v>263</v>
      </c>
      <c r="V52" s="70">
        <v>7067</v>
      </c>
      <c r="W52" s="70">
        <v>745</v>
      </c>
      <c r="X52" s="72">
        <v>31</v>
      </c>
      <c r="Y52" s="25">
        <v>55</v>
      </c>
      <c r="Z52" s="5"/>
    </row>
    <row r="53">
      <c r="A53" s="14"/>
      <c r="B53" s="27" t="s">
        <v>37</v>
      </c>
      <c r="C53" s="27"/>
      <c r="D53" s="28">
        <f>SUM(D49:D52)</f>
      </c>
      <c r="E53" s="28">
        <f>SUM(E49:E52)</f>
      </c>
      <c r="F53" s="28">
        <f>SUM(F49:G52)</f>
      </c>
      <c r="G53" s="28"/>
      <c r="H53" s="28">
        <f>SUM(H49:H52)</f>
      </c>
      <c r="I53" s="28">
        <f>SUM(I49:I52)</f>
      </c>
      <c r="J53" s="39">
        <f t="shared" si="53"/>
      </c>
      <c r="K53" s="31">
        <f t="shared" si="62"/>
      </c>
      <c r="L53" s="40">
        <f t="shared" si="71"/>
      </c>
      <c r="M53" s="33">
        <f t="shared" si="81"/>
      </c>
      <c r="N53" s="33">
        <f t="shared" si="2"/>
      </c>
      <c r="O53" s="34">
        <f t="shared" si="11"/>
      </c>
      <c r="P53" s="33">
        <f t="shared" si="90"/>
      </c>
      <c r="Q53" s="34"/>
      <c r="R53" s="41"/>
      <c r="S53" s="28">
        <f>SUM(S49:S52)</f>
      </c>
      <c r="T53" s="28">
        <f>SUM(T49:T52)</f>
      </c>
      <c r="U53" s="28">
        <f>SUM(U49:U52)</f>
      </c>
      <c r="V53" s="28">
        <f>SUM(V49:V52)</f>
      </c>
      <c r="W53" s="28">
        <f>SUM(W49:W52)</f>
      </c>
      <c r="X53" s="28">
        <f>SUM(X49:X52)</f>
      </c>
      <c r="Y53" s="28">
        <f>SUM(Y49:Y52)</f>
      </c>
      <c r="Z53" s="5"/>
    </row>
    <row r="54">
      <c r="A54" s="14"/>
      <c r="B54" s="42" t="s">
        <v>43</v>
      </c>
      <c r="C54" s="42"/>
      <c r="D54" s="43">
        <f>D53+D48+D44+D38</f>
      </c>
      <c r="E54" s="43">
        <f>E53+E48+E44+E38</f>
      </c>
      <c r="F54" s="43">
        <f>F53+F48+F44+F38</f>
      </c>
      <c r="G54" s="43"/>
      <c r="H54" s="44">
        <f>H53+H48+H44+H38</f>
      </c>
      <c r="I54" s="43">
        <f>I53+I48+I44+I38</f>
      </c>
      <c r="J54" s="45">
        <f t="shared" si="53"/>
      </c>
      <c r="K54" s="45">
        <f t="shared" si="62"/>
      </c>
      <c r="L54" s="45">
        <f t="shared" si="71"/>
      </c>
      <c r="M54" s="46">
        <f t="shared" si="81"/>
      </c>
      <c r="N54" s="46">
        <f t="shared" si="2"/>
      </c>
      <c r="O54" s="45">
        <f t="shared" si="11"/>
      </c>
      <c r="P54" s="46">
        <f t="shared" si="90"/>
      </c>
      <c r="Q54" s="47"/>
      <c r="R54" s="48"/>
      <c r="S54" s="49">
        <f>S53+S48+S44+S38</f>
      </c>
      <c r="T54" s="49">
        <f>T53+T48+T44+T38</f>
      </c>
      <c r="U54" s="49">
        <f>U53+U48+U44+U38</f>
      </c>
      <c r="V54" s="49">
        <f>V53+V48+V44+V38</f>
      </c>
      <c r="W54" s="49">
        <f>W53+W48+W44+W38</f>
      </c>
      <c r="X54" s="50">
        <f>X53+X48+X44+X38</f>
      </c>
      <c r="Y54" s="44">
        <f>Y53+Y48+Y44+Y38</f>
      </c>
      <c r="Z54" s="5"/>
    </row>
    <row r="55">
      <c r="A55" s="1" t="s">
        <v>1</v>
      </c>
      <c r="B55" s="1"/>
      <c r="C55" s="1"/>
      <c r="D55" s="2" t="s">
        <v>2</v>
      </c>
      <c r="E55" s="2"/>
      <c r="F55" s="2"/>
      <c r="G55" s="2"/>
      <c r="H55" s="2"/>
      <c r="I55" s="2"/>
      <c r="J55" s="2"/>
      <c r="K55" s="2"/>
      <c r="L55" s="2"/>
      <c r="M55" s="3" t="s">
        <v>3</v>
      </c>
      <c r="N55" s="3"/>
      <c r="O55" s="3"/>
      <c r="P55" s="3"/>
      <c r="Q55" s="3"/>
      <c r="R55" s="3"/>
      <c r="S55" s="4" t="s">
        <v>4</v>
      </c>
      <c r="T55" s="4"/>
      <c r="U55" s="4"/>
      <c r="V55" s="4"/>
      <c r="W55" s="4"/>
      <c r="X55" s="4"/>
      <c r="Y55" s="4"/>
      <c r="Z55" s="5"/>
    </row>
    <row r="56">
      <c r="A56" s="1" t="s">
        <v>5</v>
      </c>
      <c r="B56" s="1" t="s">
        <v>6</v>
      </c>
      <c r="C56" s="1" t="s">
        <v>7</v>
      </c>
      <c r="D56" s="7" t="s">
        <v>8</v>
      </c>
      <c r="E56" s="7" t="s">
        <v>9</v>
      </c>
      <c r="F56" s="2" t="s">
        <v>10</v>
      </c>
      <c r="G56" s="2"/>
      <c r="H56" s="8" t="s">
        <v>11</v>
      </c>
      <c r="I56" s="2" t="s">
        <v>12</v>
      </c>
      <c r="J56" s="9" t="s">
        <v>13</v>
      </c>
      <c r="K56" s="10" t="s">
        <v>14</v>
      </c>
      <c r="L56" s="2" t="s">
        <v>15</v>
      </c>
      <c r="M56" s="3" t="s">
        <v>16</v>
      </c>
      <c r="N56" s="3" t="s">
        <v>17</v>
      </c>
      <c r="O56" s="3" t="s">
        <v>18</v>
      </c>
      <c r="P56" s="3" t="s">
        <v>19</v>
      </c>
      <c r="Q56" s="11" t="s">
        <v>20</v>
      </c>
      <c r="R56" s="11" t="s">
        <v>21</v>
      </c>
      <c r="S56" s="12" t="s">
        <v>22</v>
      </c>
      <c r="T56" s="12" t="s">
        <v>23</v>
      </c>
      <c r="U56" s="13" t="s">
        <v>24</v>
      </c>
      <c r="V56" s="13" t="s">
        <v>25</v>
      </c>
      <c r="W56" s="13" t="s">
        <v>26</v>
      </c>
      <c r="X56" s="13" t="s">
        <v>27</v>
      </c>
      <c r="Y56" s="13" t="s">
        <v>28</v>
      </c>
      <c r="Z56" s="5"/>
    </row>
    <row r="57">
      <c r="A57" s="14" t="s">
        <v>61</v>
      </c>
      <c r="B57" s="15" t="s">
        <v>62</v>
      </c>
      <c r="C57" s="16" t="s">
        <v>63</v>
      </c>
      <c r="D57" s="17">
        <f t="shared" ref="D57:D60" si="27">E57+G57+F57</f>
      </c>
      <c r="E57" s="17">
        <v>1854.13</v>
      </c>
      <c r="F57" s="17">
        <v>3819.5999999999995</v>
      </c>
      <c r="G57" s="16">
        <v>0</v>
      </c>
      <c r="H57" s="18">
        <v>14</v>
      </c>
      <c r="I57" s="17">
        <v>7135.92</v>
      </c>
      <c r="J57" s="52">
        <f t="shared" ref="J57:J78" si="54">I57/D57</f>
      </c>
      <c r="K57" s="52">
        <f t="shared" ref="K57:K78" si="63">D57/H57</f>
      </c>
      <c r="L57" s="19">
        <f t="shared" ref="L57:L78" si="72">I57/H57</f>
      </c>
      <c r="M57" s="20">
        <f t="shared" ref="M57:M78" si="82">T57/S57</f>
      </c>
      <c r="N57" s="21">
        <f t="shared" ref="N57:N78" si="3">H57/X57</f>
      </c>
      <c r="O57" s="22">
        <f t="shared" ref="O57:O78" si="12">(Y57*1000)/D57</f>
      </c>
      <c r="P57" s="21">
        <f t="shared" ref="P57:P78" si="91">W57/V57</f>
      </c>
      <c r="Q57" s="53" t="s">
        <v>46</v>
      </c>
      <c r="R57" s="54" t="s">
        <v>64</v>
      </c>
      <c r="S57" s="55">
        <v>111157</v>
      </c>
      <c r="T57" s="55">
        <v>4347</v>
      </c>
      <c r="U57" s="56">
        <v>347</v>
      </c>
      <c r="V57" s="55">
        <v>7478</v>
      </c>
      <c r="W57" s="55">
        <v>1168</v>
      </c>
      <c r="X57" s="37">
        <v>40</v>
      </c>
      <c r="Y57" s="37">
        <v>78</v>
      </c>
      <c r="Z57" s="5"/>
    </row>
    <row r="58">
      <c r="A58" s="14"/>
      <c r="B58" s="15" t="s">
        <v>62</v>
      </c>
      <c r="C58" s="17" t="s">
        <v>45</v>
      </c>
      <c r="D58" s="17">
        <f t="shared" si="27"/>
      </c>
      <c r="E58" s="61">
        <v>408.3800000000001</v>
      </c>
      <c r="F58" s="17">
        <v>3532.31</v>
      </c>
      <c r="G58" s="16">
        <v>0</v>
      </c>
      <c r="H58" s="60">
        <v>23</v>
      </c>
      <c r="I58" s="17">
        <v>14620.679999999998</v>
      </c>
      <c r="J58" s="19">
        <f t="shared" si="54"/>
      </c>
      <c r="K58" s="19">
        <f t="shared" si="63"/>
      </c>
      <c r="L58" s="52">
        <f t="shared" si="72"/>
      </c>
      <c r="M58" s="20">
        <f t="shared" si="82"/>
      </c>
      <c r="N58" s="21">
        <f t="shared" si="3"/>
      </c>
      <c r="O58" s="22">
        <f t="shared" si="12"/>
      </c>
      <c r="P58" s="21">
        <f t="shared" si="91"/>
      </c>
      <c r="Q58" s="53" t="s">
        <v>46</v>
      </c>
      <c r="R58" s="54" t="s">
        <v>64</v>
      </c>
      <c r="S58" s="57">
        <v>97715</v>
      </c>
      <c r="T58" s="57">
        <v>2481</v>
      </c>
      <c r="U58" s="55">
        <v>318</v>
      </c>
      <c r="V58" s="55">
        <v>4737</v>
      </c>
      <c r="W58" s="55">
        <v>854</v>
      </c>
      <c r="X58" s="58">
        <v>43</v>
      </c>
      <c r="Y58" s="37">
        <v>46</v>
      </c>
      <c r="Z58" s="5"/>
    </row>
    <row r="59">
      <c r="A59" s="14"/>
      <c r="B59" s="15" t="s">
        <v>62</v>
      </c>
      <c r="C59" s="17" t="s">
        <v>47</v>
      </c>
      <c r="D59" s="17">
        <f t="shared" si="27"/>
      </c>
      <c r="E59" s="61">
        <v>688.8699999999999</v>
      </c>
      <c r="F59" s="16">
        <v>5830.48</v>
      </c>
      <c r="G59" s="16">
        <v>0</v>
      </c>
      <c r="H59" s="60">
        <v>11</v>
      </c>
      <c r="I59" s="17">
        <v>3724.4400000000023</v>
      </c>
      <c r="J59" s="52">
        <f t="shared" si="54"/>
      </c>
      <c r="K59" s="52">
        <f t="shared" si="63"/>
      </c>
      <c r="L59" s="52">
        <f t="shared" si="72"/>
      </c>
      <c r="M59" s="62">
        <f t="shared" si="82"/>
      </c>
      <c r="N59" s="63">
        <f t="shared" si="3"/>
      </c>
      <c r="O59" s="64">
        <f t="shared" si="12"/>
      </c>
      <c r="P59" s="21">
        <f t="shared" si="91"/>
      </c>
      <c r="Q59" s="53" t="s">
        <v>46</v>
      </c>
      <c r="R59" s="54" t="s">
        <v>64</v>
      </c>
      <c r="S59" s="58">
        <v>135371</v>
      </c>
      <c r="T59" s="58">
        <v>1511</v>
      </c>
      <c r="U59" s="65">
        <v>258</v>
      </c>
      <c r="V59" s="58">
        <v>2497</v>
      </c>
      <c r="W59" s="58">
        <v>422</v>
      </c>
      <c r="X59" s="58">
        <v>32</v>
      </c>
      <c r="Y59" s="58">
        <v>42</v>
      </c>
      <c r="Z59" s="5"/>
    </row>
    <row r="60">
      <c r="A60" s="14"/>
      <c r="B60" s="15" t="s">
        <v>62</v>
      </c>
      <c r="C60" s="17" t="s">
        <v>48</v>
      </c>
      <c r="D60" s="17">
        <f t="shared" si="27"/>
      </c>
      <c r="E60" s="17">
        <v>2076.5699999999997</v>
      </c>
      <c r="F60" s="16">
        <v>2048.54</v>
      </c>
      <c r="G60" s="16">
        <v>0</v>
      </c>
      <c r="H60" s="60">
        <v>20</v>
      </c>
      <c r="I60" s="17">
        <v>13020.120000000003</v>
      </c>
      <c r="J60" s="52">
        <f t="shared" si="54"/>
      </c>
      <c r="K60" s="19">
        <f t="shared" si="63"/>
      </c>
      <c r="L60" s="19">
        <f t="shared" si="72"/>
      </c>
      <c r="M60" s="20">
        <f t="shared" si="82"/>
      </c>
      <c r="N60" s="21">
        <f t="shared" si="3"/>
      </c>
      <c r="O60" s="22">
        <f t="shared" si="12"/>
      </c>
      <c r="P60" s="21">
        <f t="shared" si="91"/>
      </c>
      <c r="Q60" s="53" t="s">
        <v>46</v>
      </c>
      <c r="R60" s="54" t="s">
        <v>64</v>
      </c>
      <c r="S60" s="58">
        <v>78227</v>
      </c>
      <c r="T60" s="58">
        <v>3151</v>
      </c>
      <c r="U60" s="58">
        <v>294</v>
      </c>
      <c r="V60" s="58">
        <v>7129</v>
      </c>
      <c r="W60" s="58">
        <v>1177</v>
      </c>
      <c r="X60" s="58">
        <v>36</v>
      </c>
      <c r="Y60" s="58">
        <v>55</v>
      </c>
      <c r="Z60" s="5"/>
    </row>
    <row r="61">
      <c r="A61" s="14"/>
      <c r="B61" s="27" t="s">
        <v>37</v>
      </c>
      <c r="C61" s="27"/>
      <c r="D61" s="28">
        <f>SUM(D57:D60)</f>
      </c>
      <c r="E61" s="28">
        <f>SUM(E57:E60)</f>
      </c>
      <c r="F61" s="28">
        <f>SUM(F57:G60)</f>
      </c>
      <c r="G61" s="28"/>
      <c r="H61" s="29">
        <f>SUM(H57:H60)</f>
      </c>
      <c r="I61" s="28">
        <f>SUM(I57:I60)</f>
      </c>
      <c r="J61" s="30">
        <f t="shared" si="54"/>
      </c>
      <c r="K61" s="66">
        <f t="shared" si="63"/>
      </c>
      <c r="L61" s="32">
        <f t="shared" si="72"/>
      </c>
      <c r="M61" s="67">
        <f t="shared" si="82"/>
      </c>
      <c r="N61" s="33">
        <f t="shared" si="3"/>
      </c>
      <c r="O61" s="68">
        <f t="shared" si="12"/>
      </c>
      <c r="P61" s="33">
        <f t="shared" si="91"/>
      </c>
      <c r="Q61" s="34"/>
      <c r="R61" s="34"/>
      <c r="S61" s="29">
        <f>SUM(S57:S60)</f>
      </c>
      <c r="T61" s="29">
        <f>SUM(T57:T60)</f>
      </c>
      <c r="U61" s="29">
        <f>SUM(U57:U60)</f>
      </c>
      <c r="V61" s="29">
        <f>SUM(V57:V60)</f>
      </c>
      <c r="W61" s="29">
        <f>SUM(W57:W60)</f>
      </c>
      <c r="X61" s="29">
        <f>SUM(X57:X60)</f>
      </c>
      <c r="Y61" s="29">
        <f>SUM(Y57:Y60)</f>
      </c>
      <c r="Z61" s="5"/>
    </row>
    <row r="62">
      <c r="A62" s="14"/>
      <c r="B62" s="69" t="s">
        <v>59</v>
      </c>
      <c r="C62" s="17" t="s">
        <v>49</v>
      </c>
      <c r="D62" s="17">
        <f t="shared" ref="D62:D66" si="28">E62+G62+F62</f>
      </c>
      <c r="E62" s="17">
        <v>2025.12</v>
      </c>
      <c r="F62" s="16">
        <v>1284.02</v>
      </c>
      <c r="G62" s="16">
        <v>0</v>
      </c>
      <c r="H62" s="60">
        <v>10</v>
      </c>
      <c r="I62" s="17">
        <v>6222.479999999996</v>
      </c>
      <c r="J62" s="19">
        <f t="shared" si="54"/>
      </c>
      <c r="K62" s="19">
        <f t="shared" si="63"/>
      </c>
      <c r="L62" s="19">
        <f t="shared" si="72"/>
      </c>
      <c r="M62" s="20">
        <f t="shared" si="82"/>
      </c>
      <c r="N62" s="21">
        <f t="shared" si="3"/>
      </c>
      <c r="O62" s="22">
        <f t="shared" si="12"/>
      </c>
      <c r="P62" s="21">
        <f t="shared" si="91"/>
      </c>
      <c r="Q62" s="53" t="s">
        <v>46</v>
      </c>
      <c r="R62" s="54" t="s">
        <v>64</v>
      </c>
      <c r="S62" s="59">
        <v>59094</v>
      </c>
      <c r="T62" s="59">
        <v>3186</v>
      </c>
      <c r="U62" s="59">
        <v>210</v>
      </c>
      <c r="V62" s="59">
        <v>7559</v>
      </c>
      <c r="W62" s="59">
        <v>1378</v>
      </c>
      <c r="X62" s="25">
        <v>18</v>
      </c>
      <c r="Y62" s="25">
        <v>51</v>
      </c>
      <c r="Z62" s="5"/>
    </row>
    <row customHeight="true" ht="16.666666666666668" r="63">
      <c r="A63" s="14"/>
      <c r="B63" s="69" t="s">
        <v>59</v>
      </c>
      <c r="C63" s="17" t="s">
        <v>51</v>
      </c>
      <c r="D63" s="17">
        <f t="shared" si="28"/>
      </c>
      <c r="E63" s="61">
        <v>703.3299999999999</v>
      </c>
      <c r="F63" s="16">
        <v>2343.57</v>
      </c>
      <c r="G63" s="16">
        <v>0</v>
      </c>
      <c r="H63" s="18">
        <v>8</v>
      </c>
      <c r="I63" s="16">
        <v>5310.020000000004</v>
      </c>
      <c r="J63" s="19">
        <f t="shared" si="54"/>
      </c>
      <c r="K63" s="19">
        <f t="shared" si="63"/>
      </c>
      <c r="L63" s="19">
        <f t="shared" si="72"/>
      </c>
      <c r="M63" s="20">
        <f t="shared" si="82"/>
      </c>
      <c r="N63" s="21">
        <f t="shared" si="3"/>
      </c>
      <c r="O63" s="22">
        <f t="shared" si="12"/>
      </c>
      <c r="P63" s="21">
        <f t="shared" si="91"/>
      </c>
      <c r="Q63" s="53" t="s">
        <v>46</v>
      </c>
      <c r="R63" s="54" t="s">
        <v>64</v>
      </c>
      <c r="S63" s="59">
        <v>61801</v>
      </c>
      <c r="T63" s="59">
        <v>1692</v>
      </c>
      <c r="U63" s="59">
        <v>260</v>
      </c>
      <c r="V63" s="59">
        <v>2984</v>
      </c>
      <c r="W63" s="59">
        <v>483</v>
      </c>
      <c r="X63" s="25">
        <v>23</v>
      </c>
      <c r="Y63" s="25">
        <v>46</v>
      </c>
      <c r="Z63" s="5"/>
    </row>
    <row r="64">
      <c r="A64" s="14"/>
      <c r="B64" s="69" t="s">
        <v>59</v>
      </c>
      <c r="C64" s="17" t="s">
        <v>52</v>
      </c>
      <c r="D64" s="17">
        <f t="shared" si="28"/>
      </c>
      <c r="E64" s="61">
        <v>769.4500000000007</v>
      </c>
      <c r="F64" s="16">
        <v>4921.0599999999995</v>
      </c>
      <c r="G64" s="16">
        <v>0</v>
      </c>
      <c r="H64" s="18">
        <v>14</v>
      </c>
      <c r="I64" s="16">
        <v>8023.0799999999945</v>
      </c>
      <c r="J64" s="19">
        <f t="shared" si="54"/>
      </c>
      <c r="K64" s="19">
        <f t="shared" si="63"/>
      </c>
      <c r="L64" s="19">
        <f t="shared" si="72"/>
      </c>
      <c r="M64" s="20">
        <f t="shared" si="82"/>
      </c>
      <c r="N64" s="21">
        <f t="shared" si="3"/>
      </c>
      <c r="O64" s="22">
        <f t="shared" si="12"/>
      </c>
      <c r="P64" s="21">
        <f t="shared" si="91"/>
      </c>
      <c r="Q64" s="53" t="s">
        <v>46</v>
      </c>
      <c r="R64" s="54" t="s">
        <v>64</v>
      </c>
      <c r="S64" s="59">
        <v>120199</v>
      </c>
      <c r="T64" s="59">
        <v>3533</v>
      </c>
      <c r="U64" s="59">
        <v>427</v>
      </c>
      <c r="V64" s="59">
        <v>5580</v>
      </c>
      <c r="W64" s="59">
        <v>690</v>
      </c>
      <c r="X64" s="25">
        <v>39</v>
      </c>
      <c r="Y64" s="25">
        <v>96</v>
      </c>
      <c r="Z64" s="5"/>
    </row>
    <row r="65">
      <c r="A65" s="14"/>
      <c r="B65" s="69" t="s">
        <v>59</v>
      </c>
      <c r="C65" s="17" t="s">
        <v>53</v>
      </c>
      <c r="D65" s="17">
        <f t="shared" si="28"/>
      </c>
      <c r="E65" s="17">
        <v>522.4799999999996</v>
      </c>
      <c r="F65" s="16">
        <v>1741.8900000000003</v>
      </c>
      <c r="G65" s="16">
        <v>0</v>
      </c>
      <c r="H65" s="60">
        <v>5</v>
      </c>
      <c r="I65" s="17">
        <v>2404.5800000000017</v>
      </c>
      <c r="J65" s="19">
        <f t="shared" si="54"/>
      </c>
      <c r="K65" s="19">
        <f t="shared" si="63"/>
      </c>
      <c r="L65" s="19">
        <f t="shared" si="72"/>
      </c>
      <c r="M65" s="20">
        <f t="shared" si="82"/>
      </c>
      <c r="N65" s="21">
        <f t="shared" si="3"/>
      </c>
      <c r="O65" s="22">
        <f t="shared" si="12"/>
      </c>
      <c r="P65" s="21">
        <f t="shared" si="91"/>
      </c>
      <c r="Q65" s="73" t="s">
        <v>46</v>
      </c>
      <c r="R65" s="54" t="s">
        <v>64</v>
      </c>
      <c r="S65" s="70">
        <v>57067</v>
      </c>
      <c r="T65" s="70">
        <v>2028</v>
      </c>
      <c r="U65" s="70">
        <v>228</v>
      </c>
      <c r="V65" s="59">
        <v>2917</v>
      </c>
      <c r="W65" s="59">
        <v>380</v>
      </c>
      <c r="X65" s="59">
        <v>15</v>
      </c>
      <c r="Y65" s="59">
        <v>42</v>
      </c>
      <c r="Z65" s="5"/>
    </row>
    <row r="66">
      <c r="A66" s="14"/>
      <c r="B66" s="69" t="s">
        <v>59</v>
      </c>
      <c r="C66" s="17" t="s">
        <v>54</v>
      </c>
      <c r="D66" s="17">
        <f t="shared" si="28"/>
      </c>
      <c r="E66" s="16">
        <v>1016.9099999999999</v>
      </c>
      <c r="F66" s="16">
        <v>2207.26</v>
      </c>
      <c r="G66" s="16">
        <v>0</v>
      </c>
      <c r="H66" s="18">
        <v>15</v>
      </c>
      <c r="I66" s="16">
        <v>10251.849999999999</v>
      </c>
      <c r="J66" s="19">
        <f t="shared" si="54"/>
      </c>
      <c r="K66" s="19">
        <f t="shared" si="63"/>
      </c>
      <c r="L66" s="19">
        <f t="shared" si="72"/>
      </c>
      <c r="M66" s="20">
        <f t="shared" si="82"/>
      </c>
      <c r="N66" s="21">
        <f t="shared" si="3"/>
      </c>
      <c r="O66" s="22">
        <f t="shared" si="12"/>
      </c>
      <c r="P66" s="74">
        <f t="shared" si="91"/>
      </c>
      <c r="Q66" s="73" t="s">
        <v>46</v>
      </c>
      <c r="R66" s="54" t="s">
        <v>64</v>
      </c>
      <c r="S66" s="75">
        <v>78563</v>
      </c>
      <c r="T66" s="75">
        <v>3013</v>
      </c>
      <c r="U66" s="75">
        <v>270</v>
      </c>
      <c r="V66" s="76">
        <v>5452</v>
      </c>
      <c r="W66" s="59">
        <v>734</v>
      </c>
      <c r="X66" s="25">
        <v>23</v>
      </c>
      <c r="Y66" s="25">
        <v>45</v>
      </c>
      <c r="Z66" s="5"/>
    </row>
    <row r="67">
      <c r="A67" s="14"/>
      <c r="B67" s="27" t="s">
        <v>37</v>
      </c>
      <c r="C67" s="27"/>
      <c r="D67" s="28">
        <f>SUM(D62:D66)</f>
      </c>
      <c r="E67" s="28">
        <f>SUM(E62:E66)</f>
      </c>
      <c r="F67" s="28">
        <f>SUM(F62:G66)</f>
      </c>
      <c r="G67" s="28"/>
      <c r="H67" s="28">
        <f>SUM(H62:H66)</f>
      </c>
      <c r="I67" s="28">
        <f>SUM(I62:I66)</f>
      </c>
      <c r="J67" s="39">
        <f t="shared" si="54"/>
      </c>
      <c r="K67" s="31">
        <f t="shared" si="63"/>
      </c>
      <c r="L67" s="40">
        <f t="shared" si="72"/>
      </c>
      <c r="M67" s="33">
        <f t="shared" si="82"/>
      </c>
      <c r="N67" s="33">
        <f t="shared" si="3"/>
      </c>
      <c r="O67" s="34">
        <f t="shared" si="12"/>
      </c>
      <c r="P67" s="77">
        <f t="shared" si="91"/>
      </c>
      <c r="Q67" s="78"/>
      <c r="R67" s="78"/>
      <c r="S67" s="79">
        <f>SUM(S62:S66)</f>
      </c>
      <c r="T67" s="79">
        <f>SUM(T62:T66)</f>
      </c>
      <c r="U67" s="79">
        <f>SUM(U62:U66)</f>
      </c>
      <c r="V67" s="80">
        <f>SUM(V62:V66)</f>
      </c>
      <c r="W67" s="28">
        <f>SUM(W62:W66)</f>
      </c>
      <c r="X67" s="28">
        <f>SUM(X62:X66)</f>
      </c>
      <c r="Y67" s="28">
        <f>SUM(Y62:Y66)</f>
      </c>
      <c r="Z67" s="5"/>
    </row>
    <row r="68">
      <c r="A68" s="14"/>
      <c r="B68" s="15" t="s">
        <v>38</v>
      </c>
      <c r="C68" s="17" t="s">
        <v>31</v>
      </c>
      <c r="D68" s="17">
        <f t="shared" ref="D68:D71" si="29">E68+G68+F68</f>
      </c>
      <c r="E68" s="16">
        <v>1223.17</v>
      </c>
      <c r="F68" s="16">
        <v>2480.76</v>
      </c>
      <c r="G68" s="16">
        <v>0</v>
      </c>
      <c r="H68" s="18">
        <v>12</v>
      </c>
      <c r="I68" s="16">
        <v>9896.64</v>
      </c>
      <c r="J68" s="19">
        <f t="shared" si="54"/>
      </c>
      <c r="K68" s="19">
        <f t="shared" si="63"/>
      </c>
      <c r="L68" s="19">
        <f t="shared" si="72"/>
      </c>
      <c r="M68" s="20">
        <f t="shared" si="82"/>
      </c>
      <c r="N68" s="21">
        <f t="shared" si="3"/>
      </c>
      <c r="O68" s="22">
        <f t="shared" si="12"/>
      </c>
      <c r="P68" s="74">
        <f t="shared" si="91"/>
      </c>
      <c r="Q68" s="81" t="s">
        <v>65</v>
      </c>
      <c r="R68" s="82" t="s">
        <v>66</v>
      </c>
      <c r="S68" s="75">
        <v>86615</v>
      </c>
      <c r="T68" s="75">
        <v>3445</v>
      </c>
      <c r="U68" s="75">
        <v>315</v>
      </c>
      <c r="V68" s="76">
        <v>6291</v>
      </c>
      <c r="W68" s="59">
        <v>916</v>
      </c>
      <c r="X68" s="25">
        <v>28</v>
      </c>
      <c r="Y68" s="25">
        <v>54</v>
      </c>
      <c r="Z68" s="5"/>
    </row>
    <row customHeight="true" ht="16.666666666666668" r="69">
      <c r="A69" s="14"/>
      <c r="B69" s="15" t="s">
        <v>38</v>
      </c>
      <c r="C69" s="17" t="s">
        <v>34</v>
      </c>
      <c r="D69" s="17">
        <f t="shared" si="29"/>
      </c>
      <c r="E69" s="16">
        <v>352.9300000000003</v>
      </c>
      <c r="F69" s="16">
        <v>2672.2099999999996</v>
      </c>
      <c r="G69" s="16">
        <v>0</v>
      </c>
      <c r="H69" s="18">
        <v>8</v>
      </c>
      <c r="I69" s="16">
        <v>3994.800000000003</v>
      </c>
      <c r="J69" s="19">
        <f t="shared" si="54"/>
      </c>
      <c r="K69" s="19">
        <f t="shared" si="63"/>
      </c>
      <c r="L69" s="19">
        <f t="shared" si="72"/>
      </c>
      <c r="M69" s="20">
        <f t="shared" si="82"/>
      </c>
      <c r="N69" s="21">
        <f t="shared" si="3"/>
      </c>
      <c r="O69" s="22">
        <f t="shared" si="12"/>
      </c>
      <c r="P69" s="74">
        <f t="shared" si="91"/>
      </c>
      <c r="Q69" s="81" t="s">
        <v>65</v>
      </c>
      <c r="R69" s="82" t="s">
        <v>66</v>
      </c>
      <c r="S69" s="75">
        <v>72401</v>
      </c>
      <c r="T69" s="75">
        <v>2453</v>
      </c>
      <c r="U69" s="75">
        <v>248</v>
      </c>
      <c r="V69" s="76">
        <v>3979</v>
      </c>
      <c r="W69" s="59">
        <v>592</v>
      </c>
      <c r="X69" s="25">
        <v>18</v>
      </c>
      <c r="Y69" s="25">
        <v>66</v>
      </c>
      <c r="Z69" s="5"/>
    </row>
    <row r="70">
      <c r="A70" s="14"/>
      <c r="B70" s="15" t="s">
        <v>38</v>
      </c>
      <c r="C70" s="17" t="s">
        <v>35</v>
      </c>
      <c r="D70" s="17">
        <f t="shared" si="29"/>
      </c>
      <c r="E70" s="16">
        <v>826.1499999999996</v>
      </c>
      <c r="F70" s="16">
        <v>3597.8200000000006</v>
      </c>
      <c r="G70" s="16">
        <v>0</v>
      </c>
      <c r="H70" s="18">
        <v>15</v>
      </c>
      <c r="I70" s="16">
        <v>8633.660000000003</v>
      </c>
      <c r="J70" s="19">
        <f t="shared" si="54"/>
      </c>
      <c r="K70" s="19">
        <f t="shared" si="63"/>
      </c>
      <c r="L70" s="19">
        <f t="shared" si="72"/>
      </c>
      <c r="M70" s="20">
        <f t="shared" si="82"/>
      </c>
      <c r="N70" s="21">
        <f t="shared" si="3"/>
      </c>
      <c r="O70" s="22">
        <f t="shared" si="12"/>
      </c>
      <c r="P70" s="74">
        <f t="shared" si="91"/>
      </c>
      <c r="Q70" s="81" t="s">
        <v>65</v>
      </c>
      <c r="R70" s="82" t="s">
        <v>66</v>
      </c>
      <c r="S70" s="75">
        <v>93455</v>
      </c>
      <c r="T70" s="75">
        <v>3040</v>
      </c>
      <c r="U70" s="75">
        <v>360</v>
      </c>
      <c r="V70" s="76">
        <v>5833</v>
      </c>
      <c r="W70" s="59">
        <v>882</v>
      </c>
      <c r="X70" s="25">
        <v>31</v>
      </c>
      <c r="Y70" s="25">
        <v>66</v>
      </c>
      <c r="Z70" s="5"/>
    </row>
    <row r="71">
      <c r="A71" s="14"/>
      <c r="B71" s="15" t="s">
        <v>38</v>
      </c>
      <c r="C71" s="17" t="s">
        <v>36</v>
      </c>
      <c r="D71" s="17">
        <f t="shared" si="29"/>
      </c>
      <c r="E71" s="16">
        <v>1683.0699999999997</v>
      </c>
      <c r="F71" s="16">
        <v>4228.67</v>
      </c>
      <c r="G71" s="16">
        <v>0</v>
      </c>
      <c r="H71" s="18">
        <v>22</v>
      </c>
      <c r="I71" s="16">
        <v>10172.929999999993</v>
      </c>
      <c r="J71" s="19">
        <f t="shared" si="54"/>
      </c>
      <c r="K71" s="19">
        <f t="shared" si="63"/>
      </c>
      <c r="L71" s="19">
        <f t="shared" si="72"/>
      </c>
      <c r="M71" s="20">
        <f t="shared" si="82"/>
      </c>
      <c r="N71" s="21">
        <f t="shared" si="3"/>
      </c>
      <c r="O71" s="22">
        <f t="shared" si="12"/>
      </c>
      <c r="P71" s="74">
        <f t="shared" si="91"/>
      </c>
      <c r="Q71" s="81" t="s">
        <v>65</v>
      </c>
      <c r="R71" s="82" t="s">
        <v>66</v>
      </c>
      <c r="S71" s="75">
        <v>148651</v>
      </c>
      <c r="T71" s="75">
        <v>4471</v>
      </c>
      <c r="U71" s="75">
        <v>418</v>
      </c>
      <c r="V71" s="76">
        <v>8683</v>
      </c>
      <c r="W71" s="59">
        <v>1189</v>
      </c>
      <c r="X71" s="25">
        <v>37</v>
      </c>
      <c r="Y71" s="25">
        <v>105</v>
      </c>
      <c r="Z71" s="5"/>
    </row>
    <row r="72">
      <c r="A72" s="14"/>
      <c r="B72" s="27" t="s">
        <v>37</v>
      </c>
      <c r="C72" s="27"/>
      <c r="D72" s="28">
        <f>SUM(D68:D71)</f>
      </c>
      <c r="E72" s="28">
        <f>SUM(E68:E71)</f>
      </c>
      <c r="F72" s="28">
        <f>SUM(F68:G71)</f>
      </c>
      <c r="G72" s="28"/>
      <c r="H72" s="29">
        <f>SUM(H68:H71)</f>
      </c>
      <c r="I72" s="28">
        <f>SUM(I68:I71)</f>
      </c>
      <c r="J72" s="30">
        <f t="shared" si="54"/>
      </c>
      <c r="K72" s="31">
        <f t="shared" si="63"/>
      </c>
      <c r="L72" s="32">
        <f t="shared" si="72"/>
      </c>
      <c r="M72" s="33">
        <f t="shared" si="82"/>
      </c>
      <c r="N72" s="33">
        <f t="shared" si="3"/>
      </c>
      <c r="O72" s="34">
        <f t="shared" si="12"/>
      </c>
      <c r="P72" s="77">
        <f t="shared" si="91"/>
      </c>
      <c r="Q72" s="78"/>
      <c r="R72" s="78"/>
      <c r="S72" s="83">
        <f>SUM(S68:S71)</f>
      </c>
      <c r="T72" s="83">
        <f>SUM(T68:T71)</f>
      </c>
      <c r="U72" s="83">
        <f>SUM(U68:U71)</f>
      </c>
      <c r="V72" s="84">
        <f>SUM(V68:V71)</f>
      </c>
      <c r="W72" s="29">
        <f>SUM(W68:W71)</f>
      </c>
      <c r="X72" s="29">
        <f>SUM(X68:X71)</f>
      </c>
      <c r="Y72" s="29">
        <f>SUM(Y68:Y71)</f>
      </c>
      <c r="Z72" s="5"/>
    </row>
    <row r="73">
      <c r="A73" s="14"/>
      <c r="B73" s="15" t="s">
        <v>50</v>
      </c>
      <c r="C73" s="17" t="s">
        <v>39</v>
      </c>
      <c r="D73" s="17">
        <f t="shared" ref="D73:D76" si="30">E73+G73+F73</f>
      </c>
      <c r="E73" s="16">
        <v>2540.829999999998</v>
      </c>
      <c r="F73" s="16">
        <v>3877.0700000000015</v>
      </c>
      <c r="G73" s="16">
        <v>0</v>
      </c>
      <c r="H73" s="18">
        <v>19</v>
      </c>
      <c r="I73" s="16">
        <v>8588.040000000008</v>
      </c>
      <c r="J73" s="19">
        <f t="shared" si="54"/>
      </c>
      <c r="K73" s="19">
        <f t="shared" si="63"/>
      </c>
      <c r="L73" s="19">
        <f t="shared" si="72"/>
      </c>
      <c r="M73" s="20">
        <f t="shared" si="82"/>
      </c>
      <c r="N73" s="21">
        <f t="shared" si="3"/>
      </c>
      <c r="O73" s="22">
        <f t="shared" si="12"/>
      </c>
      <c r="P73" s="74">
        <f t="shared" si="91"/>
      </c>
      <c r="Q73" s="81" t="s">
        <v>65</v>
      </c>
      <c r="R73" s="82" t="s">
        <v>66</v>
      </c>
      <c r="S73" s="75">
        <v>162842</v>
      </c>
      <c r="T73" s="75">
        <v>5513</v>
      </c>
      <c r="U73" s="75">
        <v>477</v>
      </c>
      <c r="V73" s="85">
        <v>10566</v>
      </c>
      <c r="W73" s="70">
        <v>1366</v>
      </c>
      <c r="X73" s="35">
        <v>33</v>
      </c>
      <c r="Y73" s="25">
        <v>95</v>
      </c>
      <c r="Z73" s="5"/>
    </row>
    <row r="74">
      <c r="A74" s="14"/>
      <c r="B74" s="15" t="s">
        <v>50</v>
      </c>
      <c r="C74" s="17" t="s">
        <v>40</v>
      </c>
      <c r="D74" s="17">
        <f t="shared" si="30"/>
      </c>
      <c r="E74" s="16">
        <v>4015.970000000001</v>
      </c>
      <c r="F74" s="16">
        <v>3771.459999999999</v>
      </c>
      <c r="G74" s="16">
        <v>0</v>
      </c>
      <c r="H74" s="18">
        <v>36</v>
      </c>
      <c r="I74" s="16">
        <v>21588.719999999987</v>
      </c>
      <c r="J74" s="19">
        <f t="shared" si="54"/>
      </c>
      <c r="K74" s="19">
        <f t="shared" si="63"/>
      </c>
      <c r="L74" s="19">
        <f t="shared" si="72"/>
      </c>
      <c r="M74" s="20">
        <f t="shared" si="82"/>
      </c>
      <c r="N74" s="21">
        <f t="shared" si="3"/>
      </c>
      <c r="O74" s="22">
        <f t="shared" si="12"/>
      </c>
      <c r="P74" s="74">
        <f t="shared" si="91"/>
      </c>
      <c r="Q74" s="81" t="s">
        <v>65</v>
      </c>
      <c r="R74" s="82" t="s">
        <v>66</v>
      </c>
      <c r="S74" s="75">
        <v>162668</v>
      </c>
      <c r="T74" s="75">
        <v>6782</v>
      </c>
      <c r="U74" s="75">
        <v>672</v>
      </c>
      <c r="V74" s="85">
        <v>13304</v>
      </c>
      <c r="W74" s="71">
        <v>1495</v>
      </c>
      <c r="X74" s="37">
        <v>59</v>
      </c>
      <c r="Y74" s="38">
        <v>151</v>
      </c>
      <c r="Z74" s="5"/>
    </row>
    <row r="75">
      <c r="A75" s="14"/>
      <c r="B75" s="15" t="s">
        <v>50</v>
      </c>
      <c r="C75" s="17" t="s">
        <v>41</v>
      </c>
      <c r="D75" s="17">
        <f t="shared" si="30"/>
      </c>
      <c r="E75" s="16">
        <v>4957.669999999998</v>
      </c>
      <c r="F75" s="16">
        <v>4435.720000000001</v>
      </c>
      <c r="G75" s="16">
        <v>0</v>
      </c>
      <c r="H75" s="18">
        <v>33</v>
      </c>
      <c r="I75" s="16">
        <v>16501.839999999997</v>
      </c>
      <c r="J75" s="19">
        <f t="shared" si="54"/>
      </c>
      <c r="K75" s="19">
        <f t="shared" si="63"/>
      </c>
      <c r="L75" s="19">
        <f t="shared" si="72"/>
      </c>
      <c r="M75" s="20">
        <f t="shared" si="82"/>
      </c>
      <c r="N75" s="21">
        <f t="shared" si="3"/>
      </c>
      <c r="O75" s="22">
        <f t="shared" si="12"/>
      </c>
      <c r="P75" s="74">
        <f t="shared" si="91"/>
      </c>
      <c r="Q75" s="81" t="s">
        <v>65</v>
      </c>
      <c r="R75" s="82" t="s">
        <v>66</v>
      </c>
      <c r="S75" s="75">
        <v>203847</v>
      </c>
      <c r="T75" s="75">
        <v>11413</v>
      </c>
      <c r="U75" s="75">
        <v>875</v>
      </c>
      <c r="V75" s="85">
        <v>21039</v>
      </c>
      <c r="W75" s="71">
        <v>2304</v>
      </c>
      <c r="X75" s="37">
        <v>56</v>
      </c>
      <c r="Y75" s="38">
        <v>118</v>
      </c>
      <c r="Z75" s="5"/>
    </row>
    <row r="76">
      <c r="A76" s="14"/>
      <c r="B76" s="15" t="s">
        <v>50</v>
      </c>
      <c r="C76" s="17" t="s">
        <v>42</v>
      </c>
      <c r="D76" s="17">
        <f t="shared" si="30"/>
      </c>
      <c r="E76" s="16">
        <v>1638.91</v>
      </c>
      <c r="F76" s="16">
        <v>1406.55</v>
      </c>
      <c r="G76" s="16">
        <v>0</v>
      </c>
      <c r="H76" s="18">
        <v>13</v>
      </c>
      <c r="I76" s="16">
        <v>7188.090000000026</v>
      </c>
      <c r="J76" s="19">
        <f t="shared" si="54"/>
      </c>
      <c r="K76" s="19">
        <f t="shared" si="63"/>
      </c>
      <c r="L76" s="19">
        <f t="shared" si="72"/>
      </c>
      <c r="M76" s="20">
        <f t="shared" si="82"/>
      </c>
      <c r="N76" s="21">
        <f t="shared" si="3"/>
      </c>
      <c r="O76" s="22">
        <f t="shared" si="12"/>
      </c>
      <c r="P76" s="74">
        <f t="shared" si="91"/>
      </c>
      <c r="Q76" s="81" t="s">
        <v>65</v>
      </c>
      <c r="R76" s="82" t="s">
        <v>66</v>
      </c>
      <c r="S76" s="75">
        <v>62510</v>
      </c>
      <c r="T76" s="75">
        <v>3615</v>
      </c>
      <c r="U76" s="75">
        <v>274</v>
      </c>
      <c r="V76" s="85">
        <v>6452</v>
      </c>
      <c r="W76" s="70">
        <v>747</v>
      </c>
      <c r="X76" s="72">
        <v>20</v>
      </c>
      <c r="Y76" s="25">
        <v>52</v>
      </c>
      <c r="Z76" s="5"/>
    </row>
    <row r="77">
      <c r="A77" s="14"/>
      <c r="B77" s="27" t="s">
        <v>37</v>
      </c>
      <c r="C77" s="27"/>
      <c r="D77" s="28">
        <f>SUM(D73:D76)</f>
      </c>
      <c r="E77" s="28">
        <f>SUM(E73:E76)</f>
      </c>
      <c r="F77" s="28">
        <f>SUM(F73:G76)</f>
      </c>
      <c r="G77" s="28"/>
      <c r="H77" s="28">
        <f>SUM(H73:H76)</f>
      </c>
      <c r="I77" s="28">
        <f>SUM(I73:I76)</f>
      </c>
      <c r="J77" s="39">
        <f t="shared" si="54"/>
      </c>
      <c r="K77" s="31">
        <f t="shared" si="63"/>
      </c>
      <c r="L77" s="40">
        <f t="shared" si="72"/>
      </c>
      <c r="M77" s="33">
        <f t="shared" si="82"/>
      </c>
      <c r="N77" s="33">
        <f t="shared" si="3"/>
      </c>
      <c r="O77" s="34">
        <f t="shared" si="12"/>
      </c>
      <c r="P77" s="77">
        <f t="shared" si="91"/>
      </c>
      <c r="Q77" s="78"/>
      <c r="R77" s="78"/>
      <c r="S77" s="79">
        <f>SUM(S73:S76)</f>
      </c>
      <c r="T77" s="79">
        <f>SUM(T73:T76)</f>
      </c>
      <c r="U77" s="79">
        <f>SUM(U73:U76)</f>
      </c>
      <c r="V77" s="80">
        <f>SUM(V73:V76)</f>
      </c>
      <c r="W77" s="28">
        <f>SUM(W73:W76)</f>
      </c>
      <c r="X77" s="28">
        <f>SUM(X73:X76)</f>
      </c>
      <c r="Y77" s="28">
        <f>SUM(Y73:Y76)</f>
      </c>
      <c r="Z77" s="5"/>
    </row>
    <row r="78">
      <c r="A78" s="14"/>
      <c r="B78" s="42" t="s">
        <v>43</v>
      </c>
      <c r="C78" s="42"/>
      <c r="D78" s="43">
        <f>D77+D72+D67+D61</f>
      </c>
      <c r="E78" s="43">
        <f>E77+E72+E67+E61</f>
      </c>
      <c r="F78" s="43">
        <f>F77+F72+F67+F61</f>
      </c>
      <c r="G78" s="43"/>
      <c r="H78" s="44">
        <f>H77+H72+H67+H61</f>
      </c>
      <c r="I78" s="43">
        <f>I77+I72+I67+I61</f>
      </c>
      <c r="J78" s="45">
        <f t="shared" si="54"/>
      </c>
      <c r="K78" s="45">
        <f t="shared" si="63"/>
      </c>
      <c r="L78" s="45">
        <f t="shared" si="72"/>
      </c>
      <c r="M78" s="46">
        <f t="shared" si="82"/>
      </c>
      <c r="N78" s="46">
        <f t="shared" si="3"/>
      </c>
      <c r="O78" s="45">
        <f t="shared" si="12"/>
      </c>
      <c r="P78" s="86">
        <f t="shared" si="91"/>
      </c>
      <c r="Q78" s="87"/>
      <c r="R78" s="87"/>
      <c r="S78" s="88">
        <f>S77+S72+S67+S61</f>
      </c>
      <c r="T78" s="88">
        <f>T77+T72+T67+T61</f>
      </c>
      <c r="U78" s="88">
        <f>U77+U72+U67+U61</f>
      </c>
      <c r="V78" s="88">
        <f>V77+V72+V67+V61</f>
      </c>
      <c r="W78" s="88">
        <f>W77+W72+W67+W61</f>
      </c>
      <c r="X78" s="50">
        <f>X77+X72+X67+X61</f>
      </c>
      <c r="Y78" s="44">
        <f>Y77+Y72+Y67+Y61</f>
      </c>
      <c r="Z78" s="5"/>
    </row>
    <row r="79">
      <c r="A79" s="1" t="s">
        <v>1</v>
      </c>
      <c r="B79" s="1"/>
      <c r="C79" s="1"/>
      <c r="D79" s="2" t="s">
        <v>2</v>
      </c>
      <c r="E79" s="2"/>
      <c r="F79" s="2"/>
      <c r="G79" s="2"/>
      <c r="H79" s="2"/>
      <c r="I79" s="2"/>
      <c r="J79" s="2"/>
      <c r="K79" s="2"/>
      <c r="L79" s="2"/>
      <c r="M79" s="3" t="s">
        <v>3</v>
      </c>
      <c r="N79" s="3"/>
      <c r="O79" s="3"/>
      <c r="P79" s="3"/>
      <c r="Q79" s="3"/>
      <c r="R79" s="3"/>
      <c r="S79" s="4" t="s">
        <v>4</v>
      </c>
      <c r="T79" s="4"/>
      <c r="U79" s="4"/>
      <c r="V79" s="4"/>
      <c r="W79" s="4"/>
      <c r="X79" s="4"/>
      <c r="Y79" s="4"/>
    </row>
    <row r="80">
      <c r="A80" s="1" t="s">
        <v>5</v>
      </c>
      <c r="B80" s="1" t="s">
        <v>6</v>
      </c>
      <c r="C80" s="1" t="s">
        <v>7</v>
      </c>
      <c r="D80" s="7" t="s">
        <v>8</v>
      </c>
      <c r="E80" s="7" t="s">
        <v>9</v>
      </c>
      <c r="F80" s="2" t="s">
        <v>10</v>
      </c>
      <c r="G80" s="2"/>
      <c r="H80" s="8" t="s">
        <v>11</v>
      </c>
      <c r="I80" s="2" t="s">
        <v>12</v>
      </c>
      <c r="J80" s="9" t="s">
        <v>13</v>
      </c>
      <c r="K80" s="10" t="s">
        <v>14</v>
      </c>
      <c r="L80" s="2" t="s">
        <v>15</v>
      </c>
      <c r="M80" s="3" t="s">
        <v>16</v>
      </c>
      <c r="N80" s="3" t="s">
        <v>17</v>
      </c>
      <c r="O80" s="3" t="s">
        <v>18</v>
      </c>
      <c r="P80" s="3" t="s">
        <v>19</v>
      </c>
      <c r="Q80" s="11" t="s">
        <v>20</v>
      </c>
      <c r="R80" s="11" t="s">
        <v>21</v>
      </c>
      <c r="S80" s="12" t="s">
        <v>22</v>
      </c>
      <c r="T80" s="12" t="s">
        <v>23</v>
      </c>
      <c r="U80" s="13" t="s">
        <v>24</v>
      </c>
      <c r="V80" s="13" t="s">
        <v>25</v>
      </c>
      <c r="W80" s="13" t="s">
        <v>26</v>
      </c>
      <c r="X80" s="13" t="s">
        <v>27</v>
      </c>
      <c r="Y80" s="13" t="s">
        <v>28</v>
      </c>
    </row>
    <row r="81">
      <c r="A81" s="14" t="s">
        <v>67</v>
      </c>
      <c r="B81" s="15" t="s">
        <v>62</v>
      </c>
      <c r="C81" s="16" t="s">
        <v>63</v>
      </c>
      <c r="D81" s="17">
        <f t="shared" ref="D81:D84" si="31">E81+G81+F81</f>
      </c>
      <c r="E81" s="17">
        <v>1175.18</v>
      </c>
      <c r="F81" s="17">
        <v>2074.1099999999997</v>
      </c>
      <c r="G81" s="16">
        <v>0</v>
      </c>
      <c r="H81" s="18">
        <v>13</v>
      </c>
      <c r="I81" s="17">
        <v>5532.72</v>
      </c>
      <c r="J81" s="52">
        <f t="shared" ref="J81:J102" si="55">I81/D81</f>
      </c>
      <c r="K81" s="52">
        <f t="shared" ref="K81:K102" si="64">D81/H81</f>
      </c>
      <c r="L81" s="19">
        <f t="shared" ref="L81:L102" si="73">I81/H81</f>
      </c>
      <c r="M81" s="20">
        <f t="shared" ref="M81:M102" si="83">T81/S81</f>
      </c>
      <c r="N81" s="21">
        <f t="shared" ref="N81:N102" si="4">H81/X81</f>
      </c>
      <c r="O81" s="22">
        <f t="shared" ref="O81:O102" si="13">(Y81*1000)/D81</f>
      </c>
      <c r="P81" s="21">
        <f t="shared" ref="P81:P102" si="92">W81/V81</f>
      </c>
      <c r="Q81" s="53" t="s">
        <v>46</v>
      </c>
      <c r="R81" s="54" t="s">
        <v>68</v>
      </c>
      <c r="S81" s="55">
        <v>59452</v>
      </c>
      <c r="T81" s="55">
        <v>2697</v>
      </c>
      <c r="U81" s="56">
        <v>395</v>
      </c>
      <c r="V81" s="55">
        <v>4354</v>
      </c>
      <c r="W81" s="55">
        <v>775</v>
      </c>
      <c r="X81" s="37">
        <v>25</v>
      </c>
      <c r="Y81" s="37">
        <v>61</v>
      </c>
    </row>
    <row r="82">
      <c r="A82" s="14"/>
      <c r="B82" s="15" t="s">
        <v>62</v>
      </c>
      <c r="C82" s="17" t="s">
        <v>45</v>
      </c>
      <c r="D82" s="17">
        <f t="shared" si="31"/>
      </c>
      <c r="E82" s="61">
        <v>2753.3199999999997</v>
      </c>
      <c r="F82" s="17">
        <v>3377.380000000001</v>
      </c>
      <c r="G82" s="16">
        <v>0</v>
      </c>
      <c r="H82" s="60">
        <v>30</v>
      </c>
      <c r="I82" s="17">
        <v>19046.879999999997</v>
      </c>
      <c r="J82" s="19">
        <f t="shared" si="55"/>
      </c>
      <c r="K82" s="19">
        <f t="shared" si="64"/>
      </c>
      <c r="L82" s="52">
        <f t="shared" si="73"/>
      </c>
      <c r="M82" s="20">
        <f t="shared" si="83"/>
      </c>
      <c r="N82" s="21">
        <f t="shared" si="4"/>
      </c>
      <c r="O82" s="22">
        <f t="shared" si="13"/>
      </c>
      <c r="P82" s="21">
        <f t="shared" si="92"/>
      </c>
      <c r="Q82" s="53" t="s">
        <v>46</v>
      </c>
      <c r="R82" s="54" t="s">
        <v>68</v>
      </c>
      <c r="S82" s="57">
        <v>95938</v>
      </c>
      <c r="T82" s="57">
        <v>4876</v>
      </c>
      <c r="U82" s="55">
        <v>505</v>
      </c>
      <c r="V82" s="55">
        <v>9557</v>
      </c>
      <c r="W82" s="55">
        <v>1727</v>
      </c>
      <c r="X82" s="58">
        <v>49</v>
      </c>
      <c r="Y82" s="37">
        <v>87</v>
      </c>
    </row>
    <row r="83">
      <c r="A83" s="14"/>
      <c r="B83" s="15" t="s">
        <v>62</v>
      </c>
      <c r="C83" s="17" t="s">
        <v>47</v>
      </c>
      <c r="D83" s="17">
        <f t="shared" si="31"/>
      </c>
      <c r="E83" s="61">
        <v>4101.14</v>
      </c>
      <c r="F83" s="16">
        <v>2451.4799999999996</v>
      </c>
      <c r="G83" s="16">
        <v>0</v>
      </c>
      <c r="H83" s="18">
        <v>28</v>
      </c>
      <c r="I83" s="17">
        <v>13350.020000000004</v>
      </c>
      <c r="J83" s="52">
        <f t="shared" si="55"/>
      </c>
      <c r="K83" s="52">
        <f t="shared" si="64"/>
      </c>
      <c r="L83" s="52">
        <f t="shared" si="73"/>
      </c>
      <c r="M83" s="62">
        <f t="shared" si="83"/>
      </c>
      <c r="N83" s="63">
        <f t="shared" si="4"/>
      </c>
      <c r="O83" s="64">
        <f t="shared" si="13"/>
      </c>
      <c r="P83" s="21">
        <f t="shared" si="92"/>
      </c>
      <c r="Q83" s="53" t="s">
        <v>46</v>
      </c>
      <c r="R83" s="54" t="s">
        <v>68</v>
      </c>
      <c r="S83" s="58">
        <v>96345</v>
      </c>
      <c r="T83" s="58">
        <v>6519</v>
      </c>
      <c r="U83" s="65">
        <v>504</v>
      </c>
      <c r="V83" s="58">
        <v>14380</v>
      </c>
      <c r="W83" s="58">
        <v>2595</v>
      </c>
      <c r="X83" s="58">
        <v>47</v>
      </c>
      <c r="Y83" s="58">
        <v>94</v>
      </c>
    </row>
    <row r="84">
      <c r="A84" s="14"/>
      <c r="B84" s="15" t="s">
        <v>62</v>
      </c>
      <c r="C84" s="17" t="s">
        <v>48</v>
      </c>
      <c r="D84" s="17">
        <f t="shared" si="31"/>
      </c>
      <c r="E84" s="17">
        <v>3216.2300000000005</v>
      </c>
      <c r="F84" s="16">
        <v>4361.47</v>
      </c>
      <c r="G84" s="16">
        <v>0</v>
      </c>
      <c r="H84" s="60">
        <v>36</v>
      </c>
      <c r="I84" s="17">
        <v>21466.219999999994</v>
      </c>
      <c r="J84" s="52">
        <f t="shared" si="55"/>
      </c>
      <c r="K84" s="19">
        <f t="shared" si="64"/>
      </c>
      <c r="L84" s="19">
        <f t="shared" si="73"/>
      </c>
      <c r="M84" s="20">
        <f t="shared" si="83"/>
      </c>
      <c r="N84" s="21">
        <f t="shared" si="4"/>
      </c>
      <c r="O84" s="22">
        <f t="shared" si="13"/>
      </c>
      <c r="P84" s="21">
        <f t="shared" si="92"/>
      </c>
      <c r="Q84" s="53" t="s">
        <v>46</v>
      </c>
      <c r="R84" s="54" t="s">
        <v>68</v>
      </c>
      <c r="S84" s="58">
        <v>127743</v>
      </c>
      <c r="T84" s="58">
        <v>4801</v>
      </c>
      <c r="U84" s="58">
        <v>547</v>
      </c>
      <c r="V84" s="58">
        <v>9937</v>
      </c>
      <c r="W84" s="58">
        <v>1838</v>
      </c>
      <c r="X84" s="58">
        <v>53</v>
      </c>
      <c r="Y84" s="58">
        <v>104</v>
      </c>
    </row>
    <row r="85">
      <c r="A85" s="14"/>
      <c r="B85" s="27" t="s">
        <v>37</v>
      </c>
      <c r="C85" s="27"/>
      <c r="D85" s="28">
        <f>SUM(D81:D84)</f>
      </c>
      <c r="E85" s="28">
        <f>SUM(E81:E84)</f>
      </c>
      <c r="F85" s="28">
        <f>SUM(F81:G84)</f>
      </c>
      <c r="G85" s="28"/>
      <c r="H85" s="29">
        <f>SUM(H81:H84)</f>
      </c>
      <c r="I85" s="28">
        <f>SUM(I81:I84)</f>
      </c>
      <c r="J85" s="30">
        <f t="shared" si="55"/>
      </c>
      <c r="K85" s="66">
        <f t="shared" si="64"/>
      </c>
      <c r="L85" s="32">
        <f t="shared" si="73"/>
      </c>
      <c r="M85" s="67">
        <f t="shared" si="83"/>
      </c>
      <c r="N85" s="33">
        <f t="shared" si="4"/>
      </c>
      <c r="O85" s="68">
        <f t="shared" si="13"/>
      </c>
      <c r="P85" s="33">
        <f t="shared" si="92"/>
      </c>
      <c r="Q85" s="34"/>
      <c r="R85" s="34"/>
      <c r="S85" s="29">
        <f>SUM(S81:S84)</f>
      </c>
      <c r="T85" s="29">
        <f>SUM(T81:T84)</f>
      </c>
      <c r="U85" s="29">
        <f>SUM(U81:U84)</f>
      </c>
      <c r="V85" s="29">
        <f>SUM(V81:V84)</f>
      </c>
      <c r="W85" s="29">
        <f>SUM(W81:W84)</f>
      </c>
      <c r="X85" s="29">
        <f>SUM(X81:X84)</f>
      </c>
      <c r="Y85" s="29">
        <f>SUM(Y81:Y84)</f>
      </c>
    </row>
    <row r="86">
      <c r="A86" s="14"/>
      <c r="B86" s="69" t="s">
        <v>59</v>
      </c>
      <c r="C86" s="17" t="s">
        <v>49</v>
      </c>
      <c r="D86" s="17">
        <f t="shared" ref="D86:D90" si="32">E86+G86+F86</f>
      </c>
      <c r="E86" s="17">
        <v>1284.92</v>
      </c>
      <c r="F86" s="16">
        <v>3913.9799999999996</v>
      </c>
      <c r="G86" s="16">
        <v>0</v>
      </c>
      <c r="H86" s="60">
        <v>15</v>
      </c>
      <c r="I86" s="17">
        <v>6868.580000000002</v>
      </c>
      <c r="J86" s="19">
        <f t="shared" si="55"/>
      </c>
      <c r="K86" s="19">
        <f t="shared" si="64"/>
      </c>
      <c r="L86" s="19">
        <f t="shared" si="73"/>
      </c>
      <c r="M86" s="20">
        <f t="shared" si="83"/>
      </c>
      <c r="N86" s="21">
        <f t="shared" si="4"/>
      </c>
      <c r="O86" s="22">
        <f t="shared" si="13"/>
      </c>
      <c r="P86" s="21">
        <f t="shared" si="92"/>
      </c>
      <c r="Q86" s="53" t="s">
        <v>46</v>
      </c>
      <c r="R86" s="54" t="s">
        <v>68</v>
      </c>
      <c r="S86" s="59">
        <v>116176</v>
      </c>
      <c r="T86" s="59">
        <v>3333</v>
      </c>
      <c r="U86" s="59">
        <v>334</v>
      </c>
      <c r="V86" s="59">
        <v>7002</v>
      </c>
      <c r="W86" s="59">
        <v>1245</v>
      </c>
      <c r="X86" s="25">
        <v>31</v>
      </c>
      <c r="Y86" s="25">
        <v>75</v>
      </c>
    </row>
    <row r="87">
      <c r="A87" s="14"/>
      <c r="B87" s="69" t="s">
        <v>59</v>
      </c>
      <c r="C87" s="17" t="s">
        <v>51</v>
      </c>
      <c r="D87" s="17">
        <f t="shared" si="32"/>
      </c>
      <c r="E87" s="61">
        <v>1852.8199999999997</v>
      </c>
      <c r="F87" s="16">
        <v>5458.240000000003</v>
      </c>
      <c r="G87" s="16">
        <v>0</v>
      </c>
      <c r="H87" s="18">
        <v>28</v>
      </c>
      <c r="I87" s="16">
        <v>12372.520000000004</v>
      </c>
      <c r="J87" s="19">
        <f t="shared" si="55"/>
      </c>
      <c r="K87" s="19">
        <f t="shared" si="64"/>
      </c>
      <c r="L87" s="19">
        <f t="shared" si="73"/>
      </c>
      <c r="M87" s="20">
        <f t="shared" si="83"/>
      </c>
      <c r="N87" s="21">
        <f t="shared" si="4"/>
      </c>
      <c r="O87" s="22">
        <f t="shared" si="13"/>
      </c>
      <c r="P87" s="21">
        <f t="shared" si="92"/>
      </c>
      <c r="Q87" s="53" t="s">
        <v>46</v>
      </c>
      <c r="R87" s="54" t="s">
        <v>68</v>
      </c>
      <c r="S87" s="59">
        <v>191410</v>
      </c>
      <c r="T87" s="59">
        <v>4166</v>
      </c>
      <c r="U87" s="59">
        <v>476</v>
      </c>
      <c r="V87" s="59">
        <v>8087</v>
      </c>
      <c r="W87" s="59">
        <v>1299</v>
      </c>
      <c r="X87" s="25">
        <v>53</v>
      </c>
      <c r="Y87" s="25">
        <v>78</v>
      </c>
    </row>
    <row r="88">
      <c r="A88" s="14"/>
      <c r="B88" s="69" t="s">
        <v>59</v>
      </c>
      <c r="C88" s="17" t="s">
        <v>52</v>
      </c>
      <c r="D88" s="17">
        <f t="shared" si="32"/>
      </c>
      <c r="E88" s="61">
        <v>959.369999999999</v>
      </c>
      <c r="F88" s="16">
        <v>9146.54</v>
      </c>
      <c r="G88" s="16">
        <v>0</v>
      </c>
      <c r="H88" s="18">
        <v>41</v>
      </c>
      <c r="I88" s="16">
        <v>24456.42</v>
      </c>
      <c r="J88" s="19">
        <f t="shared" si="55"/>
      </c>
      <c r="K88" s="19">
        <f t="shared" si="64"/>
      </c>
      <c r="L88" s="19">
        <f t="shared" si="73"/>
      </c>
      <c r="M88" s="20">
        <f t="shared" si="83"/>
      </c>
      <c r="N88" s="21">
        <f t="shared" si="4"/>
      </c>
      <c r="O88" s="22">
        <f t="shared" si="13"/>
      </c>
      <c r="P88" s="21">
        <f t="shared" si="92"/>
      </c>
      <c r="Q88" s="53" t="s">
        <v>46</v>
      </c>
      <c r="R88" s="54" t="s">
        <v>68</v>
      </c>
      <c r="S88" s="59">
        <v>315699</v>
      </c>
      <c r="T88" s="59">
        <v>3621</v>
      </c>
      <c r="U88" s="59">
        <v>626</v>
      </c>
      <c r="V88" s="59">
        <v>5983</v>
      </c>
      <c r="W88" s="59">
        <v>932</v>
      </c>
      <c r="X88" s="25">
        <v>75</v>
      </c>
      <c r="Y88" s="25">
        <v>97</v>
      </c>
    </row>
    <row r="89">
      <c r="A89" s="14"/>
      <c r="B89" s="69" t="s">
        <v>59</v>
      </c>
      <c r="C89" s="17" t="s">
        <v>53</v>
      </c>
      <c r="D89" s="17">
        <f t="shared" si="32"/>
      </c>
      <c r="E89" s="17">
        <v>2733.720000000001</v>
      </c>
      <c r="F89" s="16">
        <v>7276.989999999998</v>
      </c>
      <c r="G89" s="16">
        <v>0</v>
      </c>
      <c r="H89" s="60">
        <v>37</v>
      </c>
      <c r="I89" s="17">
        <v>23029.800000000003</v>
      </c>
      <c r="J89" s="19">
        <f t="shared" si="55"/>
      </c>
      <c r="K89" s="19">
        <f t="shared" si="64"/>
      </c>
      <c r="L89" s="19">
        <f t="shared" si="73"/>
      </c>
      <c r="M89" s="20">
        <f t="shared" si="83"/>
      </c>
      <c r="N89" s="21">
        <f t="shared" si="4"/>
      </c>
      <c r="O89" s="22">
        <f t="shared" si="13"/>
      </c>
      <c r="P89" s="21">
        <f t="shared" si="92"/>
      </c>
      <c r="Q89" s="73" t="s">
        <v>46</v>
      </c>
      <c r="R89" s="54" t="s">
        <v>68</v>
      </c>
      <c r="S89" s="70">
        <v>244991</v>
      </c>
      <c r="T89" s="70">
        <v>5403</v>
      </c>
      <c r="U89" s="70">
        <v>730</v>
      </c>
      <c r="V89" s="59">
        <v>11143</v>
      </c>
      <c r="W89" s="59">
        <v>1853</v>
      </c>
      <c r="X89" s="59">
        <v>82</v>
      </c>
      <c r="Y89" s="59">
        <v>126</v>
      </c>
    </row>
    <row r="90">
      <c r="A90" s="14"/>
      <c r="B90" s="69" t="s">
        <v>59</v>
      </c>
      <c r="C90" s="17" t="s">
        <v>54</v>
      </c>
      <c r="D90" s="17">
        <f t="shared" si="32"/>
      </c>
      <c r="E90" s="16">
        <v>1949.25</v>
      </c>
      <c r="F90" s="16">
        <v>6957.110000000001</v>
      </c>
      <c r="G90" s="16">
        <v>0</v>
      </c>
      <c r="H90" s="18">
        <v>30</v>
      </c>
      <c r="I90" s="16">
        <v>13733.799999999988</v>
      </c>
      <c r="J90" s="19">
        <f t="shared" si="55"/>
      </c>
      <c r="K90" s="19">
        <f t="shared" si="64"/>
      </c>
      <c r="L90" s="19">
        <f t="shared" si="73"/>
      </c>
      <c r="M90" s="20">
        <f t="shared" si="83"/>
      </c>
      <c r="N90" s="21">
        <f t="shared" si="4"/>
      </c>
      <c r="O90" s="22">
        <f t="shared" si="13"/>
      </c>
      <c r="P90" s="74">
        <f t="shared" si="92"/>
      </c>
      <c r="Q90" s="73" t="s">
        <v>46</v>
      </c>
      <c r="R90" s="54" t="s">
        <v>68</v>
      </c>
      <c r="S90" s="75">
        <v>226986</v>
      </c>
      <c r="T90" s="75">
        <v>4651</v>
      </c>
      <c r="U90" s="75">
        <v>663</v>
      </c>
      <c r="V90" s="76">
        <v>10092</v>
      </c>
      <c r="W90" s="59">
        <v>1619</v>
      </c>
      <c r="X90" s="25">
        <v>45</v>
      </c>
      <c r="Y90" s="25">
        <v>92</v>
      </c>
    </row>
    <row r="91">
      <c r="A91" s="14"/>
      <c r="B91" s="27" t="s">
        <v>37</v>
      </c>
      <c r="C91" s="27"/>
      <c r="D91" s="28">
        <f>SUM(D86:D90)</f>
      </c>
      <c r="E91" s="28">
        <f>SUM(E86:E90)</f>
      </c>
      <c r="F91" s="28">
        <f>SUM(F86:G90)</f>
      </c>
      <c r="G91" s="28"/>
      <c r="H91" s="28">
        <f>SUM(H86:H90)</f>
      </c>
      <c r="I91" s="28">
        <f>SUM(I86:I90)</f>
      </c>
      <c r="J91" s="39">
        <f t="shared" si="55"/>
      </c>
      <c r="K91" s="31">
        <f t="shared" si="64"/>
      </c>
      <c r="L91" s="40">
        <f t="shared" si="73"/>
      </c>
      <c r="M91" s="33">
        <f t="shared" si="83"/>
      </c>
      <c r="N91" s="33">
        <f t="shared" si="4"/>
      </c>
      <c r="O91" s="34">
        <f t="shared" si="13"/>
      </c>
      <c r="P91" s="77">
        <f t="shared" si="92"/>
      </c>
      <c r="Q91" s="78"/>
      <c r="R91" s="78"/>
      <c r="S91" s="79">
        <f>SUM(S86:S90)</f>
      </c>
      <c r="T91" s="79">
        <f>SUM(T86:T90)</f>
      </c>
      <c r="U91" s="79">
        <f>SUM(U86:U90)</f>
      </c>
      <c r="V91" s="80">
        <f>SUM(V86:V90)</f>
      </c>
      <c r="W91" s="28">
        <f>SUM(W86:W90)</f>
      </c>
      <c r="X91" s="28">
        <f>SUM(X86:X90)</f>
      </c>
      <c r="Y91" s="28">
        <f>SUM(Y86:Y90)</f>
      </c>
    </row>
    <row r="92">
      <c r="A92" s="14"/>
      <c r="B92" s="15" t="s">
        <v>38</v>
      </c>
      <c r="C92" s="17" t="s">
        <v>31</v>
      </c>
      <c r="D92" s="17">
        <f t="shared" ref="D92:D96" si="33">E92+G92+F92</f>
      </c>
      <c r="E92" s="16">
        <v>1337.8400000000001</v>
      </c>
      <c r="F92" s="16">
        <v>5680.69</v>
      </c>
      <c r="G92" s="16">
        <v>0</v>
      </c>
      <c r="H92" s="18">
        <v>24</v>
      </c>
      <c r="I92" s="16">
        <v>14140.220000000001</v>
      </c>
      <c r="J92" s="19">
        <f t="shared" si="55"/>
      </c>
      <c r="K92" s="19">
        <f t="shared" si="64"/>
      </c>
      <c r="L92" s="19">
        <f t="shared" si="73"/>
      </c>
      <c r="M92" s="20">
        <f t="shared" si="83"/>
      </c>
      <c r="N92" s="21">
        <f t="shared" si="4"/>
      </c>
      <c r="O92" s="22">
        <f t="shared" si="13"/>
      </c>
      <c r="P92" s="74">
        <f t="shared" si="92"/>
      </c>
      <c r="Q92" s="81" t="s">
        <v>65</v>
      </c>
      <c r="R92" s="82" t="s">
        <v>66</v>
      </c>
      <c r="S92" s="75">
        <v>191518</v>
      </c>
      <c r="T92" s="75">
        <v>3635</v>
      </c>
      <c r="U92" s="75">
        <v>517</v>
      </c>
      <c r="V92" s="76">
        <v>7186</v>
      </c>
      <c r="W92" s="59">
        <v>1280</v>
      </c>
      <c r="X92" s="25">
        <v>48</v>
      </c>
      <c r="Y92" s="25">
        <v>82</v>
      </c>
    </row>
    <row r="93">
      <c r="A93" s="14"/>
      <c r="B93" s="15" t="s">
        <v>38</v>
      </c>
      <c r="C93" s="17" t="s">
        <v>34</v>
      </c>
      <c r="D93" s="17">
        <f t="shared" si="33"/>
      </c>
      <c r="E93" s="16">
        <v>598.0599999999977</v>
      </c>
      <c r="F93" s="16">
        <v>5168.110000000002</v>
      </c>
      <c r="G93" s="16">
        <v>0</v>
      </c>
      <c r="H93" s="18">
        <v>22</v>
      </c>
      <c r="I93" s="16">
        <v>8375.160000000003</v>
      </c>
      <c r="J93" s="19">
        <f t="shared" si="55"/>
      </c>
      <c r="K93" s="19">
        <f t="shared" si="64"/>
      </c>
      <c r="L93" s="19">
        <f t="shared" si="73"/>
      </c>
      <c r="M93" s="20">
        <f t="shared" si="83"/>
      </c>
      <c r="N93" s="21">
        <f t="shared" si="4"/>
      </c>
      <c r="O93" s="22">
        <f t="shared" si="13"/>
      </c>
      <c r="P93" s="74">
        <f t="shared" si="92"/>
      </c>
      <c r="Q93" s="81" t="s">
        <v>65</v>
      </c>
      <c r="R93" s="82" t="s">
        <v>66</v>
      </c>
      <c r="S93" s="75">
        <v>187521</v>
      </c>
      <c r="T93" s="75">
        <v>3239</v>
      </c>
      <c r="U93" s="75">
        <v>405</v>
      </c>
      <c r="V93" s="76">
        <v>6794</v>
      </c>
      <c r="W93" s="59">
        <v>1162</v>
      </c>
      <c r="X93" s="25">
        <v>32</v>
      </c>
      <c r="Y93" s="25">
        <v>77</v>
      </c>
    </row>
    <row r="94">
      <c r="A94" s="14"/>
      <c r="B94" s="15" t="s">
        <v>38</v>
      </c>
      <c r="C94" s="17" t="s">
        <v>35</v>
      </c>
      <c r="D94" s="17">
        <f t="shared" si="33"/>
      </c>
      <c r="E94" s="16">
        <v>1300.2400000000016</v>
      </c>
      <c r="F94" s="16">
        <v>7467.119999999999</v>
      </c>
      <c r="G94" s="16">
        <v>0</v>
      </c>
      <c r="H94" s="18">
        <v>31</v>
      </c>
      <c r="I94" s="16">
        <v>9800.279999999999</v>
      </c>
      <c r="J94" s="19">
        <f t="shared" si="55"/>
      </c>
      <c r="K94" s="19">
        <f t="shared" si="64"/>
      </c>
      <c r="L94" s="19">
        <f t="shared" si="73"/>
      </c>
      <c r="M94" s="20">
        <f t="shared" si="83"/>
      </c>
      <c r="N94" s="21">
        <f t="shared" si="4"/>
      </c>
      <c r="O94" s="22">
        <f t="shared" si="13"/>
      </c>
      <c r="P94" s="74">
        <f t="shared" si="92"/>
      </c>
      <c r="Q94" s="81" t="s">
        <v>65</v>
      </c>
      <c r="R94" s="82" t="s">
        <v>66</v>
      </c>
      <c r="S94" s="75">
        <v>253312</v>
      </c>
      <c r="T94" s="75">
        <v>3640</v>
      </c>
      <c r="U94" s="75">
        <v>519</v>
      </c>
      <c r="V94" s="76">
        <v>6780</v>
      </c>
      <c r="W94" s="59">
        <v>1150</v>
      </c>
      <c r="X94" s="25">
        <v>50</v>
      </c>
      <c r="Y94" s="25">
        <v>99</v>
      </c>
    </row>
    <row r="95">
      <c r="A95" s="14"/>
      <c r="B95" s="15" t="s">
        <v>38</v>
      </c>
      <c r="C95" s="17" t="s">
        <v>36</v>
      </c>
      <c r="D95" s="17">
        <f t="shared" si="33"/>
      </c>
      <c r="E95" s="16">
        <v>13545.140000000003</v>
      </c>
      <c r="F95" s="16">
        <v>9133.48</v>
      </c>
      <c r="G95" s="16">
        <v>0</v>
      </c>
      <c r="H95" s="18">
        <v>89</v>
      </c>
      <c r="I95" s="16">
        <v>43870.5</v>
      </c>
      <c r="J95" s="19">
        <f t="shared" si="55"/>
      </c>
      <c r="K95" s="19">
        <f t="shared" si="64"/>
      </c>
      <c r="L95" s="19">
        <f t="shared" si="73"/>
      </c>
      <c r="M95" s="20">
        <f t="shared" si="83"/>
      </c>
      <c r="N95" s="21">
        <f t="shared" si="4"/>
      </c>
      <c r="O95" s="22">
        <f t="shared" si="13"/>
      </c>
      <c r="P95" s="74">
        <f t="shared" si="92"/>
      </c>
      <c r="Q95" s="81" t="s">
        <v>65</v>
      </c>
      <c r="R95" s="82" t="s">
        <v>66</v>
      </c>
      <c r="S95" s="75">
        <v>453946</v>
      </c>
      <c r="T95" s="75">
        <v>24611</v>
      </c>
      <c r="U95" s="75">
        <v>1555</v>
      </c>
      <c r="V95" s="76">
        <v>60102</v>
      </c>
      <c r="W95" s="59">
        <v>8289</v>
      </c>
      <c r="X95" s="25">
        <v>186</v>
      </c>
      <c r="Y95" s="25">
        <v>256</v>
      </c>
    </row>
    <row r="96">
      <c r="A96" s="14"/>
      <c r="B96" s="15" t="s">
        <v>38</v>
      </c>
      <c r="C96" s="17" t="s">
        <v>39</v>
      </c>
      <c r="D96" s="17">
        <f t="shared" si="33"/>
      </c>
      <c r="E96" s="16">
        <v>14109.559999999998</v>
      </c>
      <c r="F96" s="16">
        <v>17675.510000000002</v>
      </c>
      <c r="G96" s="16">
        <v>0</v>
      </c>
      <c r="H96" s="18">
        <v>135</v>
      </c>
      <c r="I96" s="16">
        <v>73488.21000000002</v>
      </c>
      <c r="J96" s="19">
        <f t="shared" si="55"/>
      </c>
      <c r="K96" s="19">
        <f t="shared" si="64"/>
      </c>
      <c r="L96" s="19">
        <f t="shared" si="73"/>
      </c>
      <c r="M96" s="20">
        <f t="shared" si="83"/>
      </c>
      <c r="N96" s="21">
        <f t="shared" si="4"/>
      </c>
      <c r="O96" s="22">
        <f t="shared" si="13"/>
      </c>
      <c r="P96" s="74">
        <f t="shared" si="92"/>
      </c>
      <c r="Q96" s="81" t="s">
        <v>65</v>
      </c>
      <c r="R96" s="82" t="s">
        <v>66</v>
      </c>
      <c r="S96" s="75">
        <v>684938</v>
      </c>
      <c r="T96" s="75">
        <v>27551</v>
      </c>
      <c r="U96" s="75">
        <v>2168</v>
      </c>
      <c r="V96" s="76">
        <v>62680</v>
      </c>
      <c r="W96" s="59">
        <v>8840</v>
      </c>
      <c r="X96" s="25">
        <v>234</v>
      </c>
      <c r="Y96" s="25">
        <v>346</v>
      </c>
    </row>
    <row r="97">
      <c r="A97" s="14"/>
      <c r="B97" s="27" t="s">
        <v>37</v>
      </c>
      <c r="C97" s="27"/>
      <c r="D97" s="28">
        <f>SUM(D92:D96)</f>
      </c>
      <c r="E97" s="28">
        <f>SUM(E92:E96)</f>
      </c>
      <c r="F97" s="28">
        <f>SUM(F92:G96)</f>
      </c>
      <c r="G97" s="28"/>
      <c r="H97" s="29">
        <f>SUM(H92:H96)</f>
      </c>
      <c r="I97" s="28">
        <f>SUM(I92:I96)</f>
      </c>
      <c r="J97" s="30">
        <f t="shared" si="55"/>
      </c>
      <c r="K97" s="31">
        <f t="shared" si="64"/>
      </c>
      <c r="L97" s="32">
        <f t="shared" si="73"/>
      </c>
      <c r="M97" s="33">
        <f t="shared" si="83"/>
      </c>
      <c r="N97" s="33">
        <f t="shared" si="4"/>
      </c>
      <c r="O97" s="34">
        <f t="shared" si="13"/>
      </c>
      <c r="P97" s="77">
        <f t="shared" si="92"/>
      </c>
      <c r="Q97" s="78"/>
      <c r="R97" s="78"/>
      <c r="S97" s="83">
        <f>SUM(S92:S96)</f>
      </c>
      <c r="T97" s="83">
        <f>SUM(T92:T96)</f>
      </c>
      <c r="U97" s="83">
        <f>SUM(U92:U96)</f>
      </c>
      <c r="V97" s="84">
        <f>SUM(V92:V96)</f>
      </c>
      <c r="W97" s="29">
        <f>SUM(W92:W96)</f>
      </c>
      <c r="X97" s="29">
        <f>SUM(X92:X96)</f>
      </c>
      <c r="Y97" s="29">
        <f>SUM(Y92:Y96)</f>
      </c>
    </row>
    <row r="98">
      <c r="A98" s="14"/>
      <c r="B98" s="15" t="s">
        <v>50</v>
      </c>
      <c r="C98" s="17" t="s">
        <v>40</v>
      </c>
      <c r="D98" s="17">
        <f t="shared" ref="D98:D100" si="34">E98+G98+F98</f>
      </c>
      <c r="E98" s="16">
        <v>4424.8399999999965</v>
      </c>
      <c r="F98" s="16">
        <v>21740.910000000003</v>
      </c>
      <c r="G98" s="16">
        <v>0</v>
      </c>
      <c r="H98" s="18">
        <v>95</v>
      </c>
      <c r="I98" s="16">
        <v>50377.06</v>
      </c>
      <c r="J98" s="19">
        <f t="shared" si="55"/>
      </c>
      <c r="K98" s="19">
        <f t="shared" si="64"/>
      </c>
      <c r="L98" s="19">
        <f t="shared" si="73"/>
      </c>
      <c r="M98" s="20">
        <f t="shared" si="83"/>
      </c>
      <c r="N98" s="21">
        <f t="shared" si="4"/>
      </c>
      <c r="O98" s="22">
        <f t="shared" si="13"/>
      </c>
      <c r="P98" s="74">
        <f t="shared" si="92"/>
      </c>
      <c r="Q98" s="81" t="s">
        <v>65</v>
      </c>
      <c r="R98" s="82" t="s">
        <v>66</v>
      </c>
      <c r="S98" s="75">
        <v>691666</v>
      </c>
      <c r="T98" s="75">
        <v>11390</v>
      </c>
      <c r="U98" s="75">
        <v>1388</v>
      </c>
      <c r="V98" s="85">
        <v>21762</v>
      </c>
      <c r="W98" s="70">
        <v>3199</v>
      </c>
      <c r="X98" s="35">
        <v>150</v>
      </c>
      <c r="Y98" s="25">
        <v>331</v>
      </c>
    </row>
    <row r="99">
      <c r="A99" s="14"/>
      <c r="B99" s="15" t="s">
        <v>50</v>
      </c>
      <c r="C99" s="17" t="s">
        <v>41</v>
      </c>
      <c r="D99" s="17">
        <f t="shared" si="34"/>
      </c>
      <c r="E99" s="16">
        <v>87.38999999999942</v>
      </c>
      <c r="F99" s="16">
        <v>44769.29</v>
      </c>
      <c r="G99" s="16">
        <v>0</v>
      </c>
      <c r="H99" s="18">
        <v>127</v>
      </c>
      <c r="I99" s="16">
        <v>50844.890000000014</v>
      </c>
      <c r="J99" s="19">
        <f t="shared" si="55"/>
      </c>
      <c r="K99" s="19">
        <f t="shared" si="64"/>
      </c>
      <c r="L99" s="19">
        <f t="shared" si="73"/>
      </c>
      <c r="M99" s="20">
        <f t="shared" si="83"/>
      </c>
      <c r="N99" s="21">
        <f t="shared" si="4"/>
      </c>
      <c r="O99" s="22">
        <f t="shared" si="13"/>
      </c>
      <c r="P99" s="74">
        <f t="shared" si="92"/>
      </c>
      <c r="Q99" s="81" t="s">
        <v>65</v>
      </c>
      <c r="R99" s="82" t="s">
        <v>66</v>
      </c>
      <c r="S99" s="75">
        <v>1263431</v>
      </c>
      <c r="T99" s="75">
        <v>10322</v>
      </c>
      <c r="U99" s="75">
        <v>1844</v>
      </c>
      <c r="V99" s="85">
        <v>10798</v>
      </c>
      <c r="W99" s="71">
        <v>1607</v>
      </c>
      <c r="X99" s="37">
        <v>227</v>
      </c>
      <c r="Y99" s="38">
        <v>309</v>
      </c>
    </row>
    <row r="100">
      <c r="A100" s="14"/>
      <c r="B100" s="15" t="s">
        <v>50</v>
      </c>
      <c r="C100" s="17" t="s">
        <v>42</v>
      </c>
      <c r="D100" s="17">
        <f t="shared" si="34"/>
      </c>
      <c r="E100" s="16">
        <v>43.390000000006694</v>
      </c>
      <c r="F100" s="16">
        <v>10012.76</v>
      </c>
      <c r="G100" s="16">
        <v>0</v>
      </c>
      <c r="H100" s="18">
        <v>41</v>
      </c>
      <c r="I100" s="16">
        <v>16040.719999999972</v>
      </c>
      <c r="J100" s="19">
        <f t="shared" si="55"/>
      </c>
      <c r="K100" s="19">
        <f t="shared" si="64"/>
      </c>
      <c r="L100" s="19">
        <f t="shared" si="73"/>
      </c>
      <c r="M100" s="20">
        <f t="shared" si="83"/>
      </c>
      <c r="N100" s="21">
        <f t="shared" si="4"/>
      </c>
      <c r="O100" s="22">
        <f t="shared" si="13"/>
      </c>
      <c r="P100" s="74">
        <f t="shared" si="92"/>
      </c>
      <c r="Q100" s="81" t="s">
        <v>65</v>
      </c>
      <c r="R100" s="82" t="s">
        <v>66</v>
      </c>
      <c r="S100" s="75">
        <v>324202</v>
      </c>
      <c r="T100" s="75">
        <v>2969</v>
      </c>
      <c r="U100" s="75">
        <v>504</v>
      </c>
      <c r="V100" s="85">
        <v>3159</v>
      </c>
      <c r="W100" s="71">
        <v>453</v>
      </c>
      <c r="X100" s="37">
        <v>67</v>
      </c>
      <c r="Y100" s="38">
        <v>93</v>
      </c>
    </row>
    <row r="101">
      <c r="A101" s="14"/>
      <c r="B101" s="27" t="s">
        <v>37</v>
      </c>
      <c r="C101" s="27"/>
      <c r="D101" s="28">
        <f>SUM(D98:D100)</f>
      </c>
      <c r="E101" s="28">
        <f>SUM(E98:E100)</f>
      </c>
      <c r="F101" s="28">
        <f>SUM(F98:G100)</f>
      </c>
      <c r="G101" s="28"/>
      <c r="H101" s="28">
        <f>SUM(H98:H100)</f>
      </c>
      <c r="I101" s="28">
        <f>SUM(I98:I100)</f>
      </c>
      <c r="J101" s="39">
        <f t="shared" si="55"/>
      </c>
      <c r="K101" s="31">
        <f t="shared" si="64"/>
      </c>
      <c r="L101" s="40">
        <f t="shared" si="73"/>
      </c>
      <c r="M101" s="33">
        <f t="shared" si="83"/>
      </c>
      <c r="N101" s="33">
        <f t="shared" si="4"/>
      </c>
      <c r="O101" s="34">
        <f t="shared" si="13"/>
      </c>
      <c r="P101" s="77">
        <f t="shared" si="92"/>
      </c>
      <c r="Q101" s="78"/>
      <c r="R101" s="78"/>
      <c r="S101" s="79">
        <f>SUM(S98:S100)</f>
      </c>
      <c r="T101" s="79">
        <f>SUM(T98:T100)</f>
      </c>
      <c r="U101" s="79">
        <f>SUM(U98:U100)</f>
      </c>
      <c r="V101" s="80">
        <f>SUM(V98:V100)</f>
      </c>
      <c r="W101" s="28">
        <f>SUM(W98:W100)</f>
      </c>
      <c r="X101" s="28">
        <f>SUM(X98:X100)</f>
      </c>
      <c r="Y101" s="28">
        <f>SUM(Y98:Y100)</f>
      </c>
    </row>
    <row r="102">
      <c r="A102" s="14"/>
      <c r="B102" s="42" t="s">
        <v>43</v>
      </c>
      <c r="C102" s="42"/>
      <c r="D102" s="43">
        <f>D101+D97+D91+D85</f>
      </c>
      <c r="E102" s="43">
        <f>E101+E97+E91+E85</f>
      </c>
      <c r="F102" s="43">
        <f>F101+F97+F91+F85</f>
      </c>
      <c r="G102" s="43"/>
      <c r="H102" s="44">
        <f>H101+H97+H91+H85</f>
      </c>
      <c r="I102" s="43">
        <f>I101+I97+I91+I85</f>
      </c>
      <c r="J102" s="45">
        <f t="shared" si="55"/>
      </c>
      <c r="K102" s="45">
        <f t="shared" si="64"/>
      </c>
      <c r="L102" s="45">
        <f t="shared" si="73"/>
      </c>
      <c r="M102" s="46">
        <f t="shared" si="83"/>
      </c>
      <c r="N102" s="46">
        <f t="shared" si="4"/>
      </c>
      <c r="O102" s="45">
        <f t="shared" si="13"/>
      </c>
      <c r="P102" s="86">
        <f t="shared" si="92"/>
      </c>
      <c r="Q102" s="87"/>
      <c r="R102" s="87"/>
      <c r="S102" s="88">
        <f>S101+S97+S91+S85</f>
      </c>
      <c r="T102" s="88">
        <f>T101+T97+T91+T85</f>
      </c>
      <c r="U102" s="88">
        <f>U101+U97+U91+U85</f>
      </c>
      <c r="V102" s="88">
        <f>V101+V97+V91+V85</f>
      </c>
      <c r="W102" s="88">
        <f>W101+W97+W91+W85</f>
      </c>
      <c r="X102" s="50">
        <f>X101+X97+X91+X85</f>
      </c>
      <c r="Y102" s="44">
        <f>Y101+Y97+Y91+Y85</f>
      </c>
    </row>
    <row r="103">
      <c r="A103" s="1" t="s">
        <v>1</v>
      </c>
      <c r="B103" s="1"/>
      <c r="C103" s="1"/>
      <c r="D103" s="2" t="s">
        <v>2</v>
      </c>
      <c r="E103" s="2"/>
      <c r="F103" s="2"/>
      <c r="G103" s="2"/>
      <c r="H103" s="2"/>
      <c r="I103" s="2"/>
      <c r="J103" s="2"/>
      <c r="K103" s="2"/>
      <c r="L103" s="2"/>
      <c r="M103" s="3" t="s">
        <v>3</v>
      </c>
      <c r="N103" s="3"/>
      <c r="O103" s="3"/>
      <c r="P103" s="3"/>
      <c r="Q103" s="3"/>
      <c r="R103" s="3"/>
      <c r="S103" s="4" t="s">
        <v>4</v>
      </c>
      <c r="T103" s="4"/>
      <c r="U103" s="4"/>
      <c r="V103" s="4"/>
      <c r="W103" s="4"/>
      <c r="X103" s="4"/>
      <c r="Y103" s="4"/>
    </row>
    <row r="104">
      <c r="A104" s="1" t="s">
        <v>5</v>
      </c>
      <c r="B104" s="1" t="s">
        <v>6</v>
      </c>
      <c r="C104" s="1" t="s">
        <v>7</v>
      </c>
      <c r="D104" s="7" t="s">
        <v>8</v>
      </c>
      <c r="E104" s="7" t="s">
        <v>9</v>
      </c>
      <c r="F104" s="2" t="s">
        <v>10</v>
      </c>
      <c r="G104" s="2"/>
      <c r="H104" s="8" t="s">
        <v>11</v>
      </c>
      <c r="I104" s="2" t="s">
        <v>12</v>
      </c>
      <c r="J104" s="9" t="s">
        <v>13</v>
      </c>
      <c r="K104" s="10" t="s">
        <v>14</v>
      </c>
      <c r="L104" s="2" t="s">
        <v>15</v>
      </c>
      <c r="M104" s="3" t="s">
        <v>16</v>
      </c>
      <c r="N104" s="3" t="s">
        <v>17</v>
      </c>
      <c r="O104" s="3" t="s">
        <v>18</v>
      </c>
      <c r="P104" s="3" t="s">
        <v>19</v>
      </c>
      <c r="Q104" s="11" t="s">
        <v>20</v>
      </c>
      <c r="R104" s="11" t="s">
        <v>21</v>
      </c>
      <c r="S104" s="12" t="s">
        <v>22</v>
      </c>
      <c r="T104" s="12" t="s">
        <v>23</v>
      </c>
      <c r="U104" s="13" t="s">
        <v>24</v>
      </c>
      <c r="V104" s="13" t="s">
        <v>25</v>
      </c>
      <c r="W104" s="13" t="s">
        <v>26</v>
      </c>
      <c r="X104" s="13" t="s">
        <v>27</v>
      </c>
      <c r="Y104" s="13" t="s">
        <v>28</v>
      </c>
    </row>
    <row r="105">
      <c r="A105" s="14" t="s">
        <v>69</v>
      </c>
      <c r="B105" s="15" t="s">
        <v>38</v>
      </c>
      <c r="C105" s="16" t="s">
        <v>63</v>
      </c>
      <c r="D105" s="17">
        <f t="shared" ref="D105:D108" si="35">E105+G105+F105</f>
      </c>
      <c r="E105" s="17">
        <v>48.3</v>
      </c>
      <c r="F105" s="17">
        <v>6516.91</v>
      </c>
      <c r="G105" s="16">
        <v>0</v>
      </c>
      <c r="H105" s="18">
        <v>15</v>
      </c>
      <c r="I105" s="17">
        <v>5499.88</v>
      </c>
      <c r="J105" s="52">
        <f t="shared" ref="J105:J127" si="56">I105/D105</f>
      </c>
      <c r="K105" s="52">
        <f t="shared" ref="K105:K127" si="65">D105/H105</f>
      </c>
      <c r="L105" s="19">
        <f t="shared" ref="L105:L127" si="74">I105/H105</f>
      </c>
      <c r="M105" s="20">
        <f t="shared" ref="M105:M127" si="84">T105/S105</f>
      </c>
      <c r="N105" s="21">
        <f t="shared" ref="N105:N127" si="5">H105/X105</f>
      </c>
      <c r="O105" s="22">
        <f t="shared" ref="O105:O127" si="14">(Y105*1000)/D105</f>
      </c>
      <c r="P105" s="21">
        <f t="shared" ref="P105:P127" si="93">W105/V105</f>
      </c>
      <c r="Q105" s="53" t="s">
        <v>46</v>
      </c>
      <c r="R105" s="54" t="s">
        <v>70</v>
      </c>
      <c r="S105" s="55">
        <v>171479</v>
      </c>
      <c r="T105" s="55">
        <v>2321</v>
      </c>
      <c r="U105" s="56">
        <v>325</v>
      </c>
      <c r="V105" s="55">
        <v>2500</v>
      </c>
      <c r="W105" s="55">
        <v>314</v>
      </c>
      <c r="X105" s="37">
        <v>30</v>
      </c>
      <c r="Y105" s="37">
        <v>77</v>
      </c>
    </row>
    <row r="106">
      <c r="A106" s="14"/>
      <c r="B106" s="15" t="s">
        <v>38</v>
      </c>
      <c r="C106" s="17" t="s">
        <v>45</v>
      </c>
      <c r="D106" s="17">
        <f t="shared" si="35"/>
      </c>
      <c r="E106" s="61">
        <v>59.620000000000005</v>
      </c>
      <c r="F106" s="17">
        <v>3387.119999999999</v>
      </c>
      <c r="G106" s="16">
        <v>0</v>
      </c>
      <c r="H106" s="60">
        <v>13</v>
      </c>
      <c r="I106" s="17">
        <v>9133.220000000001</v>
      </c>
      <c r="J106" s="19">
        <f t="shared" si="56"/>
      </c>
      <c r="K106" s="19">
        <f t="shared" si="65"/>
      </c>
      <c r="L106" s="52">
        <f t="shared" si="74"/>
      </c>
      <c r="M106" s="20">
        <f t="shared" si="84"/>
      </c>
      <c r="N106" s="21">
        <f t="shared" si="5"/>
      </c>
      <c r="O106" s="22">
        <f t="shared" si="14"/>
      </c>
      <c r="P106" s="21">
        <f t="shared" si="93"/>
      </c>
      <c r="Q106" s="53" t="s">
        <v>46</v>
      </c>
      <c r="R106" s="54" t="s">
        <v>70</v>
      </c>
      <c r="S106" s="57">
        <v>101142</v>
      </c>
      <c r="T106" s="57">
        <v>1206</v>
      </c>
      <c r="U106" s="55">
        <v>260</v>
      </c>
      <c r="V106" s="55">
        <v>1295</v>
      </c>
      <c r="W106" s="55">
        <v>267</v>
      </c>
      <c r="X106" s="37">
        <v>20</v>
      </c>
      <c r="Y106" s="37">
        <v>46</v>
      </c>
    </row>
    <row r="107">
      <c r="A107" s="14"/>
      <c r="B107" s="15" t="s">
        <v>38</v>
      </c>
      <c r="C107" s="17" t="s">
        <v>47</v>
      </c>
      <c r="D107" s="17">
        <f t="shared" si="35"/>
      </c>
      <c r="E107" s="61">
        <v>1378.25</v>
      </c>
      <c r="F107" s="16">
        <v>1880.260000000002</v>
      </c>
      <c r="G107" s="16">
        <v>0</v>
      </c>
      <c r="H107" s="18">
        <v>13</v>
      </c>
      <c r="I107" s="17">
        <v>4506.279999999999</v>
      </c>
      <c r="J107" s="52">
        <f t="shared" si="56"/>
      </c>
      <c r="K107" s="52">
        <f t="shared" si="65"/>
      </c>
      <c r="L107" s="52">
        <f t="shared" si="74"/>
      </c>
      <c r="M107" s="62">
        <f t="shared" si="84"/>
      </c>
      <c r="N107" s="63">
        <f t="shared" si="5"/>
      </c>
      <c r="O107" s="64">
        <f t="shared" si="14"/>
      </c>
      <c r="P107" s="21">
        <f t="shared" si="93"/>
      </c>
      <c r="Q107" s="53" t="s">
        <v>46</v>
      </c>
      <c r="R107" s="54" t="s">
        <v>70</v>
      </c>
      <c r="S107" s="58">
        <v>64163</v>
      </c>
      <c r="T107" s="58">
        <v>2154</v>
      </c>
      <c r="U107" s="65">
        <v>267</v>
      </c>
      <c r="V107" s="58">
        <v>4355</v>
      </c>
      <c r="W107" s="58">
        <v>815</v>
      </c>
      <c r="X107" s="58">
        <v>22</v>
      </c>
      <c r="Y107" s="58">
        <v>70</v>
      </c>
    </row>
    <row r="108">
      <c r="A108" s="14"/>
      <c r="B108" s="15" t="s">
        <v>38</v>
      </c>
      <c r="C108" s="17" t="s">
        <v>48</v>
      </c>
      <c r="D108" s="17">
        <f t="shared" si="35"/>
      </c>
      <c r="E108" s="17">
        <v>4457.05</v>
      </c>
      <c r="F108" s="16">
        <v>1500.6399999999994</v>
      </c>
      <c r="G108" s="16">
        <v>0</v>
      </c>
      <c r="H108" s="60">
        <v>36</v>
      </c>
      <c r="I108" s="17">
        <v>14093.469999999998</v>
      </c>
      <c r="J108" s="52">
        <f t="shared" si="56"/>
      </c>
      <c r="K108" s="19">
        <f t="shared" si="65"/>
      </c>
      <c r="L108" s="19">
        <f t="shared" si="74"/>
      </c>
      <c r="M108" s="20">
        <f t="shared" si="84"/>
      </c>
      <c r="N108" s="21">
        <f t="shared" si="5"/>
      </c>
      <c r="O108" s="22">
        <f t="shared" si="14"/>
      </c>
      <c r="P108" s="21">
        <f t="shared" si="93"/>
      </c>
      <c r="Q108" s="53" t="s">
        <v>46</v>
      </c>
      <c r="R108" s="54" t="s">
        <v>70</v>
      </c>
      <c r="S108" s="58">
        <v>102037</v>
      </c>
      <c r="T108" s="58">
        <v>6415</v>
      </c>
      <c r="U108" s="58">
        <v>487</v>
      </c>
      <c r="V108" s="58">
        <v>14365</v>
      </c>
      <c r="W108" s="58">
        <v>2601</v>
      </c>
      <c r="X108" s="58">
        <v>56</v>
      </c>
      <c r="Y108" s="58">
        <v>112</v>
      </c>
    </row>
    <row r="109">
      <c r="A109" s="14"/>
      <c r="B109" s="27" t="s">
        <v>37</v>
      </c>
      <c r="C109" s="27"/>
      <c r="D109" s="28">
        <f>SUM(D105:D108)</f>
      </c>
      <c r="E109" s="28">
        <f>SUM(E105:E108)</f>
      </c>
      <c r="F109" s="28">
        <f>SUM(F105:G108)</f>
      </c>
      <c r="G109" s="28"/>
      <c r="H109" s="29">
        <f>SUM(H105:H108)</f>
      </c>
      <c r="I109" s="28">
        <f>SUM(I105:I108)</f>
      </c>
      <c r="J109" s="30">
        <f t="shared" si="56"/>
      </c>
      <c r="K109" s="66">
        <f t="shared" si="65"/>
      </c>
      <c r="L109" s="32">
        <f t="shared" si="74"/>
      </c>
      <c r="M109" s="67">
        <f t="shared" si="84"/>
      </c>
      <c r="N109" s="33">
        <f t="shared" si="5"/>
      </c>
      <c r="O109" s="68">
        <f t="shared" si="14"/>
      </c>
      <c r="P109" s="33">
        <f t="shared" si="93"/>
      </c>
      <c r="Q109" s="34"/>
      <c r="R109" s="34"/>
      <c r="S109" s="29">
        <f>SUM(S105:S108)</f>
      </c>
      <c r="T109" s="29">
        <f>SUM(T105:T108)</f>
      </c>
      <c r="U109" s="29">
        <f>SUM(U105:U108)</f>
      </c>
      <c r="V109" s="29">
        <f>SUM(V105:V108)</f>
      </c>
      <c r="W109" s="29">
        <f>SUM(W105:W108)</f>
      </c>
      <c r="X109" s="29">
        <f>SUM(X105:X108)</f>
      </c>
      <c r="Y109" s="29">
        <f>SUM(Y105:Y108)</f>
      </c>
    </row>
    <row r="110">
      <c r="A110" s="14"/>
      <c r="B110" s="69" t="s">
        <v>62</v>
      </c>
      <c r="C110" s="17" t="s">
        <v>49</v>
      </c>
      <c r="D110" s="17">
        <f t="shared" ref="D110:D114" si="36">E110+G110+F110</f>
      </c>
      <c r="E110" s="17">
        <v>4498.579999999999</v>
      </c>
      <c r="F110" s="16">
        <v>2050.640000000003</v>
      </c>
      <c r="G110" s="16">
        <v>0</v>
      </c>
      <c r="H110" s="60">
        <v>16</v>
      </c>
      <c r="I110" s="17">
        <v>5749.580000000002</v>
      </c>
      <c r="J110" s="19">
        <f t="shared" si="56"/>
      </c>
      <c r="K110" s="19">
        <f t="shared" si="65"/>
      </c>
      <c r="L110" s="19">
        <f t="shared" si="74"/>
      </c>
      <c r="M110" s="20">
        <f t="shared" si="84"/>
      </c>
      <c r="N110" s="21">
        <f t="shared" si="5"/>
      </c>
      <c r="O110" s="22">
        <f t="shared" si="14"/>
      </c>
      <c r="P110" s="21">
        <f t="shared" si="93"/>
      </c>
      <c r="Q110" s="53" t="s">
        <v>46</v>
      </c>
      <c r="R110" s="54" t="s">
        <v>70</v>
      </c>
      <c r="S110" s="59">
        <v>108642</v>
      </c>
      <c r="T110" s="59">
        <v>6448</v>
      </c>
      <c r="U110" s="59">
        <v>404</v>
      </c>
      <c r="V110" s="59">
        <v>15610</v>
      </c>
      <c r="W110" s="59">
        <v>2539</v>
      </c>
      <c r="X110" s="25">
        <v>31</v>
      </c>
      <c r="Y110" s="25">
        <v>86</v>
      </c>
    </row>
    <row r="111">
      <c r="A111" s="14"/>
      <c r="B111" s="69" t="s">
        <v>62</v>
      </c>
      <c r="C111" s="17" t="s">
        <v>51</v>
      </c>
      <c r="D111" s="17">
        <f t="shared" si="36"/>
      </c>
      <c r="E111" s="61">
        <v>3323.6400000000012</v>
      </c>
      <c r="F111" s="16">
        <v>1498.859999999997</v>
      </c>
      <c r="G111" s="16">
        <v>0</v>
      </c>
      <c r="H111" s="18">
        <v>19</v>
      </c>
      <c r="I111" s="16">
        <v>13567.96</v>
      </c>
      <c r="J111" s="19">
        <f t="shared" si="56"/>
      </c>
      <c r="K111" s="19">
        <f t="shared" si="65"/>
      </c>
      <c r="L111" s="19">
        <f t="shared" si="74"/>
      </c>
      <c r="M111" s="20">
        <f t="shared" si="84"/>
      </c>
      <c r="N111" s="21">
        <f t="shared" si="5"/>
      </c>
      <c r="O111" s="22">
        <f t="shared" si="14"/>
      </c>
      <c r="P111" s="21">
        <f t="shared" si="93"/>
      </c>
      <c r="Q111" s="53" t="s">
        <v>46</v>
      </c>
      <c r="R111" s="54" t="s">
        <v>70</v>
      </c>
      <c r="S111" s="59">
        <v>96085</v>
      </c>
      <c r="T111" s="59">
        <v>5634</v>
      </c>
      <c r="U111" s="59">
        <v>364</v>
      </c>
      <c r="V111" s="59">
        <v>13385</v>
      </c>
      <c r="W111" s="59">
        <v>2229</v>
      </c>
      <c r="X111" s="25">
        <v>36</v>
      </c>
      <c r="Y111" s="25">
        <v>88</v>
      </c>
    </row>
    <row r="112">
      <c r="A112" s="14"/>
      <c r="B112" s="69" t="s">
        <v>62</v>
      </c>
      <c r="C112" s="17" t="s">
        <v>52</v>
      </c>
      <c r="D112" s="17">
        <f t="shared" si="36"/>
      </c>
      <c r="E112" s="61">
        <v>2620.8999999999996</v>
      </c>
      <c r="F112" s="16">
        <v>1291.4800000000032</v>
      </c>
      <c r="G112" s="16">
        <v>0</v>
      </c>
      <c r="H112" s="18">
        <v>11</v>
      </c>
      <c r="I112" s="16">
        <v>6944.4000000000015</v>
      </c>
      <c r="J112" s="19">
        <f t="shared" si="56"/>
      </c>
      <c r="K112" s="19">
        <f t="shared" si="65"/>
      </c>
      <c r="L112" s="19">
        <f t="shared" si="74"/>
      </c>
      <c r="M112" s="20">
        <f t="shared" si="84"/>
      </c>
      <c r="N112" s="21">
        <f t="shared" si="5"/>
      </c>
      <c r="O112" s="22">
        <f t="shared" si="14"/>
      </c>
      <c r="P112" s="21">
        <f t="shared" si="93"/>
      </c>
      <c r="Q112" s="53" t="s">
        <v>46</v>
      </c>
      <c r="R112" s="54" t="s">
        <v>70</v>
      </c>
      <c r="S112" s="59">
        <v>77767</v>
      </c>
      <c r="T112" s="59">
        <v>3979</v>
      </c>
      <c r="U112" s="59">
        <v>320</v>
      </c>
      <c r="V112" s="59">
        <v>8441</v>
      </c>
      <c r="W112" s="59">
        <v>1203</v>
      </c>
      <c r="X112" s="25">
        <v>31</v>
      </c>
      <c r="Y112" s="25">
        <v>54</v>
      </c>
    </row>
    <row r="113">
      <c r="A113" s="14"/>
      <c r="B113" s="69" t="s">
        <v>62</v>
      </c>
      <c r="C113" s="17" t="s">
        <v>53</v>
      </c>
      <c r="D113" s="17">
        <f t="shared" si="36"/>
      </c>
      <c r="E113" s="17">
        <v>4033.369999999999</v>
      </c>
      <c r="F113" s="16">
        <v>2981.66</v>
      </c>
      <c r="G113" s="16">
        <v>0</v>
      </c>
      <c r="H113" s="60">
        <v>30</v>
      </c>
      <c r="I113" s="17">
        <v>20857.219999999994</v>
      </c>
      <c r="J113" s="19">
        <f t="shared" si="56"/>
      </c>
      <c r="K113" s="19">
        <f t="shared" si="65"/>
      </c>
      <c r="L113" s="19">
        <f t="shared" si="74"/>
      </c>
      <c r="M113" s="20">
        <f t="shared" si="84"/>
      </c>
      <c r="N113" s="21">
        <f t="shared" si="5"/>
      </c>
      <c r="O113" s="22">
        <f t="shared" si="14"/>
      </c>
      <c r="P113" s="21">
        <f t="shared" si="93"/>
      </c>
      <c r="Q113" s="73" t="s">
        <v>46</v>
      </c>
      <c r="R113" s="54" t="s">
        <v>70</v>
      </c>
      <c r="S113" s="70">
        <v>148611</v>
      </c>
      <c r="T113" s="70">
        <v>6534</v>
      </c>
      <c r="U113" s="70">
        <v>521</v>
      </c>
      <c r="V113" s="59">
        <v>13672</v>
      </c>
      <c r="W113" s="59">
        <v>1749</v>
      </c>
      <c r="X113" s="59">
        <v>47</v>
      </c>
      <c r="Y113" s="59">
        <v>94</v>
      </c>
    </row>
    <row r="114">
      <c r="A114" s="14"/>
      <c r="B114" s="69" t="s">
        <v>62</v>
      </c>
      <c r="C114" s="17" t="s">
        <v>54</v>
      </c>
      <c r="D114" s="17">
        <f t="shared" si="36"/>
      </c>
      <c r="E114" s="16">
        <v>3774.459999999999</v>
      </c>
      <c r="F114" s="16">
        <v>2558.4999999999964</v>
      </c>
      <c r="G114" s="16">
        <v>0</v>
      </c>
      <c r="H114" s="18">
        <v>28</v>
      </c>
      <c r="I114" s="16">
        <v>13204.98000000001</v>
      </c>
      <c r="J114" s="19">
        <f t="shared" si="56"/>
      </c>
      <c r="K114" s="19">
        <f t="shared" si="65"/>
      </c>
      <c r="L114" s="19">
        <f t="shared" si="74"/>
      </c>
      <c r="M114" s="20">
        <f t="shared" si="84"/>
      </c>
      <c r="N114" s="21">
        <f t="shared" si="5"/>
      </c>
      <c r="O114" s="22">
        <f t="shared" si="14"/>
      </c>
      <c r="P114" s="74">
        <f t="shared" si="93"/>
      </c>
      <c r="Q114" s="73" t="s">
        <v>46</v>
      </c>
      <c r="R114" s="54" t="s">
        <v>70</v>
      </c>
      <c r="S114" s="75">
        <v>146894</v>
      </c>
      <c r="T114" s="75">
        <v>7004</v>
      </c>
      <c r="U114" s="75">
        <v>605</v>
      </c>
      <c r="V114" s="76">
        <v>14618</v>
      </c>
      <c r="W114" s="59">
        <v>2096</v>
      </c>
      <c r="X114" s="25">
        <v>54</v>
      </c>
      <c r="Y114" s="25">
        <v>101</v>
      </c>
    </row>
    <row r="115">
      <c r="A115" s="14"/>
      <c r="B115" s="27" t="s">
        <v>37</v>
      </c>
      <c r="C115" s="27"/>
      <c r="D115" s="28">
        <f>SUM(D110:D114)</f>
      </c>
      <c r="E115" s="28">
        <f>SUM(E110:E114)</f>
      </c>
      <c r="F115" s="28">
        <f>SUM(F110:G114)</f>
      </c>
      <c r="G115" s="28"/>
      <c r="H115" s="28">
        <f>SUM(H110:H114)</f>
      </c>
      <c r="I115" s="28">
        <f>SUM(I110:I114)</f>
      </c>
      <c r="J115" s="39">
        <f t="shared" si="56"/>
      </c>
      <c r="K115" s="31">
        <f t="shared" si="65"/>
      </c>
      <c r="L115" s="40">
        <f t="shared" si="74"/>
      </c>
      <c r="M115" s="33">
        <f t="shared" si="84"/>
      </c>
      <c r="N115" s="33">
        <f t="shared" si="5"/>
      </c>
      <c r="O115" s="34">
        <f t="shared" si="14"/>
      </c>
      <c r="P115" s="77">
        <f t="shared" si="93"/>
      </c>
      <c r="Q115" s="78"/>
      <c r="R115" s="78"/>
      <c r="S115" s="79">
        <f>SUM(S110:S114)</f>
      </c>
      <c r="T115" s="79">
        <f>SUM(T110:T114)</f>
      </c>
      <c r="U115" s="79">
        <f>SUM(U110:U114)</f>
      </c>
      <c r="V115" s="80">
        <f>SUM(V110:V114)</f>
      </c>
      <c r="W115" s="28">
        <f>SUM(W110:W114)</f>
      </c>
      <c r="X115" s="28">
        <f>SUM(X110:X114)</f>
      </c>
      <c r="Y115" s="28">
        <f>SUM(Y110:Y114)</f>
      </c>
    </row>
    <row r="116">
      <c r="A116" s="14"/>
      <c r="B116" s="15" t="s">
        <v>59</v>
      </c>
      <c r="C116" s="17" t="s">
        <v>31</v>
      </c>
      <c r="D116" s="17">
        <f t="shared" ref="D116:D119" si="37">E116+G116+F116</f>
      </c>
      <c r="E116" s="16">
        <v>4497.75</v>
      </c>
      <c r="F116" s="16">
        <v>1475.260000000002</v>
      </c>
      <c r="G116" s="16">
        <v>0</v>
      </c>
      <c r="H116" s="18">
        <v>15</v>
      </c>
      <c r="I116" s="16">
        <v>6790.139999999999</v>
      </c>
      <c r="J116" s="19">
        <f t="shared" si="56"/>
      </c>
      <c r="K116" s="19">
        <f t="shared" si="65"/>
      </c>
      <c r="L116" s="19">
        <f t="shared" si="74"/>
      </c>
      <c r="M116" s="20">
        <f t="shared" si="84"/>
      </c>
      <c r="N116" s="21">
        <f t="shared" si="5"/>
      </c>
      <c r="O116" s="22">
        <f t="shared" si="14"/>
      </c>
      <c r="P116" s="74">
        <f t="shared" si="93"/>
      </c>
      <c r="Q116" s="81" t="s">
        <v>65</v>
      </c>
      <c r="R116" s="82" t="s">
        <v>66</v>
      </c>
      <c r="S116" s="75">
        <v>121206</v>
      </c>
      <c r="T116" s="75">
        <v>9062</v>
      </c>
      <c r="U116" s="75">
        <v>468</v>
      </c>
      <c r="V116" s="76">
        <v>18652</v>
      </c>
      <c r="W116" s="59">
        <v>2434</v>
      </c>
      <c r="X116" s="25">
        <v>28</v>
      </c>
      <c r="Y116" s="25">
        <v>81</v>
      </c>
    </row>
    <row r="117">
      <c r="A117" s="14"/>
      <c r="B117" s="15" t="s">
        <v>59</v>
      </c>
      <c r="C117" s="17" t="s">
        <v>34</v>
      </c>
      <c r="D117" s="17">
        <f t="shared" si="37"/>
      </c>
      <c r="E117" s="16">
        <v>3337.7800000000025</v>
      </c>
      <c r="F117" s="16">
        <v>1428.859999999997</v>
      </c>
      <c r="G117" s="16">
        <v>0</v>
      </c>
      <c r="H117" s="18">
        <v>10</v>
      </c>
      <c r="I117" s="16">
        <v>3906.3899999999994</v>
      </c>
      <c r="J117" s="19">
        <f t="shared" si="56"/>
      </c>
      <c r="K117" s="19">
        <f t="shared" si="65"/>
      </c>
      <c r="L117" s="19">
        <f t="shared" si="74"/>
      </c>
      <c r="M117" s="20">
        <f t="shared" si="84"/>
      </c>
      <c r="N117" s="21">
        <f t="shared" si="5"/>
      </c>
      <c r="O117" s="22">
        <f t="shared" si="14"/>
      </c>
      <c r="P117" s="74">
        <f t="shared" si="93"/>
      </c>
      <c r="Q117" s="81" t="s">
        <v>65</v>
      </c>
      <c r="R117" s="82" t="s">
        <v>66</v>
      </c>
      <c r="S117" s="75">
        <v>97882</v>
      </c>
      <c r="T117" s="75">
        <v>7308</v>
      </c>
      <c r="U117" s="75">
        <v>402</v>
      </c>
      <c r="V117" s="76">
        <v>16408</v>
      </c>
      <c r="W117" s="59">
        <v>2220</v>
      </c>
      <c r="X117" s="25">
        <v>16</v>
      </c>
      <c r="Y117" s="25">
        <v>89</v>
      </c>
    </row>
    <row r="118">
      <c r="A118" s="14"/>
      <c r="B118" s="15" t="s">
        <v>59</v>
      </c>
      <c r="C118" s="17" t="s">
        <v>35</v>
      </c>
      <c r="D118" s="17">
        <f t="shared" si="37"/>
      </c>
      <c r="E118" s="16">
        <v>3884.369999999999</v>
      </c>
      <c r="F118" s="16">
        <v>1033.880000000001</v>
      </c>
      <c r="G118" s="16">
        <v>0</v>
      </c>
      <c r="H118" s="18">
        <v>23</v>
      </c>
      <c r="I118" s="16">
        <v>14858.089999999982</v>
      </c>
      <c r="J118" s="19">
        <f t="shared" si="56"/>
      </c>
      <c r="K118" s="19">
        <f t="shared" si="65"/>
      </c>
      <c r="L118" s="19">
        <f t="shared" si="74"/>
      </c>
      <c r="M118" s="20">
        <f t="shared" si="84"/>
      </c>
      <c r="N118" s="21">
        <f t="shared" si="5"/>
      </c>
      <c r="O118" s="22">
        <f t="shared" si="14"/>
      </c>
      <c r="P118" s="74">
        <f t="shared" si="93"/>
      </c>
      <c r="Q118" s="81" t="s">
        <v>65</v>
      </c>
      <c r="R118" s="82" t="s">
        <v>66</v>
      </c>
      <c r="S118" s="75">
        <v>115499</v>
      </c>
      <c r="T118" s="75">
        <v>7731</v>
      </c>
      <c r="U118" s="75">
        <v>437</v>
      </c>
      <c r="V118" s="76">
        <v>16929</v>
      </c>
      <c r="W118" s="59">
        <v>2229</v>
      </c>
      <c r="X118" s="25">
        <v>45</v>
      </c>
      <c r="Y118" s="25">
        <v>82</v>
      </c>
    </row>
    <row r="119">
      <c r="A119" s="14"/>
      <c r="B119" s="15" t="s">
        <v>59</v>
      </c>
      <c r="C119" s="17" t="s">
        <v>36</v>
      </c>
      <c r="D119" s="17">
        <f t="shared" si="37"/>
      </c>
      <c r="E119" s="16">
        <v>12568.080000000002</v>
      </c>
      <c r="F119" s="16">
        <v>2028.8599999999933</v>
      </c>
      <c r="G119" s="16">
        <v>0</v>
      </c>
      <c r="H119" s="18">
        <v>71</v>
      </c>
      <c r="I119" s="16">
        <v>40152.380000000005</v>
      </c>
      <c r="J119" s="19">
        <f t="shared" si="56"/>
      </c>
      <c r="K119" s="19">
        <f t="shared" si="65"/>
      </c>
      <c r="L119" s="19">
        <f t="shared" si="74"/>
      </c>
      <c r="M119" s="20">
        <f t="shared" si="84"/>
      </c>
      <c r="N119" s="21">
        <f t="shared" si="5"/>
      </c>
      <c r="O119" s="22">
        <f t="shared" si="14"/>
      </c>
      <c r="P119" s="74">
        <f t="shared" si="93"/>
      </c>
      <c r="Q119" s="81" t="s">
        <v>65</v>
      </c>
      <c r="R119" s="82" t="s">
        <v>66</v>
      </c>
      <c r="S119" s="75">
        <v>316475</v>
      </c>
      <c r="T119" s="75">
        <v>22759</v>
      </c>
      <c r="U119" s="75">
        <v>1165</v>
      </c>
      <c r="V119" s="76">
        <v>52508</v>
      </c>
      <c r="W119" s="59">
        <v>6476</v>
      </c>
      <c r="X119" s="25">
        <v>103</v>
      </c>
      <c r="Y119" s="25">
        <v>230</v>
      </c>
    </row>
    <row r="120">
      <c r="A120" s="14"/>
      <c r="B120" s="27" t="s">
        <v>37</v>
      </c>
      <c r="C120" s="27"/>
      <c r="D120" s="28">
        <f>SUM(D116:D119)</f>
      </c>
      <c r="E120" s="28">
        <f>SUM(E116:E119)</f>
      </c>
      <c r="F120" s="28">
        <f>SUM(F116:G119)</f>
      </c>
      <c r="G120" s="28"/>
      <c r="H120" s="29">
        <f>SUM(H116:H119)</f>
      </c>
      <c r="I120" s="28">
        <f>SUM(I116:I119)</f>
      </c>
      <c r="J120" s="30">
        <f t="shared" si="56"/>
      </c>
      <c r="K120" s="31">
        <f t="shared" si="65"/>
      </c>
      <c r="L120" s="32">
        <f t="shared" si="74"/>
      </c>
      <c r="M120" s="33">
        <f t="shared" si="84"/>
      </c>
      <c r="N120" s="33">
        <f t="shared" si="5"/>
      </c>
      <c r="O120" s="34">
        <f t="shared" si="14"/>
      </c>
      <c r="P120" s="77">
        <f t="shared" si="93"/>
      </c>
      <c r="Q120" s="78"/>
      <c r="R120" s="78"/>
      <c r="S120" s="83">
        <f>SUM(S116:S119)</f>
      </c>
      <c r="T120" s="83">
        <f>SUM(T116:T119)</f>
      </c>
      <c r="U120" s="83">
        <f>SUM(U116:U119)</f>
      </c>
      <c r="V120" s="84">
        <f>SUM(V116:V119)</f>
      </c>
      <c r="W120" s="29">
        <f>SUM(W116:W119)</f>
      </c>
      <c r="X120" s="29">
        <f>SUM(X116:X119)</f>
      </c>
      <c r="Y120" s="29">
        <f>SUM(Y116:Y119)</f>
      </c>
    </row>
    <row r="121">
      <c r="A121" s="14"/>
      <c r="B121" s="15" t="s">
        <v>50</v>
      </c>
      <c r="C121" s="17" t="s">
        <v>39</v>
      </c>
      <c r="D121" s="17">
        <f t="shared" ref="D121:D125" si="38">E121+G121+F121</f>
      </c>
      <c r="E121" s="16">
        <v>7549.939999999995</v>
      </c>
      <c r="F121" s="16">
        <v>2315.9800000000105</v>
      </c>
      <c r="G121" s="16">
        <v>0</v>
      </c>
      <c r="H121" s="18">
        <v>32</v>
      </c>
      <c r="I121" s="16">
        <v>15838.610000000015</v>
      </c>
      <c r="J121" s="19">
        <f t="shared" si="56"/>
      </c>
      <c r="K121" s="19">
        <f t="shared" si="65"/>
      </c>
      <c r="L121" s="19">
        <f t="shared" si="74"/>
      </c>
      <c r="M121" s="20">
        <f t="shared" si="84"/>
      </c>
      <c r="N121" s="21">
        <f t="shared" si="5"/>
      </c>
      <c r="O121" s="22">
        <f t="shared" si="14"/>
      </c>
      <c r="P121" s="74">
        <f t="shared" si="93"/>
      </c>
      <c r="Q121" s="81" t="s">
        <v>65</v>
      </c>
      <c r="R121" s="82" t="s">
        <v>66</v>
      </c>
      <c r="S121" s="75">
        <v>227266</v>
      </c>
      <c r="T121" s="75">
        <v>14916</v>
      </c>
      <c r="U121" s="75">
        <v>744</v>
      </c>
      <c r="V121" s="85">
        <v>31529</v>
      </c>
      <c r="W121" s="70">
        <v>3800</v>
      </c>
      <c r="X121" s="35">
        <v>57</v>
      </c>
      <c r="Y121" s="25">
        <v>110</v>
      </c>
    </row>
    <row customHeight="true" ht="16.666666666666668" r="122">
      <c r="A122" s="14"/>
      <c r="B122" s="15" t="s">
        <v>50</v>
      </c>
      <c r="C122" s="17" t="s">
        <v>40</v>
      </c>
      <c r="D122" s="17">
        <f t="shared" si="38"/>
      </c>
      <c r="E122" s="16">
        <v>9324.530000000006</v>
      </c>
      <c r="F122" s="16">
        <v>5714.559999999998</v>
      </c>
      <c r="G122" s="16">
        <v>0</v>
      </c>
      <c r="H122" s="18">
        <v>49</v>
      </c>
      <c r="I122" s="16">
        <v>24016.669999999984</v>
      </c>
      <c r="J122" s="19">
        <f t="shared" si="56"/>
      </c>
      <c r="K122" s="19">
        <f t="shared" si="65"/>
      </c>
      <c r="L122" s="19">
        <f t="shared" si="74"/>
      </c>
      <c r="M122" s="20">
        <f t="shared" si="84"/>
      </c>
      <c r="N122" s="21">
        <f t="shared" si="5"/>
      </c>
      <c r="O122" s="22">
        <f t="shared" si="14"/>
      </c>
      <c r="P122" s="74">
        <f t="shared" si="93"/>
      </c>
      <c r="Q122" s="81" t="s">
        <v>65</v>
      </c>
      <c r="R122" s="82" t="s">
        <v>66</v>
      </c>
      <c r="S122" s="75">
        <v>352036</v>
      </c>
      <c r="T122" s="75">
        <v>19819</v>
      </c>
      <c r="U122" s="75">
        <v>1042</v>
      </c>
      <c r="V122" s="85">
        <v>40548</v>
      </c>
      <c r="W122" s="70">
        <v>4445</v>
      </c>
      <c r="X122" s="35">
        <v>75</v>
      </c>
      <c r="Y122" s="25">
        <v>160</v>
      </c>
    </row>
    <row r="123">
      <c r="A123" s="14"/>
      <c r="B123" s="15" t="s">
        <v>50</v>
      </c>
      <c r="C123" s="17" t="s">
        <v>41</v>
      </c>
      <c r="D123" s="17">
        <f t="shared" si="38"/>
      </c>
      <c r="E123" s="16">
        <v>7901.219999999994</v>
      </c>
      <c r="F123" s="16">
        <v>1973.9100000000035</v>
      </c>
      <c r="G123" s="16">
        <v>0</v>
      </c>
      <c r="H123" s="18">
        <v>35</v>
      </c>
      <c r="I123" s="16">
        <v>16208.339999999997</v>
      </c>
      <c r="J123" s="19">
        <f t="shared" si="56"/>
      </c>
      <c r="K123" s="19">
        <f t="shared" si="65"/>
      </c>
      <c r="L123" s="19">
        <f t="shared" si="74"/>
      </c>
      <c r="M123" s="20">
        <f t="shared" si="84"/>
      </c>
      <c r="N123" s="21">
        <f t="shared" si="5"/>
      </c>
      <c r="O123" s="22">
        <f t="shared" si="14"/>
      </c>
      <c r="P123" s="74">
        <f t="shared" si="93"/>
      </c>
      <c r="Q123" s="81" t="s">
        <v>65</v>
      </c>
      <c r="R123" s="82" t="s">
        <v>66</v>
      </c>
      <c r="S123" s="75">
        <v>216112</v>
      </c>
      <c r="T123" s="75">
        <v>15235</v>
      </c>
      <c r="U123" s="75">
        <v>758</v>
      </c>
      <c r="V123" s="85">
        <v>29725</v>
      </c>
      <c r="W123" s="71">
        <v>3142</v>
      </c>
      <c r="X123" s="37">
        <v>67</v>
      </c>
      <c r="Y123" s="38">
        <v>134</v>
      </c>
    </row>
    <row r="124">
      <c r="A124" s="14"/>
      <c r="B124" s="15" t="s">
        <v>50</v>
      </c>
      <c r="C124" s="17" t="s">
        <v>42</v>
      </c>
      <c r="D124" s="17">
        <f t="shared" si="38"/>
      </c>
      <c r="E124" s="16">
        <v>4714.210000000006</v>
      </c>
      <c r="F124" s="16">
        <v>3314.0099999999875</v>
      </c>
      <c r="G124" s="16">
        <v>0</v>
      </c>
      <c r="H124" s="18">
        <v>38</v>
      </c>
      <c r="I124" s="16">
        <v>23469.370000000024</v>
      </c>
      <c r="J124" s="19">
        <f t="shared" si="56"/>
      </c>
      <c r="K124" s="19">
        <f t="shared" si="65"/>
      </c>
      <c r="L124" s="19">
        <f t="shared" si="74"/>
      </c>
      <c r="M124" s="20">
        <f t="shared" si="84"/>
      </c>
      <c r="N124" s="21">
        <f t="shared" si="5"/>
      </c>
      <c r="O124" s="22">
        <f t="shared" si="14"/>
      </c>
      <c r="P124" s="74">
        <f t="shared" si="93"/>
      </c>
      <c r="Q124" s="81" t="s">
        <v>65</v>
      </c>
      <c r="R124" s="82" t="s">
        <v>66</v>
      </c>
      <c r="S124" s="75">
        <v>228519</v>
      </c>
      <c r="T124" s="75">
        <v>11804</v>
      </c>
      <c r="U124" s="75">
        <v>620</v>
      </c>
      <c r="V124" s="85">
        <v>20211</v>
      </c>
      <c r="W124" s="71">
        <v>2170</v>
      </c>
      <c r="X124" s="37">
        <v>63</v>
      </c>
      <c r="Y124" s="38">
        <v>91</v>
      </c>
    </row>
    <row r="125">
      <c r="A125" s="14"/>
      <c r="B125" s="15" t="s">
        <v>50</v>
      </c>
      <c r="C125" s="16" t="s">
        <v>71</v>
      </c>
      <c r="D125" s="17">
        <f t="shared" si="38"/>
      </c>
      <c r="E125" s="16">
        <v>2118.8099999999977</v>
      </c>
      <c r="F125" s="16">
        <v>2135.49</v>
      </c>
      <c r="G125" s="16">
        <v>0</v>
      </c>
      <c r="H125" s="18">
        <v>24</v>
      </c>
      <c r="I125" s="16">
        <v>9158.339999999997</v>
      </c>
      <c r="J125" s="19">
        <f t="shared" si="56"/>
      </c>
      <c r="K125" s="19">
        <f t="shared" si="65"/>
      </c>
      <c r="L125" s="19">
        <f t="shared" si="74"/>
      </c>
      <c r="M125" s="20">
        <f t="shared" si="84"/>
      </c>
      <c r="N125" s="21">
        <f t="shared" si="5"/>
      </c>
      <c r="O125" s="22">
        <f t="shared" si="14"/>
      </c>
      <c r="P125" s="74">
        <f t="shared" si="93"/>
      </c>
      <c r="Q125" s="81" t="s">
        <v>65</v>
      </c>
      <c r="R125" s="82" t="s">
        <v>66</v>
      </c>
      <c r="S125" s="75">
        <v>100973</v>
      </c>
      <c r="T125" s="75">
        <v>6269</v>
      </c>
      <c r="U125" s="75">
        <v>395</v>
      </c>
      <c r="V125" s="85">
        <v>11950</v>
      </c>
      <c r="W125" s="71">
        <v>1410</v>
      </c>
      <c r="X125" s="37">
        <v>47</v>
      </c>
      <c r="Y125" s="38">
        <v>54</v>
      </c>
    </row>
    <row r="126">
      <c r="A126" s="14"/>
      <c r="B126" s="27" t="s">
        <v>37</v>
      </c>
      <c r="C126" s="27"/>
      <c r="D126" s="28">
        <f>SUM(D121:D125)</f>
      </c>
      <c r="E126" s="28">
        <f>SUM(E121:E125)</f>
      </c>
      <c r="F126" s="28">
        <f>SUM(F121:G125)</f>
      </c>
      <c r="G126" s="28"/>
      <c r="H126" s="28">
        <f>SUM(H121:H125)</f>
      </c>
      <c r="I126" s="28">
        <f>SUM(I121:I125)</f>
      </c>
      <c r="J126" s="39">
        <f t="shared" si="56"/>
      </c>
      <c r="K126" s="31">
        <f t="shared" si="65"/>
      </c>
      <c r="L126" s="40">
        <f t="shared" si="74"/>
      </c>
      <c r="M126" s="33">
        <f t="shared" si="84"/>
      </c>
      <c r="N126" s="33">
        <f t="shared" si="5"/>
      </c>
      <c r="O126" s="34">
        <f t="shared" si="14"/>
      </c>
      <c r="P126" s="77">
        <f t="shared" si="93"/>
      </c>
      <c r="Q126" s="78"/>
      <c r="R126" s="78"/>
      <c r="S126" s="79">
        <f>SUM(S121:S125)</f>
      </c>
      <c r="T126" s="79">
        <f>SUM(T121:T125)</f>
      </c>
      <c r="U126" s="79">
        <f>SUM(U121:U125)</f>
      </c>
      <c r="V126" s="80">
        <f>SUM(V121:V125)</f>
      </c>
      <c r="W126" s="28">
        <f>SUM(W121:W125)</f>
      </c>
      <c r="X126" s="28">
        <f>SUM(X121:X125)</f>
      </c>
      <c r="Y126" s="28">
        <f>SUM(Y121:Y125)</f>
      </c>
    </row>
    <row r="127">
      <c r="A127" s="89"/>
      <c r="B127" s="42" t="s">
        <v>43</v>
      </c>
      <c r="C127" s="42"/>
      <c r="D127" s="43">
        <f>D126+D120+D115+D109</f>
      </c>
      <c r="E127" s="43">
        <f>E126+E120+E115+E109</f>
      </c>
      <c r="F127" s="43">
        <f>F126+F120+F115+F109</f>
      </c>
      <c r="G127" s="43"/>
      <c r="H127" s="44">
        <f>H126+H120+H115+H109</f>
      </c>
      <c r="I127" s="43">
        <f>I126+I120+I115+I109</f>
      </c>
      <c r="J127" s="45">
        <f t="shared" si="56"/>
      </c>
      <c r="K127" s="45">
        <f t="shared" si="65"/>
      </c>
      <c r="L127" s="45">
        <f t="shared" si="74"/>
      </c>
      <c r="M127" s="46">
        <f t="shared" si="84"/>
      </c>
      <c r="N127" s="46">
        <f t="shared" si="5"/>
      </c>
      <c r="O127" s="45">
        <f t="shared" si="14"/>
      </c>
      <c r="P127" s="86">
        <f t="shared" si="93"/>
      </c>
      <c r="Q127" s="87"/>
      <c r="R127" s="87"/>
      <c r="S127" s="88">
        <f>S126+S120+S115+S109</f>
      </c>
      <c r="T127" s="88">
        <f>T126+T120+T115+T109</f>
      </c>
      <c r="U127" s="88">
        <f>U126+U120+U115+U109</f>
      </c>
      <c r="V127" s="88">
        <f>V126+V120+V115+V109</f>
      </c>
      <c r="W127" s="88">
        <f>W126+W120+W115+W109</f>
      </c>
      <c r="X127" s="50">
        <f>X126+X120+X115+X109</f>
      </c>
      <c r="Y127" s="44">
        <f>Y126+Y120+Y115+Y109</f>
      </c>
      <c r="Z127" s="5"/>
    </row>
    <row r="128">
      <c r="A128" s="1" t="s">
        <v>1</v>
      </c>
      <c r="B128" s="1"/>
      <c r="C128" s="1"/>
      <c r="D128" s="2" t="s">
        <v>2</v>
      </c>
      <c r="E128" s="2"/>
      <c r="F128" s="2"/>
      <c r="G128" s="2"/>
      <c r="H128" s="2"/>
      <c r="I128" s="2"/>
      <c r="J128" s="2"/>
      <c r="K128" s="2"/>
      <c r="L128" s="2"/>
      <c r="M128" s="3" t="s">
        <v>3</v>
      </c>
      <c r="N128" s="3"/>
      <c r="O128" s="3"/>
      <c r="P128" s="3"/>
      <c r="Q128" s="3"/>
      <c r="R128" s="3"/>
      <c r="S128" s="4" t="s">
        <v>4</v>
      </c>
      <c r="T128" s="4"/>
      <c r="U128" s="4"/>
      <c r="V128" s="4"/>
      <c r="W128" s="4"/>
      <c r="X128" s="4"/>
      <c r="Y128" s="4"/>
    </row>
    <row r="129">
      <c r="A129" s="1" t="s">
        <v>5</v>
      </c>
      <c r="B129" s="1" t="s">
        <v>6</v>
      </c>
      <c r="C129" s="1" t="s">
        <v>7</v>
      </c>
      <c r="D129" s="7" t="s">
        <v>8</v>
      </c>
      <c r="E129" s="7" t="s">
        <v>9</v>
      </c>
      <c r="F129" s="2" t="s">
        <v>10</v>
      </c>
      <c r="G129" s="2"/>
      <c r="H129" s="8" t="s">
        <v>11</v>
      </c>
      <c r="I129" s="2" t="s">
        <v>12</v>
      </c>
      <c r="J129" s="9" t="s">
        <v>13</v>
      </c>
      <c r="K129" s="10" t="s">
        <v>14</v>
      </c>
      <c r="L129" s="2" t="s">
        <v>15</v>
      </c>
      <c r="M129" s="3" t="s">
        <v>16</v>
      </c>
      <c r="N129" s="3" t="s">
        <v>17</v>
      </c>
      <c r="O129" s="3" t="s">
        <v>18</v>
      </c>
      <c r="P129" s="3" t="s">
        <v>19</v>
      </c>
      <c r="Q129" s="11" t="s">
        <v>20</v>
      </c>
      <c r="R129" s="11" t="s">
        <v>21</v>
      </c>
      <c r="S129" s="12" t="s">
        <v>22</v>
      </c>
      <c r="T129" s="12" t="s">
        <v>23</v>
      </c>
      <c r="U129" s="13" t="s">
        <v>24</v>
      </c>
      <c r="V129" s="13" t="s">
        <v>25</v>
      </c>
      <c r="W129" s="13" t="s">
        <v>26</v>
      </c>
      <c r="X129" s="13" t="s">
        <v>27</v>
      </c>
      <c r="Y129" s="13" t="s">
        <v>28</v>
      </c>
    </row>
    <row r="130">
      <c r="A130" s="14" t="s">
        <v>72</v>
      </c>
      <c r="B130" s="15" t="s">
        <v>38</v>
      </c>
      <c r="C130" s="16" t="s">
        <v>63</v>
      </c>
      <c r="D130" s="17">
        <f t="shared" ref="D130:D133" si="39">E130+G130+F130</f>
      </c>
      <c r="E130" s="17">
        <v>7578.57</v>
      </c>
      <c r="F130" s="17">
        <v>7462.82</v>
      </c>
      <c r="G130" s="16">
        <v>0</v>
      </c>
      <c r="H130" s="18">
        <v>37</v>
      </c>
      <c r="I130" s="17">
        <v>13846.08</v>
      </c>
      <c r="J130" s="52">
        <f t="shared" ref="J130:J151" si="57">I130/D130</f>
      </c>
      <c r="K130" s="52">
        <f t="shared" ref="K130:K151" si="66">D130/H130</f>
      </c>
      <c r="L130" s="19">
        <f t="shared" ref="L130:L151" si="75">I130/H130</f>
      </c>
      <c r="M130" s="20">
        <f t="shared" ref="M130:M151" si="85">T130/S130</f>
      </c>
      <c r="N130" s="21">
        <f t="shared" ref="N130:N151" si="6">H130/X130</f>
      </c>
      <c r="O130" s="22">
        <f t="shared" ref="O130:O151" si="15">(Y130*1000)/D130</f>
      </c>
      <c r="P130" s="21">
        <f t="shared" ref="P130:P151" si="94">W130/V130</f>
      </c>
      <c r="Q130" s="53" t="s">
        <v>46</v>
      </c>
      <c r="R130" s="54" t="s">
        <v>70</v>
      </c>
      <c r="S130" s="55">
        <v>274365</v>
      </c>
      <c r="T130" s="55">
        <v>13009</v>
      </c>
      <c r="U130" s="56">
        <v>937</v>
      </c>
      <c r="V130" s="55">
        <v>24299</v>
      </c>
      <c r="W130" s="55">
        <v>3684</v>
      </c>
      <c r="X130" s="37">
        <v>85</v>
      </c>
      <c r="Y130" s="37">
        <v>219</v>
      </c>
    </row>
    <row r="131">
      <c r="A131" s="14"/>
      <c r="B131" s="15" t="s">
        <v>38</v>
      </c>
      <c r="C131" s="17" t="s">
        <v>45</v>
      </c>
      <c r="D131" s="17">
        <f t="shared" si="39"/>
      </c>
      <c r="E131" s="16">
        <v>5080.6</v>
      </c>
      <c r="F131" s="17">
        <v>5384.519999999999</v>
      </c>
      <c r="G131" s="16">
        <v>0</v>
      </c>
      <c r="H131" s="60">
        <v>54</v>
      </c>
      <c r="I131" s="17">
        <v>27608.97</v>
      </c>
      <c r="J131" s="19">
        <f t="shared" si="57"/>
      </c>
      <c r="K131" s="19">
        <f t="shared" si="66"/>
      </c>
      <c r="L131" s="52">
        <f t="shared" si="75"/>
      </c>
      <c r="M131" s="20">
        <f t="shared" si="85"/>
      </c>
      <c r="N131" s="21">
        <f t="shared" si="6"/>
      </c>
      <c r="O131" s="22">
        <f t="shared" si="15"/>
      </c>
      <c r="P131" s="21">
        <f t="shared" si="94"/>
      </c>
      <c r="Q131" s="53" t="s">
        <v>46</v>
      </c>
      <c r="R131" s="54" t="s">
        <v>70</v>
      </c>
      <c r="S131" s="57">
        <v>238186</v>
      </c>
      <c r="T131" s="57">
        <v>10358</v>
      </c>
      <c r="U131" s="55">
        <v>780</v>
      </c>
      <c r="V131" s="55">
        <v>21006</v>
      </c>
      <c r="W131" s="55">
        <v>3683</v>
      </c>
      <c r="X131" s="37">
        <v>92</v>
      </c>
      <c r="Y131" s="37">
        <v>177</v>
      </c>
    </row>
    <row r="132">
      <c r="A132" s="14"/>
      <c r="B132" s="15" t="s">
        <v>38</v>
      </c>
      <c r="C132" s="17" t="s">
        <v>47</v>
      </c>
      <c r="D132" s="17">
        <f t="shared" si="39"/>
      </c>
      <c r="E132" s="61">
        <v>2591.34</v>
      </c>
      <c r="F132" s="16">
        <v>2511.1800000000003</v>
      </c>
      <c r="G132" s="16">
        <v>0</v>
      </c>
      <c r="H132" s="18">
        <v>16</v>
      </c>
      <c r="I132" s="17">
        <v>7954.129999999997</v>
      </c>
      <c r="J132" s="52">
        <f t="shared" si="57"/>
      </c>
      <c r="K132" s="52">
        <f t="shared" si="66"/>
      </c>
      <c r="L132" s="52">
        <f t="shared" si="75"/>
      </c>
      <c r="M132" s="62">
        <f t="shared" si="85"/>
      </c>
      <c r="N132" s="63">
        <f t="shared" si="6"/>
      </c>
      <c r="O132" s="64">
        <f t="shared" si="15"/>
      </c>
      <c r="P132" s="21">
        <f t="shared" si="94"/>
      </c>
      <c r="Q132" s="53" t="s">
        <v>46</v>
      </c>
      <c r="R132" s="54" t="s">
        <v>70</v>
      </c>
      <c r="S132" s="58">
        <v>98817</v>
      </c>
      <c r="T132" s="58">
        <v>4027</v>
      </c>
      <c r="U132" s="65">
        <v>368</v>
      </c>
      <c r="V132" s="58">
        <v>8337</v>
      </c>
      <c r="W132" s="58">
        <v>1456</v>
      </c>
      <c r="X132" s="58">
        <v>18</v>
      </c>
      <c r="Y132" s="58">
        <v>83</v>
      </c>
    </row>
    <row r="133">
      <c r="A133" s="14"/>
      <c r="B133" s="15" t="s">
        <v>38</v>
      </c>
      <c r="C133" s="17" t="s">
        <v>48</v>
      </c>
      <c r="D133" s="17">
        <f t="shared" si="39"/>
      </c>
      <c r="E133" s="17">
        <v>3019.370000000001</v>
      </c>
      <c r="F133" s="16">
        <v>2365.8900000000012</v>
      </c>
      <c r="G133" s="16">
        <v>0</v>
      </c>
      <c r="H133" s="60">
        <v>19</v>
      </c>
      <c r="I133" s="17">
        <v>8081.159999999996</v>
      </c>
      <c r="J133" s="52">
        <f t="shared" si="57"/>
      </c>
      <c r="K133" s="19">
        <f t="shared" si="66"/>
      </c>
      <c r="L133" s="19">
        <f t="shared" si="75"/>
      </c>
      <c r="M133" s="20">
        <f t="shared" si="85"/>
      </c>
      <c r="N133" s="21">
        <f t="shared" si="6"/>
      </c>
      <c r="O133" s="22">
        <f t="shared" si="15"/>
      </c>
      <c r="P133" s="21">
        <f t="shared" si="94"/>
      </c>
      <c r="Q133" s="53" t="s">
        <v>46</v>
      </c>
      <c r="R133" s="54" t="s">
        <v>70</v>
      </c>
      <c r="S133" s="58">
        <v>95372</v>
      </c>
      <c r="T133" s="58">
        <v>4679</v>
      </c>
      <c r="U133" s="58">
        <v>410</v>
      </c>
      <c r="V133" s="58">
        <v>10053</v>
      </c>
      <c r="W133" s="58">
        <v>1687</v>
      </c>
      <c r="X133" s="58">
        <v>41</v>
      </c>
      <c r="Y133" s="58">
        <v>88</v>
      </c>
    </row>
    <row r="134">
      <c r="A134" s="14"/>
      <c r="B134" s="27" t="s">
        <v>37</v>
      </c>
      <c r="C134" s="27"/>
      <c r="D134" s="28">
        <f>SUM(D130:D133)</f>
      </c>
      <c r="E134" s="28">
        <f>SUM(E130:E133)</f>
      </c>
      <c r="F134" s="28">
        <f>SUM(F130:G133)</f>
      </c>
      <c r="G134" s="28"/>
      <c r="H134" s="29">
        <f>SUM(H130:H133)</f>
      </c>
      <c r="I134" s="28">
        <f>SUM(I130:I133)</f>
      </c>
      <c r="J134" s="30">
        <f t="shared" si="57"/>
      </c>
      <c r="K134" s="66">
        <f t="shared" si="66"/>
      </c>
      <c r="L134" s="32">
        <f t="shared" si="75"/>
      </c>
      <c r="M134" s="67">
        <f t="shared" si="85"/>
      </c>
      <c r="N134" s="33">
        <f t="shared" si="6"/>
      </c>
      <c r="O134" s="68">
        <f t="shared" si="15"/>
      </c>
      <c r="P134" s="33">
        <f t="shared" si="94"/>
      </c>
      <c r="Q134" s="34"/>
      <c r="R134" s="34"/>
      <c r="S134" s="29">
        <f>SUM(S130:S133)</f>
      </c>
      <c r="T134" s="29">
        <f>SUM(T130:T133)</f>
      </c>
      <c r="U134" s="29">
        <f>SUM(U130:U133)</f>
      </c>
      <c r="V134" s="29">
        <f>SUM(V130:V133)</f>
      </c>
      <c r="W134" s="29">
        <f>SUM(W130:W133)</f>
      </c>
      <c r="X134" s="29">
        <f>SUM(X130:X133)</f>
      </c>
      <c r="Y134" s="29">
        <f>SUM(Y130:Y133)</f>
      </c>
    </row>
    <row r="135">
      <c r="A135" s="14"/>
      <c r="B135" s="69" t="s">
        <v>59</v>
      </c>
      <c r="C135" s="17" t="s">
        <v>49</v>
      </c>
      <c r="D135" s="17">
        <f t="shared" ref="D135:D139" si="40">E135+G135+F135</f>
      </c>
      <c r="E135" s="17">
        <v>4827.139999999999</v>
      </c>
      <c r="F135" s="16">
        <v>2799.7299999999996</v>
      </c>
      <c r="G135" s="16">
        <v>0</v>
      </c>
      <c r="H135" s="60">
        <v>28</v>
      </c>
      <c r="I135" s="17">
        <v>13732.820000000007</v>
      </c>
      <c r="J135" s="19">
        <f t="shared" si="57"/>
      </c>
      <c r="K135" s="19">
        <f t="shared" si="66"/>
      </c>
      <c r="L135" s="19">
        <f t="shared" si="75"/>
      </c>
      <c r="M135" s="20">
        <f t="shared" si="85"/>
      </c>
      <c r="N135" s="21">
        <f t="shared" si="6"/>
      </c>
      <c r="O135" s="22">
        <f t="shared" si="15"/>
      </c>
      <c r="P135" s="21">
        <f t="shared" si="94"/>
      </c>
      <c r="Q135" s="53" t="s">
        <v>46</v>
      </c>
      <c r="R135" s="54" t="s">
        <v>70</v>
      </c>
      <c r="S135" s="59">
        <v>128147</v>
      </c>
      <c r="T135" s="59">
        <v>8888</v>
      </c>
      <c r="U135" s="59">
        <v>503</v>
      </c>
      <c r="V135" s="59">
        <v>19848</v>
      </c>
      <c r="W135" s="59">
        <v>3211</v>
      </c>
      <c r="X135" s="25">
        <v>45</v>
      </c>
      <c r="Y135" s="25">
        <v>90</v>
      </c>
    </row>
    <row r="136">
      <c r="A136" s="14"/>
      <c r="B136" s="69" t="s">
        <v>59</v>
      </c>
      <c r="C136" s="17" t="s">
        <v>51</v>
      </c>
      <c r="D136" s="17">
        <f t="shared" si="40"/>
      </c>
      <c r="E136" s="61">
        <v>4322.23</v>
      </c>
      <c r="F136" s="16">
        <v>430.8400000000038</v>
      </c>
      <c r="G136" s="16">
        <v>0</v>
      </c>
      <c r="H136" s="18">
        <v>22</v>
      </c>
      <c r="I136" s="16">
        <v>8314.87999999999</v>
      </c>
      <c r="J136" s="19">
        <f t="shared" si="57"/>
      </c>
      <c r="K136" s="19">
        <f t="shared" si="66"/>
      </c>
      <c r="L136" s="19">
        <f t="shared" si="75"/>
      </c>
      <c r="M136" s="20">
        <f t="shared" si="85"/>
      </c>
      <c r="N136" s="21">
        <f t="shared" si="6"/>
      </c>
      <c r="O136" s="22">
        <f t="shared" si="15"/>
      </c>
      <c r="P136" s="21">
        <f t="shared" si="94"/>
      </c>
      <c r="Q136" s="53" t="s">
        <v>46</v>
      </c>
      <c r="R136" s="54" t="s">
        <v>70</v>
      </c>
      <c r="S136" s="59">
        <v>90916</v>
      </c>
      <c r="T136" s="59">
        <v>6415</v>
      </c>
      <c r="U136" s="59">
        <v>404</v>
      </c>
      <c r="V136" s="59">
        <v>14073</v>
      </c>
      <c r="W136" s="59">
        <v>2339</v>
      </c>
      <c r="X136" s="25">
        <v>39</v>
      </c>
      <c r="Y136" s="25">
        <v>89</v>
      </c>
    </row>
    <row r="137">
      <c r="A137" s="14"/>
      <c r="B137" s="69" t="s">
        <v>59</v>
      </c>
      <c r="C137" s="17" t="s">
        <v>52</v>
      </c>
      <c r="D137" s="17">
        <f t="shared" si="40"/>
      </c>
      <c r="E137" s="61">
        <v>2858.1699999999983</v>
      </c>
      <c r="F137" s="16">
        <v>1654.4300000000003</v>
      </c>
      <c r="G137" s="16">
        <v>0</v>
      </c>
      <c r="H137" s="18">
        <v>16</v>
      </c>
      <c r="I137" s="16">
        <v>9398.900000000009</v>
      </c>
      <c r="J137" s="19">
        <f t="shared" si="57"/>
      </c>
      <c r="K137" s="19">
        <f t="shared" si="66"/>
      </c>
      <c r="L137" s="19">
        <f t="shared" si="75"/>
      </c>
      <c r="M137" s="20">
        <f t="shared" si="85"/>
      </c>
      <c r="N137" s="21">
        <f t="shared" si="6"/>
      </c>
      <c r="O137" s="22">
        <f t="shared" si="15"/>
      </c>
      <c r="P137" s="21">
        <f t="shared" si="94"/>
      </c>
      <c r="Q137" s="53" t="s">
        <v>46</v>
      </c>
      <c r="R137" s="54" t="s">
        <v>70</v>
      </c>
      <c r="S137" s="59">
        <v>93778</v>
      </c>
      <c r="T137" s="59">
        <v>5476</v>
      </c>
      <c r="U137" s="59">
        <v>347</v>
      </c>
      <c r="V137" s="59">
        <v>10675</v>
      </c>
      <c r="W137" s="59">
        <v>1387</v>
      </c>
      <c r="X137" s="25">
        <v>29</v>
      </c>
      <c r="Y137" s="25">
        <v>69</v>
      </c>
    </row>
    <row r="138">
      <c r="A138" s="14"/>
      <c r="B138" s="69" t="s">
        <v>59</v>
      </c>
      <c r="C138" s="17" t="s">
        <v>53</v>
      </c>
      <c r="D138" s="17">
        <f t="shared" si="40"/>
      </c>
      <c r="E138" s="17">
        <v>2745.1100000000006</v>
      </c>
      <c r="F138" s="16">
        <v>2363.350000000002</v>
      </c>
      <c r="G138" s="16">
        <v>0</v>
      </c>
      <c r="H138" s="60">
        <v>16</v>
      </c>
      <c r="I138" s="17">
        <v>7508.5199999999895</v>
      </c>
      <c r="J138" s="19">
        <f t="shared" si="57"/>
      </c>
      <c r="K138" s="19">
        <f t="shared" si="66"/>
      </c>
      <c r="L138" s="19">
        <f t="shared" si="75"/>
      </c>
      <c r="M138" s="20">
        <f t="shared" si="85"/>
      </c>
      <c r="N138" s="21">
        <f t="shared" si="6"/>
      </c>
      <c r="O138" s="22">
        <f t="shared" si="15"/>
      </c>
      <c r="P138" s="21">
        <f t="shared" si="94"/>
      </c>
      <c r="Q138" s="73" t="s">
        <v>46</v>
      </c>
      <c r="R138" s="54" t="s">
        <v>70</v>
      </c>
      <c r="S138" s="70">
        <v>97684</v>
      </c>
      <c r="T138" s="70">
        <v>5618</v>
      </c>
      <c r="U138" s="70">
        <v>397</v>
      </c>
      <c r="V138" s="59">
        <v>11156</v>
      </c>
      <c r="W138" s="59">
        <v>1624</v>
      </c>
      <c r="X138" s="59">
        <v>30</v>
      </c>
      <c r="Y138" s="59">
        <v>67</v>
      </c>
    </row>
    <row r="139">
      <c r="A139" s="14"/>
      <c r="B139" s="69" t="s">
        <v>59</v>
      </c>
      <c r="C139" s="17" t="s">
        <v>54</v>
      </c>
      <c r="D139" s="17">
        <f t="shared" si="40"/>
      </c>
      <c r="E139" s="16">
        <v>1581.8199999999997</v>
      </c>
      <c r="F139" s="16">
        <v>1409.6900000000023</v>
      </c>
      <c r="G139" s="16">
        <v>0</v>
      </c>
      <c r="H139" s="18">
        <v>15</v>
      </c>
      <c r="I139" s="16">
        <v>10526.76000000001</v>
      </c>
      <c r="J139" s="19">
        <f t="shared" si="57"/>
      </c>
      <c r="K139" s="19">
        <f t="shared" si="66"/>
      </c>
      <c r="L139" s="19">
        <f t="shared" si="75"/>
      </c>
      <c r="M139" s="20">
        <f t="shared" si="85"/>
      </c>
      <c r="N139" s="21">
        <f t="shared" si="6"/>
      </c>
      <c r="O139" s="22">
        <f t="shared" si="15"/>
      </c>
      <c r="P139" s="74">
        <f t="shared" si="94"/>
      </c>
      <c r="Q139" s="73" t="s">
        <v>46</v>
      </c>
      <c r="R139" s="54" t="s">
        <v>70</v>
      </c>
      <c r="S139" s="75">
        <v>64553</v>
      </c>
      <c r="T139" s="75">
        <v>3219</v>
      </c>
      <c r="U139" s="75">
        <v>248</v>
      </c>
      <c r="V139" s="76">
        <v>6567</v>
      </c>
      <c r="W139" s="59">
        <v>938</v>
      </c>
      <c r="X139" s="25">
        <v>30</v>
      </c>
      <c r="Y139" s="25">
        <v>68</v>
      </c>
    </row>
    <row r="140">
      <c r="A140" s="14"/>
      <c r="B140" s="27" t="s">
        <v>37</v>
      </c>
      <c r="C140" s="27"/>
      <c r="D140" s="28">
        <f>SUM(D135:D139)</f>
      </c>
      <c r="E140" s="28">
        <f>SUM(E135:E139)</f>
      </c>
      <c r="F140" s="28">
        <f>SUM(F135:G139)</f>
      </c>
      <c r="G140" s="28"/>
      <c r="H140" s="28">
        <f>SUM(H135:H139)</f>
      </c>
      <c r="I140" s="28">
        <f>SUM(I135:I139)</f>
      </c>
      <c r="J140" s="39">
        <f t="shared" si="57"/>
      </c>
      <c r="K140" s="31">
        <f t="shared" si="66"/>
      </c>
      <c r="L140" s="40">
        <f t="shared" si="75"/>
      </c>
      <c r="M140" s="33">
        <f t="shared" si="85"/>
      </c>
      <c r="N140" s="33">
        <f t="shared" si="6"/>
      </c>
      <c r="O140" s="34">
        <f t="shared" si="15"/>
      </c>
      <c r="P140" s="77">
        <f t="shared" si="94"/>
      </c>
      <c r="Q140" s="78"/>
      <c r="R140" s="78"/>
      <c r="S140" s="79">
        <f>SUM(S135:S139)</f>
      </c>
      <c r="T140" s="79">
        <f>SUM(T135:T139)</f>
      </c>
      <c r="U140" s="79">
        <f>SUM(U135:U139)</f>
      </c>
      <c r="V140" s="80">
        <f>SUM(V135:V139)</f>
      </c>
      <c r="W140" s="28">
        <f>SUM(W135:W139)</f>
      </c>
      <c r="X140" s="28">
        <f>SUM(X135:X139)</f>
      </c>
      <c r="Y140" s="28">
        <f>SUM(Y135:Y139)</f>
      </c>
    </row>
    <row r="141">
      <c r="A141" s="14"/>
      <c r="B141" s="15" t="s">
        <v>50</v>
      </c>
      <c r="C141" s="17" t="s">
        <v>31</v>
      </c>
      <c r="D141" s="17">
        <f t="shared" ref="D141:D144" si="41">E141+G141+F141</f>
      </c>
      <c r="E141" s="16">
        <v>1501.9700000000012</v>
      </c>
      <c r="F141" s="16">
        <v>3806.079999999998</v>
      </c>
      <c r="G141" s="16">
        <v>0</v>
      </c>
      <c r="H141" s="18">
        <v>17</v>
      </c>
      <c r="I141" s="16">
        <v>7672.679999999993</v>
      </c>
      <c r="J141" s="19">
        <f t="shared" si="57"/>
      </c>
      <c r="K141" s="19">
        <f t="shared" si="66"/>
      </c>
      <c r="L141" s="19">
        <f t="shared" si="75"/>
      </c>
      <c r="M141" s="20">
        <f t="shared" si="85"/>
      </c>
      <c r="N141" s="21">
        <f t="shared" si="6"/>
      </c>
      <c r="O141" s="22">
        <f t="shared" si="15"/>
      </c>
      <c r="P141" s="74">
        <f t="shared" si="94"/>
      </c>
      <c r="Q141" s="81" t="s">
        <v>65</v>
      </c>
      <c r="R141" s="82" t="s">
        <v>66</v>
      </c>
      <c r="S141" s="75">
        <v>130994</v>
      </c>
      <c r="T141" s="75">
        <v>4208</v>
      </c>
      <c r="U141" s="75">
        <v>398</v>
      </c>
      <c r="V141" s="76">
        <v>8334</v>
      </c>
      <c r="W141" s="59">
        <v>1115</v>
      </c>
      <c r="X141" s="25">
        <v>27</v>
      </c>
      <c r="Y141" s="25">
        <v>75</v>
      </c>
    </row>
    <row r="142">
      <c r="A142" s="14"/>
      <c r="B142" s="15" t="s">
        <v>50</v>
      </c>
      <c r="C142" s="17" t="s">
        <v>34</v>
      </c>
      <c r="D142" s="17">
        <f t="shared" si="41"/>
      </c>
      <c r="E142" s="16">
        <v>1687.9700000000012</v>
      </c>
      <c r="F142" s="16">
        <v>2342.84</v>
      </c>
      <c r="G142" s="16">
        <v>0</v>
      </c>
      <c r="H142" s="18">
        <v>28</v>
      </c>
      <c r="I142" s="16">
        <v>10922.300000000003</v>
      </c>
      <c r="J142" s="19">
        <f t="shared" si="57"/>
      </c>
      <c r="K142" s="19">
        <f t="shared" si="66"/>
      </c>
      <c r="L142" s="19">
        <f t="shared" si="75"/>
      </c>
      <c r="M142" s="20">
        <f t="shared" si="85"/>
      </c>
      <c r="N142" s="21">
        <f t="shared" si="6"/>
      </c>
      <c r="O142" s="22">
        <f t="shared" si="15"/>
      </c>
      <c r="P142" s="74">
        <f t="shared" si="94"/>
      </c>
      <c r="Q142" s="81" t="s">
        <v>65</v>
      </c>
      <c r="R142" s="82" t="s">
        <v>66</v>
      </c>
      <c r="S142" s="75">
        <v>107372</v>
      </c>
      <c r="T142" s="75">
        <v>4257</v>
      </c>
      <c r="U142" s="75">
        <v>332</v>
      </c>
      <c r="V142" s="76">
        <v>9335</v>
      </c>
      <c r="W142" s="59">
        <v>1392</v>
      </c>
      <c r="X142" s="25">
        <v>42</v>
      </c>
      <c r="Y142" s="25">
        <v>77</v>
      </c>
    </row>
    <row r="143">
      <c r="A143" s="14"/>
      <c r="B143" s="15" t="s">
        <v>50</v>
      </c>
      <c r="C143" s="17" t="s">
        <v>35</v>
      </c>
      <c r="D143" s="17">
        <f t="shared" si="41"/>
      </c>
      <c r="E143" s="16">
        <v>1571.7200000000012</v>
      </c>
      <c r="F143" s="16">
        <v>2177.7999999999993</v>
      </c>
      <c r="G143" s="16">
        <v>0</v>
      </c>
      <c r="H143" s="18">
        <v>15</v>
      </c>
      <c r="I143" s="16">
        <v>9064.820000000022</v>
      </c>
      <c r="J143" s="19">
        <f t="shared" si="57"/>
      </c>
      <c r="K143" s="19">
        <f t="shared" si="66"/>
      </c>
      <c r="L143" s="19">
        <f t="shared" si="75"/>
      </c>
      <c r="M143" s="20">
        <f t="shared" si="85"/>
      </c>
      <c r="N143" s="21">
        <f t="shared" si="6"/>
      </c>
      <c r="O143" s="22">
        <f t="shared" si="15"/>
      </c>
      <c r="P143" s="74">
        <f t="shared" si="94"/>
      </c>
      <c r="Q143" s="81" t="s">
        <v>65</v>
      </c>
      <c r="R143" s="82" t="s">
        <v>66</v>
      </c>
      <c r="S143" s="75">
        <v>90528</v>
      </c>
      <c r="T143" s="75">
        <v>4415</v>
      </c>
      <c r="U143" s="75">
        <v>269</v>
      </c>
      <c r="V143" s="76">
        <v>10010</v>
      </c>
      <c r="W143" s="59">
        <v>1493</v>
      </c>
      <c r="X143" s="25">
        <v>24</v>
      </c>
      <c r="Y143" s="25">
        <v>52</v>
      </c>
    </row>
    <row r="144">
      <c r="A144" s="14"/>
      <c r="B144" s="15" t="s">
        <v>50</v>
      </c>
      <c r="C144" s="17" t="s">
        <v>36</v>
      </c>
      <c r="D144" s="17">
        <f t="shared" si="41"/>
      </c>
      <c r="E144" s="16">
        <v>3236.7999999999956</v>
      </c>
      <c r="F144" s="16">
        <v>1841.3600000000079</v>
      </c>
      <c r="G144" s="16">
        <v>0</v>
      </c>
      <c r="H144" s="18">
        <v>21</v>
      </c>
      <c r="I144" s="16">
        <v>10916.51999999999</v>
      </c>
      <c r="J144" s="19">
        <f t="shared" si="57"/>
      </c>
      <c r="K144" s="19">
        <f t="shared" si="66"/>
      </c>
      <c r="L144" s="19">
        <f t="shared" si="75"/>
      </c>
      <c r="M144" s="20">
        <f t="shared" si="85"/>
      </c>
      <c r="N144" s="21">
        <f t="shared" si="6"/>
      </c>
      <c r="O144" s="22">
        <f t="shared" si="15"/>
      </c>
      <c r="P144" s="74">
        <f t="shared" si="94"/>
      </c>
      <c r="Q144" s="81" t="s">
        <v>65</v>
      </c>
      <c r="R144" s="82" t="s">
        <v>66</v>
      </c>
      <c r="S144" s="75">
        <v>100813</v>
      </c>
      <c r="T144" s="75">
        <v>6766</v>
      </c>
      <c r="U144" s="75">
        <v>373</v>
      </c>
      <c r="V144" s="76">
        <v>13902</v>
      </c>
      <c r="W144" s="59">
        <v>1744</v>
      </c>
      <c r="X144" s="25">
        <v>39</v>
      </c>
      <c r="Y144" s="25">
        <v>81</v>
      </c>
    </row>
    <row r="145">
      <c r="A145" s="14"/>
      <c r="B145" s="27" t="s">
        <v>37</v>
      </c>
      <c r="C145" s="27"/>
      <c r="D145" s="28">
        <f>SUM(D141:D144)</f>
      </c>
      <c r="E145" s="28">
        <f>SUM(E141:E144)</f>
      </c>
      <c r="F145" s="28">
        <f>SUM(F141:G144)</f>
      </c>
      <c r="G145" s="28"/>
      <c r="H145" s="29">
        <f>SUM(H141:H144)</f>
      </c>
      <c r="I145" s="28">
        <f>SUM(I141:I144)</f>
      </c>
      <c r="J145" s="30">
        <f t="shared" si="57"/>
      </c>
      <c r="K145" s="31">
        <f t="shared" si="66"/>
      </c>
      <c r="L145" s="32">
        <f t="shared" si="75"/>
      </c>
      <c r="M145" s="33">
        <f t="shared" si="85"/>
      </c>
      <c r="N145" s="33">
        <f t="shared" si="6"/>
      </c>
      <c r="O145" s="34">
        <f t="shared" si="15"/>
      </c>
      <c r="P145" s="77">
        <f t="shared" si="94"/>
      </c>
      <c r="Q145" s="78"/>
      <c r="R145" s="78"/>
      <c r="S145" s="83">
        <f>SUM(S141:S144)</f>
      </c>
      <c r="T145" s="83">
        <f>SUM(T141:T144)</f>
      </c>
      <c r="U145" s="83">
        <f>SUM(U141:U144)</f>
      </c>
      <c r="V145" s="84">
        <f>SUM(V141:V144)</f>
      </c>
      <c r="W145" s="29">
        <f>SUM(W141:W144)</f>
      </c>
      <c r="X145" s="29">
        <f>SUM(X141:X144)</f>
      </c>
      <c r="Y145" s="29">
        <f>SUM(Y141:Y144)</f>
      </c>
    </row>
    <row r="146">
      <c r="A146" s="14"/>
      <c r="B146" s="15" t="s">
        <v>62</v>
      </c>
      <c r="C146" s="17" t="s">
        <v>39</v>
      </c>
      <c r="D146" s="17">
        <f t="shared" ref="D146:D149" si="42">E146+G146+F146</f>
      </c>
      <c r="E146" s="16">
        <v>5150.810000000005</v>
      </c>
      <c r="F146" s="16">
        <v>2443.199999999997</v>
      </c>
      <c r="G146" s="16">
        <v>0</v>
      </c>
      <c r="H146" s="18">
        <v>34</v>
      </c>
      <c r="I146" s="16">
        <v>21450.76000000001</v>
      </c>
      <c r="J146" s="19">
        <f t="shared" si="57"/>
      </c>
      <c r="K146" s="19">
        <f t="shared" si="66"/>
      </c>
      <c r="L146" s="19">
        <f t="shared" si="75"/>
      </c>
      <c r="M146" s="20">
        <f t="shared" si="85"/>
      </c>
      <c r="N146" s="21">
        <f t="shared" si="6"/>
      </c>
      <c r="O146" s="22">
        <f t="shared" si="15"/>
      </c>
      <c r="P146" s="74">
        <f t="shared" si="94"/>
      </c>
      <c r="Q146" s="81" t="s">
        <v>65</v>
      </c>
      <c r="R146" s="82" t="s">
        <v>66</v>
      </c>
      <c r="S146" s="75">
        <v>149822</v>
      </c>
      <c r="T146" s="75">
        <v>10307</v>
      </c>
      <c r="U146" s="75">
        <v>614</v>
      </c>
      <c r="V146" s="85">
        <v>20682</v>
      </c>
      <c r="W146" s="70">
        <v>2294</v>
      </c>
      <c r="X146" s="35">
        <v>48</v>
      </c>
      <c r="Y146" s="25">
        <v>97</v>
      </c>
    </row>
    <row r="147">
      <c r="A147" s="14"/>
      <c r="B147" s="15" t="s">
        <v>62</v>
      </c>
      <c r="C147" s="17" t="s">
        <v>40</v>
      </c>
      <c r="D147" s="17">
        <f t="shared" si="42"/>
      </c>
      <c r="E147" s="16">
        <v>8792.799999999996</v>
      </c>
      <c r="F147" s="16">
        <v>2761.5800000000017</v>
      </c>
      <c r="G147" s="16">
        <v>0</v>
      </c>
      <c r="H147" s="18">
        <v>40</v>
      </c>
      <c r="I147" s="16">
        <v>22620.73999999999</v>
      </c>
      <c r="J147" s="19">
        <f t="shared" si="57"/>
      </c>
      <c r="K147" s="19">
        <f t="shared" si="66"/>
      </c>
      <c r="L147" s="19">
        <f t="shared" si="75"/>
      </c>
      <c r="M147" s="20">
        <f t="shared" si="85"/>
      </c>
      <c r="N147" s="21">
        <f t="shared" si="6"/>
      </c>
      <c r="O147" s="22">
        <f t="shared" si="15"/>
      </c>
      <c r="P147" s="74">
        <f t="shared" si="94"/>
      </c>
      <c r="Q147" s="81" t="s">
        <v>65</v>
      </c>
      <c r="R147" s="82" t="s">
        <v>66</v>
      </c>
      <c r="S147" s="75">
        <v>302748</v>
      </c>
      <c r="T147" s="75">
        <v>18532</v>
      </c>
      <c r="U147" s="75">
        <v>945</v>
      </c>
      <c r="V147" s="85">
        <v>39608</v>
      </c>
      <c r="W147" s="70">
        <v>4566</v>
      </c>
      <c r="X147" s="35">
        <v>77</v>
      </c>
      <c r="Y147" s="25">
        <v>142</v>
      </c>
    </row>
    <row r="148">
      <c r="A148" s="14"/>
      <c r="B148" s="15" t="s">
        <v>62</v>
      </c>
      <c r="C148" s="17" t="s">
        <v>41</v>
      </c>
      <c r="D148" s="17">
        <f t="shared" si="42"/>
      </c>
      <c r="E148" s="16">
        <v>8294.240000000005</v>
      </c>
      <c r="F148" s="16">
        <v>3960.31999999999</v>
      </c>
      <c r="G148" s="16">
        <v>0</v>
      </c>
      <c r="H148" s="18">
        <v>55</v>
      </c>
      <c r="I148" s="16">
        <v>33994.20999999999</v>
      </c>
      <c r="J148" s="19">
        <f t="shared" si="57"/>
      </c>
      <c r="K148" s="19">
        <f t="shared" si="66"/>
      </c>
      <c r="L148" s="19">
        <f t="shared" si="75"/>
      </c>
      <c r="M148" s="20">
        <f t="shared" si="85"/>
      </c>
      <c r="N148" s="21">
        <f t="shared" si="6"/>
      </c>
      <c r="O148" s="22">
        <f t="shared" si="15"/>
      </c>
      <c r="P148" s="74">
        <f t="shared" si="94"/>
      </c>
      <c r="Q148" s="81" t="s">
        <v>65</v>
      </c>
      <c r="R148" s="82" t="s">
        <v>66</v>
      </c>
      <c r="S148" s="75">
        <v>331422</v>
      </c>
      <c r="T148" s="75">
        <v>18669</v>
      </c>
      <c r="U148" s="75">
        <v>1018</v>
      </c>
      <c r="V148" s="85">
        <v>37094</v>
      </c>
      <c r="W148" s="71">
        <v>4299</v>
      </c>
      <c r="X148" s="37">
        <v>98</v>
      </c>
      <c r="Y148" s="38">
        <v>182</v>
      </c>
    </row>
    <row r="149">
      <c r="A149" s="14"/>
      <c r="B149" s="15" t="s">
        <v>62</v>
      </c>
      <c r="C149" s="17" t="s">
        <v>42</v>
      </c>
      <c r="D149" s="17">
        <f t="shared" si="42"/>
      </c>
      <c r="E149" s="16">
        <v>4454.990000000005</v>
      </c>
      <c r="F149" s="16">
        <v>4942.86999999998</v>
      </c>
      <c r="G149" s="16">
        <v>0</v>
      </c>
      <c r="H149" s="18">
        <v>37</v>
      </c>
      <c r="I149" s="16">
        <v>25779.400000000023</v>
      </c>
      <c r="J149" s="19">
        <f t="shared" si="57"/>
      </c>
      <c r="K149" s="19">
        <f t="shared" si="66"/>
      </c>
      <c r="L149" s="19">
        <f t="shared" si="75"/>
      </c>
      <c r="M149" s="20">
        <f t="shared" si="85"/>
      </c>
      <c r="N149" s="21">
        <f t="shared" si="6"/>
      </c>
      <c r="O149" s="22">
        <f t="shared" si="15"/>
      </c>
      <c r="P149" s="74">
        <f t="shared" si="94"/>
      </c>
      <c r="Q149" s="81" t="s">
        <v>65</v>
      </c>
      <c r="R149" s="82" t="s">
        <v>66</v>
      </c>
      <c r="S149" s="75">
        <v>242574</v>
      </c>
      <c r="T149" s="75">
        <v>13668</v>
      </c>
      <c r="U149" s="75">
        <v>675</v>
      </c>
      <c r="V149" s="85">
        <v>26235</v>
      </c>
      <c r="W149" s="71">
        <v>2874</v>
      </c>
      <c r="X149" s="37">
        <v>61</v>
      </c>
      <c r="Y149" s="38">
        <v>90</v>
      </c>
    </row>
    <row r="150">
      <c r="A150" s="14"/>
      <c r="B150" s="27" t="s">
        <v>37</v>
      </c>
      <c r="C150" s="27"/>
      <c r="D150" s="28">
        <f>SUM(D146:D149)</f>
      </c>
      <c r="E150" s="28">
        <f>SUM(E146:E149)</f>
      </c>
      <c r="F150" s="28">
        <f>SUM(F146:G149)</f>
      </c>
      <c r="G150" s="28"/>
      <c r="H150" s="28">
        <f>SUM(H146:H149)</f>
      </c>
      <c r="I150" s="28">
        <f>SUM(I146:I149)</f>
      </c>
      <c r="J150" s="39">
        <f t="shared" si="57"/>
      </c>
      <c r="K150" s="31">
        <f t="shared" si="66"/>
      </c>
      <c r="L150" s="40">
        <f t="shared" si="75"/>
      </c>
      <c r="M150" s="33">
        <f t="shared" si="85"/>
      </c>
      <c r="N150" s="33">
        <f t="shared" si="6"/>
      </c>
      <c r="O150" s="34">
        <f t="shared" si="15"/>
      </c>
      <c r="P150" s="77">
        <f t="shared" si="94"/>
      </c>
      <c r="Q150" s="78"/>
      <c r="R150" s="78"/>
      <c r="S150" s="79">
        <f>SUM(S146:S149)</f>
      </c>
      <c r="T150" s="79">
        <f>SUM(T146:T149)</f>
      </c>
      <c r="U150" s="79">
        <f>SUM(U146:U149)</f>
      </c>
      <c r="V150" s="80">
        <f>SUM(V146:V149)</f>
      </c>
      <c r="W150" s="28">
        <f>SUM(W146:W149)</f>
      </c>
      <c r="X150" s="29">
        <f>SUM(X146:X149)</f>
      </c>
      <c r="Y150" s="29">
        <f>SUM(Y146:Y149)</f>
      </c>
      <c r="Z150" s="90"/>
    </row>
    <row r="151">
      <c r="A151" s="91"/>
      <c r="B151" s="92" t="s">
        <v>43</v>
      </c>
      <c r="C151" s="92"/>
      <c r="D151" s="93">
        <f>D150+D145+D140+D134</f>
      </c>
      <c r="E151" s="93">
        <f>E150+E145+E140+E134</f>
      </c>
      <c r="F151" s="93">
        <f>F150+F145+F140+F134</f>
      </c>
      <c r="G151" s="93"/>
      <c r="H151" s="49">
        <f>H150+H145+H140+H134</f>
      </c>
      <c r="I151" s="93">
        <f>I150+I145+I140+I134</f>
      </c>
      <c r="J151" s="94">
        <f t="shared" si="57"/>
      </c>
      <c r="K151" s="94">
        <f t="shared" si="66"/>
      </c>
      <c r="L151" s="94">
        <f t="shared" si="75"/>
      </c>
      <c r="M151" s="95">
        <f t="shared" si="85"/>
      </c>
      <c r="N151" s="95">
        <f t="shared" si="6"/>
      </c>
      <c r="O151" s="94">
        <f t="shared" si="15"/>
      </c>
      <c r="P151" s="96">
        <f t="shared" si="94"/>
      </c>
      <c r="Q151" s="97"/>
      <c r="R151" s="97"/>
      <c r="S151" s="88">
        <f>S150+S145+S140+S134</f>
      </c>
      <c r="T151" s="88">
        <f>T150+T145+T140+T134</f>
      </c>
      <c r="U151" s="88">
        <f>U150+U145+U140+U134</f>
      </c>
      <c r="V151" s="88">
        <f>V150+V145+V140+V134</f>
      </c>
      <c r="W151" s="88">
        <f>W150+W145+W140+W134</f>
      </c>
      <c r="X151" s="50">
        <f>X150+X145+X140+X134</f>
      </c>
      <c r="Y151" s="44">
        <f>Y150+Y145+Y140+Y134</f>
      </c>
      <c r="Z151" s="5"/>
    </row>
    <row r="152">
      <c r="A152" s="98" t="s">
        <v>1</v>
      </c>
      <c r="B152" s="98"/>
      <c r="C152" s="98"/>
      <c r="D152" s="99" t="s">
        <v>2</v>
      </c>
      <c r="E152" s="99"/>
      <c r="F152" s="99"/>
      <c r="G152" s="99"/>
      <c r="H152" s="99"/>
      <c r="I152" s="99"/>
      <c r="J152" s="99"/>
      <c r="K152" s="99"/>
      <c r="L152" s="99"/>
      <c r="M152" s="100" t="s">
        <v>3</v>
      </c>
      <c r="N152" s="100"/>
      <c r="O152" s="100"/>
      <c r="P152" s="100"/>
      <c r="Q152" s="100"/>
      <c r="R152" s="100"/>
      <c r="S152" s="101" t="s">
        <v>4</v>
      </c>
      <c r="T152" s="4"/>
      <c r="U152" s="4"/>
      <c r="V152" s="4"/>
      <c r="W152" s="4"/>
      <c r="X152" s="4"/>
      <c r="Y152" s="4"/>
    </row>
    <row r="153">
      <c r="A153" s="98" t="s">
        <v>5</v>
      </c>
      <c r="B153" s="98" t="s">
        <v>6</v>
      </c>
      <c r="C153" s="98" t="s">
        <v>7</v>
      </c>
      <c r="D153" s="102" t="s">
        <v>8</v>
      </c>
      <c r="E153" s="102" t="s">
        <v>9</v>
      </c>
      <c r="F153" s="99" t="s">
        <v>10</v>
      </c>
      <c r="G153" s="99"/>
      <c r="H153" s="103" t="s">
        <v>11</v>
      </c>
      <c r="I153" s="99" t="s">
        <v>12</v>
      </c>
      <c r="J153" s="104" t="s">
        <v>13</v>
      </c>
      <c r="K153" s="105" t="s">
        <v>14</v>
      </c>
      <c r="L153" s="99" t="s">
        <v>15</v>
      </c>
      <c r="M153" s="100" t="s">
        <v>16</v>
      </c>
      <c r="N153" s="100" t="s">
        <v>17</v>
      </c>
      <c r="O153" s="100" t="s">
        <v>18</v>
      </c>
      <c r="P153" s="100" t="s">
        <v>19</v>
      </c>
      <c r="Q153" s="106" t="s">
        <v>20</v>
      </c>
      <c r="R153" s="106" t="s">
        <v>21</v>
      </c>
      <c r="S153" s="107" t="s">
        <v>22</v>
      </c>
      <c r="T153" s="12" t="s">
        <v>23</v>
      </c>
      <c r="U153" s="13" t="s">
        <v>24</v>
      </c>
      <c r="V153" s="13" t="s">
        <v>25</v>
      </c>
      <c r="W153" s="13" t="s">
        <v>26</v>
      </c>
      <c r="X153" s="13" t="s">
        <v>27</v>
      </c>
      <c r="Y153" s="13" t="s">
        <v>28</v>
      </c>
    </row>
    <row r="154">
      <c r="A154" s="108" t="s">
        <v>73</v>
      </c>
      <c r="B154" s="109" t="s">
        <v>59</v>
      </c>
      <c r="C154" s="110" t="s">
        <v>63</v>
      </c>
      <c r="D154" s="111">
        <f t="shared" ref="D154:D157" si="43">E154+G154+F154</f>
      </c>
      <c r="E154" s="111">
        <v>3688.89</v>
      </c>
      <c r="F154" s="111">
        <v>2844.44</v>
      </c>
      <c r="G154" s="110">
        <v>0</v>
      </c>
      <c r="H154" s="112">
        <v>22</v>
      </c>
      <c r="I154" s="111">
        <v>9276.28</v>
      </c>
      <c r="J154" s="113">
        <f t="shared" ref="J154:J176" si="58">I154/D154</f>
      </c>
      <c r="K154" s="113">
        <f t="shared" ref="K154:K176" si="67">D154/H154</f>
      </c>
      <c r="L154" s="114">
        <f t="shared" ref="L154:L176" si="76">I154/H154</f>
      </c>
      <c r="M154" s="115">
        <f t="shared" ref="M154:M176" si="86">T154/S154</f>
      </c>
      <c r="N154" s="116">
        <f t="shared" ref="N154:N176" si="7">H154/X154</f>
      </c>
      <c r="O154" s="117">
        <f t="shared" ref="O154:O176" si="16">(Y154*1000)/D154</f>
      </c>
      <c r="P154" s="116">
        <f t="shared" ref="P154:P176" si="95">W154/V154</f>
      </c>
      <c r="Q154" s="81" t="s">
        <v>46</v>
      </c>
      <c r="R154" s="82" t="s">
        <v>70</v>
      </c>
      <c r="S154" s="56">
        <v>114574</v>
      </c>
      <c r="T154" s="55">
        <v>6660</v>
      </c>
      <c r="U154" s="56">
        <v>494</v>
      </c>
      <c r="V154" s="55">
        <v>12547</v>
      </c>
      <c r="W154" s="55">
        <v>1892</v>
      </c>
      <c r="X154" s="37">
        <v>41</v>
      </c>
      <c r="Y154" s="37">
        <v>83</v>
      </c>
    </row>
    <row r="155">
      <c r="A155" s="108"/>
      <c r="B155" s="109" t="s">
        <v>59</v>
      </c>
      <c r="C155" s="111" t="s">
        <v>45</v>
      </c>
      <c r="D155" s="111">
        <f t="shared" si="43"/>
      </c>
      <c r="E155" s="110">
        <v>2482.4100000000003</v>
      </c>
      <c r="F155" s="111">
        <v>1726.2500000000005</v>
      </c>
      <c r="G155" s="110">
        <v>0</v>
      </c>
      <c r="H155" s="118">
        <v>18</v>
      </c>
      <c r="I155" s="111">
        <v>9334.03</v>
      </c>
      <c r="J155" s="114">
        <f t="shared" si="58"/>
      </c>
      <c r="K155" s="114">
        <f t="shared" si="67"/>
      </c>
      <c r="L155" s="113">
        <f t="shared" si="76"/>
      </c>
      <c r="M155" s="115">
        <f t="shared" si="86"/>
      </c>
      <c r="N155" s="116">
        <f t="shared" si="7"/>
      </c>
      <c r="O155" s="117">
        <f t="shared" si="16"/>
      </c>
      <c r="P155" s="116">
        <f t="shared" si="95"/>
      </c>
      <c r="Q155" s="81" t="s">
        <v>46</v>
      </c>
      <c r="R155" s="82" t="s">
        <v>70</v>
      </c>
      <c r="S155" s="119">
        <v>68505</v>
      </c>
      <c r="T155" s="57">
        <v>5125</v>
      </c>
      <c r="U155" s="55">
        <v>427</v>
      </c>
      <c r="V155" s="55">
        <v>10960</v>
      </c>
      <c r="W155" s="55">
        <v>2074</v>
      </c>
      <c r="X155" s="37">
        <v>35</v>
      </c>
      <c r="Y155" s="37">
        <v>103</v>
      </c>
    </row>
    <row r="156">
      <c r="A156" s="108"/>
      <c r="B156" s="109" t="s">
        <v>59</v>
      </c>
      <c r="C156" s="111" t="s">
        <v>47</v>
      </c>
      <c r="D156" s="111">
        <f t="shared" si="43"/>
      </c>
      <c r="E156" s="120">
        <v>2375.88</v>
      </c>
      <c r="F156" s="110">
        <v>685.7699999999995</v>
      </c>
      <c r="G156" s="110">
        <v>0</v>
      </c>
      <c r="H156" s="112">
        <v>18</v>
      </c>
      <c r="I156" s="111">
        <v>11233.349999999999</v>
      </c>
      <c r="J156" s="113">
        <f t="shared" si="58"/>
      </c>
      <c r="K156" s="113">
        <f t="shared" si="67"/>
      </c>
      <c r="L156" s="113">
        <f t="shared" si="76"/>
      </c>
      <c r="M156" s="121">
        <f t="shared" si="86"/>
      </c>
      <c r="N156" s="122">
        <f t="shared" si="7"/>
      </c>
      <c r="O156" s="123">
        <f t="shared" si="16"/>
      </c>
      <c r="P156" s="116">
        <f t="shared" si="95"/>
      </c>
      <c r="Q156" s="81" t="s">
        <v>46</v>
      </c>
      <c r="R156" s="82" t="s">
        <v>70</v>
      </c>
      <c r="S156" s="124">
        <v>47286</v>
      </c>
      <c r="T156" s="58">
        <v>3422</v>
      </c>
      <c r="U156" s="65">
        <v>243</v>
      </c>
      <c r="V156" s="58">
        <v>7328</v>
      </c>
      <c r="W156" s="58">
        <v>1327</v>
      </c>
      <c r="X156" s="58">
        <v>28</v>
      </c>
      <c r="Y156" s="58">
        <v>63</v>
      </c>
    </row>
    <row r="157">
      <c r="A157" s="108"/>
      <c r="B157" s="109" t="s">
        <v>59</v>
      </c>
      <c r="C157" s="111" t="s">
        <v>48</v>
      </c>
      <c r="D157" s="111">
        <f t="shared" si="43"/>
      </c>
      <c r="E157" s="111">
        <v>4244.93</v>
      </c>
      <c r="F157" s="110">
        <v>2155.38</v>
      </c>
      <c r="G157" s="110">
        <v>0</v>
      </c>
      <c r="H157" s="118">
        <v>24</v>
      </c>
      <c r="I157" s="111">
        <v>16956.12</v>
      </c>
      <c r="J157" s="113">
        <f t="shared" si="58"/>
      </c>
      <c r="K157" s="114">
        <f t="shared" si="67"/>
      </c>
      <c r="L157" s="114">
        <f t="shared" si="76"/>
      </c>
      <c r="M157" s="115">
        <f t="shared" si="86"/>
      </c>
      <c r="N157" s="116">
        <f t="shared" si="7"/>
      </c>
      <c r="O157" s="117">
        <f t="shared" si="16"/>
      </c>
      <c r="P157" s="116">
        <f t="shared" si="95"/>
      </c>
      <c r="Q157" s="81" t="s">
        <v>46</v>
      </c>
      <c r="R157" s="82" t="s">
        <v>70</v>
      </c>
      <c r="S157" s="124">
        <v>93859</v>
      </c>
      <c r="T157" s="58">
        <v>6531</v>
      </c>
      <c r="U157" s="58">
        <v>441</v>
      </c>
      <c r="V157" s="58">
        <v>13788</v>
      </c>
      <c r="W157" s="58">
        <v>2249</v>
      </c>
      <c r="X157" s="58">
        <v>51</v>
      </c>
      <c r="Y157" s="58">
        <v>110</v>
      </c>
    </row>
    <row r="158">
      <c r="A158" s="108"/>
      <c r="B158" s="125" t="s">
        <v>37</v>
      </c>
      <c r="C158" s="125"/>
      <c r="D158" s="79">
        <f>SUM(D154:D157)</f>
      </c>
      <c r="E158" s="79">
        <f>SUM(E154:E157)</f>
      </c>
      <c r="F158" s="79">
        <f>SUM(F154:G157)</f>
      </c>
      <c r="G158" s="79"/>
      <c r="H158" s="83">
        <f>SUM(H154:H157)</f>
      </c>
      <c r="I158" s="79">
        <f>SUM(I154:I157)</f>
      </c>
      <c r="J158" s="126">
        <f t="shared" si="58"/>
      </c>
      <c r="K158" s="127">
        <f t="shared" si="67"/>
      </c>
      <c r="L158" s="128">
        <f t="shared" si="76"/>
      </c>
      <c r="M158" s="129">
        <f t="shared" si="86"/>
      </c>
      <c r="N158" s="130">
        <f t="shared" si="7"/>
      </c>
      <c r="O158" s="131">
        <f t="shared" si="16"/>
      </c>
      <c r="P158" s="130">
        <f t="shared" si="95"/>
      </c>
      <c r="Q158" s="78"/>
      <c r="R158" s="78"/>
      <c r="S158" s="84">
        <f>SUM(S154:S157)</f>
      </c>
      <c r="T158" s="29">
        <f>SUM(T154:T157)</f>
      </c>
      <c r="U158" s="29">
        <f>SUM(U154:U157)</f>
      </c>
      <c r="V158" s="29">
        <f>SUM(V154:V157)</f>
      </c>
      <c r="W158" s="29">
        <f>SUM(W154:W157)</f>
      </c>
      <c r="X158" s="29">
        <f>SUM(X154:X157)</f>
      </c>
      <c r="Y158" s="29">
        <f>SUM(Y154:Y157)</f>
      </c>
    </row>
    <row r="159">
      <c r="A159" s="108"/>
      <c r="B159" s="109" t="s">
        <v>38</v>
      </c>
      <c r="C159" s="111" t="s">
        <v>49</v>
      </c>
      <c r="D159" s="111">
        <f t="shared" ref="D159:D163" si="44">E159+G159+F159</f>
      </c>
      <c r="E159" s="111">
        <v>2996.09</v>
      </c>
      <c r="F159" s="110">
        <v>3524.5200000000004</v>
      </c>
      <c r="G159" s="110">
        <v>0</v>
      </c>
      <c r="H159" s="118">
        <v>19</v>
      </c>
      <c r="I159" s="111">
        <v>11878.04</v>
      </c>
      <c r="J159" s="114">
        <f t="shared" si="58"/>
      </c>
      <c r="K159" s="114">
        <f t="shared" si="67"/>
      </c>
      <c r="L159" s="114">
        <f t="shared" si="76"/>
      </c>
      <c r="M159" s="115">
        <f t="shared" si="86"/>
      </c>
      <c r="N159" s="116">
        <f t="shared" si="7"/>
      </c>
      <c r="O159" s="117">
        <f t="shared" si="16"/>
      </c>
      <c r="P159" s="116">
        <f t="shared" si="95"/>
      </c>
      <c r="Q159" s="81" t="s">
        <v>46</v>
      </c>
      <c r="R159" s="82" t="s">
        <v>70</v>
      </c>
      <c r="S159" s="76">
        <v>107997</v>
      </c>
      <c r="T159" s="59">
        <v>7015</v>
      </c>
      <c r="U159" s="59">
        <v>428</v>
      </c>
      <c r="V159" s="59">
        <v>15141</v>
      </c>
      <c r="W159" s="59">
        <v>2583</v>
      </c>
      <c r="X159" s="25">
        <v>35</v>
      </c>
      <c r="Y159" s="25">
        <v>95</v>
      </c>
    </row>
    <row r="160">
      <c r="A160" s="108"/>
      <c r="B160" s="132" t="s">
        <v>38</v>
      </c>
      <c r="C160" s="111" t="s">
        <v>51</v>
      </c>
      <c r="D160" s="111">
        <f t="shared" si="44"/>
      </c>
      <c r="E160" s="120">
        <v>3170.4199999999983</v>
      </c>
      <c r="F160" s="110">
        <v>4201.630000000001</v>
      </c>
      <c r="G160" s="110">
        <v>0</v>
      </c>
      <c r="H160" s="112">
        <v>23</v>
      </c>
      <c r="I160" s="110">
        <v>8372.010000000002</v>
      </c>
      <c r="J160" s="114">
        <f t="shared" si="58"/>
      </c>
      <c r="K160" s="114">
        <f t="shared" si="67"/>
      </c>
      <c r="L160" s="114">
        <f t="shared" si="76"/>
      </c>
      <c r="M160" s="115">
        <f t="shared" si="86"/>
      </c>
      <c r="N160" s="116">
        <f t="shared" si="7"/>
      </c>
      <c r="O160" s="117">
        <f t="shared" si="16"/>
      </c>
      <c r="P160" s="116">
        <f t="shared" si="95"/>
      </c>
      <c r="Q160" s="81" t="s">
        <v>46</v>
      </c>
      <c r="R160" s="82" t="s">
        <v>70</v>
      </c>
      <c r="S160" s="76">
        <v>129886</v>
      </c>
      <c r="T160" s="59">
        <v>6970</v>
      </c>
      <c r="U160" s="59">
        <v>463</v>
      </c>
      <c r="V160" s="59">
        <v>14395</v>
      </c>
      <c r="W160" s="59">
        <v>2243</v>
      </c>
      <c r="X160" s="25">
        <v>44</v>
      </c>
      <c r="Y160" s="25">
        <v>108</v>
      </c>
    </row>
    <row r="161">
      <c r="A161" s="108"/>
      <c r="B161" s="132" t="s">
        <v>38</v>
      </c>
      <c r="C161" s="111" t="s">
        <v>52</v>
      </c>
      <c r="D161" s="111">
        <f t="shared" si="44"/>
      </c>
      <c r="E161" s="120">
        <v>2382.6200000000026</v>
      </c>
      <c r="F161" s="110">
        <v>1218.1899999999987</v>
      </c>
      <c r="G161" s="110">
        <v>0</v>
      </c>
      <c r="H161" s="112">
        <v>7</v>
      </c>
      <c r="I161" s="110">
        <v>5128.800000000003</v>
      </c>
      <c r="J161" s="114">
        <f t="shared" si="58"/>
      </c>
      <c r="K161" s="114">
        <f t="shared" si="67"/>
      </c>
      <c r="L161" s="114">
        <f t="shared" si="76"/>
      </c>
      <c r="M161" s="115">
        <f t="shared" si="86"/>
      </c>
      <c r="N161" s="116">
        <f t="shared" si="7"/>
      </c>
      <c r="O161" s="117">
        <f t="shared" si="16"/>
      </c>
      <c r="P161" s="116">
        <f t="shared" si="95"/>
      </c>
      <c r="Q161" s="81" t="s">
        <v>46</v>
      </c>
      <c r="R161" s="82" t="s">
        <v>70</v>
      </c>
      <c r="S161" s="76">
        <v>57669</v>
      </c>
      <c r="T161" s="59">
        <v>4517</v>
      </c>
      <c r="U161" s="59">
        <v>293</v>
      </c>
      <c r="V161" s="59">
        <v>10034</v>
      </c>
      <c r="W161" s="59">
        <v>1569</v>
      </c>
      <c r="X161" s="25">
        <v>16</v>
      </c>
      <c r="Y161" s="25">
        <v>73</v>
      </c>
    </row>
    <row r="162">
      <c r="A162" s="108"/>
      <c r="B162" s="132" t="s">
        <v>38</v>
      </c>
      <c r="C162" s="111" t="s">
        <v>53</v>
      </c>
      <c r="D162" s="111">
        <f t="shared" si="44"/>
      </c>
      <c r="E162" s="111">
        <v>3145.829999999998</v>
      </c>
      <c r="F162" s="110">
        <v>464.71000000000276</v>
      </c>
      <c r="G162" s="110">
        <v>0</v>
      </c>
      <c r="H162" s="118">
        <v>14</v>
      </c>
      <c r="I162" s="111">
        <v>8520.720000000001</v>
      </c>
      <c r="J162" s="114">
        <f t="shared" si="58"/>
      </c>
      <c r="K162" s="114">
        <f t="shared" si="67"/>
      </c>
      <c r="L162" s="114">
        <f t="shared" si="76"/>
      </c>
      <c r="M162" s="115">
        <f t="shared" si="86"/>
      </c>
      <c r="N162" s="116">
        <f t="shared" si="7"/>
      </c>
      <c r="O162" s="117">
        <f t="shared" si="16"/>
      </c>
      <c r="P162" s="116">
        <f t="shared" si="95"/>
      </c>
      <c r="Q162" s="81" t="s">
        <v>46</v>
      </c>
      <c r="R162" s="82" t="s">
        <v>70</v>
      </c>
      <c r="S162" s="85">
        <v>55672</v>
      </c>
      <c r="T162" s="70">
        <v>4786</v>
      </c>
      <c r="U162" s="70">
        <v>293</v>
      </c>
      <c r="V162" s="59">
        <v>10668</v>
      </c>
      <c r="W162" s="59">
        <v>1634</v>
      </c>
      <c r="X162" s="59">
        <v>32</v>
      </c>
      <c r="Y162" s="59">
        <v>85</v>
      </c>
    </row>
    <row r="163">
      <c r="A163" s="108"/>
      <c r="B163" s="132" t="s">
        <v>38</v>
      </c>
      <c r="C163" s="111" t="s">
        <v>54</v>
      </c>
      <c r="D163" s="111">
        <f t="shared" si="44"/>
      </c>
      <c r="E163" s="110">
        <v>4001.790000000001</v>
      </c>
      <c r="F163" s="110">
        <v>753.109999999997</v>
      </c>
      <c r="G163" s="110">
        <v>0</v>
      </c>
      <c r="H163" s="112">
        <v>27</v>
      </c>
      <c r="I163" s="110">
        <v>11833.079999999987</v>
      </c>
      <c r="J163" s="114">
        <f t="shared" si="58"/>
      </c>
      <c r="K163" s="114">
        <f t="shared" si="67"/>
      </c>
      <c r="L163" s="114">
        <f t="shared" si="76"/>
      </c>
      <c r="M163" s="115">
        <f t="shared" si="86"/>
      </c>
      <c r="N163" s="116">
        <f t="shared" si="7"/>
      </c>
      <c r="O163" s="117">
        <f t="shared" si="16"/>
      </c>
      <c r="P163" s="116">
        <f t="shared" si="95"/>
      </c>
      <c r="Q163" s="81" t="s">
        <v>46</v>
      </c>
      <c r="R163" s="82" t="s">
        <v>70</v>
      </c>
      <c r="S163" s="133">
        <v>69980</v>
      </c>
      <c r="T163" s="75">
        <v>5771</v>
      </c>
      <c r="U163" s="75">
        <v>378</v>
      </c>
      <c r="V163" s="76">
        <v>12891</v>
      </c>
      <c r="W163" s="59">
        <v>2031</v>
      </c>
      <c r="X163" s="25">
        <v>54</v>
      </c>
      <c r="Y163" s="25">
        <v>77</v>
      </c>
    </row>
    <row r="164">
      <c r="A164" s="108"/>
      <c r="B164" s="125" t="s">
        <v>37</v>
      </c>
      <c r="C164" s="125"/>
      <c r="D164" s="79">
        <f>SUM(D159:D163)</f>
      </c>
      <c r="E164" s="79">
        <f>SUM(E159:E163)</f>
      </c>
      <c r="F164" s="79">
        <f>SUM(F159:G163)</f>
      </c>
      <c r="G164" s="79"/>
      <c r="H164" s="79">
        <f>SUM(H159:H163)</f>
      </c>
      <c r="I164" s="79">
        <f>SUM(I159:I163)</f>
      </c>
      <c r="J164" s="134">
        <f t="shared" si="58"/>
      </c>
      <c r="K164" s="135">
        <f t="shared" si="67"/>
      </c>
      <c r="L164" s="136">
        <f t="shared" si="76"/>
      </c>
      <c r="M164" s="130">
        <f t="shared" si="86"/>
      </c>
      <c r="N164" s="130">
        <f t="shared" si="7"/>
      </c>
      <c r="O164" s="78">
        <f t="shared" si="16"/>
      </c>
      <c r="P164" s="130">
        <f t="shared" si="95"/>
      </c>
      <c r="Q164" s="78"/>
      <c r="R164" s="78"/>
      <c r="S164" s="137">
        <f>SUM(S159:S163)</f>
      </c>
      <c r="T164" s="79">
        <f>SUM(T159:T163)</f>
      </c>
      <c r="U164" s="79">
        <f>SUM(U159:U163)</f>
      </c>
      <c r="V164" s="80">
        <f>SUM(V159:V163)</f>
      </c>
      <c r="W164" s="28">
        <f>SUM(W159:W163)</f>
      </c>
      <c r="X164" s="28">
        <f>SUM(X159:X163)</f>
      </c>
      <c r="Y164" s="28">
        <f>SUM(Y159:Y163)</f>
      </c>
    </row>
    <row r="165">
      <c r="A165" s="108"/>
      <c r="B165" s="109" t="s">
        <v>50</v>
      </c>
      <c r="C165" s="111" t="s">
        <v>31</v>
      </c>
      <c r="D165" s="111">
        <f t="shared" ref="D165:D168" si="45">E165+G165+F165</f>
      </c>
      <c r="E165" s="110">
        <v>6603.3399999999965</v>
      </c>
      <c r="F165" s="110">
        <v>786.4000000000051</v>
      </c>
      <c r="G165" s="110">
        <v>0</v>
      </c>
      <c r="H165" s="112">
        <v>17</v>
      </c>
      <c r="I165" s="110">
        <v>9622.800000000003</v>
      </c>
      <c r="J165" s="114">
        <f t="shared" si="58"/>
      </c>
      <c r="K165" s="114">
        <f t="shared" si="67"/>
      </c>
      <c r="L165" s="114">
        <f t="shared" si="76"/>
      </c>
      <c r="M165" s="115">
        <f t="shared" si="86"/>
      </c>
      <c r="N165" s="116">
        <f t="shared" si="7"/>
      </c>
      <c r="O165" s="117">
        <f t="shared" si="16"/>
      </c>
      <c r="P165" s="116">
        <f t="shared" si="95"/>
      </c>
      <c r="Q165" s="81" t="s">
        <v>65</v>
      </c>
      <c r="R165" s="82" t="s">
        <v>66</v>
      </c>
      <c r="S165" s="133">
        <v>145819</v>
      </c>
      <c r="T165" s="75">
        <v>10717</v>
      </c>
      <c r="U165" s="75">
        <v>492</v>
      </c>
      <c r="V165" s="76">
        <v>24099</v>
      </c>
      <c r="W165" s="59">
        <v>3426</v>
      </c>
      <c r="X165" s="25">
        <v>20</v>
      </c>
      <c r="Y165" s="25">
        <v>96</v>
      </c>
    </row>
    <row r="166">
      <c r="A166" s="108"/>
      <c r="B166" s="109" t="s">
        <v>50</v>
      </c>
      <c r="C166" s="111" t="s">
        <v>34</v>
      </c>
      <c r="D166" s="111">
        <f t="shared" si="45"/>
      </c>
      <c r="E166" s="110">
        <v>4901.740000000005</v>
      </c>
      <c r="F166" s="110">
        <v>1180.1799999999967</v>
      </c>
      <c r="G166" s="110">
        <v>0</v>
      </c>
      <c r="H166" s="112">
        <v>26</v>
      </c>
      <c r="I166" s="110">
        <v>11790.180000000008</v>
      </c>
      <c r="J166" s="114">
        <f t="shared" si="58"/>
      </c>
      <c r="K166" s="114">
        <f t="shared" si="67"/>
      </c>
      <c r="L166" s="114">
        <f t="shared" si="76"/>
      </c>
      <c r="M166" s="115">
        <f t="shared" si="86"/>
      </c>
      <c r="N166" s="116">
        <f t="shared" si="7"/>
      </c>
      <c r="O166" s="117">
        <f t="shared" si="16"/>
      </c>
      <c r="P166" s="116">
        <f t="shared" si="95"/>
      </c>
      <c r="Q166" s="81" t="s">
        <v>65</v>
      </c>
      <c r="R166" s="82" t="s">
        <v>66</v>
      </c>
      <c r="S166" s="133">
        <v>121602</v>
      </c>
      <c r="T166" s="75">
        <v>8966</v>
      </c>
      <c r="U166" s="75">
        <v>428</v>
      </c>
      <c r="V166" s="76">
        <v>21226</v>
      </c>
      <c r="W166" s="59">
        <v>3035</v>
      </c>
      <c r="X166" s="25">
        <v>47</v>
      </c>
      <c r="Y166" s="25">
        <v>100</v>
      </c>
    </row>
    <row r="167">
      <c r="A167" s="108"/>
      <c r="B167" s="109" t="s">
        <v>50</v>
      </c>
      <c r="C167" s="111" t="s">
        <v>35</v>
      </c>
      <c r="D167" s="111">
        <f t="shared" si="45"/>
      </c>
      <c r="E167" s="110">
        <v>6740.0799999999945</v>
      </c>
      <c r="F167" s="110">
        <v>763.9200000000055</v>
      </c>
      <c r="G167" s="110">
        <v>0</v>
      </c>
      <c r="H167" s="112">
        <v>28</v>
      </c>
      <c r="I167" s="110">
        <v>15988.819999999992</v>
      </c>
      <c r="J167" s="114">
        <f t="shared" si="58"/>
      </c>
      <c r="K167" s="114">
        <f t="shared" si="67"/>
      </c>
      <c r="L167" s="114">
        <f t="shared" si="76"/>
      </c>
      <c r="M167" s="115">
        <f t="shared" si="86"/>
      </c>
      <c r="N167" s="116">
        <f t="shared" si="7"/>
      </c>
      <c r="O167" s="117">
        <f t="shared" si="16"/>
      </c>
      <c r="P167" s="116">
        <f t="shared" si="95"/>
      </c>
      <c r="Q167" s="81" t="s">
        <v>65</v>
      </c>
      <c r="R167" s="82" t="s">
        <v>66</v>
      </c>
      <c r="S167" s="133">
        <v>161862</v>
      </c>
      <c r="T167" s="75">
        <v>13024</v>
      </c>
      <c r="U167" s="75">
        <v>583</v>
      </c>
      <c r="V167" s="76">
        <v>31582</v>
      </c>
      <c r="W167" s="59">
        <v>5209</v>
      </c>
      <c r="X167" s="25">
        <v>47</v>
      </c>
      <c r="Y167" s="25">
        <v>127</v>
      </c>
    </row>
    <row r="168">
      <c r="A168" s="108"/>
      <c r="B168" s="109" t="s">
        <v>50</v>
      </c>
      <c r="C168" s="111" t="s">
        <v>36</v>
      </c>
      <c r="D168" s="111">
        <f t="shared" si="45"/>
      </c>
      <c r="E168" s="110">
        <v>3723.020000000004</v>
      </c>
      <c r="F168" s="110">
        <v>880.5499999999956</v>
      </c>
      <c r="G168" s="110">
        <v>0</v>
      </c>
      <c r="H168" s="112">
        <v>11</v>
      </c>
      <c r="I168" s="110">
        <v>4694.039999999994</v>
      </c>
      <c r="J168" s="114">
        <f t="shared" si="58"/>
      </c>
      <c r="K168" s="114">
        <f t="shared" si="67"/>
      </c>
      <c r="L168" s="114">
        <f t="shared" si="76"/>
      </c>
      <c r="M168" s="115">
        <f t="shared" si="86"/>
      </c>
      <c r="N168" s="116">
        <f t="shared" si="7"/>
      </c>
      <c r="O168" s="117">
        <f t="shared" si="16"/>
      </c>
      <c r="P168" s="116">
        <f t="shared" si="95"/>
      </c>
      <c r="Q168" s="81" t="s">
        <v>65</v>
      </c>
      <c r="R168" s="82" t="s">
        <v>66</v>
      </c>
      <c r="S168" s="133">
        <v>101092</v>
      </c>
      <c r="T168" s="75">
        <v>6861</v>
      </c>
      <c r="U168" s="75">
        <v>341</v>
      </c>
      <c r="V168" s="76">
        <v>14881</v>
      </c>
      <c r="W168" s="59">
        <v>2044</v>
      </c>
      <c r="X168" s="25">
        <v>16</v>
      </c>
      <c r="Y168" s="25">
        <v>76</v>
      </c>
    </row>
    <row r="169">
      <c r="A169" s="108"/>
      <c r="B169" s="125" t="s">
        <v>37</v>
      </c>
      <c r="C169" s="125"/>
      <c r="D169" s="79">
        <f>SUM(D165:D168)</f>
      </c>
      <c r="E169" s="79">
        <f>SUM(E165:E168)</f>
      </c>
      <c r="F169" s="79">
        <f>SUM(F165:G168)</f>
      </c>
      <c r="G169" s="79"/>
      <c r="H169" s="83">
        <f>SUM(H165:H168)</f>
      </c>
      <c r="I169" s="79">
        <f>SUM(I165:I168)</f>
      </c>
      <c r="J169" s="126">
        <f t="shared" si="58"/>
      </c>
      <c r="K169" s="135">
        <f t="shared" si="67"/>
      </c>
      <c r="L169" s="128">
        <f t="shared" si="76"/>
      </c>
      <c r="M169" s="130">
        <f t="shared" si="86"/>
      </c>
      <c r="N169" s="130">
        <f t="shared" si="7"/>
      </c>
      <c r="O169" s="78">
        <f t="shared" si="16"/>
      </c>
      <c r="P169" s="130">
        <f t="shared" si="95"/>
      </c>
      <c r="Q169" s="78"/>
      <c r="R169" s="78"/>
      <c r="S169" s="138">
        <f>SUM(S165:S168)</f>
      </c>
      <c r="T169" s="83">
        <f>SUM(T165:T168)</f>
      </c>
      <c r="U169" s="83">
        <f>SUM(U165:U168)</f>
      </c>
      <c r="V169" s="84">
        <f>SUM(V165:V168)</f>
      </c>
      <c r="W169" s="29">
        <f>SUM(W165:W168)</f>
      </c>
      <c r="X169" s="29">
        <f>SUM(X165:X168)</f>
      </c>
      <c r="Y169" s="29">
        <f>SUM(Y165:Y168)</f>
      </c>
    </row>
    <row r="170">
      <c r="A170" s="108"/>
      <c r="B170" s="109" t="s">
        <v>62</v>
      </c>
      <c r="C170" s="111" t="s">
        <v>39</v>
      </c>
      <c r="D170" s="111">
        <f t="shared" ref="D170:D174" si="46">E170+G170+F170</f>
      </c>
      <c r="E170" s="110">
        <v>5594.5999999999985</v>
      </c>
      <c r="F170" s="110">
        <v>1250.4700000000048</v>
      </c>
      <c r="G170" s="110">
        <v>0</v>
      </c>
      <c r="H170" s="112">
        <v>25</v>
      </c>
      <c r="I170" s="110">
        <v>13070.180000000022</v>
      </c>
      <c r="J170" s="114">
        <f t="shared" si="58"/>
      </c>
      <c r="K170" s="114">
        <f t="shared" si="67"/>
      </c>
      <c r="L170" s="114">
        <f t="shared" si="76"/>
      </c>
      <c r="M170" s="115">
        <f t="shared" si="86"/>
      </c>
      <c r="N170" s="116">
        <f t="shared" si="7"/>
      </c>
      <c r="O170" s="117">
        <f t="shared" si="16"/>
      </c>
      <c r="P170" s="116">
        <f t="shared" si="95"/>
      </c>
      <c r="Q170" s="81" t="s">
        <v>65</v>
      </c>
      <c r="R170" s="82" t="s">
        <v>66</v>
      </c>
      <c r="S170" s="133">
        <v>151859</v>
      </c>
      <c r="T170" s="75">
        <v>9321</v>
      </c>
      <c r="U170" s="75">
        <v>594</v>
      </c>
      <c r="V170" s="85">
        <v>18734</v>
      </c>
      <c r="W170" s="70">
        <v>2370</v>
      </c>
      <c r="X170" s="35">
        <v>66</v>
      </c>
      <c r="Y170" s="25">
        <v>140</v>
      </c>
    </row>
    <row r="171">
      <c r="A171" s="108"/>
      <c r="B171" s="109" t="s">
        <v>62</v>
      </c>
      <c r="C171" s="111" t="s">
        <v>40</v>
      </c>
      <c r="D171" s="111">
        <f t="shared" si="46"/>
      </c>
      <c r="E171" s="110">
        <v>10077.339999999997</v>
      </c>
      <c r="F171" s="110">
        <v>2471.239999999998</v>
      </c>
      <c r="G171" s="110">
        <v>0</v>
      </c>
      <c r="H171" s="112">
        <v>62</v>
      </c>
      <c r="I171" s="110">
        <v>39772.23999999999</v>
      </c>
      <c r="J171" s="114">
        <f t="shared" si="58"/>
      </c>
      <c r="K171" s="114">
        <f t="shared" si="67"/>
      </c>
      <c r="L171" s="114">
        <f t="shared" si="76"/>
      </c>
      <c r="M171" s="115">
        <f t="shared" si="86"/>
      </c>
      <c r="N171" s="116">
        <f t="shared" si="7"/>
      </c>
      <c r="O171" s="117">
        <f t="shared" si="16"/>
      </c>
      <c r="P171" s="116">
        <f t="shared" si="95"/>
      </c>
      <c r="Q171" s="81" t="s">
        <v>65</v>
      </c>
      <c r="R171" s="82" t="s">
        <v>66</v>
      </c>
      <c r="S171" s="133">
        <v>263988</v>
      </c>
      <c r="T171" s="75">
        <v>18248</v>
      </c>
      <c r="U171" s="75">
        <v>1077</v>
      </c>
      <c r="V171" s="85">
        <v>36889</v>
      </c>
      <c r="W171" s="70">
        <v>4109</v>
      </c>
      <c r="X171" s="35">
        <v>94</v>
      </c>
      <c r="Y171" s="25">
        <v>181</v>
      </c>
    </row>
    <row r="172">
      <c r="A172" s="108"/>
      <c r="B172" s="109" t="s">
        <v>62</v>
      </c>
      <c r="C172" s="111" t="s">
        <v>41</v>
      </c>
      <c r="D172" s="111">
        <f t="shared" si="46"/>
      </c>
      <c r="E172" s="110">
        <v>19621.72</v>
      </c>
      <c r="F172" s="110">
        <v>4072.529999999995</v>
      </c>
      <c r="G172" s="110">
        <v>0</v>
      </c>
      <c r="H172" s="112">
        <v>101</v>
      </c>
      <c r="I172" s="110">
        <v>71104.70000000001</v>
      </c>
      <c r="J172" s="114">
        <f t="shared" si="58"/>
      </c>
      <c r="K172" s="114">
        <f t="shared" si="67"/>
      </c>
      <c r="L172" s="114">
        <f t="shared" si="76"/>
      </c>
      <c r="M172" s="115">
        <f t="shared" si="86"/>
      </c>
      <c r="N172" s="116">
        <f t="shared" si="7"/>
      </c>
      <c r="O172" s="117">
        <f t="shared" si="16"/>
      </c>
      <c r="P172" s="116">
        <f t="shared" si="95"/>
      </c>
      <c r="Q172" s="81" t="s">
        <v>65</v>
      </c>
      <c r="R172" s="82" t="s">
        <v>66</v>
      </c>
      <c r="S172" s="133">
        <v>503213</v>
      </c>
      <c r="T172" s="75">
        <v>37248</v>
      </c>
      <c r="U172" s="75">
        <v>2012</v>
      </c>
      <c r="V172" s="85">
        <v>73050</v>
      </c>
      <c r="W172" s="71">
        <v>8523</v>
      </c>
      <c r="X172" s="37">
        <v>175</v>
      </c>
      <c r="Y172" s="38">
        <v>327</v>
      </c>
    </row>
    <row r="173">
      <c r="A173" s="108"/>
      <c r="B173" s="109" t="s">
        <v>62</v>
      </c>
      <c r="C173" s="111" t="s">
        <v>42</v>
      </c>
      <c r="D173" s="111">
        <f t="shared" si="46"/>
      </c>
      <c r="E173" s="110">
        <v>13248.290000000008</v>
      </c>
      <c r="F173" s="110">
        <v>4095.3599999999933</v>
      </c>
      <c r="G173" s="110">
        <v>0</v>
      </c>
      <c r="H173" s="112">
        <v>73</v>
      </c>
      <c r="I173" s="110">
        <v>53917.109999999986</v>
      </c>
      <c r="J173" s="114">
        <f t="shared" si="58"/>
      </c>
      <c r="K173" s="114">
        <f t="shared" si="67"/>
      </c>
      <c r="L173" s="114">
        <f t="shared" si="76"/>
      </c>
      <c r="M173" s="115">
        <f t="shared" si="86"/>
      </c>
      <c r="N173" s="116">
        <f t="shared" si="7"/>
      </c>
      <c r="O173" s="117">
        <f t="shared" si="16"/>
      </c>
      <c r="P173" s="116">
        <f t="shared" si="95"/>
      </c>
      <c r="Q173" s="81" t="s">
        <v>65</v>
      </c>
      <c r="R173" s="82" t="s">
        <v>66</v>
      </c>
      <c r="S173" s="133">
        <v>351341</v>
      </c>
      <c r="T173" s="75">
        <v>28192</v>
      </c>
      <c r="U173" s="75">
        <v>1352</v>
      </c>
      <c r="V173" s="85">
        <v>54750</v>
      </c>
      <c r="W173" s="71">
        <v>6338</v>
      </c>
      <c r="X173" s="37">
        <v>121</v>
      </c>
      <c r="Y173" s="38">
        <v>227</v>
      </c>
    </row>
    <row r="174">
      <c r="A174" s="108"/>
      <c r="B174" s="109" t="s">
        <v>62</v>
      </c>
      <c r="C174" s="110" t="s">
        <v>71</v>
      </c>
      <c r="D174" s="111">
        <f t="shared" si="46"/>
      </c>
      <c r="E174" s="110">
        <v>3162.479999999996</v>
      </c>
      <c r="F174" s="110">
        <v>1541.489999999998</v>
      </c>
      <c r="G174" s="110">
        <v>0</v>
      </c>
      <c r="H174" s="112">
        <v>37</v>
      </c>
      <c r="I174" s="110">
        <v>21542.059999999998</v>
      </c>
      <c r="J174" s="114">
        <f t="shared" si="58"/>
      </c>
      <c r="K174" s="114">
        <f t="shared" si="67"/>
      </c>
      <c r="L174" s="114">
        <f t="shared" si="76"/>
      </c>
      <c r="M174" s="115">
        <f t="shared" si="86"/>
      </c>
      <c r="N174" s="116">
        <f t="shared" si="7"/>
      </c>
      <c r="O174" s="117">
        <f t="shared" si="16"/>
      </c>
      <c r="P174" s="116">
        <f t="shared" si="95"/>
      </c>
      <c r="Q174" s="81" t="s">
        <v>65</v>
      </c>
      <c r="R174" s="82" t="s">
        <v>66</v>
      </c>
      <c r="S174" s="133">
        <v>110447</v>
      </c>
      <c r="T174" s="75">
        <v>9201</v>
      </c>
      <c r="U174" s="75">
        <v>454</v>
      </c>
      <c r="V174" s="85">
        <v>16732</v>
      </c>
      <c r="W174" s="71">
        <v>2046</v>
      </c>
      <c r="X174" s="37">
        <v>53</v>
      </c>
      <c r="Y174" s="38">
        <v>60</v>
      </c>
    </row>
    <row r="175">
      <c r="A175" s="108"/>
      <c r="B175" s="125" t="s">
        <v>37</v>
      </c>
      <c r="C175" s="125"/>
      <c r="D175" s="79">
        <f>SUM(D170:D174)</f>
      </c>
      <c r="E175" s="79">
        <f>SUM(E170:E174)</f>
      </c>
      <c r="F175" s="79">
        <f>SUM(F170:G174)</f>
      </c>
      <c r="G175" s="79"/>
      <c r="H175" s="79">
        <f>SUM(H170:H174)</f>
      </c>
      <c r="I175" s="79">
        <f>SUM(I170:I174)</f>
      </c>
      <c r="J175" s="134">
        <f t="shared" si="58"/>
      </c>
      <c r="K175" s="135">
        <f t="shared" si="67"/>
      </c>
      <c r="L175" s="136">
        <f t="shared" si="76"/>
      </c>
      <c r="M175" s="130">
        <f t="shared" si="86"/>
      </c>
      <c r="N175" s="130">
        <f t="shared" si="7"/>
      </c>
      <c r="O175" s="78">
        <f t="shared" si="16"/>
      </c>
      <c r="P175" s="130">
        <f t="shared" si="95"/>
      </c>
      <c r="Q175" s="78"/>
      <c r="R175" s="78"/>
      <c r="S175" s="137">
        <f>SUM(S170:S174)</f>
      </c>
      <c r="T175" s="79">
        <f>SUM(T170:T174)</f>
      </c>
      <c r="U175" s="79">
        <f>SUM(U170:U174)</f>
      </c>
      <c r="V175" s="80">
        <f>SUM(V170:V174)</f>
      </c>
      <c r="W175" s="28">
        <f>SUM(W170:W174)</f>
      </c>
      <c r="X175" s="29">
        <f>SUM(X170:X174)</f>
      </c>
      <c r="Y175" s="29">
        <f>SUM(Y170:Y174)</f>
      </c>
      <c r="Z175" s="5"/>
    </row>
    <row r="176">
      <c r="A176" s="139"/>
      <c r="B176" s="140" t="s">
        <v>43</v>
      </c>
      <c r="C176" s="140"/>
      <c r="D176" s="141">
        <f>D175+D169+D164+D158</f>
      </c>
      <c r="E176" s="141">
        <f>E175+E169+E164+E158</f>
      </c>
      <c r="F176" s="141">
        <f>F175+F169+F164+F158</f>
      </c>
      <c r="G176" s="141"/>
      <c r="H176" s="88">
        <f>H175+H169+H164+H158</f>
      </c>
      <c r="I176" s="141">
        <f>I175+I169+I164+I158</f>
      </c>
      <c r="J176" s="142">
        <f t="shared" si="58"/>
      </c>
      <c r="K176" s="142">
        <f t="shared" si="67"/>
      </c>
      <c r="L176" s="142">
        <f t="shared" si="76"/>
      </c>
      <c r="M176" s="143">
        <f t="shared" si="86"/>
      </c>
      <c r="N176" s="143">
        <f t="shared" si="7"/>
      </c>
      <c r="O176" s="142">
        <f t="shared" si="16"/>
      </c>
      <c r="P176" s="143">
        <f t="shared" si="95"/>
      </c>
      <c r="Q176" s="87"/>
      <c r="R176" s="87"/>
      <c r="S176" s="144">
        <f>S175+S169+S164+S158</f>
      </c>
      <c r="T176" s="88">
        <f>T175+T169+T164+T158</f>
      </c>
      <c r="U176" s="88">
        <f>U175+U169+U164+U158</f>
      </c>
      <c r="V176" s="88">
        <f>V175+V169+V164+V158</f>
      </c>
      <c r="W176" s="88">
        <f>W175+W169+W164+W158</f>
      </c>
      <c r="X176" s="50">
        <f>X175+X169+X164+X158</f>
      </c>
      <c r="Y176" s="44">
        <f>Y175+Y169+Y164+Y158</f>
      </c>
      <c r="Z176" s="145"/>
    </row>
    <row r="177">
      <c r="A177" s="98" t="s">
        <v>1</v>
      </c>
      <c r="B177" s="98"/>
      <c r="C177" s="98"/>
      <c r="D177" s="99" t="s">
        <v>2</v>
      </c>
      <c r="E177" s="99"/>
      <c r="F177" s="99"/>
      <c r="G177" s="99"/>
      <c r="H177" s="99"/>
      <c r="I177" s="99"/>
      <c r="J177" s="99"/>
      <c r="K177" s="99"/>
      <c r="L177" s="99"/>
      <c r="M177" s="100" t="s">
        <v>3</v>
      </c>
      <c r="N177" s="100"/>
      <c r="O177" s="100"/>
      <c r="P177" s="100"/>
      <c r="Q177" s="100"/>
      <c r="R177" s="100"/>
      <c r="S177" s="101" t="s">
        <v>4</v>
      </c>
      <c r="T177" s="101"/>
      <c r="U177" s="101"/>
      <c r="V177" s="101"/>
      <c r="W177" s="101"/>
      <c r="X177" s="101"/>
      <c r="Y177" s="101"/>
    </row>
    <row r="178">
      <c r="A178" s="98" t="s">
        <v>5</v>
      </c>
      <c r="B178" s="98" t="s">
        <v>6</v>
      </c>
      <c r="C178" s="98" t="s">
        <v>7</v>
      </c>
      <c r="D178" s="102" t="s">
        <v>8</v>
      </c>
      <c r="E178" s="102" t="s">
        <v>9</v>
      </c>
      <c r="F178" s="99" t="s">
        <v>10</v>
      </c>
      <c r="G178" s="99"/>
      <c r="H178" s="103" t="s">
        <v>11</v>
      </c>
      <c r="I178" s="99" t="s">
        <v>12</v>
      </c>
      <c r="J178" s="104" t="s">
        <v>13</v>
      </c>
      <c r="K178" s="105" t="s">
        <v>14</v>
      </c>
      <c r="L178" s="99" t="s">
        <v>15</v>
      </c>
      <c r="M178" s="100" t="s">
        <v>16</v>
      </c>
      <c r="N178" s="100" t="s">
        <v>17</v>
      </c>
      <c r="O178" s="100" t="s">
        <v>18</v>
      </c>
      <c r="P178" s="100" t="s">
        <v>19</v>
      </c>
      <c r="Q178" s="106" t="s">
        <v>20</v>
      </c>
      <c r="R178" s="106" t="s">
        <v>21</v>
      </c>
      <c r="S178" s="107" t="s">
        <v>22</v>
      </c>
      <c r="T178" s="12" t="s">
        <v>23</v>
      </c>
      <c r="U178" s="13" t="s">
        <v>24</v>
      </c>
      <c r="V178" s="13" t="s">
        <v>25</v>
      </c>
      <c r="W178" s="13" t="s">
        <v>26</v>
      </c>
      <c r="X178" s="13" t="s">
        <v>27</v>
      </c>
      <c r="Y178" s="13" t="s">
        <v>28</v>
      </c>
    </row>
    <row r="179">
      <c r="A179" s="108" t="s">
        <v>74</v>
      </c>
      <c r="B179" s="109" t="s">
        <v>59</v>
      </c>
      <c r="C179" s="110" t="s">
        <v>63</v>
      </c>
      <c r="D179" s="111">
        <f t="shared" ref="D179:D182" si="47">E179+G179+F179</f>
      </c>
      <c r="E179" s="111">
        <v>1933.5700000000043</v>
      </c>
      <c r="F179" s="111">
        <v>1835.3699999999958</v>
      </c>
      <c r="G179" s="110">
        <v>0</v>
      </c>
      <c r="H179" s="112">
        <v>15</v>
      </c>
      <c r="I179" s="111">
        <v>6425.52</v>
      </c>
      <c r="J179" s="113">
        <f t="shared" ref="J179:J200" si="59">I179/D179</f>
      </c>
      <c r="K179" s="113">
        <f t="shared" ref="K179:K200" si="68">D179/H179</f>
      </c>
      <c r="L179" s="114">
        <f t="shared" ref="L179:L200" si="77">I179/H179</f>
      </c>
      <c r="M179" s="115">
        <f t="shared" ref="M179:M200" si="87">T179/S179</f>
      </c>
      <c r="N179" s="116">
        <f t="shared" ref="N179:N200" si="8">H179/X179</f>
      </c>
      <c r="O179" s="117">
        <f t="shared" ref="O179:O200" si="17">(Y179*1000)/D179</f>
      </c>
      <c r="P179" s="116">
        <f t="shared" ref="P179:P200" si="96">W179/V179</f>
      </c>
      <c r="Q179" s="81" t="s">
        <v>46</v>
      </c>
      <c r="R179" s="82" t="s">
        <v>70</v>
      </c>
      <c r="S179" s="56">
        <v>70558</v>
      </c>
      <c r="T179" s="55">
        <v>4685</v>
      </c>
      <c r="U179" s="56">
        <v>289</v>
      </c>
      <c r="V179" s="55">
        <v>8720</v>
      </c>
      <c r="W179" s="55">
        <v>1503</v>
      </c>
      <c r="X179" s="37">
        <v>31</v>
      </c>
      <c r="Y179" s="37">
        <v>85</v>
      </c>
    </row>
    <row r="180">
      <c r="A180" s="108"/>
      <c r="B180" s="109" t="s">
        <v>59</v>
      </c>
      <c r="C180" s="111" t="s">
        <v>45</v>
      </c>
      <c r="D180" s="111">
        <f t="shared" si="47"/>
      </c>
      <c r="E180" s="110">
        <v>1598.5900000000001</v>
      </c>
      <c r="F180" s="111">
        <v>1658.9099999999994</v>
      </c>
      <c r="G180" s="110">
        <v>0</v>
      </c>
      <c r="H180" s="118">
        <v>13</v>
      </c>
      <c r="I180" s="111">
        <v>6863.4</v>
      </c>
      <c r="J180" s="114">
        <f t="shared" si="59"/>
      </c>
      <c r="K180" s="114">
        <f t="shared" si="68"/>
      </c>
      <c r="L180" s="113">
        <f t="shared" si="77"/>
      </c>
      <c r="M180" s="115">
        <f t="shared" si="87"/>
      </c>
      <c r="N180" s="116">
        <f t="shared" si="8"/>
      </c>
      <c r="O180" s="117">
        <f t="shared" si="17"/>
      </c>
      <c r="P180" s="116">
        <f t="shared" si="96"/>
      </c>
      <c r="Q180" s="81" t="s">
        <v>46</v>
      </c>
      <c r="R180" s="82" t="s">
        <v>70</v>
      </c>
      <c r="S180" s="119">
        <v>59950</v>
      </c>
      <c r="T180" s="57">
        <v>3382</v>
      </c>
      <c r="U180" s="55">
        <v>290</v>
      </c>
      <c r="V180" s="55">
        <v>6880</v>
      </c>
      <c r="W180" s="55">
        <v>1231</v>
      </c>
      <c r="X180" s="37">
        <v>24</v>
      </c>
      <c r="Y180" s="37">
        <v>51</v>
      </c>
    </row>
    <row r="181">
      <c r="A181" s="108"/>
      <c r="B181" s="109" t="s">
        <v>59</v>
      </c>
      <c r="C181" s="111" t="s">
        <v>47</v>
      </c>
      <c r="D181" s="111">
        <f t="shared" si="47"/>
      </c>
      <c r="E181" s="120">
        <v>1432.37</v>
      </c>
      <c r="F181" s="110">
        <v>2031.6299999999992</v>
      </c>
      <c r="G181" s="110">
        <v>0</v>
      </c>
      <c r="H181" s="112">
        <v>13</v>
      </c>
      <c r="I181" s="111">
        <v>9043.890000000001</v>
      </c>
      <c r="J181" s="113">
        <f t="shared" si="59"/>
      </c>
      <c r="K181" s="113">
        <f t="shared" si="68"/>
      </c>
      <c r="L181" s="113">
        <f t="shared" si="77"/>
      </c>
      <c r="M181" s="121">
        <f t="shared" si="87"/>
      </c>
      <c r="N181" s="122">
        <f t="shared" si="8"/>
      </c>
      <c r="O181" s="123">
        <f t="shared" si="17"/>
      </c>
      <c r="P181" s="116">
        <f t="shared" si="96"/>
      </c>
      <c r="Q181" s="81" t="s">
        <v>46</v>
      </c>
      <c r="R181" s="82" t="s">
        <v>70</v>
      </c>
      <c r="S181" s="124">
        <v>60517</v>
      </c>
      <c r="T181" s="58">
        <v>2785</v>
      </c>
      <c r="U181" s="65">
        <v>251</v>
      </c>
      <c r="V181" s="58">
        <v>5581</v>
      </c>
      <c r="W181" s="58">
        <v>1003</v>
      </c>
      <c r="X181" s="58">
        <v>23</v>
      </c>
      <c r="Y181" s="58">
        <v>49</v>
      </c>
    </row>
    <row r="182">
      <c r="A182" s="108"/>
      <c r="B182" s="109" t="s">
        <v>59</v>
      </c>
      <c r="C182" s="111" t="s">
        <v>48</v>
      </c>
      <c r="D182" s="111">
        <f t="shared" si="47"/>
      </c>
      <c r="E182" s="111">
        <v>3059.6499999999996</v>
      </c>
      <c r="F182" s="110">
        <v>2189.170000000002</v>
      </c>
      <c r="G182" s="110">
        <v>0</v>
      </c>
      <c r="H182" s="118">
        <v>20</v>
      </c>
      <c r="I182" s="111">
        <v>7803.399999999998</v>
      </c>
      <c r="J182" s="113">
        <f t="shared" si="59"/>
      </c>
      <c r="K182" s="114">
        <f t="shared" si="68"/>
      </c>
      <c r="L182" s="114">
        <f t="shared" si="77"/>
      </c>
      <c r="M182" s="115">
        <f t="shared" si="87"/>
      </c>
      <c r="N182" s="116">
        <f t="shared" si="8"/>
      </c>
      <c r="O182" s="117">
        <f t="shared" si="17"/>
      </c>
      <c r="P182" s="116">
        <f t="shared" si="96"/>
      </c>
      <c r="Q182" s="81" t="s">
        <v>46</v>
      </c>
      <c r="R182" s="82" t="s">
        <v>70</v>
      </c>
      <c r="S182" s="124">
        <v>65108</v>
      </c>
      <c r="T182" s="58">
        <v>5489</v>
      </c>
      <c r="U182" s="58">
        <v>374</v>
      </c>
      <c r="V182" s="58">
        <v>12476</v>
      </c>
      <c r="W182" s="58">
        <v>2299</v>
      </c>
      <c r="X182" s="58">
        <v>34</v>
      </c>
      <c r="Y182" s="58">
        <v>100</v>
      </c>
    </row>
    <row r="183">
      <c r="A183" s="108"/>
      <c r="B183" s="125" t="s">
        <v>37</v>
      </c>
      <c r="C183" s="125"/>
      <c r="D183" s="79">
        <f>SUM(D179:D182)</f>
      </c>
      <c r="E183" s="79">
        <f>SUM(E179:E182)</f>
      </c>
      <c r="F183" s="79">
        <f>SUM(F179:G182)</f>
      </c>
      <c r="G183" s="79"/>
      <c r="H183" s="83">
        <f>SUM(H179:H182)</f>
      </c>
      <c r="I183" s="79">
        <f>SUM(I179:I182)</f>
      </c>
      <c r="J183" s="126">
        <f t="shared" si="59"/>
      </c>
      <c r="K183" s="127">
        <f t="shared" si="68"/>
      </c>
      <c r="L183" s="128">
        <f t="shared" si="77"/>
      </c>
      <c r="M183" s="129">
        <f t="shared" si="87"/>
      </c>
      <c r="N183" s="130">
        <f t="shared" si="8"/>
      </c>
      <c r="O183" s="131">
        <f t="shared" si="17"/>
      </c>
      <c r="P183" s="130">
        <f t="shared" si="96"/>
      </c>
      <c r="Q183" s="78"/>
      <c r="R183" s="78"/>
      <c r="S183" s="84">
        <f>SUM(S179:S182)</f>
      </c>
      <c r="T183" s="29">
        <f>SUM(T179:T182)</f>
      </c>
      <c r="U183" s="29">
        <f>SUM(U179:U182)</f>
      </c>
      <c r="V183" s="29">
        <f>SUM(V179:V182)</f>
      </c>
      <c r="W183" s="29">
        <f>SUM(W179:W182)</f>
      </c>
      <c r="X183" s="29">
        <f>SUM(X179:X182)</f>
      </c>
      <c r="Y183" s="29">
        <f>SUM(Y179:Y182)</f>
      </c>
    </row>
    <row r="184">
      <c r="A184" s="108"/>
      <c r="B184" s="109" t="s">
        <v>38</v>
      </c>
      <c r="C184" s="111" t="s">
        <v>49</v>
      </c>
      <c r="D184" s="111">
        <f t="shared" ref="D184:D187" si="48">E184+G184+F184</f>
      </c>
      <c r="E184" s="111">
        <v>1990.6499999999996</v>
      </c>
      <c r="F184" s="110">
        <v>2124.279999999999</v>
      </c>
      <c r="G184" s="110">
        <v>0</v>
      </c>
      <c r="H184" s="118">
        <v>14</v>
      </c>
      <c r="I184" s="111">
        <v>8823.260000000002</v>
      </c>
      <c r="J184" s="114">
        <f t="shared" si="59"/>
      </c>
      <c r="K184" s="114">
        <f t="shared" si="68"/>
      </c>
      <c r="L184" s="114">
        <f t="shared" si="77"/>
      </c>
      <c r="M184" s="115">
        <f t="shared" si="87"/>
      </c>
      <c r="N184" s="116">
        <f t="shared" si="8"/>
      </c>
      <c r="O184" s="117">
        <f t="shared" si="17"/>
      </c>
      <c r="P184" s="116">
        <f t="shared" si="96"/>
      </c>
      <c r="Q184" s="81" t="s">
        <v>46</v>
      </c>
      <c r="R184" s="82" t="s">
        <v>70</v>
      </c>
      <c r="S184" s="76">
        <v>71140</v>
      </c>
      <c r="T184" s="59">
        <v>4118</v>
      </c>
      <c r="U184" s="59">
        <v>315</v>
      </c>
      <c r="V184" s="59">
        <v>8803</v>
      </c>
      <c r="W184" s="59">
        <v>1662</v>
      </c>
      <c r="X184" s="25">
        <v>24</v>
      </c>
      <c r="Y184" s="25">
        <v>65</v>
      </c>
    </row>
    <row r="185">
      <c r="A185" s="108"/>
      <c r="B185" s="132" t="s">
        <v>38</v>
      </c>
      <c r="C185" s="111" t="s">
        <v>51</v>
      </c>
      <c r="D185" s="111">
        <f t="shared" si="48"/>
      </c>
      <c r="E185" s="120">
        <v>2261.24</v>
      </c>
      <c r="F185" s="110">
        <v>2608.6000000000004</v>
      </c>
      <c r="G185" s="110">
        <v>0</v>
      </c>
      <c r="H185" s="112">
        <v>23</v>
      </c>
      <c r="I185" s="110">
        <v>17166.159999999996</v>
      </c>
      <c r="J185" s="114">
        <f t="shared" si="59"/>
      </c>
      <c r="K185" s="114">
        <f t="shared" si="68"/>
      </c>
      <c r="L185" s="114">
        <f t="shared" si="77"/>
      </c>
      <c r="M185" s="115">
        <f t="shared" si="87"/>
      </c>
      <c r="N185" s="116">
        <f t="shared" si="8"/>
      </c>
      <c r="O185" s="117">
        <f t="shared" si="17"/>
      </c>
      <c r="P185" s="116">
        <f t="shared" si="96"/>
      </c>
      <c r="Q185" s="81" t="s">
        <v>46</v>
      </c>
      <c r="R185" s="82" t="s">
        <v>70</v>
      </c>
      <c r="S185" s="76">
        <v>87763</v>
      </c>
      <c r="T185" s="59">
        <v>5362</v>
      </c>
      <c r="U185" s="59">
        <v>319</v>
      </c>
      <c r="V185" s="59">
        <v>10677</v>
      </c>
      <c r="W185" s="59">
        <v>1715</v>
      </c>
      <c r="X185" s="25">
        <v>28</v>
      </c>
      <c r="Y185" s="25">
        <v>81</v>
      </c>
    </row>
    <row r="186">
      <c r="A186" s="108"/>
      <c r="B186" s="132" t="s">
        <v>38</v>
      </c>
      <c r="C186" s="111" t="s">
        <v>52</v>
      </c>
      <c r="D186" s="111">
        <f t="shared" si="48"/>
      </c>
      <c r="E186" s="120">
        <v>1452.8899999999994</v>
      </c>
      <c r="F186" s="110">
        <v>3045.8100000000013</v>
      </c>
      <c r="G186" s="110">
        <v>0</v>
      </c>
      <c r="H186" s="112">
        <v>18</v>
      </c>
      <c r="I186" s="110">
        <v>8519.900000000001</v>
      </c>
      <c r="J186" s="114">
        <f t="shared" si="59"/>
      </c>
      <c r="K186" s="114">
        <f t="shared" si="68"/>
      </c>
      <c r="L186" s="114">
        <f t="shared" si="77"/>
      </c>
      <c r="M186" s="115">
        <f t="shared" si="87"/>
      </c>
      <c r="N186" s="116">
        <f t="shared" si="8"/>
      </c>
      <c r="O186" s="117">
        <f t="shared" si="17"/>
      </c>
      <c r="P186" s="116">
        <f t="shared" si="96"/>
      </c>
      <c r="Q186" s="81" t="s">
        <v>46</v>
      </c>
      <c r="R186" s="82" t="s">
        <v>70</v>
      </c>
      <c r="S186" s="76">
        <v>85669</v>
      </c>
      <c r="T186" s="59">
        <v>5421</v>
      </c>
      <c r="U186" s="59">
        <v>320</v>
      </c>
      <c r="V186" s="59">
        <v>10277</v>
      </c>
      <c r="W186" s="59">
        <v>1400</v>
      </c>
      <c r="X186" s="25">
        <v>34</v>
      </c>
      <c r="Y186" s="25">
        <v>77</v>
      </c>
    </row>
    <row r="187">
      <c r="A187" s="108"/>
      <c r="B187" s="132" t="s">
        <v>38</v>
      </c>
      <c r="C187" s="111" t="s">
        <v>53</v>
      </c>
      <c r="D187" s="111">
        <f t="shared" si="48"/>
      </c>
      <c r="E187" s="111">
        <v>750.5699999999997</v>
      </c>
      <c r="F187" s="110">
        <v>3380.1799999999967</v>
      </c>
      <c r="G187" s="146">
        <v>0</v>
      </c>
      <c r="H187" s="118">
        <v>16</v>
      </c>
      <c r="I187" s="111">
        <v>4733.5899999999965</v>
      </c>
      <c r="J187" s="114">
        <f t="shared" si="59"/>
      </c>
      <c r="K187" s="114">
        <f t="shared" si="68"/>
      </c>
      <c r="L187" s="114">
        <f t="shared" si="77"/>
      </c>
      <c r="M187" s="115">
        <f t="shared" si="87"/>
      </c>
      <c r="N187" s="116">
        <f t="shared" si="8"/>
      </c>
      <c r="O187" s="117">
        <f t="shared" si="17"/>
      </c>
      <c r="P187" s="116">
        <f t="shared" si="96"/>
      </c>
      <c r="Q187" s="81" t="s">
        <v>46</v>
      </c>
      <c r="R187" s="82" t="s">
        <v>70</v>
      </c>
      <c r="S187" s="85">
        <v>74180</v>
      </c>
      <c r="T187" s="70">
        <v>5851</v>
      </c>
      <c r="U187" s="70">
        <v>351</v>
      </c>
      <c r="V187" s="59">
        <v>12202</v>
      </c>
      <c r="W187" s="59">
        <v>1833</v>
      </c>
      <c r="X187" s="59">
        <v>23</v>
      </c>
      <c r="Y187" s="59">
        <v>57</v>
      </c>
    </row>
    <row r="188">
      <c r="A188" s="108"/>
      <c r="B188" s="125" t="s">
        <v>37</v>
      </c>
      <c r="C188" s="125"/>
      <c r="D188" s="79">
        <f>SUM(D184:D187)</f>
      </c>
      <c r="E188" s="79">
        <f>SUM(E184:E187)</f>
      </c>
      <c r="F188" s="79">
        <f>SUM(F184:G187)</f>
      </c>
      <c r="G188" s="79"/>
      <c r="H188" s="79">
        <f>SUM(H184:H187)</f>
      </c>
      <c r="I188" s="79">
        <f>SUM(I184:I187)</f>
      </c>
      <c r="J188" s="134">
        <f t="shared" si="59"/>
      </c>
      <c r="K188" s="135">
        <f t="shared" si="68"/>
      </c>
      <c r="L188" s="136">
        <f t="shared" si="77"/>
      </c>
      <c r="M188" s="130">
        <f t="shared" si="87"/>
      </c>
      <c r="N188" s="130">
        <f t="shared" si="8"/>
      </c>
      <c r="O188" s="78">
        <f t="shared" si="17"/>
      </c>
      <c r="P188" s="130">
        <f t="shared" si="96"/>
      </c>
      <c r="Q188" s="78"/>
      <c r="R188" s="78"/>
      <c r="S188" s="137">
        <f>SUM(S184:S187)</f>
      </c>
      <c r="T188" s="79">
        <f>SUM(T184:T187)</f>
      </c>
      <c r="U188" s="79">
        <f>SUM(U184:U187)</f>
      </c>
      <c r="V188" s="80">
        <f>SUM(V184:V187)</f>
      </c>
      <c r="W188" s="28">
        <f>SUM(W184:W187)</f>
      </c>
      <c r="X188" s="28">
        <f>SUM(X184:X187)</f>
      </c>
      <c r="Y188" s="28">
        <f>SUM(Y184:Y187)</f>
      </c>
    </row>
    <row r="189">
      <c r="A189" s="108"/>
      <c r="B189" s="109" t="s">
        <v>50</v>
      </c>
      <c r="C189" s="111" t="s">
        <v>54</v>
      </c>
      <c r="D189" s="111">
        <f t="shared" ref="D189:D192" si="49">E189+G189+F189</f>
      </c>
      <c r="E189" s="110"/>
      <c r="F189" s="110"/>
      <c r="G189" s="110"/>
      <c r="H189" s="112"/>
      <c r="I189" s="110"/>
      <c r="J189" s="114">
        <f t="shared" si="59"/>
      </c>
      <c r="K189" s="114">
        <f t="shared" si="68"/>
      </c>
      <c r="L189" s="114">
        <f t="shared" si="77"/>
      </c>
      <c r="M189" s="115">
        <f t="shared" si="87"/>
      </c>
      <c r="N189" s="116">
        <f t="shared" si="8"/>
      </c>
      <c r="O189" s="117">
        <f t="shared" si="17"/>
      </c>
      <c r="P189" s="116">
        <f t="shared" si="96"/>
      </c>
      <c r="Q189" s="81" t="s">
        <v>65</v>
      </c>
      <c r="R189" s="82" t="s">
        <v>66</v>
      </c>
      <c r="S189" s="133"/>
      <c r="T189" s="75"/>
      <c r="U189" s="75"/>
      <c r="V189" s="76"/>
      <c r="W189" s="59"/>
      <c r="X189" s="25"/>
      <c r="Y189" s="25"/>
    </row>
    <row r="190">
      <c r="A190" s="108"/>
      <c r="B190" s="109" t="s">
        <v>50</v>
      </c>
      <c r="C190" s="111" t="s">
        <v>31</v>
      </c>
      <c r="D190" s="111">
        <f t="shared" si="49"/>
      </c>
      <c r="E190" s="110"/>
      <c r="F190" s="110"/>
      <c r="G190" s="110"/>
      <c r="H190" s="112"/>
      <c r="I190" s="110"/>
      <c r="J190" s="114">
        <f t="shared" si="59"/>
      </c>
      <c r="K190" s="114">
        <f t="shared" si="68"/>
      </c>
      <c r="L190" s="114">
        <f t="shared" si="77"/>
      </c>
      <c r="M190" s="115">
        <f t="shared" si="87"/>
      </c>
      <c r="N190" s="116">
        <f t="shared" si="8"/>
      </c>
      <c r="O190" s="117">
        <f t="shared" si="17"/>
      </c>
      <c r="P190" s="116">
        <f t="shared" si="96"/>
      </c>
      <c r="Q190" s="81" t="s">
        <v>65</v>
      </c>
      <c r="R190" s="82" t="s">
        <v>66</v>
      </c>
      <c r="S190" s="133"/>
      <c r="T190" s="75"/>
      <c r="U190" s="75"/>
      <c r="V190" s="76"/>
      <c r="W190" s="59"/>
      <c r="X190" s="25"/>
      <c r="Y190" s="25"/>
    </row>
    <row r="191">
      <c r="A191" s="108"/>
      <c r="B191" s="109" t="s">
        <v>50</v>
      </c>
      <c r="C191" s="111" t="s">
        <v>34</v>
      </c>
      <c r="D191" s="111">
        <f t="shared" si="49"/>
      </c>
      <c r="E191" s="110"/>
      <c r="F191" s="110"/>
      <c r="G191" s="110"/>
      <c r="H191" s="112"/>
      <c r="I191" s="110"/>
      <c r="J191" s="114">
        <f t="shared" si="59"/>
      </c>
      <c r="K191" s="114">
        <f t="shared" si="68"/>
      </c>
      <c r="L191" s="114">
        <f t="shared" si="77"/>
      </c>
      <c r="M191" s="115">
        <f t="shared" si="87"/>
      </c>
      <c r="N191" s="116">
        <f t="shared" si="8"/>
      </c>
      <c r="O191" s="117">
        <f t="shared" si="17"/>
      </c>
      <c r="P191" s="116">
        <f t="shared" si="96"/>
      </c>
      <c r="Q191" s="81" t="s">
        <v>65</v>
      </c>
      <c r="R191" s="82" t="s">
        <v>66</v>
      </c>
      <c r="S191" s="133"/>
      <c r="T191" s="75"/>
      <c r="U191" s="75"/>
      <c r="V191" s="76"/>
      <c r="W191" s="59"/>
      <c r="X191" s="25"/>
      <c r="Y191" s="25"/>
    </row>
    <row r="192">
      <c r="A192" s="108"/>
      <c r="B192" s="109" t="s">
        <v>50</v>
      </c>
      <c r="C192" s="111" t="s">
        <v>35</v>
      </c>
      <c r="D192" s="111">
        <f t="shared" si="49"/>
      </c>
      <c r="E192" s="110"/>
      <c r="F192" s="110"/>
      <c r="G192" s="110"/>
      <c r="H192" s="112"/>
      <c r="I192" s="110"/>
      <c r="J192" s="114">
        <f t="shared" si="59"/>
      </c>
      <c r="K192" s="114">
        <f t="shared" si="68"/>
      </c>
      <c r="L192" s="114">
        <f t="shared" si="77"/>
      </c>
      <c r="M192" s="115">
        <f t="shared" si="87"/>
      </c>
      <c r="N192" s="116">
        <f t="shared" si="8"/>
      </c>
      <c r="O192" s="117">
        <f t="shared" si="17"/>
      </c>
      <c r="P192" s="116">
        <f t="shared" si="96"/>
      </c>
      <c r="Q192" s="81" t="s">
        <v>65</v>
      </c>
      <c r="R192" s="82" t="s">
        <v>66</v>
      </c>
      <c r="S192" s="133"/>
      <c r="T192" s="75"/>
      <c r="U192" s="75"/>
      <c r="V192" s="76"/>
      <c r="W192" s="59"/>
      <c r="X192" s="25"/>
      <c r="Y192" s="25"/>
    </row>
    <row r="193">
      <c r="A193" s="108"/>
      <c r="B193" s="125" t="s">
        <v>37</v>
      </c>
      <c r="C193" s="125"/>
      <c r="D193" s="79">
        <f>SUM(D189:D192)</f>
      </c>
      <c r="E193" s="79">
        <f>SUM(E189:E192)</f>
      </c>
      <c r="F193" s="79">
        <f>SUM(F189:G192)</f>
      </c>
      <c r="G193" s="79"/>
      <c r="H193" s="83">
        <f>SUM(H189:H192)</f>
      </c>
      <c r="I193" s="79">
        <f>SUM(I189:I192)</f>
      </c>
      <c r="J193" s="126">
        <f t="shared" si="59"/>
      </c>
      <c r="K193" s="135">
        <f t="shared" si="68"/>
      </c>
      <c r="L193" s="128">
        <f t="shared" si="77"/>
      </c>
      <c r="M193" s="130">
        <f t="shared" si="87"/>
      </c>
      <c r="N193" s="130">
        <f t="shared" si="8"/>
      </c>
      <c r="O193" s="78">
        <f t="shared" si="17"/>
      </c>
      <c r="P193" s="130">
        <f t="shared" si="96"/>
      </c>
      <c r="Q193" s="78"/>
      <c r="R193" s="78"/>
      <c r="S193" s="138">
        <f>SUM(S189:S192)</f>
      </c>
      <c r="T193" s="83">
        <f>SUM(T189:T192)</f>
      </c>
      <c r="U193" s="83">
        <f>SUM(U189:U192)</f>
      </c>
      <c r="V193" s="84">
        <f>SUM(V189:V192)</f>
      </c>
      <c r="W193" s="29">
        <f>SUM(W189:W192)</f>
      </c>
      <c r="X193" s="29">
        <f>SUM(X189:X192)</f>
      </c>
      <c r="Y193" s="29">
        <f>SUM(Y189:Y192)</f>
      </c>
    </row>
    <row r="194">
      <c r="A194" s="108"/>
      <c r="B194" s="109" t="s">
        <v>62</v>
      </c>
      <c r="C194" s="111" t="s">
        <v>36</v>
      </c>
      <c r="D194" s="111">
        <f t="shared" ref="D194:D198" si="50">E194+G194+F194</f>
      </c>
      <c r="E194" s="110"/>
      <c r="F194" s="110"/>
      <c r="G194" s="110"/>
      <c r="H194" s="112"/>
      <c r="I194" s="110"/>
      <c r="J194" s="114">
        <f t="shared" si="59"/>
      </c>
      <c r="K194" s="114">
        <f t="shared" si="68"/>
      </c>
      <c r="L194" s="114">
        <f t="shared" si="77"/>
      </c>
      <c r="M194" s="115">
        <f t="shared" si="87"/>
      </c>
      <c r="N194" s="116">
        <f t="shared" si="8"/>
      </c>
      <c r="O194" s="117">
        <f t="shared" si="17"/>
      </c>
      <c r="P194" s="116">
        <f t="shared" si="96"/>
      </c>
      <c r="Q194" s="81" t="s">
        <v>65</v>
      </c>
      <c r="R194" s="82" t="s">
        <v>66</v>
      </c>
      <c r="S194" s="133"/>
      <c r="T194" s="75"/>
      <c r="U194" s="75"/>
      <c r="V194" s="85"/>
      <c r="W194" s="70"/>
      <c r="X194" s="35"/>
      <c r="Y194" s="25"/>
    </row>
    <row r="195">
      <c r="A195" s="108"/>
      <c r="B195" s="109" t="s">
        <v>62</v>
      </c>
      <c r="C195" s="111" t="s">
        <v>39</v>
      </c>
      <c r="D195" s="111">
        <f t="shared" si="50"/>
      </c>
      <c r="E195" s="110"/>
      <c r="F195" s="110"/>
      <c r="G195" s="110"/>
      <c r="H195" s="112"/>
      <c r="I195" s="110"/>
      <c r="J195" s="114">
        <f t="shared" si="59"/>
      </c>
      <c r="K195" s="114">
        <f t="shared" si="68"/>
      </c>
      <c r="L195" s="114">
        <f t="shared" si="77"/>
      </c>
      <c r="M195" s="115">
        <f t="shared" si="87"/>
      </c>
      <c r="N195" s="116">
        <f t="shared" si="8"/>
      </c>
      <c r="O195" s="117">
        <f t="shared" si="17"/>
      </c>
      <c r="P195" s="116">
        <f t="shared" si="96"/>
      </c>
      <c r="Q195" s="81" t="s">
        <v>65</v>
      </c>
      <c r="R195" s="82" t="s">
        <v>66</v>
      </c>
      <c r="S195" s="133"/>
      <c r="T195" s="75"/>
      <c r="U195" s="75"/>
      <c r="V195" s="85"/>
      <c r="W195" s="70"/>
      <c r="X195" s="35"/>
      <c r="Y195" s="25"/>
    </row>
    <row r="196">
      <c r="A196" s="108"/>
      <c r="B196" s="109" t="s">
        <v>62</v>
      </c>
      <c r="C196" s="111" t="s">
        <v>40</v>
      </c>
      <c r="D196" s="111">
        <f t="shared" si="50"/>
      </c>
      <c r="E196" s="110"/>
      <c r="F196" s="110"/>
      <c r="G196" s="110"/>
      <c r="H196" s="112"/>
      <c r="I196" s="110"/>
      <c r="J196" s="114">
        <f t="shared" si="59"/>
      </c>
      <c r="K196" s="114">
        <f t="shared" si="68"/>
      </c>
      <c r="L196" s="114">
        <f t="shared" si="77"/>
      </c>
      <c r="M196" s="115">
        <f t="shared" si="87"/>
      </c>
      <c r="N196" s="116">
        <f t="shared" si="8"/>
      </c>
      <c r="O196" s="117">
        <f t="shared" si="17"/>
      </c>
      <c r="P196" s="116">
        <f t="shared" si="96"/>
      </c>
      <c r="Q196" s="81" t="s">
        <v>65</v>
      </c>
      <c r="R196" s="82" t="s">
        <v>66</v>
      </c>
      <c r="S196" s="133"/>
      <c r="T196" s="75"/>
      <c r="U196" s="75"/>
      <c r="V196" s="85"/>
      <c r="W196" s="71"/>
      <c r="X196" s="37"/>
      <c r="Y196" s="38"/>
    </row>
    <row r="197">
      <c r="A197" s="108"/>
      <c r="B197" s="109" t="s">
        <v>62</v>
      </c>
      <c r="C197" s="111" t="s">
        <v>41</v>
      </c>
      <c r="D197" s="111">
        <f t="shared" si="50"/>
      </c>
      <c r="E197" s="110"/>
      <c r="F197" s="110"/>
      <c r="G197" s="110"/>
      <c r="H197" s="112"/>
      <c r="I197" s="110"/>
      <c r="J197" s="114">
        <f t="shared" si="59"/>
      </c>
      <c r="K197" s="114">
        <f t="shared" si="68"/>
      </c>
      <c r="L197" s="114">
        <f t="shared" si="77"/>
      </c>
      <c r="M197" s="115">
        <f t="shared" si="87"/>
      </c>
      <c r="N197" s="116">
        <f t="shared" si="8"/>
      </c>
      <c r="O197" s="117">
        <f t="shared" si="17"/>
      </c>
      <c r="P197" s="116">
        <f t="shared" si="96"/>
      </c>
      <c r="Q197" s="81" t="s">
        <v>65</v>
      </c>
      <c r="R197" s="82" t="s">
        <v>66</v>
      </c>
      <c r="S197" s="133"/>
      <c r="T197" s="75"/>
      <c r="U197" s="75"/>
      <c r="V197" s="85"/>
      <c r="W197" s="71"/>
      <c r="X197" s="37"/>
      <c r="Y197" s="38"/>
    </row>
    <row r="198">
      <c r="A198" s="108"/>
      <c r="B198" s="109" t="s">
        <v>62</v>
      </c>
      <c r="C198" s="110" t="s">
        <v>42</v>
      </c>
      <c r="D198" s="111">
        <f t="shared" si="50"/>
      </c>
      <c r="E198" s="110"/>
      <c r="F198" s="110"/>
      <c r="G198" s="110"/>
      <c r="H198" s="112"/>
      <c r="I198" s="110"/>
      <c r="J198" s="114">
        <f t="shared" si="59"/>
      </c>
      <c r="K198" s="114">
        <f t="shared" si="68"/>
      </c>
      <c r="L198" s="114">
        <f t="shared" si="77"/>
      </c>
      <c r="M198" s="115">
        <f t="shared" si="87"/>
      </c>
      <c r="N198" s="116">
        <f t="shared" si="8"/>
      </c>
      <c r="O198" s="117">
        <f t="shared" si="17"/>
      </c>
      <c r="P198" s="116">
        <f t="shared" si="96"/>
      </c>
      <c r="Q198" s="81" t="s">
        <v>65</v>
      </c>
      <c r="R198" s="82" t="s">
        <v>66</v>
      </c>
      <c r="S198" s="133"/>
      <c r="T198" s="75"/>
      <c r="U198" s="75"/>
      <c r="V198" s="85"/>
      <c r="W198" s="71"/>
      <c r="X198" s="37"/>
      <c r="Y198" s="38"/>
    </row>
    <row r="199">
      <c r="A199" s="108"/>
      <c r="B199" s="125" t="s">
        <v>37</v>
      </c>
      <c r="C199" s="125"/>
      <c r="D199" s="79">
        <f>SUM(D194:D197)</f>
      </c>
      <c r="E199" s="79">
        <f>SUM(E194:E197)</f>
      </c>
      <c r="F199" s="79">
        <f>SUM(F194:G197)</f>
      </c>
      <c r="G199" s="79"/>
      <c r="H199" s="79">
        <f>SUM(H194:H197)</f>
      </c>
      <c r="I199" s="79">
        <f>SUM(I194:I197)</f>
      </c>
      <c r="J199" s="134">
        <f t="shared" si="59"/>
      </c>
      <c r="K199" s="135">
        <f t="shared" si="68"/>
      </c>
      <c r="L199" s="136">
        <f t="shared" si="77"/>
      </c>
      <c r="M199" s="130">
        <f t="shared" si="87"/>
      </c>
      <c r="N199" s="130">
        <f t="shared" si="8"/>
      </c>
      <c r="O199" s="78">
        <f t="shared" si="17"/>
      </c>
      <c r="P199" s="130">
        <f t="shared" si="96"/>
      </c>
      <c r="Q199" s="78"/>
      <c r="R199" s="78"/>
      <c r="S199" s="137">
        <f>SUM(S194:S197)</f>
      </c>
      <c r="T199" s="79">
        <f>SUM(T194:T197)</f>
      </c>
      <c r="U199" s="79">
        <f>SUM(U194:U197)</f>
      </c>
      <c r="V199" s="80">
        <f>SUM(V194:V197)</f>
      </c>
      <c r="W199" s="28">
        <f>SUM(W194:W197)</f>
      </c>
      <c r="X199" s="29">
        <f>SUM(X194:X197)</f>
      </c>
      <c r="Y199" s="29">
        <f>SUM(Y194:Y197)</f>
      </c>
      <c r="Z199" s="5"/>
    </row>
    <row r="200">
      <c r="A200" s="108"/>
      <c r="B200" s="140" t="s">
        <v>43</v>
      </c>
      <c r="C200" s="140"/>
      <c r="D200" s="141">
        <f>D199+D193+D188+D183</f>
      </c>
      <c r="E200" s="141">
        <f>E199+E193+E188+E183</f>
      </c>
      <c r="F200" s="141">
        <f>F199+F193+F188+F183</f>
      </c>
      <c r="G200" s="141"/>
      <c r="H200" s="88">
        <f>H199+H193+H188+H183</f>
      </c>
      <c r="I200" s="141">
        <f>I199+I193+I188+I183</f>
      </c>
      <c r="J200" s="142">
        <f t="shared" si="59"/>
      </c>
      <c r="K200" s="142">
        <f t="shared" si="68"/>
      </c>
      <c r="L200" s="142">
        <f t="shared" si="77"/>
      </c>
      <c r="M200" s="143">
        <f t="shared" si="87"/>
      </c>
      <c r="N200" s="143">
        <f t="shared" si="8"/>
      </c>
      <c r="O200" s="142">
        <f t="shared" si="17"/>
      </c>
      <c r="P200" s="143">
        <f t="shared" si="96"/>
      </c>
      <c r="Q200" s="87"/>
      <c r="R200" s="87"/>
      <c r="S200" s="144">
        <f>S199+S193+S188+S183</f>
      </c>
      <c r="T200" s="88">
        <f>T199+T193+T188+T183</f>
      </c>
      <c r="U200" s="88">
        <f>U199+U193+U188+U183</f>
      </c>
      <c r="V200" s="88">
        <f>V199+V193+V188+V183</f>
      </c>
      <c r="W200" s="88">
        <f>W199+W193+W188+W183</f>
      </c>
      <c r="X200" s="50">
        <f>X199+X193+X188+X183</f>
      </c>
      <c r="Y200" s="44">
        <f>Y199+Y193+Y188+Y183</f>
      </c>
      <c r="Z200" s="145"/>
    </row>
    <row r="201">
      <c r="A201" s="147"/>
      <c r="B201" s="148"/>
      <c r="C201" s="149"/>
      <c r="D201" s="150"/>
      <c r="E201" s="151">
        <f>E202-E200</f>
      </c>
      <c r="F201" s="151">
        <f>F202-F200</f>
      </c>
      <c r="G201" s="152"/>
      <c r="H201" s="153">
        <f>H202-H200</f>
      </c>
      <c r="I201" s="153">
        <f>I202-I200</f>
      </c>
      <c r="J201" s="154"/>
      <c r="K201" s="152"/>
      <c r="L201" s="152"/>
      <c r="M201" s="152"/>
      <c r="N201" s="152"/>
      <c r="O201" s="155"/>
      <c r="P201" s="155"/>
      <c r="Q201" s="155"/>
      <c r="R201" s="152"/>
      <c r="S201" s="156"/>
      <c r="T201" s="152"/>
      <c r="U201" s="152"/>
      <c r="V201" s="152"/>
      <c r="W201" s="152"/>
      <c r="X201" s="155">
        <f>X202-X200</f>
      </c>
      <c r="Y201" s="155">
        <f>Y202-Y200</f>
      </c>
      <c r="Z201" s="145"/>
    </row>
    <row r="202">
      <c r="A202" s="152"/>
      <c r="B202" s="149"/>
      <c r="C202" s="149"/>
      <c r="D202" s="157"/>
      <c r="E202" s="152">
        <f>J208</f>
      </c>
      <c r="F202" s="152">
        <f>L208</f>
      </c>
      <c r="G202" s="152"/>
      <c r="H202" s="158">
        <v>132</v>
      </c>
      <c r="I202" s="159">
        <v>69379.12</v>
      </c>
      <c r="J202" s="152"/>
      <c r="K202" s="145"/>
      <c r="L202" s="152"/>
      <c r="M202" s="160"/>
      <c r="N202" s="152"/>
      <c r="O202" s="152"/>
      <c r="P202" s="152"/>
      <c r="Q202" s="152"/>
      <c r="R202" s="152"/>
      <c r="S202" s="161">
        <v>16975</v>
      </c>
      <c r="T202" s="162">
        <v>1160</v>
      </c>
      <c r="U202" s="162">
        <v>74</v>
      </c>
      <c r="V202" s="162">
        <v>2413</v>
      </c>
      <c r="W202" s="162">
        <v>367</v>
      </c>
      <c r="X202" s="163">
        <v>221</v>
      </c>
      <c r="Y202" s="164">
        <v>565</v>
      </c>
      <c r="Z202" s="145"/>
    </row>
    <row r="203">
      <c r="A203" s="165"/>
      <c r="B203" s="166" t="s">
        <v>75</v>
      </c>
      <c r="C203" s="152"/>
      <c r="D203" s="151"/>
      <c r="E203" s="167"/>
      <c r="F203" s="167"/>
      <c r="G203" s="145"/>
      <c r="H203" s="152"/>
      <c r="I203" s="152"/>
      <c r="J203" s="152"/>
      <c r="K203" s="145"/>
      <c r="L203" s="168"/>
      <c r="M203" s="160"/>
      <c r="N203" s="152"/>
      <c r="O203" s="152"/>
      <c r="P203" s="152"/>
      <c r="Q203" s="152"/>
      <c r="R203" s="152"/>
      <c r="S203" s="169">
        <v>57205</v>
      </c>
      <c r="T203" s="169">
        <v>4691</v>
      </c>
      <c r="U203" s="169">
        <v>277</v>
      </c>
      <c r="V203" s="169">
        <v>9789</v>
      </c>
      <c r="W203" s="169">
        <v>1466</v>
      </c>
      <c r="X203" s="152"/>
      <c r="Y203" s="152"/>
      <c r="Z203" s="145"/>
    </row>
    <row r="204">
      <c r="A204" s="165"/>
      <c r="B204" s="165"/>
      <c r="C204" s="165"/>
      <c r="D204" s="170" t="s">
        <v>76</v>
      </c>
      <c r="E204" s="170" t="s">
        <v>77</v>
      </c>
      <c r="F204" s="170" t="s">
        <v>78</v>
      </c>
      <c r="G204" s="145"/>
      <c r="H204" s="149"/>
      <c r="I204" s="171"/>
      <c r="J204" s="172" t="s">
        <v>79</v>
      </c>
      <c r="K204" s="171" t="s">
        <v>80</v>
      </c>
      <c r="L204" s="152"/>
      <c r="M204" s="160"/>
      <c r="N204" s="147"/>
      <c r="O204" s="152"/>
      <c r="P204" s="152"/>
      <c r="Q204" s="152"/>
      <c r="R204" s="152"/>
      <c r="S204" s="173">
        <f>SUM(S201:S203)</f>
      </c>
      <c r="T204" s="173">
        <f>SUM(T201:T203)</f>
      </c>
      <c r="U204" s="173">
        <f>SUM(U201:U203)</f>
      </c>
      <c r="V204" s="173">
        <f>SUM(V201:V203)</f>
      </c>
      <c r="W204" s="173">
        <f>SUM(W201:W203)</f>
      </c>
      <c r="X204" s="152"/>
      <c r="Y204" s="152"/>
      <c r="Z204" s="145"/>
    </row>
    <row r="205">
      <c r="A205" s="174"/>
      <c r="B205" s="160"/>
      <c r="C205" s="152"/>
      <c r="D205" s="175">
        <f>SUM(B203:B1204)</f>
      </c>
      <c r="E205" s="176"/>
      <c r="F205" s="177"/>
      <c r="G205" s="145"/>
      <c r="H205" s="178" t="s">
        <v>81</v>
      </c>
      <c r="I205" s="152"/>
      <c r="J205" s="179"/>
      <c r="K205" s="180">
        <f>654.42+571.82+447.38+1359.06+971.2+1269.52+1912.94+3040.91</f>
      </c>
      <c r="L205" s="172">
        <f t="shared" ref="L205:L206" si="78">K205-J205</f>
      </c>
      <c r="M205" s="147"/>
      <c r="N205" s="145"/>
      <c r="O205" s="181"/>
      <c r="P205" s="152"/>
      <c r="Q205" s="152"/>
      <c r="R205" s="152"/>
      <c r="S205" s="182"/>
      <c r="T205" s="172"/>
      <c r="U205" s="147"/>
      <c r="V205" s="152"/>
      <c r="W205" s="152"/>
      <c r="X205" s="152"/>
      <c r="Y205" s="152"/>
      <c r="Z205" s="145"/>
    </row>
    <row r="206">
      <c r="A206" s="152"/>
      <c r="B206" s="149"/>
      <c r="C206" s="145"/>
      <c r="D206" s="145"/>
      <c r="E206" s="145"/>
      <c r="F206" s="145"/>
      <c r="G206" s="145"/>
      <c r="H206" s="178" t="s">
        <v>82</v>
      </c>
      <c r="I206" s="152"/>
      <c r="J206" s="183">
        <v>17642.01</v>
      </c>
      <c r="K206" s="180">
        <f>3114.52+2685.68+3016.62+3889.76+3143.73+3600.32+2585.76+1089.84</f>
      </c>
      <c r="L206" s="172">
        <f t="shared" si="78"/>
      </c>
      <c r="M206" s="147"/>
      <c r="N206" s="145"/>
      <c r="O206" s="181"/>
      <c r="P206" s="152"/>
      <c r="Q206" s="147"/>
      <c r="R206" s="152"/>
      <c r="S206" s="182"/>
      <c r="T206" s="172"/>
      <c r="U206" s="147"/>
      <c r="V206" s="152"/>
      <c r="W206" s="152"/>
      <c r="X206" s="152"/>
      <c r="Y206" s="152"/>
      <c r="Z206" s="145"/>
    </row>
    <row r="207">
      <c r="A207" s="152"/>
      <c r="B207" s="149"/>
      <c r="C207" s="145"/>
      <c r="D207" s="145"/>
      <c r="E207" s="145"/>
      <c r="F207" s="145"/>
      <c r="G207" s="145"/>
      <c r="H207" s="178"/>
      <c r="I207" s="152"/>
      <c r="J207" s="184">
        <v>3162.479999999996</v>
      </c>
      <c r="K207" s="184">
        <f>K206+K205</f>
      </c>
      <c r="L207" s="172">
        <f>K207-J208</f>
      </c>
      <c r="M207" s="152"/>
      <c r="N207" s="145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45"/>
    </row>
    <row r="208">
      <c r="A208" s="152"/>
      <c r="B208" s="185"/>
      <c r="C208" s="149"/>
      <c r="D208" s="152"/>
      <c r="E208" s="152"/>
      <c r="F208" s="152"/>
      <c r="G208" s="152"/>
      <c r="H208" s="178"/>
      <c r="I208" s="152"/>
      <c r="J208" s="186">
        <f>J205+J206-J207</f>
      </c>
      <c r="K208" s="172"/>
      <c r="L208" s="172">
        <f>L207</f>
      </c>
      <c r="M208" s="145"/>
      <c r="N208" s="145"/>
      <c r="O208" s="147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45"/>
    </row>
    <row r="209">
      <c r="B209" s="187"/>
      <c r="C209" s="187"/>
      <c r="D209" s="172"/>
      <c r="E209" s="172"/>
      <c r="F209" s="172"/>
      <c r="G209" s="147"/>
      <c r="H209" s="152"/>
      <c r="I209" s="145"/>
      <c r="J209" s="145"/>
      <c r="K209" s="145"/>
      <c r="L209" s="145"/>
      <c r="M209" s="145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</row>
  </sheetData>
  <mergeCells>
    <mergeCell ref="A179:A200"/>
    <mergeCell ref="F200:G200"/>
    <mergeCell ref="B200:C200"/>
    <mergeCell ref="F199:G199"/>
    <mergeCell ref="B199:C199"/>
    <mergeCell ref="B188:C188"/>
    <mergeCell ref="F188:G188"/>
    <mergeCell ref="F193:G193"/>
    <mergeCell ref="B193:C193"/>
    <mergeCell ref="B183:C183"/>
    <mergeCell ref="F183:G183"/>
    <mergeCell ref="F178:G178"/>
    <mergeCell ref="A177:C177"/>
    <mergeCell ref="D177:L177"/>
    <mergeCell ref="M177:R177"/>
    <mergeCell ref="S177:Y177"/>
    <mergeCell ref="F176:G176"/>
    <mergeCell ref="B176:C176"/>
    <mergeCell ref="F175:G175"/>
    <mergeCell ref="B175:C175"/>
    <mergeCell ref="B169:C169"/>
    <mergeCell ref="F169:G169"/>
    <mergeCell ref="F164:G164"/>
    <mergeCell ref="B164:C164"/>
    <mergeCell ref="B158:C158"/>
    <mergeCell ref="F158:G158"/>
    <mergeCell ref="A154:A175"/>
    <mergeCell ref="F153:G153"/>
    <mergeCell ref="A152:C152"/>
    <mergeCell ref="D152:L152"/>
    <mergeCell ref="M152:R152"/>
    <mergeCell ref="S152:Y152"/>
    <mergeCell ref="F151:G151"/>
    <mergeCell ref="B151:C151"/>
    <mergeCell ref="F150:G150"/>
    <mergeCell ref="B150:C150"/>
    <mergeCell ref="B145:C145"/>
    <mergeCell ref="F145:G145"/>
    <mergeCell ref="F140:G140"/>
    <mergeCell ref="B140:C140"/>
    <mergeCell ref="B134:C134"/>
    <mergeCell ref="F134:G134"/>
    <mergeCell ref="F129:G129"/>
    <mergeCell ref="A128:C128"/>
    <mergeCell ref="D128:L128"/>
    <mergeCell ref="M128:R128"/>
    <mergeCell ref="S128:Y128"/>
    <mergeCell ref="F127:G127"/>
    <mergeCell ref="B127:C127"/>
    <mergeCell ref="F126:G126"/>
    <mergeCell ref="B126:C126"/>
    <mergeCell ref="A105:A126"/>
    <mergeCell ref="B61:C61"/>
    <mergeCell ref="F61:G61"/>
    <mergeCell ref="F56:G56"/>
    <mergeCell ref="A55:C55"/>
    <mergeCell ref="D55:L55"/>
    <mergeCell ref="M55:R55"/>
    <mergeCell ref="S55:Y55"/>
    <mergeCell ref="B54:C54"/>
    <mergeCell ref="F54:G54"/>
    <mergeCell ref="B53:C53"/>
    <mergeCell ref="F53:G53"/>
    <mergeCell ref="B48:C48"/>
    <mergeCell ref="F48:G48"/>
    <mergeCell ref="B44:C44"/>
    <mergeCell ref="F44:G44"/>
    <mergeCell ref="B38:C38"/>
    <mergeCell ref="F38:G38"/>
    <mergeCell ref="A34:A54"/>
    <mergeCell ref="F33:G33"/>
    <mergeCell ref="A32:C32"/>
    <mergeCell ref="D32:L32"/>
    <mergeCell ref="M32:R32"/>
    <mergeCell ref="S32:Y32"/>
    <mergeCell ref="A16:A31"/>
    <mergeCell ref="F26:G26"/>
    <mergeCell ref="B26:C26"/>
    <mergeCell ref="F30:G30"/>
    <mergeCell ref="B30:C30"/>
    <mergeCell ref="B31:C31"/>
    <mergeCell ref="F31:G31"/>
    <mergeCell ref="F20:G20"/>
    <mergeCell ref="B20:C20"/>
    <mergeCell ref="F15:G15"/>
    <mergeCell ref="M14:R14"/>
    <mergeCell ref="S14:Y14"/>
    <mergeCell ref="D14:L14"/>
    <mergeCell ref="A14:C14"/>
    <mergeCell ref="A3:A13"/>
    <mergeCell ref="B12:C12"/>
    <mergeCell ref="F12:G12"/>
    <mergeCell ref="B13:C13"/>
    <mergeCell ref="F13:G13"/>
    <mergeCell ref="B7:C7"/>
    <mergeCell ref="F7:G7"/>
    <mergeCell ref="F2:G2"/>
    <mergeCell ref="M1:R1"/>
    <mergeCell ref="S1:Y1"/>
    <mergeCell ref="D1:L1"/>
    <mergeCell ref="A1:C1"/>
    <mergeCell ref="F67:G67"/>
    <mergeCell ref="B67:C67"/>
    <mergeCell ref="B78:C78"/>
    <mergeCell ref="F78:G78"/>
    <mergeCell ref="B77:C77"/>
    <mergeCell ref="F77:G77"/>
    <mergeCell ref="B72:C72"/>
    <mergeCell ref="F72:G72"/>
    <mergeCell ref="A57:A78"/>
    <mergeCell ref="A79:C79"/>
    <mergeCell ref="D79:L79"/>
    <mergeCell ref="M79:R79"/>
    <mergeCell ref="S79:Y79"/>
    <mergeCell ref="F80:G80"/>
    <mergeCell ref="A81:A102"/>
    <mergeCell ref="B85:C85"/>
    <mergeCell ref="F85:G85"/>
    <mergeCell ref="F91:G91"/>
    <mergeCell ref="B91:C91"/>
    <mergeCell ref="B97:C97"/>
    <mergeCell ref="F97:G97"/>
    <mergeCell ref="B101:C101"/>
    <mergeCell ref="F101:G101"/>
    <mergeCell ref="B102:C102"/>
    <mergeCell ref="F102:G102"/>
    <mergeCell ref="A103:C103"/>
    <mergeCell ref="D103:L103"/>
    <mergeCell ref="M103:R103"/>
    <mergeCell ref="S103:Y103"/>
    <mergeCell ref="F104:G104"/>
    <mergeCell ref="B109:C109"/>
    <mergeCell ref="F109:G109"/>
    <mergeCell ref="F115:G115"/>
    <mergeCell ref="B115:C115"/>
    <mergeCell ref="B120:C120"/>
    <mergeCell ref="F120:G120"/>
    <mergeCell ref="A130:A15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3.070422535211268"/>
  </cols>
  <sheetData>
    <row r="1">
      <c r="A1" s="188" t="s">
        <v>83</v>
      </c>
      <c r="B1" s="188"/>
      <c r="C1" s="188"/>
      <c r="D1" s="189" t="s">
        <v>84</v>
      </c>
      <c r="E1" s="189"/>
      <c r="F1" s="189"/>
      <c r="G1" s="189"/>
      <c r="H1" s="189"/>
      <c r="I1" s="189"/>
      <c r="J1" s="189"/>
      <c r="K1" s="189"/>
      <c r="L1" s="189"/>
      <c r="M1" s="190" t="s">
        <v>85</v>
      </c>
      <c r="N1" s="190"/>
      <c r="O1" s="190"/>
      <c r="P1" s="190"/>
      <c r="Q1" s="190"/>
      <c r="R1" s="190"/>
      <c r="S1" s="191" t="s">
        <v>86</v>
      </c>
      <c r="T1" s="191"/>
      <c r="U1" s="191"/>
      <c r="V1" s="191"/>
      <c r="W1" s="191"/>
      <c r="X1" s="191"/>
      <c r="Y1" s="191"/>
    </row>
    <row r="2">
      <c r="A2" s="192" t="s">
        <v>87</v>
      </c>
      <c r="B2" s="188" t="s">
        <v>88</v>
      </c>
      <c r="C2" s="188" t="s">
        <v>89</v>
      </c>
      <c r="D2" s="193" t="s">
        <v>90</v>
      </c>
      <c r="E2" s="193" t="s">
        <v>91</v>
      </c>
      <c r="F2" s="189" t="s">
        <v>92</v>
      </c>
      <c r="G2" s="189"/>
      <c r="H2" s="194" t="s">
        <v>93</v>
      </c>
      <c r="I2" s="189" t="s">
        <v>94</v>
      </c>
      <c r="J2" s="195" t="s">
        <v>95</v>
      </c>
      <c r="K2" s="196" t="s">
        <v>96</v>
      </c>
      <c r="L2" s="189" t="s">
        <v>97</v>
      </c>
      <c r="M2" s="190" t="s">
        <v>98</v>
      </c>
      <c r="N2" s="190" t="s">
        <v>99</v>
      </c>
      <c r="O2" s="190" t="s">
        <v>100</v>
      </c>
      <c r="P2" s="190" t="s">
        <v>101</v>
      </c>
      <c r="Q2" s="197" t="s">
        <v>102</v>
      </c>
      <c r="R2" s="197" t="s">
        <v>103</v>
      </c>
      <c r="S2" s="198" t="s">
        <v>104</v>
      </c>
      <c r="T2" s="198" t="s">
        <v>105</v>
      </c>
      <c r="U2" s="199" t="s">
        <v>106</v>
      </c>
      <c r="V2" s="199" t="s">
        <v>107</v>
      </c>
      <c r="W2" s="199" t="s">
        <v>108</v>
      </c>
      <c r="X2" s="199" t="s">
        <v>109</v>
      </c>
      <c r="Y2" s="199" t="s">
        <v>110</v>
      </c>
    </row>
    <row r="3">
      <c r="A3" s="200" t="s">
        <v>111</v>
      </c>
      <c r="B3" s="201" t="s">
        <v>112</v>
      </c>
      <c r="C3" s="202" t="s">
        <v>113</v>
      </c>
      <c r="D3" s="202">
        <f t="shared" ref="D3:D6" si="30">E3+G3+F3</f>
      </c>
      <c r="E3" s="202">
        <v>1810.56</v>
      </c>
      <c r="F3" s="202">
        <v>603.13</v>
      </c>
      <c r="G3" s="203">
        <v>0</v>
      </c>
      <c r="H3" s="204">
        <v>3</v>
      </c>
      <c r="I3" s="202">
        <v>1570.56</v>
      </c>
      <c r="J3" s="205">
        <f t="shared" ref="J3:J24" si="0">I3/D3</f>
      </c>
      <c r="K3" s="205">
        <f t="shared" ref="K3:K24" si="291">D3/H3</f>
      </c>
      <c r="L3" s="206">
        <f t="shared" ref="L3:L24" si="261">I3/H3</f>
      </c>
      <c r="M3" s="207">
        <f t="shared" ref="M3:M24" si="200">T3/S3</f>
      </c>
      <c r="N3" s="208">
        <f t="shared" ref="N3:N24" si="170">H3/X3</f>
      </c>
      <c r="O3" s="209">
        <f t="shared" ref="O3:O24" si="140">(Y3*1000)/D3</f>
      </c>
      <c r="P3" s="208">
        <f t="shared" ref="P3:P24" si="230">W3/V3</f>
      </c>
      <c r="Q3" s="210" t="s">
        <v>114</v>
      </c>
      <c r="R3" s="211" t="s">
        <v>115</v>
      </c>
      <c r="S3" s="212">
        <v>44553</v>
      </c>
      <c r="T3" s="212">
        <v>3308</v>
      </c>
      <c r="U3" s="213">
        <v>114</v>
      </c>
      <c r="V3" s="212">
        <v>4990</v>
      </c>
      <c r="W3" s="212">
        <v>528</v>
      </c>
      <c r="X3" s="214">
        <v>8</v>
      </c>
      <c r="Y3" s="214">
        <v>28</v>
      </c>
    </row>
    <row r="4">
      <c r="A4" s="200"/>
      <c r="B4" s="201" t="s">
        <v>112</v>
      </c>
      <c r="C4" s="202" t="s">
        <v>116</v>
      </c>
      <c r="D4" s="202">
        <f t="shared" si="30"/>
      </c>
      <c r="E4" s="202">
        <v>980.13</v>
      </c>
      <c r="F4" s="202">
        <v>2033.68</v>
      </c>
      <c r="G4" s="203">
        <v>0</v>
      </c>
      <c r="H4" s="215">
        <v>11</v>
      </c>
      <c r="I4" s="202">
        <v>5560.700000000001</v>
      </c>
      <c r="J4" s="206">
        <f t="shared" si="0"/>
      </c>
      <c r="K4" s="206">
        <f t="shared" si="291"/>
      </c>
      <c r="L4" s="205">
        <f t="shared" si="261"/>
      </c>
      <c r="M4" s="207">
        <f t="shared" si="200"/>
      </c>
      <c r="N4" s="208">
        <f t="shared" si="170"/>
      </c>
      <c r="O4" s="209">
        <f t="shared" si="140"/>
      </c>
      <c r="P4" s="208">
        <f t="shared" si="230"/>
      </c>
      <c r="Q4" s="210" t="s">
        <v>114</v>
      </c>
      <c r="R4" s="211" t="s">
        <v>115</v>
      </c>
      <c r="S4" s="216">
        <v>67919</v>
      </c>
      <c r="T4" s="216">
        <v>2415</v>
      </c>
      <c r="U4" s="212">
        <v>241</v>
      </c>
      <c r="V4" s="212">
        <v>4370</v>
      </c>
      <c r="W4" s="212">
        <v>590</v>
      </c>
      <c r="X4" s="214">
        <v>21</v>
      </c>
      <c r="Y4" s="217">
        <v>36</v>
      </c>
    </row>
    <row r="5">
      <c r="A5" s="200"/>
      <c r="B5" s="201" t="s">
        <v>112</v>
      </c>
      <c r="C5" s="202" t="s">
        <v>117</v>
      </c>
      <c r="D5" s="202">
        <f t="shared" si="30"/>
      </c>
      <c r="E5" s="218">
        <v>693.32</v>
      </c>
      <c r="F5" s="202">
        <v>2088.71</v>
      </c>
      <c r="G5" s="203">
        <v>0</v>
      </c>
      <c r="H5" s="215">
        <v>12</v>
      </c>
      <c r="I5" s="202">
        <v>8331.47</v>
      </c>
      <c r="J5" s="206">
        <f t="shared" si="0"/>
      </c>
      <c r="K5" s="206">
        <f t="shared" si="291"/>
      </c>
      <c r="L5" s="206">
        <f t="shared" si="261"/>
      </c>
      <c r="M5" s="207">
        <f t="shared" si="200"/>
      </c>
      <c r="N5" s="208">
        <f t="shared" si="170"/>
      </c>
      <c r="O5" s="209">
        <f t="shared" si="140"/>
      </c>
      <c r="P5" s="208">
        <f t="shared" si="230"/>
      </c>
      <c r="Q5" s="210" t="s">
        <v>114</v>
      </c>
      <c r="R5" s="211" t="s">
        <v>115</v>
      </c>
      <c r="S5" s="217">
        <v>51365</v>
      </c>
      <c r="T5" s="217">
        <v>1559</v>
      </c>
      <c r="U5" s="217">
        <v>233</v>
      </c>
      <c r="V5" s="217">
        <v>2761</v>
      </c>
      <c r="W5" s="217">
        <v>424</v>
      </c>
      <c r="X5" s="214">
        <v>19</v>
      </c>
      <c r="Y5" s="217">
        <v>53</v>
      </c>
    </row>
    <row r="6">
      <c r="A6" s="200"/>
      <c r="B6" s="201" t="s">
        <v>112</v>
      </c>
      <c r="C6" s="202" t="s">
        <v>118</v>
      </c>
      <c r="D6" s="202">
        <f t="shared" si="30"/>
      </c>
      <c r="E6" s="202">
        <v>530.31</v>
      </c>
      <c r="F6" s="202">
        <v>2621.24</v>
      </c>
      <c r="G6" s="203">
        <v>0</v>
      </c>
      <c r="H6" s="215">
        <v>6</v>
      </c>
      <c r="I6" s="202">
        <v>4022.779999999999</v>
      </c>
      <c r="J6" s="206">
        <f t="shared" si="0"/>
      </c>
      <c r="K6" s="206">
        <f t="shared" si="291"/>
      </c>
      <c r="L6" s="206">
        <f t="shared" si="261"/>
      </c>
      <c r="M6" s="207">
        <f t="shared" si="200"/>
      </c>
      <c r="N6" s="208">
        <f t="shared" si="170"/>
      </c>
      <c r="O6" s="209">
        <f t="shared" si="140"/>
      </c>
      <c r="P6" s="208">
        <f t="shared" si="230"/>
      </c>
      <c r="Q6" s="210" t="s">
        <v>114</v>
      </c>
      <c r="R6" s="211" t="s">
        <v>115</v>
      </c>
      <c r="S6" s="217">
        <v>56292</v>
      </c>
      <c r="T6" s="217">
        <v>1779</v>
      </c>
      <c r="U6" s="217">
        <v>192</v>
      </c>
      <c r="V6" s="217">
        <v>2816</v>
      </c>
      <c r="W6" s="217">
        <v>365</v>
      </c>
      <c r="X6" s="214">
        <v>11</v>
      </c>
      <c r="Y6" s="217">
        <v>42</v>
      </c>
    </row>
    <row r="7">
      <c r="A7" s="200"/>
      <c r="B7" s="219" t="s">
        <v>119</v>
      </c>
      <c r="C7" s="219"/>
      <c r="D7" s="220">
        <f>SUM(D3:D6)</f>
      </c>
      <c r="E7" s="220">
        <f>SUM(E3:E6)</f>
      </c>
      <c r="F7" s="220">
        <f>SUM(F3:G6)</f>
      </c>
      <c r="G7" s="220"/>
      <c r="H7" s="221">
        <f>SUM(H3:H6)</f>
      </c>
      <c r="I7" s="220">
        <f>SUM(I3:I6)</f>
      </c>
      <c r="J7" s="222">
        <f t="shared" si="0"/>
      </c>
      <c r="K7" s="223">
        <f t="shared" si="291"/>
      </c>
      <c r="L7" s="224">
        <f t="shared" si="261"/>
      </c>
      <c r="M7" s="225">
        <f t="shared" si="200"/>
      </c>
      <c r="N7" s="225">
        <f t="shared" si="170"/>
      </c>
      <c r="O7" s="226">
        <f t="shared" si="140"/>
      </c>
      <c r="P7" s="225">
        <f t="shared" si="230"/>
      </c>
      <c r="Q7" s="226"/>
      <c r="R7" s="226"/>
      <c r="S7" s="221">
        <f>SUM(S3:S6)</f>
      </c>
      <c r="T7" s="221">
        <f>SUM(T3:T6)</f>
      </c>
      <c r="U7" s="221">
        <f>SUM(U3:U6)</f>
      </c>
      <c r="V7" s="221">
        <f>SUM(V3:V6)</f>
      </c>
      <c r="W7" s="221">
        <f>SUM(W3:W6)</f>
      </c>
      <c r="X7" s="221">
        <f>SUM(X3:X6)</f>
      </c>
      <c r="Y7" s="221">
        <f>SUM(Y3:Y6)</f>
      </c>
    </row>
    <row r="8">
      <c r="A8" s="200"/>
      <c r="B8" s="227" t="s">
        <v>120</v>
      </c>
      <c r="C8" s="202" t="s">
        <v>121</v>
      </c>
      <c r="D8" s="202">
        <f t="shared" ref="D8:D11" si="31">E8+G8+F8</f>
      </c>
      <c r="E8" s="202">
        <v>549.68</v>
      </c>
      <c r="F8" s="202">
        <v>2595.99</v>
      </c>
      <c r="G8" s="203">
        <v>0</v>
      </c>
      <c r="H8" s="215">
        <v>11</v>
      </c>
      <c r="I8" s="202">
        <v>5303.620000000003</v>
      </c>
      <c r="J8" s="206">
        <f t="shared" si="0"/>
      </c>
      <c r="K8" s="206">
        <f t="shared" si="291"/>
      </c>
      <c r="L8" s="206">
        <f t="shared" si="261"/>
      </c>
      <c r="M8" s="207">
        <f t="shared" si="200"/>
      </c>
      <c r="N8" s="208">
        <f t="shared" si="170"/>
      </c>
      <c r="O8" s="209">
        <f t="shared" si="140"/>
      </c>
      <c r="P8" s="208">
        <f t="shared" si="230"/>
      </c>
      <c r="Q8" s="210" t="s">
        <v>114</v>
      </c>
      <c r="R8" s="211" t="s">
        <v>115</v>
      </c>
      <c r="S8" s="228">
        <v>64159</v>
      </c>
      <c r="T8" s="228">
        <v>2126</v>
      </c>
      <c r="U8" s="228">
        <v>178</v>
      </c>
      <c r="V8" s="228">
        <v>3185</v>
      </c>
      <c r="W8" s="228">
        <v>408</v>
      </c>
      <c r="X8" s="229">
        <v>22</v>
      </c>
      <c r="Y8" s="228">
        <v>56</v>
      </c>
    </row>
    <row r="9">
      <c r="A9" s="200"/>
      <c r="B9" s="227" t="s">
        <v>120</v>
      </c>
      <c r="C9" s="202" t="s">
        <v>122</v>
      </c>
      <c r="D9" s="202">
        <f t="shared" si="31"/>
      </c>
      <c r="E9" s="202">
        <v>301.72</v>
      </c>
      <c r="F9" s="202">
        <v>2406.11</v>
      </c>
      <c r="G9" s="203">
        <v>0</v>
      </c>
      <c r="H9" s="215">
        <v>4</v>
      </c>
      <c r="I9" s="202">
        <v>3273.5399999999972</v>
      </c>
      <c r="J9" s="206">
        <f t="shared" si="0"/>
      </c>
      <c r="K9" s="206">
        <f t="shared" si="291"/>
      </c>
      <c r="L9" s="206">
        <f t="shared" si="261"/>
      </c>
      <c r="M9" s="207">
        <f t="shared" si="200"/>
      </c>
      <c r="N9" s="208">
        <f t="shared" si="170"/>
      </c>
      <c r="O9" s="209">
        <f t="shared" si="140"/>
      </c>
      <c r="P9" s="208">
        <f t="shared" si="230"/>
      </c>
      <c r="Q9" s="210" t="s">
        <v>114</v>
      </c>
      <c r="R9" s="211" t="s">
        <v>115</v>
      </c>
      <c r="S9" s="228">
        <v>89934</v>
      </c>
      <c r="T9" s="228">
        <v>2168</v>
      </c>
      <c r="U9" s="228">
        <v>206</v>
      </c>
      <c r="V9" s="228">
        <v>2748</v>
      </c>
      <c r="W9" s="228">
        <v>298</v>
      </c>
      <c r="X9" s="229">
        <v>20</v>
      </c>
      <c r="Y9" s="228">
        <v>50</v>
      </c>
    </row>
    <row r="10">
      <c r="A10" s="200"/>
      <c r="B10" s="227" t="s">
        <v>120</v>
      </c>
      <c r="C10" s="202" t="s">
        <v>123</v>
      </c>
      <c r="D10" s="202">
        <f t="shared" si="31"/>
      </c>
      <c r="E10" s="202">
        <v>1581.96</v>
      </c>
      <c r="F10" s="202">
        <v>1006.41</v>
      </c>
      <c r="G10" s="203">
        <v>0</v>
      </c>
      <c r="H10" s="215">
        <v>9</v>
      </c>
      <c r="I10" s="202">
        <v>4244.300000000003</v>
      </c>
      <c r="J10" s="206">
        <f t="shared" si="0"/>
      </c>
      <c r="K10" s="206">
        <f t="shared" si="291"/>
      </c>
      <c r="L10" s="206">
        <f t="shared" si="261"/>
      </c>
      <c r="M10" s="207">
        <f t="shared" si="200"/>
      </c>
      <c r="N10" s="208">
        <f t="shared" si="170"/>
      </c>
      <c r="O10" s="209">
        <f t="shared" si="140"/>
      </c>
      <c r="P10" s="208">
        <f t="shared" si="230"/>
      </c>
      <c r="Q10" s="210" t="s">
        <v>114</v>
      </c>
      <c r="R10" s="211" t="s">
        <v>115</v>
      </c>
      <c r="S10" s="228">
        <v>46300</v>
      </c>
      <c r="T10" s="228">
        <v>2924</v>
      </c>
      <c r="U10" s="228">
        <v>192</v>
      </c>
      <c r="V10" s="228">
        <v>4894</v>
      </c>
      <c r="W10" s="228">
        <v>509</v>
      </c>
      <c r="X10" s="229">
        <v>19</v>
      </c>
      <c r="Y10" s="228">
        <v>44</v>
      </c>
    </row>
    <row r="11">
      <c r="A11" s="200"/>
      <c r="B11" s="227" t="s">
        <v>120</v>
      </c>
      <c r="C11" s="202" t="s">
        <v>124</v>
      </c>
      <c r="D11" s="202">
        <f t="shared" si="31"/>
      </c>
      <c r="E11" s="202">
        <v>1145.41</v>
      </c>
      <c r="F11" s="202">
        <v>1511.26</v>
      </c>
      <c r="G11" s="203">
        <v>0</v>
      </c>
      <c r="H11" s="215">
        <v>8</v>
      </c>
      <c r="I11" s="202">
        <v>2135.520000000004</v>
      </c>
      <c r="J11" s="206">
        <f t="shared" si="0"/>
      </c>
      <c r="K11" s="206">
        <f t="shared" si="291"/>
      </c>
      <c r="L11" s="206">
        <f t="shared" si="261"/>
      </c>
      <c r="M11" s="207">
        <f t="shared" si="200"/>
      </c>
      <c r="N11" s="208">
        <f t="shared" si="170"/>
      </c>
      <c r="O11" s="209">
        <f t="shared" si="140"/>
      </c>
      <c r="P11" s="208">
        <f t="shared" si="230"/>
      </c>
      <c r="Q11" s="210" t="s">
        <v>114</v>
      </c>
      <c r="R11" s="211" t="s">
        <v>115</v>
      </c>
      <c r="S11" s="228">
        <v>67133</v>
      </c>
      <c r="T11" s="228">
        <v>2666</v>
      </c>
      <c r="U11" s="228">
        <v>218</v>
      </c>
      <c r="V11" s="228">
        <v>4544</v>
      </c>
      <c r="W11" s="228">
        <v>556</v>
      </c>
      <c r="X11" s="229">
        <v>11</v>
      </c>
      <c r="Y11" s="228">
        <v>41</v>
      </c>
    </row>
    <row r="12">
      <c r="A12" s="200"/>
      <c r="B12" s="219" t="s">
        <v>119</v>
      </c>
      <c r="C12" s="219"/>
      <c r="D12" s="220">
        <f>SUM(D8:D11)</f>
      </c>
      <c r="E12" s="220">
        <f>SUM(E8:E11)</f>
      </c>
      <c r="F12" s="220">
        <f>SUM(F8:G11)</f>
      </c>
      <c r="G12" s="220"/>
      <c r="H12" s="221">
        <f>SUM(H8:H11)</f>
      </c>
      <c r="I12" s="220">
        <f>SUM(I8:I11)</f>
      </c>
      <c r="J12" s="222">
        <f t="shared" si="0"/>
      </c>
      <c r="K12" s="223">
        <f t="shared" si="291"/>
      </c>
      <c r="L12" s="224">
        <f t="shared" si="261"/>
      </c>
      <c r="M12" s="225">
        <f t="shared" si="200"/>
      </c>
      <c r="N12" s="225">
        <f t="shared" si="170"/>
      </c>
      <c r="O12" s="226">
        <f t="shared" si="140"/>
      </c>
      <c r="P12" s="225">
        <f t="shared" si="230"/>
      </c>
      <c r="Q12" s="226"/>
      <c r="R12" s="226"/>
      <c r="S12" s="221">
        <f>SUM(S8:S11)</f>
      </c>
      <c r="T12" s="221">
        <f>SUM(T8:T11)</f>
      </c>
      <c r="U12" s="221">
        <f>SUM(U8:U11)</f>
      </c>
      <c r="V12" s="221">
        <f>SUM(V8:V11)</f>
      </c>
      <c r="W12" s="221">
        <f>SUM(W8:W11)</f>
      </c>
      <c r="X12" s="221">
        <f>SUM(X8:X11)</f>
      </c>
      <c r="Y12" s="221">
        <f>SUM(Y8:Y11)</f>
      </c>
    </row>
    <row r="13">
      <c r="A13" s="200"/>
      <c r="B13" s="201" t="s">
        <v>125</v>
      </c>
      <c r="C13" s="202" t="s">
        <v>126</v>
      </c>
      <c r="D13" s="202">
        <f t="shared" ref="D13:D16" si="32">E13+G13+F13</f>
      </c>
      <c r="E13" s="203">
        <v>1525.93</v>
      </c>
      <c r="F13" s="203">
        <v>2047.47</v>
      </c>
      <c r="G13" s="203">
        <v>0</v>
      </c>
      <c r="H13" s="204">
        <v>12</v>
      </c>
      <c r="I13" s="203">
        <v>4641.74</v>
      </c>
      <c r="J13" s="206">
        <f t="shared" si="0"/>
      </c>
      <c r="K13" s="206">
        <f t="shared" si="291"/>
      </c>
      <c r="L13" s="206">
        <f t="shared" si="261"/>
      </c>
      <c r="M13" s="207">
        <f t="shared" si="200"/>
      </c>
      <c r="N13" s="208">
        <f t="shared" si="170"/>
      </c>
      <c r="O13" s="209">
        <f t="shared" si="140"/>
      </c>
      <c r="P13" s="208">
        <f t="shared" si="230"/>
      </c>
      <c r="Q13" s="210" t="s">
        <v>127</v>
      </c>
      <c r="R13" s="211" t="s">
        <v>115</v>
      </c>
      <c r="S13" s="230">
        <v>87645</v>
      </c>
      <c r="T13" s="230">
        <v>2851</v>
      </c>
      <c r="U13" s="230">
        <v>269</v>
      </c>
      <c r="V13" s="230">
        <v>5016</v>
      </c>
      <c r="W13" s="230">
        <v>628</v>
      </c>
      <c r="X13" s="229">
        <v>29</v>
      </c>
      <c r="Y13" s="229">
        <v>66</v>
      </c>
    </row>
    <row r="14">
      <c r="A14" s="200"/>
      <c r="B14" s="201" t="s">
        <v>125</v>
      </c>
      <c r="C14" s="202" t="s">
        <v>128</v>
      </c>
      <c r="D14" s="202">
        <f t="shared" si="32"/>
      </c>
      <c r="E14" s="203">
        <v>1388.03</v>
      </c>
      <c r="F14" s="203">
        <v>2553.08</v>
      </c>
      <c r="G14" s="203">
        <v>0</v>
      </c>
      <c r="H14" s="204">
        <v>13</v>
      </c>
      <c r="I14" s="203">
        <v>4408.34</v>
      </c>
      <c r="J14" s="206">
        <f t="shared" si="0"/>
      </c>
      <c r="K14" s="206">
        <f t="shared" si="291"/>
      </c>
      <c r="L14" s="206">
        <f t="shared" si="261"/>
      </c>
      <c r="M14" s="207">
        <f t="shared" si="200"/>
      </c>
      <c r="N14" s="208">
        <f t="shared" si="170"/>
      </c>
      <c r="O14" s="209">
        <f t="shared" si="140"/>
      </c>
      <c r="P14" s="208">
        <f t="shared" si="230"/>
      </c>
      <c r="Q14" s="210" t="s">
        <v>127</v>
      </c>
      <c r="R14" s="231" t="s">
        <v>129</v>
      </c>
      <c r="S14" s="229">
        <v>109964</v>
      </c>
      <c r="T14" s="229">
        <v>3454</v>
      </c>
      <c r="U14" s="229">
        <v>275</v>
      </c>
      <c r="V14" s="229">
        <v>5249</v>
      </c>
      <c r="W14" s="229">
        <v>562</v>
      </c>
      <c r="X14" s="229">
        <v>25</v>
      </c>
      <c r="Y14" s="229">
        <v>59</v>
      </c>
    </row>
    <row r="15">
      <c r="A15" s="200"/>
      <c r="B15" s="201" t="s">
        <v>125</v>
      </c>
      <c r="C15" s="202" t="s">
        <v>130</v>
      </c>
      <c r="D15" s="202">
        <f t="shared" si="32"/>
      </c>
      <c r="E15" s="203">
        <v>932.87</v>
      </c>
      <c r="F15" s="203">
        <v>1497.25</v>
      </c>
      <c r="G15" s="203">
        <v>0</v>
      </c>
      <c r="H15" s="204">
        <v>8</v>
      </c>
      <c r="I15" s="203">
        <v>4457.52</v>
      </c>
      <c r="J15" s="206">
        <f t="shared" si="0"/>
      </c>
      <c r="K15" s="206">
        <f t="shared" si="291"/>
      </c>
      <c r="L15" s="206">
        <f t="shared" si="261"/>
      </c>
      <c r="M15" s="207">
        <f t="shared" si="200"/>
      </c>
      <c r="N15" s="208">
        <f t="shared" si="170"/>
      </c>
      <c r="O15" s="209">
        <f t="shared" si="140"/>
      </c>
      <c r="P15" s="208">
        <f t="shared" si="230"/>
      </c>
      <c r="Q15" s="210" t="s">
        <v>127</v>
      </c>
      <c r="R15" s="232" t="s">
        <v>129</v>
      </c>
      <c r="S15" s="229">
        <v>64295</v>
      </c>
      <c r="T15" s="229">
        <v>2267</v>
      </c>
      <c r="U15" s="229">
        <v>192</v>
      </c>
      <c r="V15" s="229">
        <v>3573</v>
      </c>
      <c r="W15" s="229">
        <v>447</v>
      </c>
      <c r="X15" s="229">
        <v>17</v>
      </c>
      <c r="Y15" s="229">
        <v>47</v>
      </c>
    </row>
    <row r="16">
      <c r="A16" s="200"/>
      <c r="B16" s="201" t="s">
        <v>125</v>
      </c>
      <c r="C16" s="202" t="s">
        <v>131</v>
      </c>
      <c r="D16" s="202">
        <f t="shared" si="32"/>
      </c>
      <c r="E16" s="203">
        <v>755.57</v>
      </c>
      <c r="F16" s="203">
        <v>1084.13</v>
      </c>
      <c r="G16" s="203">
        <v>0</v>
      </c>
      <c r="H16" s="204">
        <v>4</v>
      </c>
      <c r="I16" s="203">
        <v>2610.24</v>
      </c>
      <c r="J16" s="206">
        <f t="shared" si="0"/>
      </c>
      <c r="K16" s="206">
        <f t="shared" si="291"/>
      </c>
      <c r="L16" s="206">
        <f t="shared" si="261"/>
      </c>
      <c r="M16" s="207">
        <f t="shared" si="200"/>
      </c>
      <c r="N16" s="208">
        <f t="shared" si="170"/>
      </c>
      <c r="O16" s="209">
        <f t="shared" si="140"/>
      </c>
      <c r="P16" s="208">
        <f t="shared" si="230"/>
      </c>
      <c r="Q16" s="210" t="s">
        <v>127</v>
      </c>
      <c r="R16" s="232" t="s">
        <v>129</v>
      </c>
      <c r="S16" s="229">
        <v>48920</v>
      </c>
      <c r="T16" s="229">
        <v>2174</v>
      </c>
      <c r="U16" s="229">
        <v>128</v>
      </c>
      <c r="V16" s="229">
        <v>3460</v>
      </c>
      <c r="W16" s="229">
        <v>359</v>
      </c>
      <c r="X16" s="229">
        <v>10</v>
      </c>
      <c r="Y16" s="229">
        <v>27</v>
      </c>
    </row>
    <row r="17">
      <c r="A17" s="200"/>
      <c r="B17" s="219" t="s">
        <v>119</v>
      </c>
      <c r="C17" s="219"/>
      <c r="D17" s="220">
        <f>SUM(D13:D16)</f>
      </c>
      <c r="E17" s="220">
        <f>SUM(E13:E16)</f>
      </c>
      <c r="F17" s="220">
        <f>SUM(F13:G16)</f>
      </c>
      <c r="G17" s="220"/>
      <c r="H17" s="221">
        <f>SUM(H13:H16)</f>
      </c>
      <c r="I17" s="220">
        <f>SUM(I13:I16)</f>
      </c>
      <c r="J17" s="222">
        <f t="shared" si="0"/>
      </c>
      <c r="K17" s="223">
        <f t="shared" si="291"/>
      </c>
      <c r="L17" s="224">
        <f t="shared" si="261"/>
      </c>
      <c r="M17" s="225">
        <f t="shared" si="200"/>
      </c>
      <c r="N17" s="225">
        <f t="shared" si="170"/>
      </c>
      <c r="O17" s="226">
        <f t="shared" si="140"/>
      </c>
      <c r="P17" s="225">
        <f t="shared" si="230"/>
      </c>
      <c r="Q17" s="226"/>
      <c r="R17" s="226"/>
      <c r="S17" s="221">
        <f>SUM(S13:S16)</f>
      </c>
      <c r="T17" s="221">
        <f>SUM(T13:T16)</f>
      </c>
      <c r="U17" s="221">
        <f>SUM(U13:U16)</f>
      </c>
      <c r="V17" s="221">
        <f>SUM(V13:V16)</f>
      </c>
      <c r="W17" s="221">
        <f>SUM(W13:W16)</f>
      </c>
      <c r="X17" s="221">
        <f>SUM(X13:X16)</f>
      </c>
      <c r="Y17" s="221">
        <f>SUM(Y13:Y16)</f>
      </c>
    </row>
    <row r="18">
      <c r="A18" s="200"/>
      <c r="B18" s="201" t="s">
        <v>132</v>
      </c>
      <c r="C18" s="202" t="s">
        <v>133</v>
      </c>
      <c r="D18" s="202">
        <f t="shared" ref="D18:D22" si="33">E18+G18+F18</f>
      </c>
      <c r="E18" s="203">
        <v>852.49</v>
      </c>
      <c r="F18" s="203">
        <v>1110.2</v>
      </c>
      <c r="G18" s="203">
        <v>0</v>
      </c>
      <c r="H18" s="204">
        <v>8</v>
      </c>
      <c r="I18" s="203">
        <v>5379.6</v>
      </c>
      <c r="J18" s="206">
        <f t="shared" si="0"/>
      </c>
      <c r="K18" s="206">
        <f t="shared" si="291"/>
      </c>
      <c r="L18" s="206">
        <f t="shared" si="261"/>
      </c>
      <c r="M18" s="207">
        <f t="shared" si="200"/>
      </c>
      <c r="N18" s="208">
        <f t="shared" si="170"/>
      </c>
      <c r="O18" s="209">
        <f t="shared" si="140"/>
      </c>
      <c r="P18" s="208">
        <f t="shared" si="230"/>
      </c>
      <c r="Q18" s="210" t="s">
        <v>127</v>
      </c>
      <c r="R18" s="232" t="s">
        <v>129</v>
      </c>
      <c r="S18" s="229">
        <v>47932</v>
      </c>
      <c r="T18" s="229">
        <v>2333</v>
      </c>
      <c r="U18" s="229">
        <v>154</v>
      </c>
      <c r="V18" s="229">
        <v>3643</v>
      </c>
      <c r="W18" s="229">
        <v>358</v>
      </c>
      <c r="X18" s="229">
        <v>15</v>
      </c>
      <c r="Y18" s="229">
        <v>35</v>
      </c>
    </row>
    <row r="19">
      <c r="A19" s="200"/>
      <c r="B19" s="201" t="s">
        <v>132</v>
      </c>
      <c r="C19" s="202" t="s">
        <v>134</v>
      </c>
      <c r="D19" s="202">
        <f t="shared" si="33"/>
      </c>
      <c r="E19" s="203">
        <v>1215.42</v>
      </c>
      <c r="F19" s="203">
        <v>1566.26</v>
      </c>
      <c r="G19" s="203">
        <v>0</v>
      </c>
      <c r="H19" s="204">
        <v>11</v>
      </c>
      <c r="I19" s="203">
        <v>6924.54</v>
      </c>
      <c r="J19" s="206">
        <f t="shared" si="0"/>
      </c>
      <c r="K19" s="206">
        <f t="shared" si="291"/>
      </c>
      <c r="L19" s="206">
        <f t="shared" si="261"/>
      </c>
      <c r="M19" s="207">
        <f t="shared" si="200"/>
      </c>
      <c r="N19" s="208">
        <f t="shared" si="170"/>
      </c>
      <c r="O19" s="209">
        <f t="shared" si="140"/>
      </c>
      <c r="P19" s="208">
        <f t="shared" si="230"/>
      </c>
      <c r="Q19" s="210" t="s">
        <v>127</v>
      </c>
      <c r="R19" s="232" t="s">
        <v>129</v>
      </c>
      <c r="S19" s="233">
        <v>60669</v>
      </c>
      <c r="T19" s="233">
        <v>2565</v>
      </c>
      <c r="U19" s="233">
        <v>194</v>
      </c>
      <c r="V19" s="233">
        <v>3849</v>
      </c>
      <c r="W19" s="233">
        <v>293</v>
      </c>
      <c r="X19" s="229">
        <v>30</v>
      </c>
      <c r="Y19" s="229">
        <v>34</v>
      </c>
    </row>
    <row r="20">
      <c r="A20" s="200"/>
      <c r="B20" s="201" t="s">
        <v>132</v>
      </c>
      <c r="C20" s="202" t="s">
        <v>135</v>
      </c>
      <c r="D20" s="202">
        <f t="shared" si="33"/>
      </c>
      <c r="E20" s="203">
        <v>2088.36</v>
      </c>
      <c r="F20" s="203">
        <v>4958.53</v>
      </c>
      <c r="G20" s="203">
        <v>0</v>
      </c>
      <c r="H20" s="204">
        <v>25</v>
      </c>
      <c r="I20" s="203">
        <v>9906.6</v>
      </c>
      <c r="J20" s="206">
        <f t="shared" si="0"/>
      </c>
      <c r="K20" s="206">
        <f t="shared" si="291"/>
      </c>
      <c r="L20" s="206">
        <f t="shared" si="261"/>
      </c>
      <c r="M20" s="207">
        <f t="shared" si="200"/>
      </c>
      <c r="N20" s="208">
        <f t="shared" si="170"/>
      </c>
      <c r="O20" s="209">
        <f t="shared" si="140"/>
      </c>
      <c r="P20" s="208">
        <f t="shared" si="230"/>
      </c>
      <c r="Q20" s="210" t="s">
        <v>127</v>
      </c>
      <c r="R20" s="232" t="s">
        <v>129</v>
      </c>
      <c r="S20" s="233">
        <v>194468</v>
      </c>
      <c r="T20" s="233">
        <v>4952</v>
      </c>
      <c r="U20" s="233">
        <v>536</v>
      </c>
      <c r="V20" s="233">
        <v>7568</v>
      </c>
      <c r="W20" s="233">
        <v>785</v>
      </c>
      <c r="X20" s="234">
        <v>56</v>
      </c>
      <c r="Y20" s="229">
        <v>82</v>
      </c>
    </row>
    <row r="21">
      <c r="A21" s="200"/>
      <c r="B21" s="201" t="s">
        <v>132</v>
      </c>
      <c r="C21" s="202" t="s">
        <v>136</v>
      </c>
      <c r="D21" s="202">
        <f t="shared" si="33"/>
      </c>
      <c r="E21" s="203">
        <v>2908.86</v>
      </c>
      <c r="F21" s="203">
        <v>8166</v>
      </c>
      <c r="G21" s="203">
        <v>0</v>
      </c>
      <c r="H21" s="204">
        <v>32</v>
      </c>
      <c r="I21" s="203">
        <v>17712.52</v>
      </c>
      <c r="J21" s="206">
        <f t="shared" si="0"/>
      </c>
      <c r="K21" s="206">
        <f t="shared" si="291"/>
      </c>
      <c r="L21" s="206">
        <f t="shared" si="261"/>
      </c>
      <c r="M21" s="207">
        <f t="shared" si="200"/>
      </c>
      <c r="N21" s="208">
        <f t="shared" si="170"/>
      </c>
      <c r="O21" s="209">
        <f t="shared" si="140"/>
      </c>
      <c r="P21" s="208">
        <f t="shared" si="230"/>
      </c>
      <c r="Q21" s="210" t="s">
        <v>127</v>
      </c>
      <c r="R21" s="232" t="s">
        <v>129</v>
      </c>
      <c r="S21" s="233">
        <v>316389</v>
      </c>
      <c r="T21" s="233">
        <v>7491</v>
      </c>
      <c r="U21" s="233">
        <v>691</v>
      </c>
      <c r="V21" s="233">
        <v>11487</v>
      </c>
      <c r="W21" s="233">
        <v>1174</v>
      </c>
      <c r="X21" s="229">
        <v>51</v>
      </c>
      <c r="Y21" s="229">
        <v>122</v>
      </c>
    </row>
    <row r="22">
      <c r="A22" s="200"/>
      <c r="B22" s="201" t="s">
        <v>132</v>
      </c>
      <c r="C22" s="202" t="s">
        <v>137</v>
      </c>
      <c r="D22" s="202">
        <f t="shared" si="33"/>
      </c>
      <c r="E22" s="203">
        <f>1167.44+2.09</f>
      </c>
      <c r="F22" s="203">
        <v>5731.38</v>
      </c>
      <c r="G22" s="203">
        <v>0</v>
      </c>
      <c r="H22" s="204">
        <v>37</v>
      </c>
      <c r="I22" s="203">
        <v>25197.09</v>
      </c>
      <c r="J22" s="206">
        <f t="shared" si="0"/>
      </c>
      <c r="K22" s="206">
        <f t="shared" si="291"/>
      </c>
      <c r="L22" s="206">
        <f t="shared" si="261"/>
      </c>
      <c r="M22" s="207">
        <f t="shared" si="200"/>
      </c>
      <c r="N22" s="208">
        <f t="shared" si="170"/>
      </c>
      <c r="O22" s="209">
        <f t="shared" si="140"/>
      </c>
      <c r="P22" s="208">
        <f t="shared" si="230"/>
      </c>
      <c r="Q22" s="210" t="s">
        <v>127</v>
      </c>
      <c r="R22" s="232" t="s">
        <v>129</v>
      </c>
      <c r="S22" s="233">
        <v>233178</v>
      </c>
      <c r="T22" s="233">
        <v>4848</v>
      </c>
      <c r="U22" s="233">
        <v>550</v>
      </c>
      <c r="V22" s="233">
        <v>6435</v>
      </c>
      <c r="W22" s="233">
        <v>673</v>
      </c>
      <c r="X22" s="229">
        <v>73</v>
      </c>
      <c r="Y22" s="229">
        <v>95</v>
      </c>
    </row>
    <row r="23">
      <c r="A23" s="200"/>
      <c r="B23" s="219" t="s">
        <v>119</v>
      </c>
      <c r="C23" s="219"/>
      <c r="D23" s="220">
        <f>SUM(D18:D22)</f>
      </c>
      <c r="E23" s="220">
        <f>SUM(E18:E22)</f>
      </c>
      <c r="F23" s="220">
        <f>SUM(F18:G22)</f>
      </c>
      <c r="G23" s="220"/>
      <c r="H23" s="220">
        <f>SUM(H18:H22)</f>
      </c>
      <c r="I23" s="220">
        <f>SUM(I18:I22)</f>
      </c>
      <c r="J23" s="222">
        <f t="shared" si="0"/>
      </c>
      <c r="K23" s="223">
        <f t="shared" si="291"/>
      </c>
      <c r="L23" s="224">
        <f t="shared" si="261"/>
      </c>
      <c r="M23" s="225">
        <f t="shared" si="200"/>
      </c>
      <c r="N23" s="225">
        <f t="shared" si="170"/>
      </c>
      <c r="O23" s="226">
        <f t="shared" si="140"/>
      </c>
      <c r="P23" s="225">
        <f t="shared" si="230"/>
      </c>
      <c r="Q23" s="226"/>
      <c r="R23" s="235"/>
      <c r="S23" s="220">
        <f>SUM(S18:S22)</f>
      </c>
      <c r="T23" s="220">
        <f>SUM(T18:T22)</f>
      </c>
      <c r="U23" s="220">
        <f>SUM(U18:U22)</f>
      </c>
      <c r="V23" s="220">
        <f>SUM(V18:V22)</f>
      </c>
      <c r="W23" s="220">
        <f>SUM(W18:W22)</f>
      </c>
      <c r="X23" s="220">
        <f>SUM(X18:X22)</f>
      </c>
      <c r="Y23" s="220">
        <f>SUM(Y18:Y22)</f>
      </c>
    </row>
    <row r="24">
      <c r="A24" s="200"/>
      <c r="B24" s="236" t="s">
        <v>138</v>
      </c>
      <c r="C24" s="236"/>
      <c r="D24" s="237">
        <f>D23+D17+D12+D7</f>
      </c>
      <c r="E24" s="237">
        <f>E23+E17+E12+E7</f>
      </c>
      <c r="F24" s="237">
        <f>F23+F17+F12+F7</f>
      </c>
      <c r="G24" s="237"/>
      <c r="H24" s="238">
        <f>H23+H17+H12+H7</f>
      </c>
      <c r="I24" s="237">
        <f>I23+I17+I12+I7</f>
      </c>
      <c r="J24" s="239">
        <f t="shared" si="0"/>
      </c>
      <c r="K24" s="239">
        <f t="shared" si="291"/>
      </c>
      <c r="L24" s="239">
        <f t="shared" si="261"/>
      </c>
      <c r="M24" s="240">
        <f t="shared" si="200"/>
      </c>
      <c r="N24" s="240">
        <f t="shared" si="170"/>
      </c>
      <c r="O24" s="239">
        <f t="shared" si="140"/>
      </c>
      <c r="P24" s="240">
        <f t="shared" si="230"/>
      </c>
      <c r="Q24" s="241"/>
      <c r="R24" s="242"/>
      <c r="S24" s="243">
        <f>S23+S17+S12+S7</f>
      </c>
      <c r="T24" s="243">
        <f>T23+T17+T12+T7</f>
      </c>
      <c r="U24" s="243">
        <f>U23+U17+U12+U7</f>
      </c>
      <c r="V24" s="243">
        <f>V23+V17+V12+V7</f>
      </c>
      <c r="W24" s="243">
        <f>W23+W17+W12+W7</f>
      </c>
      <c r="X24" s="244">
        <f>X23+X17+X12+X7</f>
      </c>
      <c r="Y24" s="238">
        <f>Y23+Y17+Y12+Y7</f>
      </c>
    </row>
    <row r="25">
      <c r="A25" s="188" t="s">
        <v>83</v>
      </c>
      <c r="B25" s="188"/>
      <c r="C25" s="188"/>
      <c r="D25" s="189" t="s">
        <v>84</v>
      </c>
      <c r="E25" s="189"/>
      <c r="F25" s="189"/>
      <c r="G25" s="189"/>
      <c r="H25" s="189"/>
      <c r="I25" s="189"/>
      <c r="J25" s="189"/>
      <c r="K25" s="189"/>
      <c r="L25" s="189"/>
      <c r="M25" s="190" t="s">
        <v>85</v>
      </c>
      <c r="N25" s="190"/>
      <c r="O25" s="190"/>
      <c r="P25" s="190"/>
      <c r="Q25" s="190"/>
      <c r="R25" s="190"/>
      <c r="S25" s="191" t="s">
        <v>86</v>
      </c>
      <c r="T25" s="191"/>
      <c r="U25" s="191"/>
      <c r="V25" s="191"/>
      <c r="W25" s="191"/>
      <c r="X25" s="191"/>
      <c r="Y25" s="191"/>
    </row>
    <row r="26">
      <c r="A26" s="192" t="s">
        <v>87</v>
      </c>
      <c r="B26" s="188" t="s">
        <v>88</v>
      </c>
      <c r="C26" s="188" t="s">
        <v>89</v>
      </c>
      <c r="D26" s="193" t="s">
        <v>90</v>
      </c>
      <c r="E26" s="193" t="s">
        <v>91</v>
      </c>
      <c r="F26" s="189" t="s">
        <v>92</v>
      </c>
      <c r="G26" s="189"/>
      <c r="H26" s="194" t="s">
        <v>93</v>
      </c>
      <c r="I26" s="189" t="s">
        <v>94</v>
      </c>
      <c r="J26" s="195" t="s">
        <v>95</v>
      </c>
      <c r="K26" s="196" t="s">
        <v>96</v>
      </c>
      <c r="L26" s="189" t="s">
        <v>97</v>
      </c>
      <c r="M26" s="190" t="s">
        <v>98</v>
      </c>
      <c r="N26" s="190" t="s">
        <v>99</v>
      </c>
      <c r="O26" s="190" t="s">
        <v>100</v>
      </c>
      <c r="P26" s="190" t="s">
        <v>101</v>
      </c>
      <c r="Q26" s="197" t="s">
        <v>102</v>
      </c>
      <c r="R26" s="197" t="s">
        <v>103</v>
      </c>
      <c r="S26" s="198" t="s">
        <v>104</v>
      </c>
      <c r="T26" s="198" t="s">
        <v>105</v>
      </c>
      <c r="U26" s="199" t="s">
        <v>106</v>
      </c>
      <c r="V26" s="199" t="s">
        <v>107</v>
      </c>
      <c r="W26" s="199" t="s">
        <v>108</v>
      </c>
      <c r="X26" s="199" t="s">
        <v>109</v>
      </c>
      <c r="Y26" s="199" t="s">
        <v>110</v>
      </c>
    </row>
    <row r="27">
      <c r="A27" s="200" t="s">
        <v>139</v>
      </c>
      <c r="B27" s="227" t="s">
        <v>120</v>
      </c>
      <c r="C27" s="202" t="s">
        <v>113</v>
      </c>
      <c r="D27" s="202">
        <f t="shared" ref="D27:D30" si="34">E27+G27+F27</f>
      </c>
      <c r="E27" s="202">
        <v>749.02</v>
      </c>
      <c r="F27" s="202">
        <v>2686.21</v>
      </c>
      <c r="G27" s="203">
        <v>0</v>
      </c>
      <c r="H27" s="204">
        <v>16</v>
      </c>
      <c r="I27" s="202">
        <v>7541.88</v>
      </c>
      <c r="J27" s="205">
        <f t="shared" ref="J27:J47" si="1">I27/D27</f>
      </c>
      <c r="K27" s="205">
        <f t="shared" ref="K27:K47" si="292">D27/H27</f>
      </c>
      <c r="L27" s="206">
        <f t="shared" ref="L27:L47" si="262">I27/H27</f>
      </c>
      <c r="M27" s="207">
        <f t="shared" ref="M27:M47" si="201">T27/S27</f>
      </c>
      <c r="N27" s="208">
        <f t="shared" ref="N27:N47" si="171">H27/X27</f>
      </c>
      <c r="O27" s="209">
        <f t="shared" ref="O27:O47" si="141">(Y27*1000)/D27</f>
      </c>
      <c r="P27" s="208">
        <f t="shared" ref="P27:P47" si="231">W27/V27</f>
      </c>
      <c r="Q27" s="210" t="s">
        <v>127</v>
      </c>
      <c r="R27" s="211" t="s">
        <v>115</v>
      </c>
      <c r="S27" s="212">
        <v>97084</v>
      </c>
      <c r="T27" s="212">
        <v>3038</v>
      </c>
      <c r="U27" s="213">
        <v>247</v>
      </c>
      <c r="V27" s="212">
        <v>4519</v>
      </c>
      <c r="W27" s="212">
        <v>559</v>
      </c>
      <c r="X27" s="214">
        <v>34</v>
      </c>
      <c r="Y27" s="214">
        <v>70</v>
      </c>
    </row>
    <row r="28">
      <c r="A28" s="200"/>
      <c r="B28" s="227" t="s">
        <v>120</v>
      </c>
      <c r="C28" s="202" t="s">
        <v>116</v>
      </c>
      <c r="D28" s="202">
        <f t="shared" si="34"/>
      </c>
      <c r="E28" s="202">
        <v>253.5</v>
      </c>
      <c r="F28" s="202">
        <v>4813.44</v>
      </c>
      <c r="G28" s="203">
        <v>0</v>
      </c>
      <c r="H28" s="215">
        <v>19</v>
      </c>
      <c r="I28" s="202">
        <v>9659.739999999998</v>
      </c>
      <c r="J28" s="206">
        <f t="shared" si="1"/>
      </c>
      <c r="K28" s="206">
        <f t="shared" si="292"/>
      </c>
      <c r="L28" s="205">
        <f t="shared" si="262"/>
      </c>
      <c r="M28" s="207">
        <f t="shared" si="201"/>
      </c>
      <c r="N28" s="208">
        <f t="shared" si="171"/>
      </c>
      <c r="O28" s="209">
        <f t="shared" si="141"/>
      </c>
      <c r="P28" s="208">
        <f t="shared" si="231"/>
      </c>
      <c r="Q28" s="210" t="s">
        <v>127</v>
      </c>
      <c r="R28" s="211" t="s">
        <v>115</v>
      </c>
      <c r="S28" s="216">
        <v>208060</v>
      </c>
      <c r="T28" s="216">
        <v>2116</v>
      </c>
      <c r="U28" s="212">
        <v>299</v>
      </c>
      <c r="V28" s="212">
        <v>2917</v>
      </c>
      <c r="W28" s="212">
        <v>450</v>
      </c>
      <c r="X28" s="214">
        <v>37</v>
      </c>
      <c r="Y28" s="217">
        <v>41</v>
      </c>
    </row>
    <row r="29">
      <c r="A29" s="200"/>
      <c r="B29" s="227" t="s">
        <v>120</v>
      </c>
      <c r="C29" s="202" t="s">
        <v>117</v>
      </c>
      <c r="D29" s="202">
        <f t="shared" si="34"/>
      </c>
      <c r="E29" s="218">
        <v>276.07</v>
      </c>
      <c r="F29" s="202">
        <v>4386.73</v>
      </c>
      <c r="G29" s="203">
        <v>0</v>
      </c>
      <c r="H29" s="215">
        <v>12</v>
      </c>
      <c r="I29" s="202">
        <v>5068.77</v>
      </c>
      <c r="J29" s="206">
        <f t="shared" si="1"/>
      </c>
      <c r="K29" s="206">
        <f t="shared" si="292"/>
      </c>
      <c r="L29" s="206">
        <f t="shared" si="262"/>
      </c>
      <c r="M29" s="207">
        <f t="shared" si="201"/>
      </c>
      <c r="N29" s="208">
        <f t="shared" si="171"/>
      </c>
      <c r="O29" s="209">
        <f t="shared" si="141"/>
      </c>
      <c r="P29" s="208">
        <f t="shared" si="231"/>
      </c>
      <c r="Q29" s="210" t="s">
        <v>127</v>
      </c>
      <c r="R29" s="211" t="s">
        <v>115</v>
      </c>
      <c r="S29" s="217">
        <v>147908</v>
      </c>
      <c r="T29" s="217">
        <v>1474</v>
      </c>
      <c r="U29" s="217">
        <v>242</v>
      </c>
      <c r="V29" s="217">
        <v>2024</v>
      </c>
      <c r="W29" s="217">
        <v>338</v>
      </c>
      <c r="X29" s="214">
        <v>29</v>
      </c>
      <c r="Y29" s="217">
        <v>45</v>
      </c>
    </row>
    <row r="30">
      <c r="A30" s="200"/>
      <c r="B30" s="227" t="s">
        <v>120</v>
      </c>
      <c r="C30" s="202" t="s">
        <v>118</v>
      </c>
      <c r="D30" s="202">
        <f t="shared" si="34"/>
      </c>
      <c r="E30" s="202">
        <v>287.17</v>
      </c>
      <c r="F30" s="202">
        <v>4139.2</v>
      </c>
      <c r="G30" s="203">
        <v>0</v>
      </c>
      <c r="H30" s="215">
        <v>7</v>
      </c>
      <c r="I30" s="202">
        <v>3317.040000000001</v>
      </c>
      <c r="J30" s="206">
        <f t="shared" si="1"/>
      </c>
      <c r="K30" s="206">
        <f t="shared" si="292"/>
      </c>
      <c r="L30" s="206">
        <f t="shared" si="262"/>
      </c>
      <c r="M30" s="207">
        <f t="shared" si="201"/>
      </c>
      <c r="N30" s="208">
        <f t="shared" si="171"/>
      </c>
      <c r="O30" s="209">
        <f t="shared" si="141"/>
      </c>
      <c r="P30" s="208">
        <f t="shared" si="231"/>
      </c>
      <c r="Q30" s="210" t="s">
        <v>127</v>
      </c>
      <c r="R30" s="211" t="s">
        <v>115</v>
      </c>
      <c r="S30" s="217">
        <v>139517</v>
      </c>
      <c r="T30" s="217">
        <v>1532</v>
      </c>
      <c r="U30" s="217">
        <v>255</v>
      </c>
      <c r="V30" s="217">
        <v>2123</v>
      </c>
      <c r="W30" s="217">
        <v>292</v>
      </c>
      <c r="X30" s="214">
        <v>25</v>
      </c>
      <c r="Y30" s="217">
        <v>47</v>
      </c>
    </row>
    <row r="31">
      <c r="A31" s="200"/>
      <c r="B31" s="219" t="s">
        <v>119</v>
      </c>
      <c r="C31" s="219"/>
      <c r="D31" s="220">
        <f>SUM(D27:D30)</f>
      </c>
      <c r="E31" s="220">
        <f>SUM(E27:E30)</f>
      </c>
      <c r="F31" s="220">
        <f>SUM(F27:G30)</f>
      </c>
      <c r="G31" s="220"/>
      <c r="H31" s="221">
        <f>SUM(H27:H30)</f>
      </c>
      <c r="I31" s="220">
        <f>SUM(I27:I30)</f>
      </c>
      <c r="J31" s="222">
        <f t="shared" si="1"/>
      </c>
      <c r="K31" s="223">
        <f t="shared" si="292"/>
      </c>
      <c r="L31" s="224">
        <f t="shared" si="262"/>
      </c>
      <c r="M31" s="225">
        <f t="shared" si="201"/>
      </c>
      <c r="N31" s="225">
        <f t="shared" si="171"/>
      </c>
      <c r="O31" s="226">
        <f t="shared" si="141"/>
      </c>
      <c r="P31" s="225">
        <f t="shared" si="231"/>
      </c>
      <c r="Q31" s="226"/>
      <c r="R31" s="226"/>
      <c r="S31" s="221">
        <f>SUM(S27:S30)</f>
      </c>
      <c r="T31" s="221">
        <f>SUM(T27:T30)</f>
      </c>
      <c r="U31" s="221">
        <f>SUM(U27:U30)</f>
      </c>
      <c r="V31" s="221">
        <f>SUM(V27:V30)</f>
      </c>
      <c r="W31" s="221">
        <f>SUM(W27:W30)</f>
      </c>
      <c r="X31" s="221">
        <f>SUM(X27:X30)</f>
      </c>
      <c r="Y31" s="221">
        <f>SUM(Y27:Y30)</f>
      </c>
    </row>
    <row r="32">
      <c r="A32" s="200"/>
      <c r="B32" s="201" t="s">
        <v>112</v>
      </c>
      <c r="C32" s="202" t="s">
        <v>121</v>
      </c>
      <c r="D32" s="202">
        <f t="shared" ref="D32:D35" si="35">E32+G32+F32</f>
      </c>
      <c r="E32" s="202">
        <v>67.44</v>
      </c>
      <c r="F32" s="202">
        <v>2241.38</v>
      </c>
      <c r="G32" s="203">
        <v>0</v>
      </c>
      <c r="H32" s="215">
        <v>7</v>
      </c>
      <c r="I32" s="202">
        <v>2386.739999999998</v>
      </c>
      <c r="J32" s="206">
        <f t="shared" si="1"/>
      </c>
      <c r="K32" s="206">
        <f t="shared" si="292"/>
      </c>
      <c r="L32" s="206">
        <f t="shared" si="262"/>
      </c>
      <c r="M32" s="207">
        <f t="shared" si="201"/>
      </c>
      <c r="N32" s="208">
        <f t="shared" si="171"/>
      </c>
      <c r="O32" s="209">
        <f t="shared" si="141"/>
      </c>
      <c r="P32" s="208">
        <f t="shared" si="231"/>
      </c>
      <c r="Q32" s="210" t="s">
        <v>127</v>
      </c>
      <c r="R32" s="211" t="s">
        <v>115</v>
      </c>
      <c r="S32" s="228">
        <v>62431</v>
      </c>
      <c r="T32" s="228">
        <v>1120</v>
      </c>
      <c r="U32" s="228">
        <v>154</v>
      </c>
      <c r="V32" s="228">
        <v>1307</v>
      </c>
      <c r="W32" s="228">
        <v>136</v>
      </c>
      <c r="X32" s="229">
        <v>12</v>
      </c>
      <c r="Y32" s="228">
        <v>28</v>
      </c>
    </row>
    <row r="33">
      <c r="A33" s="200"/>
      <c r="B33" s="201" t="s">
        <v>112</v>
      </c>
      <c r="C33" s="202" t="s">
        <v>122</v>
      </c>
      <c r="D33" s="202">
        <f t="shared" si="35"/>
      </c>
      <c r="E33" s="203">
        <v>0</v>
      </c>
      <c r="F33" s="202">
        <v>4232.52</v>
      </c>
      <c r="G33" s="203">
        <v>0</v>
      </c>
      <c r="H33" s="215">
        <v>10</v>
      </c>
      <c r="I33" s="202">
        <v>3027.0200000000004</v>
      </c>
      <c r="J33" s="206">
        <f t="shared" si="1"/>
      </c>
      <c r="K33" s="206">
        <f t="shared" si="292"/>
      </c>
      <c r="L33" s="206">
        <f t="shared" si="262"/>
      </c>
      <c r="M33" s="207">
        <f t="shared" si="201"/>
      </c>
      <c r="N33" s="208">
        <f t="shared" si="171"/>
      </c>
      <c r="O33" s="209">
        <f t="shared" si="141"/>
      </c>
      <c r="P33" s="208">
        <f t="shared" si="231"/>
      </c>
      <c r="Q33" s="210" t="s">
        <v>127</v>
      </c>
      <c r="R33" s="211" t="s">
        <v>115</v>
      </c>
      <c r="S33" s="228">
        <v>128500</v>
      </c>
      <c r="T33" s="228">
        <v>1966</v>
      </c>
      <c r="U33" s="228">
        <v>346</v>
      </c>
      <c r="V33" s="228">
        <v>2062</v>
      </c>
      <c r="W33" s="228">
        <v>256</v>
      </c>
      <c r="X33" s="229">
        <v>23</v>
      </c>
      <c r="Y33" s="228">
        <v>52</v>
      </c>
    </row>
    <row r="34">
      <c r="A34" s="200"/>
      <c r="B34" s="201" t="s">
        <v>112</v>
      </c>
      <c r="C34" s="202" t="s">
        <v>123</v>
      </c>
      <c r="D34" s="202">
        <f t="shared" si="35"/>
      </c>
      <c r="E34" s="203">
        <v>0</v>
      </c>
      <c r="F34" s="202">
        <v>2081.8</v>
      </c>
      <c r="G34" s="203">
        <v>0</v>
      </c>
      <c r="H34" s="215">
        <v>3</v>
      </c>
      <c r="I34" s="202">
        <v>1570.5600000000013</v>
      </c>
      <c r="J34" s="206">
        <f t="shared" si="1"/>
      </c>
      <c r="K34" s="206">
        <f t="shared" si="292"/>
      </c>
      <c r="L34" s="206">
        <f t="shared" si="262"/>
      </c>
      <c r="M34" s="207">
        <f t="shared" si="201"/>
      </c>
      <c r="N34" s="208">
        <f t="shared" si="171"/>
      </c>
      <c r="O34" s="209">
        <f t="shared" si="141"/>
      </c>
      <c r="P34" s="208">
        <f t="shared" si="231"/>
      </c>
      <c r="Q34" s="210" t="s">
        <v>127</v>
      </c>
      <c r="R34" s="211" t="s">
        <v>115</v>
      </c>
      <c r="S34" s="228">
        <v>40127</v>
      </c>
      <c r="T34" s="228">
        <v>923</v>
      </c>
      <c r="U34" s="228">
        <v>149</v>
      </c>
      <c r="V34" s="228">
        <v>1487</v>
      </c>
      <c r="W34" s="228">
        <v>219</v>
      </c>
      <c r="X34" s="229">
        <v>8</v>
      </c>
      <c r="Y34" s="228">
        <v>29</v>
      </c>
    </row>
    <row r="35">
      <c r="A35" s="200"/>
      <c r="B35" s="201" t="s">
        <v>112</v>
      </c>
      <c r="C35" s="202" t="s">
        <v>124</v>
      </c>
      <c r="D35" s="202">
        <f t="shared" si="35"/>
      </c>
      <c r="E35" s="203">
        <v>0</v>
      </c>
      <c r="F35" s="202">
        <v>2421.71</v>
      </c>
      <c r="G35" s="203">
        <v>0</v>
      </c>
      <c r="H35" s="215">
        <v>12</v>
      </c>
      <c r="I35" s="202">
        <v>3024.8399999999965</v>
      </c>
      <c r="J35" s="206">
        <f t="shared" si="1"/>
      </c>
      <c r="K35" s="206">
        <f t="shared" si="292"/>
      </c>
      <c r="L35" s="206">
        <f t="shared" si="262"/>
      </c>
      <c r="M35" s="207">
        <f t="shared" si="201"/>
      </c>
      <c r="N35" s="208">
        <f t="shared" si="171"/>
      </c>
      <c r="O35" s="209">
        <f t="shared" si="141"/>
      </c>
      <c r="P35" s="208">
        <f t="shared" si="231"/>
      </c>
      <c r="Q35" s="210" t="s">
        <v>127</v>
      </c>
      <c r="R35" s="211" t="s">
        <v>115</v>
      </c>
      <c r="S35" s="228">
        <v>43851</v>
      </c>
      <c r="T35" s="228">
        <v>1952</v>
      </c>
      <c r="U35" s="228">
        <v>197</v>
      </c>
      <c r="V35" s="228">
        <v>3451</v>
      </c>
      <c r="W35" s="228">
        <v>399</v>
      </c>
      <c r="X35" s="229">
        <v>23</v>
      </c>
      <c r="Y35" s="228">
        <v>47</v>
      </c>
    </row>
    <row r="36">
      <c r="A36" s="200"/>
      <c r="B36" s="219" t="s">
        <v>119</v>
      </c>
      <c r="C36" s="219"/>
      <c r="D36" s="220">
        <f>SUM(D32:D35)</f>
      </c>
      <c r="E36" s="220">
        <f>SUM(E32:E35)</f>
      </c>
      <c r="F36" s="220">
        <f>SUM(F32:G35)</f>
      </c>
      <c r="G36" s="220"/>
      <c r="H36" s="221">
        <f>SUM(H32:H35)</f>
      </c>
      <c r="I36" s="220">
        <f>SUM(I32:I35)</f>
      </c>
      <c r="J36" s="222">
        <f t="shared" si="1"/>
      </c>
      <c r="K36" s="223">
        <f t="shared" si="292"/>
      </c>
      <c r="L36" s="224">
        <f t="shared" si="262"/>
      </c>
      <c r="M36" s="225">
        <f t="shared" si="201"/>
      </c>
      <c r="N36" s="225">
        <f t="shared" si="171"/>
      </c>
      <c r="O36" s="226">
        <f t="shared" si="141"/>
      </c>
      <c r="P36" s="225">
        <f t="shared" si="231"/>
      </c>
      <c r="Q36" s="226"/>
      <c r="R36" s="226"/>
      <c r="S36" s="221">
        <f>SUM(S32:S35)</f>
      </c>
      <c r="T36" s="221">
        <f>SUM(T32:T35)</f>
      </c>
      <c r="U36" s="221">
        <f>SUM(U32:U35)</f>
      </c>
      <c r="V36" s="221">
        <f>SUM(V32:V35)</f>
      </c>
      <c r="W36" s="221">
        <f>SUM(W32:W35)</f>
      </c>
      <c r="X36" s="221">
        <f>SUM(X32:X35)</f>
      </c>
      <c r="Y36" s="221">
        <f>SUM(Y32:Y35)</f>
      </c>
    </row>
    <row r="37">
      <c r="A37" s="200"/>
      <c r="B37" s="201" t="s">
        <v>125</v>
      </c>
      <c r="C37" s="202" t="s">
        <v>126</v>
      </c>
      <c r="D37" s="202">
        <f t="shared" ref="D37:D40" si="36">E37+G37+F37</f>
      </c>
      <c r="E37" s="203">
        <v>0</v>
      </c>
      <c r="F37" s="203">
        <v>3281.31</v>
      </c>
      <c r="G37" s="203">
        <v>0</v>
      </c>
      <c r="H37" s="204">
        <v>15</v>
      </c>
      <c r="I37" s="203">
        <v>7765.24</v>
      </c>
      <c r="J37" s="206">
        <f t="shared" si="1"/>
      </c>
      <c r="K37" s="206">
        <f t="shared" si="292"/>
      </c>
      <c r="L37" s="206">
        <f t="shared" si="262"/>
      </c>
      <c r="M37" s="207">
        <f t="shared" si="201"/>
      </c>
      <c r="N37" s="208">
        <f t="shared" si="171"/>
      </c>
      <c r="O37" s="209">
        <f t="shared" si="141"/>
      </c>
      <c r="P37" s="208">
        <f t="shared" si="231"/>
      </c>
      <c r="Q37" s="210" t="s">
        <v>127</v>
      </c>
      <c r="R37" s="211" t="s">
        <v>115</v>
      </c>
      <c r="S37" s="230">
        <v>70456</v>
      </c>
      <c r="T37" s="230">
        <v>2496</v>
      </c>
      <c r="U37" s="230">
        <v>246</v>
      </c>
      <c r="V37" s="230">
        <v>4461</v>
      </c>
      <c r="W37" s="230">
        <v>533</v>
      </c>
      <c r="X37" s="229">
        <v>28</v>
      </c>
      <c r="Y37" s="229">
        <v>51</v>
      </c>
    </row>
    <row r="38">
      <c r="A38" s="200"/>
      <c r="B38" s="201" t="s">
        <v>125</v>
      </c>
      <c r="C38" s="202" t="s">
        <v>128</v>
      </c>
      <c r="D38" s="202">
        <f t="shared" si="36"/>
      </c>
      <c r="E38" s="203">
        <v>0</v>
      </c>
      <c r="F38" s="203">
        <v>3823.41</v>
      </c>
      <c r="G38" s="203">
        <v>0</v>
      </c>
      <c r="H38" s="204">
        <v>14</v>
      </c>
      <c r="I38" s="203">
        <v>6163.8</v>
      </c>
      <c r="J38" s="206">
        <f t="shared" si="1"/>
      </c>
      <c r="K38" s="206">
        <f t="shared" si="292"/>
      </c>
      <c r="L38" s="206">
        <f t="shared" si="262"/>
      </c>
      <c r="M38" s="207">
        <f t="shared" si="201"/>
      </c>
      <c r="N38" s="208">
        <f t="shared" si="171"/>
      </c>
      <c r="O38" s="209">
        <f t="shared" si="141"/>
      </c>
      <c r="P38" s="208">
        <f t="shared" si="231"/>
      </c>
      <c r="Q38" s="210" t="s">
        <v>114</v>
      </c>
      <c r="R38" s="231" t="s">
        <v>129</v>
      </c>
      <c r="S38" s="229">
        <v>83354</v>
      </c>
      <c r="T38" s="229">
        <v>2763</v>
      </c>
      <c r="U38" s="229">
        <v>271</v>
      </c>
      <c r="V38" s="229">
        <v>4681</v>
      </c>
      <c r="W38" s="229">
        <v>567</v>
      </c>
      <c r="X38" s="229">
        <v>21</v>
      </c>
      <c r="Y38" s="229">
        <v>58</v>
      </c>
    </row>
    <row r="39">
      <c r="A39" s="200"/>
      <c r="B39" s="201" t="s">
        <v>125</v>
      </c>
      <c r="C39" s="202" t="s">
        <v>130</v>
      </c>
      <c r="D39" s="202">
        <f t="shared" si="36"/>
      </c>
      <c r="E39" s="203">
        <v>0</v>
      </c>
      <c r="F39" s="203">
        <v>4079.27</v>
      </c>
      <c r="G39" s="203">
        <v>0</v>
      </c>
      <c r="H39" s="204">
        <v>10</v>
      </c>
      <c r="I39" s="203">
        <v>4773.74</v>
      </c>
      <c r="J39" s="206">
        <f t="shared" si="1"/>
      </c>
      <c r="K39" s="206">
        <f t="shared" si="292"/>
      </c>
      <c r="L39" s="206">
        <f t="shared" si="262"/>
      </c>
      <c r="M39" s="207">
        <f t="shared" si="201"/>
      </c>
      <c r="N39" s="208">
        <f t="shared" si="171"/>
      </c>
      <c r="O39" s="209">
        <f t="shared" si="141"/>
      </c>
      <c r="P39" s="208">
        <f t="shared" si="231"/>
      </c>
      <c r="Q39" s="210" t="s">
        <v>114</v>
      </c>
      <c r="R39" s="232" t="s">
        <v>129</v>
      </c>
      <c r="S39" s="229">
        <v>92202</v>
      </c>
      <c r="T39" s="229">
        <v>4274</v>
      </c>
      <c r="U39" s="229">
        <v>299</v>
      </c>
      <c r="V39" s="229">
        <v>8710</v>
      </c>
      <c r="W39" s="229">
        <v>1145</v>
      </c>
      <c r="X39" s="229">
        <v>27</v>
      </c>
      <c r="Y39" s="229">
        <v>60</v>
      </c>
    </row>
    <row r="40">
      <c r="A40" s="200"/>
      <c r="B40" s="201" t="s">
        <v>125</v>
      </c>
      <c r="C40" s="202" t="s">
        <v>131</v>
      </c>
      <c r="D40" s="202">
        <f t="shared" si="36"/>
      </c>
      <c r="E40" s="203">
        <v>0</v>
      </c>
      <c r="F40" s="203">
        <v>4845.14</v>
      </c>
      <c r="G40" s="203">
        <v>0</v>
      </c>
      <c r="H40" s="204">
        <v>16</v>
      </c>
      <c r="I40" s="203">
        <v>3844.38</v>
      </c>
      <c r="J40" s="206">
        <f t="shared" si="1"/>
      </c>
      <c r="K40" s="206">
        <f t="shared" si="292"/>
      </c>
      <c r="L40" s="206">
        <f t="shared" si="262"/>
      </c>
      <c r="M40" s="207">
        <f t="shared" si="201"/>
      </c>
      <c r="N40" s="208">
        <f t="shared" si="171"/>
      </c>
      <c r="O40" s="209">
        <f t="shared" si="141"/>
      </c>
      <c r="P40" s="208">
        <f t="shared" si="231"/>
      </c>
      <c r="Q40" s="210" t="s">
        <v>114</v>
      </c>
      <c r="R40" s="232" t="s">
        <v>129</v>
      </c>
      <c r="S40" s="229">
        <v>109533</v>
      </c>
      <c r="T40" s="229">
        <v>6047</v>
      </c>
      <c r="U40" s="229">
        <v>356</v>
      </c>
      <c r="V40" s="229">
        <v>12983</v>
      </c>
      <c r="W40" s="229">
        <v>1683</v>
      </c>
      <c r="X40" s="229">
        <v>21</v>
      </c>
      <c r="Y40" s="229">
        <v>99</v>
      </c>
    </row>
    <row r="41">
      <c r="A41" s="200"/>
      <c r="B41" s="219" t="s">
        <v>119</v>
      </c>
      <c r="C41" s="219"/>
      <c r="D41" s="220">
        <f>SUM(D37:D40)</f>
      </c>
      <c r="E41" s="220">
        <f>SUM(E37:E40)</f>
      </c>
      <c r="F41" s="220">
        <f>SUM(F37:G40)</f>
      </c>
      <c r="G41" s="220"/>
      <c r="H41" s="221">
        <f>SUM(H37:H40)</f>
      </c>
      <c r="I41" s="220">
        <f>SUM(I37:I40)</f>
      </c>
      <c r="J41" s="222">
        <f t="shared" si="1"/>
      </c>
      <c r="K41" s="223">
        <f t="shared" si="292"/>
      </c>
      <c r="L41" s="224">
        <f t="shared" si="262"/>
      </c>
      <c r="M41" s="225">
        <f t="shared" si="201"/>
      </c>
      <c r="N41" s="225">
        <f t="shared" si="171"/>
      </c>
      <c r="O41" s="226">
        <f t="shared" si="141"/>
      </c>
      <c r="P41" s="225">
        <f t="shared" si="231"/>
      </c>
      <c r="Q41" s="226"/>
      <c r="R41" s="226"/>
      <c r="S41" s="221">
        <f>SUM(S37:S40)</f>
      </c>
      <c r="T41" s="221">
        <f>SUM(T37:T40)</f>
      </c>
      <c r="U41" s="221">
        <f>SUM(U37:U40)</f>
      </c>
      <c r="V41" s="221">
        <f>SUM(V37:V40)</f>
      </c>
      <c r="W41" s="221">
        <f>SUM(W37:W40)</f>
      </c>
      <c r="X41" s="221">
        <f>SUM(X37:X40)</f>
      </c>
      <c r="Y41" s="221">
        <f>SUM(Y37:Y40)</f>
      </c>
    </row>
    <row r="42">
      <c r="A42" s="200"/>
      <c r="B42" s="201" t="s">
        <v>132</v>
      </c>
      <c r="C42" s="202" t="s">
        <v>133</v>
      </c>
      <c r="D42" s="202">
        <f t="shared" ref="D42:D45" si="37">E42+G42+F42</f>
      </c>
      <c r="E42" s="203">
        <v>0</v>
      </c>
      <c r="F42" s="203">
        <v>7573.97</v>
      </c>
      <c r="G42" s="203">
        <v>0</v>
      </c>
      <c r="H42" s="204">
        <v>24</v>
      </c>
      <c r="I42" s="203">
        <v>8750.16</v>
      </c>
      <c r="J42" s="206">
        <f t="shared" si="1"/>
      </c>
      <c r="K42" s="206">
        <f t="shared" si="292"/>
      </c>
      <c r="L42" s="206">
        <f t="shared" si="262"/>
      </c>
      <c r="M42" s="207">
        <f t="shared" si="201"/>
      </c>
      <c r="N42" s="208">
        <f t="shared" si="171"/>
      </c>
      <c r="O42" s="209">
        <f t="shared" si="141"/>
      </c>
      <c r="P42" s="208">
        <f t="shared" si="231"/>
      </c>
      <c r="Q42" s="210" t="s">
        <v>114</v>
      </c>
      <c r="R42" s="232" t="s">
        <v>129</v>
      </c>
      <c r="S42" s="229">
        <v>185861</v>
      </c>
      <c r="T42" s="229">
        <v>11614</v>
      </c>
      <c r="U42" s="229">
        <v>640</v>
      </c>
      <c r="V42" s="229">
        <v>24602</v>
      </c>
      <c r="W42" s="229">
        <v>2736</v>
      </c>
      <c r="X42" s="229">
        <v>54</v>
      </c>
      <c r="Y42" s="229">
        <v>136</v>
      </c>
    </row>
    <row r="43">
      <c r="A43" s="200"/>
      <c r="B43" s="201" t="s">
        <v>132</v>
      </c>
      <c r="C43" s="202" t="s">
        <v>134</v>
      </c>
      <c r="D43" s="202">
        <f t="shared" si="37"/>
      </c>
      <c r="E43" s="203">
        <v>0</v>
      </c>
      <c r="F43" s="203">
        <v>7855.95</v>
      </c>
      <c r="G43" s="203">
        <v>0</v>
      </c>
      <c r="H43" s="204">
        <v>41</v>
      </c>
      <c r="I43" s="203">
        <v>19255.58</v>
      </c>
      <c r="J43" s="206">
        <f t="shared" si="1"/>
      </c>
      <c r="K43" s="206">
        <f t="shared" si="292"/>
      </c>
      <c r="L43" s="206">
        <f t="shared" si="262"/>
      </c>
      <c r="M43" s="207">
        <f t="shared" si="201"/>
      </c>
      <c r="N43" s="208">
        <f t="shared" si="171"/>
      </c>
      <c r="O43" s="209">
        <f t="shared" si="141"/>
      </c>
      <c r="P43" s="208">
        <f t="shared" si="231"/>
      </c>
      <c r="Q43" s="210" t="s">
        <v>114</v>
      </c>
      <c r="R43" s="232" t="s">
        <v>129</v>
      </c>
      <c r="S43" s="233">
        <v>182643</v>
      </c>
      <c r="T43" s="233">
        <v>8416</v>
      </c>
      <c r="U43" s="233">
        <v>571</v>
      </c>
      <c r="V43" s="233">
        <v>14001</v>
      </c>
      <c r="W43" s="233">
        <v>1431</v>
      </c>
      <c r="X43" s="229">
        <v>56</v>
      </c>
      <c r="Y43" s="229">
        <v>117</v>
      </c>
    </row>
    <row r="44">
      <c r="A44" s="200"/>
      <c r="B44" s="201" t="s">
        <v>132</v>
      </c>
      <c r="C44" s="202" t="s">
        <v>135</v>
      </c>
      <c r="D44" s="202">
        <f t="shared" si="37"/>
      </c>
      <c r="E44" s="203">
        <v>0</v>
      </c>
      <c r="F44" s="203">
        <v>7781.68</v>
      </c>
      <c r="G44" s="203">
        <v>0</v>
      </c>
      <c r="H44" s="204">
        <v>24</v>
      </c>
      <c r="I44" s="203">
        <v>10094.66</v>
      </c>
      <c r="J44" s="206">
        <f t="shared" si="1"/>
      </c>
      <c r="K44" s="206">
        <f t="shared" si="292"/>
      </c>
      <c r="L44" s="206">
        <f t="shared" si="262"/>
      </c>
      <c r="M44" s="207">
        <f t="shared" si="201"/>
      </c>
      <c r="N44" s="208">
        <f t="shared" si="171"/>
      </c>
      <c r="O44" s="209">
        <f t="shared" si="141"/>
      </c>
      <c r="P44" s="208">
        <f t="shared" si="231"/>
      </c>
      <c r="Q44" s="210" t="s">
        <v>114</v>
      </c>
      <c r="R44" s="232" t="s">
        <v>129</v>
      </c>
      <c r="S44" s="233">
        <v>186043</v>
      </c>
      <c r="T44" s="233">
        <v>10103</v>
      </c>
      <c r="U44" s="233">
        <v>570</v>
      </c>
      <c r="V44" s="233">
        <v>16482</v>
      </c>
      <c r="W44" s="233">
        <v>1625</v>
      </c>
      <c r="X44" s="234">
        <v>46</v>
      </c>
      <c r="Y44" s="229">
        <v>111</v>
      </c>
    </row>
    <row r="45">
      <c r="A45" s="200"/>
      <c r="B45" s="201" t="s">
        <v>132</v>
      </c>
      <c r="C45" s="203" t="s">
        <v>136</v>
      </c>
      <c r="D45" s="202">
        <f t="shared" si="37"/>
      </c>
      <c r="E45" s="203">
        <v>0</v>
      </c>
      <c r="F45" s="203">
        <f>6747.87+0.48</f>
      </c>
      <c r="G45" s="203">
        <v>0</v>
      </c>
      <c r="H45" s="204">
        <v>26</v>
      </c>
      <c r="I45" s="203">
        <v>10052.96</v>
      </c>
      <c r="J45" s="206">
        <f t="shared" si="1"/>
      </c>
      <c r="K45" s="206">
        <f t="shared" si="292"/>
      </c>
      <c r="L45" s="206">
        <f t="shared" si="262"/>
      </c>
      <c r="M45" s="207">
        <f t="shared" si="201"/>
      </c>
      <c r="N45" s="208">
        <f t="shared" si="171"/>
      </c>
      <c r="O45" s="209">
        <f t="shared" si="141"/>
      </c>
      <c r="P45" s="208">
        <f t="shared" si="231"/>
      </c>
      <c r="Q45" s="210" t="s">
        <v>114</v>
      </c>
      <c r="R45" s="232" t="s">
        <v>129</v>
      </c>
      <c r="S45" s="233">
        <v>157469</v>
      </c>
      <c r="T45" s="233">
        <v>8628</v>
      </c>
      <c r="U45" s="233">
        <v>424</v>
      </c>
      <c r="V45" s="233">
        <v>13868</v>
      </c>
      <c r="W45" s="233">
        <v>1227</v>
      </c>
      <c r="X45" s="229">
        <v>47</v>
      </c>
      <c r="Y45" s="229">
        <v>74</v>
      </c>
    </row>
    <row r="46">
      <c r="A46" s="200"/>
      <c r="B46" s="219" t="s">
        <v>119</v>
      </c>
      <c r="C46" s="219"/>
      <c r="D46" s="220">
        <f>SUM(D42:D45)</f>
      </c>
      <c r="E46" s="220">
        <f>SUM(E42:E45)</f>
      </c>
      <c r="F46" s="220">
        <f>SUM(F42:G45)</f>
      </c>
      <c r="G46" s="220"/>
      <c r="H46" s="220">
        <f>SUM(H42:H45)</f>
      </c>
      <c r="I46" s="220">
        <f>SUM(I42:I45)</f>
      </c>
      <c r="J46" s="222">
        <f t="shared" si="1"/>
      </c>
      <c r="K46" s="223">
        <f t="shared" si="292"/>
      </c>
      <c r="L46" s="224">
        <f t="shared" si="262"/>
      </c>
      <c r="M46" s="225">
        <f t="shared" si="201"/>
      </c>
      <c r="N46" s="225">
        <f t="shared" si="171"/>
      </c>
      <c r="O46" s="226">
        <f t="shared" si="141"/>
      </c>
      <c r="P46" s="225">
        <f t="shared" si="231"/>
      </c>
      <c r="Q46" s="226"/>
      <c r="R46" s="235"/>
      <c r="S46" s="220">
        <f>SUM(S42:S45)</f>
      </c>
      <c r="T46" s="220">
        <f>SUM(T42:T45)</f>
      </c>
      <c r="U46" s="220">
        <f>SUM(U42:U45)</f>
      </c>
      <c r="V46" s="220">
        <f>SUM(V42:V45)</f>
      </c>
      <c r="W46" s="220">
        <f>SUM(W42:W45)</f>
      </c>
      <c r="X46" s="220">
        <f>SUM(X42:X45)</f>
      </c>
      <c r="Y46" s="220">
        <f>SUM(Y42:Y45)</f>
      </c>
    </row>
    <row r="47">
      <c r="A47" s="200"/>
      <c r="B47" s="236" t="s">
        <v>138</v>
      </c>
      <c r="C47" s="236"/>
      <c r="D47" s="237">
        <f>D46+D41+D36+D31</f>
      </c>
      <c r="E47" s="237">
        <f>E46+E41+E36+E31</f>
      </c>
      <c r="F47" s="237">
        <f>F46+F41+F36+F31</f>
      </c>
      <c r="G47" s="237"/>
      <c r="H47" s="238">
        <f>H46+H41+H36+H31</f>
      </c>
      <c r="I47" s="237">
        <f>I46+I41+I36+I31</f>
      </c>
      <c r="J47" s="239">
        <f t="shared" si="1"/>
      </c>
      <c r="K47" s="239">
        <f t="shared" si="292"/>
      </c>
      <c r="L47" s="239">
        <f t="shared" si="262"/>
      </c>
      <c r="M47" s="240">
        <f t="shared" si="201"/>
      </c>
      <c r="N47" s="240">
        <f t="shared" si="171"/>
      </c>
      <c r="O47" s="239">
        <f t="shared" si="141"/>
      </c>
      <c r="P47" s="240">
        <f t="shared" si="231"/>
      </c>
      <c r="Q47" s="241"/>
      <c r="R47" s="242"/>
      <c r="S47" s="243">
        <f>S46+S41+S36+S31</f>
      </c>
      <c r="T47" s="243">
        <f>T46+T41+T36+T31</f>
      </c>
      <c r="U47" s="243">
        <f>U46+U41+U36+U31</f>
      </c>
      <c r="V47" s="243">
        <f>V46+V41+V36+V31</f>
      </c>
      <c r="W47" s="243">
        <f>W46+W41+W36+W31</f>
      </c>
      <c r="X47" s="244">
        <f>X46+X41+X36+X31</f>
      </c>
      <c r="Y47" s="238">
        <f>Y46+Y41+Y36+Y31</f>
      </c>
    </row>
    <row r="48">
      <c r="A48" s="188" t="s">
        <v>83</v>
      </c>
      <c r="B48" s="188"/>
      <c r="C48" s="188"/>
      <c r="D48" s="189" t="s">
        <v>84</v>
      </c>
      <c r="E48" s="189"/>
      <c r="F48" s="189"/>
      <c r="G48" s="189"/>
      <c r="H48" s="189"/>
      <c r="I48" s="189"/>
      <c r="J48" s="189"/>
      <c r="K48" s="189"/>
      <c r="L48" s="189"/>
      <c r="M48" s="190" t="s">
        <v>85</v>
      </c>
      <c r="N48" s="190"/>
      <c r="O48" s="190"/>
      <c r="P48" s="190"/>
      <c r="Q48" s="190"/>
      <c r="R48" s="190"/>
      <c r="S48" s="191" t="s">
        <v>86</v>
      </c>
      <c r="T48" s="191"/>
      <c r="U48" s="191"/>
      <c r="V48" s="191"/>
      <c r="W48" s="191"/>
      <c r="X48" s="191"/>
      <c r="Y48" s="191"/>
    </row>
    <row r="49">
      <c r="A49" s="192" t="s">
        <v>87</v>
      </c>
      <c r="B49" s="188" t="s">
        <v>88</v>
      </c>
      <c r="C49" s="188" t="s">
        <v>89</v>
      </c>
      <c r="D49" s="193" t="s">
        <v>90</v>
      </c>
      <c r="E49" s="193" t="s">
        <v>91</v>
      </c>
      <c r="F49" s="189" t="s">
        <v>92</v>
      </c>
      <c r="G49" s="189"/>
      <c r="H49" s="194" t="s">
        <v>93</v>
      </c>
      <c r="I49" s="189" t="s">
        <v>94</v>
      </c>
      <c r="J49" s="195" t="s">
        <v>95</v>
      </c>
      <c r="K49" s="196" t="s">
        <v>96</v>
      </c>
      <c r="L49" s="189" t="s">
        <v>97</v>
      </c>
      <c r="M49" s="190" t="s">
        <v>98</v>
      </c>
      <c r="N49" s="190" t="s">
        <v>99</v>
      </c>
      <c r="O49" s="190" t="s">
        <v>100</v>
      </c>
      <c r="P49" s="190" t="s">
        <v>101</v>
      </c>
      <c r="Q49" s="197" t="s">
        <v>102</v>
      </c>
      <c r="R49" s="197" t="s">
        <v>103</v>
      </c>
      <c r="S49" s="198" t="s">
        <v>104</v>
      </c>
      <c r="T49" s="198" t="s">
        <v>105</v>
      </c>
      <c r="U49" s="199" t="s">
        <v>106</v>
      </c>
      <c r="V49" s="199" t="s">
        <v>107</v>
      </c>
      <c r="W49" s="199" t="s">
        <v>108</v>
      </c>
      <c r="X49" s="199" t="s">
        <v>109</v>
      </c>
      <c r="Y49" s="199" t="s">
        <v>110</v>
      </c>
    </row>
    <row r="50">
      <c r="A50" s="200" t="s">
        <v>140</v>
      </c>
      <c r="B50" s="227" t="s">
        <v>120</v>
      </c>
      <c r="C50" s="202" t="s">
        <v>113</v>
      </c>
      <c r="D50" s="202">
        <f t="shared" ref="D50:D53" si="38">E50+G50+F50</f>
      </c>
      <c r="E50" s="202">
        <v>0</v>
      </c>
      <c r="F50" s="202">
        <v>2883.65</v>
      </c>
      <c r="G50" s="203">
        <v>0</v>
      </c>
      <c r="H50" s="204">
        <v>18</v>
      </c>
      <c r="I50" s="202">
        <v>8746.83</v>
      </c>
      <c r="J50" s="205">
        <f t="shared" ref="J50:J71" si="2">I50/D50</f>
      </c>
      <c r="K50" s="205">
        <f t="shared" ref="K50:K71" si="293">D50/H50</f>
      </c>
      <c r="L50" s="206">
        <f t="shared" ref="L50:L71" si="263">I50/H50</f>
      </c>
      <c r="M50" s="207">
        <f t="shared" ref="M50:M71" si="202">T50/S50</f>
      </c>
      <c r="N50" s="208">
        <f t="shared" ref="N50:N71" si="172">H50/X50</f>
      </c>
      <c r="O50" s="209">
        <f t="shared" ref="O50:O71" si="142">(Y50*1000)/D50</f>
      </c>
      <c r="P50" s="208">
        <f t="shared" ref="P50:P71" si="232">W50/V50</f>
      </c>
      <c r="Q50" s="210" t="s">
        <v>127</v>
      </c>
      <c r="R50" s="211" t="s">
        <v>141</v>
      </c>
      <c r="S50" s="212">
        <v>67808</v>
      </c>
      <c r="T50" s="212">
        <v>2986</v>
      </c>
      <c r="U50" s="213">
        <v>194</v>
      </c>
      <c r="V50" s="212">
        <v>4529</v>
      </c>
      <c r="W50" s="212">
        <v>524</v>
      </c>
      <c r="X50" s="214">
        <v>22</v>
      </c>
      <c r="Y50" s="214">
        <v>40</v>
      </c>
    </row>
    <row r="51">
      <c r="A51" s="200"/>
      <c r="B51" s="227" t="s">
        <v>120</v>
      </c>
      <c r="C51" s="202" t="s">
        <v>116</v>
      </c>
      <c r="D51" s="202">
        <f t="shared" si="38"/>
      </c>
      <c r="E51" s="202">
        <v>0</v>
      </c>
      <c r="F51" s="202">
        <v>3878.06</v>
      </c>
      <c r="G51" s="203">
        <v>0</v>
      </c>
      <c r="H51" s="215">
        <v>12</v>
      </c>
      <c r="I51" s="202">
        <v>3963.9799999999996</v>
      </c>
      <c r="J51" s="206">
        <f t="shared" si="2"/>
      </c>
      <c r="K51" s="206">
        <f t="shared" si="293"/>
      </c>
      <c r="L51" s="205">
        <f t="shared" si="263"/>
      </c>
      <c r="M51" s="207">
        <f t="shared" si="202"/>
      </c>
      <c r="N51" s="208">
        <f t="shared" si="172"/>
      </c>
      <c r="O51" s="209">
        <f t="shared" si="142"/>
      </c>
      <c r="P51" s="208">
        <f t="shared" si="232"/>
      </c>
      <c r="Q51" s="210" t="s">
        <v>127</v>
      </c>
      <c r="R51" s="211" t="s">
        <v>141</v>
      </c>
      <c r="S51" s="216">
        <v>91188</v>
      </c>
      <c r="T51" s="216">
        <v>2821</v>
      </c>
      <c r="U51" s="212">
        <v>227</v>
      </c>
      <c r="V51" s="212">
        <v>5324</v>
      </c>
      <c r="W51" s="212">
        <v>743</v>
      </c>
      <c r="X51" s="214">
        <v>18</v>
      </c>
      <c r="Y51" s="217">
        <v>45</v>
      </c>
    </row>
    <row r="52">
      <c r="A52" s="200"/>
      <c r="B52" s="227" t="s">
        <v>120</v>
      </c>
      <c r="C52" s="202" t="s">
        <v>117</v>
      </c>
      <c r="D52" s="202">
        <f t="shared" si="38"/>
      </c>
      <c r="E52" s="218">
        <v>0</v>
      </c>
      <c r="F52" s="202">
        <v>3322.76</v>
      </c>
      <c r="G52" s="203">
        <v>0</v>
      </c>
      <c r="H52" s="215">
        <v>9</v>
      </c>
      <c r="I52" s="202">
        <v>5254.520000000002</v>
      </c>
      <c r="J52" s="206">
        <f t="shared" si="2"/>
      </c>
      <c r="K52" s="206">
        <f t="shared" si="293"/>
      </c>
      <c r="L52" s="206">
        <f t="shared" si="263"/>
      </c>
      <c r="M52" s="207">
        <f t="shared" si="202"/>
      </c>
      <c r="N52" s="208">
        <f t="shared" si="172"/>
      </c>
      <c r="O52" s="209">
        <f t="shared" si="142"/>
      </c>
      <c r="P52" s="208">
        <f t="shared" si="232"/>
      </c>
      <c r="Q52" s="210" t="s">
        <v>127</v>
      </c>
      <c r="R52" s="211" t="s">
        <v>141</v>
      </c>
      <c r="S52" s="217">
        <v>75004</v>
      </c>
      <c r="T52" s="217">
        <v>2212</v>
      </c>
      <c r="U52" s="217">
        <v>215</v>
      </c>
      <c r="V52" s="217">
        <v>3784</v>
      </c>
      <c r="W52" s="217">
        <v>594</v>
      </c>
      <c r="X52" s="214">
        <v>17</v>
      </c>
      <c r="Y52" s="217">
        <v>40</v>
      </c>
    </row>
    <row r="53">
      <c r="A53" s="200"/>
      <c r="B53" s="227" t="s">
        <v>120</v>
      </c>
      <c r="C53" s="202" t="s">
        <v>118</v>
      </c>
      <c r="D53" s="202">
        <f t="shared" si="38"/>
      </c>
      <c r="E53" s="202">
        <v>0</v>
      </c>
      <c r="F53" s="202">
        <v>4501.46</v>
      </c>
      <c r="G53" s="203">
        <v>0</v>
      </c>
      <c r="H53" s="215">
        <v>20</v>
      </c>
      <c r="I53" s="202">
        <v>9696.759999999998</v>
      </c>
      <c r="J53" s="206">
        <f t="shared" si="2"/>
      </c>
      <c r="K53" s="206">
        <f t="shared" si="293"/>
      </c>
      <c r="L53" s="206">
        <f t="shared" si="263"/>
      </c>
      <c r="M53" s="207">
        <f t="shared" si="202"/>
      </c>
      <c r="N53" s="208">
        <f t="shared" si="172"/>
      </c>
      <c r="O53" s="209">
        <f t="shared" si="142"/>
      </c>
      <c r="P53" s="208">
        <f t="shared" si="232"/>
      </c>
      <c r="Q53" s="210" t="s">
        <v>127</v>
      </c>
      <c r="R53" s="211" t="s">
        <v>141</v>
      </c>
      <c r="S53" s="217">
        <v>97765</v>
      </c>
      <c r="T53" s="217">
        <v>3621</v>
      </c>
      <c r="U53" s="217">
        <v>308</v>
      </c>
      <c r="V53" s="217">
        <v>7061</v>
      </c>
      <c r="W53" s="217">
        <v>1085</v>
      </c>
      <c r="X53" s="214">
        <v>28</v>
      </c>
      <c r="Y53" s="217">
        <v>55</v>
      </c>
    </row>
    <row r="54">
      <c r="A54" s="200"/>
      <c r="B54" s="219" t="s">
        <v>119</v>
      </c>
      <c r="C54" s="219"/>
      <c r="D54" s="220">
        <f>SUM(D50:D53)</f>
      </c>
      <c r="E54" s="220">
        <f>SUM(E50:E53)</f>
      </c>
      <c r="F54" s="220">
        <f>SUM(F50:G53)</f>
      </c>
      <c r="G54" s="220"/>
      <c r="H54" s="221">
        <f>SUM(H50:H53)</f>
      </c>
      <c r="I54" s="220">
        <f>SUM(I50:I53)</f>
      </c>
      <c r="J54" s="222">
        <f t="shared" si="2"/>
      </c>
      <c r="K54" s="223">
        <f t="shared" si="293"/>
      </c>
      <c r="L54" s="224">
        <f t="shared" si="263"/>
      </c>
      <c r="M54" s="225">
        <f t="shared" si="202"/>
      </c>
      <c r="N54" s="225">
        <f t="shared" si="172"/>
      </c>
      <c r="O54" s="226">
        <f t="shared" si="142"/>
      </c>
      <c r="P54" s="225">
        <f t="shared" si="232"/>
      </c>
      <c r="Q54" s="226"/>
      <c r="R54" s="226"/>
      <c r="S54" s="221">
        <f>SUM(S50:S53)</f>
      </c>
      <c r="T54" s="221">
        <f>SUM(T50:T53)</f>
      </c>
      <c r="U54" s="221">
        <f>SUM(U50:U53)</f>
      </c>
      <c r="V54" s="221">
        <f>SUM(V50:V53)</f>
      </c>
      <c r="W54" s="221">
        <f>SUM(W50:W53)</f>
      </c>
      <c r="X54" s="221">
        <f>SUM(X50:X53)</f>
      </c>
      <c r="Y54" s="221">
        <f>SUM(Y50:Y53)</f>
      </c>
    </row>
    <row r="55">
      <c r="A55" s="200"/>
      <c r="B55" s="201" t="s">
        <v>112</v>
      </c>
      <c r="C55" s="202" t="s">
        <v>121</v>
      </c>
      <c r="D55" s="202">
        <f t="shared" ref="D55:D58" si="39">E55+G55+F55</f>
      </c>
      <c r="E55" s="202">
        <v>0</v>
      </c>
      <c r="F55" s="202">
        <v>3083.15</v>
      </c>
      <c r="G55" s="203">
        <v>0</v>
      </c>
      <c r="H55" s="215">
        <v>8</v>
      </c>
      <c r="I55" s="202">
        <v>4452.860000000001</v>
      </c>
      <c r="J55" s="206">
        <f t="shared" si="2"/>
      </c>
      <c r="K55" s="206">
        <f t="shared" si="293"/>
      </c>
      <c r="L55" s="206">
        <f t="shared" si="263"/>
      </c>
      <c r="M55" s="207">
        <f t="shared" si="202"/>
      </c>
      <c r="N55" s="208">
        <f t="shared" si="172"/>
      </c>
      <c r="O55" s="209">
        <f t="shared" si="142"/>
      </c>
      <c r="P55" s="208">
        <f t="shared" si="232"/>
      </c>
      <c r="Q55" s="210" t="s">
        <v>127</v>
      </c>
      <c r="R55" s="211" t="s">
        <v>141</v>
      </c>
      <c r="S55" s="228">
        <v>54693</v>
      </c>
      <c r="T55" s="228">
        <v>2460</v>
      </c>
      <c r="U55" s="228">
        <v>206</v>
      </c>
      <c r="V55" s="228">
        <v>4810</v>
      </c>
      <c r="W55" s="228">
        <v>676</v>
      </c>
      <c r="X55" s="229">
        <v>14</v>
      </c>
      <c r="Y55" s="228">
        <v>58</v>
      </c>
    </row>
    <row r="56">
      <c r="A56" s="200"/>
      <c r="B56" s="201" t="s">
        <v>112</v>
      </c>
      <c r="C56" s="202" t="s">
        <v>122</v>
      </c>
      <c r="D56" s="202">
        <f t="shared" si="39"/>
      </c>
      <c r="E56" s="203">
        <v>0</v>
      </c>
      <c r="F56" s="202">
        <v>3085.5</v>
      </c>
      <c r="G56" s="203">
        <v>0</v>
      </c>
      <c r="H56" s="215">
        <v>6</v>
      </c>
      <c r="I56" s="202">
        <v>2186.5200000000004</v>
      </c>
      <c r="J56" s="206">
        <f t="shared" si="2"/>
      </c>
      <c r="K56" s="206">
        <f t="shared" si="293"/>
      </c>
      <c r="L56" s="206">
        <f t="shared" si="263"/>
      </c>
      <c r="M56" s="207">
        <f t="shared" si="202"/>
      </c>
      <c r="N56" s="208">
        <f t="shared" si="172"/>
      </c>
      <c r="O56" s="209">
        <f t="shared" si="142"/>
      </c>
      <c r="P56" s="208">
        <f t="shared" si="232"/>
      </c>
      <c r="Q56" s="210" t="s">
        <v>127</v>
      </c>
      <c r="R56" s="211" t="s">
        <v>141</v>
      </c>
      <c r="S56" s="228">
        <v>51842</v>
      </c>
      <c r="T56" s="228">
        <v>2058</v>
      </c>
      <c r="U56" s="228">
        <v>197</v>
      </c>
      <c r="V56" s="228">
        <v>3858</v>
      </c>
      <c r="W56" s="228">
        <v>449</v>
      </c>
      <c r="X56" s="229">
        <v>12</v>
      </c>
      <c r="Y56" s="228">
        <v>41</v>
      </c>
    </row>
    <row r="57">
      <c r="A57" s="200"/>
      <c r="B57" s="201" t="s">
        <v>112</v>
      </c>
      <c r="C57" s="202" t="s">
        <v>123</v>
      </c>
      <c r="D57" s="202">
        <f t="shared" si="39"/>
      </c>
      <c r="E57" s="203">
        <v>0</v>
      </c>
      <c r="F57" s="202">
        <v>3470.16</v>
      </c>
      <c r="G57" s="203">
        <v>0</v>
      </c>
      <c r="H57" s="215">
        <v>13</v>
      </c>
      <c r="I57" s="202">
        <v>7709.760000000002</v>
      </c>
      <c r="J57" s="206">
        <f t="shared" si="2"/>
      </c>
      <c r="K57" s="206">
        <f t="shared" si="293"/>
      </c>
      <c r="L57" s="206">
        <f t="shared" si="263"/>
      </c>
      <c r="M57" s="207">
        <f t="shared" si="202"/>
      </c>
      <c r="N57" s="208">
        <f t="shared" si="172"/>
      </c>
      <c r="O57" s="209">
        <f t="shared" si="142"/>
      </c>
      <c r="P57" s="208">
        <f t="shared" si="232"/>
      </c>
      <c r="Q57" s="210" t="s">
        <v>127</v>
      </c>
      <c r="R57" s="211" t="s">
        <v>141</v>
      </c>
      <c r="S57" s="228">
        <v>83338</v>
      </c>
      <c r="T57" s="228">
        <v>2532</v>
      </c>
      <c r="U57" s="228">
        <v>287</v>
      </c>
      <c r="V57" s="228">
        <v>4232</v>
      </c>
      <c r="W57" s="228">
        <v>553</v>
      </c>
      <c r="X57" s="229">
        <v>20</v>
      </c>
      <c r="Y57" s="228">
        <v>57</v>
      </c>
    </row>
    <row r="58">
      <c r="A58" s="200"/>
      <c r="B58" s="201" t="s">
        <v>112</v>
      </c>
      <c r="C58" s="202" t="s">
        <v>124</v>
      </c>
      <c r="D58" s="202">
        <f t="shared" si="39"/>
      </c>
      <c r="E58" s="203">
        <v>0</v>
      </c>
      <c r="F58" s="202">
        <v>3508.63</v>
      </c>
      <c r="G58" s="203">
        <v>0</v>
      </c>
      <c r="H58" s="215">
        <v>15</v>
      </c>
      <c r="I58" s="202">
        <v>4337.080000000002</v>
      </c>
      <c r="J58" s="206">
        <f t="shared" si="2"/>
      </c>
      <c r="K58" s="206">
        <f t="shared" si="293"/>
      </c>
      <c r="L58" s="206">
        <f t="shared" si="263"/>
      </c>
      <c r="M58" s="207">
        <f t="shared" si="202"/>
      </c>
      <c r="N58" s="208">
        <f t="shared" si="172"/>
      </c>
      <c r="O58" s="209">
        <f t="shared" si="142"/>
      </c>
      <c r="P58" s="208">
        <f t="shared" si="232"/>
      </c>
      <c r="Q58" s="210" t="s">
        <v>127</v>
      </c>
      <c r="R58" s="211" t="s">
        <v>141</v>
      </c>
      <c r="S58" s="228">
        <v>87018</v>
      </c>
      <c r="T58" s="228">
        <v>1905</v>
      </c>
      <c r="U58" s="228">
        <v>283</v>
      </c>
      <c r="V58" s="228">
        <v>2566</v>
      </c>
      <c r="W58" s="228">
        <v>320</v>
      </c>
      <c r="X58" s="229">
        <v>26</v>
      </c>
      <c r="Y58" s="228">
        <v>46</v>
      </c>
    </row>
    <row r="59">
      <c r="A59" s="200"/>
      <c r="B59" s="219" t="s">
        <v>119</v>
      </c>
      <c r="C59" s="219"/>
      <c r="D59" s="220">
        <f>SUM(D55:D58)</f>
      </c>
      <c r="E59" s="220">
        <f>SUM(E55:E58)</f>
      </c>
      <c r="F59" s="220">
        <f>SUM(F55:G58)</f>
      </c>
      <c r="G59" s="220"/>
      <c r="H59" s="221">
        <f>SUM(H55:H58)</f>
      </c>
      <c r="I59" s="220">
        <f>SUM(I55:I58)</f>
      </c>
      <c r="J59" s="222">
        <f t="shared" si="2"/>
      </c>
      <c r="K59" s="223">
        <f t="shared" si="293"/>
      </c>
      <c r="L59" s="224">
        <f t="shared" si="263"/>
      </c>
      <c r="M59" s="225">
        <f t="shared" si="202"/>
      </c>
      <c r="N59" s="225">
        <f t="shared" si="172"/>
      </c>
      <c r="O59" s="226">
        <f t="shared" si="142"/>
      </c>
      <c r="P59" s="225">
        <f t="shared" si="232"/>
      </c>
      <c r="Q59" s="226"/>
      <c r="R59" s="226"/>
      <c r="S59" s="221">
        <f>SUM(S55:S58)</f>
      </c>
      <c r="T59" s="221">
        <f>SUM(T55:T58)</f>
      </c>
      <c r="U59" s="221">
        <f>SUM(U55:U58)</f>
      </c>
      <c r="V59" s="221">
        <f>SUM(V55:V58)</f>
      </c>
      <c r="W59" s="221">
        <f>SUM(W55:W58)</f>
      </c>
      <c r="X59" s="221">
        <f>SUM(X55:X58)</f>
      </c>
      <c r="Y59" s="221">
        <f>SUM(Y55:Y58)</f>
      </c>
    </row>
    <row r="60">
      <c r="A60" s="200"/>
      <c r="B60" s="201" t="s">
        <v>125</v>
      </c>
      <c r="C60" s="202" t="s">
        <v>126</v>
      </c>
      <c r="D60" s="202">
        <f t="shared" ref="D60:D63" si="40">E60+G60+F60</f>
      </c>
      <c r="E60" s="203">
        <v>0</v>
      </c>
      <c r="F60" s="203">
        <v>3538.76</v>
      </c>
      <c r="G60" s="203">
        <v>0</v>
      </c>
      <c r="H60" s="204">
        <v>12</v>
      </c>
      <c r="I60" s="203">
        <v>4871.06</v>
      </c>
      <c r="J60" s="206">
        <f t="shared" si="2"/>
      </c>
      <c r="K60" s="206">
        <f t="shared" si="293"/>
      </c>
      <c r="L60" s="206">
        <f t="shared" si="263"/>
      </c>
      <c r="M60" s="207">
        <f t="shared" si="202"/>
      </c>
      <c r="N60" s="208">
        <f t="shared" si="172"/>
      </c>
      <c r="O60" s="209">
        <f t="shared" si="142"/>
      </c>
      <c r="P60" s="208">
        <f t="shared" si="232"/>
      </c>
      <c r="Q60" s="210" t="s">
        <v>127</v>
      </c>
      <c r="R60" s="211" t="s">
        <v>141</v>
      </c>
      <c r="S60" s="230">
        <v>84423</v>
      </c>
      <c r="T60" s="230">
        <v>2141</v>
      </c>
      <c r="U60" s="230">
        <v>307</v>
      </c>
      <c r="V60" s="230">
        <v>2903</v>
      </c>
      <c r="W60" s="230">
        <v>360</v>
      </c>
      <c r="X60" s="234">
        <v>25</v>
      </c>
      <c r="Y60" s="229">
        <v>70</v>
      </c>
    </row>
    <row r="61">
      <c r="A61" s="200"/>
      <c r="B61" s="201" t="s">
        <v>125</v>
      </c>
      <c r="C61" s="202" t="s">
        <v>128</v>
      </c>
      <c r="D61" s="202">
        <f t="shared" si="40"/>
      </c>
      <c r="E61" s="203">
        <v>0</v>
      </c>
      <c r="F61" s="203">
        <v>4064.28</v>
      </c>
      <c r="G61" s="203">
        <v>0</v>
      </c>
      <c r="H61" s="204">
        <v>10</v>
      </c>
      <c r="I61" s="203">
        <v>7488.13</v>
      </c>
      <c r="J61" s="206">
        <f t="shared" si="2"/>
      </c>
      <c r="K61" s="206">
        <f t="shared" si="293"/>
      </c>
      <c r="L61" s="206">
        <f t="shared" si="263"/>
      </c>
      <c r="M61" s="207">
        <f t="shared" si="202"/>
      </c>
      <c r="N61" s="208">
        <f t="shared" si="172"/>
      </c>
      <c r="O61" s="209">
        <f t="shared" si="142"/>
      </c>
      <c r="P61" s="208">
        <f t="shared" si="232"/>
      </c>
      <c r="Q61" s="210" t="s">
        <v>114</v>
      </c>
      <c r="R61" s="231" t="s">
        <v>129</v>
      </c>
      <c r="S61" s="229">
        <v>100559</v>
      </c>
      <c r="T61" s="229">
        <v>2594</v>
      </c>
      <c r="U61" s="229">
        <v>330</v>
      </c>
      <c r="V61" s="229">
        <v>3604</v>
      </c>
      <c r="W61" s="229">
        <v>436</v>
      </c>
      <c r="X61" s="229">
        <v>27</v>
      </c>
      <c r="Y61" s="229">
        <v>71</v>
      </c>
    </row>
    <row r="62">
      <c r="A62" s="200"/>
      <c r="B62" s="201" t="s">
        <v>125</v>
      </c>
      <c r="C62" s="202" t="s">
        <v>130</v>
      </c>
      <c r="D62" s="202">
        <f t="shared" si="40"/>
      </c>
      <c r="E62" s="203">
        <v>0</v>
      </c>
      <c r="F62" s="203">
        <v>4089.24</v>
      </c>
      <c r="G62" s="203">
        <v>0</v>
      </c>
      <c r="H62" s="204">
        <v>13</v>
      </c>
      <c r="I62" s="203">
        <v>4588.72</v>
      </c>
      <c r="J62" s="206">
        <f t="shared" si="2"/>
      </c>
      <c r="K62" s="206">
        <f t="shared" si="293"/>
      </c>
      <c r="L62" s="206">
        <f t="shared" si="263"/>
      </c>
      <c r="M62" s="207">
        <f t="shared" si="202"/>
      </c>
      <c r="N62" s="208">
        <f t="shared" si="172"/>
      </c>
      <c r="O62" s="209">
        <f t="shared" si="142"/>
      </c>
      <c r="P62" s="208">
        <f t="shared" si="232"/>
      </c>
      <c r="Q62" s="210" t="s">
        <v>114</v>
      </c>
      <c r="R62" s="232" t="s">
        <v>129</v>
      </c>
      <c r="S62" s="229">
        <v>115872</v>
      </c>
      <c r="T62" s="229">
        <v>3110</v>
      </c>
      <c r="U62" s="229">
        <v>307</v>
      </c>
      <c r="V62" s="229">
        <v>4356</v>
      </c>
      <c r="W62" s="229">
        <v>510</v>
      </c>
      <c r="X62" s="229">
        <v>25</v>
      </c>
      <c r="Y62" s="229">
        <v>80</v>
      </c>
    </row>
    <row r="63">
      <c r="A63" s="200"/>
      <c r="B63" s="201" t="s">
        <v>125</v>
      </c>
      <c r="C63" s="202" t="s">
        <v>131</v>
      </c>
      <c r="D63" s="202">
        <f t="shared" si="40"/>
      </c>
      <c r="E63" s="203">
        <v>0</v>
      </c>
      <c r="F63" s="203">
        <v>4799.6</v>
      </c>
      <c r="G63" s="203">
        <v>0</v>
      </c>
      <c r="H63" s="204">
        <v>24</v>
      </c>
      <c r="I63" s="203">
        <v>9587.3</v>
      </c>
      <c r="J63" s="206">
        <f t="shared" si="2"/>
      </c>
      <c r="K63" s="206">
        <f t="shared" si="293"/>
      </c>
      <c r="L63" s="206">
        <f t="shared" si="263"/>
      </c>
      <c r="M63" s="207">
        <f t="shared" si="202"/>
      </c>
      <c r="N63" s="208">
        <f t="shared" si="172"/>
      </c>
      <c r="O63" s="209">
        <f t="shared" si="142"/>
      </c>
      <c r="P63" s="208">
        <f t="shared" si="232"/>
      </c>
      <c r="Q63" s="210" t="s">
        <v>114</v>
      </c>
      <c r="R63" s="232" t="s">
        <v>129</v>
      </c>
      <c r="S63" s="229">
        <v>172038</v>
      </c>
      <c r="T63" s="229">
        <v>6441</v>
      </c>
      <c r="U63" s="229">
        <v>396</v>
      </c>
      <c r="V63" s="229">
        <v>10402</v>
      </c>
      <c r="W63" s="229">
        <v>1064</v>
      </c>
      <c r="X63" s="229">
        <v>46</v>
      </c>
      <c r="Y63" s="229">
        <v>103</v>
      </c>
    </row>
    <row r="64">
      <c r="A64" s="200"/>
      <c r="B64" s="219" t="s">
        <v>119</v>
      </c>
      <c r="C64" s="219"/>
      <c r="D64" s="220">
        <f>SUM(D60:D63)</f>
      </c>
      <c r="E64" s="220">
        <f>SUM(E60:E63)</f>
      </c>
      <c r="F64" s="220">
        <f>SUM(F60:G63)</f>
      </c>
      <c r="G64" s="220"/>
      <c r="H64" s="221">
        <f>SUM(H60:H63)</f>
      </c>
      <c r="I64" s="220">
        <f>SUM(I60:I63)</f>
      </c>
      <c r="J64" s="222">
        <f t="shared" si="2"/>
      </c>
      <c r="K64" s="223">
        <f t="shared" si="293"/>
      </c>
      <c r="L64" s="224">
        <f t="shared" si="263"/>
      </c>
      <c r="M64" s="225">
        <f t="shared" si="202"/>
      </c>
      <c r="N64" s="225">
        <f t="shared" si="172"/>
      </c>
      <c r="O64" s="226">
        <f t="shared" si="142"/>
      </c>
      <c r="P64" s="225">
        <f t="shared" si="232"/>
      </c>
      <c r="Q64" s="226"/>
      <c r="R64" s="226"/>
      <c r="S64" s="221">
        <f>SUM(S60:S63)</f>
      </c>
      <c r="T64" s="221">
        <f>SUM(T60:T63)</f>
      </c>
      <c r="U64" s="221">
        <f>SUM(U60:U63)</f>
      </c>
      <c r="V64" s="221">
        <f>SUM(V60:V63)</f>
      </c>
      <c r="W64" s="221">
        <f>SUM(W60:W63)</f>
      </c>
      <c r="X64" s="221">
        <f>SUM(X60:X63)</f>
      </c>
      <c r="Y64" s="221">
        <f>SUM(Y60:Y63)</f>
      </c>
    </row>
    <row r="65">
      <c r="A65" s="200"/>
      <c r="B65" s="201" t="s">
        <v>132</v>
      </c>
      <c r="C65" s="202" t="s">
        <v>133</v>
      </c>
      <c r="D65" s="202">
        <f t="shared" ref="D65:D69" si="41">E65+G65+F65</f>
      </c>
      <c r="E65" s="203">
        <v>0</v>
      </c>
      <c r="F65" s="203">
        <v>6059.85</v>
      </c>
      <c r="G65" s="203">
        <v>0</v>
      </c>
      <c r="H65" s="204">
        <v>27</v>
      </c>
      <c r="I65" s="203">
        <v>12532.5</v>
      </c>
      <c r="J65" s="206">
        <f t="shared" si="2"/>
      </c>
      <c r="K65" s="206">
        <f t="shared" si="293"/>
      </c>
      <c r="L65" s="206">
        <f t="shared" si="263"/>
      </c>
      <c r="M65" s="207">
        <f t="shared" si="202"/>
      </c>
      <c r="N65" s="208">
        <f t="shared" si="172"/>
      </c>
      <c r="O65" s="209">
        <f t="shared" si="142"/>
      </c>
      <c r="P65" s="208">
        <f t="shared" si="232"/>
      </c>
      <c r="Q65" s="210" t="s">
        <v>114</v>
      </c>
      <c r="R65" s="232" t="s">
        <v>129</v>
      </c>
      <c r="S65" s="229">
        <v>181926</v>
      </c>
      <c r="T65" s="229">
        <v>7618</v>
      </c>
      <c r="U65" s="229">
        <v>522</v>
      </c>
      <c r="V65" s="229">
        <v>13160</v>
      </c>
      <c r="W65" s="229">
        <v>1345</v>
      </c>
      <c r="X65" s="229">
        <v>45</v>
      </c>
      <c r="Y65" s="229">
        <v>87</v>
      </c>
    </row>
    <row r="66">
      <c r="A66" s="200"/>
      <c r="B66" s="201" t="s">
        <v>132</v>
      </c>
      <c r="C66" s="202" t="s">
        <v>134</v>
      </c>
      <c r="D66" s="202">
        <f t="shared" si="41"/>
      </c>
      <c r="E66" s="203">
        <v>0</v>
      </c>
      <c r="F66" s="203">
        <v>8460.34</v>
      </c>
      <c r="G66" s="203">
        <v>0</v>
      </c>
      <c r="H66" s="204">
        <v>30</v>
      </c>
      <c r="I66" s="203">
        <v>14511.33</v>
      </c>
      <c r="J66" s="206">
        <f t="shared" si="2"/>
      </c>
      <c r="K66" s="206">
        <f t="shared" si="293"/>
      </c>
      <c r="L66" s="206">
        <f t="shared" si="263"/>
      </c>
      <c r="M66" s="207">
        <f t="shared" si="202"/>
      </c>
      <c r="N66" s="208">
        <f t="shared" si="172"/>
      </c>
      <c r="O66" s="209">
        <f t="shared" si="142"/>
      </c>
      <c r="P66" s="208">
        <f t="shared" si="232"/>
      </c>
      <c r="Q66" s="210" t="s">
        <v>114</v>
      </c>
      <c r="R66" s="232" t="s">
        <v>129</v>
      </c>
      <c r="S66" s="233">
        <v>171426</v>
      </c>
      <c r="T66" s="233">
        <v>10068</v>
      </c>
      <c r="U66" s="233">
        <v>625</v>
      </c>
      <c r="V66" s="233">
        <v>16678</v>
      </c>
      <c r="W66" s="233">
        <v>1491</v>
      </c>
      <c r="X66" s="229">
        <v>52</v>
      </c>
      <c r="Y66" s="229">
        <v>103</v>
      </c>
    </row>
    <row r="67">
      <c r="A67" s="200"/>
      <c r="B67" s="201" t="s">
        <v>132</v>
      </c>
      <c r="C67" s="202" t="s">
        <v>135</v>
      </c>
      <c r="D67" s="202">
        <f t="shared" si="41"/>
      </c>
      <c r="E67" s="203">
        <v>0</v>
      </c>
      <c r="F67" s="203">
        <v>9323</v>
      </c>
      <c r="G67" s="203">
        <v>0</v>
      </c>
      <c r="H67" s="204">
        <v>40</v>
      </c>
      <c r="I67" s="203">
        <v>21906.27</v>
      </c>
      <c r="J67" s="206">
        <f t="shared" si="2"/>
      </c>
      <c r="K67" s="206">
        <f t="shared" si="293"/>
      </c>
      <c r="L67" s="206">
        <f t="shared" si="263"/>
      </c>
      <c r="M67" s="207">
        <f t="shared" si="202"/>
      </c>
      <c r="N67" s="208">
        <f t="shared" si="172"/>
      </c>
      <c r="O67" s="209">
        <f t="shared" si="142"/>
      </c>
      <c r="P67" s="208">
        <f t="shared" si="232"/>
      </c>
      <c r="Q67" s="210" t="s">
        <v>114</v>
      </c>
      <c r="R67" s="232" t="s">
        <v>129</v>
      </c>
      <c r="S67" s="233">
        <v>171918</v>
      </c>
      <c r="T67" s="233">
        <v>12179</v>
      </c>
      <c r="U67" s="233">
        <v>694</v>
      </c>
      <c r="V67" s="233">
        <v>20714</v>
      </c>
      <c r="W67" s="233">
        <v>1853</v>
      </c>
      <c r="X67" s="234">
        <v>60</v>
      </c>
      <c r="Y67" s="229">
        <v>104</v>
      </c>
    </row>
    <row customHeight="true" ht="16.666666666666668" r="68">
      <c r="A68" s="200"/>
      <c r="B68" s="201" t="s">
        <v>132</v>
      </c>
      <c r="C68" s="202" t="s">
        <v>136</v>
      </c>
      <c r="D68" s="202">
        <f t="shared" si="41"/>
      </c>
      <c r="E68" s="203">
        <v>0</v>
      </c>
      <c r="F68" s="203">
        <v>16389.41</v>
      </c>
      <c r="G68" s="203">
        <v>0</v>
      </c>
      <c r="H68" s="204">
        <v>64</v>
      </c>
      <c r="I68" s="203">
        <v>31901.65</v>
      </c>
      <c r="J68" s="206">
        <f t="shared" si="2"/>
      </c>
      <c r="K68" s="206">
        <f t="shared" si="293"/>
      </c>
      <c r="L68" s="206">
        <f t="shared" si="263"/>
      </c>
      <c r="M68" s="207">
        <f t="shared" si="202"/>
      </c>
      <c r="N68" s="208">
        <f t="shared" si="172"/>
      </c>
      <c r="O68" s="209">
        <f t="shared" si="142"/>
      </c>
      <c r="P68" s="208">
        <f t="shared" si="232"/>
      </c>
      <c r="Q68" s="210" t="s">
        <v>114</v>
      </c>
      <c r="R68" s="232" t="s">
        <v>129</v>
      </c>
      <c r="S68" s="233">
        <v>322519</v>
      </c>
      <c r="T68" s="233">
        <v>15493</v>
      </c>
      <c r="U68" s="233">
        <v>1166</v>
      </c>
      <c r="V68" s="233">
        <v>24633</v>
      </c>
      <c r="W68" s="233">
        <v>2257</v>
      </c>
      <c r="X68" s="234">
        <v>102</v>
      </c>
      <c r="Y68" s="229">
        <v>175</v>
      </c>
    </row>
    <row r="69">
      <c r="A69" s="200"/>
      <c r="B69" s="201" t="s">
        <v>132</v>
      </c>
      <c r="C69" s="203" t="s">
        <v>137</v>
      </c>
      <c r="D69" s="202">
        <f t="shared" si="41"/>
      </c>
      <c r="E69" s="203">
        <v>0</v>
      </c>
      <c r="F69" s="203">
        <f>8935.63+0.11</f>
      </c>
      <c r="G69" s="203">
        <v>0</v>
      </c>
      <c r="H69" s="204">
        <v>30</v>
      </c>
      <c r="I69" s="203">
        <v>21066.66</v>
      </c>
      <c r="J69" s="206">
        <f t="shared" si="2"/>
      </c>
      <c r="K69" s="206">
        <f t="shared" si="293"/>
      </c>
      <c r="L69" s="206">
        <f t="shared" si="263"/>
      </c>
      <c r="M69" s="207">
        <f t="shared" si="202"/>
      </c>
      <c r="N69" s="208">
        <f t="shared" si="172"/>
      </c>
      <c r="O69" s="209">
        <f t="shared" si="142"/>
      </c>
      <c r="P69" s="208">
        <f t="shared" si="232"/>
      </c>
      <c r="Q69" s="210" t="s">
        <v>114</v>
      </c>
      <c r="R69" s="232" t="s">
        <v>129</v>
      </c>
      <c r="S69" s="233">
        <v>168218</v>
      </c>
      <c r="T69" s="233">
        <v>7403</v>
      </c>
      <c r="U69" s="233">
        <v>508</v>
      </c>
      <c r="V69" s="233">
        <v>11692</v>
      </c>
      <c r="W69" s="233">
        <v>1214</v>
      </c>
      <c r="X69" s="229">
        <v>45</v>
      </c>
      <c r="Y69" s="229">
        <v>88</v>
      </c>
    </row>
    <row r="70">
      <c r="A70" s="200"/>
      <c r="B70" s="219" t="s">
        <v>119</v>
      </c>
      <c r="C70" s="219"/>
      <c r="D70" s="220">
        <f>SUM(D65:D69)</f>
      </c>
      <c r="E70" s="220">
        <f>SUM(E65:E69)</f>
      </c>
      <c r="F70" s="220">
        <f>SUM(F65:G69)</f>
      </c>
      <c r="G70" s="220"/>
      <c r="H70" s="220">
        <f>SUM(H65:H69)</f>
      </c>
      <c r="I70" s="220">
        <f>SUM(I65:I69)</f>
      </c>
      <c r="J70" s="222">
        <f t="shared" si="2"/>
      </c>
      <c r="K70" s="223">
        <f t="shared" si="293"/>
      </c>
      <c r="L70" s="224">
        <f t="shared" si="263"/>
      </c>
      <c r="M70" s="225">
        <f t="shared" si="202"/>
      </c>
      <c r="N70" s="225">
        <f t="shared" si="172"/>
      </c>
      <c r="O70" s="226">
        <f t="shared" si="142"/>
      </c>
      <c r="P70" s="225">
        <f t="shared" si="232"/>
      </c>
      <c r="Q70" s="226"/>
      <c r="R70" s="235"/>
      <c r="S70" s="220">
        <f>SUM(S65:S69)</f>
      </c>
      <c r="T70" s="220">
        <f>SUM(T65:T69)</f>
      </c>
      <c r="U70" s="220">
        <f>SUM(U65:U69)</f>
      </c>
      <c r="V70" s="220">
        <f>SUM(V65:V69)</f>
      </c>
      <c r="W70" s="220">
        <f>SUM(W65:W69)</f>
      </c>
      <c r="X70" s="220">
        <f>SUM(X65:X69)</f>
      </c>
      <c r="Y70" s="220">
        <f>SUM(Y65:Y69)</f>
      </c>
    </row>
    <row r="71">
      <c r="A71" s="200"/>
      <c r="B71" s="236" t="s">
        <v>138</v>
      </c>
      <c r="C71" s="236"/>
      <c r="D71" s="237">
        <f>D70+D64+D59+D54</f>
      </c>
      <c r="E71" s="237">
        <f>E70+E64+E59+E54</f>
      </c>
      <c r="F71" s="237">
        <f>F70+F64+F59+F54</f>
      </c>
      <c r="G71" s="237"/>
      <c r="H71" s="238">
        <f>H70+H64+H59+H54</f>
      </c>
      <c r="I71" s="237">
        <f>I70+I64+I59+I54</f>
      </c>
      <c r="J71" s="239">
        <f t="shared" si="2"/>
      </c>
      <c r="K71" s="239">
        <f t="shared" si="293"/>
      </c>
      <c r="L71" s="239">
        <f t="shared" si="263"/>
      </c>
      <c r="M71" s="240">
        <f t="shared" si="202"/>
      </c>
      <c r="N71" s="240">
        <f t="shared" si="172"/>
      </c>
      <c r="O71" s="239">
        <f t="shared" si="142"/>
      </c>
      <c r="P71" s="240">
        <f t="shared" si="232"/>
      </c>
      <c r="Q71" s="241"/>
      <c r="R71" s="242"/>
      <c r="S71" s="243">
        <f>S70+S64+S59+S54</f>
      </c>
      <c r="T71" s="243">
        <f>T70+T64+T59+T54</f>
      </c>
      <c r="U71" s="243">
        <f>U70+U64+U59+U54</f>
      </c>
      <c r="V71" s="243">
        <f>V70+V64+V59+V54</f>
      </c>
      <c r="W71" s="243">
        <f>W70+W64+W59+W54</f>
      </c>
      <c r="X71" s="244">
        <f>X70+X64+X59+X54</f>
      </c>
      <c r="Y71" s="238">
        <f>Y70+Y64+Y59+Y54</f>
      </c>
    </row>
    <row r="72">
      <c r="A72" s="188" t="s">
        <v>83</v>
      </c>
      <c r="B72" s="188"/>
      <c r="C72" s="188"/>
      <c r="D72" s="189" t="s">
        <v>84</v>
      </c>
      <c r="E72" s="189"/>
      <c r="F72" s="189"/>
      <c r="G72" s="189"/>
      <c r="H72" s="189"/>
      <c r="I72" s="189"/>
      <c r="J72" s="189"/>
      <c r="K72" s="189"/>
      <c r="L72" s="189"/>
      <c r="M72" s="190" t="s">
        <v>85</v>
      </c>
      <c r="N72" s="190"/>
      <c r="O72" s="190"/>
      <c r="P72" s="190"/>
      <c r="Q72" s="190"/>
      <c r="R72" s="190"/>
      <c r="S72" s="191" t="s">
        <v>86</v>
      </c>
      <c r="T72" s="191"/>
      <c r="U72" s="191"/>
      <c r="V72" s="191"/>
      <c r="W72" s="191"/>
      <c r="X72" s="191"/>
      <c r="Y72" s="191"/>
    </row>
    <row r="73">
      <c r="A73" s="192" t="s">
        <v>87</v>
      </c>
      <c r="B73" s="188" t="s">
        <v>88</v>
      </c>
      <c r="C73" s="188" t="s">
        <v>89</v>
      </c>
      <c r="D73" s="193" t="s">
        <v>90</v>
      </c>
      <c r="E73" s="193" t="s">
        <v>91</v>
      </c>
      <c r="F73" s="189" t="s">
        <v>92</v>
      </c>
      <c r="G73" s="189"/>
      <c r="H73" s="194" t="s">
        <v>93</v>
      </c>
      <c r="I73" s="189" t="s">
        <v>94</v>
      </c>
      <c r="J73" s="195" t="s">
        <v>95</v>
      </c>
      <c r="K73" s="196" t="s">
        <v>96</v>
      </c>
      <c r="L73" s="189" t="s">
        <v>97</v>
      </c>
      <c r="M73" s="190" t="s">
        <v>98</v>
      </c>
      <c r="N73" s="190" t="s">
        <v>99</v>
      </c>
      <c r="O73" s="190" t="s">
        <v>100</v>
      </c>
      <c r="P73" s="190" t="s">
        <v>101</v>
      </c>
      <c r="Q73" s="197" t="s">
        <v>102</v>
      </c>
      <c r="R73" s="197" t="s">
        <v>103</v>
      </c>
      <c r="S73" s="198" t="s">
        <v>104</v>
      </c>
      <c r="T73" s="198" t="s">
        <v>105</v>
      </c>
      <c r="U73" s="199" t="s">
        <v>106</v>
      </c>
      <c r="V73" s="199" t="s">
        <v>107</v>
      </c>
      <c r="W73" s="199" t="s">
        <v>108</v>
      </c>
      <c r="X73" s="199" t="s">
        <v>109</v>
      </c>
      <c r="Y73" s="199" t="s">
        <v>110</v>
      </c>
    </row>
    <row r="74">
      <c r="A74" s="200" t="s">
        <v>142</v>
      </c>
      <c r="B74" s="245" t="s">
        <v>112</v>
      </c>
      <c r="C74" s="202" t="s">
        <v>113</v>
      </c>
      <c r="D74" s="202">
        <f t="shared" ref="D74:D77" si="42">E74+G74+F74</f>
      </c>
      <c r="E74" s="202">
        <v>0</v>
      </c>
      <c r="F74" s="202">
        <v>3318.38</v>
      </c>
      <c r="G74" s="203">
        <v>0</v>
      </c>
      <c r="H74" s="204">
        <v>14</v>
      </c>
      <c r="I74" s="202">
        <v>6095.32</v>
      </c>
      <c r="J74" s="205">
        <f t="shared" ref="J74:J95" si="3">I74/D74</f>
      </c>
      <c r="K74" s="205">
        <f t="shared" ref="K74:K95" si="294">D74/H74</f>
      </c>
      <c r="L74" s="206">
        <f t="shared" ref="L74:L95" si="264">I74/H74</f>
      </c>
      <c r="M74" s="207">
        <f t="shared" ref="M74:M95" si="203">T74/S74</f>
      </c>
      <c r="N74" s="208">
        <f t="shared" ref="N74:N95" si="173">H74/X74</f>
      </c>
      <c r="O74" s="209">
        <f t="shared" ref="O74:O95" si="143">(Y74*1000)/D74</f>
      </c>
      <c r="P74" s="208">
        <f t="shared" ref="P74:P95" si="233">W74/V74</f>
      </c>
      <c r="Q74" s="210" t="s">
        <v>127</v>
      </c>
      <c r="R74" s="211" t="s">
        <v>141</v>
      </c>
      <c r="S74" s="212">
        <v>48319</v>
      </c>
      <c r="T74" s="212">
        <v>2788</v>
      </c>
      <c r="U74" s="213">
        <v>199</v>
      </c>
      <c r="V74" s="212">
        <v>4722</v>
      </c>
      <c r="W74" s="212">
        <v>643</v>
      </c>
      <c r="X74" s="214">
        <v>24</v>
      </c>
      <c r="Y74" s="214">
        <v>49</v>
      </c>
    </row>
    <row r="75">
      <c r="A75" s="200"/>
      <c r="B75" s="227" t="s">
        <v>112</v>
      </c>
      <c r="C75" s="202" t="s">
        <v>116</v>
      </c>
      <c r="D75" s="202">
        <f t="shared" si="42"/>
      </c>
      <c r="E75" s="202">
        <v>0</v>
      </c>
      <c r="F75" s="202">
        <v>1839.16</v>
      </c>
      <c r="G75" s="203">
        <v>0</v>
      </c>
      <c r="H75" s="215">
        <v>3</v>
      </c>
      <c r="I75" s="202">
        <v>1061.6599999999999</v>
      </c>
      <c r="J75" s="206">
        <f t="shared" si="3"/>
      </c>
      <c r="K75" s="206">
        <f t="shared" si="294"/>
      </c>
      <c r="L75" s="205">
        <f t="shared" si="264"/>
      </c>
      <c r="M75" s="207">
        <f t="shared" si="203"/>
      </c>
      <c r="N75" s="208">
        <f t="shared" si="173"/>
      </c>
      <c r="O75" s="209">
        <f t="shared" si="143"/>
      </c>
      <c r="P75" s="208">
        <f t="shared" si="233"/>
      </c>
      <c r="Q75" s="210" t="s">
        <v>127</v>
      </c>
      <c r="R75" s="211" t="s">
        <v>141</v>
      </c>
      <c r="S75" s="216">
        <v>29332</v>
      </c>
      <c r="T75" s="216">
        <v>1809</v>
      </c>
      <c r="U75" s="212">
        <v>145</v>
      </c>
      <c r="V75" s="212">
        <v>3598</v>
      </c>
      <c r="W75" s="212">
        <v>485</v>
      </c>
      <c r="X75" s="214">
        <v>6</v>
      </c>
      <c r="Y75" s="217">
        <v>36</v>
      </c>
    </row>
    <row r="76">
      <c r="A76" s="200"/>
      <c r="B76" s="227" t="s">
        <v>112</v>
      </c>
      <c r="C76" s="202" t="s">
        <v>117</v>
      </c>
      <c r="D76" s="202">
        <f t="shared" si="42"/>
      </c>
      <c r="E76" s="218">
        <v>0</v>
      </c>
      <c r="F76" s="202">
        <v>3046.07</v>
      </c>
      <c r="G76" s="203">
        <v>0</v>
      </c>
      <c r="H76" s="215">
        <v>16</v>
      </c>
      <c r="I76" s="202">
        <v>6622.200000000001</v>
      </c>
      <c r="J76" s="206">
        <f t="shared" si="3"/>
      </c>
      <c r="K76" s="206">
        <f t="shared" si="294"/>
      </c>
      <c r="L76" s="206">
        <f t="shared" si="264"/>
      </c>
      <c r="M76" s="207">
        <f t="shared" si="203"/>
      </c>
      <c r="N76" s="208">
        <f t="shared" si="173"/>
      </c>
      <c r="O76" s="209">
        <f t="shared" si="143"/>
      </c>
      <c r="P76" s="208">
        <f t="shared" si="233"/>
      </c>
      <c r="Q76" s="210" t="s">
        <v>127</v>
      </c>
      <c r="R76" s="211" t="s">
        <v>141</v>
      </c>
      <c r="S76" s="217">
        <v>59424</v>
      </c>
      <c r="T76" s="217">
        <v>1644</v>
      </c>
      <c r="U76" s="217">
        <v>246</v>
      </c>
      <c r="V76" s="217">
        <v>2933</v>
      </c>
      <c r="W76" s="217">
        <v>430</v>
      </c>
      <c r="X76" s="214">
        <v>24</v>
      </c>
      <c r="Y76" s="217">
        <v>47</v>
      </c>
    </row>
    <row r="77">
      <c r="A77" s="200"/>
      <c r="B77" s="227" t="s">
        <v>112</v>
      </c>
      <c r="C77" s="202" t="s">
        <v>118</v>
      </c>
      <c r="D77" s="202">
        <f t="shared" si="42"/>
      </c>
      <c r="E77" s="202">
        <v>0</v>
      </c>
      <c r="F77" s="202">
        <v>3860.88</v>
      </c>
      <c r="G77" s="203">
        <v>0</v>
      </c>
      <c r="H77" s="215">
        <v>13</v>
      </c>
      <c r="I77" s="202">
        <v>5109.119999999999</v>
      </c>
      <c r="J77" s="206">
        <f t="shared" si="3"/>
      </c>
      <c r="K77" s="206">
        <f t="shared" si="294"/>
      </c>
      <c r="L77" s="206">
        <f t="shared" si="264"/>
      </c>
      <c r="M77" s="207">
        <f t="shared" si="203"/>
      </c>
      <c r="N77" s="208">
        <f t="shared" si="173"/>
      </c>
      <c r="O77" s="209">
        <f t="shared" si="143"/>
      </c>
      <c r="P77" s="208">
        <f t="shared" si="233"/>
      </c>
      <c r="Q77" s="210" t="s">
        <v>127</v>
      </c>
      <c r="R77" s="211" t="s">
        <v>141</v>
      </c>
      <c r="S77" s="217">
        <v>89365</v>
      </c>
      <c r="T77" s="217">
        <v>1969</v>
      </c>
      <c r="U77" s="217">
        <v>252</v>
      </c>
      <c r="V77" s="217">
        <v>3666</v>
      </c>
      <c r="W77" s="217">
        <v>537</v>
      </c>
      <c r="X77" s="214">
        <v>24</v>
      </c>
      <c r="Y77" s="217">
        <v>65</v>
      </c>
    </row>
    <row r="78">
      <c r="A78" s="200"/>
      <c r="B78" s="219" t="s">
        <v>119</v>
      </c>
      <c r="C78" s="219"/>
      <c r="D78" s="220">
        <f>SUM(D74:D77)</f>
      </c>
      <c r="E78" s="220">
        <f>SUM(E74:E77)</f>
      </c>
      <c r="F78" s="220">
        <f>SUM(F74:G77)</f>
      </c>
      <c r="G78" s="220"/>
      <c r="H78" s="221">
        <f>SUM(H74:H77)</f>
      </c>
      <c r="I78" s="220">
        <f>SUM(I74:I77)</f>
      </c>
      <c r="J78" s="222">
        <f t="shared" si="3"/>
      </c>
      <c r="K78" s="223">
        <f t="shared" si="294"/>
      </c>
      <c r="L78" s="224">
        <f t="shared" si="264"/>
      </c>
      <c r="M78" s="225">
        <f t="shared" si="203"/>
      </c>
      <c r="N78" s="225">
        <f t="shared" si="173"/>
      </c>
      <c r="O78" s="226">
        <f t="shared" si="143"/>
      </c>
      <c r="P78" s="225">
        <f t="shared" si="233"/>
      </c>
      <c r="Q78" s="226"/>
      <c r="R78" s="226"/>
      <c r="S78" s="221">
        <f>SUM(S74:S77)</f>
      </c>
      <c r="T78" s="221">
        <f>SUM(T74:T77)</f>
      </c>
      <c r="U78" s="221">
        <f>SUM(U74:U77)</f>
      </c>
      <c r="V78" s="221">
        <f>SUM(V74:V77)</f>
      </c>
      <c r="W78" s="221">
        <f>SUM(W74:W77)</f>
      </c>
      <c r="X78" s="221">
        <f>SUM(X74:X77)</f>
      </c>
      <c r="Y78" s="221">
        <f>SUM(Y74:Y77)</f>
      </c>
    </row>
    <row r="79">
      <c r="A79" s="200"/>
      <c r="B79" s="201" t="s">
        <v>120</v>
      </c>
      <c r="C79" s="202" t="s">
        <v>121</v>
      </c>
      <c r="D79" s="202">
        <f t="shared" ref="D79:D82" si="43">E79+G79+F79</f>
      </c>
      <c r="E79" s="202">
        <v>0</v>
      </c>
      <c r="F79" s="202">
        <v>2975.22</v>
      </c>
      <c r="G79" s="203">
        <v>0</v>
      </c>
      <c r="H79" s="215">
        <v>7</v>
      </c>
      <c r="I79" s="202">
        <v>3297.380000000001</v>
      </c>
      <c r="J79" s="206">
        <f t="shared" si="3"/>
      </c>
      <c r="K79" s="206">
        <f t="shared" si="294"/>
      </c>
      <c r="L79" s="206">
        <f t="shared" si="264"/>
      </c>
      <c r="M79" s="207">
        <f t="shared" si="203"/>
      </c>
      <c r="N79" s="208">
        <f t="shared" si="173"/>
      </c>
      <c r="O79" s="209">
        <f t="shared" si="143"/>
      </c>
      <c r="P79" s="208">
        <f t="shared" si="233"/>
      </c>
      <c r="Q79" s="210" t="s">
        <v>127</v>
      </c>
      <c r="R79" s="211" t="s">
        <v>141</v>
      </c>
      <c r="S79" s="228">
        <v>43678</v>
      </c>
      <c r="T79" s="228">
        <v>2465</v>
      </c>
      <c r="U79" s="228">
        <v>230</v>
      </c>
      <c r="V79" s="228">
        <v>4786</v>
      </c>
      <c r="W79" s="228">
        <v>706</v>
      </c>
      <c r="X79" s="229">
        <v>15</v>
      </c>
      <c r="Y79" s="228">
        <v>41</v>
      </c>
    </row>
    <row r="80">
      <c r="A80" s="200"/>
      <c r="B80" s="201" t="s">
        <v>120</v>
      </c>
      <c r="C80" s="202" t="s">
        <v>122</v>
      </c>
      <c r="D80" s="202">
        <f t="shared" si="43"/>
      </c>
      <c r="E80" s="203">
        <v>0</v>
      </c>
      <c r="F80" s="203">
        <v>2947.16</v>
      </c>
      <c r="G80" s="203">
        <v>0</v>
      </c>
      <c r="H80" s="215">
        <v>18</v>
      </c>
      <c r="I80" s="202">
        <v>11622.379999999997</v>
      </c>
      <c r="J80" s="206">
        <f t="shared" si="3"/>
      </c>
      <c r="K80" s="206">
        <f t="shared" si="294"/>
      </c>
      <c r="L80" s="206">
        <f t="shared" si="264"/>
      </c>
      <c r="M80" s="207">
        <f t="shared" si="203"/>
      </c>
      <c r="N80" s="208">
        <f t="shared" si="173"/>
      </c>
      <c r="O80" s="209">
        <f t="shared" si="143"/>
      </c>
      <c r="P80" s="208">
        <f t="shared" si="233"/>
      </c>
      <c r="Q80" s="210" t="s">
        <v>127</v>
      </c>
      <c r="R80" s="211" t="s">
        <v>141</v>
      </c>
      <c r="S80" s="228">
        <v>51930</v>
      </c>
      <c r="T80" s="228">
        <v>2494</v>
      </c>
      <c r="U80" s="228">
        <v>202</v>
      </c>
      <c r="V80" s="228">
        <v>4379</v>
      </c>
      <c r="W80" s="228">
        <v>485</v>
      </c>
      <c r="X80" s="229">
        <v>21</v>
      </c>
      <c r="Y80" s="228">
        <v>41</v>
      </c>
    </row>
    <row r="81">
      <c r="A81" s="200"/>
      <c r="B81" s="201" t="s">
        <v>120</v>
      </c>
      <c r="C81" s="202" t="s">
        <v>123</v>
      </c>
      <c r="D81" s="202">
        <f t="shared" si="43"/>
      </c>
      <c r="E81" s="203">
        <v>0</v>
      </c>
      <c r="F81" s="202">
        <v>4680.49</v>
      </c>
      <c r="G81" s="203">
        <v>0</v>
      </c>
      <c r="H81" s="215">
        <v>15</v>
      </c>
      <c r="I81" s="202">
        <v>6829.459999999999</v>
      </c>
      <c r="J81" s="206">
        <f t="shared" si="3"/>
      </c>
      <c r="K81" s="206">
        <f t="shared" si="294"/>
      </c>
      <c r="L81" s="206">
        <f t="shared" si="264"/>
      </c>
      <c r="M81" s="207">
        <f t="shared" si="203"/>
      </c>
      <c r="N81" s="208">
        <f t="shared" si="173"/>
      </c>
      <c r="O81" s="209">
        <f t="shared" si="143"/>
      </c>
      <c r="P81" s="208">
        <f t="shared" si="233"/>
      </c>
      <c r="Q81" s="210" t="s">
        <v>127</v>
      </c>
      <c r="R81" s="211" t="s">
        <v>141</v>
      </c>
      <c r="S81" s="228">
        <v>116970</v>
      </c>
      <c r="T81" s="228">
        <v>4311</v>
      </c>
      <c r="U81" s="228">
        <v>333</v>
      </c>
      <c r="V81" s="228">
        <v>7240</v>
      </c>
      <c r="W81" s="228">
        <v>762</v>
      </c>
      <c r="X81" s="229">
        <v>25</v>
      </c>
      <c r="Y81" s="228">
        <v>80</v>
      </c>
    </row>
    <row r="82">
      <c r="A82" s="200"/>
      <c r="B82" s="201" t="s">
        <v>120</v>
      </c>
      <c r="C82" s="202" t="s">
        <v>124</v>
      </c>
      <c r="D82" s="202">
        <f t="shared" si="43"/>
      </c>
      <c r="E82" s="203">
        <v>0</v>
      </c>
      <c r="F82" s="202">
        <v>4294.57</v>
      </c>
      <c r="G82" s="203">
        <v>0</v>
      </c>
      <c r="H82" s="215">
        <v>11</v>
      </c>
      <c r="I82" s="202">
        <v>6451.68</v>
      </c>
      <c r="J82" s="206">
        <f t="shared" si="3"/>
      </c>
      <c r="K82" s="206">
        <f t="shared" si="294"/>
      </c>
      <c r="L82" s="206">
        <f t="shared" si="264"/>
      </c>
      <c r="M82" s="207">
        <f t="shared" si="203"/>
      </c>
      <c r="N82" s="208">
        <f t="shared" si="173"/>
      </c>
      <c r="O82" s="209">
        <f t="shared" si="143"/>
      </c>
      <c r="P82" s="208">
        <f t="shared" si="233"/>
      </c>
      <c r="Q82" s="210" t="s">
        <v>127</v>
      </c>
      <c r="R82" s="211" t="s">
        <v>141</v>
      </c>
      <c r="S82" s="228">
        <v>96850</v>
      </c>
      <c r="T82" s="228">
        <v>4070</v>
      </c>
      <c r="U82" s="228">
        <v>298</v>
      </c>
      <c r="V82" s="228">
        <v>7274</v>
      </c>
      <c r="W82" s="228">
        <v>864</v>
      </c>
      <c r="X82" s="229">
        <v>20</v>
      </c>
      <c r="Y82" s="228">
        <v>52</v>
      </c>
    </row>
    <row r="83">
      <c r="A83" s="200"/>
      <c r="B83" s="219" t="s">
        <v>119</v>
      </c>
      <c r="C83" s="219"/>
      <c r="D83" s="220">
        <f>SUM(D79:D82)</f>
      </c>
      <c r="E83" s="220">
        <f>SUM(E79:E82)</f>
      </c>
      <c r="F83" s="220">
        <f>SUM(F79:G82)</f>
      </c>
      <c r="G83" s="220"/>
      <c r="H83" s="221">
        <f>SUM(H79:H82)</f>
      </c>
      <c r="I83" s="220">
        <f>SUM(I79:I82)</f>
      </c>
      <c r="J83" s="222">
        <f t="shared" si="3"/>
      </c>
      <c r="K83" s="223">
        <f t="shared" si="294"/>
      </c>
      <c r="L83" s="224">
        <f t="shared" si="264"/>
      </c>
      <c r="M83" s="225">
        <f t="shared" si="203"/>
      </c>
      <c r="N83" s="225">
        <f t="shared" si="173"/>
      </c>
      <c r="O83" s="226">
        <f t="shared" si="143"/>
      </c>
      <c r="P83" s="225">
        <f t="shared" si="233"/>
      </c>
      <c r="Q83" s="226"/>
      <c r="R83" s="226"/>
      <c r="S83" s="221">
        <f>SUM(S79:S82)</f>
      </c>
      <c r="T83" s="221">
        <f>SUM(T79:T82)</f>
      </c>
      <c r="U83" s="221">
        <f>SUM(U79:U82)</f>
      </c>
      <c r="V83" s="221">
        <f>SUM(V79:V82)</f>
      </c>
      <c r="W83" s="221">
        <f>SUM(W79:W82)</f>
      </c>
      <c r="X83" s="221">
        <f>SUM(X79:X82)</f>
      </c>
      <c r="Y83" s="221">
        <f>SUM(Y79:Y82)</f>
      </c>
    </row>
    <row r="84">
      <c r="A84" s="200"/>
      <c r="B84" s="201" t="s">
        <v>125</v>
      </c>
      <c r="C84" s="202" t="s">
        <v>126</v>
      </c>
      <c r="D84" s="202">
        <f t="shared" ref="D84:D87" si="44">E84+G84+F84</f>
      </c>
      <c r="E84" s="203">
        <v>0</v>
      </c>
      <c r="F84" s="203">
        <v>3494.28</v>
      </c>
      <c r="G84" s="203">
        <v>0</v>
      </c>
      <c r="H84" s="204">
        <v>13</v>
      </c>
      <c r="I84" s="203">
        <v>3682.94</v>
      </c>
      <c r="J84" s="206">
        <f t="shared" si="3"/>
      </c>
      <c r="K84" s="206">
        <f t="shared" si="294"/>
      </c>
      <c r="L84" s="206">
        <f t="shared" si="264"/>
      </c>
      <c r="M84" s="207">
        <f t="shared" si="203"/>
      </c>
      <c r="N84" s="208">
        <f t="shared" si="173"/>
      </c>
      <c r="O84" s="209">
        <f t="shared" si="143"/>
      </c>
      <c r="P84" s="208">
        <f t="shared" si="233"/>
      </c>
      <c r="Q84" s="210" t="s">
        <v>127</v>
      </c>
      <c r="R84" s="211" t="s">
        <v>141</v>
      </c>
      <c r="S84" s="230">
        <v>61649</v>
      </c>
      <c r="T84" s="230">
        <v>3358</v>
      </c>
      <c r="U84" s="230">
        <v>238</v>
      </c>
      <c r="V84" s="230">
        <v>5959</v>
      </c>
      <c r="W84" s="230">
        <v>696</v>
      </c>
      <c r="X84" s="234">
        <v>25</v>
      </c>
      <c r="Y84" s="229">
        <v>47</v>
      </c>
    </row>
    <row r="85">
      <c r="A85" s="200"/>
      <c r="B85" s="201" t="s">
        <v>125</v>
      </c>
      <c r="C85" s="202" t="s">
        <v>128</v>
      </c>
      <c r="D85" s="202">
        <f t="shared" si="44"/>
      </c>
      <c r="E85" s="203">
        <v>0</v>
      </c>
      <c r="F85" s="203">
        <v>4025.73</v>
      </c>
      <c r="G85" s="203">
        <v>0</v>
      </c>
      <c r="H85" s="204">
        <v>10</v>
      </c>
      <c r="I85" s="203">
        <v>4810.46</v>
      </c>
      <c r="J85" s="206">
        <f t="shared" si="3"/>
      </c>
      <c r="K85" s="206">
        <f t="shared" si="294"/>
      </c>
      <c r="L85" s="206">
        <f t="shared" si="264"/>
      </c>
      <c r="M85" s="207">
        <f t="shared" si="203"/>
      </c>
      <c r="N85" s="208">
        <f t="shared" si="173"/>
      </c>
      <c r="O85" s="209">
        <f t="shared" si="143"/>
      </c>
      <c r="P85" s="208">
        <f t="shared" si="233"/>
      </c>
      <c r="Q85" s="210" t="s">
        <v>114</v>
      </c>
      <c r="R85" s="231" t="s">
        <v>129</v>
      </c>
      <c r="S85" s="229">
        <v>70248</v>
      </c>
      <c r="T85" s="229">
        <v>4348</v>
      </c>
      <c r="U85" s="229">
        <v>229</v>
      </c>
      <c r="V85" s="229">
        <v>7962</v>
      </c>
      <c r="W85" s="229">
        <v>962</v>
      </c>
      <c r="X85" s="229">
        <v>18</v>
      </c>
      <c r="Y85" s="229">
        <v>49</v>
      </c>
    </row>
    <row r="86">
      <c r="A86" s="200"/>
      <c r="B86" s="201" t="s">
        <v>125</v>
      </c>
      <c r="C86" s="202" t="s">
        <v>130</v>
      </c>
      <c r="D86" s="202">
        <f t="shared" si="44"/>
      </c>
      <c r="E86" s="203">
        <v>0</v>
      </c>
      <c r="F86" s="203">
        <v>4604.04</v>
      </c>
      <c r="G86" s="203">
        <v>0</v>
      </c>
      <c r="H86" s="204">
        <v>15</v>
      </c>
      <c r="I86" s="203">
        <v>5957.94</v>
      </c>
      <c r="J86" s="206">
        <f t="shared" si="3"/>
      </c>
      <c r="K86" s="206">
        <f t="shared" si="294"/>
      </c>
      <c r="L86" s="206">
        <f t="shared" si="264"/>
      </c>
      <c r="M86" s="207">
        <f t="shared" si="203"/>
      </c>
      <c r="N86" s="208">
        <f t="shared" si="173"/>
      </c>
      <c r="O86" s="209">
        <f t="shared" si="143"/>
      </c>
      <c r="P86" s="208">
        <f t="shared" si="233"/>
      </c>
      <c r="Q86" s="210" t="s">
        <v>114</v>
      </c>
      <c r="R86" s="232" t="s">
        <v>129</v>
      </c>
      <c r="S86" s="229">
        <v>68011</v>
      </c>
      <c r="T86" s="229">
        <v>5299</v>
      </c>
      <c r="U86" s="229">
        <v>276</v>
      </c>
      <c r="V86" s="229">
        <v>10090</v>
      </c>
      <c r="W86" s="229">
        <v>1318</v>
      </c>
      <c r="X86" s="229">
        <v>26</v>
      </c>
      <c r="Y86" s="229">
        <v>91</v>
      </c>
    </row>
    <row r="87">
      <c r="A87" s="200"/>
      <c r="B87" s="201" t="s">
        <v>125</v>
      </c>
      <c r="C87" s="202" t="s">
        <v>131</v>
      </c>
      <c r="D87" s="202">
        <f t="shared" si="44"/>
      </c>
      <c r="E87" s="203">
        <v>0</v>
      </c>
      <c r="F87" s="203">
        <v>1517.78</v>
      </c>
      <c r="G87" s="203">
        <v>0</v>
      </c>
      <c r="H87" s="204">
        <v>5</v>
      </c>
      <c r="I87" s="203">
        <v>4236</v>
      </c>
      <c r="J87" s="206">
        <f t="shared" si="3"/>
      </c>
      <c r="K87" s="206">
        <f t="shared" si="294"/>
      </c>
      <c r="L87" s="206">
        <f t="shared" si="264"/>
      </c>
      <c r="M87" s="207">
        <f t="shared" si="203"/>
      </c>
      <c r="N87" s="208">
        <f t="shared" si="173"/>
      </c>
      <c r="O87" s="209">
        <f t="shared" si="143"/>
      </c>
      <c r="P87" s="208">
        <f t="shared" si="233"/>
      </c>
      <c r="Q87" s="210" t="s">
        <v>114</v>
      </c>
      <c r="R87" s="232" t="s">
        <v>129</v>
      </c>
      <c r="S87" s="229">
        <v>29831</v>
      </c>
      <c r="T87" s="229">
        <v>1659</v>
      </c>
      <c r="U87" s="229">
        <v>142</v>
      </c>
      <c r="V87" s="229">
        <v>2972</v>
      </c>
      <c r="W87" s="229">
        <v>440</v>
      </c>
      <c r="X87" s="229">
        <v>9</v>
      </c>
      <c r="Y87" s="229">
        <v>37</v>
      </c>
    </row>
    <row r="88">
      <c r="A88" s="200"/>
      <c r="B88" s="219" t="s">
        <v>119</v>
      </c>
      <c r="C88" s="219"/>
      <c r="D88" s="220">
        <f>SUM(D84:D87)</f>
      </c>
      <c r="E88" s="220">
        <f>SUM(E84:E87)</f>
      </c>
      <c r="F88" s="220">
        <f>SUM(F84:G87)</f>
      </c>
      <c r="G88" s="220"/>
      <c r="H88" s="221">
        <f>SUM(H84:H87)</f>
      </c>
      <c r="I88" s="220">
        <f>SUM(I84:I87)</f>
      </c>
      <c r="J88" s="222">
        <f t="shared" si="3"/>
      </c>
      <c r="K88" s="223">
        <f t="shared" si="294"/>
      </c>
      <c r="L88" s="224">
        <f t="shared" si="264"/>
      </c>
      <c r="M88" s="225">
        <f t="shared" si="203"/>
      </c>
      <c r="N88" s="225">
        <f t="shared" si="173"/>
      </c>
      <c r="O88" s="226">
        <f t="shared" si="143"/>
      </c>
      <c r="P88" s="225">
        <f t="shared" si="233"/>
      </c>
      <c r="Q88" s="226"/>
      <c r="R88" s="226"/>
      <c r="S88" s="221">
        <f>SUM(S84:S87)</f>
      </c>
      <c r="T88" s="221">
        <f>SUM(T84:T87)</f>
      </c>
      <c r="U88" s="221">
        <f>SUM(U84:U87)</f>
      </c>
      <c r="V88" s="221">
        <f>SUM(V84:V87)</f>
      </c>
      <c r="W88" s="221">
        <f>SUM(W84:W87)</f>
      </c>
      <c r="X88" s="221">
        <f>SUM(X84:X87)</f>
      </c>
      <c r="Y88" s="221">
        <f>SUM(Y84:Y87)</f>
      </c>
    </row>
    <row r="89">
      <c r="A89" s="200"/>
      <c r="B89" s="201" t="s">
        <v>132</v>
      </c>
      <c r="C89" s="202" t="s">
        <v>133</v>
      </c>
      <c r="D89" s="202">
        <f t="shared" ref="D89:D93" si="45">E89+G89+F89</f>
      </c>
      <c r="E89" s="203">
        <v>0</v>
      </c>
      <c r="F89" s="203">
        <v>4013.84</v>
      </c>
      <c r="G89" s="203">
        <v>0</v>
      </c>
      <c r="H89" s="204">
        <v>14</v>
      </c>
      <c r="I89" s="203">
        <v>6171.36</v>
      </c>
      <c r="J89" s="206">
        <f t="shared" si="3"/>
      </c>
      <c r="K89" s="206">
        <f t="shared" si="294"/>
      </c>
      <c r="L89" s="206">
        <f t="shared" si="264"/>
      </c>
      <c r="M89" s="207">
        <f t="shared" si="203"/>
      </c>
      <c r="N89" s="208">
        <f t="shared" si="173"/>
      </c>
      <c r="O89" s="209">
        <f t="shared" si="143"/>
      </c>
      <c r="P89" s="208">
        <f t="shared" si="233"/>
      </c>
      <c r="Q89" s="210" t="s">
        <v>114</v>
      </c>
      <c r="R89" s="232" t="s">
        <v>129</v>
      </c>
      <c r="S89" s="229">
        <v>84443</v>
      </c>
      <c r="T89" s="229">
        <v>2629</v>
      </c>
      <c r="U89" s="229">
        <v>275</v>
      </c>
      <c r="V89" s="229">
        <v>4758</v>
      </c>
      <c r="W89" s="229">
        <v>510</v>
      </c>
      <c r="X89" s="229">
        <v>24</v>
      </c>
      <c r="Y89" s="229">
        <v>48</v>
      </c>
    </row>
    <row r="90">
      <c r="A90" s="200"/>
      <c r="B90" s="201" t="s">
        <v>132</v>
      </c>
      <c r="C90" s="202" t="s">
        <v>134</v>
      </c>
      <c r="D90" s="202">
        <f t="shared" si="45"/>
      </c>
      <c r="E90" s="203">
        <v>0</v>
      </c>
      <c r="F90" s="203">
        <v>6163.61</v>
      </c>
      <c r="G90" s="203">
        <v>0</v>
      </c>
      <c r="H90" s="204">
        <v>24</v>
      </c>
      <c r="I90" s="203">
        <v>7404.06</v>
      </c>
      <c r="J90" s="206">
        <f t="shared" si="3"/>
      </c>
      <c r="K90" s="206">
        <f t="shared" si="294"/>
      </c>
      <c r="L90" s="206">
        <f t="shared" si="264"/>
      </c>
      <c r="M90" s="207">
        <f t="shared" si="203"/>
      </c>
      <c r="N90" s="208">
        <f t="shared" si="173"/>
      </c>
      <c r="O90" s="209">
        <f t="shared" si="143"/>
      </c>
      <c r="P90" s="208">
        <f t="shared" si="233"/>
      </c>
      <c r="Q90" s="210" t="s">
        <v>114</v>
      </c>
      <c r="R90" s="232" t="s">
        <v>129</v>
      </c>
      <c r="S90" s="233">
        <v>133156</v>
      </c>
      <c r="T90" s="233">
        <v>4184</v>
      </c>
      <c r="U90" s="233">
        <v>430</v>
      </c>
      <c r="V90" s="233">
        <v>6755</v>
      </c>
      <c r="W90" s="233">
        <v>783</v>
      </c>
      <c r="X90" s="233">
        <v>39</v>
      </c>
      <c r="Y90" s="229">
        <v>91</v>
      </c>
    </row>
    <row r="91">
      <c r="A91" s="200"/>
      <c r="B91" s="201" t="s">
        <v>132</v>
      </c>
      <c r="C91" s="202" t="s">
        <v>135</v>
      </c>
      <c r="D91" s="202">
        <f t="shared" si="45"/>
      </c>
      <c r="E91" s="203">
        <v>0</v>
      </c>
      <c r="F91" s="203">
        <v>12358.06</v>
      </c>
      <c r="G91" s="203">
        <v>0</v>
      </c>
      <c r="H91" s="204">
        <v>52</v>
      </c>
      <c r="I91" s="203">
        <v>25176.52</v>
      </c>
      <c r="J91" s="206">
        <f t="shared" si="3"/>
      </c>
      <c r="K91" s="206">
        <f t="shared" si="294"/>
      </c>
      <c r="L91" s="206">
        <f t="shared" si="264"/>
      </c>
      <c r="M91" s="207">
        <f t="shared" si="203"/>
      </c>
      <c r="N91" s="208">
        <f t="shared" si="173"/>
      </c>
      <c r="O91" s="209">
        <f t="shared" si="143"/>
      </c>
      <c r="P91" s="208">
        <f t="shared" si="233"/>
      </c>
      <c r="Q91" s="210" t="s">
        <v>114</v>
      </c>
      <c r="R91" s="232" t="s">
        <v>129</v>
      </c>
      <c r="S91" s="233">
        <v>255610</v>
      </c>
      <c r="T91" s="233">
        <v>14115</v>
      </c>
      <c r="U91" s="233">
        <v>853</v>
      </c>
      <c r="V91" s="233">
        <v>24701</v>
      </c>
      <c r="W91" s="246">
        <v>2550</v>
      </c>
      <c r="X91" s="247">
        <v>82</v>
      </c>
      <c r="Y91" s="248">
        <v>129</v>
      </c>
    </row>
    <row r="92">
      <c r="A92" s="200"/>
      <c r="B92" s="201" t="s">
        <v>132</v>
      </c>
      <c r="C92" s="202" t="s">
        <v>136</v>
      </c>
      <c r="D92" s="202">
        <f t="shared" si="45"/>
      </c>
      <c r="E92" s="203">
        <v>0</v>
      </c>
      <c r="F92" s="203">
        <v>25020</v>
      </c>
      <c r="G92" s="203">
        <v>0</v>
      </c>
      <c r="H92" s="204">
        <v>90</v>
      </c>
      <c r="I92" s="203">
        <v>48650.15</v>
      </c>
      <c r="J92" s="206">
        <f t="shared" si="3"/>
      </c>
      <c r="K92" s="206">
        <f t="shared" si="294"/>
      </c>
      <c r="L92" s="206">
        <f t="shared" si="264"/>
      </c>
      <c r="M92" s="207">
        <f t="shared" si="203"/>
      </c>
      <c r="N92" s="208">
        <f t="shared" si="173"/>
      </c>
      <c r="O92" s="209">
        <f t="shared" si="143"/>
      </c>
      <c r="P92" s="208">
        <f t="shared" si="233"/>
      </c>
      <c r="Q92" s="210" t="s">
        <v>114</v>
      </c>
      <c r="R92" s="232" t="s">
        <v>129</v>
      </c>
      <c r="S92" s="233">
        <v>527540</v>
      </c>
      <c r="T92" s="233">
        <v>29939</v>
      </c>
      <c r="U92" s="233">
        <v>1768</v>
      </c>
      <c r="V92" s="233">
        <v>55337</v>
      </c>
      <c r="W92" s="246">
        <v>5942</v>
      </c>
      <c r="X92" s="247">
        <v>135</v>
      </c>
      <c r="Y92" s="248">
        <v>248</v>
      </c>
    </row>
    <row r="93">
      <c r="A93" s="200"/>
      <c r="B93" s="201" t="s">
        <v>132</v>
      </c>
      <c r="C93" s="203" t="s">
        <v>137</v>
      </c>
      <c r="D93" s="202">
        <f t="shared" si="45"/>
      </c>
      <c r="E93" s="203">
        <v>0</v>
      </c>
      <c r="F93" s="203">
        <f>4964.02+0.03</f>
      </c>
      <c r="G93" s="203">
        <v>0</v>
      </c>
      <c r="H93" s="204">
        <v>22</v>
      </c>
      <c r="I93" s="203">
        <v>7039.82</v>
      </c>
      <c r="J93" s="206">
        <f t="shared" si="3"/>
      </c>
      <c r="K93" s="206">
        <f t="shared" si="294"/>
      </c>
      <c r="L93" s="206">
        <f t="shared" si="264"/>
      </c>
      <c r="M93" s="207">
        <f t="shared" si="203"/>
      </c>
      <c r="N93" s="208">
        <f t="shared" si="173"/>
      </c>
      <c r="O93" s="209">
        <f t="shared" si="143"/>
      </c>
      <c r="P93" s="208">
        <f t="shared" si="233"/>
      </c>
      <c r="Q93" s="210" t="s">
        <v>114</v>
      </c>
      <c r="R93" s="232" t="s">
        <v>129</v>
      </c>
      <c r="S93" s="233">
        <v>105522</v>
      </c>
      <c r="T93" s="233">
        <v>3519</v>
      </c>
      <c r="U93" s="233">
        <v>307</v>
      </c>
      <c r="V93" s="233">
        <v>5563</v>
      </c>
      <c r="W93" s="233">
        <v>664</v>
      </c>
      <c r="X93" s="249">
        <v>30</v>
      </c>
      <c r="Y93" s="229">
        <v>56</v>
      </c>
    </row>
    <row r="94">
      <c r="A94" s="200"/>
      <c r="B94" s="219" t="s">
        <v>119</v>
      </c>
      <c r="C94" s="219"/>
      <c r="D94" s="220">
        <f>SUM(D89:D93)</f>
      </c>
      <c r="E94" s="220">
        <f>SUM(E89:E93)</f>
      </c>
      <c r="F94" s="220">
        <f>SUM(F89:G93)</f>
      </c>
      <c r="G94" s="220"/>
      <c r="H94" s="220">
        <f>SUM(H89:H93)</f>
      </c>
      <c r="I94" s="220">
        <f>SUM(I89:I93)</f>
      </c>
      <c r="J94" s="222">
        <f t="shared" si="3"/>
      </c>
      <c r="K94" s="223">
        <f t="shared" si="294"/>
      </c>
      <c r="L94" s="224">
        <f t="shared" si="264"/>
      </c>
      <c r="M94" s="225">
        <f t="shared" si="203"/>
      </c>
      <c r="N94" s="225">
        <f t="shared" si="173"/>
      </c>
      <c r="O94" s="226">
        <f t="shared" si="143"/>
      </c>
      <c r="P94" s="225">
        <f t="shared" si="233"/>
      </c>
      <c r="Q94" s="226"/>
      <c r="R94" s="235"/>
      <c r="S94" s="220">
        <f>SUM(S89:S93)</f>
      </c>
      <c r="T94" s="220">
        <f>SUM(T89:T93)</f>
      </c>
      <c r="U94" s="220">
        <f>SUM(U89:U93)</f>
      </c>
      <c r="V94" s="220">
        <f>SUM(V89:V93)</f>
      </c>
      <c r="W94" s="220">
        <f>SUM(W89:W93)</f>
      </c>
      <c r="X94" s="220">
        <f>SUM(X89:X93)</f>
      </c>
      <c r="Y94" s="220">
        <f>SUM(Y89:Y93)</f>
      </c>
    </row>
    <row r="95">
      <c r="A95" s="200"/>
      <c r="B95" s="236" t="s">
        <v>138</v>
      </c>
      <c r="C95" s="236"/>
      <c r="D95" s="237">
        <f>D94+D88+D83+D78</f>
      </c>
      <c r="E95" s="237">
        <f>E94+E88+E83+E78</f>
      </c>
      <c r="F95" s="237">
        <f>F94+F88+F83+F78</f>
      </c>
      <c r="G95" s="237"/>
      <c r="H95" s="238">
        <f>H94+H88+H83+H78</f>
      </c>
      <c r="I95" s="237">
        <f>I94+I88+I83+I78</f>
      </c>
      <c r="J95" s="239">
        <f t="shared" si="3"/>
      </c>
      <c r="K95" s="239">
        <f t="shared" si="294"/>
      </c>
      <c r="L95" s="239">
        <f t="shared" si="264"/>
      </c>
      <c r="M95" s="240">
        <f t="shared" si="203"/>
      </c>
      <c r="N95" s="240">
        <f t="shared" si="173"/>
      </c>
      <c r="O95" s="239">
        <f t="shared" si="143"/>
      </c>
      <c r="P95" s="240">
        <f t="shared" si="233"/>
      </c>
      <c r="Q95" s="241"/>
      <c r="R95" s="242"/>
      <c r="S95" s="243">
        <f>S94+S88+S83+S78</f>
      </c>
      <c r="T95" s="243">
        <f>T94+T88+T83+T78</f>
      </c>
      <c r="U95" s="243">
        <f>U94+U88+U83+U78</f>
      </c>
      <c r="V95" s="243">
        <f>V94+V88+V83+V78</f>
      </c>
      <c r="W95" s="243">
        <f>W94+W88+W83+W78</f>
      </c>
      <c r="X95" s="244">
        <f>X94+X88+X83+X78</f>
      </c>
      <c r="Y95" s="238">
        <f>Y94+Y88+Y83+Y78</f>
      </c>
    </row>
    <row r="96">
      <c r="A96" s="188" t="s">
        <v>83</v>
      </c>
      <c r="B96" s="188"/>
      <c r="C96" s="188"/>
      <c r="D96" s="189" t="s">
        <v>84</v>
      </c>
      <c r="E96" s="189"/>
      <c r="F96" s="189"/>
      <c r="G96" s="189"/>
      <c r="H96" s="189"/>
      <c r="I96" s="189"/>
      <c r="J96" s="189"/>
      <c r="K96" s="189"/>
      <c r="L96" s="189"/>
      <c r="M96" s="190" t="s">
        <v>85</v>
      </c>
      <c r="N96" s="190"/>
      <c r="O96" s="190"/>
      <c r="P96" s="190"/>
      <c r="Q96" s="190"/>
      <c r="R96" s="190"/>
      <c r="S96" s="191" t="s">
        <v>86</v>
      </c>
      <c r="T96" s="191"/>
      <c r="U96" s="191"/>
      <c r="V96" s="191"/>
      <c r="W96" s="191"/>
      <c r="X96" s="191"/>
      <c r="Y96" s="191"/>
    </row>
    <row r="97">
      <c r="A97" s="192" t="s">
        <v>87</v>
      </c>
      <c r="B97" s="188" t="s">
        <v>88</v>
      </c>
      <c r="C97" s="188" t="s">
        <v>89</v>
      </c>
      <c r="D97" s="193" t="s">
        <v>90</v>
      </c>
      <c r="E97" s="193" t="s">
        <v>91</v>
      </c>
      <c r="F97" s="189" t="s">
        <v>92</v>
      </c>
      <c r="G97" s="189"/>
      <c r="H97" s="194" t="s">
        <v>93</v>
      </c>
      <c r="I97" s="189" t="s">
        <v>94</v>
      </c>
      <c r="J97" s="195" t="s">
        <v>95</v>
      </c>
      <c r="K97" s="196" t="s">
        <v>96</v>
      </c>
      <c r="L97" s="189" t="s">
        <v>97</v>
      </c>
      <c r="M97" s="190" t="s">
        <v>98</v>
      </c>
      <c r="N97" s="190" t="s">
        <v>99</v>
      </c>
      <c r="O97" s="190" t="s">
        <v>100</v>
      </c>
      <c r="P97" s="190" t="s">
        <v>101</v>
      </c>
      <c r="Q97" s="197" t="s">
        <v>102</v>
      </c>
      <c r="R97" s="197" t="s">
        <v>103</v>
      </c>
      <c r="S97" s="198" t="s">
        <v>104</v>
      </c>
      <c r="T97" s="198" t="s">
        <v>105</v>
      </c>
      <c r="U97" s="199" t="s">
        <v>106</v>
      </c>
      <c r="V97" s="199" t="s">
        <v>107</v>
      </c>
      <c r="W97" s="199" t="s">
        <v>108</v>
      </c>
      <c r="X97" s="199" t="s">
        <v>109</v>
      </c>
      <c r="Y97" s="199" t="s">
        <v>110</v>
      </c>
    </row>
    <row r="98">
      <c r="A98" s="200" t="s">
        <v>143</v>
      </c>
      <c r="B98" s="245" t="s">
        <v>120</v>
      </c>
      <c r="C98" s="202" t="s">
        <v>113</v>
      </c>
      <c r="D98" s="202">
        <f t="shared" ref="D98:D101" si="46">E98+G98+F98</f>
      </c>
      <c r="E98" s="202">
        <v>0</v>
      </c>
      <c r="F98" s="202">
        <v>3937.28</v>
      </c>
      <c r="G98" s="203">
        <v>0</v>
      </c>
      <c r="H98" s="204">
        <v>17</v>
      </c>
      <c r="I98" s="202">
        <v>9654.56</v>
      </c>
      <c r="J98" s="205">
        <f t="shared" ref="J98:J119" si="4">I98/D98</f>
      </c>
      <c r="K98" s="205">
        <f t="shared" ref="K98:K119" si="295">D98/H98</f>
      </c>
      <c r="L98" s="206">
        <f t="shared" ref="L98:L119" si="265">I98/H98</f>
      </c>
      <c r="M98" s="207">
        <f t="shared" ref="M98:M119" si="204">T98/S98</f>
      </c>
      <c r="N98" s="208">
        <f t="shared" ref="N98:N119" si="174">H98/X98</f>
      </c>
      <c r="O98" s="209">
        <f t="shared" ref="O98:O119" si="144">(Y98*1000)/D98</f>
      </c>
      <c r="P98" s="208">
        <f t="shared" ref="P98:P119" si="234">W98/V98</f>
      </c>
      <c r="Q98" s="210" t="s">
        <v>127</v>
      </c>
      <c r="R98" s="211" t="s">
        <v>141</v>
      </c>
      <c r="S98" s="212">
        <v>71452</v>
      </c>
      <c r="T98" s="212">
        <v>3411</v>
      </c>
      <c r="U98" s="213">
        <v>243</v>
      </c>
      <c r="V98" s="212">
        <v>5724</v>
      </c>
      <c r="W98" s="212">
        <v>784</v>
      </c>
      <c r="X98" s="214">
        <v>22</v>
      </c>
      <c r="Y98" s="214">
        <v>41</v>
      </c>
    </row>
    <row r="99">
      <c r="A99" s="200"/>
      <c r="B99" s="227" t="s">
        <v>120</v>
      </c>
      <c r="C99" s="202" t="s">
        <v>116</v>
      </c>
      <c r="D99" s="202">
        <f t="shared" si="46"/>
      </c>
      <c r="E99" s="202">
        <v>0</v>
      </c>
      <c r="F99" s="202">
        <v>4239.46</v>
      </c>
      <c r="G99" s="203">
        <v>0</v>
      </c>
      <c r="H99" s="215">
        <v>17</v>
      </c>
      <c r="I99" s="202">
        <v>10184.859999999999</v>
      </c>
      <c r="J99" s="206">
        <f t="shared" si="4"/>
      </c>
      <c r="K99" s="206">
        <f t="shared" si="295"/>
      </c>
      <c r="L99" s="205">
        <f t="shared" si="265"/>
      </c>
      <c r="M99" s="207">
        <f t="shared" si="204"/>
      </c>
      <c r="N99" s="208">
        <f t="shared" si="174"/>
      </c>
      <c r="O99" s="209">
        <f t="shared" si="144"/>
      </c>
      <c r="P99" s="208">
        <f t="shared" si="234"/>
      </c>
      <c r="Q99" s="210" t="s">
        <v>127</v>
      </c>
      <c r="R99" s="211" t="s">
        <v>141</v>
      </c>
      <c r="S99" s="216">
        <v>70121</v>
      </c>
      <c r="T99" s="216">
        <v>2866</v>
      </c>
      <c r="U99" s="212">
        <v>280</v>
      </c>
      <c r="V99" s="212">
        <v>5335</v>
      </c>
      <c r="W99" s="212">
        <v>827</v>
      </c>
      <c r="X99" s="214">
        <v>26</v>
      </c>
      <c r="Y99" s="217">
        <v>57</v>
      </c>
    </row>
    <row r="100">
      <c r="A100" s="200"/>
      <c r="B100" s="227" t="s">
        <v>120</v>
      </c>
      <c r="C100" s="202" t="s">
        <v>117</v>
      </c>
      <c r="D100" s="202">
        <f t="shared" si="46"/>
      </c>
      <c r="E100" s="218">
        <v>0</v>
      </c>
      <c r="F100" s="202">
        <v>4664.88</v>
      </c>
      <c r="G100" s="203">
        <v>0</v>
      </c>
      <c r="H100" s="215">
        <v>17</v>
      </c>
      <c r="I100" s="202">
        <v>8347.940000000002</v>
      </c>
      <c r="J100" s="206">
        <f t="shared" si="4"/>
      </c>
      <c r="K100" s="206">
        <f t="shared" si="295"/>
      </c>
      <c r="L100" s="206">
        <f t="shared" si="265"/>
      </c>
      <c r="M100" s="207">
        <f t="shared" si="204"/>
      </c>
      <c r="N100" s="208">
        <f t="shared" si="174"/>
      </c>
      <c r="O100" s="209">
        <f t="shared" si="144"/>
      </c>
      <c r="P100" s="208">
        <f t="shared" si="234"/>
      </c>
      <c r="Q100" s="210" t="s">
        <v>127</v>
      </c>
      <c r="R100" s="211" t="s">
        <v>141</v>
      </c>
      <c r="S100" s="217">
        <v>74903</v>
      </c>
      <c r="T100" s="217">
        <v>2207</v>
      </c>
      <c r="U100" s="217">
        <v>348</v>
      </c>
      <c r="V100" s="217">
        <v>4048</v>
      </c>
      <c r="W100" s="217">
        <v>701</v>
      </c>
      <c r="X100" s="214">
        <v>27</v>
      </c>
      <c r="Y100" s="217">
        <v>64</v>
      </c>
    </row>
    <row r="101">
      <c r="A101" s="200"/>
      <c r="B101" s="227" t="s">
        <v>120</v>
      </c>
      <c r="C101" s="202" t="s">
        <v>118</v>
      </c>
      <c r="D101" s="202">
        <f t="shared" si="46"/>
      </c>
      <c r="E101" s="202">
        <v>0</v>
      </c>
      <c r="F101" s="202">
        <v>3574.92</v>
      </c>
      <c r="G101" s="203">
        <v>0</v>
      </c>
      <c r="H101" s="215">
        <v>14</v>
      </c>
      <c r="I101" s="202">
        <v>4357.829999999998</v>
      </c>
      <c r="J101" s="206">
        <f t="shared" si="4"/>
      </c>
      <c r="K101" s="206">
        <f t="shared" si="295"/>
      </c>
      <c r="L101" s="206">
        <f t="shared" si="265"/>
      </c>
      <c r="M101" s="207">
        <f t="shared" si="204"/>
      </c>
      <c r="N101" s="208">
        <f t="shared" si="174"/>
      </c>
      <c r="O101" s="209">
        <f t="shared" si="144"/>
      </c>
      <c r="P101" s="208">
        <f t="shared" si="234"/>
      </c>
      <c r="Q101" s="210" t="s">
        <v>127</v>
      </c>
      <c r="R101" s="211" t="s">
        <v>141</v>
      </c>
      <c r="S101" s="217">
        <v>76931</v>
      </c>
      <c r="T101" s="217">
        <v>1940</v>
      </c>
      <c r="U101" s="217">
        <v>210</v>
      </c>
      <c r="V101" s="217">
        <v>3498</v>
      </c>
      <c r="W101" s="217">
        <v>515</v>
      </c>
      <c r="X101" s="214">
        <v>18</v>
      </c>
      <c r="Y101" s="217">
        <v>40</v>
      </c>
    </row>
    <row r="102">
      <c r="A102" s="200"/>
      <c r="B102" s="219" t="s">
        <v>119</v>
      </c>
      <c r="C102" s="219"/>
      <c r="D102" s="220">
        <f>SUM(D98:D101)</f>
      </c>
      <c r="E102" s="220">
        <f>SUM(E98:E101)</f>
      </c>
      <c r="F102" s="220">
        <f>SUM(F98:G101)</f>
      </c>
      <c r="G102" s="220"/>
      <c r="H102" s="221">
        <f>SUM(H98:H101)</f>
      </c>
      <c r="I102" s="220">
        <f>SUM(I98:I101)</f>
      </c>
      <c r="J102" s="222">
        <f t="shared" si="4"/>
      </c>
      <c r="K102" s="223">
        <f t="shared" si="295"/>
      </c>
      <c r="L102" s="224">
        <f t="shared" si="265"/>
      </c>
      <c r="M102" s="225">
        <f t="shared" si="204"/>
      </c>
      <c r="N102" s="225">
        <f t="shared" si="174"/>
      </c>
      <c r="O102" s="226">
        <f t="shared" si="144"/>
      </c>
      <c r="P102" s="225">
        <f t="shared" si="234"/>
      </c>
      <c r="Q102" s="226"/>
      <c r="R102" s="226"/>
      <c r="S102" s="221">
        <f>SUM(S98:S101)</f>
      </c>
      <c r="T102" s="221">
        <f>SUM(T98:T101)</f>
      </c>
      <c r="U102" s="221">
        <f>SUM(U98:U101)</f>
      </c>
      <c r="V102" s="221">
        <f>SUM(V98:V101)</f>
      </c>
      <c r="W102" s="221">
        <f>SUM(W98:W101)</f>
      </c>
      <c r="X102" s="221">
        <f>SUM(X98:X101)</f>
      </c>
      <c r="Y102" s="221">
        <f>SUM(Y98:Y101)</f>
      </c>
    </row>
    <row r="103">
      <c r="A103" s="200"/>
      <c r="B103" s="245" t="s">
        <v>144</v>
      </c>
      <c r="C103" s="202" t="s">
        <v>121</v>
      </c>
      <c r="D103" s="202">
        <f t="shared" ref="D103:D106" si="47">E103+G103+F103</f>
      </c>
      <c r="E103" s="202">
        <v>0</v>
      </c>
      <c r="F103" s="202">
        <v>3448.11</v>
      </c>
      <c r="G103" s="203">
        <v>0</v>
      </c>
      <c r="H103" s="215">
        <v>10</v>
      </c>
      <c r="I103" s="202">
        <v>4405.220000000005</v>
      </c>
      <c r="J103" s="206">
        <f t="shared" si="4"/>
      </c>
      <c r="K103" s="206">
        <f t="shared" si="295"/>
      </c>
      <c r="L103" s="206">
        <f t="shared" si="265"/>
      </c>
      <c r="M103" s="207">
        <f t="shared" si="204"/>
      </c>
      <c r="N103" s="208">
        <f t="shared" si="174"/>
      </c>
      <c r="O103" s="209">
        <f t="shared" si="144"/>
      </c>
      <c r="P103" s="208">
        <f t="shared" si="234"/>
      </c>
      <c r="Q103" s="210" t="s">
        <v>127</v>
      </c>
      <c r="R103" s="211" t="s">
        <v>141</v>
      </c>
      <c r="S103" s="228">
        <v>58116</v>
      </c>
      <c r="T103" s="228">
        <v>3263</v>
      </c>
      <c r="U103" s="228">
        <v>240</v>
      </c>
      <c r="V103" s="228">
        <v>6348</v>
      </c>
      <c r="W103" s="228">
        <v>1056</v>
      </c>
      <c r="X103" s="229">
        <v>17</v>
      </c>
      <c r="Y103" s="228">
        <v>80</v>
      </c>
    </row>
    <row r="104">
      <c r="A104" s="200"/>
      <c r="B104" s="201" t="s">
        <v>144</v>
      </c>
      <c r="C104" s="202" t="s">
        <v>122</v>
      </c>
      <c r="D104" s="202">
        <f t="shared" si="47"/>
      </c>
      <c r="E104" s="203">
        <v>0</v>
      </c>
      <c r="F104" s="203">
        <v>4291.6</v>
      </c>
      <c r="G104" s="203">
        <v>0</v>
      </c>
      <c r="H104" s="215">
        <v>22</v>
      </c>
      <c r="I104" s="202">
        <v>14346.279999999999</v>
      </c>
      <c r="J104" s="206">
        <f t="shared" si="4"/>
      </c>
      <c r="K104" s="206">
        <f t="shared" si="295"/>
      </c>
      <c r="L104" s="206">
        <f t="shared" si="265"/>
      </c>
      <c r="M104" s="207">
        <f t="shared" si="204"/>
      </c>
      <c r="N104" s="208">
        <f t="shared" si="174"/>
      </c>
      <c r="O104" s="209">
        <f t="shared" si="144"/>
      </c>
      <c r="P104" s="208">
        <f t="shared" si="234"/>
      </c>
      <c r="Q104" s="210" t="s">
        <v>127</v>
      </c>
      <c r="R104" s="211" t="s">
        <v>141</v>
      </c>
      <c r="S104" s="228">
        <v>88095</v>
      </c>
      <c r="T104" s="228">
        <v>5476</v>
      </c>
      <c r="U104" s="228">
        <v>293</v>
      </c>
      <c r="V104" s="228">
        <v>9673</v>
      </c>
      <c r="W104" s="228">
        <v>1285</v>
      </c>
      <c r="X104" s="229">
        <v>28</v>
      </c>
      <c r="Y104" s="228">
        <v>74</v>
      </c>
    </row>
    <row r="105">
      <c r="A105" s="200"/>
      <c r="B105" s="201" t="s">
        <v>144</v>
      </c>
      <c r="C105" s="202" t="s">
        <v>123</v>
      </c>
      <c r="D105" s="202">
        <f t="shared" si="47"/>
      </c>
      <c r="E105" s="203">
        <v>0</v>
      </c>
      <c r="F105" s="202">
        <v>7282.83</v>
      </c>
      <c r="G105" s="203">
        <v>0</v>
      </c>
      <c r="H105" s="215">
        <v>24</v>
      </c>
      <c r="I105" s="202">
        <v>15573.14</v>
      </c>
      <c r="J105" s="206">
        <f t="shared" si="4"/>
      </c>
      <c r="K105" s="206">
        <f t="shared" si="295"/>
      </c>
      <c r="L105" s="206">
        <f t="shared" si="265"/>
      </c>
      <c r="M105" s="207">
        <f t="shared" si="204"/>
      </c>
      <c r="N105" s="208">
        <f t="shared" si="174"/>
      </c>
      <c r="O105" s="209">
        <f t="shared" si="144"/>
      </c>
      <c r="P105" s="208">
        <f t="shared" si="234"/>
      </c>
      <c r="Q105" s="210" t="s">
        <v>127</v>
      </c>
      <c r="R105" s="211" t="s">
        <v>141</v>
      </c>
      <c r="S105" s="228">
        <v>140507</v>
      </c>
      <c r="T105" s="228">
        <v>9475</v>
      </c>
      <c r="U105" s="228">
        <v>481</v>
      </c>
      <c r="V105" s="228">
        <v>17932</v>
      </c>
      <c r="W105" s="228">
        <v>2389</v>
      </c>
      <c r="X105" s="229">
        <v>30</v>
      </c>
      <c r="Y105" s="228">
        <v>99</v>
      </c>
    </row>
    <row r="106">
      <c r="A106" s="200"/>
      <c r="B106" s="201" t="s">
        <v>144</v>
      </c>
      <c r="C106" s="202" t="s">
        <v>124</v>
      </c>
      <c r="D106" s="202">
        <f t="shared" si="47"/>
      </c>
      <c r="E106" s="203">
        <v>0</v>
      </c>
      <c r="F106" s="202">
        <v>5139.84</v>
      </c>
      <c r="G106" s="203">
        <v>0</v>
      </c>
      <c r="H106" s="215">
        <v>42</v>
      </c>
      <c r="I106" s="202">
        <v>20397.240000000005</v>
      </c>
      <c r="J106" s="206">
        <f t="shared" si="4"/>
      </c>
      <c r="K106" s="206">
        <f t="shared" si="295"/>
      </c>
      <c r="L106" s="206">
        <f t="shared" si="265"/>
      </c>
      <c r="M106" s="207">
        <f t="shared" si="204"/>
      </c>
      <c r="N106" s="208">
        <f t="shared" si="174"/>
      </c>
      <c r="O106" s="209">
        <f t="shared" si="144"/>
      </c>
      <c r="P106" s="208">
        <f t="shared" si="234"/>
      </c>
      <c r="Q106" s="210" t="s">
        <v>127</v>
      </c>
      <c r="R106" s="211" t="s">
        <v>141</v>
      </c>
      <c r="S106" s="228">
        <v>127630</v>
      </c>
      <c r="T106" s="228">
        <v>8670</v>
      </c>
      <c r="U106" s="228">
        <v>527</v>
      </c>
      <c r="V106" s="228">
        <v>15594</v>
      </c>
      <c r="W106" s="228">
        <v>2124</v>
      </c>
      <c r="X106" s="229">
        <v>62</v>
      </c>
      <c r="Y106" s="228">
        <v>112</v>
      </c>
    </row>
    <row r="107">
      <c r="A107" s="200"/>
      <c r="B107" s="219" t="s">
        <v>119</v>
      </c>
      <c r="C107" s="219"/>
      <c r="D107" s="220">
        <f>SUM(D103:D106)</f>
      </c>
      <c r="E107" s="220">
        <f>SUM(E103:E106)</f>
      </c>
      <c r="F107" s="220">
        <f>SUM(F103:G106)</f>
      </c>
      <c r="G107" s="220"/>
      <c r="H107" s="221">
        <f>SUM(H103:H106)</f>
      </c>
      <c r="I107" s="220">
        <f>SUM(I103:I106)</f>
      </c>
      <c r="J107" s="222">
        <f t="shared" si="4"/>
      </c>
      <c r="K107" s="223">
        <f t="shared" si="295"/>
      </c>
      <c r="L107" s="224">
        <f t="shared" si="265"/>
      </c>
      <c r="M107" s="225">
        <f t="shared" si="204"/>
      </c>
      <c r="N107" s="225">
        <f t="shared" si="174"/>
      </c>
      <c r="O107" s="226">
        <f t="shared" si="144"/>
      </c>
      <c r="P107" s="225">
        <f t="shared" si="234"/>
      </c>
      <c r="Q107" s="226"/>
      <c r="R107" s="226"/>
      <c r="S107" s="221">
        <f>SUM(S103:S106)</f>
      </c>
      <c r="T107" s="221">
        <f>SUM(T103:T106)</f>
      </c>
      <c r="U107" s="221">
        <f>SUM(U103:U106)</f>
      </c>
      <c r="V107" s="221">
        <f>SUM(V103:V106)</f>
      </c>
      <c r="W107" s="221">
        <f>SUM(W103:W106)</f>
      </c>
      <c r="X107" s="221">
        <f>SUM(X103:X106)</f>
      </c>
      <c r="Y107" s="221">
        <f>SUM(Y103:Y106)</f>
      </c>
    </row>
    <row r="108">
      <c r="A108" s="200"/>
      <c r="B108" s="201" t="s">
        <v>132</v>
      </c>
      <c r="C108" s="202" t="s">
        <v>126</v>
      </c>
      <c r="D108" s="202">
        <f t="shared" ref="D108:D112" si="48">E108+G108+F108</f>
      </c>
      <c r="E108" s="203">
        <v>0</v>
      </c>
      <c r="F108" s="203">
        <v>8189.97</v>
      </c>
      <c r="G108" s="203">
        <v>0</v>
      </c>
      <c r="H108" s="204">
        <v>25</v>
      </c>
      <c r="I108" s="203">
        <v>17827.08</v>
      </c>
      <c r="J108" s="206">
        <f t="shared" si="4"/>
      </c>
      <c r="K108" s="206">
        <f t="shared" si="295"/>
      </c>
      <c r="L108" s="206">
        <f t="shared" si="265"/>
      </c>
      <c r="M108" s="207">
        <f t="shared" si="204"/>
      </c>
      <c r="N108" s="208">
        <f t="shared" si="174"/>
      </c>
      <c r="O108" s="209">
        <f t="shared" si="144"/>
      </c>
      <c r="P108" s="208">
        <f t="shared" si="234"/>
      </c>
      <c r="Q108" s="210" t="s">
        <v>127</v>
      </c>
      <c r="R108" s="211" t="s">
        <v>141</v>
      </c>
      <c r="S108" s="230">
        <v>180883</v>
      </c>
      <c r="T108" s="230">
        <v>13990</v>
      </c>
      <c r="U108" s="230">
        <v>674</v>
      </c>
      <c r="V108" s="230">
        <v>26026</v>
      </c>
      <c r="W108" s="230">
        <v>3272</v>
      </c>
      <c r="X108" s="234">
        <v>45</v>
      </c>
      <c r="Y108" s="229">
        <v>134</v>
      </c>
    </row>
    <row r="109">
      <c r="A109" s="200"/>
      <c r="B109" s="201" t="s">
        <v>132</v>
      </c>
      <c r="C109" s="202" t="s">
        <v>128</v>
      </c>
      <c r="D109" s="202">
        <f t="shared" si="48"/>
      </c>
      <c r="E109" s="203">
        <v>0</v>
      </c>
      <c r="F109" s="203">
        <v>11878.7</v>
      </c>
      <c r="G109" s="203">
        <v>0</v>
      </c>
      <c r="H109" s="204">
        <v>53</v>
      </c>
      <c r="I109" s="203">
        <v>33524.17</v>
      </c>
      <c r="J109" s="206">
        <f t="shared" si="4"/>
      </c>
      <c r="K109" s="206">
        <f t="shared" si="295"/>
      </c>
      <c r="L109" s="206">
        <f t="shared" si="265"/>
      </c>
      <c r="M109" s="207">
        <f t="shared" si="204"/>
      </c>
      <c r="N109" s="208">
        <f t="shared" si="174"/>
      </c>
      <c r="O109" s="209">
        <f t="shared" si="144"/>
      </c>
      <c r="P109" s="208">
        <f t="shared" si="234"/>
      </c>
      <c r="Q109" s="210" t="s">
        <v>114</v>
      </c>
      <c r="R109" s="231" t="s">
        <v>129</v>
      </c>
      <c r="S109" s="229">
        <v>337891</v>
      </c>
      <c r="T109" s="229">
        <v>20018</v>
      </c>
      <c r="U109" s="229">
        <v>913</v>
      </c>
      <c r="V109" s="229">
        <v>38962</v>
      </c>
      <c r="W109" s="229">
        <v>4836</v>
      </c>
      <c r="X109" s="229">
        <v>82</v>
      </c>
      <c r="Y109" s="229">
        <v>189</v>
      </c>
    </row>
    <row r="110">
      <c r="A110" s="200"/>
      <c r="B110" s="201" t="s">
        <v>132</v>
      </c>
      <c r="C110" s="202" t="s">
        <v>130</v>
      </c>
      <c r="D110" s="202">
        <f t="shared" si="48"/>
      </c>
      <c r="E110" s="203">
        <v>0</v>
      </c>
      <c r="F110" s="203">
        <v>16589.14</v>
      </c>
      <c r="G110" s="203">
        <v>0</v>
      </c>
      <c r="H110" s="204">
        <v>78</v>
      </c>
      <c r="I110" s="203">
        <v>50996.18</v>
      </c>
      <c r="J110" s="206">
        <f t="shared" si="4"/>
      </c>
      <c r="K110" s="206">
        <f t="shared" si="295"/>
      </c>
      <c r="L110" s="206">
        <f t="shared" si="265"/>
      </c>
      <c r="M110" s="207">
        <f t="shared" si="204"/>
      </c>
      <c r="N110" s="208">
        <f t="shared" si="174"/>
      </c>
      <c r="O110" s="209">
        <f t="shared" si="144"/>
      </c>
      <c r="P110" s="208">
        <f t="shared" si="234"/>
      </c>
      <c r="Q110" s="210" t="s">
        <v>114</v>
      </c>
      <c r="R110" s="232" t="s">
        <v>129</v>
      </c>
      <c r="S110" s="229">
        <v>485981</v>
      </c>
      <c r="T110" s="229">
        <v>33134</v>
      </c>
      <c r="U110" s="229">
        <v>1443</v>
      </c>
      <c r="V110" s="229">
        <v>72442</v>
      </c>
      <c r="W110" s="229">
        <v>9654</v>
      </c>
      <c r="X110" s="229">
        <v>117</v>
      </c>
      <c r="Y110" s="229">
        <v>284</v>
      </c>
    </row>
    <row customHeight="true" ht="16.666666666666668" r="111">
      <c r="A111" s="200"/>
      <c r="B111" s="201" t="s">
        <v>132</v>
      </c>
      <c r="C111" s="203" t="s">
        <v>131</v>
      </c>
      <c r="D111" s="202">
        <f t="shared" si="48"/>
      </c>
      <c r="E111" s="203">
        <v>0</v>
      </c>
      <c r="F111" s="203">
        <v>20513.54</v>
      </c>
      <c r="G111" s="203">
        <v>0</v>
      </c>
      <c r="H111" s="204">
        <v>63</v>
      </c>
      <c r="I111" s="203">
        <v>41866.86</v>
      </c>
      <c r="J111" s="206">
        <f t="shared" si="4"/>
      </c>
      <c r="K111" s="206">
        <f t="shared" si="295"/>
      </c>
      <c r="L111" s="206">
        <f t="shared" si="265"/>
      </c>
      <c r="M111" s="207">
        <f t="shared" si="204"/>
      </c>
      <c r="N111" s="208">
        <f t="shared" si="174"/>
      </c>
      <c r="O111" s="209">
        <f t="shared" si="144"/>
      </c>
      <c r="P111" s="208">
        <f t="shared" si="234"/>
      </c>
      <c r="Q111" s="210" t="s">
        <v>114</v>
      </c>
      <c r="R111" s="232" t="s">
        <v>129</v>
      </c>
      <c r="S111" s="229">
        <v>529245</v>
      </c>
      <c r="T111" s="229">
        <v>38853</v>
      </c>
      <c r="U111" s="229">
        <v>1533</v>
      </c>
      <c r="V111" s="229">
        <v>85494</v>
      </c>
      <c r="W111" s="229">
        <v>11809</v>
      </c>
      <c r="X111" s="229">
        <v>103</v>
      </c>
      <c r="Y111" s="229">
        <v>339</v>
      </c>
    </row>
    <row r="112">
      <c r="A112" s="200"/>
      <c r="B112" s="201" t="s">
        <v>132</v>
      </c>
      <c r="C112" s="203" t="s">
        <v>133</v>
      </c>
      <c r="D112" s="202">
        <f t="shared" si="48"/>
      </c>
      <c r="E112" s="203">
        <v>0</v>
      </c>
      <c r="F112" s="203">
        <v>14448.24</v>
      </c>
      <c r="G112" s="203">
        <v>0</v>
      </c>
      <c r="H112" s="204">
        <v>70</v>
      </c>
      <c r="I112" s="203">
        <v>51438.4</v>
      </c>
      <c r="J112" s="206">
        <f t="shared" si="4"/>
      </c>
      <c r="K112" s="206">
        <f t="shared" si="295"/>
      </c>
      <c r="L112" s="206">
        <f t="shared" si="265"/>
      </c>
      <c r="M112" s="207">
        <f t="shared" si="204"/>
      </c>
      <c r="N112" s="208">
        <f t="shared" si="174"/>
      </c>
      <c r="O112" s="209">
        <f t="shared" si="144"/>
      </c>
      <c r="P112" s="208">
        <f t="shared" si="234"/>
      </c>
      <c r="Q112" s="210" t="s">
        <v>114</v>
      </c>
      <c r="R112" s="232" t="s">
        <v>129</v>
      </c>
      <c r="S112" s="229">
        <v>337225</v>
      </c>
      <c r="T112" s="229">
        <v>29176</v>
      </c>
      <c r="U112" s="229">
        <v>1285</v>
      </c>
      <c r="V112" s="229">
        <v>64775</v>
      </c>
      <c r="W112" s="229">
        <v>8431</v>
      </c>
      <c r="X112" s="229">
        <v>108</v>
      </c>
      <c r="Y112" s="229">
        <v>259</v>
      </c>
    </row>
    <row r="113">
      <c r="A113" s="200"/>
      <c r="B113" s="219" t="s">
        <v>119</v>
      </c>
      <c r="C113" s="219"/>
      <c r="D113" s="220">
        <f>SUM(D108:D112)</f>
      </c>
      <c r="E113" s="220">
        <f>SUM(E108:E112)</f>
      </c>
      <c r="F113" s="220">
        <f>SUM(F108:G112)</f>
      </c>
      <c r="G113" s="220"/>
      <c r="H113" s="221">
        <f>SUM(H108:H112)</f>
      </c>
      <c r="I113" s="220">
        <f>SUM(I108:I112)</f>
      </c>
      <c r="J113" s="222">
        <f t="shared" si="4"/>
      </c>
      <c r="K113" s="223">
        <f t="shared" si="295"/>
      </c>
      <c r="L113" s="224">
        <f t="shared" si="265"/>
      </c>
      <c r="M113" s="225">
        <f t="shared" si="204"/>
      </c>
      <c r="N113" s="225">
        <f t="shared" si="174"/>
      </c>
      <c r="O113" s="226">
        <f t="shared" si="144"/>
      </c>
      <c r="P113" s="225">
        <f t="shared" si="234"/>
      </c>
      <c r="Q113" s="226"/>
      <c r="R113" s="226"/>
      <c r="S113" s="221">
        <f>SUM(S108:S112)</f>
      </c>
      <c r="T113" s="221">
        <f>SUM(T108:T112)</f>
      </c>
      <c r="U113" s="221">
        <f>SUM(U108:U112)</f>
      </c>
      <c r="V113" s="221">
        <f>SUM(V108:V112)</f>
      </c>
      <c r="W113" s="221">
        <f>SUM(W108:W112)</f>
      </c>
      <c r="X113" s="221">
        <f>SUM(X108:X112)</f>
      </c>
      <c r="Y113" s="221">
        <f>SUM(Y108:Y112)</f>
      </c>
    </row>
    <row r="114">
      <c r="A114" s="200"/>
      <c r="B114" s="245" t="s">
        <v>125</v>
      </c>
      <c r="C114" s="203" t="s">
        <v>134</v>
      </c>
      <c r="D114" s="202">
        <f t="shared" ref="D114:D117" si="49">E114+G114+F114</f>
      </c>
      <c r="E114" s="203">
        <v>0</v>
      </c>
      <c r="F114" s="203">
        <v>19725.5</v>
      </c>
      <c r="G114" s="203">
        <v>0</v>
      </c>
      <c r="H114" s="204">
        <v>82</v>
      </c>
      <c r="I114" s="203">
        <v>51314.04</v>
      </c>
      <c r="J114" s="206">
        <f t="shared" si="4"/>
      </c>
      <c r="K114" s="206">
        <f t="shared" si="295"/>
      </c>
      <c r="L114" s="206">
        <f t="shared" si="265"/>
      </c>
      <c r="M114" s="207">
        <f t="shared" si="204"/>
      </c>
      <c r="N114" s="208">
        <f t="shared" si="174"/>
      </c>
      <c r="O114" s="209">
        <f t="shared" si="144"/>
      </c>
      <c r="P114" s="208">
        <f t="shared" si="234"/>
      </c>
      <c r="Q114" s="210" t="s">
        <v>114</v>
      </c>
      <c r="R114" s="232" t="s">
        <v>129</v>
      </c>
      <c r="S114" s="229">
        <v>440688</v>
      </c>
      <c r="T114" s="229">
        <v>35376</v>
      </c>
      <c r="U114" s="229">
        <v>1524</v>
      </c>
      <c r="V114" s="229">
        <v>75173</v>
      </c>
      <c r="W114" s="229">
        <v>9202</v>
      </c>
      <c r="X114" s="229">
        <v>123</v>
      </c>
      <c r="Y114" s="229">
        <v>267</v>
      </c>
    </row>
    <row r="115">
      <c r="A115" s="200"/>
      <c r="B115" s="201" t="s">
        <v>125</v>
      </c>
      <c r="C115" s="202" t="s">
        <v>135</v>
      </c>
      <c r="D115" s="202">
        <f t="shared" si="49"/>
      </c>
      <c r="E115" s="203">
        <v>0</v>
      </c>
      <c r="F115" s="203">
        <v>45413.2</v>
      </c>
      <c r="G115" s="203">
        <v>0</v>
      </c>
      <c r="H115" s="204">
        <v>140</v>
      </c>
      <c r="I115" s="203">
        <v>82102.2</v>
      </c>
      <c r="J115" s="206">
        <f t="shared" si="4"/>
      </c>
      <c r="K115" s="206">
        <f t="shared" si="295"/>
      </c>
      <c r="L115" s="206">
        <f t="shared" si="265"/>
      </c>
      <c r="M115" s="207">
        <f t="shared" si="204"/>
      </c>
      <c r="N115" s="208">
        <f t="shared" si="174"/>
      </c>
      <c r="O115" s="209">
        <f t="shared" si="144"/>
      </c>
      <c r="P115" s="208">
        <f t="shared" si="234"/>
      </c>
      <c r="Q115" s="210" t="s">
        <v>114</v>
      </c>
      <c r="R115" s="232" t="s">
        <v>129</v>
      </c>
      <c r="S115" s="233">
        <v>833938</v>
      </c>
      <c r="T115" s="233">
        <v>68964</v>
      </c>
      <c r="U115" s="233">
        <v>3279</v>
      </c>
      <c r="V115" s="233">
        <v>143814</v>
      </c>
      <c r="W115" s="246">
        <v>17696</v>
      </c>
      <c r="X115" s="247">
        <v>232</v>
      </c>
      <c r="Y115" s="248">
        <v>577</v>
      </c>
    </row>
    <row r="116">
      <c r="A116" s="200"/>
      <c r="B116" s="201" t="s">
        <v>125</v>
      </c>
      <c r="C116" s="202" t="s">
        <v>136</v>
      </c>
      <c r="D116" s="202">
        <f t="shared" si="49"/>
      </c>
      <c r="E116" s="203">
        <v>0</v>
      </c>
      <c r="F116" s="203">
        <v>45415.49</v>
      </c>
      <c r="G116" s="203">
        <v>0</v>
      </c>
      <c r="H116" s="204">
        <v>139</v>
      </c>
      <c r="I116" s="203">
        <v>77631.88</v>
      </c>
      <c r="J116" s="206">
        <f t="shared" si="4"/>
      </c>
      <c r="K116" s="206">
        <f t="shared" si="295"/>
      </c>
      <c r="L116" s="206">
        <f t="shared" si="265"/>
      </c>
      <c r="M116" s="207">
        <f t="shared" si="204"/>
      </c>
      <c r="N116" s="208">
        <f t="shared" si="174"/>
      </c>
      <c r="O116" s="209">
        <f t="shared" si="144"/>
      </c>
      <c r="P116" s="208">
        <f t="shared" si="234"/>
      </c>
      <c r="Q116" s="210" t="s">
        <v>114</v>
      </c>
      <c r="R116" s="232" t="s">
        <v>129</v>
      </c>
      <c r="S116" s="233">
        <v>734987</v>
      </c>
      <c r="T116" s="233">
        <v>70791</v>
      </c>
      <c r="U116" s="233">
        <v>3012</v>
      </c>
      <c r="V116" s="233">
        <v>148727</v>
      </c>
      <c r="W116" s="246">
        <v>18893</v>
      </c>
      <c r="X116" s="247">
        <v>254</v>
      </c>
      <c r="Y116" s="248">
        <v>504</v>
      </c>
    </row>
    <row r="117">
      <c r="A117" s="200"/>
      <c r="B117" s="201" t="s">
        <v>125</v>
      </c>
      <c r="C117" s="203" t="s">
        <v>137</v>
      </c>
      <c r="D117" s="202">
        <f t="shared" si="49"/>
      </c>
      <c r="E117" s="203">
        <v>0</v>
      </c>
      <c r="F117" s="203">
        <f>22863.68+0.49</f>
      </c>
      <c r="G117" s="203">
        <v>0</v>
      </c>
      <c r="H117" s="204">
        <v>60</v>
      </c>
      <c r="I117" s="203">
        <v>30349.21</v>
      </c>
      <c r="J117" s="206">
        <f t="shared" si="4"/>
      </c>
      <c r="K117" s="206">
        <f t="shared" si="295"/>
      </c>
      <c r="L117" s="206">
        <f t="shared" si="265"/>
      </c>
      <c r="M117" s="207">
        <f t="shared" si="204"/>
      </c>
      <c r="N117" s="208">
        <f t="shared" si="174"/>
      </c>
      <c r="O117" s="209">
        <f t="shared" si="144"/>
      </c>
      <c r="P117" s="208">
        <f t="shared" si="234"/>
      </c>
      <c r="Q117" s="210" t="s">
        <v>114</v>
      </c>
      <c r="R117" s="232" t="s">
        <v>129</v>
      </c>
      <c r="S117" s="233">
        <v>496309</v>
      </c>
      <c r="T117" s="233">
        <v>29861</v>
      </c>
      <c r="U117" s="233">
        <v>1368</v>
      </c>
      <c r="V117" s="233">
        <v>56803</v>
      </c>
      <c r="W117" s="233">
        <v>7031</v>
      </c>
      <c r="X117" s="249">
        <v>98</v>
      </c>
      <c r="Y117" s="229">
        <v>235</v>
      </c>
    </row>
    <row r="118">
      <c r="A118" s="200"/>
      <c r="B118" s="219" t="s">
        <v>119</v>
      </c>
      <c r="C118" s="219"/>
      <c r="D118" s="220">
        <f>SUM(D114:D117)</f>
      </c>
      <c r="E118" s="220">
        <f>SUM(E114:E117)</f>
      </c>
      <c r="F118" s="220">
        <f>SUM(F114:G117)</f>
      </c>
      <c r="G118" s="220"/>
      <c r="H118" s="220">
        <f>SUM(H114:H117)</f>
      </c>
      <c r="I118" s="220">
        <f>SUM(I114:I117)</f>
      </c>
      <c r="J118" s="222">
        <f t="shared" si="4"/>
      </c>
      <c r="K118" s="223">
        <f t="shared" si="295"/>
      </c>
      <c r="L118" s="224">
        <f t="shared" si="265"/>
      </c>
      <c r="M118" s="225">
        <f t="shared" si="204"/>
      </c>
      <c r="N118" s="225">
        <f t="shared" si="174"/>
      </c>
      <c r="O118" s="226">
        <f t="shared" si="144"/>
      </c>
      <c r="P118" s="225">
        <f t="shared" si="234"/>
      </c>
      <c r="Q118" s="226"/>
      <c r="R118" s="235"/>
      <c r="S118" s="220">
        <f>SUM(S114:S117)</f>
      </c>
      <c r="T118" s="220">
        <f>SUM(T114:T117)</f>
      </c>
      <c r="U118" s="220">
        <f>SUM(U114:U117)</f>
      </c>
      <c r="V118" s="220">
        <f>SUM(V114:V117)</f>
      </c>
      <c r="W118" s="220">
        <f>SUM(W114:W117)</f>
      </c>
      <c r="X118" s="220">
        <f>SUM(X114:X117)</f>
      </c>
      <c r="Y118" s="220">
        <f>SUM(Y114:Y117)</f>
      </c>
    </row>
    <row r="119">
      <c r="A119" s="200"/>
      <c r="B119" s="236" t="s">
        <v>138</v>
      </c>
      <c r="C119" s="236"/>
      <c r="D119" s="237">
        <f>D118+D113+D107+D102</f>
      </c>
      <c r="E119" s="237">
        <f>E118+E113+E107+E102</f>
      </c>
      <c r="F119" s="237">
        <f>F118+F113+F107+F102</f>
      </c>
      <c r="G119" s="237"/>
      <c r="H119" s="238">
        <f>H118+H113+H107+H102</f>
      </c>
      <c r="I119" s="237">
        <f>I118+I113+I107+I102</f>
      </c>
      <c r="J119" s="239">
        <f t="shared" si="4"/>
      </c>
      <c r="K119" s="239">
        <f t="shared" si="295"/>
      </c>
      <c r="L119" s="239">
        <f t="shared" si="265"/>
      </c>
      <c r="M119" s="240">
        <f t="shared" si="204"/>
      </c>
      <c r="N119" s="240">
        <f t="shared" si="174"/>
      </c>
      <c r="O119" s="239">
        <f t="shared" si="144"/>
      </c>
      <c r="P119" s="240">
        <f t="shared" si="234"/>
      </c>
      <c r="Q119" s="241"/>
      <c r="R119" s="242"/>
      <c r="S119" s="243">
        <f>S118+S113+S107+S102</f>
      </c>
      <c r="T119" s="243">
        <f>T118+T113+T107+T102</f>
      </c>
      <c r="U119" s="243">
        <f>U118+U113+U107+U102</f>
      </c>
      <c r="V119" s="243">
        <f>V118+V113+V107+V102</f>
      </c>
      <c r="W119" s="243">
        <f>W118+W113+W107+W102</f>
      </c>
      <c r="X119" s="244">
        <f>X118+X113+X107+X102</f>
      </c>
      <c r="Y119" s="238">
        <f>Y118+Y113+Y107+Y102</f>
      </c>
    </row>
    <row r="120">
      <c r="A120" s="188" t="s">
        <v>83</v>
      </c>
      <c r="B120" s="188"/>
      <c r="C120" s="188"/>
      <c r="D120" s="189" t="s">
        <v>84</v>
      </c>
      <c r="E120" s="189"/>
      <c r="F120" s="189"/>
      <c r="G120" s="189"/>
      <c r="H120" s="189"/>
      <c r="I120" s="189"/>
      <c r="J120" s="189"/>
      <c r="K120" s="189"/>
      <c r="L120" s="189"/>
      <c r="M120" s="190" t="s">
        <v>85</v>
      </c>
      <c r="N120" s="190"/>
      <c r="O120" s="190"/>
      <c r="P120" s="190"/>
      <c r="Q120" s="190"/>
      <c r="R120" s="190"/>
      <c r="S120" s="191" t="s">
        <v>86</v>
      </c>
      <c r="T120" s="191"/>
      <c r="U120" s="191"/>
      <c r="V120" s="191"/>
      <c r="W120" s="191"/>
      <c r="X120" s="191"/>
      <c r="Y120" s="191"/>
      <c r="Z120" s="250"/>
    </row>
    <row r="121">
      <c r="A121" s="192" t="s">
        <v>87</v>
      </c>
      <c r="B121" s="188" t="s">
        <v>88</v>
      </c>
      <c r="C121" s="188" t="s">
        <v>89</v>
      </c>
      <c r="D121" s="193" t="s">
        <v>90</v>
      </c>
      <c r="E121" s="193" t="s">
        <v>91</v>
      </c>
      <c r="F121" s="189" t="s">
        <v>92</v>
      </c>
      <c r="G121" s="189"/>
      <c r="H121" s="194" t="s">
        <v>93</v>
      </c>
      <c r="I121" s="189" t="s">
        <v>94</v>
      </c>
      <c r="J121" s="195" t="s">
        <v>95</v>
      </c>
      <c r="K121" s="196" t="s">
        <v>96</v>
      </c>
      <c r="L121" s="189" t="s">
        <v>97</v>
      </c>
      <c r="M121" s="190" t="s">
        <v>98</v>
      </c>
      <c r="N121" s="190" t="s">
        <v>99</v>
      </c>
      <c r="O121" s="190" t="s">
        <v>100</v>
      </c>
      <c r="P121" s="190" t="s">
        <v>101</v>
      </c>
      <c r="Q121" s="197" t="s">
        <v>102</v>
      </c>
      <c r="R121" s="197" t="s">
        <v>103</v>
      </c>
      <c r="S121" s="198" t="s">
        <v>104</v>
      </c>
      <c r="T121" s="198" t="s">
        <v>105</v>
      </c>
      <c r="U121" s="199" t="s">
        <v>106</v>
      </c>
      <c r="V121" s="199" t="s">
        <v>107</v>
      </c>
      <c r="W121" s="199" t="s">
        <v>108</v>
      </c>
      <c r="X121" s="199" t="s">
        <v>109</v>
      </c>
      <c r="Y121" s="199" t="s">
        <v>110</v>
      </c>
      <c r="Z121" s="250"/>
    </row>
    <row r="122">
      <c r="A122" s="200" t="s">
        <v>145</v>
      </c>
      <c r="B122" s="227" t="s">
        <v>120</v>
      </c>
      <c r="C122" s="202" t="s">
        <v>113</v>
      </c>
      <c r="D122" s="202">
        <f t="shared" ref="D122:D125" si="50">E122+G122+F122</f>
      </c>
      <c r="E122" s="202">
        <v>0</v>
      </c>
      <c r="F122" s="202">
        <v>5772.24</v>
      </c>
      <c r="G122" s="202">
        <v>0</v>
      </c>
      <c r="H122" s="204">
        <v>15</v>
      </c>
      <c r="I122" s="202">
        <v>10856.92</v>
      </c>
      <c r="J122" s="205">
        <f t="shared" ref="J122:J143" si="5">I122/D122</f>
      </c>
      <c r="K122" s="205">
        <f t="shared" ref="K122:K143" si="296">D122/H122</f>
      </c>
      <c r="L122" s="206">
        <f t="shared" ref="L122:L143" si="266">I122/H122</f>
      </c>
      <c r="M122" s="207">
        <f t="shared" ref="M122:M143" si="205">T122/S122</f>
      </c>
      <c r="N122" s="208">
        <f t="shared" ref="N122:N143" si="175">H122/X122</f>
      </c>
      <c r="O122" s="209">
        <f t="shared" ref="O122:O143" si="145">(Y122*1000)/D122</f>
      </c>
      <c r="P122" s="208">
        <f t="shared" ref="P122:P143" si="235">W122/V122</f>
      </c>
      <c r="Q122" s="210" t="s">
        <v>127</v>
      </c>
      <c r="R122" s="251" t="s">
        <v>141</v>
      </c>
      <c r="S122" s="212">
        <v>106068</v>
      </c>
      <c r="T122" s="212">
        <v>8024</v>
      </c>
      <c r="U122" s="213">
        <v>327</v>
      </c>
      <c r="V122" s="212">
        <v>13990</v>
      </c>
      <c r="W122" s="212">
        <v>1819</v>
      </c>
      <c r="X122" s="214">
        <v>29</v>
      </c>
      <c r="Y122" s="214">
        <v>79</v>
      </c>
      <c r="Z122" s="250"/>
    </row>
    <row r="123">
      <c r="A123" s="252"/>
      <c r="B123" s="227" t="s">
        <v>120</v>
      </c>
      <c r="C123" s="202" t="s">
        <v>116</v>
      </c>
      <c r="D123" s="202">
        <f t="shared" si="50"/>
      </c>
      <c r="E123" s="202">
        <v>0</v>
      </c>
      <c r="F123" s="202">
        <v>4569.55</v>
      </c>
      <c r="G123" s="202">
        <v>0</v>
      </c>
      <c r="H123" s="215">
        <v>8</v>
      </c>
      <c r="I123" s="202">
        <v>5846.519999999999</v>
      </c>
      <c r="J123" s="206">
        <f t="shared" si="5"/>
      </c>
      <c r="K123" s="206">
        <f t="shared" si="296"/>
      </c>
      <c r="L123" s="205">
        <f t="shared" si="266"/>
      </c>
      <c r="M123" s="207">
        <f t="shared" si="205"/>
      </c>
      <c r="N123" s="208">
        <f t="shared" si="175"/>
      </c>
      <c r="O123" s="209">
        <f t="shared" si="145"/>
      </c>
      <c r="P123" s="208">
        <f t="shared" si="235"/>
      </c>
      <c r="Q123" s="210" t="s">
        <v>127</v>
      </c>
      <c r="R123" s="251" t="s">
        <v>141</v>
      </c>
      <c r="S123" s="216">
        <v>86288</v>
      </c>
      <c r="T123" s="216">
        <v>5516</v>
      </c>
      <c r="U123" s="212">
        <v>277</v>
      </c>
      <c r="V123" s="212">
        <v>10262</v>
      </c>
      <c r="W123" s="212">
        <v>1519</v>
      </c>
      <c r="X123" s="214">
        <v>19</v>
      </c>
      <c r="Y123" s="217">
        <v>76</v>
      </c>
      <c r="Z123" s="250"/>
    </row>
    <row r="124">
      <c r="A124" s="252"/>
      <c r="B124" s="227" t="s">
        <v>120</v>
      </c>
      <c r="C124" s="202" t="s">
        <v>117</v>
      </c>
      <c r="D124" s="202">
        <f t="shared" si="50"/>
      </c>
      <c r="E124" s="218">
        <v>0</v>
      </c>
      <c r="F124" s="202">
        <v>3376.55</v>
      </c>
      <c r="G124" s="202">
        <v>0</v>
      </c>
      <c r="H124" s="215">
        <v>10</v>
      </c>
      <c r="I124" s="202">
        <v>4388.16</v>
      </c>
      <c r="J124" s="206">
        <f t="shared" si="5"/>
      </c>
      <c r="K124" s="206">
        <f t="shared" si="296"/>
      </c>
      <c r="L124" s="206">
        <f t="shared" si="266"/>
      </c>
      <c r="M124" s="207">
        <f t="shared" si="205"/>
      </c>
      <c r="N124" s="208">
        <f t="shared" si="175"/>
      </c>
      <c r="O124" s="209">
        <f t="shared" si="145"/>
      </c>
      <c r="P124" s="208">
        <f t="shared" si="235"/>
      </c>
      <c r="Q124" s="210" t="s">
        <v>127</v>
      </c>
      <c r="R124" s="251" t="s">
        <v>141</v>
      </c>
      <c r="S124" s="217">
        <v>76701</v>
      </c>
      <c r="T124" s="217">
        <v>3653</v>
      </c>
      <c r="U124" s="217">
        <v>221</v>
      </c>
      <c r="V124" s="217">
        <v>6769</v>
      </c>
      <c r="W124" s="217">
        <v>865</v>
      </c>
      <c r="X124" s="214">
        <v>18</v>
      </c>
      <c r="Y124" s="217">
        <v>55</v>
      </c>
      <c r="Z124" s="250"/>
    </row>
    <row r="125">
      <c r="A125" s="252"/>
      <c r="B125" s="227" t="s">
        <v>120</v>
      </c>
      <c r="C125" s="202" t="s">
        <v>118</v>
      </c>
      <c r="D125" s="202">
        <f t="shared" si="50"/>
      </c>
      <c r="E125" s="202">
        <v>0</v>
      </c>
      <c r="F125" s="202">
        <v>4499.89</v>
      </c>
      <c r="G125" s="202">
        <v>0</v>
      </c>
      <c r="H125" s="215">
        <v>18</v>
      </c>
      <c r="I125" s="202">
        <v>10369.68</v>
      </c>
      <c r="J125" s="206">
        <f t="shared" si="5"/>
      </c>
      <c r="K125" s="206">
        <f t="shared" si="296"/>
      </c>
      <c r="L125" s="206">
        <f t="shared" si="266"/>
      </c>
      <c r="M125" s="207">
        <f t="shared" si="205"/>
      </c>
      <c r="N125" s="208">
        <f t="shared" si="175"/>
      </c>
      <c r="O125" s="209">
        <f t="shared" si="145"/>
      </c>
      <c r="P125" s="208">
        <f t="shared" si="235"/>
      </c>
      <c r="Q125" s="210" t="s">
        <v>127</v>
      </c>
      <c r="R125" s="251" t="s">
        <v>141</v>
      </c>
      <c r="S125" s="217">
        <v>104735</v>
      </c>
      <c r="T125" s="217">
        <v>5593</v>
      </c>
      <c r="U125" s="217">
        <v>320</v>
      </c>
      <c r="V125" s="217">
        <v>10567</v>
      </c>
      <c r="W125" s="217">
        <v>1353</v>
      </c>
      <c r="X125" s="214">
        <v>30</v>
      </c>
      <c r="Y125" s="217">
        <v>70</v>
      </c>
      <c r="Z125" s="250"/>
    </row>
    <row r="126">
      <c r="A126" s="252"/>
      <c r="B126" s="219" t="s">
        <v>119</v>
      </c>
      <c r="C126" s="219"/>
      <c r="D126" s="220">
        <f>SUM(D122:D125)</f>
      </c>
      <c r="E126" s="220">
        <f>SUM(E122:E125)</f>
      </c>
      <c r="F126" s="220">
        <f>SUM(F122:G125)</f>
      </c>
      <c r="G126" s="220"/>
      <c r="H126" s="221">
        <f>SUM(H122:H125)</f>
      </c>
      <c r="I126" s="220">
        <f>SUM(I122:I125)</f>
      </c>
      <c r="J126" s="253">
        <f t="shared" si="5"/>
      </c>
      <c r="K126" s="223">
        <f t="shared" si="296"/>
      </c>
      <c r="L126" s="254">
        <f t="shared" si="266"/>
      </c>
      <c r="M126" s="225">
        <f t="shared" si="205"/>
      </c>
      <c r="N126" s="225">
        <f t="shared" si="175"/>
      </c>
      <c r="O126" s="226">
        <f t="shared" si="145"/>
      </c>
      <c r="P126" s="225">
        <f t="shared" si="235"/>
      </c>
      <c r="Q126" s="226"/>
      <c r="R126" s="226"/>
      <c r="S126" s="221">
        <f>SUM(S122:S125)</f>
      </c>
      <c r="T126" s="221">
        <f>SUM(T122:T125)</f>
      </c>
      <c r="U126" s="221">
        <f>SUM(U122:U125)</f>
      </c>
      <c r="V126" s="221">
        <f>SUM(V122:V125)</f>
      </c>
      <c r="W126" s="221">
        <f>SUM(W122:W125)</f>
      </c>
      <c r="X126" s="221">
        <f>SUM(X122:X125)</f>
      </c>
      <c r="Y126" s="221">
        <f>SUM(Y122:Y125)</f>
      </c>
      <c r="Z126" s="250"/>
    </row>
    <row r="127">
      <c r="A127" s="252"/>
      <c r="B127" s="201" t="s">
        <v>144</v>
      </c>
      <c r="C127" s="202" t="s">
        <v>121</v>
      </c>
      <c r="D127" s="202">
        <f t="shared" ref="D127:D130" si="51">E127+G127+F127</f>
      </c>
      <c r="E127" s="202">
        <v>0</v>
      </c>
      <c r="F127" s="202">
        <v>2903.37</v>
      </c>
      <c r="G127" s="202">
        <v>0</v>
      </c>
      <c r="H127" s="215">
        <v>5</v>
      </c>
      <c r="I127" s="202">
        <v>1075.2000000000007</v>
      </c>
      <c r="J127" s="206">
        <f t="shared" si="5"/>
      </c>
      <c r="K127" s="206">
        <f t="shared" si="296"/>
      </c>
      <c r="L127" s="206">
        <f t="shared" si="266"/>
      </c>
      <c r="M127" s="207">
        <f t="shared" si="205"/>
      </c>
      <c r="N127" s="208">
        <f t="shared" si="175"/>
      </c>
      <c r="O127" s="209">
        <f t="shared" si="145"/>
      </c>
      <c r="P127" s="208">
        <f t="shared" si="235"/>
      </c>
      <c r="Q127" s="210" t="s">
        <v>127</v>
      </c>
      <c r="R127" s="251" t="s">
        <v>141</v>
      </c>
      <c r="S127" s="228">
        <v>75289</v>
      </c>
      <c r="T127" s="228">
        <v>3367</v>
      </c>
      <c r="U127" s="228">
        <v>168</v>
      </c>
      <c r="V127" s="228">
        <v>6100</v>
      </c>
      <c r="W127" s="228">
        <v>800</v>
      </c>
      <c r="X127" s="229">
        <v>12</v>
      </c>
      <c r="Y127" s="228">
        <v>43</v>
      </c>
      <c r="Z127" s="250"/>
    </row>
    <row r="128">
      <c r="A128" s="252"/>
      <c r="B128" s="201" t="s">
        <v>144</v>
      </c>
      <c r="C128" s="202" t="s">
        <v>122</v>
      </c>
      <c r="D128" s="202">
        <f t="shared" si="51"/>
      </c>
      <c r="E128" s="202">
        <v>0</v>
      </c>
      <c r="F128" s="202">
        <v>1531.96</v>
      </c>
      <c r="G128" s="202">
        <v>0</v>
      </c>
      <c r="H128" s="215">
        <v>6</v>
      </c>
      <c r="I128" s="202">
        <v>2654.079999999998</v>
      </c>
      <c r="J128" s="206">
        <f t="shared" si="5"/>
      </c>
      <c r="K128" s="206">
        <f t="shared" si="296"/>
      </c>
      <c r="L128" s="206">
        <f t="shared" si="266"/>
      </c>
      <c r="M128" s="207">
        <f t="shared" si="205"/>
      </c>
      <c r="N128" s="208">
        <f t="shared" si="175"/>
      </c>
      <c r="O128" s="209">
        <f t="shared" si="145"/>
      </c>
      <c r="P128" s="208">
        <f t="shared" si="235"/>
      </c>
      <c r="Q128" s="210" t="s">
        <v>127</v>
      </c>
      <c r="R128" s="251" t="s">
        <v>141</v>
      </c>
      <c r="S128" s="228">
        <v>26925</v>
      </c>
      <c r="T128" s="228">
        <v>1895</v>
      </c>
      <c r="U128" s="228">
        <v>137</v>
      </c>
      <c r="V128" s="228">
        <v>3681</v>
      </c>
      <c r="W128" s="228">
        <v>460</v>
      </c>
      <c r="X128" s="229">
        <v>14</v>
      </c>
      <c r="Y128" s="228">
        <v>39</v>
      </c>
      <c r="Z128" s="250"/>
    </row>
    <row r="129">
      <c r="A129" s="252"/>
      <c r="B129" s="201" t="s">
        <v>144</v>
      </c>
      <c r="C129" s="202" t="s">
        <v>123</v>
      </c>
      <c r="D129" s="202">
        <f t="shared" si="51"/>
      </c>
      <c r="E129" s="202">
        <v>0</v>
      </c>
      <c r="F129" s="202">
        <v>2372.53</v>
      </c>
      <c r="G129" s="202">
        <v>0</v>
      </c>
      <c r="H129" s="215">
        <v>6</v>
      </c>
      <c r="I129" s="202">
        <v>3545.060000000005</v>
      </c>
      <c r="J129" s="206">
        <f t="shared" si="5"/>
      </c>
      <c r="K129" s="206">
        <f t="shared" si="296"/>
      </c>
      <c r="L129" s="206">
        <f t="shared" si="266"/>
      </c>
      <c r="M129" s="207">
        <f t="shared" si="205"/>
      </c>
      <c r="N129" s="208">
        <f t="shared" si="175"/>
      </c>
      <c r="O129" s="209">
        <f t="shared" si="145"/>
      </c>
      <c r="P129" s="208">
        <f t="shared" si="235"/>
      </c>
      <c r="Q129" s="210" t="s">
        <v>127</v>
      </c>
      <c r="R129" s="251" t="s">
        <v>141</v>
      </c>
      <c r="S129" s="228">
        <v>43289</v>
      </c>
      <c r="T129" s="228">
        <v>3059</v>
      </c>
      <c r="U129" s="228">
        <v>154</v>
      </c>
      <c r="V129" s="228">
        <v>5926</v>
      </c>
      <c r="W129" s="228">
        <v>649</v>
      </c>
      <c r="X129" s="229">
        <v>8</v>
      </c>
      <c r="Y129" s="229">
        <v>29</v>
      </c>
      <c r="Z129" s="250"/>
    </row>
    <row r="130">
      <c r="A130" s="252"/>
      <c r="B130" s="201" t="s">
        <v>144</v>
      </c>
      <c r="C130" s="202" t="s">
        <v>124</v>
      </c>
      <c r="D130" s="202">
        <f t="shared" si="51"/>
      </c>
      <c r="E130" s="202">
        <v>0</v>
      </c>
      <c r="F130" s="202">
        <v>3000.26</v>
      </c>
      <c r="G130" s="202">
        <v>0</v>
      </c>
      <c r="H130" s="215">
        <v>12</v>
      </c>
      <c r="I130" s="202">
        <v>5285.799999999996</v>
      </c>
      <c r="J130" s="206">
        <f t="shared" si="5"/>
      </c>
      <c r="K130" s="206">
        <f t="shared" si="296"/>
      </c>
      <c r="L130" s="206">
        <f t="shared" si="266"/>
      </c>
      <c r="M130" s="207">
        <f t="shared" si="205"/>
      </c>
      <c r="N130" s="208">
        <f t="shared" si="175"/>
      </c>
      <c r="O130" s="209">
        <f t="shared" si="145"/>
      </c>
      <c r="P130" s="208">
        <f t="shared" si="235"/>
      </c>
      <c r="Q130" s="210" t="s">
        <v>127</v>
      </c>
      <c r="R130" s="251" t="s">
        <v>141</v>
      </c>
      <c r="S130" s="228">
        <v>52860</v>
      </c>
      <c r="T130" s="228">
        <v>3472</v>
      </c>
      <c r="U130" s="228">
        <v>211</v>
      </c>
      <c r="V130" s="228">
        <v>6846</v>
      </c>
      <c r="W130" s="228">
        <v>786</v>
      </c>
      <c r="X130" s="229">
        <v>23</v>
      </c>
      <c r="Y130" s="228">
        <v>53</v>
      </c>
      <c r="Z130" s="250"/>
    </row>
    <row r="131">
      <c r="A131" s="252"/>
      <c r="B131" s="219" t="s">
        <v>119</v>
      </c>
      <c r="C131" s="219"/>
      <c r="D131" s="220">
        <f>SUM(D127:D130)</f>
      </c>
      <c r="E131" s="220">
        <f>SUM(E127:E130)</f>
      </c>
      <c r="F131" s="220">
        <f>SUM(F127:G130)</f>
      </c>
      <c r="G131" s="220"/>
      <c r="H131" s="221">
        <f>SUM(H127:H130)</f>
      </c>
      <c r="I131" s="220">
        <f>SUM(I127:I130)</f>
      </c>
      <c r="J131" s="222">
        <f t="shared" si="5"/>
      </c>
      <c r="K131" s="223">
        <f t="shared" si="296"/>
      </c>
      <c r="L131" s="224">
        <f t="shared" si="266"/>
      </c>
      <c r="M131" s="225">
        <f t="shared" si="205"/>
      </c>
      <c r="N131" s="225">
        <f t="shared" si="175"/>
      </c>
      <c r="O131" s="226">
        <f t="shared" si="145"/>
      </c>
      <c r="P131" s="225">
        <f t="shared" si="235"/>
      </c>
      <c r="Q131" s="226"/>
      <c r="R131" s="226"/>
      <c r="S131" s="221">
        <f>SUM(S127:S130)</f>
      </c>
      <c r="T131" s="221">
        <f>SUM(T127:T130)</f>
      </c>
      <c r="U131" s="221">
        <f>SUM(U127:U130)</f>
      </c>
      <c r="V131" s="221">
        <f>SUM(V127:V130)</f>
      </c>
      <c r="W131" s="221">
        <f>SUM(W127:W130)</f>
      </c>
      <c r="X131" s="221">
        <f>SUM(X127:X130)</f>
      </c>
      <c r="Y131" s="221">
        <f>SUM(Y127:Y130)</f>
      </c>
      <c r="Z131" s="250"/>
    </row>
    <row r="132">
      <c r="A132" s="252"/>
      <c r="B132" s="201" t="s">
        <v>132</v>
      </c>
      <c r="C132" s="202" t="s">
        <v>126</v>
      </c>
      <c r="D132" s="202">
        <f t="shared" ref="D132:D135" si="52">E132+G132+F132</f>
      </c>
      <c r="E132" s="203">
        <v>0</v>
      </c>
      <c r="F132" s="203">
        <v>2110.65</v>
      </c>
      <c r="G132" s="203">
        <v>0</v>
      </c>
      <c r="H132" s="204">
        <v>16</v>
      </c>
      <c r="I132" s="203">
        <v>12159.96</v>
      </c>
      <c r="J132" s="206">
        <f t="shared" si="5"/>
      </c>
      <c r="K132" s="206">
        <f t="shared" si="296"/>
      </c>
      <c r="L132" s="206">
        <f t="shared" si="266"/>
      </c>
      <c r="M132" s="207">
        <f t="shared" si="205"/>
      </c>
      <c r="N132" s="208">
        <f t="shared" si="175"/>
      </c>
      <c r="O132" s="209">
        <f t="shared" si="145"/>
      </c>
      <c r="P132" s="208">
        <f t="shared" si="235"/>
      </c>
      <c r="Q132" s="210" t="s">
        <v>127</v>
      </c>
      <c r="R132" s="251" t="s">
        <v>141</v>
      </c>
      <c r="S132" s="230">
        <v>42529</v>
      </c>
      <c r="T132" s="230">
        <v>2933</v>
      </c>
      <c r="U132" s="230">
        <v>187</v>
      </c>
      <c r="V132" s="230">
        <v>5502</v>
      </c>
      <c r="W132" s="230">
        <v>649</v>
      </c>
      <c r="X132" s="234">
        <v>27</v>
      </c>
      <c r="Y132" s="229">
        <v>54</v>
      </c>
      <c r="Z132" s="250"/>
    </row>
    <row r="133">
      <c r="A133" s="252"/>
      <c r="B133" s="201" t="s">
        <v>132</v>
      </c>
      <c r="C133" s="202" t="s">
        <v>128</v>
      </c>
      <c r="D133" s="202">
        <f t="shared" si="52"/>
      </c>
      <c r="E133" s="203">
        <v>0</v>
      </c>
      <c r="F133" s="203">
        <v>2470.93</v>
      </c>
      <c r="G133" s="203">
        <v>0</v>
      </c>
      <c r="H133" s="204">
        <v>14</v>
      </c>
      <c r="I133" s="203">
        <v>10116.78</v>
      </c>
      <c r="J133" s="206">
        <f t="shared" si="5"/>
      </c>
      <c r="K133" s="206">
        <f t="shared" si="296"/>
      </c>
      <c r="L133" s="206">
        <f t="shared" si="266"/>
      </c>
      <c r="M133" s="207">
        <f t="shared" si="205"/>
      </c>
      <c r="N133" s="208">
        <f t="shared" si="175"/>
      </c>
      <c r="O133" s="209">
        <f t="shared" si="145"/>
      </c>
      <c r="P133" s="208">
        <f t="shared" si="235"/>
      </c>
      <c r="Q133" s="210" t="s">
        <v>114</v>
      </c>
      <c r="R133" s="232" t="s">
        <v>129</v>
      </c>
      <c r="S133" s="229">
        <v>55044</v>
      </c>
      <c r="T133" s="229">
        <v>3577</v>
      </c>
      <c r="U133" s="229">
        <v>227</v>
      </c>
      <c r="V133" s="229">
        <v>7315</v>
      </c>
      <c r="W133" s="229">
        <v>840</v>
      </c>
      <c r="X133" s="229">
        <v>21</v>
      </c>
      <c r="Y133" s="229">
        <v>62</v>
      </c>
      <c r="Z133" s="250"/>
    </row>
    <row r="134">
      <c r="A134" s="252"/>
      <c r="B134" s="201" t="s">
        <v>132</v>
      </c>
      <c r="C134" s="202" t="s">
        <v>130</v>
      </c>
      <c r="D134" s="202">
        <f t="shared" si="52"/>
      </c>
      <c r="E134" s="203">
        <v>0</v>
      </c>
      <c r="F134" s="203">
        <v>2752.08</v>
      </c>
      <c r="G134" s="203">
        <v>0</v>
      </c>
      <c r="H134" s="204">
        <v>16</v>
      </c>
      <c r="I134" s="203">
        <v>8818.24</v>
      </c>
      <c r="J134" s="206">
        <f t="shared" si="5"/>
      </c>
      <c r="K134" s="206">
        <f t="shared" si="296"/>
      </c>
      <c r="L134" s="206">
        <f t="shared" si="266"/>
      </c>
      <c r="M134" s="207">
        <f t="shared" si="205"/>
      </c>
      <c r="N134" s="208">
        <f t="shared" si="175"/>
      </c>
      <c r="O134" s="209">
        <f t="shared" si="145"/>
      </c>
      <c r="P134" s="208">
        <f t="shared" si="235"/>
      </c>
      <c r="Q134" s="210" t="s">
        <v>114</v>
      </c>
      <c r="R134" s="232" t="s">
        <v>129</v>
      </c>
      <c r="S134" s="229">
        <v>58937</v>
      </c>
      <c r="T134" s="229">
        <v>4403</v>
      </c>
      <c r="U134" s="229">
        <v>261</v>
      </c>
      <c r="V134" s="229">
        <v>9200</v>
      </c>
      <c r="W134" s="229">
        <v>1210</v>
      </c>
      <c r="X134" s="229">
        <v>22</v>
      </c>
      <c r="Y134" s="229">
        <v>68</v>
      </c>
      <c r="Z134" s="250"/>
    </row>
    <row r="135">
      <c r="A135" s="252"/>
      <c r="B135" s="201" t="s">
        <v>132</v>
      </c>
      <c r="C135" s="202" t="s">
        <v>131</v>
      </c>
      <c r="D135" s="202">
        <f t="shared" si="52"/>
      </c>
      <c r="E135" s="203">
        <v>0</v>
      </c>
      <c r="F135" s="203">
        <v>2470.84</v>
      </c>
      <c r="G135" s="203">
        <v>0</v>
      </c>
      <c r="H135" s="204">
        <v>7</v>
      </c>
      <c r="I135" s="203">
        <v>3317.04</v>
      </c>
      <c r="J135" s="206">
        <f t="shared" si="5"/>
      </c>
      <c r="K135" s="206">
        <f t="shared" si="296"/>
      </c>
      <c r="L135" s="206">
        <f t="shared" si="266"/>
      </c>
      <c r="M135" s="207">
        <f t="shared" si="205"/>
      </c>
      <c r="N135" s="208">
        <f t="shared" si="175"/>
      </c>
      <c r="O135" s="209">
        <f t="shared" si="145"/>
      </c>
      <c r="P135" s="208">
        <f t="shared" si="235"/>
      </c>
      <c r="Q135" s="210" t="s">
        <v>114</v>
      </c>
      <c r="R135" s="232" t="s">
        <v>129</v>
      </c>
      <c r="S135" s="229">
        <v>56057</v>
      </c>
      <c r="T135" s="229">
        <v>4003</v>
      </c>
      <c r="U135" s="229">
        <v>188</v>
      </c>
      <c r="V135" s="229">
        <v>8156</v>
      </c>
      <c r="W135" s="229">
        <v>1018</v>
      </c>
      <c r="X135" s="229">
        <v>13</v>
      </c>
      <c r="Y135" s="229">
        <v>53</v>
      </c>
      <c r="Z135" s="250"/>
    </row>
    <row r="136">
      <c r="A136" s="252"/>
      <c r="B136" s="219" t="s">
        <v>119</v>
      </c>
      <c r="C136" s="219"/>
      <c r="D136" s="220">
        <f>SUM(D132:D135)</f>
      </c>
      <c r="E136" s="220">
        <f>SUM(E132:E135)</f>
      </c>
      <c r="F136" s="220">
        <f>SUM(F132:G135)</f>
      </c>
      <c r="G136" s="220"/>
      <c r="H136" s="221">
        <f>SUM(H132:H135)</f>
      </c>
      <c r="I136" s="220">
        <f>SUM(I132:I135)</f>
      </c>
      <c r="J136" s="222">
        <f t="shared" si="5"/>
      </c>
      <c r="K136" s="223">
        <f t="shared" si="296"/>
      </c>
      <c r="L136" s="224">
        <f t="shared" si="266"/>
      </c>
      <c r="M136" s="225">
        <f t="shared" si="205"/>
      </c>
      <c r="N136" s="225">
        <f t="shared" si="175"/>
      </c>
      <c r="O136" s="226">
        <f t="shared" si="145"/>
      </c>
      <c r="P136" s="225">
        <f t="shared" si="235"/>
      </c>
      <c r="Q136" s="226"/>
      <c r="R136" s="226"/>
      <c r="S136" s="221">
        <f>SUM(S132:S135)</f>
      </c>
      <c r="T136" s="221">
        <f>SUM(T132:T135)</f>
      </c>
      <c r="U136" s="221">
        <f>SUM(U132:U135)</f>
      </c>
      <c r="V136" s="221">
        <f>SUM(V132:V135)</f>
      </c>
      <c r="W136" s="221">
        <f>SUM(W132:W135)</f>
      </c>
      <c r="X136" s="221">
        <f>SUM(X132:X135)</f>
      </c>
      <c r="Y136" s="221">
        <f>SUM(Y132:Y135)</f>
      </c>
      <c r="Z136" s="250"/>
    </row>
    <row r="137">
      <c r="A137" s="252"/>
      <c r="B137" s="201" t="s">
        <v>125</v>
      </c>
      <c r="C137" s="202" t="s">
        <v>133</v>
      </c>
      <c r="D137" s="202">
        <f t="shared" ref="D137:D141" si="53">E137+G137+F137</f>
      </c>
      <c r="E137" s="203">
        <v>0</v>
      </c>
      <c r="F137" s="203">
        <v>2138.89</v>
      </c>
      <c r="G137" s="203">
        <v>0</v>
      </c>
      <c r="H137" s="204">
        <v>3</v>
      </c>
      <c r="I137" s="203">
        <v>645.12</v>
      </c>
      <c r="J137" s="206">
        <f t="shared" si="5"/>
      </c>
      <c r="K137" s="206">
        <f t="shared" si="296"/>
      </c>
      <c r="L137" s="206">
        <f t="shared" si="266"/>
      </c>
      <c r="M137" s="207">
        <f t="shared" si="205"/>
      </c>
      <c r="N137" s="208">
        <f t="shared" si="175"/>
      </c>
      <c r="O137" s="209">
        <f t="shared" si="145"/>
      </c>
      <c r="P137" s="208">
        <f t="shared" si="235"/>
      </c>
      <c r="Q137" s="210" t="s">
        <v>114</v>
      </c>
      <c r="R137" s="232" t="s">
        <v>129</v>
      </c>
      <c r="S137" s="229">
        <v>43145</v>
      </c>
      <c r="T137" s="229">
        <v>2874</v>
      </c>
      <c r="U137" s="229">
        <v>191</v>
      </c>
      <c r="V137" s="229">
        <v>5405</v>
      </c>
      <c r="W137" s="229">
        <v>655</v>
      </c>
      <c r="X137" s="229">
        <v>11</v>
      </c>
      <c r="Y137" s="229">
        <v>57</v>
      </c>
      <c r="Z137" s="250"/>
    </row>
    <row r="138">
      <c r="A138" s="252"/>
      <c r="B138" s="201" t="s">
        <v>125</v>
      </c>
      <c r="C138" s="202" t="s">
        <v>134</v>
      </c>
      <c r="D138" s="202">
        <f t="shared" si="53"/>
      </c>
      <c r="E138" s="203">
        <v>0</v>
      </c>
      <c r="F138" s="203">
        <v>3352.78</v>
      </c>
      <c r="G138" s="203">
        <v>0</v>
      </c>
      <c r="H138" s="204">
        <v>18</v>
      </c>
      <c r="I138" s="203">
        <v>4627.98</v>
      </c>
      <c r="J138" s="206">
        <f t="shared" si="5"/>
      </c>
      <c r="K138" s="206">
        <f t="shared" si="296"/>
      </c>
      <c r="L138" s="206">
        <f t="shared" si="266"/>
      </c>
      <c r="M138" s="207">
        <f t="shared" si="205"/>
      </c>
      <c r="N138" s="208">
        <f t="shared" si="175"/>
      </c>
      <c r="O138" s="209">
        <f t="shared" si="145"/>
      </c>
      <c r="P138" s="208">
        <f t="shared" si="235"/>
      </c>
      <c r="Q138" s="210" t="s">
        <v>114</v>
      </c>
      <c r="R138" s="232" t="s">
        <v>129</v>
      </c>
      <c r="S138" s="233">
        <v>57791</v>
      </c>
      <c r="T138" s="233">
        <v>4230</v>
      </c>
      <c r="U138" s="233">
        <v>275</v>
      </c>
      <c r="V138" s="233">
        <v>7355</v>
      </c>
      <c r="W138" s="233">
        <v>747</v>
      </c>
      <c r="X138" s="233">
        <v>27</v>
      </c>
      <c r="Y138" s="229">
        <v>66</v>
      </c>
      <c r="Z138" s="250"/>
    </row>
    <row r="139">
      <c r="A139" s="252"/>
      <c r="B139" s="201" t="s">
        <v>125</v>
      </c>
      <c r="C139" s="202" t="s">
        <v>135</v>
      </c>
      <c r="D139" s="202">
        <f t="shared" si="53"/>
      </c>
      <c r="E139" s="203">
        <v>0</v>
      </c>
      <c r="F139" s="203">
        <v>5742.8</v>
      </c>
      <c r="G139" s="203">
        <v>0</v>
      </c>
      <c r="H139" s="204">
        <v>15</v>
      </c>
      <c r="I139" s="203">
        <v>9300.96</v>
      </c>
      <c r="J139" s="206">
        <f t="shared" si="5"/>
      </c>
      <c r="K139" s="206">
        <f t="shared" si="296"/>
      </c>
      <c r="L139" s="206">
        <f t="shared" si="266"/>
      </c>
      <c r="M139" s="207">
        <f t="shared" si="205"/>
      </c>
      <c r="N139" s="208">
        <f t="shared" si="175"/>
      </c>
      <c r="O139" s="209">
        <f t="shared" si="145"/>
      </c>
      <c r="P139" s="208">
        <f t="shared" si="235"/>
      </c>
      <c r="Q139" s="210" t="s">
        <v>114</v>
      </c>
      <c r="R139" s="232" t="s">
        <v>129</v>
      </c>
      <c r="S139" s="233">
        <v>101162</v>
      </c>
      <c r="T139" s="233">
        <v>8334</v>
      </c>
      <c r="U139" s="233">
        <v>472</v>
      </c>
      <c r="V139" s="233">
        <v>14496</v>
      </c>
      <c r="W139" s="246">
        <v>1343</v>
      </c>
      <c r="X139" s="214">
        <v>31</v>
      </c>
      <c r="Y139" s="248">
        <v>98</v>
      </c>
      <c r="Z139" s="250"/>
    </row>
    <row r="140">
      <c r="A140" s="252"/>
      <c r="B140" s="201" t="s">
        <v>125</v>
      </c>
      <c r="C140" s="202" t="s">
        <v>136</v>
      </c>
      <c r="D140" s="202">
        <f t="shared" si="53"/>
      </c>
      <c r="E140" s="203">
        <v>0</v>
      </c>
      <c r="F140" s="203">
        <v>4040.33</v>
      </c>
      <c r="G140" s="203">
        <v>0</v>
      </c>
      <c r="H140" s="204">
        <v>18</v>
      </c>
      <c r="I140" s="203">
        <v>8377</v>
      </c>
      <c r="J140" s="206">
        <f t="shared" si="5"/>
      </c>
      <c r="K140" s="206">
        <f t="shared" si="296"/>
      </c>
      <c r="L140" s="206">
        <f t="shared" si="266"/>
      </c>
      <c r="M140" s="207">
        <f t="shared" si="205"/>
      </c>
      <c r="N140" s="208">
        <f t="shared" si="175"/>
      </c>
      <c r="O140" s="209">
        <f t="shared" si="145"/>
      </c>
      <c r="P140" s="208">
        <f t="shared" si="235"/>
      </c>
      <c r="Q140" s="210" t="s">
        <v>114</v>
      </c>
      <c r="R140" s="232" t="s">
        <v>129</v>
      </c>
      <c r="S140" s="233">
        <v>75006</v>
      </c>
      <c r="T140" s="233">
        <v>5887</v>
      </c>
      <c r="U140" s="233">
        <v>335</v>
      </c>
      <c r="V140" s="233">
        <v>10432</v>
      </c>
      <c r="W140" s="246">
        <v>1015</v>
      </c>
      <c r="X140" s="214">
        <v>26</v>
      </c>
      <c r="Y140" s="248">
        <v>75</v>
      </c>
      <c r="Z140" s="250"/>
    </row>
    <row r="141">
      <c r="A141" s="252"/>
      <c r="B141" s="201" t="s">
        <v>125</v>
      </c>
      <c r="C141" s="202" t="s">
        <v>137</v>
      </c>
      <c r="D141" s="202">
        <f t="shared" si="53"/>
      </c>
      <c r="E141" s="203">
        <v>0</v>
      </c>
      <c r="F141" s="203">
        <f>995.36+0.5</f>
      </c>
      <c r="G141" s="203">
        <v>0</v>
      </c>
      <c r="H141" s="204">
        <v>10</v>
      </c>
      <c r="I141" s="203">
        <v>3865.82</v>
      </c>
      <c r="J141" s="206">
        <f t="shared" si="5"/>
      </c>
      <c r="K141" s="206">
        <f t="shared" si="296"/>
      </c>
      <c r="L141" s="206">
        <f t="shared" si="266"/>
      </c>
      <c r="M141" s="207">
        <f t="shared" si="205"/>
      </c>
      <c r="N141" s="208">
        <f t="shared" si="175"/>
      </c>
      <c r="O141" s="209">
        <f t="shared" si="145"/>
      </c>
      <c r="P141" s="208">
        <f t="shared" si="235"/>
      </c>
      <c r="Q141" s="210" t="s">
        <v>114</v>
      </c>
      <c r="R141" s="232" t="s">
        <v>129</v>
      </c>
      <c r="S141" s="233">
        <v>16058</v>
      </c>
      <c r="T141" s="233">
        <v>1546</v>
      </c>
      <c r="U141" s="233">
        <v>94</v>
      </c>
      <c r="V141" s="233">
        <v>2786</v>
      </c>
      <c r="W141" s="233">
        <v>334</v>
      </c>
      <c r="X141" s="249">
        <v>14</v>
      </c>
      <c r="Y141" s="229">
        <v>32</v>
      </c>
      <c r="Z141" s="250"/>
    </row>
    <row r="142">
      <c r="A142" s="252"/>
      <c r="B142" s="219" t="s">
        <v>119</v>
      </c>
      <c r="C142" s="219"/>
      <c r="D142" s="220">
        <f>SUM(D137:D141)</f>
      </c>
      <c r="E142" s="220">
        <f>SUM(E137:E141)</f>
      </c>
      <c r="F142" s="220">
        <f>SUM(F137:G141)</f>
      </c>
      <c r="G142" s="220"/>
      <c r="H142" s="220">
        <f>SUM(H137:H141)</f>
      </c>
      <c r="I142" s="220">
        <f>SUM(I137:I141)</f>
      </c>
      <c r="J142" s="222">
        <f t="shared" si="5"/>
      </c>
      <c r="K142" s="223">
        <f t="shared" si="296"/>
      </c>
      <c r="L142" s="224">
        <f t="shared" si="266"/>
      </c>
      <c r="M142" s="225">
        <f t="shared" si="205"/>
      </c>
      <c r="N142" s="225">
        <f t="shared" si="175"/>
      </c>
      <c r="O142" s="226">
        <f t="shared" si="145"/>
      </c>
      <c r="P142" s="225">
        <f t="shared" si="235"/>
      </c>
      <c r="Q142" s="226"/>
      <c r="R142" s="235"/>
      <c r="S142" s="220">
        <f>SUM(S137:S141)</f>
      </c>
      <c r="T142" s="220">
        <f>SUM(T137:T141)</f>
      </c>
      <c r="U142" s="220">
        <f>SUM(U137:U141)</f>
      </c>
      <c r="V142" s="220">
        <f>SUM(V137:V141)</f>
      </c>
      <c r="W142" s="220">
        <f>SUM(W137:W141)</f>
      </c>
      <c r="X142" s="220">
        <f>SUM(X137:X141)</f>
      </c>
      <c r="Y142" s="220">
        <f>SUM(Y137:Y141)</f>
      </c>
      <c r="Z142" s="250"/>
    </row>
    <row r="143">
      <c r="A143" s="252"/>
      <c r="B143" s="236" t="s">
        <v>138</v>
      </c>
      <c r="C143" s="236"/>
      <c r="D143" s="237">
        <f>D142+D136+D131+D126</f>
      </c>
      <c r="E143" s="237">
        <f>E142+E136+E131+E126</f>
      </c>
      <c r="F143" s="237">
        <f>F142+F136+F131+F126</f>
      </c>
      <c r="G143" s="237"/>
      <c r="H143" s="238">
        <f>H142+H136+H131+H126</f>
      </c>
      <c r="I143" s="237">
        <f>I142+I136+I131+I126</f>
      </c>
      <c r="J143" s="239">
        <f t="shared" si="5"/>
      </c>
      <c r="K143" s="239">
        <f t="shared" si="296"/>
      </c>
      <c r="L143" s="239">
        <f t="shared" si="266"/>
      </c>
      <c r="M143" s="240">
        <f t="shared" si="205"/>
      </c>
      <c r="N143" s="240">
        <f t="shared" si="175"/>
      </c>
      <c r="O143" s="239">
        <f t="shared" si="145"/>
      </c>
      <c r="P143" s="240">
        <f t="shared" si="235"/>
      </c>
      <c r="Q143" s="241"/>
      <c r="R143" s="242"/>
      <c r="S143" s="243">
        <f>S142+S136+S131+S126</f>
      </c>
      <c r="T143" s="243">
        <f>T142+T136+T131+T126</f>
      </c>
      <c r="U143" s="243">
        <f>U142+U136+U131+U126</f>
      </c>
      <c r="V143" s="243">
        <f>V142+V136+V131+V126</f>
      </c>
      <c r="W143" s="243">
        <f>W142+W136+W131+W126</f>
      </c>
      <c r="X143" s="244">
        <f>X142+X136+X131+X126</f>
      </c>
      <c r="Y143" s="238">
        <f>Y142+Y136+Y131+Y126</f>
      </c>
      <c r="Z143" s="250"/>
    </row>
    <row r="144">
      <c r="A144" s="188" t="s">
        <v>83</v>
      </c>
      <c r="B144" s="188"/>
      <c r="C144" s="188"/>
      <c r="D144" s="189" t="s">
        <v>84</v>
      </c>
      <c r="E144" s="189"/>
      <c r="F144" s="189"/>
      <c r="G144" s="189"/>
      <c r="H144" s="189"/>
      <c r="I144" s="189"/>
      <c r="J144" s="189"/>
      <c r="K144" s="189"/>
      <c r="L144" s="189"/>
      <c r="M144" s="190" t="s">
        <v>85</v>
      </c>
      <c r="N144" s="190"/>
      <c r="O144" s="190"/>
      <c r="P144" s="190"/>
      <c r="Q144" s="190"/>
      <c r="R144" s="190"/>
      <c r="S144" s="191" t="s">
        <v>86</v>
      </c>
      <c r="T144" s="191"/>
      <c r="U144" s="191"/>
      <c r="V144" s="191"/>
      <c r="W144" s="191"/>
      <c r="X144" s="191"/>
      <c r="Y144" s="191"/>
      <c r="Z144" s="250"/>
    </row>
    <row r="145">
      <c r="A145" s="192" t="s">
        <v>87</v>
      </c>
      <c r="B145" s="188" t="s">
        <v>88</v>
      </c>
      <c r="C145" s="188" t="s">
        <v>89</v>
      </c>
      <c r="D145" s="193" t="s">
        <v>90</v>
      </c>
      <c r="E145" s="193" t="s">
        <v>91</v>
      </c>
      <c r="F145" s="189" t="s">
        <v>92</v>
      </c>
      <c r="G145" s="189"/>
      <c r="H145" s="194" t="s">
        <v>93</v>
      </c>
      <c r="I145" s="189" t="s">
        <v>94</v>
      </c>
      <c r="J145" s="195" t="s">
        <v>95</v>
      </c>
      <c r="K145" s="196" t="s">
        <v>96</v>
      </c>
      <c r="L145" s="189" t="s">
        <v>97</v>
      </c>
      <c r="M145" s="190" t="s">
        <v>98</v>
      </c>
      <c r="N145" s="190" t="s">
        <v>99</v>
      </c>
      <c r="O145" s="190" t="s">
        <v>100</v>
      </c>
      <c r="P145" s="190" t="s">
        <v>101</v>
      </c>
      <c r="Q145" s="197" t="s">
        <v>102</v>
      </c>
      <c r="R145" s="197" t="s">
        <v>103</v>
      </c>
      <c r="S145" s="198" t="s">
        <v>104</v>
      </c>
      <c r="T145" s="198" t="s">
        <v>105</v>
      </c>
      <c r="U145" s="199" t="s">
        <v>106</v>
      </c>
      <c r="V145" s="199" t="s">
        <v>107</v>
      </c>
      <c r="W145" s="199" t="s">
        <v>108</v>
      </c>
      <c r="X145" s="199" t="s">
        <v>109</v>
      </c>
      <c r="Y145" s="199" t="s">
        <v>110</v>
      </c>
      <c r="Z145" s="250"/>
    </row>
    <row r="146">
      <c r="A146" s="200" t="s">
        <v>146</v>
      </c>
      <c r="B146" s="227" t="s">
        <v>120</v>
      </c>
      <c r="C146" s="202" t="s">
        <v>113</v>
      </c>
      <c r="D146" s="202">
        <f t="shared" ref="D146:D149" si="54">E146+G146+F146</f>
      </c>
      <c r="E146" s="202">
        <v>0</v>
      </c>
      <c r="F146" s="202">
        <v>1628.75</v>
      </c>
      <c r="G146" s="202">
        <v>0</v>
      </c>
      <c r="H146" s="204">
        <v>4</v>
      </c>
      <c r="I146" s="202">
        <v>860.16</v>
      </c>
      <c r="J146" s="205">
        <f t="shared" ref="J146:J167" si="6">I146/D146</f>
      </c>
      <c r="K146" s="205">
        <f t="shared" ref="K146:K167" si="297">D146/H146</f>
      </c>
      <c r="L146" s="206">
        <f t="shared" ref="L146:L167" si="267">I146/H146</f>
      </c>
      <c r="M146" s="207">
        <f t="shared" ref="M146:M167" si="206">T146/S146</f>
      </c>
      <c r="N146" s="208">
        <f t="shared" ref="N146:N167" si="176">H146/X146</f>
      </c>
      <c r="O146" s="209">
        <f t="shared" ref="O146:O167" si="146">(Y146*1000)/D146</f>
      </c>
      <c r="P146" s="208">
        <f t="shared" ref="P146:P167" si="236">W146/V146</f>
      </c>
      <c r="Q146" s="210" t="s">
        <v>127</v>
      </c>
      <c r="R146" s="251" t="s">
        <v>141</v>
      </c>
      <c r="S146" s="212">
        <v>25153</v>
      </c>
      <c r="T146" s="212">
        <v>2437</v>
      </c>
      <c r="U146" s="213">
        <v>122</v>
      </c>
      <c r="V146" s="212">
        <v>4587</v>
      </c>
      <c r="W146" s="212">
        <v>681</v>
      </c>
      <c r="X146" s="214">
        <v>11</v>
      </c>
      <c r="Y146" s="214">
        <v>27</v>
      </c>
      <c r="Z146" s="250"/>
    </row>
    <row r="147">
      <c r="A147" s="200"/>
      <c r="B147" s="227" t="s">
        <v>120</v>
      </c>
      <c r="C147" s="202" t="s">
        <v>116</v>
      </c>
      <c r="D147" s="202">
        <f t="shared" si="54"/>
      </c>
      <c r="E147" s="202">
        <v>0</v>
      </c>
      <c r="F147" s="202">
        <v>1831.72</v>
      </c>
      <c r="G147" s="202">
        <v>0</v>
      </c>
      <c r="H147" s="215">
        <v>2</v>
      </c>
      <c r="I147" s="202">
        <v>430.08000000000004</v>
      </c>
      <c r="J147" s="206">
        <f t="shared" si="6"/>
      </c>
      <c r="K147" s="206">
        <f t="shared" si="297"/>
      </c>
      <c r="L147" s="205">
        <f t="shared" si="267"/>
      </c>
      <c r="M147" s="207">
        <f t="shared" si="206"/>
      </c>
      <c r="N147" s="208">
        <f t="shared" si="176"/>
      </c>
      <c r="O147" s="209">
        <f t="shared" si="146"/>
      </c>
      <c r="P147" s="208">
        <f t="shared" si="236"/>
      </c>
      <c r="Q147" s="210" t="s">
        <v>127</v>
      </c>
      <c r="R147" s="251" t="s">
        <v>141</v>
      </c>
      <c r="S147" s="216">
        <v>27242</v>
      </c>
      <c r="T147" s="216">
        <v>2396</v>
      </c>
      <c r="U147" s="212">
        <v>117</v>
      </c>
      <c r="V147" s="212">
        <v>4707</v>
      </c>
      <c r="W147" s="212">
        <v>749</v>
      </c>
      <c r="X147" s="214">
        <v>5</v>
      </c>
      <c r="Y147" s="217">
        <v>31</v>
      </c>
      <c r="Z147" s="250"/>
    </row>
    <row r="148">
      <c r="A148" s="200"/>
      <c r="B148" s="227" t="s">
        <v>120</v>
      </c>
      <c r="C148" s="202" t="s">
        <v>117</v>
      </c>
      <c r="D148" s="202">
        <f t="shared" si="54"/>
      </c>
      <c r="E148" s="218">
        <v>0</v>
      </c>
      <c r="F148" s="202">
        <v>2033.56</v>
      </c>
      <c r="G148" s="202">
        <v>0</v>
      </c>
      <c r="H148" s="215">
        <v>6</v>
      </c>
      <c r="I148" s="202">
        <v>2678.3999999999996</v>
      </c>
      <c r="J148" s="206">
        <f t="shared" si="6"/>
      </c>
      <c r="K148" s="206">
        <f t="shared" si="297"/>
      </c>
      <c r="L148" s="206">
        <f t="shared" si="267"/>
      </c>
      <c r="M148" s="207">
        <f t="shared" si="206"/>
      </c>
      <c r="N148" s="208">
        <f t="shared" si="176"/>
      </c>
      <c r="O148" s="209">
        <f t="shared" si="146"/>
      </c>
      <c r="P148" s="208">
        <f t="shared" si="236"/>
      </c>
      <c r="Q148" s="210" t="s">
        <v>127</v>
      </c>
      <c r="R148" s="251" t="s">
        <v>141</v>
      </c>
      <c r="S148" s="217">
        <v>30709</v>
      </c>
      <c r="T148" s="217">
        <v>2177</v>
      </c>
      <c r="U148" s="217">
        <v>125</v>
      </c>
      <c r="V148" s="217">
        <v>4115</v>
      </c>
      <c r="W148" s="217">
        <v>641</v>
      </c>
      <c r="X148" s="214">
        <v>12</v>
      </c>
      <c r="Y148" s="217">
        <v>36</v>
      </c>
      <c r="Z148" s="250"/>
    </row>
    <row r="149">
      <c r="A149" s="200"/>
      <c r="B149" s="227" t="s">
        <v>120</v>
      </c>
      <c r="C149" s="202" t="s">
        <v>118</v>
      </c>
      <c r="D149" s="202">
        <f t="shared" si="54"/>
      </c>
      <c r="E149" s="202">
        <v>0</v>
      </c>
      <c r="F149" s="202">
        <v>3232.07</v>
      </c>
      <c r="G149" s="202">
        <v>0</v>
      </c>
      <c r="H149" s="215">
        <v>17</v>
      </c>
      <c r="I149" s="202">
        <v>11006.300000000001</v>
      </c>
      <c r="J149" s="206">
        <f t="shared" si="6"/>
      </c>
      <c r="K149" s="206">
        <f t="shared" si="297"/>
      </c>
      <c r="L149" s="206">
        <f t="shared" si="267"/>
      </c>
      <c r="M149" s="207">
        <f t="shared" si="206"/>
      </c>
      <c r="N149" s="208">
        <f t="shared" si="176"/>
      </c>
      <c r="O149" s="209">
        <f t="shared" si="146"/>
      </c>
      <c r="P149" s="208">
        <f t="shared" si="236"/>
      </c>
      <c r="Q149" s="210" t="s">
        <v>127</v>
      </c>
      <c r="R149" s="251" t="s">
        <v>141</v>
      </c>
      <c r="S149" s="217">
        <v>65664</v>
      </c>
      <c r="T149" s="217">
        <v>4138</v>
      </c>
      <c r="U149" s="217">
        <v>253</v>
      </c>
      <c r="V149" s="217">
        <v>8489</v>
      </c>
      <c r="W149" s="217">
        <v>1233</v>
      </c>
      <c r="X149" s="214">
        <v>29</v>
      </c>
      <c r="Y149" s="217">
        <v>63</v>
      </c>
      <c r="Z149" s="250"/>
    </row>
    <row r="150">
      <c r="A150" s="200"/>
      <c r="B150" s="219" t="s">
        <v>119</v>
      </c>
      <c r="C150" s="219"/>
      <c r="D150" s="220">
        <f>SUM(D146:D149)</f>
      </c>
      <c r="E150" s="220">
        <f>SUM(E146:E149)</f>
      </c>
      <c r="F150" s="220">
        <f>SUM(F146:G149)</f>
      </c>
      <c r="G150" s="220"/>
      <c r="H150" s="221">
        <f>SUM(H146:H149)</f>
      </c>
      <c r="I150" s="220">
        <f>SUM(I146:I149)</f>
      </c>
      <c r="J150" s="253">
        <f t="shared" si="6"/>
      </c>
      <c r="K150" s="223">
        <f t="shared" si="297"/>
      </c>
      <c r="L150" s="254">
        <f t="shared" si="267"/>
      </c>
      <c r="M150" s="225">
        <f t="shared" si="206"/>
      </c>
      <c r="N150" s="225">
        <f t="shared" si="176"/>
      </c>
      <c r="O150" s="226">
        <f t="shared" si="146"/>
      </c>
      <c r="P150" s="225">
        <f t="shared" si="236"/>
      </c>
      <c r="Q150" s="226"/>
      <c r="R150" s="226"/>
      <c r="S150" s="221">
        <f>SUM(S146:S149)</f>
      </c>
      <c r="T150" s="221">
        <f>SUM(T146:T149)</f>
      </c>
      <c r="U150" s="221">
        <f>SUM(U146:U149)</f>
      </c>
      <c r="V150" s="221">
        <f>SUM(V146:V149)</f>
      </c>
      <c r="W150" s="221">
        <f>SUM(W146:W149)</f>
      </c>
      <c r="X150" s="221">
        <f>SUM(X146:X149)</f>
      </c>
      <c r="Y150" s="221">
        <f>SUM(Y146:Y149)</f>
      </c>
      <c r="Z150" s="250"/>
    </row>
    <row r="151">
      <c r="A151" s="200"/>
      <c r="B151" s="201" t="s">
        <v>125</v>
      </c>
      <c r="C151" s="202" t="s">
        <v>121</v>
      </c>
      <c r="D151" s="202">
        <f t="shared" ref="D151:D154" si="55">E151+G151+F151</f>
      </c>
      <c r="E151" s="202">
        <v>0</v>
      </c>
      <c r="F151" s="202">
        <v>3381.16</v>
      </c>
      <c r="G151" s="202">
        <v>0</v>
      </c>
      <c r="H151" s="215">
        <v>15</v>
      </c>
      <c r="I151" s="202">
        <v>6374.6799999999985</v>
      </c>
      <c r="J151" s="206">
        <f t="shared" si="6"/>
      </c>
      <c r="K151" s="206">
        <f t="shared" si="297"/>
      </c>
      <c r="L151" s="206">
        <f t="shared" si="267"/>
      </c>
      <c r="M151" s="207">
        <f t="shared" si="206"/>
      </c>
      <c r="N151" s="208">
        <f t="shared" si="176"/>
      </c>
      <c r="O151" s="209">
        <f t="shared" si="146"/>
      </c>
      <c r="P151" s="208">
        <f t="shared" si="236"/>
      </c>
      <c r="Q151" s="210" t="s">
        <v>127</v>
      </c>
      <c r="R151" s="251" t="s">
        <v>141</v>
      </c>
      <c r="S151" s="228">
        <v>71902</v>
      </c>
      <c r="T151" s="228">
        <v>3847</v>
      </c>
      <c r="U151" s="228">
        <v>329</v>
      </c>
      <c r="V151" s="228">
        <v>8050</v>
      </c>
      <c r="W151" s="228">
        <v>1256</v>
      </c>
      <c r="X151" s="229">
        <v>24</v>
      </c>
      <c r="Y151" s="228">
        <v>78</v>
      </c>
      <c r="Z151" s="250"/>
    </row>
    <row r="152">
      <c r="A152" s="200"/>
      <c r="B152" s="201" t="s">
        <v>125</v>
      </c>
      <c r="C152" s="202" t="s">
        <v>122</v>
      </c>
      <c r="D152" s="202">
        <f t="shared" si="55"/>
      </c>
      <c r="E152" s="202">
        <v>0</v>
      </c>
      <c r="F152" s="202">
        <v>3746.3</v>
      </c>
      <c r="G152" s="202">
        <v>0</v>
      </c>
      <c r="H152" s="215">
        <v>16</v>
      </c>
      <c r="I152" s="202">
        <v>9449.39</v>
      </c>
      <c r="J152" s="206">
        <f t="shared" si="6"/>
      </c>
      <c r="K152" s="206">
        <f t="shared" si="297"/>
      </c>
      <c r="L152" s="206">
        <f t="shared" si="267"/>
      </c>
      <c r="M152" s="207">
        <f t="shared" si="206"/>
      </c>
      <c r="N152" s="208">
        <f t="shared" si="176"/>
      </c>
      <c r="O152" s="209">
        <f t="shared" si="146"/>
      </c>
      <c r="P152" s="208">
        <f t="shared" si="236"/>
      </c>
      <c r="Q152" s="210" t="s">
        <v>127</v>
      </c>
      <c r="R152" s="251" t="s">
        <v>141</v>
      </c>
      <c r="S152" s="228">
        <v>113470</v>
      </c>
      <c r="T152" s="228">
        <v>4295</v>
      </c>
      <c r="U152" s="228">
        <v>367</v>
      </c>
      <c r="V152" s="228">
        <v>7841</v>
      </c>
      <c r="W152" s="228">
        <v>1110</v>
      </c>
      <c r="X152" s="229">
        <v>26</v>
      </c>
      <c r="Y152" s="228">
        <v>77</v>
      </c>
      <c r="Z152" s="250"/>
    </row>
    <row r="153">
      <c r="A153" s="200"/>
      <c r="B153" s="201" t="s">
        <v>125</v>
      </c>
      <c r="C153" s="202" t="s">
        <v>123</v>
      </c>
      <c r="D153" s="202">
        <f t="shared" si="55"/>
      </c>
      <c r="E153" s="202">
        <v>0</v>
      </c>
      <c r="F153" s="202">
        <v>3995.3</v>
      </c>
      <c r="G153" s="202">
        <v>0</v>
      </c>
      <c r="H153" s="215">
        <v>13</v>
      </c>
      <c r="I153" s="202">
        <v>5471.680000000004</v>
      </c>
      <c r="J153" s="206">
        <f t="shared" si="6"/>
      </c>
      <c r="K153" s="206">
        <f t="shared" si="297"/>
      </c>
      <c r="L153" s="206">
        <f t="shared" si="267"/>
      </c>
      <c r="M153" s="207">
        <f t="shared" si="206"/>
      </c>
      <c r="N153" s="208">
        <f t="shared" si="176"/>
      </c>
      <c r="O153" s="209">
        <f t="shared" si="146"/>
      </c>
      <c r="P153" s="208">
        <f t="shared" si="236"/>
      </c>
      <c r="Q153" s="210" t="s">
        <v>127</v>
      </c>
      <c r="R153" s="251" t="s">
        <v>141</v>
      </c>
      <c r="S153" s="228">
        <v>101349</v>
      </c>
      <c r="T153" s="228">
        <v>3245</v>
      </c>
      <c r="U153" s="228">
        <v>304</v>
      </c>
      <c r="V153" s="228">
        <v>5342</v>
      </c>
      <c r="W153" s="228">
        <v>695</v>
      </c>
      <c r="X153" s="229">
        <v>20</v>
      </c>
      <c r="Y153" s="229">
        <v>71</v>
      </c>
      <c r="Z153" s="250"/>
    </row>
    <row r="154">
      <c r="A154" s="200"/>
      <c r="B154" s="201" t="s">
        <v>125</v>
      </c>
      <c r="C154" s="202" t="s">
        <v>124</v>
      </c>
      <c r="D154" s="202">
        <f t="shared" si="55"/>
      </c>
      <c r="E154" s="202">
        <v>0</v>
      </c>
      <c r="F154" s="202">
        <v>3508.57</v>
      </c>
      <c r="G154" s="202">
        <v>0</v>
      </c>
      <c r="H154" s="215">
        <v>9</v>
      </c>
      <c r="I154" s="202">
        <v>3747.1199999999953</v>
      </c>
      <c r="J154" s="206">
        <f t="shared" si="6"/>
      </c>
      <c r="K154" s="206">
        <f t="shared" si="297"/>
      </c>
      <c r="L154" s="206">
        <f t="shared" si="267"/>
      </c>
      <c r="M154" s="207">
        <f t="shared" si="206"/>
      </c>
      <c r="N154" s="208">
        <f t="shared" si="176"/>
      </c>
      <c r="O154" s="209">
        <f t="shared" si="146"/>
      </c>
      <c r="P154" s="208">
        <f t="shared" si="236"/>
      </c>
      <c r="Q154" s="210" t="s">
        <v>127</v>
      </c>
      <c r="R154" s="251" t="s">
        <v>141</v>
      </c>
      <c r="S154" s="228">
        <v>68123</v>
      </c>
      <c r="T154" s="228">
        <v>3118</v>
      </c>
      <c r="U154" s="228">
        <v>281</v>
      </c>
      <c r="V154" s="228">
        <v>5424</v>
      </c>
      <c r="W154" s="228">
        <v>658</v>
      </c>
      <c r="X154" s="229">
        <v>15</v>
      </c>
      <c r="Y154" s="228">
        <v>72</v>
      </c>
      <c r="Z154" s="250"/>
    </row>
    <row r="155">
      <c r="A155" s="200"/>
      <c r="B155" s="219" t="s">
        <v>119</v>
      </c>
      <c r="C155" s="219"/>
      <c r="D155" s="220">
        <f>SUM(D151:D154)</f>
      </c>
      <c r="E155" s="220">
        <f>SUM(E151:E154)</f>
      </c>
      <c r="F155" s="220">
        <f>SUM(F151:G154)</f>
      </c>
      <c r="G155" s="220"/>
      <c r="H155" s="221">
        <f>SUM(H151:H154)</f>
      </c>
      <c r="I155" s="220">
        <f>SUM(I151:I154)</f>
      </c>
      <c r="J155" s="222">
        <f t="shared" si="6"/>
      </c>
      <c r="K155" s="223">
        <f t="shared" si="297"/>
      </c>
      <c r="L155" s="224">
        <f t="shared" si="267"/>
      </c>
      <c r="M155" s="225">
        <f t="shared" si="206"/>
      </c>
      <c r="N155" s="225">
        <f t="shared" si="176"/>
      </c>
      <c r="O155" s="226">
        <f t="shared" si="146"/>
      </c>
      <c r="P155" s="225">
        <f t="shared" si="236"/>
      </c>
      <c r="Q155" s="226"/>
      <c r="R155" s="226"/>
      <c r="S155" s="221">
        <f>SUM(S151:S154)</f>
      </c>
      <c r="T155" s="221">
        <f>SUM(T151:T154)</f>
      </c>
      <c r="U155" s="221">
        <f>SUM(U151:U154)</f>
      </c>
      <c r="V155" s="221">
        <f>SUM(V151:V154)</f>
      </c>
      <c r="W155" s="221">
        <f>SUM(W151:W154)</f>
      </c>
      <c r="X155" s="221">
        <f>SUM(X151:X154)</f>
      </c>
      <c r="Y155" s="221">
        <f>SUM(Y151:Y154)</f>
      </c>
      <c r="Z155" s="250"/>
    </row>
    <row r="156">
      <c r="A156" s="200"/>
      <c r="B156" s="201" t="s">
        <v>132</v>
      </c>
      <c r="C156" s="202" t="s">
        <v>126</v>
      </c>
      <c r="D156" s="202">
        <f t="shared" ref="D156:D159" si="56">E156+G156+F156</f>
      </c>
      <c r="E156" s="203">
        <v>0</v>
      </c>
      <c r="F156" s="203">
        <v>4233.4</v>
      </c>
      <c r="G156" s="203">
        <v>0</v>
      </c>
      <c r="H156" s="204">
        <v>9</v>
      </c>
      <c r="I156" s="203">
        <v>4222.58</v>
      </c>
      <c r="J156" s="206">
        <f t="shared" si="6"/>
      </c>
      <c r="K156" s="206">
        <f t="shared" si="297"/>
      </c>
      <c r="L156" s="206">
        <f t="shared" si="267"/>
      </c>
      <c r="M156" s="207">
        <f t="shared" si="206"/>
      </c>
      <c r="N156" s="208">
        <f t="shared" si="176"/>
      </c>
      <c r="O156" s="209">
        <f t="shared" si="146"/>
      </c>
      <c r="P156" s="208">
        <f t="shared" si="236"/>
      </c>
      <c r="Q156" s="210" t="s">
        <v>127</v>
      </c>
      <c r="R156" s="251" t="s">
        <v>141</v>
      </c>
      <c r="S156" s="230">
        <v>78617</v>
      </c>
      <c r="T156" s="230">
        <v>4695</v>
      </c>
      <c r="U156" s="230">
        <v>323</v>
      </c>
      <c r="V156" s="230">
        <v>8573</v>
      </c>
      <c r="W156" s="230">
        <v>1140</v>
      </c>
      <c r="X156" s="234">
        <v>21</v>
      </c>
      <c r="Y156" s="229">
        <v>76</v>
      </c>
      <c r="Z156" s="250"/>
    </row>
    <row r="157">
      <c r="A157" s="200"/>
      <c r="B157" s="201" t="s">
        <v>132</v>
      </c>
      <c r="C157" s="202" t="s">
        <v>128</v>
      </c>
      <c r="D157" s="202">
        <f t="shared" si="56"/>
      </c>
      <c r="E157" s="203">
        <v>0</v>
      </c>
      <c r="F157" s="203">
        <v>3936.83</v>
      </c>
      <c r="G157" s="203">
        <v>0</v>
      </c>
      <c r="H157" s="204">
        <v>16</v>
      </c>
      <c r="I157" s="203">
        <v>9716.06</v>
      </c>
      <c r="J157" s="206">
        <f t="shared" si="6"/>
      </c>
      <c r="K157" s="206">
        <f t="shared" si="297"/>
      </c>
      <c r="L157" s="206">
        <f t="shared" si="267"/>
      </c>
      <c r="M157" s="207">
        <f t="shared" si="206"/>
      </c>
      <c r="N157" s="208">
        <f t="shared" si="176"/>
      </c>
      <c r="O157" s="209">
        <f t="shared" si="146"/>
      </c>
      <c r="P157" s="208">
        <f t="shared" si="236"/>
      </c>
      <c r="Q157" s="210" t="s">
        <v>114</v>
      </c>
      <c r="R157" s="232" t="s">
        <v>129</v>
      </c>
      <c r="S157" s="229">
        <v>87966</v>
      </c>
      <c r="T157" s="229">
        <v>3875</v>
      </c>
      <c r="U157" s="229">
        <v>331</v>
      </c>
      <c r="V157" s="229">
        <v>6202</v>
      </c>
      <c r="W157" s="229">
        <v>769</v>
      </c>
      <c r="X157" s="229">
        <v>22</v>
      </c>
      <c r="Y157" s="229">
        <v>75</v>
      </c>
      <c r="Z157" s="250"/>
    </row>
    <row r="158">
      <c r="A158" s="200"/>
      <c r="B158" s="201" t="s">
        <v>132</v>
      </c>
      <c r="C158" s="202" t="s">
        <v>130</v>
      </c>
      <c r="D158" s="202">
        <f t="shared" si="56"/>
      </c>
      <c r="E158" s="203">
        <v>0</v>
      </c>
      <c r="F158" s="203">
        <v>2468.93</v>
      </c>
      <c r="G158" s="203">
        <v>0</v>
      </c>
      <c r="H158" s="204">
        <v>6</v>
      </c>
      <c r="I158" s="203">
        <v>2639.28</v>
      </c>
      <c r="J158" s="206">
        <f t="shared" si="6"/>
      </c>
      <c r="K158" s="206">
        <f t="shared" si="297"/>
      </c>
      <c r="L158" s="206">
        <f t="shared" si="267"/>
      </c>
      <c r="M158" s="207">
        <f t="shared" si="206"/>
      </c>
      <c r="N158" s="208">
        <f t="shared" si="176"/>
      </c>
      <c r="O158" s="209">
        <f t="shared" si="146"/>
      </c>
      <c r="P158" s="208">
        <f t="shared" si="236"/>
      </c>
      <c r="Q158" s="210" t="s">
        <v>114</v>
      </c>
      <c r="R158" s="232" t="s">
        <v>129</v>
      </c>
      <c r="S158" s="229">
        <v>43260</v>
      </c>
      <c r="T158" s="229">
        <v>2013</v>
      </c>
      <c r="U158" s="229">
        <v>175</v>
      </c>
      <c r="V158" s="229">
        <v>3665</v>
      </c>
      <c r="W158" s="229">
        <v>472</v>
      </c>
      <c r="X158" s="229">
        <v>12</v>
      </c>
      <c r="Y158" s="229">
        <v>57</v>
      </c>
      <c r="Z158" s="250"/>
    </row>
    <row r="159">
      <c r="A159" s="200"/>
      <c r="B159" s="201" t="s">
        <v>132</v>
      </c>
      <c r="C159" s="202" t="s">
        <v>131</v>
      </c>
      <c r="D159" s="202">
        <f t="shared" si="56"/>
      </c>
      <c r="E159" s="203">
        <v>0</v>
      </c>
      <c r="F159" s="203">
        <v>3913.76</v>
      </c>
      <c r="G159" s="203">
        <v>0</v>
      </c>
      <c r="H159" s="204">
        <v>20</v>
      </c>
      <c r="I159" s="203">
        <v>6577.22</v>
      </c>
      <c r="J159" s="206">
        <f t="shared" si="6"/>
      </c>
      <c r="K159" s="206">
        <f t="shared" si="297"/>
      </c>
      <c r="L159" s="206">
        <f t="shared" si="267"/>
      </c>
      <c r="M159" s="207">
        <f t="shared" si="206"/>
      </c>
      <c r="N159" s="208">
        <f t="shared" si="176"/>
      </c>
      <c r="O159" s="209">
        <f t="shared" si="146"/>
      </c>
      <c r="P159" s="208">
        <f t="shared" si="236"/>
      </c>
      <c r="Q159" s="210" t="s">
        <v>114</v>
      </c>
      <c r="R159" s="232" t="s">
        <v>129</v>
      </c>
      <c r="S159" s="229">
        <v>76542</v>
      </c>
      <c r="T159" s="229">
        <v>3741</v>
      </c>
      <c r="U159" s="229">
        <v>245</v>
      </c>
      <c r="V159" s="229">
        <v>6094</v>
      </c>
      <c r="W159" s="229">
        <v>702</v>
      </c>
      <c r="X159" s="229">
        <v>33</v>
      </c>
      <c r="Y159" s="229">
        <v>50</v>
      </c>
      <c r="Z159" s="250"/>
    </row>
    <row r="160">
      <c r="A160" s="200"/>
      <c r="B160" s="219" t="s">
        <v>119</v>
      </c>
      <c r="C160" s="219"/>
      <c r="D160" s="220">
        <f>SUM(D156:D159)</f>
      </c>
      <c r="E160" s="220">
        <f>SUM(E156:E159)</f>
      </c>
      <c r="F160" s="220">
        <f>SUM(F156:G159)</f>
      </c>
      <c r="G160" s="220"/>
      <c r="H160" s="221">
        <f>SUM(H156:H159)</f>
      </c>
      <c r="I160" s="220">
        <f>SUM(I156:I159)</f>
      </c>
      <c r="J160" s="222">
        <f t="shared" si="6"/>
      </c>
      <c r="K160" s="223">
        <f t="shared" si="297"/>
      </c>
      <c r="L160" s="224">
        <f t="shared" si="267"/>
      </c>
      <c r="M160" s="225">
        <f t="shared" si="206"/>
      </c>
      <c r="N160" s="225">
        <f t="shared" si="176"/>
      </c>
      <c r="O160" s="226">
        <f t="shared" si="146"/>
      </c>
      <c r="P160" s="225">
        <f t="shared" si="236"/>
      </c>
      <c r="Q160" s="226"/>
      <c r="R160" s="226"/>
      <c r="S160" s="221">
        <f>SUM(S156:S159)</f>
      </c>
      <c r="T160" s="221">
        <f>SUM(T156:T159)</f>
      </c>
      <c r="U160" s="221">
        <f>SUM(U156:U159)</f>
      </c>
      <c r="V160" s="221">
        <f>SUM(V156:V159)</f>
      </c>
      <c r="W160" s="221">
        <f>SUM(W156:W159)</f>
      </c>
      <c r="X160" s="221">
        <f>SUM(X156:X159)</f>
      </c>
      <c r="Y160" s="221">
        <f>SUM(Y156:Y159)</f>
      </c>
      <c r="Z160" s="250"/>
    </row>
    <row r="161">
      <c r="A161" s="200"/>
      <c r="B161" s="245" t="s">
        <v>112</v>
      </c>
      <c r="C161" s="202" t="s">
        <v>133</v>
      </c>
      <c r="D161" s="202">
        <f t="shared" ref="D161:D165" si="57">E161+G161+F161</f>
      </c>
      <c r="E161" s="203">
        <v>0</v>
      </c>
      <c r="F161" s="203">
        <v>5117.87</v>
      </c>
      <c r="G161" s="203">
        <v>0</v>
      </c>
      <c r="H161" s="204">
        <v>11</v>
      </c>
      <c r="I161" s="203">
        <v>4540.22</v>
      </c>
      <c r="J161" s="206">
        <f t="shared" si="6"/>
      </c>
      <c r="K161" s="206">
        <f t="shared" si="297"/>
      </c>
      <c r="L161" s="206">
        <f t="shared" si="267"/>
      </c>
      <c r="M161" s="207">
        <f t="shared" si="206"/>
      </c>
      <c r="N161" s="208">
        <f t="shared" si="176"/>
      </c>
      <c r="O161" s="209">
        <f t="shared" si="146"/>
      </c>
      <c r="P161" s="208">
        <f t="shared" si="236"/>
      </c>
      <c r="Q161" s="210" t="s">
        <v>114</v>
      </c>
      <c r="R161" s="232" t="s">
        <v>129</v>
      </c>
      <c r="S161" s="229">
        <v>109575</v>
      </c>
      <c r="T161" s="229">
        <v>5509</v>
      </c>
      <c r="U161" s="229">
        <v>339</v>
      </c>
      <c r="V161" s="229">
        <v>8558</v>
      </c>
      <c r="W161" s="229">
        <v>892</v>
      </c>
      <c r="X161" s="229">
        <v>21</v>
      </c>
      <c r="Y161" s="229">
        <v>77</v>
      </c>
      <c r="Z161" s="250"/>
    </row>
    <row r="162">
      <c r="A162" s="200"/>
      <c r="B162" s="201" t="s">
        <v>112</v>
      </c>
      <c r="C162" s="202" t="s">
        <v>134</v>
      </c>
      <c r="D162" s="202">
        <f t="shared" si="57"/>
      </c>
      <c r="E162" s="203">
        <v>0</v>
      </c>
      <c r="F162" s="203">
        <v>4956.5</v>
      </c>
      <c r="G162" s="203">
        <v>0</v>
      </c>
      <c r="H162" s="204">
        <v>16</v>
      </c>
      <c r="I162" s="203">
        <v>5203.58</v>
      </c>
      <c r="J162" s="206">
        <f t="shared" si="6"/>
      </c>
      <c r="K162" s="206">
        <f t="shared" si="297"/>
      </c>
      <c r="L162" s="206">
        <f t="shared" si="267"/>
      </c>
      <c r="M162" s="207">
        <f t="shared" si="206"/>
      </c>
      <c r="N162" s="208">
        <f t="shared" si="176"/>
      </c>
      <c r="O162" s="209">
        <f t="shared" si="146"/>
      </c>
      <c r="P162" s="208">
        <f t="shared" si="236"/>
      </c>
      <c r="Q162" s="210" t="s">
        <v>114</v>
      </c>
      <c r="R162" s="232" t="s">
        <v>129</v>
      </c>
      <c r="S162" s="233">
        <v>83395</v>
      </c>
      <c r="T162" s="233">
        <v>5486</v>
      </c>
      <c r="U162" s="233">
        <v>310</v>
      </c>
      <c r="V162" s="233">
        <v>9371</v>
      </c>
      <c r="W162" s="233">
        <v>1040</v>
      </c>
      <c r="X162" s="233">
        <v>28</v>
      </c>
      <c r="Y162" s="229">
        <v>70</v>
      </c>
      <c r="Z162" s="250"/>
    </row>
    <row r="163">
      <c r="A163" s="200"/>
      <c r="B163" s="201" t="s">
        <v>112</v>
      </c>
      <c r="C163" s="202" t="s">
        <v>135</v>
      </c>
      <c r="D163" s="202">
        <f t="shared" si="57"/>
      </c>
      <c r="E163" s="203">
        <v>0</v>
      </c>
      <c r="F163" s="203">
        <v>5283</v>
      </c>
      <c r="G163" s="203">
        <v>0</v>
      </c>
      <c r="H163" s="204">
        <v>16</v>
      </c>
      <c r="I163" s="203">
        <v>10096.1</v>
      </c>
      <c r="J163" s="206">
        <f t="shared" si="6"/>
      </c>
      <c r="K163" s="206">
        <f t="shared" si="297"/>
      </c>
      <c r="L163" s="206">
        <f t="shared" si="267"/>
      </c>
      <c r="M163" s="207">
        <f t="shared" si="206"/>
      </c>
      <c r="N163" s="208">
        <f t="shared" si="176"/>
      </c>
      <c r="O163" s="209">
        <f t="shared" si="146"/>
      </c>
      <c r="P163" s="208">
        <f t="shared" si="236"/>
      </c>
      <c r="Q163" s="210" t="s">
        <v>114</v>
      </c>
      <c r="R163" s="232" t="s">
        <v>129</v>
      </c>
      <c r="S163" s="233">
        <v>72019</v>
      </c>
      <c r="T163" s="233">
        <v>4509</v>
      </c>
      <c r="U163" s="233">
        <v>317</v>
      </c>
      <c r="V163" s="233">
        <v>7421</v>
      </c>
      <c r="W163" s="246">
        <v>851</v>
      </c>
      <c r="X163" s="214">
        <v>31</v>
      </c>
      <c r="Y163" s="248">
        <v>95</v>
      </c>
      <c r="Z163" s="250"/>
    </row>
    <row r="164">
      <c r="A164" s="200"/>
      <c r="B164" s="201" t="s">
        <v>112</v>
      </c>
      <c r="C164" s="202" t="s">
        <v>136</v>
      </c>
      <c r="D164" s="202">
        <f t="shared" si="57"/>
      </c>
      <c r="E164" s="203">
        <v>0</v>
      </c>
      <c r="F164" s="203">
        <v>3894.52</v>
      </c>
      <c r="G164" s="203">
        <v>0</v>
      </c>
      <c r="H164" s="204">
        <v>14</v>
      </c>
      <c r="I164" s="203">
        <v>5783.52</v>
      </c>
      <c r="J164" s="206">
        <f t="shared" si="6"/>
      </c>
      <c r="K164" s="206">
        <f t="shared" si="297"/>
      </c>
      <c r="L164" s="206">
        <f t="shared" si="267"/>
      </c>
      <c r="M164" s="207">
        <f t="shared" si="206"/>
      </c>
      <c r="N164" s="208">
        <f t="shared" si="176"/>
      </c>
      <c r="O164" s="209">
        <f t="shared" si="146"/>
      </c>
      <c r="P164" s="208">
        <f t="shared" si="236"/>
      </c>
      <c r="Q164" s="210" t="s">
        <v>114</v>
      </c>
      <c r="R164" s="232" t="s">
        <v>129</v>
      </c>
      <c r="S164" s="233">
        <v>56462</v>
      </c>
      <c r="T164" s="233">
        <v>3347</v>
      </c>
      <c r="U164" s="233">
        <v>241</v>
      </c>
      <c r="V164" s="233">
        <v>5595</v>
      </c>
      <c r="W164" s="246">
        <v>630</v>
      </c>
      <c r="X164" s="214">
        <v>21</v>
      </c>
      <c r="Y164" s="248">
        <v>32</v>
      </c>
      <c r="Z164" s="250"/>
    </row>
    <row r="165">
      <c r="A165" s="200"/>
      <c r="B165" s="201" t="s">
        <v>112</v>
      </c>
      <c r="C165" s="202" t="s">
        <v>137</v>
      </c>
      <c r="D165" s="202">
        <f t="shared" si="57"/>
      </c>
      <c r="E165" s="203">
        <v>0</v>
      </c>
      <c r="F165" s="203">
        <f>1508.92+0.07</f>
      </c>
      <c r="G165" s="203">
        <v>0</v>
      </c>
      <c r="H165" s="204">
        <v>9</v>
      </c>
      <c r="I165" s="203">
        <v>3739.56</v>
      </c>
      <c r="J165" s="206">
        <f t="shared" si="6"/>
      </c>
      <c r="K165" s="206">
        <f t="shared" si="297"/>
      </c>
      <c r="L165" s="206">
        <f t="shared" si="267"/>
      </c>
      <c r="M165" s="207">
        <f t="shared" si="206"/>
      </c>
      <c r="N165" s="208">
        <f t="shared" si="176"/>
      </c>
      <c r="O165" s="209">
        <f t="shared" si="146"/>
      </c>
      <c r="P165" s="208">
        <f t="shared" si="236"/>
      </c>
      <c r="Q165" s="210" t="s">
        <v>114</v>
      </c>
      <c r="R165" s="232" t="s">
        <v>129</v>
      </c>
      <c r="S165" s="233">
        <v>17998</v>
      </c>
      <c r="T165" s="233">
        <v>1025</v>
      </c>
      <c r="U165" s="233">
        <v>106</v>
      </c>
      <c r="V165" s="233">
        <v>1654</v>
      </c>
      <c r="W165" s="233">
        <v>212</v>
      </c>
      <c r="X165" s="249">
        <v>13</v>
      </c>
      <c r="Y165" s="229">
        <v>25</v>
      </c>
      <c r="Z165" s="250"/>
    </row>
    <row r="166">
      <c r="A166" s="200"/>
      <c r="B166" s="219" t="s">
        <v>119</v>
      </c>
      <c r="C166" s="219"/>
      <c r="D166" s="220">
        <f>SUM(D161:D165)</f>
      </c>
      <c r="E166" s="220">
        <f>SUM(E161:E165)</f>
      </c>
      <c r="F166" s="220">
        <f>SUM(F161:G165)</f>
      </c>
      <c r="G166" s="220"/>
      <c r="H166" s="220">
        <f>SUM(H161:H165)</f>
      </c>
      <c r="I166" s="220">
        <f>SUM(I161:I165)</f>
      </c>
      <c r="J166" s="222">
        <f t="shared" si="6"/>
      </c>
      <c r="K166" s="223">
        <f t="shared" si="297"/>
      </c>
      <c r="L166" s="224">
        <f t="shared" si="267"/>
      </c>
      <c r="M166" s="225">
        <f t="shared" si="206"/>
      </c>
      <c r="N166" s="225">
        <f t="shared" si="176"/>
      </c>
      <c r="O166" s="226">
        <f t="shared" si="146"/>
      </c>
      <c r="P166" s="225">
        <f t="shared" si="236"/>
      </c>
      <c r="Q166" s="226"/>
      <c r="R166" s="235"/>
      <c r="S166" s="220">
        <f>SUM(S161:S165)</f>
      </c>
      <c r="T166" s="220">
        <f>SUM(T161:T165)</f>
      </c>
      <c r="U166" s="220">
        <f>SUM(U161:U165)</f>
      </c>
      <c r="V166" s="220">
        <f>SUM(V161:V165)</f>
      </c>
      <c r="W166" s="220">
        <f>SUM(W161:W165)</f>
      </c>
      <c r="X166" s="220">
        <f>SUM(X161:X165)</f>
      </c>
      <c r="Y166" s="220">
        <f>SUM(Y161:Y165)</f>
      </c>
      <c r="Z166" s="250"/>
    </row>
    <row r="167">
      <c r="A167" s="200"/>
      <c r="B167" s="236" t="s">
        <v>138</v>
      </c>
      <c r="C167" s="236"/>
      <c r="D167" s="237">
        <f>D166+D160+D155+D150</f>
      </c>
      <c r="E167" s="237">
        <f>E166+E160+E155+E150</f>
      </c>
      <c r="F167" s="237">
        <f>F166+F160+F155+F150</f>
      </c>
      <c r="G167" s="237"/>
      <c r="H167" s="238">
        <f>H166+H160+H155+H150</f>
      </c>
      <c r="I167" s="237">
        <f>I166+I160+I155+I150</f>
      </c>
      <c r="J167" s="239">
        <f t="shared" si="6"/>
      </c>
      <c r="K167" s="239">
        <f t="shared" si="297"/>
      </c>
      <c r="L167" s="239">
        <f t="shared" si="267"/>
      </c>
      <c r="M167" s="240">
        <f t="shared" si="206"/>
      </c>
      <c r="N167" s="240">
        <f t="shared" si="176"/>
      </c>
      <c r="O167" s="239">
        <f t="shared" si="146"/>
      </c>
      <c r="P167" s="240">
        <f t="shared" si="236"/>
      </c>
      <c r="Q167" s="241"/>
      <c r="R167" s="242"/>
      <c r="S167" s="243">
        <f>S166+S160+S155+S150</f>
      </c>
      <c r="T167" s="243">
        <f>T166+T160+T155+T150</f>
      </c>
      <c r="U167" s="243">
        <f>U166+U160+U155+U150</f>
      </c>
      <c r="V167" s="243">
        <f>V166+V160+V155+V150</f>
      </c>
      <c r="W167" s="243">
        <f>W166+W160+W155+W150</f>
      </c>
      <c r="X167" s="244">
        <f>X166+X160+X155+X150</f>
      </c>
      <c r="Y167" s="238">
        <f>Y166+Y160+Y155+Y150</f>
      </c>
      <c r="Z167" s="255"/>
    </row>
    <row r="168">
      <c r="A168" s="188" t="s">
        <v>83</v>
      </c>
      <c r="B168" s="188"/>
      <c r="C168" s="188"/>
      <c r="D168" s="189" t="s">
        <v>84</v>
      </c>
      <c r="E168" s="189"/>
      <c r="F168" s="189"/>
      <c r="G168" s="189"/>
      <c r="H168" s="189"/>
      <c r="I168" s="189"/>
      <c r="J168" s="189"/>
      <c r="K168" s="189"/>
      <c r="L168" s="189"/>
      <c r="M168" s="190" t="s">
        <v>85</v>
      </c>
      <c r="N168" s="190"/>
      <c r="O168" s="190"/>
      <c r="P168" s="190"/>
      <c r="Q168" s="190"/>
      <c r="R168" s="190"/>
      <c r="S168" s="191" t="s">
        <v>86</v>
      </c>
      <c r="T168" s="191"/>
      <c r="U168" s="191"/>
      <c r="V168" s="191"/>
      <c r="W168" s="191"/>
      <c r="X168" s="191"/>
      <c r="Y168" s="191"/>
      <c r="Z168" s="250"/>
    </row>
    <row r="169">
      <c r="A169" s="192" t="s">
        <v>87</v>
      </c>
      <c r="B169" s="188" t="s">
        <v>88</v>
      </c>
      <c r="C169" s="188" t="s">
        <v>89</v>
      </c>
      <c r="D169" s="193" t="s">
        <v>90</v>
      </c>
      <c r="E169" s="193" t="s">
        <v>91</v>
      </c>
      <c r="F169" s="189" t="s">
        <v>92</v>
      </c>
      <c r="G169" s="189"/>
      <c r="H169" s="194" t="s">
        <v>93</v>
      </c>
      <c r="I169" s="189" t="s">
        <v>94</v>
      </c>
      <c r="J169" s="195" t="s">
        <v>95</v>
      </c>
      <c r="K169" s="196" t="s">
        <v>96</v>
      </c>
      <c r="L169" s="189" t="s">
        <v>97</v>
      </c>
      <c r="M169" s="190" t="s">
        <v>98</v>
      </c>
      <c r="N169" s="190" t="s">
        <v>99</v>
      </c>
      <c r="O169" s="190" t="s">
        <v>100</v>
      </c>
      <c r="P169" s="190" t="s">
        <v>101</v>
      </c>
      <c r="Q169" s="197" t="s">
        <v>102</v>
      </c>
      <c r="R169" s="197" t="s">
        <v>103</v>
      </c>
      <c r="S169" s="198" t="s">
        <v>104</v>
      </c>
      <c r="T169" s="198" t="s">
        <v>105</v>
      </c>
      <c r="U169" s="199" t="s">
        <v>106</v>
      </c>
      <c r="V169" s="199" t="s">
        <v>107</v>
      </c>
      <c r="W169" s="199" t="s">
        <v>108</v>
      </c>
      <c r="X169" s="199" t="s">
        <v>109</v>
      </c>
      <c r="Y169" s="199" t="s">
        <v>110</v>
      </c>
      <c r="Z169" s="250"/>
    </row>
    <row r="170">
      <c r="A170" s="200" t="s">
        <v>147</v>
      </c>
      <c r="B170" s="227" t="s">
        <v>120</v>
      </c>
      <c r="C170" s="202" t="s">
        <v>116</v>
      </c>
      <c r="D170" s="202">
        <f t="shared" ref="D170:D174" si="58">E170+G170+F170</f>
      </c>
      <c r="E170" s="202">
        <v>0</v>
      </c>
      <c r="F170" s="202">
        <v>2090.07</v>
      </c>
      <c r="G170" s="202">
        <v>0</v>
      </c>
      <c r="H170" s="204">
        <v>5</v>
      </c>
      <c r="I170" s="202">
        <v>3364.68</v>
      </c>
      <c r="J170" s="206">
        <f t="shared" ref="J170:J191" si="7">I170/D170</f>
      </c>
      <c r="K170" s="206">
        <f t="shared" ref="K170:K191" si="298">D170/H170</f>
      </c>
      <c r="L170" s="205">
        <f t="shared" ref="L170:L191" si="268">I170/H170</f>
      </c>
      <c r="M170" s="207">
        <f t="shared" ref="M170:M191" si="207">T170/S170</f>
      </c>
      <c r="N170" s="208">
        <f t="shared" ref="N170:N191" si="177">H170/X170</f>
      </c>
      <c r="O170" s="209">
        <f t="shared" ref="O170:O191" si="147">(Y170*1000)/D170</f>
      </c>
      <c r="P170" s="208">
        <f t="shared" ref="P170:P191" si="237">W170/V170</f>
      </c>
      <c r="Q170" s="210" t="s">
        <v>127</v>
      </c>
      <c r="R170" s="251" t="s">
        <v>141</v>
      </c>
      <c r="S170" s="216">
        <v>32919</v>
      </c>
      <c r="T170" s="216">
        <v>2203</v>
      </c>
      <c r="U170" s="212">
        <v>151</v>
      </c>
      <c r="V170" s="212">
        <v>3403</v>
      </c>
      <c r="W170" s="212">
        <v>455</v>
      </c>
      <c r="X170" s="214">
        <v>6</v>
      </c>
      <c r="Y170" s="214">
        <v>50</v>
      </c>
      <c r="Z170" s="250"/>
    </row>
    <row r="171">
      <c r="A171" s="200"/>
      <c r="B171" s="227" t="s">
        <v>120</v>
      </c>
      <c r="C171" s="202" t="s">
        <v>117</v>
      </c>
      <c r="D171" s="202">
        <f t="shared" si="58"/>
      </c>
      <c r="E171" s="218">
        <v>0</v>
      </c>
      <c r="F171" s="202">
        <v>2070.71</v>
      </c>
      <c r="G171" s="202">
        <v>0</v>
      </c>
      <c r="H171" s="215">
        <v>7</v>
      </c>
      <c r="I171" s="202">
        <v>3918.6600000000003</v>
      </c>
      <c r="J171" s="206">
        <f t="shared" si="7"/>
      </c>
      <c r="K171" s="206">
        <f t="shared" si="298"/>
      </c>
      <c r="L171" s="206">
        <f t="shared" si="268"/>
      </c>
      <c r="M171" s="207">
        <f t="shared" si="207"/>
      </c>
      <c r="N171" s="208">
        <f t="shared" si="177"/>
      </c>
      <c r="O171" s="209">
        <f t="shared" si="147"/>
      </c>
      <c r="P171" s="208">
        <f t="shared" si="237"/>
      </c>
      <c r="Q171" s="210" t="s">
        <v>127</v>
      </c>
      <c r="R171" s="251" t="s">
        <v>141</v>
      </c>
      <c r="S171" s="217">
        <v>30213</v>
      </c>
      <c r="T171" s="217">
        <v>1843</v>
      </c>
      <c r="U171" s="217">
        <v>156</v>
      </c>
      <c r="V171" s="217">
        <v>3167</v>
      </c>
      <c r="W171" s="217">
        <v>407</v>
      </c>
      <c r="X171" s="214">
        <v>11</v>
      </c>
      <c r="Y171" s="217">
        <v>97</v>
      </c>
      <c r="Z171" s="250"/>
    </row>
    <row customHeight="true" ht="16.666666666666668" r="172">
      <c r="A172" s="200"/>
      <c r="B172" s="227" t="s">
        <v>120</v>
      </c>
      <c r="C172" s="202" t="s">
        <v>118</v>
      </c>
      <c r="D172" s="202">
        <f t="shared" si="58"/>
      </c>
      <c r="E172" s="218">
        <v>0</v>
      </c>
      <c r="F172" s="202">
        <v>2138.99</v>
      </c>
      <c r="G172" s="202">
        <v>0</v>
      </c>
      <c r="H172" s="215">
        <v>8</v>
      </c>
      <c r="I172" s="202">
        <v>3994.7999999999993</v>
      </c>
      <c r="J172" s="206">
        <f t="shared" si="7"/>
      </c>
      <c r="K172" s="206">
        <f t="shared" si="298"/>
      </c>
      <c r="L172" s="206">
        <f t="shared" si="268"/>
      </c>
      <c r="M172" s="207">
        <f t="shared" si="207"/>
      </c>
      <c r="N172" s="208">
        <f t="shared" si="177"/>
      </c>
      <c r="O172" s="209">
        <f t="shared" si="147"/>
      </c>
      <c r="P172" s="208">
        <f t="shared" si="237"/>
      </c>
      <c r="Q172" s="210" t="s">
        <v>127</v>
      </c>
      <c r="R172" s="251" t="s">
        <v>141</v>
      </c>
      <c r="S172" s="217">
        <v>34490</v>
      </c>
      <c r="T172" s="217">
        <v>1543</v>
      </c>
      <c r="U172" s="217">
        <v>162</v>
      </c>
      <c r="V172" s="217">
        <v>2731</v>
      </c>
      <c r="W172" s="217">
        <v>368</v>
      </c>
      <c r="X172" s="214">
        <v>11</v>
      </c>
      <c r="Y172" s="217">
        <v>46</v>
      </c>
      <c r="Z172" s="250"/>
    </row>
    <row customHeight="true" ht="16.666666666666668" r="173">
      <c r="A173" s="200"/>
      <c r="B173" s="227" t="s">
        <v>120</v>
      </c>
      <c r="C173" s="202" t="s">
        <v>121</v>
      </c>
      <c r="D173" s="202">
        <f t="shared" si="58"/>
      </c>
      <c r="E173" s="218">
        <v>0</v>
      </c>
      <c r="F173" s="202">
        <v>2072.28</v>
      </c>
      <c r="G173" s="202">
        <v>0</v>
      </c>
      <c r="H173" s="215">
        <v>7</v>
      </c>
      <c r="I173" s="202">
        <v>4185</v>
      </c>
      <c r="J173" s="206">
        <f t="shared" si="7"/>
      </c>
      <c r="K173" s="206">
        <f t="shared" si="298"/>
      </c>
      <c r="L173" s="206">
        <f t="shared" si="268"/>
      </c>
      <c r="M173" s="207">
        <f t="shared" si="207"/>
      </c>
      <c r="N173" s="208">
        <f t="shared" si="177"/>
      </c>
      <c r="O173" s="209">
        <f t="shared" si="147"/>
      </c>
      <c r="P173" s="208">
        <f t="shared" si="237"/>
      </c>
      <c r="Q173" s="210" t="s">
        <v>127</v>
      </c>
      <c r="R173" s="251" t="s">
        <v>141</v>
      </c>
      <c r="S173" s="217">
        <v>37782</v>
      </c>
      <c r="T173" s="217">
        <v>1909</v>
      </c>
      <c r="U173" s="217">
        <v>206</v>
      </c>
      <c r="V173" s="217">
        <v>3156</v>
      </c>
      <c r="W173" s="217">
        <v>436</v>
      </c>
      <c r="X173" s="214">
        <v>14</v>
      </c>
      <c r="Y173" s="217">
        <v>47</v>
      </c>
      <c r="Z173" s="250"/>
    </row>
    <row r="174">
      <c r="A174" s="200"/>
      <c r="B174" s="227" t="s">
        <v>120</v>
      </c>
      <c r="C174" s="203" t="s">
        <v>122</v>
      </c>
      <c r="D174" s="202">
        <f t="shared" si="58"/>
      </c>
      <c r="E174" s="202">
        <v>0</v>
      </c>
      <c r="F174" s="202">
        <v>2303.47</v>
      </c>
      <c r="G174" s="202">
        <v>0</v>
      </c>
      <c r="H174" s="215">
        <v>3</v>
      </c>
      <c r="I174" s="202">
        <v>1994.1599999999999</v>
      </c>
      <c r="J174" s="206">
        <f t="shared" si="7"/>
      </c>
      <c r="K174" s="206">
        <f t="shared" si="298"/>
      </c>
      <c r="L174" s="206">
        <f t="shared" si="268"/>
      </c>
      <c r="M174" s="207">
        <f t="shared" si="207"/>
      </c>
      <c r="N174" s="208">
        <f t="shared" si="177"/>
      </c>
      <c r="O174" s="209">
        <f t="shared" si="147"/>
      </c>
      <c r="P174" s="208">
        <f t="shared" si="237"/>
      </c>
      <c r="Q174" s="210" t="s">
        <v>127</v>
      </c>
      <c r="R174" s="251" t="s">
        <v>141</v>
      </c>
      <c r="S174" s="217">
        <v>44288</v>
      </c>
      <c r="T174" s="217">
        <v>2460</v>
      </c>
      <c r="U174" s="217">
        <v>211</v>
      </c>
      <c r="V174" s="217">
        <v>3821</v>
      </c>
      <c r="W174" s="217">
        <v>489</v>
      </c>
      <c r="X174" s="214">
        <v>17</v>
      </c>
      <c r="Y174" s="217">
        <v>45</v>
      </c>
      <c r="Z174" s="250"/>
    </row>
    <row r="175">
      <c r="A175" s="200"/>
      <c r="B175" s="219" t="s">
        <v>119</v>
      </c>
      <c r="C175" s="219"/>
      <c r="D175" s="220">
        <f>SUM(D170:D174)</f>
      </c>
      <c r="E175" s="220">
        <f>SUM(E170:E174)</f>
      </c>
      <c r="F175" s="220">
        <f>SUM(F170:G174)</f>
      </c>
      <c r="G175" s="220"/>
      <c r="H175" s="221">
        <f>SUM(H170:H174)</f>
      </c>
      <c r="I175" s="220">
        <f>SUM(I170:I174)</f>
      </c>
      <c r="J175" s="253">
        <f t="shared" si="7"/>
      </c>
      <c r="K175" s="223">
        <f t="shared" si="298"/>
      </c>
      <c r="L175" s="254">
        <f t="shared" si="268"/>
      </c>
      <c r="M175" s="225">
        <f t="shared" si="207"/>
      </c>
      <c r="N175" s="225">
        <f t="shared" si="177"/>
      </c>
      <c r="O175" s="226">
        <f t="shared" si="147"/>
      </c>
      <c r="P175" s="225">
        <f t="shared" si="237"/>
      </c>
      <c r="Q175" s="226"/>
      <c r="R175" s="226"/>
      <c r="S175" s="221">
        <f>SUM(S170:S174)</f>
      </c>
      <c r="T175" s="221">
        <f>SUM(T170:T174)</f>
      </c>
      <c r="U175" s="221">
        <f>SUM(U170:U174)</f>
      </c>
      <c r="V175" s="221">
        <f>SUM(V170:V174)</f>
      </c>
      <c r="W175" s="221">
        <f>SUM(W170:W174)</f>
      </c>
      <c r="X175" s="221">
        <f>SUM(X170:X174)</f>
      </c>
      <c r="Y175" s="221">
        <f>SUM(Y170:Y174)</f>
      </c>
      <c r="Z175" s="250"/>
    </row>
    <row r="176">
      <c r="A176" s="200"/>
      <c r="B176" s="201" t="s">
        <v>112</v>
      </c>
      <c r="C176" s="202" t="s">
        <v>123</v>
      </c>
      <c r="D176" s="202">
        <f t="shared" ref="D176:D179" si="59">E176+G176+F176</f>
      </c>
      <c r="E176" s="202">
        <v>0</v>
      </c>
      <c r="F176" s="202">
        <v>2298.3</v>
      </c>
      <c r="G176" s="202">
        <v>0</v>
      </c>
      <c r="H176" s="215">
        <v>10</v>
      </c>
      <c r="I176" s="202">
        <v>4941.720000000001</v>
      </c>
      <c r="J176" s="206">
        <f t="shared" si="7"/>
      </c>
      <c r="K176" s="206">
        <f t="shared" si="298"/>
      </c>
      <c r="L176" s="206">
        <f t="shared" si="268"/>
      </c>
      <c r="M176" s="207">
        <f t="shared" si="207"/>
      </c>
      <c r="N176" s="208">
        <f t="shared" si="177"/>
      </c>
      <c r="O176" s="209">
        <f t="shared" si="147"/>
      </c>
      <c r="P176" s="208">
        <f t="shared" si="237"/>
      </c>
      <c r="Q176" s="210" t="s">
        <v>127</v>
      </c>
      <c r="R176" s="251" t="s">
        <v>141</v>
      </c>
      <c r="S176" s="228">
        <v>40514</v>
      </c>
      <c r="T176" s="228">
        <v>1916</v>
      </c>
      <c r="U176" s="228">
        <v>181</v>
      </c>
      <c r="V176" s="228">
        <v>2929</v>
      </c>
      <c r="W176" s="228">
        <v>357</v>
      </c>
      <c r="X176" s="229">
        <v>18</v>
      </c>
      <c r="Y176" s="228">
        <v>46</v>
      </c>
      <c r="Z176" s="250"/>
    </row>
    <row r="177">
      <c r="A177" s="200"/>
      <c r="B177" s="201" t="s">
        <v>112</v>
      </c>
      <c r="C177" s="202" t="s">
        <v>124</v>
      </c>
      <c r="D177" s="202">
        <f t="shared" si="59"/>
      </c>
      <c r="E177" s="202">
        <v>0</v>
      </c>
      <c r="F177" s="202">
        <v>1846.26</v>
      </c>
      <c r="G177" s="202">
        <v>0</v>
      </c>
      <c r="H177" s="215">
        <v>7</v>
      </c>
      <c r="I177" s="202">
        <v>2854.3199999999997</v>
      </c>
      <c r="J177" s="206">
        <f t="shared" si="7"/>
      </c>
      <c r="K177" s="206">
        <f t="shared" si="298"/>
      </c>
      <c r="L177" s="206">
        <f t="shared" si="268"/>
      </c>
      <c r="M177" s="207">
        <f t="shared" si="207"/>
      </c>
      <c r="N177" s="208">
        <f t="shared" si="177"/>
      </c>
      <c r="O177" s="209">
        <f t="shared" si="147"/>
      </c>
      <c r="P177" s="208">
        <f t="shared" si="237"/>
      </c>
      <c r="Q177" s="210" t="s">
        <v>127</v>
      </c>
      <c r="R177" s="251" t="s">
        <v>141</v>
      </c>
      <c r="S177" s="228">
        <v>35387</v>
      </c>
      <c r="T177" s="228">
        <v>1842</v>
      </c>
      <c r="U177" s="228">
        <v>164</v>
      </c>
      <c r="V177" s="228">
        <v>2971</v>
      </c>
      <c r="W177" s="228">
        <v>418</v>
      </c>
      <c r="X177" s="229">
        <v>13</v>
      </c>
      <c r="Y177" s="228">
        <v>55</v>
      </c>
      <c r="Z177" s="250"/>
    </row>
    <row r="178">
      <c r="A178" s="200"/>
      <c r="B178" s="201" t="s">
        <v>112</v>
      </c>
      <c r="C178" s="202" t="s">
        <v>126</v>
      </c>
      <c r="D178" s="202">
        <f t="shared" si="59"/>
      </c>
      <c r="E178" s="202">
        <v>0</v>
      </c>
      <c r="F178" s="202">
        <v>3177.17</v>
      </c>
      <c r="G178" s="202">
        <v>0</v>
      </c>
      <c r="H178" s="215">
        <v>9</v>
      </c>
      <c r="I178" s="202">
        <v>3629.5499999999993</v>
      </c>
      <c r="J178" s="206">
        <f t="shared" si="7"/>
      </c>
      <c r="K178" s="206">
        <f t="shared" si="298"/>
      </c>
      <c r="L178" s="206">
        <f t="shared" si="268"/>
      </c>
      <c r="M178" s="207">
        <f t="shared" si="207"/>
      </c>
      <c r="N178" s="208">
        <f t="shared" si="177"/>
      </c>
      <c r="O178" s="209">
        <f t="shared" si="147"/>
      </c>
      <c r="P178" s="208">
        <f t="shared" si="237"/>
      </c>
      <c r="Q178" s="210" t="s">
        <v>127</v>
      </c>
      <c r="R178" s="251" t="s">
        <v>141</v>
      </c>
      <c r="S178" s="228">
        <v>62784</v>
      </c>
      <c r="T178" s="228">
        <v>3629</v>
      </c>
      <c r="U178" s="228">
        <v>264</v>
      </c>
      <c r="V178" s="228">
        <v>6299</v>
      </c>
      <c r="W178" s="228">
        <v>742</v>
      </c>
      <c r="X178" s="229">
        <v>23</v>
      </c>
      <c r="Y178" s="229">
        <v>79</v>
      </c>
      <c r="Z178" s="250"/>
    </row>
    <row r="179">
      <c r="A179" s="200"/>
      <c r="B179" s="201" t="s">
        <v>112</v>
      </c>
      <c r="C179" s="203" t="s">
        <v>128</v>
      </c>
      <c r="D179" s="202">
        <f t="shared" si="59"/>
      </c>
      <c r="E179" s="202">
        <v>0</v>
      </c>
      <c r="F179" s="202">
        <v>2512.24</v>
      </c>
      <c r="G179" s="202">
        <v>0</v>
      </c>
      <c r="H179" s="215">
        <v>4</v>
      </c>
      <c r="I179" s="202">
        <v>3273.540000000001</v>
      </c>
      <c r="J179" s="206">
        <f t="shared" si="7"/>
      </c>
      <c r="K179" s="206">
        <f t="shared" si="298"/>
      </c>
      <c r="L179" s="206">
        <f t="shared" si="268"/>
      </c>
      <c r="M179" s="207">
        <f t="shared" si="207"/>
      </c>
      <c r="N179" s="208">
        <f t="shared" si="177"/>
      </c>
      <c r="O179" s="209">
        <f t="shared" si="147"/>
      </c>
      <c r="P179" s="208">
        <f t="shared" si="237"/>
      </c>
      <c r="Q179" s="210" t="s">
        <v>127</v>
      </c>
      <c r="R179" s="251" t="s">
        <v>148</v>
      </c>
      <c r="S179" s="228">
        <v>56362</v>
      </c>
      <c r="T179" s="228">
        <v>3277</v>
      </c>
      <c r="U179" s="228">
        <v>225</v>
      </c>
      <c r="V179" s="228">
        <v>5431</v>
      </c>
      <c r="W179" s="228">
        <v>688</v>
      </c>
      <c r="X179" s="229">
        <v>10</v>
      </c>
      <c r="Y179" s="228">
        <v>47</v>
      </c>
      <c r="Z179" s="250"/>
    </row>
    <row r="180">
      <c r="A180" s="200"/>
      <c r="B180" s="219" t="s">
        <v>119</v>
      </c>
      <c r="C180" s="219"/>
      <c r="D180" s="220">
        <f>SUM(D176:D179)</f>
      </c>
      <c r="E180" s="220">
        <f>SUM(E176:E179)</f>
      </c>
      <c r="F180" s="220">
        <f>SUM(F176:G179)</f>
      </c>
      <c r="G180" s="220"/>
      <c r="H180" s="221">
        <f>SUM(H176:H179)</f>
      </c>
      <c r="I180" s="220">
        <f>SUM(I176:I179)</f>
      </c>
      <c r="J180" s="222">
        <f t="shared" si="7"/>
      </c>
      <c r="K180" s="223">
        <f t="shared" si="298"/>
      </c>
      <c r="L180" s="224">
        <f t="shared" si="268"/>
      </c>
      <c r="M180" s="225">
        <f t="shared" si="207"/>
      </c>
      <c r="N180" s="225">
        <f t="shared" si="177"/>
      </c>
      <c r="O180" s="226">
        <f t="shared" si="147"/>
      </c>
      <c r="P180" s="225">
        <f t="shared" si="237"/>
      </c>
      <c r="Q180" s="226"/>
      <c r="R180" s="226"/>
      <c r="S180" s="221">
        <f>SUM(S176:S179)</f>
      </c>
      <c r="T180" s="221">
        <f>SUM(T176:T179)</f>
      </c>
      <c r="U180" s="221">
        <f>SUM(U176:U179)</f>
      </c>
      <c r="V180" s="221">
        <f>SUM(V176:V179)</f>
      </c>
      <c r="W180" s="221">
        <f>SUM(W176:W179)</f>
      </c>
      <c r="X180" s="221">
        <f>SUM(X176:X179)</f>
      </c>
      <c r="Y180" s="221">
        <f>SUM(Y176:Y179)</f>
      </c>
      <c r="Z180" s="250"/>
    </row>
    <row r="181">
      <c r="A181" s="200"/>
      <c r="B181" s="201" t="s">
        <v>125</v>
      </c>
      <c r="C181" s="202" t="s">
        <v>130</v>
      </c>
      <c r="D181" s="202">
        <f t="shared" ref="D181:D184" si="60">E181+G181+F181</f>
      </c>
      <c r="E181" s="202">
        <v>0</v>
      </c>
      <c r="F181" s="203">
        <v>1595.76</v>
      </c>
      <c r="G181" s="202">
        <v>0</v>
      </c>
      <c r="H181" s="204">
        <v>6</v>
      </c>
      <c r="I181" s="203">
        <v>5229.470000000001</v>
      </c>
      <c r="J181" s="206">
        <f t="shared" si="7"/>
      </c>
      <c r="K181" s="206">
        <f t="shared" si="298"/>
      </c>
      <c r="L181" s="206">
        <f t="shared" si="268"/>
      </c>
      <c r="M181" s="207">
        <f t="shared" si="207"/>
      </c>
      <c r="N181" s="208">
        <f t="shared" si="177"/>
      </c>
      <c r="O181" s="209">
        <f t="shared" si="147"/>
      </c>
      <c r="P181" s="208">
        <f t="shared" si="237"/>
      </c>
      <c r="Q181" s="210" t="s">
        <v>127</v>
      </c>
      <c r="R181" s="251" t="s">
        <v>148</v>
      </c>
      <c r="S181" s="230">
        <v>25919</v>
      </c>
      <c r="T181" s="230">
        <v>2039</v>
      </c>
      <c r="U181" s="230">
        <v>136</v>
      </c>
      <c r="V181" s="230">
        <v>3577</v>
      </c>
      <c r="W181" s="230">
        <v>433</v>
      </c>
      <c r="X181" s="234">
        <v>13</v>
      </c>
      <c r="Y181" s="229">
        <v>46</v>
      </c>
      <c r="Z181" s="250"/>
    </row>
    <row r="182">
      <c r="A182" s="200"/>
      <c r="B182" s="201" t="s">
        <v>125</v>
      </c>
      <c r="C182" s="202" t="s">
        <v>131</v>
      </c>
      <c r="D182" s="202">
        <f t="shared" si="60"/>
      </c>
      <c r="E182" s="202">
        <v>0</v>
      </c>
      <c r="F182" s="203">
        <v>3173.11</v>
      </c>
      <c r="G182" s="202">
        <v>0</v>
      </c>
      <c r="H182" s="204">
        <v>14</v>
      </c>
      <c r="I182" s="203">
        <v>5265.379999999997</v>
      </c>
      <c r="J182" s="206">
        <f t="shared" si="7"/>
      </c>
      <c r="K182" s="206">
        <f t="shared" si="298"/>
      </c>
      <c r="L182" s="206">
        <f t="shared" si="268"/>
      </c>
      <c r="M182" s="207">
        <f t="shared" si="207"/>
      </c>
      <c r="N182" s="208">
        <f t="shared" si="177"/>
      </c>
      <c r="O182" s="209">
        <f t="shared" si="147"/>
      </c>
      <c r="P182" s="208">
        <f t="shared" si="237"/>
      </c>
      <c r="Q182" s="210" t="s">
        <v>114</v>
      </c>
      <c r="R182" s="231" t="s">
        <v>148</v>
      </c>
      <c r="S182" s="229">
        <v>60989</v>
      </c>
      <c r="T182" s="229">
        <v>4361</v>
      </c>
      <c r="U182" s="229">
        <v>281</v>
      </c>
      <c r="V182" s="229">
        <v>7986</v>
      </c>
      <c r="W182" s="229">
        <v>933</v>
      </c>
      <c r="X182" s="229">
        <v>29</v>
      </c>
      <c r="Y182" s="229">
        <v>69</v>
      </c>
      <c r="Z182" s="250"/>
    </row>
    <row r="183">
      <c r="A183" s="200"/>
      <c r="B183" s="201" t="s">
        <v>125</v>
      </c>
      <c r="C183" s="202" t="s">
        <v>133</v>
      </c>
      <c r="D183" s="202">
        <f t="shared" si="60"/>
      </c>
      <c r="E183" s="202">
        <v>0</v>
      </c>
      <c r="F183" s="203">
        <v>4638.68</v>
      </c>
      <c r="G183" s="202">
        <v>6.43</v>
      </c>
      <c r="H183" s="204">
        <v>19</v>
      </c>
      <c r="I183" s="203">
        <v>5868.360000000001</v>
      </c>
      <c r="J183" s="206">
        <f t="shared" si="7"/>
      </c>
      <c r="K183" s="206">
        <f t="shared" si="298"/>
      </c>
      <c r="L183" s="206">
        <f t="shared" si="268"/>
      </c>
      <c r="M183" s="207">
        <f t="shared" si="207"/>
      </c>
      <c r="N183" s="208">
        <f t="shared" si="177"/>
      </c>
      <c r="O183" s="209">
        <f t="shared" si="147"/>
      </c>
      <c r="P183" s="208">
        <f t="shared" si="237"/>
      </c>
      <c r="Q183" s="210" t="s">
        <v>114</v>
      </c>
      <c r="R183" s="232" t="s">
        <v>148</v>
      </c>
      <c r="S183" s="229">
        <v>97237</v>
      </c>
      <c r="T183" s="229">
        <v>6075</v>
      </c>
      <c r="U183" s="229">
        <v>467</v>
      </c>
      <c r="V183" s="229">
        <v>9571</v>
      </c>
      <c r="W183" s="229">
        <v>965</v>
      </c>
      <c r="X183" s="229">
        <v>37</v>
      </c>
      <c r="Y183" s="229">
        <v>120</v>
      </c>
      <c r="Z183" s="250"/>
    </row>
    <row r="184">
      <c r="A184" s="200"/>
      <c r="B184" s="201" t="s">
        <v>125</v>
      </c>
      <c r="C184" s="203" t="s">
        <v>134</v>
      </c>
      <c r="D184" s="202">
        <f t="shared" si="60"/>
      </c>
      <c r="E184" s="202">
        <v>0</v>
      </c>
      <c r="F184" s="203">
        <v>7036.73</v>
      </c>
      <c r="G184" s="203">
        <v>115.04</v>
      </c>
      <c r="H184" s="204">
        <v>22</v>
      </c>
      <c r="I184" s="203">
        <v>9156.949999999997</v>
      </c>
      <c r="J184" s="206">
        <f t="shared" si="7"/>
      </c>
      <c r="K184" s="206">
        <f t="shared" si="298"/>
      </c>
      <c r="L184" s="206">
        <f t="shared" si="268"/>
      </c>
      <c r="M184" s="207">
        <f t="shared" si="207"/>
      </c>
      <c r="N184" s="208">
        <f t="shared" si="177"/>
      </c>
      <c r="O184" s="209">
        <f t="shared" si="147"/>
      </c>
      <c r="P184" s="208">
        <f t="shared" si="237"/>
      </c>
      <c r="Q184" s="210" t="s">
        <v>114</v>
      </c>
      <c r="R184" s="232" t="s">
        <v>148</v>
      </c>
      <c r="S184" s="229">
        <v>9872.73</v>
      </c>
      <c r="T184" s="229">
        <v>172570</v>
      </c>
      <c r="U184" s="229">
        <v>8896</v>
      </c>
      <c r="V184" s="229">
        <v>628</v>
      </c>
      <c r="W184" s="229">
        <v>14078</v>
      </c>
      <c r="X184" s="229">
        <v>42</v>
      </c>
      <c r="Y184" s="229">
        <v>160</v>
      </c>
      <c r="Z184" s="250"/>
    </row>
    <row r="185">
      <c r="A185" s="200"/>
      <c r="B185" s="219" t="s">
        <v>119</v>
      </c>
      <c r="C185" s="219"/>
      <c r="D185" s="220">
        <f>SUM(D181:D184)</f>
      </c>
      <c r="E185" s="220">
        <f>SUM(E181:E184)</f>
      </c>
      <c r="F185" s="220">
        <f>SUM(F181:G184)</f>
      </c>
      <c r="G185" s="220"/>
      <c r="H185" s="221">
        <f>SUM(H181:H184)</f>
      </c>
      <c r="I185" s="220">
        <f>SUM(I181:I184)</f>
      </c>
      <c r="J185" s="222">
        <f t="shared" si="7"/>
      </c>
      <c r="K185" s="223">
        <f t="shared" si="298"/>
      </c>
      <c r="L185" s="224">
        <f t="shared" si="268"/>
      </c>
      <c r="M185" s="225">
        <f t="shared" si="207"/>
      </c>
      <c r="N185" s="225">
        <f t="shared" si="177"/>
      </c>
      <c r="O185" s="226">
        <f t="shared" si="147"/>
      </c>
      <c r="P185" s="225">
        <f t="shared" si="237"/>
      </c>
      <c r="Q185" s="226"/>
      <c r="R185" s="226"/>
      <c r="S185" s="221">
        <f>SUM(S181:S184)</f>
      </c>
      <c r="T185" s="221">
        <f>SUM(T181:T184)</f>
      </c>
      <c r="U185" s="221">
        <f>SUM(U181:U184)</f>
      </c>
      <c r="V185" s="221">
        <f>SUM(V181:V184)</f>
      </c>
      <c r="W185" s="221">
        <f>SUM(W181:W184)</f>
      </c>
      <c r="X185" s="221">
        <f>SUM(X181:X184)</f>
      </c>
      <c r="Y185" s="221">
        <f>SUM(Y181:Y184)</f>
      </c>
      <c r="Z185" s="250"/>
    </row>
    <row r="186">
      <c r="A186" s="200"/>
      <c r="B186" s="201" t="s">
        <v>132</v>
      </c>
      <c r="C186" s="202" t="s">
        <v>135</v>
      </c>
      <c r="D186" s="202">
        <f t="shared" ref="D186:D189" si="61">E186+G186+F186</f>
      </c>
      <c r="E186" s="202">
        <v>0</v>
      </c>
      <c r="F186" s="203">
        <v>6173.25</v>
      </c>
      <c r="G186" s="203">
        <v>543.53</v>
      </c>
      <c r="H186" s="204">
        <v>22</v>
      </c>
      <c r="I186" s="203">
        <v>13356.76000000001</v>
      </c>
      <c r="J186" s="206">
        <f t="shared" si="7"/>
      </c>
      <c r="K186" s="206">
        <f t="shared" si="298"/>
      </c>
      <c r="L186" s="206">
        <f t="shared" si="268"/>
      </c>
      <c r="M186" s="207">
        <f t="shared" si="207"/>
      </c>
      <c r="N186" s="208">
        <f t="shared" si="177"/>
      </c>
      <c r="O186" s="209">
        <f t="shared" si="147"/>
      </c>
      <c r="P186" s="208">
        <f t="shared" si="237"/>
      </c>
      <c r="Q186" s="210" t="s">
        <v>114</v>
      </c>
      <c r="R186" s="232" t="s">
        <v>148</v>
      </c>
      <c r="S186" s="233">
        <v>148964</v>
      </c>
      <c r="T186" s="233">
        <v>8428</v>
      </c>
      <c r="U186" s="233">
        <v>532</v>
      </c>
      <c r="V186" s="233">
        <v>14263</v>
      </c>
      <c r="W186" s="233">
        <v>1441</v>
      </c>
      <c r="X186" s="233">
        <v>41</v>
      </c>
      <c r="Y186" s="229">
        <v>120</v>
      </c>
      <c r="Z186" s="250"/>
    </row>
    <row r="187">
      <c r="A187" s="200"/>
      <c r="B187" s="201" t="s">
        <v>132</v>
      </c>
      <c r="C187" s="202" t="s">
        <v>136</v>
      </c>
      <c r="D187" s="202">
        <f t="shared" si="61"/>
      </c>
      <c r="E187" s="202">
        <v>0</v>
      </c>
      <c r="F187" s="203">
        <v>6646.79</v>
      </c>
      <c r="G187" s="203">
        <v>940.83</v>
      </c>
      <c r="H187" s="204">
        <v>29</v>
      </c>
      <c r="I187" s="203">
        <v>22607.759999999995</v>
      </c>
      <c r="J187" s="206">
        <f t="shared" si="7"/>
      </c>
      <c r="K187" s="206">
        <f t="shared" si="298"/>
      </c>
      <c r="L187" s="206">
        <f t="shared" si="268"/>
      </c>
      <c r="M187" s="207">
        <f t="shared" si="207"/>
      </c>
      <c r="N187" s="208">
        <f t="shared" si="177"/>
      </c>
      <c r="O187" s="209">
        <f t="shared" si="147"/>
      </c>
      <c r="P187" s="208">
        <f t="shared" si="237"/>
      </c>
      <c r="Q187" s="210" t="s">
        <v>114</v>
      </c>
      <c r="R187" s="232" t="s">
        <v>148</v>
      </c>
      <c r="S187" s="233">
        <v>109343</v>
      </c>
      <c r="T187" s="233">
        <v>7280</v>
      </c>
      <c r="U187" s="233">
        <v>549</v>
      </c>
      <c r="V187" s="233">
        <v>12749</v>
      </c>
      <c r="W187" s="246">
        <v>1533</v>
      </c>
      <c r="X187" s="214">
        <v>53</v>
      </c>
      <c r="Y187" s="248">
        <v>119</v>
      </c>
      <c r="Z187" s="250"/>
    </row>
    <row r="188">
      <c r="A188" s="200"/>
      <c r="B188" s="201" t="s">
        <v>132</v>
      </c>
      <c r="C188" s="202" t="s">
        <v>137</v>
      </c>
      <c r="D188" s="202">
        <f t="shared" si="61"/>
      </c>
      <c r="E188" s="202">
        <v>0</v>
      </c>
      <c r="F188" s="203">
        <v>5873.13</v>
      </c>
      <c r="G188" s="203">
        <v>794.93</v>
      </c>
      <c r="H188" s="204">
        <v>39</v>
      </c>
      <c r="I188" s="203">
        <v>26952.399999999994</v>
      </c>
      <c r="J188" s="206">
        <f t="shared" si="7"/>
      </c>
      <c r="K188" s="206">
        <f t="shared" si="298"/>
      </c>
      <c r="L188" s="206">
        <f t="shared" si="268"/>
      </c>
      <c r="M188" s="207">
        <f t="shared" si="207"/>
      </c>
      <c r="N188" s="208">
        <f t="shared" si="177"/>
      </c>
      <c r="O188" s="209">
        <f t="shared" si="147"/>
      </c>
      <c r="P188" s="208">
        <f t="shared" si="237"/>
      </c>
      <c r="Q188" s="210" t="s">
        <v>114</v>
      </c>
      <c r="R188" s="232" t="s">
        <v>148</v>
      </c>
      <c r="S188" s="233">
        <v>97293</v>
      </c>
      <c r="T188" s="233">
        <v>8130</v>
      </c>
      <c r="U188" s="233">
        <v>503</v>
      </c>
      <c r="V188" s="233">
        <v>15774</v>
      </c>
      <c r="W188" s="246">
        <v>1822</v>
      </c>
      <c r="X188" s="214">
        <v>57</v>
      </c>
      <c r="Y188" s="248">
        <v>101</v>
      </c>
      <c r="Z188" s="250"/>
    </row>
    <row r="189">
      <c r="A189" s="200"/>
      <c r="B189" s="201" t="s">
        <v>132</v>
      </c>
      <c r="C189" s="203" t="s">
        <v>149</v>
      </c>
      <c r="D189" s="202">
        <f t="shared" si="61"/>
      </c>
      <c r="E189" s="203">
        <v>0</v>
      </c>
      <c r="F189" s="203">
        <f>2961.03+0.11</f>
      </c>
      <c r="G189" s="203">
        <v>278.42</v>
      </c>
      <c r="H189" s="204">
        <v>16</v>
      </c>
      <c r="I189" s="203">
        <v>8388.680000000008</v>
      </c>
      <c r="J189" s="206">
        <f t="shared" si="7"/>
      </c>
      <c r="K189" s="206">
        <f t="shared" si="298"/>
      </c>
      <c r="L189" s="206">
        <f t="shared" si="268"/>
      </c>
      <c r="M189" s="207">
        <f t="shared" si="207"/>
      </c>
      <c r="N189" s="208">
        <f t="shared" si="177"/>
      </c>
      <c r="O189" s="209">
        <f t="shared" si="147"/>
      </c>
      <c r="P189" s="208">
        <f t="shared" si="237"/>
      </c>
      <c r="Q189" s="210" t="s">
        <v>114</v>
      </c>
      <c r="R189" s="232" t="s">
        <v>148</v>
      </c>
      <c r="S189" s="233">
        <v>49418</v>
      </c>
      <c r="T189" s="233">
        <v>5261</v>
      </c>
      <c r="U189" s="233">
        <v>234</v>
      </c>
      <c r="V189" s="233">
        <v>9426</v>
      </c>
      <c r="W189" s="246">
        <v>1047</v>
      </c>
      <c r="X189" s="249">
        <v>26</v>
      </c>
      <c r="Y189" s="229">
        <v>68</v>
      </c>
      <c r="Z189" s="250"/>
    </row>
    <row r="190">
      <c r="A190" s="200"/>
      <c r="B190" s="219" t="s">
        <v>119</v>
      </c>
      <c r="C190" s="219"/>
      <c r="D190" s="220">
        <f>SUM(D186:D189)</f>
      </c>
      <c r="E190" s="220">
        <f>SUM(E186:E189)</f>
      </c>
      <c r="F190" s="220">
        <f>SUM(F186:G189)</f>
      </c>
      <c r="G190" s="220"/>
      <c r="H190" s="221">
        <f>SUM(H186:H189)</f>
      </c>
      <c r="I190" s="220">
        <f>SUM(I186:I189)</f>
      </c>
      <c r="J190" s="222">
        <f t="shared" si="7"/>
      </c>
      <c r="K190" s="223">
        <f t="shared" si="298"/>
      </c>
      <c r="L190" s="224">
        <f t="shared" si="268"/>
      </c>
      <c r="M190" s="225">
        <f t="shared" si="207"/>
      </c>
      <c r="N190" s="225">
        <f t="shared" si="177"/>
      </c>
      <c r="O190" s="226">
        <f t="shared" si="147"/>
      </c>
      <c r="P190" s="225">
        <f t="shared" si="237"/>
      </c>
      <c r="Q190" s="226"/>
      <c r="R190" s="235"/>
      <c r="S190" s="221">
        <f>SUM(S186:S189)</f>
      </c>
      <c r="T190" s="221">
        <f>SUM(T186:T189)</f>
      </c>
      <c r="U190" s="221">
        <f>SUM(U186:U189)</f>
      </c>
      <c r="V190" s="221">
        <f>SUM(V186:V189)</f>
      </c>
      <c r="W190" s="221">
        <f>SUM(W186:W189)</f>
      </c>
      <c r="X190" s="221">
        <f>SUM(X186:X189)</f>
      </c>
      <c r="Y190" s="221">
        <f>SUM(Y186:Y189)</f>
      </c>
      <c r="Z190" s="250"/>
    </row>
    <row r="191">
      <c r="A191" s="200"/>
      <c r="B191" s="236" t="s">
        <v>138</v>
      </c>
      <c r="C191" s="236"/>
      <c r="D191" s="237">
        <f>D190+D185+D180+D175</f>
      </c>
      <c r="E191" s="237">
        <f>E190+E185+E180+E175</f>
      </c>
      <c r="F191" s="237">
        <f>F190+F185+F180+F175</f>
      </c>
      <c r="G191" s="237"/>
      <c r="H191" s="238">
        <f>H190+H185+H180+H175</f>
      </c>
      <c r="I191" s="237">
        <f>I190+I185+I180+I175</f>
      </c>
      <c r="J191" s="239">
        <f t="shared" si="7"/>
      </c>
      <c r="K191" s="239">
        <f t="shared" si="298"/>
      </c>
      <c r="L191" s="239">
        <f t="shared" si="268"/>
      </c>
      <c r="M191" s="240">
        <f t="shared" si="207"/>
      </c>
      <c r="N191" s="240">
        <f t="shared" si="177"/>
      </c>
      <c r="O191" s="239">
        <f t="shared" si="147"/>
      </c>
      <c r="P191" s="240">
        <f t="shared" si="237"/>
      </c>
      <c r="Q191" s="241"/>
      <c r="R191" s="242"/>
      <c r="S191" s="243">
        <f>S190+S185+S180+S175</f>
      </c>
      <c r="T191" s="243">
        <f>T190+T185+T180+T175</f>
      </c>
      <c r="U191" s="243">
        <f>U190+U185+U180+U175</f>
      </c>
      <c r="V191" s="243">
        <f>V190+V185+V180+V175</f>
      </c>
      <c r="W191" s="243">
        <f>W190+W185+W180+W175</f>
      </c>
      <c r="X191" s="244">
        <f>X190+X185+X180+X175</f>
      </c>
      <c r="Y191" s="238">
        <f>Y190+Y185+Y180+Y175</f>
      </c>
      <c r="Z191" s="255"/>
    </row>
    <row r="192">
      <c r="A192" s="188" t="s">
        <v>83</v>
      </c>
      <c r="B192" s="188"/>
      <c r="C192" s="188"/>
      <c r="D192" s="189" t="s">
        <v>84</v>
      </c>
      <c r="E192" s="189"/>
      <c r="F192" s="189"/>
      <c r="G192" s="189"/>
      <c r="H192" s="189"/>
      <c r="I192" s="189"/>
      <c r="J192" s="189"/>
      <c r="K192" s="189"/>
      <c r="L192" s="189"/>
      <c r="M192" s="190" t="s">
        <v>85</v>
      </c>
      <c r="N192" s="190"/>
      <c r="O192" s="190"/>
      <c r="P192" s="190"/>
      <c r="Q192" s="190"/>
      <c r="R192" s="190"/>
      <c r="S192" s="191" t="s">
        <v>86</v>
      </c>
      <c r="T192" s="191"/>
      <c r="U192" s="191"/>
      <c r="V192" s="191"/>
      <c r="W192" s="191"/>
      <c r="X192" s="191"/>
      <c r="Y192" s="191"/>
      <c r="Z192" s="250"/>
    </row>
    <row r="193">
      <c r="A193" s="192" t="s">
        <v>87</v>
      </c>
      <c r="B193" s="188" t="s">
        <v>88</v>
      </c>
      <c r="C193" s="188" t="s">
        <v>89</v>
      </c>
      <c r="D193" s="193" t="s">
        <v>90</v>
      </c>
      <c r="E193" s="193" t="s">
        <v>91</v>
      </c>
      <c r="F193" s="189" t="s">
        <v>92</v>
      </c>
      <c r="G193" s="189"/>
      <c r="H193" s="194" t="s">
        <v>93</v>
      </c>
      <c r="I193" s="189" t="s">
        <v>94</v>
      </c>
      <c r="J193" s="195" t="s">
        <v>95</v>
      </c>
      <c r="K193" s="196" t="s">
        <v>96</v>
      </c>
      <c r="L193" s="189" t="s">
        <v>97</v>
      </c>
      <c r="M193" s="190" t="s">
        <v>98</v>
      </c>
      <c r="N193" s="190" t="s">
        <v>99</v>
      </c>
      <c r="O193" s="190" t="s">
        <v>100</v>
      </c>
      <c r="P193" s="190" t="s">
        <v>101</v>
      </c>
      <c r="Q193" s="197" t="s">
        <v>102</v>
      </c>
      <c r="R193" s="197" t="s">
        <v>103</v>
      </c>
      <c r="S193" s="198" t="s">
        <v>104</v>
      </c>
      <c r="T193" s="198" t="s">
        <v>105</v>
      </c>
      <c r="U193" s="199" t="s">
        <v>106</v>
      </c>
      <c r="V193" s="199" t="s">
        <v>107</v>
      </c>
      <c r="W193" s="199" t="s">
        <v>108</v>
      </c>
      <c r="X193" s="199" t="s">
        <v>109</v>
      </c>
      <c r="Y193" s="199" t="s">
        <v>110</v>
      </c>
      <c r="Z193" s="250"/>
    </row>
    <row r="194">
      <c r="A194" s="200" t="s">
        <v>150</v>
      </c>
      <c r="B194" s="227" t="s">
        <v>120</v>
      </c>
      <c r="C194" s="202" t="s">
        <v>113</v>
      </c>
      <c r="D194" s="202">
        <f t="shared" ref="D194:D197" si="62">E194+G194+F194</f>
      </c>
      <c r="E194" s="202">
        <v>0</v>
      </c>
      <c r="F194" s="202">
        <v>4080.9</v>
      </c>
      <c r="G194" s="202">
        <v>371.63</v>
      </c>
      <c r="H194" s="204">
        <v>15</v>
      </c>
      <c r="I194" s="202">
        <v>7748.41</v>
      </c>
      <c r="J194" s="205">
        <f t="shared" ref="J194:J214" si="8">I194/D194</f>
      </c>
      <c r="K194" s="205">
        <f t="shared" ref="K194:K214" si="299">D194/H194</f>
      </c>
      <c r="L194" s="206">
        <f t="shared" ref="L194:L214" si="269">I194/H194</f>
      </c>
      <c r="M194" s="207">
        <f t="shared" ref="M194:M214" si="208">T194/S194</f>
      </c>
      <c r="N194" s="208">
        <f t="shared" ref="N194:N214" si="178">H194/X194</f>
      </c>
      <c r="O194" s="209">
        <f t="shared" ref="O194:O214" si="148">(Y194*1000)/D194</f>
      </c>
      <c r="P194" s="208">
        <f t="shared" ref="P194:P214" si="238">W194/V194</f>
      </c>
      <c r="Q194" s="210" t="s">
        <v>127</v>
      </c>
      <c r="R194" s="251" t="s">
        <v>141</v>
      </c>
      <c r="S194" s="212">
        <v>63549</v>
      </c>
      <c r="T194" s="212">
        <v>5830</v>
      </c>
      <c r="U194" s="213">
        <v>368</v>
      </c>
      <c r="V194" s="212">
        <v>10478</v>
      </c>
      <c r="W194" s="212">
        <v>1703</v>
      </c>
      <c r="X194" s="214">
        <v>33</v>
      </c>
      <c r="Y194" s="214">
        <v>93</v>
      </c>
      <c r="Z194" s="250"/>
    </row>
    <row r="195">
      <c r="A195" s="200"/>
      <c r="B195" s="227" t="s">
        <v>120</v>
      </c>
      <c r="C195" s="202" t="s">
        <v>116</v>
      </c>
      <c r="D195" s="202">
        <f t="shared" si="62"/>
      </c>
      <c r="E195" s="202">
        <v>0</v>
      </c>
      <c r="F195" s="202">
        <v>2749.85</v>
      </c>
      <c r="G195" s="202">
        <v>447.9</v>
      </c>
      <c r="H195" s="215">
        <v>8</v>
      </c>
      <c r="I195" s="202">
        <v>2582.120000000001</v>
      </c>
      <c r="J195" s="206">
        <f t="shared" si="8"/>
      </c>
      <c r="K195" s="206">
        <f t="shared" si="299"/>
      </c>
      <c r="L195" s="205">
        <f t="shared" si="269"/>
      </c>
      <c r="M195" s="207">
        <f t="shared" si="208"/>
      </c>
      <c r="N195" s="208">
        <f t="shared" si="178"/>
      </c>
      <c r="O195" s="209">
        <f t="shared" si="148"/>
      </c>
      <c r="P195" s="208">
        <f t="shared" si="238"/>
      </c>
      <c r="Q195" s="210" t="s">
        <v>127</v>
      </c>
      <c r="R195" s="251" t="s">
        <v>141</v>
      </c>
      <c r="S195" s="216">
        <v>43518</v>
      </c>
      <c r="T195" s="216">
        <v>3736</v>
      </c>
      <c r="U195" s="212">
        <v>241</v>
      </c>
      <c r="V195" s="212">
        <v>7282</v>
      </c>
      <c r="W195" s="212">
        <v>1071</v>
      </c>
      <c r="X195" s="214">
        <v>19</v>
      </c>
      <c r="Y195" s="217">
        <v>73</v>
      </c>
      <c r="Z195" s="250"/>
    </row>
    <row r="196">
      <c r="A196" s="200"/>
      <c r="B196" s="227" t="s">
        <v>120</v>
      </c>
      <c r="C196" s="202" t="s">
        <v>117</v>
      </c>
      <c r="D196" s="202">
        <f t="shared" si="62"/>
      </c>
      <c r="E196" s="218">
        <v>0</v>
      </c>
      <c r="F196" s="202">
        <v>3497.75</v>
      </c>
      <c r="G196" s="202">
        <v>497.67</v>
      </c>
      <c r="H196" s="215">
        <v>20</v>
      </c>
      <c r="I196" s="202">
        <v>12086.28</v>
      </c>
      <c r="J196" s="206">
        <f t="shared" si="8"/>
      </c>
      <c r="K196" s="206">
        <f t="shared" si="299"/>
      </c>
      <c r="L196" s="206">
        <f t="shared" si="269"/>
      </c>
      <c r="M196" s="207">
        <f t="shared" si="208"/>
      </c>
      <c r="N196" s="208">
        <f t="shared" si="178"/>
      </c>
      <c r="O196" s="209">
        <f t="shared" si="148"/>
      </c>
      <c r="P196" s="208">
        <f t="shared" si="238"/>
      </c>
      <c r="Q196" s="210" t="s">
        <v>127</v>
      </c>
      <c r="R196" s="251" t="s">
        <v>141</v>
      </c>
      <c r="S196" s="217">
        <v>56370</v>
      </c>
      <c r="T196" s="217">
        <v>3704</v>
      </c>
      <c r="U196" s="217">
        <v>336</v>
      </c>
      <c r="V196" s="217">
        <v>7219</v>
      </c>
      <c r="W196" s="217">
        <v>1148</v>
      </c>
      <c r="X196" s="214">
        <v>32</v>
      </c>
      <c r="Y196" s="217">
        <v>81</v>
      </c>
      <c r="Z196" s="250"/>
    </row>
    <row r="197">
      <c r="A197" s="200"/>
      <c r="B197" s="227" t="s">
        <v>120</v>
      </c>
      <c r="C197" s="202" t="s">
        <v>118</v>
      </c>
      <c r="D197" s="202">
        <f t="shared" si="62"/>
      </c>
      <c r="E197" s="202">
        <v>0</v>
      </c>
      <c r="F197" s="202">
        <v>5512.1</v>
      </c>
      <c r="G197" s="202">
        <v>273.58</v>
      </c>
      <c r="H197" s="215">
        <v>30</v>
      </c>
      <c r="I197" s="202">
        <v>13744.8</v>
      </c>
      <c r="J197" s="206">
        <f t="shared" si="8"/>
      </c>
      <c r="K197" s="206">
        <f t="shared" si="299"/>
      </c>
      <c r="L197" s="206">
        <f t="shared" si="269"/>
      </c>
      <c r="M197" s="207">
        <f t="shared" si="208"/>
      </c>
      <c r="N197" s="208">
        <f t="shared" si="178"/>
      </c>
      <c r="O197" s="209">
        <f t="shared" si="148"/>
      </c>
      <c r="P197" s="208">
        <f t="shared" si="238"/>
      </c>
      <c r="Q197" s="210" t="s">
        <v>127</v>
      </c>
      <c r="R197" s="251" t="s">
        <v>141</v>
      </c>
      <c r="S197" s="217">
        <v>94274</v>
      </c>
      <c r="T197" s="217">
        <v>4439</v>
      </c>
      <c r="U197" s="217">
        <v>429</v>
      </c>
      <c r="V197" s="217">
        <v>8204</v>
      </c>
      <c r="W197" s="217">
        <v>1192</v>
      </c>
      <c r="X197" s="214">
        <v>47</v>
      </c>
      <c r="Y197" s="217">
        <v>120</v>
      </c>
      <c r="Z197" s="250"/>
    </row>
    <row r="198">
      <c r="A198" s="200"/>
      <c r="B198" s="219" t="s">
        <v>119</v>
      </c>
      <c r="C198" s="219"/>
      <c r="D198" s="220">
        <f>SUM(D194:D197)</f>
      </c>
      <c r="E198" s="220">
        <f>SUM(E194:E197)</f>
      </c>
      <c r="F198" s="220">
        <f>SUM(F194:G197)</f>
      </c>
      <c r="G198" s="220"/>
      <c r="H198" s="221">
        <f>SUM(H194:H197)</f>
      </c>
      <c r="I198" s="220">
        <f>SUM(I194:I197)</f>
      </c>
      <c r="J198" s="253">
        <f t="shared" si="8"/>
      </c>
      <c r="K198" s="223">
        <f t="shared" si="299"/>
      </c>
      <c r="L198" s="254">
        <f t="shared" si="269"/>
      </c>
      <c r="M198" s="225">
        <f t="shared" si="208"/>
      </c>
      <c r="N198" s="225">
        <f t="shared" si="178"/>
      </c>
      <c r="O198" s="226">
        <f t="shared" si="148"/>
      </c>
      <c r="P198" s="225">
        <f t="shared" si="238"/>
      </c>
      <c r="Q198" s="226"/>
      <c r="R198" s="226"/>
      <c r="S198" s="221">
        <f>SUM(S194:S197)</f>
      </c>
      <c r="T198" s="221">
        <f>SUM(T194:T197)</f>
      </c>
      <c r="U198" s="221">
        <f>SUM(U194:U197)</f>
      </c>
      <c r="V198" s="221">
        <f>SUM(V194:V197)</f>
      </c>
      <c r="W198" s="221">
        <f>SUM(W194:W197)</f>
      </c>
      <c r="X198" s="221">
        <f>SUM(X194:X197)</f>
      </c>
      <c r="Y198" s="221">
        <f>SUM(Y194:Y197)</f>
      </c>
      <c r="Z198" s="250"/>
    </row>
    <row r="199">
      <c r="A199" s="200"/>
      <c r="B199" s="201" t="s">
        <v>112</v>
      </c>
      <c r="C199" s="202" t="s">
        <v>121</v>
      </c>
      <c r="D199" s="202">
        <f t="shared" ref="D199:D202" si="63">E199+G199+F199</f>
      </c>
      <c r="E199" s="202">
        <v>0</v>
      </c>
      <c r="F199" s="202">
        <v>3079.98</v>
      </c>
      <c r="G199" s="202">
        <v>404.94</v>
      </c>
      <c r="H199" s="215">
        <v>13</v>
      </c>
      <c r="I199" s="202">
        <v>5361.209999999999</v>
      </c>
      <c r="J199" s="206">
        <f t="shared" si="8"/>
      </c>
      <c r="K199" s="206">
        <f t="shared" si="299"/>
      </c>
      <c r="L199" s="206">
        <f t="shared" si="269"/>
      </c>
      <c r="M199" s="207">
        <f t="shared" si="208"/>
      </c>
      <c r="N199" s="208">
        <f t="shared" si="178"/>
      </c>
      <c r="O199" s="209">
        <f t="shared" si="148"/>
      </c>
      <c r="P199" s="208">
        <f t="shared" si="238"/>
      </c>
      <c r="Q199" s="210" t="s">
        <v>127</v>
      </c>
      <c r="R199" s="251" t="s">
        <v>141</v>
      </c>
      <c r="S199" s="228">
        <v>58983</v>
      </c>
      <c r="T199" s="228">
        <v>4016</v>
      </c>
      <c r="U199" s="228">
        <v>301</v>
      </c>
      <c r="V199" s="228">
        <v>8091</v>
      </c>
      <c r="W199" s="228">
        <v>1201</v>
      </c>
      <c r="X199" s="229">
        <v>27</v>
      </c>
      <c r="Y199" s="228">
        <v>75</v>
      </c>
      <c r="Z199" s="250"/>
    </row>
    <row r="200">
      <c r="A200" s="200"/>
      <c r="B200" s="201" t="s">
        <v>112</v>
      </c>
      <c r="C200" s="202" t="s">
        <v>122</v>
      </c>
      <c r="D200" s="202">
        <f t="shared" si="63"/>
      </c>
      <c r="E200" s="202">
        <v>0</v>
      </c>
      <c r="F200" s="202">
        <v>2981.2</v>
      </c>
      <c r="G200" s="202">
        <v>705.21</v>
      </c>
      <c r="H200" s="215">
        <v>16</v>
      </c>
      <c r="I200" s="202">
        <v>9404.400000000001</v>
      </c>
      <c r="J200" s="206">
        <f t="shared" si="8"/>
      </c>
      <c r="K200" s="206">
        <f t="shared" si="299"/>
      </c>
      <c r="L200" s="206">
        <f t="shared" si="269"/>
      </c>
      <c r="M200" s="207">
        <f t="shared" si="208"/>
      </c>
      <c r="N200" s="208">
        <f t="shared" si="178"/>
      </c>
      <c r="O200" s="209">
        <f t="shared" si="148"/>
      </c>
      <c r="P200" s="208">
        <f t="shared" si="238"/>
      </c>
      <c r="Q200" s="210" t="s">
        <v>127</v>
      </c>
      <c r="R200" s="251" t="s">
        <v>141</v>
      </c>
      <c r="S200" s="228">
        <v>55285</v>
      </c>
      <c r="T200" s="228">
        <v>4182</v>
      </c>
      <c r="U200" s="228">
        <v>304</v>
      </c>
      <c r="V200" s="228">
        <v>7864</v>
      </c>
      <c r="W200" s="228">
        <v>992</v>
      </c>
      <c r="X200" s="229">
        <v>22</v>
      </c>
      <c r="Y200" s="228">
        <v>70</v>
      </c>
      <c r="Z200" s="250"/>
    </row>
    <row r="201">
      <c r="A201" s="200"/>
      <c r="B201" s="201" t="s">
        <v>112</v>
      </c>
      <c r="C201" s="202" t="s">
        <v>123</v>
      </c>
      <c r="D201" s="202">
        <f t="shared" si="63"/>
      </c>
      <c r="E201" s="202">
        <v>0</v>
      </c>
      <c r="F201" s="202">
        <v>2262.17</v>
      </c>
      <c r="G201" s="202">
        <v>777.4</v>
      </c>
      <c r="H201" s="215">
        <v>14</v>
      </c>
      <c r="I201" s="202">
        <v>8426.18</v>
      </c>
      <c r="J201" s="206">
        <f t="shared" si="8"/>
      </c>
      <c r="K201" s="206">
        <f t="shared" si="299"/>
      </c>
      <c r="L201" s="206">
        <f t="shared" si="269"/>
      </c>
      <c r="M201" s="207">
        <f t="shared" si="208"/>
      </c>
      <c r="N201" s="208">
        <f t="shared" si="178"/>
      </c>
      <c r="O201" s="209">
        <f t="shared" si="148"/>
      </c>
      <c r="P201" s="208">
        <f t="shared" si="238"/>
      </c>
      <c r="Q201" s="210" t="s">
        <v>127</v>
      </c>
      <c r="R201" s="251" t="s">
        <v>141</v>
      </c>
      <c r="S201" s="228">
        <v>50422</v>
      </c>
      <c r="T201" s="228">
        <v>3554</v>
      </c>
      <c r="U201" s="228">
        <v>244</v>
      </c>
      <c r="V201" s="228">
        <v>6642</v>
      </c>
      <c r="W201" s="228">
        <v>863</v>
      </c>
      <c r="X201" s="229">
        <v>17</v>
      </c>
      <c r="Y201" s="229">
        <v>59</v>
      </c>
      <c r="Z201" s="250"/>
    </row>
    <row r="202">
      <c r="A202" s="200"/>
      <c r="B202" s="201" t="s">
        <v>112</v>
      </c>
      <c r="C202" s="202" t="s">
        <v>124</v>
      </c>
      <c r="D202" s="202">
        <f t="shared" si="63"/>
      </c>
      <c r="E202" s="202">
        <v>0</v>
      </c>
      <c r="F202" s="202">
        <v>2825.07</v>
      </c>
      <c r="G202" s="202">
        <v>838.58</v>
      </c>
      <c r="H202" s="215">
        <v>12</v>
      </c>
      <c r="I202" s="202">
        <v>4850.299999999996</v>
      </c>
      <c r="J202" s="206">
        <f t="shared" si="8"/>
      </c>
      <c r="K202" s="206">
        <f t="shared" si="299"/>
      </c>
      <c r="L202" s="206">
        <f t="shared" si="269"/>
      </c>
      <c r="M202" s="207">
        <f t="shared" si="208"/>
      </c>
      <c r="N202" s="208">
        <f t="shared" si="178"/>
      </c>
      <c r="O202" s="209">
        <f t="shared" si="148"/>
      </c>
      <c r="P202" s="208">
        <f t="shared" si="238"/>
      </c>
      <c r="Q202" s="210" t="s">
        <v>127</v>
      </c>
      <c r="R202" s="251" t="s">
        <v>141</v>
      </c>
      <c r="S202" s="228">
        <v>64916</v>
      </c>
      <c r="T202" s="228">
        <v>4652</v>
      </c>
      <c r="U202" s="228">
        <v>300</v>
      </c>
      <c r="V202" s="228">
        <v>8251</v>
      </c>
      <c r="W202" s="228">
        <v>1046</v>
      </c>
      <c r="X202" s="229">
        <v>24</v>
      </c>
      <c r="Y202" s="228">
        <v>83</v>
      </c>
      <c r="Z202" s="250"/>
    </row>
    <row r="203">
      <c r="A203" s="200"/>
      <c r="B203" s="219" t="s">
        <v>119</v>
      </c>
      <c r="C203" s="219"/>
      <c r="D203" s="220">
        <f>SUM(D199:D202)</f>
      </c>
      <c r="E203" s="220">
        <f>SUM(E199:E202)</f>
      </c>
      <c r="F203" s="220">
        <f>SUM(F199:G202)</f>
      </c>
      <c r="G203" s="220"/>
      <c r="H203" s="221">
        <f>SUM(H199:H202)</f>
      </c>
      <c r="I203" s="220">
        <f>SUM(I199:I202)</f>
      </c>
      <c r="J203" s="222">
        <f t="shared" si="8"/>
      </c>
      <c r="K203" s="223">
        <f t="shared" si="299"/>
      </c>
      <c r="L203" s="224">
        <f t="shared" si="269"/>
      </c>
      <c r="M203" s="225">
        <f t="shared" si="208"/>
      </c>
      <c r="N203" s="225">
        <f t="shared" si="178"/>
      </c>
      <c r="O203" s="226">
        <f t="shared" si="148"/>
      </c>
      <c r="P203" s="225">
        <f t="shared" si="238"/>
      </c>
      <c r="Q203" s="226"/>
      <c r="R203" s="226"/>
      <c r="S203" s="221">
        <f>SUM(S199:S202)</f>
      </c>
      <c r="T203" s="221">
        <f>SUM(T199:T202)</f>
      </c>
      <c r="U203" s="221">
        <f>SUM(U199:U202)</f>
      </c>
      <c r="V203" s="221">
        <f>SUM(V199:V202)</f>
      </c>
      <c r="W203" s="221">
        <f>SUM(W199:W202)</f>
      </c>
      <c r="X203" s="221">
        <f>SUM(X199:X202)</f>
      </c>
      <c r="Y203" s="221">
        <f>SUM(Y199:Y202)</f>
      </c>
      <c r="Z203" s="250"/>
    </row>
    <row r="204">
      <c r="A204" s="200"/>
      <c r="B204" s="201" t="s">
        <v>125</v>
      </c>
      <c r="C204" s="202" t="s">
        <v>126</v>
      </c>
      <c r="D204" s="202">
        <f t="shared" ref="D204:D207" si="64">E204+G204+F204</f>
      </c>
      <c r="E204" s="202">
        <v>0</v>
      </c>
      <c r="F204" s="203">
        <v>2735.49</v>
      </c>
      <c r="G204" s="203">
        <v>524.08</v>
      </c>
      <c r="H204" s="204">
        <v>11</v>
      </c>
      <c r="I204" s="203">
        <v>3730.5800000000017</v>
      </c>
      <c r="J204" s="206">
        <f t="shared" si="8"/>
      </c>
      <c r="K204" s="206">
        <f t="shared" si="299"/>
      </c>
      <c r="L204" s="206">
        <f t="shared" si="269"/>
      </c>
      <c r="M204" s="207">
        <f t="shared" si="208"/>
      </c>
      <c r="N204" s="208">
        <f t="shared" si="178"/>
      </c>
      <c r="O204" s="209">
        <f t="shared" si="148"/>
      </c>
      <c r="P204" s="208">
        <f t="shared" si="238"/>
      </c>
      <c r="Q204" s="210" t="s">
        <v>127</v>
      </c>
      <c r="R204" s="251" t="s">
        <v>141</v>
      </c>
      <c r="S204" s="230">
        <v>65334</v>
      </c>
      <c r="T204" s="230">
        <v>4421</v>
      </c>
      <c r="U204" s="230">
        <v>320</v>
      </c>
      <c r="V204" s="230">
        <v>8012</v>
      </c>
      <c r="W204" s="230">
        <v>1043</v>
      </c>
      <c r="X204" s="234">
        <v>46</v>
      </c>
      <c r="Y204" s="229">
        <v>86</v>
      </c>
      <c r="Z204" s="250"/>
    </row>
    <row r="205">
      <c r="A205" s="200"/>
      <c r="B205" s="201" t="s">
        <v>125</v>
      </c>
      <c r="C205" s="202" t="s">
        <v>128</v>
      </c>
      <c r="D205" s="202">
        <f t="shared" si="64"/>
      </c>
      <c r="E205" s="202">
        <v>0</v>
      </c>
      <c r="F205" s="203">
        <v>2080.11</v>
      </c>
      <c r="G205" s="203">
        <v>472.13</v>
      </c>
      <c r="H205" s="204">
        <v>11</v>
      </c>
      <c r="I205" s="203">
        <v>4139.180000000008</v>
      </c>
      <c r="J205" s="206">
        <f t="shared" si="8"/>
      </c>
      <c r="K205" s="206">
        <f t="shared" si="299"/>
      </c>
      <c r="L205" s="206">
        <f t="shared" si="269"/>
      </c>
      <c r="M205" s="207">
        <f t="shared" si="208"/>
      </c>
      <c r="N205" s="208">
        <f t="shared" si="178"/>
      </c>
      <c r="O205" s="209">
        <f t="shared" si="148"/>
      </c>
      <c r="P205" s="208">
        <f t="shared" si="238"/>
      </c>
      <c r="Q205" s="210" t="s">
        <v>114</v>
      </c>
      <c r="R205" s="232" t="s">
        <v>148</v>
      </c>
      <c r="S205" s="229">
        <v>40357</v>
      </c>
      <c r="T205" s="229">
        <v>2537</v>
      </c>
      <c r="U205" s="229">
        <v>228</v>
      </c>
      <c r="V205" s="229">
        <v>4904</v>
      </c>
      <c r="W205" s="229">
        <v>610</v>
      </c>
      <c r="X205" s="229">
        <v>20</v>
      </c>
      <c r="Y205" s="229">
        <v>44</v>
      </c>
      <c r="Z205" s="250"/>
    </row>
    <row r="206">
      <c r="A206" s="200"/>
      <c r="B206" s="201" t="s">
        <v>125</v>
      </c>
      <c r="C206" s="202" t="s">
        <v>130</v>
      </c>
      <c r="D206" s="202">
        <f t="shared" si="64"/>
      </c>
      <c r="E206" s="202">
        <v>0</v>
      </c>
      <c r="F206" s="203">
        <v>2378.91</v>
      </c>
      <c r="G206" s="203">
        <v>396.45</v>
      </c>
      <c r="H206" s="204">
        <v>7</v>
      </c>
      <c r="I206" s="203">
        <v>3298.679999999993</v>
      </c>
      <c r="J206" s="206">
        <f t="shared" si="8"/>
      </c>
      <c r="K206" s="206">
        <f t="shared" si="299"/>
      </c>
      <c r="L206" s="206">
        <f t="shared" si="269"/>
      </c>
      <c r="M206" s="207">
        <f t="shared" si="208"/>
      </c>
      <c r="N206" s="208">
        <f t="shared" si="178"/>
      </c>
      <c r="O206" s="209">
        <f t="shared" si="148"/>
      </c>
      <c r="P206" s="208">
        <f t="shared" si="238"/>
      </c>
      <c r="Q206" s="210" t="s">
        <v>114</v>
      </c>
      <c r="R206" s="232" t="s">
        <v>148</v>
      </c>
      <c r="S206" s="229">
        <v>38940</v>
      </c>
      <c r="T206" s="229">
        <v>3193</v>
      </c>
      <c r="U206" s="229">
        <v>209</v>
      </c>
      <c r="V206" s="229">
        <v>5770</v>
      </c>
      <c r="W206" s="229">
        <v>715</v>
      </c>
      <c r="X206" s="229">
        <v>15</v>
      </c>
      <c r="Y206" s="229">
        <v>47</v>
      </c>
      <c r="Z206" s="250"/>
    </row>
    <row r="207">
      <c r="A207" s="200"/>
      <c r="B207" s="201" t="s">
        <v>125</v>
      </c>
      <c r="C207" s="203" t="s">
        <v>151</v>
      </c>
      <c r="D207" s="202">
        <f t="shared" si="64"/>
      </c>
      <c r="E207" s="202">
        <v>0</v>
      </c>
      <c r="F207" s="203">
        <v>1188.04</v>
      </c>
      <c r="G207" s="203">
        <v>138.05</v>
      </c>
      <c r="H207" s="204">
        <v>4</v>
      </c>
      <c r="I207" s="203">
        <v>820.8399999999965</v>
      </c>
      <c r="J207" s="206">
        <f t="shared" si="8"/>
      </c>
      <c r="K207" s="206">
        <f t="shared" si="299"/>
      </c>
      <c r="L207" s="206">
        <f t="shared" si="269"/>
      </c>
      <c r="M207" s="207">
        <f t="shared" si="208"/>
      </c>
      <c r="N207" s="208">
        <f t="shared" si="178"/>
      </c>
      <c r="O207" s="209">
        <f t="shared" si="148"/>
      </c>
      <c r="P207" s="208">
        <f t="shared" si="238"/>
      </c>
      <c r="Q207" s="210" t="s">
        <v>114</v>
      </c>
      <c r="R207" s="232" t="s">
        <v>148</v>
      </c>
      <c r="S207" s="229">
        <v>19405</v>
      </c>
      <c r="T207" s="229">
        <v>1474</v>
      </c>
      <c r="U207" s="229">
        <v>96</v>
      </c>
      <c r="V207" s="229">
        <v>2695</v>
      </c>
      <c r="W207" s="229">
        <v>358</v>
      </c>
      <c r="X207" s="229">
        <v>11</v>
      </c>
      <c r="Y207" s="229">
        <v>20</v>
      </c>
      <c r="Z207" s="250"/>
    </row>
    <row r="208">
      <c r="A208" s="200"/>
      <c r="B208" s="219" t="s">
        <v>119</v>
      </c>
      <c r="C208" s="219"/>
      <c r="D208" s="220">
        <f>SUM(D204:D207)</f>
      </c>
      <c r="E208" s="220">
        <f>SUM(E204:E207)</f>
      </c>
      <c r="F208" s="220">
        <f>SUM(F204:G207)</f>
      </c>
      <c r="G208" s="220"/>
      <c r="H208" s="221">
        <f>SUM(H204:H207)</f>
      </c>
      <c r="I208" s="220">
        <f>SUM(I204:I207)</f>
      </c>
      <c r="J208" s="222">
        <f t="shared" si="8"/>
      </c>
      <c r="K208" s="223">
        <f t="shared" si="299"/>
      </c>
      <c r="L208" s="224">
        <f t="shared" si="269"/>
      </c>
      <c r="M208" s="225">
        <f t="shared" si="208"/>
      </c>
      <c r="N208" s="225">
        <f t="shared" si="178"/>
      </c>
      <c r="O208" s="226">
        <f t="shared" si="148"/>
      </c>
      <c r="P208" s="225">
        <f t="shared" si="238"/>
      </c>
      <c r="Q208" s="226"/>
      <c r="R208" s="226"/>
      <c r="S208" s="221">
        <f>SUM(S204:S207)</f>
      </c>
      <c r="T208" s="221">
        <f>SUM(T204:T207)</f>
      </c>
      <c r="U208" s="221">
        <f>SUM(U204:U207)</f>
      </c>
      <c r="V208" s="221">
        <f>SUM(V204:V207)</f>
      </c>
      <c r="W208" s="221">
        <f>SUM(W204:W207)</f>
      </c>
      <c r="X208" s="221">
        <f>SUM(X204:X207)</f>
      </c>
      <c r="Y208" s="221">
        <f>SUM(Y204:Y207)</f>
      </c>
      <c r="Z208" s="250"/>
    </row>
    <row r="209">
      <c r="A209" s="200"/>
      <c r="B209" s="245" t="s">
        <v>132</v>
      </c>
      <c r="C209" s="202" t="s">
        <v>134</v>
      </c>
      <c r="D209" s="202">
        <f t="shared" ref="D209:D212" si="65">E209+G209+F209</f>
      </c>
      <c r="E209" s="202">
        <v>0</v>
      </c>
      <c r="F209" s="203">
        <v>2749.13</v>
      </c>
      <c r="G209" s="203">
        <v>282.63</v>
      </c>
      <c r="H209" s="204">
        <v>11</v>
      </c>
      <c r="I209" s="203">
        <v>7377.12000000001</v>
      </c>
      <c r="J209" s="206">
        <f t="shared" si="8"/>
      </c>
      <c r="K209" s="206">
        <f t="shared" si="299"/>
      </c>
      <c r="L209" s="206">
        <f t="shared" si="269"/>
      </c>
      <c r="M209" s="207">
        <f t="shared" si="208"/>
      </c>
      <c r="N209" s="208">
        <f t="shared" si="178"/>
      </c>
      <c r="O209" s="209">
        <f t="shared" si="148"/>
      </c>
      <c r="P209" s="208">
        <f t="shared" si="238"/>
      </c>
      <c r="Q209" s="210" t="s">
        <v>114</v>
      </c>
      <c r="R209" s="232" t="s">
        <v>148</v>
      </c>
      <c r="S209" s="229">
        <v>51318</v>
      </c>
      <c r="T209" s="229">
        <v>4339</v>
      </c>
      <c r="U209" s="229">
        <v>274</v>
      </c>
      <c r="V209" s="229">
        <v>7128</v>
      </c>
      <c r="W209" s="229">
        <v>742</v>
      </c>
      <c r="X209" s="229">
        <v>31</v>
      </c>
      <c r="Y209" s="229">
        <v>80</v>
      </c>
      <c r="Z209" s="250"/>
    </row>
    <row r="210">
      <c r="A210" s="200"/>
      <c r="B210" s="201" t="s">
        <v>132</v>
      </c>
      <c r="C210" s="202" t="s">
        <v>135</v>
      </c>
      <c r="D210" s="202">
        <f t="shared" si="65"/>
      </c>
      <c r="E210" s="202">
        <v>0</v>
      </c>
      <c r="F210" s="203">
        <v>4812.83</v>
      </c>
      <c r="G210" s="203">
        <v>3147.1</v>
      </c>
      <c r="H210" s="204">
        <v>33</v>
      </c>
      <c r="I210" s="203">
        <v>24746.329999999987</v>
      </c>
      <c r="J210" s="206">
        <f t="shared" si="8"/>
      </c>
      <c r="K210" s="206">
        <f t="shared" si="299"/>
      </c>
      <c r="L210" s="206">
        <f t="shared" si="269"/>
      </c>
      <c r="M210" s="207">
        <f t="shared" si="208"/>
      </c>
      <c r="N210" s="208">
        <f t="shared" si="178"/>
      </c>
      <c r="O210" s="209">
        <f t="shared" si="148"/>
      </c>
      <c r="P210" s="208">
        <f t="shared" si="238"/>
      </c>
      <c r="Q210" s="210" t="s">
        <v>114</v>
      </c>
      <c r="R210" s="232" t="s">
        <v>148</v>
      </c>
      <c r="S210" s="233">
        <v>157865</v>
      </c>
      <c r="T210" s="233">
        <v>11779</v>
      </c>
      <c r="U210" s="233">
        <v>726</v>
      </c>
      <c r="V210" s="233">
        <v>20362</v>
      </c>
      <c r="W210" s="246">
        <v>2266</v>
      </c>
      <c r="X210" s="214">
        <v>75</v>
      </c>
      <c r="Y210" s="248">
        <v>170</v>
      </c>
      <c r="Z210" s="250"/>
    </row>
    <row r="211">
      <c r="A211" s="200"/>
      <c r="B211" s="201" t="s">
        <v>132</v>
      </c>
      <c r="C211" s="202" t="s">
        <v>136</v>
      </c>
      <c r="D211" s="202">
        <f t="shared" si="65"/>
      </c>
      <c r="E211" s="202">
        <v>0</v>
      </c>
      <c r="F211" s="203">
        <v>2980.06</v>
      </c>
      <c r="G211" s="203">
        <v>2926.13</v>
      </c>
      <c r="H211" s="204">
        <v>25</v>
      </c>
      <c r="I211" s="203">
        <v>9846.520000000004</v>
      </c>
      <c r="J211" s="206">
        <f t="shared" si="8"/>
      </c>
      <c r="K211" s="206">
        <f t="shared" si="299"/>
      </c>
      <c r="L211" s="206">
        <f t="shared" si="269"/>
      </c>
      <c r="M211" s="207">
        <f t="shared" si="208"/>
      </c>
      <c r="N211" s="208">
        <f t="shared" si="178"/>
      </c>
      <c r="O211" s="209">
        <f t="shared" si="148"/>
      </c>
      <c r="P211" s="208">
        <f t="shared" si="238"/>
      </c>
      <c r="Q211" s="210" t="s">
        <v>114</v>
      </c>
      <c r="R211" s="232" t="s">
        <v>148</v>
      </c>
      <c r="S211" s="233">
        <v>150267</v>
      </c>
      <c r="T211" s="233">
        <v>6871</v>
      </c>
      <c r="U211" s="233">
        <v>453</v>
      </c>
      <c r="V211" s="233">
        <v>10154</v>
      </c>
      <c r="W211" s="246">
        <v>957</v>
      </c>
      <c r="X211" s="214">
        <v>50</v>
      </c>
      <c r="Y211" s="248">
        <v>73</v>
      </c>
      <c r="Z211" s="250"/>
    </row>
    <row r="212">
      <c r="A212" s="200"/>
      <c r="B212" s="201" t="s">
        <v>132</v>
      </c>
      <c r="C212" s="202" t="s">
        <v>137</v>
      </c>
      <c r="D212" s="202">
        <f t="shared" si="65"/>
      </c>
      <c r="E212" s="202">
        <v>0</v>
      </c>
      <c r="F212" s="203">
        <f>3690.19+0.59+0.09+0.15+0.05</f>
      </c>
      <c r="G212" s="203">
        <v>2549.18</v>
      </c>
      <c r="H212" s="204">
        <v>23</v>
      </c>
      <c r="I212" s="203">
        <v>12904.210000000006</v>
      </c>
      <c r="J212" s="206">
        <f t="shared" si="8"/>
      </c>
      <c r="K212" s="206">
        <f t="shared" si="299"/>
      </c>
      <c r="L212" s="206">
        <f t="shared" si="269"/>
      </c>
      <c r="M212" s="207">
        <f t="shared" si="208"/>
      </c>
      <c r="N212" s="208">
        <f t="shared" si="178"/>
      </c>
      <c r="O212" s="209">
        <f t="shared" si="148"/>
      </c>
      <c r="P212" s="208">
        <f t="shared" si="238"/>
      </c>
      <c r="Q212" s="210" t="s">
        <v>114</v>
      </c>
      <c r="R212" s="232" t="s">
        <v>148</v>
      </c>
      <c r="S212" s="233">
        <v>186239</v>
      </c>
      <c r="T212" s="233">
        <v>8892</v>
      </c>
      <c r="U212" s="233">
        <v>558</v>
      </c>
      <c r="V212" s="233">
        <v>14793</v>
      </c>
      <c r="W212" s="233">
        <v>1485</v>
      </c>
      <c r="X212" s="249">
        <v>42</v>
      </c>
      <c r="Y212" s="229">
        <v>102</v>
      </c>
      <c r="Z212" s="250"/>
    </row>
    <row r="213">
      <c r="A213" s="200"/>
      <c r="B213" s="219" t="s">
        <v>119</v>
      </c>
      <c r="C213" s="219"/>
      <c r="D213" s="220">
        <f>SUM(D209:D212)</f>
      </c>
      <c r="E213" s="220">
        <f>SUM(E209:E212)</f>
      </c>
      <c r="F213" s="220">
        <f>SUM(F209:G212)</f>
      </c>
      <c r="G213" s="220"/>
      <c r="H213" s="221">
        <f>SUM(H209:H212)</f>
      </c>
      <c r="I213" s="220">
        <f>SUM(I209:I212)</f>
      </c>
      <c r="J213" s="222">
        <f t="shared" si="8"/>
      </c>
      <c r="K213" s="223">
        <f t="shared" si="299"/>
      </c>
      <c r="L213" s="224">
        <f t="shared" si="269"/>
      </c>
      <c r="M213" s="225">
        <f t="shared" si="208"/>
      </c>
      <c r="N213" s="225">
        <f t="shared" si="178"/>
      </c>
      <c r="O213" s="226">
        <f t="shared" si="148"/>
      </c>
      <c r="P213" s="225">
        <f t="shared" si="238"/>
      </c>
      <c r="Q213" s="226"/>
      <c r="R213" s="235"/>
      <c r="S213" s="220">
        <f>SUM(S209:S212)</f>
      </c>
      <c r="T213" s="220">
        <f>SUM(T209:T212)</f>
      </c>
      <c r="U213" s="220">
        <f>SUM(U209:U212)</f>
      </c>
      <c r="V213" s="220">
        <f>SUM(V209:V212)</f>
      </c>
      <c r="W213" s="220">
        <f>SUM(W209:W212)</f>
      </c>
      <c r="X213" s="220">
        <f>SUM(X209:X212)</f>
      </c>
      <c r="Y213" s="220">
        <f>SUM(Y209:Y212)</f>
      </c>
      <c r="Z213" s="250"/>
    </row>
    <row r="214">
      <c r="A214" s="256"/>
      <c r="B214" s="236" t="s">
        <v>138</v>
      </c>
      <c r="C214" s="236"/>
      <c r="D214" s="237">
        <f>D213+D208+D203+D198</f>
      </c>
      <c r="E214" s="237">
        <f>E213+E208+E203+E198</f>
      </c>
      <c r="F214" s="237">
        <f>F213+F208+F203+F198</f>
      </c>
      <c r="G214" s="237"/>
      <c r="H214" s="238">
        <f>H213+H208+H203+H198</f>
      </c>
      <c r="I214" s="237">
        <f>I213+I208+I203+I198</f>
      </c>
      <c r="J214" s="239">
        <f t="shared" si="8"/>
      </c>
      <c r="K214" s="239">
        <f t="shared" si="299"/>
      </c>
      <c r="L214" s="239">
        <f t="shared" si="269"/>
      </c>
      <c r="M214" s="240">
        <f t="shared" si="208"/>
      </c>
      <c r="N214" s="240">
        <f t="shared" si="178"/>
      </c>
      <c r="O214" s="239">
        <f t="shared" si="148"/>
      </c>
      <c r="P214" s="240">
        <f t="shared" si="238"/>
      </c>
      <c r="Q214" s="241"/>
      <c r="R214" s="242"/>
      <c r="S214" s="243">
        <f>S213+S208+S203+S198</f>
      </c>
      <c r="T214" s="243">
        <f>T213+T208+T203+T198</f>
      </c>
      <c r="U214" s="243">
        <f>U213+U208+U203+U198</f>
      </c>
      <c r="V214" s="243">
        <f>V213+V208+V203+V198</f>
      </c>
      <c r="W214" s="243">
        <f>W213+W208+W203+W198</f>
      </c>
      <c r="X214" s="244">
        <f>X213+X208+X203+X198</f>
      </c>
      <c r="Y214" s="238">
        <f>Y213+Y208+Y203+Y198</f>
      </c>
      <c r="Z214" s="255"/>
    </row>
    <row r="215">
      <c r="A215" s="188" t="s">
        <v>83</v>
      </c>
      <c r="B215" s="188"/>
      <c r="C215" s="188"/>
      <c r="D215" s="189" t="s">
        <v>84</v>
      </c>
      <c r="E215" s="189"/>
      <c r="F215" s="189"/>
      <c r="G215" s="189"/>
      <c r="H215" s="189"/>
      <c r="I215" s="189"/>
      <c r="J215" s="189"/>
      <c r="K215" s="189"/>
      <c r="L215" s="189"/>
      <c r="M215" s="190" t="s">
        <v>85</v>
      </c>
      <c r="N215" s="190"/>
      <c r="O215" s="190"/>
      <c r="P215" s="190"/>
      <c r="Q215" s="190"/>
      <c r="R215" s="190"/>
      <c r="S215" s="191" t="s">
        <v>86</v>
      </c>
      <c r="T215" s="191"/>
      <c r="U215" s="191"/>
      <c r="V215" s="191"/>
      <c r="W215" s="191"/>
      <c r="X215" s="191"/>
      <c r="Y215" s="191"/>
      <c r="Z215" s="250"/>
    </row>
    <row r="216">
      <c r="A216" s="192" t="s">
        <v>87</v>
      </c>
      <c r="B216" s="188" t="s">
        <v>88</v>
      </c>
      <c r="C216" s="188" t="s">
        <v>89</v>
      </c>
      <c r="D216" s="193" t="s">
        <v>90</v>
      </c>
      <c r="E216" s="193" t="s">
        <v>91</v>
      </c>
      <c r="F216" s="189" t="s">
        <v>92</v>
      </c>
      <c r="G216" s="189"/>
      <c r="H216" s="194" t="s">
        <v>93</v>
      </c>
      <c r="I216" s="189" t="s">
        <v>94</v>
      </c>
      <c r="J216" s="195" t="s">
        <v>95</v>
      </c>
      <c r="K216" s="196" t="s">
        <v>96</v>
      </c>
      <c r="L216" s="189" t="s">
        <v>97</v>
      </c>
      <c r="M216" s="190" t="s">
        <v>98</v>
      </c>
      <c r="N216" s="190" t="s">
        <v>99</v>
      </c>
      <c r="O216" s="190" t="s">
        <v>100</v>
      </c>
      <c r="P216" s="190" t="s">
        <v>101</v>
      </c>
      <c r="Q216" s="197" t="s">
        <v>102</v>
      </c>
      <c r="R216" s="197" t="s">
        <v>103</v>
      </c>
      <c r="S216" s="198" t="s">
        <v>104</v>
      </c>
      <c r="T216" s="198" t="s">
        <v>105</v>
      </c>
      <c r="U216" s="199" t="s">
        <v>106</v>
      </c>
      <c r="V216" s="199" t="s">
        <v>107</v>
      </c>
      <c r="W216" s="199" t="s">
        <v>108</v>
      </c>
      <c r="X216" s="199" t="s">
        <v>109</v>
      </c>
      <c r="Y216" s="199" t="s">
        <v>110</v>
      </c>
      <c r="Z216" s="250"/>
    </row>
    <row r="217">
      <c r="A217" s="200" t="s">
        <v>152</v>
      </c>
      <c r="B217" s="245" t="s">
        <v>112</v>
      </c>
      <c r="C217" s="202" t="s">
        <v>113</v>
      </c>
      <c r="D217" s="202">
        <f t="shared" ref="D217:D220" si="66">E217+G217+F217</f>
      </c>
      <c r="E217" s="203">
        <v>0</v>
      </c>
      <c r="F217" s="202">
        <v>2142.8</v>
      </c>
      <c r="G217" s="202">
        <v>1522.01</v>
      </c>
      <c r="H217" s="204">
        <v>14</v>
      </c>
      <c r="I217" s="202">
        <v>4799.76</v>
      </c>
      <c r="J217" s="205">
        <f t="shared" ref="J217:J233" si="9">I217/D217</f>
      </c>
      <c r="K217" s="205">
        <f t="shared" ref="K217:K233" si="300">D217/H217</f>
      </c>
      <c r="L217" s="206">
        <f t="shared" ref="L217:L233" si="270">I217/H217</f>
      </c>
      <c r="M217" s="207">
        <f t="shared" ref="M217:M233" si="209">T217/S217</f>
      </c>
      <c r="N217" s="208">
        <f t="shared" ref="N217:N233" si="179">H217/X217</f>
      </c>
      <c r="O217" s="209">
        <f t="shared" ref="O217:O233" si="149">(Y217*1000)/D217</f>
      </c>
      <c r="P217" s="208">
        <f t="shared" ref="P217:P233" si="239">W217/V217</f>
      </c>
      <c r="Q217" s="210" t="s">
        <v>127</v>
      </c>
      <c r="R217" s="251" t="s">
        <v>141</v>
      </c>
      <c r="S217" s="212">
        <v>62757</v>
      </c>
      <c r="T217" s="212">
        <v>3256</v>
      </c>
      <c r="U217" s="213">
        <v>270</v>
      </c>
      <c r="V217" s="212">
        <v>5244</v>
      </c>
      <c r="W217" s="212">
        <v>704</v>
      </c>
      <c r="X217" s="214">
        <v>24</v>
      </c>
      <c r="Y217" s="214">
        <v>66</v>
      </c>
      <c r="Z217" s="250"/>
    </row>
    <row r="218">
      <c r="A218" s="200"/>
      <c r="B218" s="227" t="s">
        <v>112</v>
      </c>
      <c r="C218" s="202" t="s">
        <v>116</v>
      </c>
      <c r="D218" s="202">
        <f t="shared" si="66"/>
      </c>
      <c r="E218" s="202">
        <v>0</v>
      </c>
      <c r="F218" s="202">
        <v>1729.93</v>
      </c>
      <c r="G218" s="202">
        <v>1389.11</v>
      </c>
      <c r="H218" s="215">
        <v>9</v>
      </c>
      <c r="I218" s="202">
        <v>5926.1</v>
      </c>
      <c r="J218" s="206">
        <f t="shared" si="9"/>
      </c>
      <c r="K218" s="206">
        <f t="shared" si="300"/>
      </c>
      <c r="L218" s="205">
        <f t="shared" si="270"/>
      </c>
      <c r="M218" s="207">
        <f t="shared" si="209"/>
      </c>
      <c r="N218" s="208">
        <f t="shared" si="179"/>
      </c>
      <c r="O218" s="209">
        <f t="shared" si="149"/>
      </c>
      <c r="P218" s="208">
        <f t="shared" si="239"/>
      </c>
      <c r="Q218" s="210" t="s">
        <v>127</v>
      </c>
      <c r="R218" s="251" t="s">
        <v>141</v>
      </c>
      <c r="S218" s="216">
        <v>69159</v>
      </c>
      <c r="T218" s="216">
        <v>3096</v>
      </c>
      <c r="U218" s="212">
        <v>328</v>
      </c>
      <c r="V218" s="212">
        <v>5606</v>
      </c>
      <c r="W218" s="212">
        <v>805</v>
      </c>
      <c r="X218" s="214">
        <v>21</v>
      </c>
      <c r="Y218" s="217">
        <v>71</v>
      </c>
      <c r="Z218" s="250"/>
    </row>
    <row r="219">
      <c r="A219" s="200"/>
      <c r="B219" s="227" t="s">
        <v>112</v>
      </c>
      <c r="C219" s="202" t="s">
        <v>117</v>
      </c>
      <c r="D219" s="202">
        <f t="shared" si="66"/>
      </c>
      <c r="E219" s="218">
        <v>0</v>
      </c>
      <c r="F219" s="202">
        <v>2615.96</v>
      </c>
      <c r="G219" s="202">
        <v>2604.48</v>
      </c>
      <c r="H219" s="215">
        <v>18</v>
      </c>
      <c r="I219" s="202">
        <v>6179.66</v>
      </c>
      <c r="J219" s="206">
        <f t="shared" si="9"/>
      </c>
      <c r="K219" s="206">
        <f t="shared" si="300"/>
      </c>
      <c r="L219" s="206">
        <f t="shared" si="270"/>
      </c>
      <c r="M219" s="207">
        <f t="shared" si="209"/>
      </c>
      <c r="N219" s="208">
        <f t="shared" si="179"/>
      </c>
      <c r="O219" s="209">
        <f t="shared" si="149"/>
      </c>
      <c r="P219" s="208">
        <f t="shared" si="239"/>
      </c>
      <c r="Q219" s="210" t="s">
        <v>127</v>
      </c>
      <c r="R219" s="251" t="s">
        <v>141</v>
      </c>
      <c r="S219" s="217">
        <v>116220</v>
      </c>
      <c r="T219" s="217">
        <v>5526</v>
      </c>
      <c r="U219" s="217">
        <v>848</v>
      </c>
      <c r="V219" s="217">
        <v>10234</v>
      </c>
      <c r="W219" s="217">
        <v>1523</v>
      </c>
      <c r="X219" s="214">
        <v>34</v>
      </c>
      <c r="Y219" s="217">
        <v>150</v>
      </c>
      <c r="Z219" s="250"/>
    </row>
    <row r="220">
      <c r="A220" s="200"/>
      <c r="B220" s="227" t="s">
        <v>112</v>
      </c>
      <c r="C220" s="202" t="s">
        <v>118</v>
      </c>
      <c r="D220" s="202">
        <f t="shared" si="66"/>
      </c>
      <c r="E220" s="202">
        <v>0</v>
      </c>
      <c r="F220" s="202">
        <v>1863.03</v>
      </c>
      <c r="G220" s="202">
        <v>1935.46</v>
      </c>
      <c r="H220" s="215">
        <v>14</v>
      </c>
      <c r="I220" s="202">
        <v>5709.739999999998</v>
      </c>
      <c r="J220" s="206">
        <f t="shared" si="9"/>
      </c>
      <c r="K220" s="206">
        <f t="shared" si="300"/>
      </c>
      <c r="L220" s="206">
        <f t="shared" si="270"/>
      </c>
      <c r="M220" s="207">
        <f t="shared" si="209"/>
      </c>
      <c r="N220" s="208">
        <f t="shared" si="179"/>
      </c>
      <c r="O220" s="209">
        <f t="shared" si="149"/>
      </c>
      <c r="P220" s="208">
        <f t="shared" si="239"/>
      </c>
      <c r="Q220" s="210" t="s">
        <v>127</v>
      </c>
      <c r="R220" s="251" t="s">
        <v>141</v>
      </c>
      <c r="S220" s="217">
        <v>52674</v>
      </c>
      <c r="T220" s="217">
        <v>4172</v>
      </c>
      <c r="U220" s="217">
        <v>918</v>
      </c>
      <c r="V220" s="217">
        <v>7035</v>
      </c>
      <c r="W220" s="217">
        <v>1157</v>
      </c>
      <c r="X220" s="214">
        <v>32</v>
      </c>
      <c r="Y220" s="217">
        <v>105</v>
      </c>
      <c r="Z220" s="250"/>
    </row>
    <row r="221">
      <c r="A221" s="200"/>
      <c r="B221" s="219" t="s">
        <v>119</v>
      </c>
      <c r="C221" s="219"/>
      <c r="D221" s="220">
        <f>SUM(D217:D220)</f>
      </c>
      <c r="E221" s="220">
        <f>SUM(E217:E220)</f>
      </c>
      <c r="F221" s="220">
        <f>SUM(F217:G220)</f>
      </c>
      <c r="G221" s="220"/>
      <c r="H221" s="221">
        <f>SUM(H217:H220)</f>
      </c>
      <c r="I221" s="220">
        <f>SUM(I217:I220)</f>
      </c>
      <c r="J221" s="253">
        <f t="shared" si="9"/>
      </c>
      <c r="K221" s="223">
        <f t="shared" si="300"/>
      </c>
      <c r="L221" s="254">
        <f t="shared" si="270"/>
      </c>
      <c r="M221" s="225">
        <f t="shared" si="209"/>
      </c>
      <c r="N221" s="225">
        <f t="shared" si="179"/>
      </c>
      <c r="O221" s="226">
        <f t="shared" si="149"/>
      </c>
      <c r="P221" s="225">
        <f t="shared" si="239"/>
      </c>
      <c r="Q221" s="226"/>
      <c r="R221" s="226"/>
      <c r="S221" s="221">
        <f>SUM(S217:S220)</f>
      </c>
      <c r="T221" s="221">
        <f>SUM(T217:T220)</f>
      </c>
      <c r="U221" s="221">
        <f>SUM(U217:U220)</f>
      </c>
      <c r="V221" s="221">
        <f>SUM(V217:V220)</f>
      </c>
      <c r="W221" s="221">
        <f>SUM(W217:W220)</f>
      </c>
      <c r="X221" s="221">
        <f>SUM(X217:X220)</f>
      </c>
      <c r="Y221" s="221">
        <f>SUM(Y217:Y220)</f>
      </c>
      <c r="Z221" s="250"/>
    </row>
    <row r="222">
      <c r="A222" s="200"/>
      <c r="B222" s="245" t="s">
        <v>120</v>
      </c>
      <c r="C222" s="202" t="s">
        <v>121</v>
      </c>
      <c r="D222" s="202">
        <f t="shared" ref="D222:D225" si="67">E222+G222+F222</f>
      </c>
      <c r="E222" s="202">
        <v>0</v>
      </c>
      <c r="F222" s="202">
        <v>1725.52</v>
      </c>
      <c r="G222" s="202">
        <v>5006.35</v>
      </c>
      <c r="H222" s="215">
        <v>23</v>
      </c>
      <c r="I222" s="202">
        <v>9967.940000000002</v>
      </c>
      <c r="J222" s="206">
        <f t="shared" si="9"/>
      </c>
      <c r="K222" s="206">
        <f t="shared" si="300"/>
      </c>
      <c r="L222" s="206">
        <f t="shared" si="270"/>
      </c>
      <c r="M222" s="207">
        <f t="shared" si="209"/>
      </c>
      <c r="N222" s="208">
        <f t="shared" si="179"/>
      </c>
      <c r="O222" s="209">
        <f t="shared" si="149"/>
      </c>
      <c r="P222" s="208">
        <f t="shared" si="239"/>
      </c>
      <c r="Q222" s="210" t="s">
        <v>127</v>
      </c>
      <c r="R222" s="251" t="s">
        <v>141</v>
      </c>
      <c r="S222" s="228">
        <v>61243</v>
      </c>
      <c r="T222" s="228">
        <v>7165</v>
      </c>
      <c r="U222" s="228">
        <v>1892</v>
      </c>
      <c r="V222" s="228">
        <v>11415</v>
      </c>
      <c r="W222" s="228">
        <v>1885</v>
      </c>
      <c r="X222" s="229">
        <v>48</v>
      </c>
      <c r="Y222" s="228">
        <v>282</v>
      </c>
      <c r="Z222" s="250"/>
    </row>
    <row r="223">
      <c r="A223" s="200"/>
      <c r="B223" s="201" t="s">
        <v>120</v>
      </c>
      <c r="C223" s="202" t="s">
        <v>122</v>
      </c>
      <c r="D223" s="202">
        <f t="shared" si="67"/>
      </c>
      <c r="E223" s="202">
        <v>0</v>
      </c>
      <c r="F223" s="202">
        <v>2297.8</v>
      </c>
      <c r="G223" s="202">
        <v>1531.28</v>
      </c>
      <c r="H223" s="215">
        <v>11</v>
      </c>
      <c r="I223" s="202">
        <v>2750.1799999999967</v>
      </c>
      <c r="J223" s="206">
        <f t="shared" si="9"/>
      </c>
      <c r="K223" s="206">
        <f t="shared" si="300"/>
      </c>
      <c r="L223" s="206">
        <f t="shared" si="270"/>
      </c>
      <c r="M223" s="207">
        <f t="shared" si="209"/>
      </c>
      <c r="N223" s="208">
        <f t="shared" si="179"/>
      </c>
      <c r="O223" s="209">
        <f t="shared" si="149"/>
      </c>
      <c r="P223" s="208">
        <f t="shared" si="239"/>
      </c>
      <c r="Q223" s="210" t="s">
        <v>127</v>
      </c>
      <c r="R223" s="251" t="s">
        <v>141</v>
      </c>
      <c r="S223" s="228">
        <v>34887</v>
      </c>
      <c r="T223" s="228">
        <v>3953</v>
      </c>
      <c r="U223" s="228">
        <v>778</v>
      </c>
      <c r="V223" s="228">
        <v>7951</v>
      </c>
      <c r="W223" s="228">
        <v>1284</v>
      </c>
      <c r="X223" s="229">
        <v>22</v>
      </c>
      <c r="Y223" s="228">
        <v>100</v>
      </c>
      <c r="Z223" s="250"/>
    </row>
    <row r="224">
      <c r="A224" s="200"/>
      <c r="B224" s="201" t="s">
        <v>120</v>
      </c>
      <c r="C224" s="202" t="s">
        <v>123</v>
      </c>
      <c r="D224" s="202">
        <f t="shared" si="67"/>
      </c>
      <c r="E224" s="202">
        <v>0</v>
      </c>
      <c r="F224" s="202">
        <v>996.41</v>
      </c>
      <c r="G224" s="202">
        <v>1125.58</v>
      </c>
      <c r="H224" s="215">
        <v>4</v>
      </c>
      <c r="I224" s="202">
        <v>860.1600000000035</v>
      </c>
      <c r="J224" s="206">
        <f t="shared" si="9"/>
      </c>
      <c r="K224" s="206">
        <f t="shared" si="300"/>
      </c>
      <c r="L224" s="206">
        <f t="shared" si="270"/>
      </c>
      <c r="M224" s="207">
        <f t="shared" si="209"/>
      </c>
      <c r="N224" s="208">
        <f t="shared" si="179"/>
      </c>
      <c r="O224" s="209">
        <f t="shared" si="149"/>
      </c>
      <c r="P224" s="208">
        <f t="shared" si="239"/>
      </c>
      <c r="Q224" s="210" t="s">
        <v>127</v>
      </c>
      <c r="R224" s="251" t="s">
        <v>141</v>
      </c>
      <c r="S224" s="228">
        <v>23763</v>
      </c>
      <c r="T224" s="228">
        <v>1806</v>
      </c>
      <c r="U224" s="228">
        <v>450</v>
      </c>
      <c r="V224" s="228">
        <v>2578</v>
      </c>
      <c r="W224" s="228">
        <v>353</v>
      </c>
      <c r="X224" s="229">
        <v>9</v>
      </c>
      <c r="Y224" s="229">
        <v>69</v>
      </c>
      <c r="Z224" s="250"/>
    </row>
    <row r="225">
      <c r="A225" s="200"/>
      <c r="B225" s="201" t="s">
        <v>120</v>
      </c>
      <c r="C225" s="202" t="s">
        <v>124</v>
      </c>
      <c r="D225" s="202">
        <f t="shared" si="67"/>
      </c>
      <c r="E225" s="202">
        <v>0</v>
      </c>
      <c r="F225" s="202">
        <v>1816.19</v>
      </c>
      <c r="G225" s="202">
        <v>432.62</v>
      </c>
      <c r="H225" s="215">
        <v>7</v>
      </c>
      <c r="I225" s="202">
        <v>1476.1200000000026</v>
      </c>
      <c r="J225" s="206">
        <f t="shared" si="9"/>
      </c>
      <c r="K225" s="206">
        <f t="shared" si="300"/>
      </c>
      <c r="L225" s="206">
        <f t="shared" si="270"/>
      </c>
      <c r="M225" s="207">
        <f t="shared" si="209"/>
      </c>
      <c r="N225" s="208">
        <f t="shared" si="179"/>
      </c>
      <c r="O225" s="209">
        <f t="shared" si="149"/>
      </c>
      <c r="P225" s="208">
        <f t="shared" si="239"/>
      </c>
      <c r="Q225" s="210" t="s">
        <v>127</v>
      </c>
      <c r="R225" s="251" t="s">
        <v>141</v>
      </c>
      <c r="S225" s="228">
        <v>44503</v>
      </c>
      <c r="T225" s="228">
        <v>1601</v>
      </c>
      <c r="U225" s="228">
        <v>313</v>
      </c>
      <c r="V225" s="228">
        <v>2891</v>
      </c>
      <c r="W225" s="228">
        <v>449</v>
      </c>
      <c r="X225" s="229">
        <v>12</v>
      </c>
      <c r="Y225" s="228">
        <v>58</v>
      </c>
      <c r="Z225" s="255"/>
    </row>
    <row r="226">
      <c r="A226" s="200"/>
      <c r="B226" s="219" t="s">
        <v>119</v>
      </c>
      <c r="C226" s="219"/>
      <c r="D226" s="220">
        <f>SUM(D222:D225)</f>
      </c>
      <c r="E226" s="220">
        <f>SUM(E222:E225)</f>
      </c>
      <c r="F226" s="220">
        <f>SUM(F222:G225)</f>
      </c>
      <c r="G226" s="220"/>
      <c r="H226" s="221">
        <f>SUM(H222:H225)</f>
      </c>
      <c r="I226" s="220">
        <f>SUM(I222:I225)</f>
      </c>
      <c r="J226" s="222">
        <f t="shared" si="9"/>
      </c>
      <c r="K226" s="223">
        <f t="shared" si="300"/>
      </c>
      <c r="L226" s="224">
        <f t="shared" si="270"/>
      </c>
      <c r="M226" s="225">
        <f t="shared" si="209"/>
      </c>
      <c r="N226" s="225">
        <f t="shared" si="179"/>
      </c>
      <c r="O226" s="226">
        <f t="shared" si="149"/>
      </c>
      <c r="P226" s="225">
        <f t="shared" si="239"/>
      </c>
      <c r="Q226" s="226"/>
      <c r="R226" s="226"/>
      <c r="S226" s="221">
        <f>SUM(S222:S225)</f>
      </c>
      <c r="T226" s="221">
        <f>SUM(T222:T225)</f>
      </c>
      <c r="U226" s="221">
        <f>SUM(U222:U225)</f>
      </c>
      <c r="V226" s="221">
        <f>SUM(V222:V225)</f>
      </c>
      <c r="W226" s="221">
        <f>SUM(W222:W225)</f>
      </c>
      <c r="X226" s="221">
        <f>SUM(X222:X225)</f>
      </c>
      <c r="Y226" s="221">
        <f>SUM(Y222:Y225)</f>
      </c>
      <c r="Z226" s="250"/>
    </row>
    <row r="227">
      <c r="A227" s="200"/>
      <c r="B227" s="245" t="s">
        <v>125</v>
      </c>
      <c r="C227" s="202" t="s">
        <v>126</v>
      </c>
      <c r="D227" s="202">
        <f t="shared" ref="D227:D228" si="68">E227+G227+F227</f>
      </c>
      <c r="E227" s="202">
        <v>0</v>
      </c>
      <c r="F227" s="203">
        <v>3683.78</v>
      </c>
      <c r="G227" s="203">
        <v>2499.14</v>
      </c>
      <c r="H227" s="204">
        <v>13</v>
      </c>
      <c r="I227" s="203">
        <v>4587.619999999995</v>
      </c>
      <c r="J227" s="206">
        <f t="shared" si="9"/>
      </c>
      <c r="K227" s="206">
        <f t="shared" si="300"/>
      </c>
      <c r="L227" s="206">
        <f t="shared" si="270"/>
      </c>
      <c r="M227" s="207">
        <f t="shared" si="209"/>
      </c>
      <c r="N227" s="208">
        <f t="shared" si="179"/>
      </c>
      <c r="O227" s="209">
        <f t="shared" si="149"/>
      </c>
      <c r="P227" s="208">
        <f t="shared" si="239"/>
      </c>
      <c r="Q227" s="210" t="s">
        <v>127</v>
      </c>
      <c r="R227" s="251" t="s">
        <v>141</v>
      </c>
      <c r="S227" s="230">
        <v>71529</v>
      </c>
      <c r="T227" s="230">
        <v>5654</v>
      </c>
      <c r="U227" s="230">
        <v>1266</v>
      </c>
      <c r="V227" s="230">
        <v>8616</v>
      </c>
      <c r="W227" s="230">
        <v>1417</v>
      </c>
      <c r="X227" s="234">
        <v>41</v>
      </c>
      <c r="Y227" s="229">
        <v>194</v>
      </c>
      <c r="Z227" s="250"/>
    </row>
    <row r="228">
      <c r="A228" s="200"/>
      <c r="B228" s="201" t="s">
        <v>125</v>
      </c>
      <c r="C228" s="202" t="s">
        <v>131</v>
      </c>
      <c r="D228" s="202">
        <f t="shared" si="68"/>
      </c>
      <c r="E228" s="203">
        <v>0</v>
      </c>
      <c r="F228" s="203">
        <f>3.16+2169.14</f>
      </c>
      <c r="G228" s="203">
        <f>134.14+3812.02</f>
      </c>
      <c r="H228" s="204">
        <v>16</v>
      </c>
      <c r="I228" s="203">
        <v>8110.139999999999</v>
      </c>
      <c r="J228" s="206">
        <f t="shared" si="9"/>
      </c>
      <c r="K228" s="206">
        <f t="shared" si="300"/>
      </c>
      <c r="L228" s="206">
        <f t="shared" si="270"/>
      </c>
      <c r="M228" s="207">
        <f t="shared" si="209"/>
      </c>
      <c r="N228" s="208">
        <f t="shared" si="179"/>
      </c>
      <c r="O228" s="209">
        <f t="shared" si="149"/>
      </c>
      <c r="P228" s="208">
        <f t="shared" si="239"/>
      </c>
      <c r="Q228" s="210" t="s">
        <v>114</v>
      </c>
      <c r="R228" s="232" t="s">
        <v>148</v>
      </c>
      <c r="S228" s="229">
        <v>73565</v>
      </c>
      <c r="T228" s="229">
        <v>5710</v>
      </c>
      <c r="U228" s="229">
        <v>1129</v>
      </c>
      <c r="V228" s="229">
        <v>10359</v>
      </c>
      <c r="W228" s="229">
        <v>1611</v>
      </c>
      <c r="X228" s="229">
        <v>35</v>
      </c>
      <c r="Y228" s="229">
        <v>198</v>
      </c>
      <c r="Z228" s="250"/>
    </row>
    <row r="229">
      <c r="A229" s="200"/>
      <c r="B229" s="219" t="s">
        <v>119</v>
      </c>
      <c r="C229" s="219"/>
      <c r="D229" s="220">
        <f>SUM(D227:D228)</f>
      </c>
      <c r="E229" s="220">
        <f>SUM(E227:E228)</f>
      </c>
      <c r="F229" s="220">
        <f>SUM(F227:G228)</f>
      </c>
      <c r="G229" s="220"/>
      <c r="H229" s="221">
        <f>SUM(H227:H228)</f>
      </c>
      <c r="I229" s="220">
        <f>SUM(I227:I228)</f>
      </c>
      <c r="J229" s="222">
        <f t="shared" si="9"/>
      </c>
      <c r="K229" s="223">
        <f t="shared" si="300"/>
      </c>
      <c r="L229" s="224">
        <f t="shared" si="270"/>
      </c>
      <c r="M229" s="225">
        <f t="shared" si="209"/>
      </c>
      <c r="N229" s="225">
        <f t="shared" si="179"/>
      </c>
      <c r="O229" s="226">
        <f t="shared" si="149"/>
      </c>
      <c r="P229" s="225">
        <f t="shared" si="239"/>
      </c>
      <c r="Q229" s="226"/>
      <c r="R229" s="226"/>
      <c r="S229" s="221">
        <f>SUM(S227:S228)</f>
      </c>
      <c r="T229" s="221">
        <f>SUM(T227:T228)</f>
      </c>
      <c r="U229" s="221">
        <f>SUM(U227:U228)</f>
      </c>
      <c r="V229" s="221">
        <f>SUM(V227:V228)</f>
      </c>
      <c r="W229" s="221">
        <f>SUM(W227:W228)</f>
      </c>
      <c r="X229" s="221">
        <f>SUM(X227:X228)</f>
      </c>
      <c r="Y229" s="221">
        <f>SUM(Y227:Y228)</f>
      </c>
      <c r="Z229" s="250"/>
    </row>
    <row r="230">
      <c r="A230" s="200"/>
      <c r="B230" s="245" t="s">
        <v>132</v>
      </c>
      <c r="C230" s="202" t="s">
        <v>134</v>
      </c>
      <c r="D230" s="202">
        <f t="shared" ref="D230:D231" si="69">E230+G230+F230</f>
      </c>
      <c r="E230" s="203">
        <v>0</v>
      </c>
      <c r="F230" s="203">
        <v>4368.26</v>
      </c>
      <c r="G230" s="203">
        <v>2047.21</v>
      </c>
      <c r="H230" s="204">
        <v>19</v>
      </c>
      <c r="I230" s="203">
        <v>5378.419999999998</v>
      </c>
      <c r="J230" s="206">
        <f t="shared" si="9"/>
      </c>
      <c r="K230" s="206">
        <f t="shared" si="300"/>
      </c>
      <c r="L230" s="206">
        <f t="shared" si="270"/>
      </c>
      <c r="M230" s="207">
        <f t="shared" si="209"/>
      </c>
      <c r="N230" s="208">
        <f t="shared" si="179"/>
      </c>
      <c r="O230" s="209">
        <f t="shared" si="149"/>
      </c>
      <c r="P230" s="208">
        <f t="shared" si="239"/>
      </c>
      <c r="Q230" s="210" t="s">
        <v>114</v>
      </c>
      <c r="R230" s="232" t="s">
        <v>148</v>
      </c>
      <c r="S230" s="229">
        <v>87376</v>
      </c>
      <c r="T230" s="229">
        <v>4514</v>
      </c>
      <c r="U230" s="229">
        <v>1034</v>
      </c>
      <c r="V230" s="229">
        <v>7872</v>
      </c>
      <c r="W230" s="229">
        <v>1168</v>
      </c>
      <c r="X230" s="229">
        <v>44</v>
      </c>
      <c r="Y230" s="229">
        <v>153</v>
      </c>
      <c r="Z230" s="250"/>
    </row>
    <row r="231">
      <c r="A231" s="200"/>
      <c r="B231" s="201" t="s">
        <v>132</v>
      </c>
      <c r="C231" s="202" t="s">
        <v>135</v>
      </c>
      <c r="D231" s="202">
        <f t="shared" si="69"/>
      </c>
      <c r="E231" s="203">
        <v>0</v>
      </c>
      <c r="F231" s="203">
        <f>2267.33+1.58+27.66+0.04</f>
      </c>
      <c r="G231" s="203">
        <v>3087.26</v>
      </c>
      <c r="H231" s="204">
        <v>11</v>
      </c>
      <c r="I231" s="203">
        <v>2269.100000000006</v>
      </c>
      <c r="J231" s="206">
        <f t="shared" si="9"/>
      </c>
      <c r="K231" s="206">
        <f t="shared" si="300"/>
      </c>
      <c r="L231" s="206">
        <f t="shared" si="270"/>
      </c>
      <c r="M231" s="207">
        <f t="shared" si="209"/>
      </c>
      <c r="N231" s="208">
        <f t="shared" si="179"/>
      </c>
      <c r="O231" s="209">
        <f t="shared" si="149"/>
      </c>
      <c r="P231" s="208">
        <f t="shared" si="239"/>
      </c>
      <c r="Q231" s="210" t="s">
        <v>114</v>
      </c>
      <c r="R231" s="232" t="s">
        <v>148</v>
      </c>
      <c r="S231" s="233">
        <v>55558</v>
      </c>
      <c r="T231" s="233">
        <v>5852</v>
      </c>
      <c r="U231" s="233">
        <v>1183</v>
      </c>
      <c r="V231" s="233">
        <v>12266</v>
      </c>
      <c r="W231" s="233">
        <v>1766</v>
      </c>
      <c r="X231" s="249"/>
      <c r="Y231" s="229"/>
      <c r="Z231" s="250"/>
    </row>
    <row r="232">
      <c r="A232" s="200"/>
      <c r="B232" s="219" t="s">
        <v>119</v>
      </c>
      <c r="C232" s="219"/>
      <c r="D232" s="220">
        <f>SUM(D230:D231)</f>
      </c>
      <c r="E232" s="220">
        <f>SUM(E230:E231)</f>
      </c>
      <c r="F232" s="220">
        <f>SUM(F230:G231)</f>
      </c>
      <c r="G232" s="220"/>
      <c r="H232" s="221">
        <f>SUM(H230:H231)</f>
      </c>
      <c r="I232" s="220">
        <f>SUM(I230:I231)</f>
      </c>
      <c r="J232" s="222">
        <f t="shared" si="9"/>
      </c>
      <c r="K232" s="223">
        <f t="shared" si="300"/>
      </c>
      <c r="L232" s="224">
        <f t="shared" si="270"/>
      </c>
      <c r="M232" s="225">
        <f t="shared" si="209"/>
      </c>
      <c r="N232" s="225">
        <f t="shared" si="179"/>
      </c>
      <c r="O232" s="226">
        <f t="shared" si="149"/>
      </c>
      <c r="P232" s="225">
        <f t="shared" si="239"/>
      </c>
      <c r="Q232" s="226"/>
      <c r="R232" s="235"/>
      <c r="S232" s="220">
        <f>SUM(S230:S231)</f>
      </c>
      <c r="T232" s="220">
        <f>SUM(T230:T231)</f>
      </c>
      <c r="U232" s="220">
        <f>SUM(U230:U231)</f>
      </c>
      <c r="V232" s="220">
        <f>SUM(V230:V231)</f>
      </c>
      <c r="W232" s="220">
        <f>SUM(W230:W231)</f>
      </c>
      <c r="X232" s="220">
        <f>SUM(X230:X231)</f>
      </c>
      <c r="Y232" s="220">
        <f>SUM(Y230:Y231)</f>
      </c>
      <c r="Z232" s="250"/>
    </row>
    <row r="233">
      <c r="A233" s="200"/>
      <c r="B233" s="236" t="s">
        <v>138</v>
      </c>
      <c r="C233" s="236"/>
      <c r="D233" s="237">
        <f>D232+D229+D226+D221</f>
      </c>
      <c r="E233" s="237">
        <f>E232+E229+E226+E221</f>
      </c>
      <c r="F233" s="237">
        <f>F232+F229+F226+F221</f>
      </c>
      <c r="G233" s="237"/>
      <c r="H233" s="238">
        <f>H232+H229+H226+H221</f>
      </c>
      <c r="I233" s="237">
        <f>I232+I229+I226+I221</f>
      </c>
      <c r="J233" s="239">
        <f t="shared" si="9"/>
      </c>
      <c r="K233" s="239">
        <f t="shared" si="300"/>
      </c>
      <c r="L233" s="239">
        <f t="shared" si="270"/>
      </c>
      <c r="M233" s="240">
        <f t="shared" si="209"/>
      </c>
      <c r="N233" s="240">
        <f t="shared" si="179"/>
      </c>
      <c r="O233" s="239">
        <f t="shared" si="149"/>
      </c>
      <c r="P233" s="240">
        <f t="shared" si="239"/>
      </c>
      <c r="Q233" s="241"/>
      <c r="R233" s="242"/>
      <c r="S233" s="243">
        <f>S232+S229+S226+S221</f>
      </c>
      <c r="T233" s="243">
        <f>T232+T229+T226+T221</f>
      </c>
      <c r="U233" s="243">
        <f>U232+U229+U226+U221</f>
      </c>
      <c r="V233" s="243">
        <f>V232+V229+V226+V221</f>
      </c>
      <c r="W233" s="243">
        <f>W232+W229+W226+W221</f>
      </c>
      <c r="X233" s="244">
        <f>X232+X229+X226+X221</f>
      </c>
      <c r="Y233" s="238">
        <f>Y232+Y229+Y226+Y221</f>
      </c>
      <c r="Z233" s="255"/>
    </row>
    <row r="234">
      <c r="A234" s="188" t="s">
        <v>83</v>
      </c>
      <c r="B234" s="188"/>
      <c r="C234" s="188"/>
      <c r="D234" s="189" t="s">
        <v>84</v>
      </c>
      <c r="E234" s="189"/>
      <c r="F234" s="189"/>
      <c r="G234" s="189"/>
      <c r="H234" s="189"/>
      <c r="I234" s="189"/>
      <c r="J234" s="189"/>
      <c r="K234" s="189"/>
      <c r="L234" s="189"/>
      <c r="M234" s="190" t="s">
        <v>85</v>
      </c>
      <c r="N234" s="190"/>
      <c r="O234" s="190"/>
      <c r="P234" s="190"/>
      <c r="Q234" s="190"/>
      <c r="R234" s="190"/>
      <c r="S234" s="191" t="s">
        <v>86</v>
      </c>
      <c r="T234" s="191"/>
      <c r="U234" s="191"/>
      <c r="V234" s="191"/>
      <c r="W234" s="191"/>
      <c r="X234" s="191"/>
      <c r="Y234" s="191"/>
      <c r="Z234" s="250"/>
    </row>
    <row r="235">
      <c r="A235" s="192" t="s">
        <v>87</v>
      </c>
      <c r="B235" s="188" t="s">
        <v>88</v>
      </c>
      <c r="C235" s="188" t="s">
        <v>89</v>
      </c>
      <c r="D235" s="193" t="s">
        <v>90</v>
      </c>
      <c r="E235" s="193" t="s">
        <v>91</v>
      </c>
      <c r="F235" s="189" t="s">
        <v>92</v>
      </c>
      <c r="G235" s="189"/>
      <c r="H235" s="194" t="s">
        <v>93</v>
      </c>
      <c r="I235" s="189" t="s">
        <v>94</v>
      </c>
      <c r="J235" s="195" t="s">
        <v>95</v>
      </c>
      <c r="K235" s="196" t="s">
        <v>96</v>
      </c>
      <c r="L235" s="189" t="s">
        <v>97</v>
      </c>
      <c r="M235" s="190" t="s">
        <v>98</v>
      </c>
      <c r="N235" s="190" t="s">
        <v>99</v>
      </c>
      <c r="O235" s="190" t="s">
        <v>100</v>
      </c>
      <c r="P235" s="190" t="s">
        <v>101</v>
      </c>
      <c r="Q235" s="197" t="s">
        <v>102</v>
      </c>
      <c r="R235" s="197" t="s">
        <v>103</v>
      </c>
      <c r="S235" s="198" t="s">
        <v>104</v>
      </c>
      <c r="T235" s="198" t="s">
        <v>105</v>
      </c>
      <c r="U235" s="199" t="s">
        <v>106</v>
      </c>
      <c r="V235" s="199" t="s">
        <v>107</v>
      </c>
      <c r="W235" s="199" t="s">
        <v>108</v>
      </c>
      <c r="X235" s="199" t="s">
        <v>109</v>
      </c>
      <c r="Y235" s="199" t="s">
        <v>110</v>
      </c>
      <c r="Z235" s="250"/>
    </row>
    <row r="236">
      <c r="A236" s="200" t="s">
        <v>153</v>
      </c>
      <c r="B236" s="227" t="s">
        <v>120</v>
      </c>
      <c r="C236" s="202" t="s">
        <v>113</v>
      </c>
      <c r="D236" s="202">
        <f t="shared" ref="D236:D239" si="70">E236+G236+F236</f>
      </c>
      <c r="E236" s="202">
        <v>0</v>
      </c>
      <c r="F236" s="202">
        <v>752.1</v>
      </c>
      <c r="G236" s="202">
        <v>2629.57</v>
      </c>
      <c r="H236" s="204">
        <v>15</v>
      </c>
      <c r="I236" s="202">
        <v>5977.8</v>
      </c>
      <c r="J236" s="205">
        <f t="shared" ref="J236:J245" si="10">I236/D236</f>
      </c>
      <c r="K236" s="205">
        <f t="shared" ref="K236:K245" si="301">D236/H236</f>
      </c>
      <c r="L236" s="206">
        <f t="shared" ref="L236:L245" si="271">I236/H236</f>
      </c>
      <c r="M236" s="207">
        <f t="shared" ref="M236:M245" si="210">T236/S236</f>
      </c>
      <c r="N236" s="208">
        <f t="shared" ref="N236:N245" si="180">H236/X236</f>
      </c>
      <c r="O236" s="209">
        <f t="shared" ref="O236:O245" si="150">(Y236*1000)/D236</f>
      </c>
      <c r="P236" s="208">
        <f t="shared" ref="P236:P245" si="240">W236/V236</f>
      </c>
      <c r="Q236" s="210" t="s">
        <v>127</v>
      </c>
      <c r="R236" s="251" t="s">
        <v>141</v>
      </c>
      <c r="S236" s="212">
        <v>30172</v>
      </c>
      <c r="T236" s="212">
        <v>2613</v>
      </c>
      <c r="U236" s="213">
        <v>633</v>
      </c>
      <c r="V236" s="212">
        <v>4078</v>
      </c>
      <c r="W236" s="212">
        <v>682</v>
      </c>
      <c r="X236" s="214">
        <v>31</v>
      </c>
      <c r="Y236" s="214">
        <v>106</v>
      </c>
      <c r="Z236" s="250"/>
    </row>
    <row r="237">
      <c r="A237" s="200"/>
      <c r="B237" s="227" t="s">
        <v>120</v>
      </c>
      <c r="C237" s="202" t="s">
        <v>116</v>
      </c>
      <c r="D237" s="202">
        <f t="shared" si="70"/>
      </c>
      <c r="E237" s="203">
        <v>0</v>
      </c>
      <c r="F237" s="202">
        <v>752.82</v>
      </c>
      <c r="G237" s="202">
        <v>6103.51</v>
      </c>
      <c r="H237" s="215">
        <v>15</v>
      </c>
      <c r="I237" s="202">
        <v>3619.8399999999992</v>
      </c>
      <c r="J237" s="206">
        <f t="shared" si="10"/>
      </c>
      <c r="K237" s="206">
        <f t="shared" si="301"/>
      </c>
      <c r="L237" s="205">
        <f t="shared" si="271"/>
      </c>
      <c r="M237" s="207">
        <f t="shared" si="210"/>
      </c>
      <c r="N237" s="208">
        <f t="shared" si="180"/>
      </c>
      <c r="O237" s="209">
        <f t="shared" si="150"/>
      </c>
      <c r="P237" s="208">
        <f t="shared" si="240"/>
      </c>
      <c r="Q237" s="210" t="s">
        <v>127</v>
      </c>
      <c r="R237" s="251" t="s">
        <v>141</v>
      </c>
      <c r="S237" s="216">
        <v>50343</v>
      </c>
      <c r="T237" s="216">
        <v>4513</v>
      </c>
      <c r="U237" s="212">
        <v>1203</v>
      </c>
      <c r="V237" s="212">
        <v>6314</v>
      </c>
      <c r="W237" s="212">
        <v>1134</v>
      </c>
      <c r="X237" s="214">
        <v>30</v>
      </c>
      <c r="Y237" s="217">
        <v>207</v>
      </c>
      <c r="Z237" s="250"/>
    </row>
    <row r="238">
      <c r="A238" s="200"/>
      <c r="B238" s="227" t="s">
        <v>120</v>
      </c>
      <c r="C238" s="202" t="s">
        <v>117</v>
      </c>
      <c r="D238" s="202">
        <f t="shared" si="70"/>
      </c>
      <c r="E238" s="218">
        <v>0</v>
      </c>
      <c r="F238" s="202">
        <v>2732.19</v>
      </c>
      <c r="G238" s="202">
        <v>824.94</v>
      </c>
      <c r="H238" s="215">
        <v>24</v>
      </c>
      <c r="I238" s="202">
        <v>8376.98</v>
      </c>
      <c r="J238" s="206">
        <f t="shared" si="10"/>
      </c>
      <c r="K238" s="206">
        <f t="shared" si="301"/>
      </c>
      <c r="L238" s="206">
        <f t="shared" si="271"/>
      </c>
      <c r="M238" s="207">
        <f t="shared" si="210"/>
      </c>
      <c r="N238" s="208">
        <f t="shared" si="180"/>
      </c>
      <c r="O238" s="209">
        <f t="shared" si="150"/>
      </c>
      <c r="P238" s="208">
        <f t="shared" si="240"/>
      </c>
      <c r="Q238" s="210" t="s">
        <v>127</v>
      </c>
      <c r="R238" s="251" t="s">
        <v>141</v>
      </c>
      <c r="S238" s="217">
        <v>31033</v>
      </c>
      <c r="T238" s="217">
        <v>3248</v>
      </c>
      <c r="U238" s="217">
        <v>614</v>
      </c>
      <c r="V238" s="217">
        <v>6287</v>
      </c>
      <c r="W238" s="217">
        <v>1087</v>
      </c>
      <c r="X238" s="214">
        <v>37</v>
      </c>
      <c r="Y238" s="217">
        <v>120</v>
      </c>
      <c r="Z238" s="250"/>
    </row>
    <row r="239">
      <c r="A239" s="200"/>
      <c r="B239" s="227" t="s">
        <v>120</v>
      </c>
      <c r="C239" s="202" t="s">
        <v>118</v>
      </c>
      <c r="D239" s="202">
        <f t="shared" si="70"/>
      </c>
      <c r="E239" s="202">
        <v>0</v>
      </c>
      <c r="F239" s="202">
        <v>3338.91</v>
      </c>
      <c r="G239" s="202">
        <v>1351.64</v>
      </c>
      <c r="H239" s="215">
        <v>16</v>
      </c>
      <c r="I239" s="202">
        <v>4828.799999999999</v>
      </c>
      <c r="J239" s="206">
        <f t="shared" si="10"/>
      </c>
      <c r="K239" s="206">
        <f t="shared" si="301"/>
      </c>
      <c r="L239" s="206">
        <f t="shared" si="271"/>
      </c>
      <c r="M239" s="207">
        <f t="shared" si="210"/>
      </c>
      <c r="N239" s="208">
        <f t="shared" si="180"/>
      </c>
      <c r="O239" s="209">
        <f t="shared" si="150"/>
      </c>
      <c r="P239" s="208">
        <f t="shared" si="240"/>
      </c>
      <c r="Q239" s="210" t="s">
        <v>127</v>
      </c>
      <c r="R239" s="251" t="s">
        <v>141</v>
      </c>
      <c r="S239" s="217">
        <v>36036</v>
      </c>
      <c r="T239" s="217">
        <v>2798</v>
      </c>
      <c r="U239" s="217">
        <v>717</v>
      </c>
      <c r="V239" s="217">
        <v>3941</v>
      </c>
      <c r="W239" s="217">
        <v>768</v>
      </c>
      <c r="X239" s="214">
        <v>27</v>
      </c>
      <c r="Y239" s="217">
        <v>108</v>
      </c>
      <c r="Z239" s="250"/>
    </row>
    <row r="240">
      <c r="A240" s="200"/>
      <c r="B240" s="219" t="s">
        <v>119</v>
      </c>
      <c r="C240" s="219"/>
      <c r="D240" s="220">
        <f>SUM(D236:D239)</f>
      </c>
      <c r="E240" s="220">
        <f>SUM(E236:E239)</f>
      </c>
      <c r="F240" s="220">
        <f>SUM(F236:G239)</f>
      </c>
      <c r="G240" s="220"/>
      <c r="H240" s="221">
        <f>SUM(H236:H239)</f>
      </c>
      <c r="I240" s="220">
        <f>SUM(I236:I239)</f>
      </c>
      <c r="J240" s="253">
        <f t="shared" si="10"/>
      </c>
      <c r="K240" s="223">
        <f t="shared" si="301"/>
      </c>
      <c r="L240" s="254">
        <f t="shared" si="271"/>
      </c>
      <c r="M240" s="225">
        <f t="shared" si="210"/>
      </c>
      <c r="N240" s="225">
        <f t="shared" si="180"/>
      </c>
      <c r="O240" s="226">
        <f t="shared" si="150"/>
      </c>
      <c r="P240" s="225">
        <f t="shared" si="240"/>
      </c>
      <c r="Q240" s="226"/>
      <c r="R240" s="226"/>
      <c r="S240" s="221">
        <f>SUM(S236:S239)</f>
      </c>
      <c r="T240" s="221">
        <f>SUM(T236:T239)</f>
      </c>
      <c r="U240" s="221">
        <f>SUM(U236:U239)</f>
      </c>
      <c r="V240" s="221">
        <f>SUM(V236:V239)</f>
      </c>
      <c r="W240" s="221">
        <f>SUM(W236:W239)</f>
      </c>
      <c r="X240" s="221">
        <f>SUM(X236:X239)</f>
      </c>
      <c r="Y240" s="221">
        <f>SUM(Y236:Y239)</f>
      </c>
      <c r="Z240" s="250"/>
    </row>
    <row r="241">
      <c r="A241" s="200"/>
      <c r="B241" s="201" t="s">
        <v>132</v>
      </c>
      <c r="C241" s="202" t="s">
        <v>121</v>
      </c>
      <c r="D241" s="202">
        <f t="shared" ref="D241:D243" si="71">E241+G241+F241</f>
      </c>
      <c r="E241" s="202">
        <v>0</v>
      </c>
      <c r="F241" s="202">
        <v>2315.67</v>
      </c>
      <c r="G241" s="202">
        <v>903.11</v>
      </c>
      <c r="H241" s="215">
        <v>5</v>
      </c>
      <c r="I241" s="202">
        <v>1056.8400000000001</v>
      </c>
      <c r="J241" s="206">
        <f t="shared" si="10"/>
      </c>
      <c r="K241" s="206">
        <f t="shared" si="301"/>
      </c>
      <c r="L241" s="206">
        <f t="shared" si="271"/>
      </c>
      <c r="M241" s="207">
        <f t="shared" si="210"/>
      </c>
      <c r="N241" s="208">
        <f t="shared" si="180"/>
      </c>
      <c r="O241" s="209">
        <f t="shared" si="150"/>
      </c>
      <c r="P241" s="208">
        <f t="shared" si="240"/>
      </c>
      <c r="Q241" s="210" t="s">
        <v>127</v>
      </c>
      <c r="R241" s="251" t="s">
        <v>141</v>
      </c>
      <c r="S241" s="228">
        <v>34575</v>
      </c>
      <c r="T241" s="228">
        <v>2208</v>
      </c>
      <c r="U241" s="228">
        <v>493</v>
      </c>
      <c r="V241" s="228">
        <v>3473</v>
      </c>
      <c r="W241" s="228">
        <v>574</v>
      </c>
      <c r="X241" s="229">
        <v>17</v>
      </c>
      <c r="Y241" s="228">
        <v>83</v>
      </c>
      <c r="Z241" s="250"/>
    </row>
    <row r="242">
      <c r="A242" s="200"/>
      <c r="B242" s="201" t="s">
        <v>132</v>
      </c>
      <c r="C242" s="202" t="s">
        <v>122</v>
      </c>
      <c r="D242" s="202">
        <f t="shared" si="71"/>
      </c>
      <c r="E242" s="202">
        <v>0</v>
      </c>
      <c r="F242" s="202">
        <v>2023.97</v>
      </c>
      <c r="G242" s="202">
        <v>1033.48</v>
      </c>
      <c r="H242" s="215">
        <v>10</v>
      </c>
      <c r="I242" s="202">
        <v>4971.720000000001</v>
      </c>
      <c r="J242" s="206">
        <f t="shared" si="10"/>
      </c>
      <c r="K242" s="206">
        <f t="shared" si="301"/>
      </c>
      <c r="L242" s="206">
        <f t="shared" si="271"/>
      </c>
      <c r="M242" s="207">
        <f t="shared" si="210"/>
      </c>
      <c r="N242" s="208">
        <f t="shared" si="180"/>
      </c>
      <c r="O242" s="209">
        <f t="shared" si="150"/>
      </c>
      <c r="P242" s="208">
        <f t="shared" si="240"/>
      </c>
      <c r="Q242" s="210" t="s">
        <v>127</v>
      </c>
      <c r="R242" s="251" t="s">
        <v>141</v>
      </c>
      <c r="S242" s="228">
        <v>26974</v>
      </c>
      <c r="T242" s="228">
        <v>1787</v>
      </c>
      <c r="U242" s="228">
        <v>383</v>
      </c>
      <c r="V242" s="228">
        <v>2469</v>
      </c>
      <c r="W242" s="228">
        <v>388</v>
      </c>
      <c r="X242" s="229">
        <v>20</v>
      </c>
      <c r="Y242" s="229">
        <v>69</v>
      </c>
      <c r="Z242" s="250"/>
    </row>
    <row r="243">
      <c r="A243" s="200"/>
      <c r="B243" s="201" t="s">
        <v>132</v>
      </c>
      <c r="C243" s="203" t="s">
        <v>154</v>
      </c>
      <c r="D243" s="202">
        <f t="shared" si="71"/>
      </c>
      <c r="E243" s="202">
        <v>0</v>
      </c>
      <c r="F243" s="202">
        <f>1244.88+0.04</f>
      </c>
      <c r="G243" s="202">
        <v>484.59</v>
      </c>
      <c r="H243" s="215">
        <v>4</v>
      </c>
      <c r="I243" s="202">
        <v>860.1599999999999</v>
      </c>
      <c r="J243" s="206">
        <f t="shared" si="10"/>
      </c>
      <c r="K243" s="206">
        <f t="shared" si="301"/>
      </c>
      <c r="L243" s="206">
        <f t="shared" si="271"/>
      </c>
      <c r="M243" s="207">
        <f t="shared" si="210"/>
      </c>
      <c r="N243" s="208">
        <f t="shared" si="180"/>
      </c>
      <c r="O243" s="209">
        <f t="shared" si="150"/>
      </c>
      <c r="P243" s="208">
        <f t="shared" si="240"/>
      </c>
      <c r="Q243" s="210" t="s">
        <v>127</v>
      </c>
      <c r="R243" s="251" t="s">
        <v>141</v>
      </c>
      <c r="S243" s="228">
        <v>17377</v>
      </c>
      <c r="T243" s="228">
        <v>1092</v>
      </c>
      <c r="U243" s="228">
        <v>275</v>
      </c>
      <c r="V243" s="228">
        <v>1390</v>
      </c>
      <c r="W243" s="228">
        <v>199</v>
      </c>
      <c r="X243" s="229">
        <v>13</v>
      </c>
      <c r="Y243" s="229">
        <v>28</v>
      </c>
      <c r="Z243" s="250"/>
    </row>
    <row r="244">
      <c r="A244" s="200"/>
      <c r="B244" s="219" t="s">
        <v>119</v>
      </c>
      <c r="C244" s="219"/>
      <c r="D244" s="220">
        <f>SUM(D241:D243)</f>
      </c>
      <c r="E244" s="220">
        <f>SUM(E241:E243)</f>
      </c>
      <c r="F244" s="220">
        <f>SUM(F241:G243)</f>
      </c>
      <c r="G244" s="220"/>
      <c r="H244" s="221">
        <f>SUM(H241:H243)</f>
      </c>
      <c r="I244" s="220">
        <f>SUM(I241:I243)</f>
      </c>
      <c r="J244" s="222">
        <f t="shared" si="10"/>
      </c>
      <c r="K244" s="223">
        <f t="shared" si="301"/>
      </c>
      <c r="L244" s="224">
        <f t="shared" si="271"/>
      </c>
      <c r="M244" s="225">
        <f t="shared" si="210"/>
      </c>
      <c r="N244" s="225">
        <f t="shared" si="180"/>
      </c>
      <c r="O244" s="226">
        <f t="shared" si="150"/>
      </c>
      <c r="P244" s="225">
        <f t="shared" si="240"/>
      </c>
      <c r="Q244" s="226"/>
      <c r="R244" s="226"/>
      <c r="S244" s="221">
        <f>SUM(S241:S243)</f>
      </c>
      <c r="T244" s="221">
        <f>SUM(T241:T243)</f>
      </c>
      <c r="U244" s="221">
        <f>SUM(U241:U243)</f>
      </c>
      <c r="V244" s="221">
        <f>SUM(V241:V243)</f>
      </c>
      <c r="W244" s="221">
        <f>SUM(W241:W243)</f>
      </c>
      <c r="X244" s="221">
        <f>SUM(X241:X243)</f>
      </c>
      <c r="Y244" s="221">
        <f>SUM(Y241:Y243)</f>
      </c>
      <c r="Z244" s="250"/>
    </row>
    <row r="245">
      <c r="A245" s="200"/>
      <c r="B245" s="236" t="s">
        <v>138</v>
      </c>
      <c r="C245" s="236"/>
      <c r="D245" s="237">
        <f>D244+D240</f>
      </c>
      <c r="E245" s="237">
        <f>E244+E240</f>
      </c>
      <c r="F245" s="237">
        <f>F244+F240</f>
      </c>
      <c r="G245" s="237"/>
      <c r="H245" s="238">
        <f>H244+H240</f>
      </c>
      <c r="I245" s="237">
        <f>I244+I240</f>
      </c>
      <c r="J245" s="239">
        <f t="shared" si="10"/>
      </c>
      <c r="K245" s="239">
        <f t="shared" si="301"/>
      </c>
      <c r="L245" s="239">
        <f t="shared" si="271"/>
      </c>
      <c r="M245" s="240">
        <f t="shared" si="210"/>
      </c>
      <c r="N245" s="240">
        <f t="shared" si="180"/>
      </c>
      <c r="O245" s="239">
        <f t="shared" si="150"/>
      </c>
      <c r="P245" s="240">
        <f t="shared" si="240"/>
      </c>
      <c r="Q245" s="241"/>
      <c r="R245" s="242"/>
      <c r="S245" s="243">
        <f>S244+S240</f>
      </c>
      <c r="T245" s="243">
        <f>T244+T240</f>
      </c>
      <c r="U245" s="243">
        <f>U244+U240</f>
      </c>
      <c r="V245" s="243">
        <f>V244+V240</f>
      </c>
      <c r="W245" s="243">
        <f>W244+W240</f>
      </c>
      <c r="X245" s="243">
        <f>X244+X240</f>
      </c>
      <c r="Y245" s="243">
        <f>Y244+Y240</f>
      </c>
      <c r="Z245" s="255"/>
    </row>
    <row r="246">
      <c r="A246" s="188" t="s">
        <v>83</v>
      </c>
      <c r="B246" s="188"/>
      <c r="C246" s="188"/>
      <c r="D246" s="189" t="s">
        <v>84</v>
      </c>
      <c r="E246" s="189"/>
      <c r="F246" s="189"/>
      <c r="G246" s="189"/>
      <c r="H246" s="189"/>
      <c r="I246" s="189"/>
      <c r="J246" s="189"/>
      <c r="K246" s="189"/>
      <c r="L246" s="189"/>
      <c r="M246" s="190" t="s">
        <v>85</v>
      </c>
      <c r="N246" s="190"/>
      <c r="O246" s="190"/>
      <c r="P246" s="190"/>
      <c r="Q246" s="190"/>
      <c r="R246" s="190"/>
      <c r="S246" s="191" t="s">
        <v>86</v>
      </c>
      <c r="T246" s="191"/>
      <c r="U246" s="191"/>
      <c r="V246" s="191"/>
      <c r="W246" s="191"/>
      <c r="X246" s="191"/>
      <c r="Y246" s="191"/>
      <c r="Z246" s="250"/>
    </row>
    <row r="247">
      <c r="A247" s="192" t="s">
        <v>87</v>
      </c>
      <c r="B247" s="188" t="s">
        <v>88</v>
      </c>
      <c r="C247" s="188" t="s">
        <v>89</v>
      </c>
      <c r="D247" s="193" t="s">
        <v>90</v>
      </c>
      <c r="E247" s="193" t="s">
        <v>91</v>
      </c>
      <c r="F247" s="189" t="s">
        <v>92</v>
      </c>
      <c r="G247" s="189"/>
      <c r="H247" s="194" t="s">
        <v>93</v>
      </c>
      <c r="I247" s="189" t="s">
        <v>94</v>
      </c>
      <c r="J247" s="195" t="s">
        <v>95</v>
      </c>
      <c r="K247" s="196" t="s">
        <v>96</v>
      </c>
      <c r="L247" s="189" t="s">
        <v>97</v>
      </c>
      <c r="M247" s="190" t="s">
        <v>98</v>
      </c>
      <c r="N247" s="190" t="s">
        <v>99</v>
      </c>
      <c r="O247" s="190" t="s">
        <v>100</v>
      </c>
      <c r="P247" s="190" t="s">
        <v>101</v>
      </c>
      <c r="Q247" s="197" t="s">
        <v>102</v>
      </c>
      <c r="R247" s="197" t="s">
        <v>103</v>
      </c>
      <c r="S247" s="198" t="s">
        <v>104</v>
      </c>
      <c r="T247" s="198" t="s">
        <v>105</v>
      </c>
      <c r="U247" s="199" t="s">
        <v>106</v>
      </c>
      <c r="V247" s="199" t="s">
        <v>107</v>
      </c>
      <c r="W247" s="199" t="s">
        <v>108</v>
      </c>
      <c r="X247" s="199" t="s">
        <v>109</v>
      </c>
      <c r="Y247" s="199" t="s">
        <v>110</v>
      </c>
      <c r="Z247" s="250"/>
    </row>
    <row r="248">
      <c r="A248" s="200" t="s">
        <v>155</v>
      </c>
      <c r="B248" s="227" t="s">
        <v>132</v>
      </c>
      <c r="C248" s="202" t="s">
        <v>113</v>
      </c>
      <c r="D248" s="202">
        <f t="shared" ref="D248:D251" si="72">E248+G248+F248</f>
      </c>
      <c r="E248" s="202">
        <v>0</v>
      </c>
      <c r="F248" s="202">
        <v>1086.65</v>
      </c>
      <c r="G248" s="202">
        <v>2427.51</v>
      </c>
      <c r="H248" s="204">
        <v>13</v>
      </c>
      <c r="I248" s="202">
        <v>2757.5</v>
      </c>
      <c r="J248" s="205">
        <f t="shared" ref="J248:J267" si="11">I248/D248</f>
      </c>
      <c r="K248" s="205">
        <f t="shared" ref="K248:K267" si="302">D248/H248</f>
      </c>
      <c r="L248" s="206">
        <f t="shared" ref="L248:L267" si="272">I248/H248</f>
      </c>
      <c r="M248" s="207">
        <f t="shared" ref="M248:M267" si="211">T248/S248</f>
      </c>
      <c r="N248" s="208">
        <f t="shared" ref="N248:N267" si="181">H248/X248</f>
      </c>
      <c r="O248" s="209">
        <f t="shared" ref="O248:O267" si="151">(Y248*1000)/D248</f>
      </c>
      <c r="P248" s="208">
        <f t="shared" ref="P248:P267" si="241">W248/V248</f>
      </c>
      <c r="Q248" s="210" t="s">
        <v>127</v>
      </c>
      <c r="R248" s="251" t="s">
        <v>141</v>
      </c>
      <c r="S248" s="212">
        <v>39890</v>
      </c>
      <c r="T248" s="212">
        <v>3458</v>
      </c>
      <c r="U248" s="213">
        <v>638</v>
      </c>
      <c r="V248" s="212">
        <v>4962</v>
      </c>
      <c r="W248" s="212">
        <v>782</v>
      </c>
      <c r="X248" s="214">
        <v>32</v>
      </c>
      <c r="Y248" s="214">
        <v>124</v>
      </c>
      <c r="Z248" s="250"/>
    </row>
    <row r="249">
      <c r="A249" s="252"/>
      <c r="B249" s="227" t="s">
        <v>132</v>
      </c>
      <c r="C249" s="202" t="s">
        <v>116</v>
      </c>
      <c r="D249" s="202">
        <f t="shared" si="72"/>
      </c>
      <c r="E249" s="202">
        <v>0</v>
      </c>
      <c r="F249" s="202">
        <v>762.82</v>
      </c>
      <c r="G249" s="202">
        <v>2987.82</v>
      </c>
      <c r="H249" s="215">
        <v>22</v>
      </c>
      <c r="I249" s="202">
        <v>5608.799999999999</v>
      </c>
      <c r="J249" s="206">
        <f t="shared" si="11"/>
      </c>
      <c r="K249" s="206">
        <f t="shared" si="302"/>
      </c>
      <c r="L249" s="205">
        <f t="shared" si="272"/>
      </c>
      <c r="M249" s="207">
        <f t="shared" si="211"/>
      </c>
      <c r="N249" s="208">
        <f t="shared" si="181"/>
      </c>
      <c r="O249" s="209">
        <f t="shared" si="151"/>
      </c>
      <c r="P249" s="208">
        <f t="shared" si="241"/>
      </c>
      <c r="Q249" s="210" t="s">
        <v>127</v>
      </c>
      <c r="R249" s="251" t="s">
        <v>141</v>
      </c>
      <c r="S249" s="216">
        <v>39029</v>
      </c>
      <c r="T249" s="216">
        <v>2927</v>
      </c>
      <c r="U249" s="212">
        <v>682</v>
      </c>
      <c r="V249" s="212">
        <v>3893</v>
      </c>
      <c r="W249" s="212">
        <v>659</v>
      </c>
      <c r="X249" s="214">
        <v>32</v>
      </c>
      <c r="Y249" s="217">
        <v>107</v>
      </c>
      <c r="Z249" s="250"/>
    </row>
    <row r="250">
      <c r="A250" s="252"/>
      <c r="B250" s="227" t="s">
        <v>132</v>
      </c>
      <c r="C250" s="202" t="s">
        <v>117</v>
      </c>
      <c r="D250" s="202">
        <f t="shared" si="72"/>
      </c>
      <c r="E250" s="218">
        <v>0</v>
      </c>
      <c r="F250" s="202">
        <v>596.98</v>
      </c>
      <c r="G250" s="202">
        <v>3202.7</v>
      </c>
      <c r="H250" s="215">
        <v>10</v>
      </c>
      <c r="I250" s="218">
        <v>2613.120000000001</v>
      </c>
      <c r="J250" s="206">
        <f t="shared" si="11"/>
      </c>
      <c r="K250" s="206">
        <f t="shared" si="302"/>
      </c>
      <c r="L250" s="206">
        <f t="shared" si="272"/>
      </c>
      <c r="M250" s="207">
        <f t="shared" si="211"/>
      </c>
      <c r="N250" s="208">
        <f t="shared" si="181"/>
      </c>
      <c r="O250" s="209">
        <f t="shared" si="151"/>
      </c>
      <c r="P250" s="208">
        <f t="shared" si="241"/>
      </c>
      <c r="Q250" s="210" t="s">
        <v>127</v>
      </c>
      <c r="R250" s="251" t="s">
        <v>141</v>
      </c>
      <c r="S250" s="217">
        <v>27971</v>
      </c>
      <c r="T250" s="217">
        <v>2461</v>
      </c>
      <c r="U250" s="217">
        <v>630</v>
      </c>
      <c r="V250" s="217">
        <v>3041</v>
      </c>
      <c r="W250" s="217">
        <v>506</v>
      </c>
      <c r="X250" s="214">
        <v>15</v>
      </c>
      <c r="Y250" s="217">
        <v>89</v>
      </c>
      <c r="Z250" s="250"/>
    </row>
    <row r="251">
      <c r="A251" s="252"/>
      <c r="B251" s="227" t="s">
        <v>132</v>
      </c>
      <c r="C251" s="202" t="s">
        <v>118</v>
      </c>
      <c r="D251" s="202">
        <f t="shared" si="72"/>
      </c>
      <c r="E251" s="202">
        <v>0</v>
      </c>
      <c r="F251" s="202">
        <v>1584.07</v>
      </c>
      <c r="G251" s="202">
        <v>962.11</v>
      </c>
      <c r="H251" s="215">
        <v>11</v>
      </c>
      <c r="I251" s="202">
        <v>8687.039999999999</v>
      </c>
      <c r="J251" s="206">
        <f t="shared" si="11"/>
      </c>
      <c r="K251" s="206">
        <f t="shared" si="302"/>
      </c>
      <c r="L251" s="206">
        <f t="shared" si="272"/>
      </c>
      <c r="M251" s="207">
        <f t="shared" si="211"/>
      </c>
      <c r="N251" s="208">
        <f t="shared" si="181"/>
      </c>
      <c r="O251" s="209">
        <f t="shared" si="151"/>
      </c>
      <c r="P251" s="208">
        <f t="shared" si="241"/>
      </c>
      <c r="Q251" s="210" t="s">
        <v>127</v>
      </c>
      <c r="R251" s="251" t="s">
        <v>141</v>
      </c>
      <c r="S251" s="217">
        <v>26571</v>
      </c>
      <c r="T251" s="217">
        <v>1760</v>
      </c>
      <c r="U251" s="217">
        <v>407</v>
      </c>
      <c r="V251" s="217">
        <v>2594</v>
      </c>
      <c r="W251" s="217">
        <v>413</v>
      </c>
      <c r="X251" s="214">
        <v>18</v>
      </c>
      <c r="Y251" s="217">
        <v>48</v>
      </c>
      <c r="Z251" s="250"/>
    </row>
    <row r="252">
      <c r="A252" s="252"/>
      <c r="B252" s="219" t="s">
        <v>119</v>
      </c>
      <c r="C252" s="219"/>
      <c r="D252" s="220">
        <f>SUM(D248:D251)</f>
      </c>
      <c r="E252" s="220">
        <f>SUM(E248:E251)</f>
      </c>
      <c r="F252" s="220">
        <f>SUM(F248:G251)</f>
      </c>
      <c r="G252" s="220"/>
      <c r="H252" s="221">
        <f>SUM(H248:H251)</f>
      </c>
      <c r="I252" s="220">
        <f>SUM(I248:I251)</f>
      </c>
      <c r="J252" s="253">
        <f t="shared" si="11"/>
      </c>
      <c r="K252" s="223">
        <f t="shared" si="302"/>
      </c>
      <c r="L252" s="254">
        <f t="shared" si="272"/>
      </c>
      <c r="M252" s="225">
        <f t="shared" si="211"/>
      </c>
      <c r="N252" s="225">
        <f t="shared" si="181"/>
      </c>
      <c r="O252" s="226">
        <f t="shared" si="151"/>
      </c>
      <c r="P252" s="225">
        <f t="shared" si="241"/>
      </c>
      <c r="Q252" s="226"/>
      <c r="R252" s="226"/>
      <c r="S252" s="221">
        <f>SUM(S248:S251)</f>
      </c>
      <c r="T252" s="221">
        <f>SUM(T248:T251)</f>
      </c>
      <c r="U252" s="221">
        <f>SUM(U248:U251)</f>
      </c>
      <c r="V252" s="221">
        <f>SUM(V248:V251)</f>
      </c>
      <c r="W252" s="221">
        <f>SUM(W248:W251)</f>
      </c>
      <c r="X252" s="221">
        <f>SUM(X248:X251)</f>
      </c>
      <c r="Y252" s="221">
        <f>SUM(Y248:Y251)</f>
      </c>
      <c r="Z252" s="250"/>
    </row>
    <row r="253">
      <c r="A253" s="252"/>
      <c r="B253" s="245" t="s">
        <v>144</v>
      </c>
      <c r="C253" s="202" t="s">
        <v>121</v>
      </c>
      <c r="D253" s="202">
        <f t="shared" ref="D253:D256" si="73">E253+G253+F253</f>
      </c>
      <c r="E253" s="202">
        <v>0</v>
      </c>
      <c r="F253" s="202">
        <v>3084.08</v>
      </c>
      <c r="G253" s="202">
        <v>412.16</v>
      </c>
      <c r="H253" s="215">
        <v>10</v>
      </c>
      <c r="I253" s="202">
        <v>4902.5999999999985</v>
      </c>
      <c r="J253" s="206">
        <f t="shared" si="11"/>
      </c>
      <c r="K253" s="206">
        <f t="shared" si="302"/>
      </c>
      <c r="L253" s="206">
        <f t="shared" si="272"/>
      </c>
      <c r="M253" s="207">
        <f t="shared" si="211"/>
      </c>
      <c r="N253" s="208">
        <f t="shared" si="181"/>
      </c>
      <c r="O253" s="209">
        <f t="shared" si="151"/>
      </c>
      <c r="P253" s="208">
        <f t="shared" si="241"/>
      </c>
      <c r="Q253" s="210" t="s">
        <v>127</v>
      </c>
      <c r="R253" s="251" t="s">
        <v>141</v>
      </c>
      <c r="S253" s="228">
        <v>42419</v>
      </c>
      <c r="T253" s="228">
        <v>2874</v>
      </c>
      <c r="U253" s="228">
        <v>490</v>
      </c>
      <c r="V253" s="228">
        <v>5016</v>
      </c>
      <c r="W253" s="228">
        <v>871</v>
      </c>
      <c r="X253" s="229">
        <v>21</v>
      </c>
      <c r="Y253" s="228">
        <v>82</v>
      </c>
      <c r="Z253" s="250"/>
    </row>
    <row r="254">
      <c r="A254" s="252"/>
      <c r="B254" s="201" t="s">
        <v>144</v>
      </c>
      <c r="C254" s="202" t="s">
        <v>122</v>
      </c>
      <c r="D254" s="202">
        <f t="shared" si="73"/>
      </c>
      <c r="E254" s="203">
        <v>0</v>
      </c>
      <c r="F254" s="202">
        <v>2481.67</v>
      </c>
      <c r="G254" s="202">
        <v>722.71</v>
      </c>
      <c r="H254" s="215">
        <v>8</v>
      </c>
      <c r="I254" s="202">
        <v>1662.6399999999994</v>
      </c>
      <c r="J254" s="206">
        <f t="shared" si="11"/>
      </c>
      <c r="K254" s="206">
        <f t="shared" si="302"/>
      </c>
      <c r="L254" s="206">
        <f t="shared" si="272"/>
      </c>
      <c r="M254" s="207">
        <f t="shared" si="211"/>
      </c>
      <c r="N254" s="208">
        <f t="shared" si="181"/>
      </c>
      <c r="O254" s="209">
        <f t="shared" si="151"/>
      </c>
      <c r="P254" s="208">
        <f t="shared" si="241"/>
      </c>
      <c r="Q254" s="210" t="s">
        <v>127</v>
      </c>
      <c r="R254" s="251" t="s">
        <v>141</v>
      </c>
      <c r="S254" s="228">
        <v>38732</v>
      </c>
      <c r="T254" s="228">
        <v>2485</v>
      </c>
      <c r="U254" s="228">
        <v>417</v>
      </c>
      <c r="V254" s="228">
        <v>4513</v>
      </c>
      <c r="W254" s="228">
        <v>706</v>
      </c>
      <c r="X254" s="229">
        <v>16</v>
      </c>
      <c r="Y254" s="228">
        <v>72</v>
      </c>
      <c r="Z254" s="250"/>
    </row>
    <row r="255">
      <c r="A255" s="252"/>
      <c r="B255" s="201" t="s">
        <v>144</v>
      </c>
      <c r="C255" s="202" t="s">
        <v>123</v>
      </c>
      <c r="D255" s="202">
        <f t="shared" si="73"/>
      </c>
      <c r="E255" s="202">
        <v>0</v>
      </c>
      <c r="F255" s="202">
        <v>3917.58</v>
      </c>
      <c r="G255" s="202">
        <v>486.55</v>
      </c>
      <c r="H255" s="215">
        <v>18</v>
      </c>
      <c r="I255" s="202">
        <v>5682.480000000003</v>
      </c>
      <c r="J255" s="206">
        <f t="shared" si="11"/>
      </c>
      <c r="K255" s="206">
        <f t="shared" si="302"/>
      </c>
      <c r="L255" s="206">
        <f t="shared" si="272"/>
      </c>
      <c r="M255" s="207">
        <f t="shared" si="211"/>
      </c>
      <c r="N255" s="208">
        <f t="shared" si="181"/>
      </c>
      <c r="O255" s="209">
        <f t="shared" si="151"/>
      </c>
      <c r="P255" s="208">
        <f t="shared" si="241"/>
      </c>
      <c r="Q255" s="210" t="s">
        <v>127</v>
      </c>
      <c r="R255" s="251" t="s">
        <v>141</v>
      </c>
      <c r="S255" s="228">
        <v>46323</v>
      </c>
      <c r="T255" s="228">
        <v>3871</v>
      </c>
      <c r="U255" s="228">
        <v>558</v>
      </c>
      <c r="V255" s="228">
        <v>7302</v>
      </c>
      <c r="W255" s="228">
        <v>1061</v>
      </c>
      <c r="X255" s="229">
        <v>29</v>
      </c>
      <c r="Y255" s="229">
        <v>97</v>
      </c>
      <c r="Z255" s="250"/>
    </row>
    <row r="256">
      <c r="A256" s="252"/>
      <c r="B256" s="201" t="s">
        <v>144</v>
      </c>
      <c r="C256" s="202" t="s">
        <v>124</v>
      </c>
      <c r="D256" s="202">
        <f t="shared" si="73"/>
      </c>
      <c r="E256" s="202">
        <v>0</v>
      </c>
      <c r="F256" s="202">
        <v>1199.03</v>
      </c>
      <c r="G256" s="202">
        <v>346.75</v>
      </c>
      <c r="H256" s="215">
        <v>8</v>
      </c>
      <c r="I256" s="202">
        <v>2660.760000000002</v>
      </c>
      <c r="J256" s="206">
        <f t="shared" si="11"/>
      </c>
      <c r="K256" s="206">
        <f t="shared" si="302"/>
      </c>
      <c r="L256" s="206">
        <f t="shared" si="272"/>
      </c>
      <c r="M256" s="207">
        <f t="shared" si="211"/>
      </c>
      <c r="N256" s="208">
        <f t="shared" si="181"/>
      </c>
      <c r="O256" s="209">
        <f t="shared" si="151"/>
      </c>
      <c r="P256" s="208">
        <f t="shared" si="241"/>
      </c>
      <c r="Q256" s="210" t="s">
        <v>127</v>
      </c>
      <c r="R256" s="251" t="s">
        <v>141</v>
      </c>
      <c r="S256" s="228">
        <v>19107</v>
      </c>
      <c r="T256" s="228">
        <v>1170</v>
      </c>
      <c r="U256" s="228">
        <v>233</v>
      </c>
      <c r="V256" s="228">
        <v>2008</v>
      </c>
      <c r="W256" s="228">
        <v>319</v>
      </c>
      <c r="X256" s="229">
        <v>14</v>
      </c>
      <c r="Y256" s="228">
        <v>37</v>
      </c>
      <c r="Z256" s="250"/>
    </row>
    <row r="257">
      <c r="A257" s="252"/>
      <c r="B257" s="219" t="s">
        <v>119</v>
      </c>
      <c r="C257" s="219"/>
      <c r="D257" s="220">
        <f>SUM(D253:D256)</f>
      </c>
      <c r="E257" s="220">
        <v>0</v>
      </c>
      <c r="F257" s="220">
        <f>SUM(F253:G256)</f>
      </c>
      <c r="G257" s="220"/>
      <c r="H257" s="221">
        <f>SUM(H253:H256)</f>
      </c>
      <c r="I257" s="220">
        <f>SUM(I253:I256)</f>
      </c>
      <c r="J257" s="222">
        <f t="shared" si="11"/>
      </c>
      <c r="K257" s="223">
        <f t="shared" si="302"/>
      </c>
      <c r="L257" s="224">
        <f t="shared" si="272"/>
      </c>
      <c r="M257" s="225">
        <f t="shared" si="211"/>
      </c>
      <c r="N257" s="225">
        <f t="shared" si="181"/>
      </c>
      <c r="O257" s="226">
        <f t="shared" si="151"/>
      </c>
      <c r="P257" s="225">
        <f t="shared" si="241"/>
      </c>
      <c r="Q257" s="226"/>
      <c r="R257" s="226"/>
      <c r="S257" s="221">
        <f>SUM(S253:S256)</f>
      </c>
      <c r="T257" s="221">
        <f>SUM(T253:T256)</f>
      </c>
      <c r="U257" s="221">
        <f>SUM(U253:U256)</f>
      </c>
      <c r="V257" s="221">
        <f>SUM(V253:V256)</f>
      </c>
      <c r="W257" s="221">
        <f>SUM(W253:W256)</f>
      </c>
      <c r="X257" s="221">
        <f>SUM(X253:X256)</f>
      </c>
      <c r="Y257" s="221">
        <f>SUM(Y253:Y256)</f>
      </c>
      <c r="Z257" s="250"/>
    </row>
    <row r="258">
      <c r="A258" s="252"/>
      <c r="B258" s="201" t="s">
        <v>112</v>
      </c>
      <c r="C258" s="202" t="s">
        <v>126</v>
      </c>
      <c r="D258" s="202">
        <f t="shared" ref="D258:D262" si="74">E258+G258+F258</f>
      </c>
      <c r="E258" s="203">
        <v>0</v>
      </c>
      <c r="F258" s="203">
        <v>2546.47</v>
      </c>
      <c r="G258" s="203">
        <v>1125.72</v>
      </c>
      <c r="H258" s="204">
        <v>9</v>
      </c>
      <c r="I258" s="203">
        <v>1879.47</v>
      </c>
      <c r="J258" s="206">
        <f t="shared" si="11"/>
      </c>
      <c r="K258" s="206">
        <f t="shared" si="302"/>
      </c>
      <c r="L258" s="206">
        <f t="shared" si="272"/>
      </c>
      <c r="M258" s="207">
        <f t="shared" si="211"/>
      </c>
      <c r="N258" s="208">
        <f t="shared" si="181"/>
      </c>
      <c r="O258" s="209">
        <f t="shared" si="151"/>
      </c>
      <c r="P258" s="208">
        <f t="shared" si="241"/>
      </c>
      <c r="Q258" s="210" t="s">
        <v>127</v>
      </c>
      <c r="R258" s="251" t="s">
        <v>141</v>
      </c>
      <c r="S258" s="230">
        <v>69796</v>
      </c>
      <c r="T258" s="230">
        <v>2659</v>
      </c>
      <c r="U258" s="230">
        <v>461</v>
      </c>
      <c r="V258" s="230">
        <v>4857</v>
      </c>
      <c r="W258" s="230">
        <v>757</v>
      </c>
      <c r="X258" s="234">
        <v>19</v>
      </c>
      <c r="Y258" s="229">
        <v>84</v>
      </c>
      <c r="Z258" s="250"/>
    </row>
    <row r="259">
      <c r="A259" s="252"/>
      <c r="B259" s="201" t="s">
        <v>112</v>
      </c>
      <c r="C259" s="202" t="s">
        <v>128</v>
      </c>
      <c r="D259" s="202">
        <f t="shared" si="74"/>
      </c>
      <c r="E259" s="203">
        <v>0</v>
      </c>
      <c r="F259" s="203">
        <v>1869.87</v>
      </c>
      <c r="G259" s="203">
        <v>2580.64</v>
      </c>
      <c r="H259" s="204">
        <v>19</v>
      </c>
      <c r="I259" s="203">
        <v>9756.11</v>
      </c>
      <c r="J259" s="206">
        <f t="shared" si="11"/>
      </c>
      <c r="K259" s="206">
        <f t="shared" si="302"/>
      </c>
      <c r="L259" s="206">
        <f t="shared" si="272"/>
      </c>
      <c r="M259" s="207">
        <f t="shared" si="211"/>
      </c>
      <c r="N259" s="208">
        <f t="shared" si="181"/>
      </c>
      <c r="O259" s="209">
        <f t="shared" si="151"/>
      </c>
      <c r="P259" s="208">
        <f t="shared" si="241"/>
      </c>
      <c r="Q259" s="210" t="s">
        <v>114</v>
      </c>
      <c r="R259" s="232" t="s">
        <v>129</v>
      </c>
      <c r="S259" s="229">
        <v>65096</v>
      </c>
      <c r="T259" s="229">
        <v>3660</v>
      </c>
      <c r="U259" s="229">
        <v>705</v>
      </c>
      <c r="V259" s="229">
        <v>6260</v>
      </c>
      <c r="W259" s="229">
        <v>1001</v>
      </c>
      <c r="X259" s="229">
        <v>31</v>
      </c>
      <c r="Y259" s="229">
        <v>116</v>
      </c>
      <c r="Z259" s="250"/>
    </row>
    <row r="260">
      <c r="A260" s="252"/>
      <c r="B260" s="201" t="s">
        <v>112</v>
      </c>
      <c r="C260" s="202" t="s">
        <v>130</v>
      </c>
      <c r="D260" s="202">
        <f t="shared" si="74"/>
      </c>
      <c r="E260" s="203">
        <v>0</v>
      </c>
      <c r="F260" s="203">
        <v>2340.11</v>
      </c>
      <c r="G260" s="203">
        <v>2535.01</v>
      </c>
      <c r="H260" s="204">
        <v>19</v>
      </c>
      <c r="I260" s="203">
        <v>11268.86</v>
      </c>
      <c r="J260" s="206">
        <f t="shared" si="11"/>
      </c>
      <c r="K260" s="206">
        <f t="shared" si="302"/>
      </c>
      <c r="L260" s="206">
        <f t="shared" si="272"/>
      </c>
      <c r="M260" s="207">
        <f t="shared" si="211"/>
      </c>
      <c r="N260" s="208">
        <f t="shared" si="181"/>
      </c>
      <c r="O260" s="209">
        <f t="shared" si="151"/>
      </c>
      <c r="P260" s="208">
        <f t="shared" si="241"/>
      </c>
      <c r="Q260" s="210" t="s">
        <v>114</v>
      </c>
      <c r="R260" s="232" t="s">
        <v>129</v>
      </c>
      <c r="S260" s="229">
        <v>82745</v>
      </c>
      <c r="T260" s="229">
        <v>5354</v>
      </c>
      <c r="U260" s="229">
        <v>714</v>
      </c>
      <c r="V260" s="229">
        <v>11326</v>
      </c>
      <c r="W260" s="229">
        <v>1656</v>
      </c>
      <c r="X260" s="229">
        <v>32</v>
      </c>
      <c r="Y260" s="229">
        <v>122</v>
      </c>
      <c r="Z260" s="250"/>
    </row>
    <row r="261">
      <c r="A261" s="252"/>
      <c r="B261" s="201" t="s">
        <v>112</v>
      </c>
      <c r="C261" s="202" t="s">
        <v>131</v>
      </c>
      <c r="D261" s="202">
        <f t="shared" si="74"/>
      </c>
      <c r="E261" s="203">
        <v>0</v>
      </c>
      <c r="F261" s="203">
        <v>2184.11</v>
      </c>
      <c r="G261" s="203">
        <v>1706.95</v>
      </c>
      <c r="H261" s="204">
        <v>16</v>
      </c>
      <c r="I261" s="203">
        <v>6154.82</v>
      </c>
      <c r="J261" s="206">
        <f t="shared" si="11"/>
      </c>
      <c r="K261" s="206">
        <f t="shared" si="302"/>
      </c>
      <c r="L261" s="206">
        <f t="shared" si="272"/>
      </c>
      <c r="M261" s="207">
        <f t="shared" si="211"/>
      </c>
      <c r="N261" s="208">
        <f t="shared" si="181"/>
      </c>
      <c r="O261" s="209">
        <f t="shared" si="151"/>
      </c>
      <c r="P261" s="208">
        <f t="shared" si="241"/>
      </c>
      <c r="Q261" s="210" t="s">
        <v>114</v>
      </c>
      <c r="R261" s="232" t="s">
        <v>129</v>
      </c>
      <c r="S261" s="229">
        <v>70064</v>
      </c>
      <c r="T261" s="229">
        <v>3883</v>
      </c>
      <c r="U261" s="229">
        <v>499</v>
      </c>
      <c r="V261" s="229">
        <v>8030</v>
      </c>
      <c r="W261" s="229">
        <v>1132</v>
      </c>
      <c r="X261" s="229">
        <v>30</v>
      </c>
      <c r="Y261" s="229">
        <v>76</v>
      </c>
      <c r="Z261" s="250"/>
    </row>
    <row r="262">
      <c r="A262" s="252"/>
      <c r="B262" s="201" t="s">
        <v>112</v>
      </c>
      <c r="C262" s="202" t="s">
        <v>133</v>
      </c>
      <c r="D262" s="202">
        <f t="shared" si="74"/>
      </c>
      <c r="E262" s="203">
        <v>0</v>
      </c>
      <c r="F262" s="203">
        <v>1557.18</v>
      </c>
      <c r="G262" s="203">
        <v>1906.16</v>
      </c>
      <c r="H262" s="204">
        <v>13</v>
      </c>
      <c r="I262" s="203">
        <v>5031.98</v>
      </c>
      <c r="J262" s="206">
        <f t="shared" si="11"/>
      </c>
      <c r="K262" s="206">
        <f t="shared" si="302"/>
      </c>
      <c r="L262" s="206">
        <f t="shared" si="272"/>
      </c>
      <c r="M262" s="207">
        <f t="shared" si="211"/>
      </c>
      <c r="N262" s="208">
        <f t="shared" si="181"/>
      </c>
      <c r="O262" s="209">
        <f t="shared" si="151"/>
      </c>
      <c r="P262" s="208">
        <f t="shared" si="241"/>
      </c>
      <c r="Q262" s="210" t="s">
        <v>114</v>
      </c>
      <c r="R262" s="232" t="s">
        <v>129</v>
      </c>
      <c r="S262" s="229">
        <v>96266</v>
      </c>
      <c r="T262" s="229">
        <v>3181</v>
      </c>
      <c r="U262" s="229">
        <v>419</v>
      </c>
      <c r="V262" s="229">
        <v>5885</v>
      </c>
      <c r="W262" s="229">
        <v>816</v>
      </c>
      <c r="X262" s="229">
        <v>23</v>
      </c>
      <c r="Y262" s="229">
        <v>95</v>
      </c>
      <c r="Z262" s="250"/>
    </row>
    <row r="263">
      <c r="A263" s="252"/>
      <c r="B263" s="219" t="s">
        <v>119</v>
      </c>
      <c r="C263" s="219"/>
      <c r="D263" s="220">
        <f>SUM(D258:D262)</f>
      </c>
      <c r="E263" s="220">
        <f>SUM(E258:E262)</f>
      </c>
      <c r="F263" s="220">
        <f>SUM(F258:G262)</f>
      </c>
      <c r="G263" s="220"/>
      <c r="H263" s="221">
        <f>SUM(H258:H262)</f>
      </c>
      <c r="I263" s="221">
        <f>SUM(I258:I262)</f>
      </c>
      <c r="J263" s="222">
        <f t="shared" si="11"/>
      </c>
      <c r="K263" s="223">
        <f t="shared" si="302"/>
      </c>
      <c r="L263" s="224">
        <f t="shared" si="272"/>
      </c>
      <c r="M263" s="225">
        <f t="shared" si="211"/>
      </c>
      <c r="N263" s="225">
        <f t="shared" si="181"/>
      </c>
      <c r="O263" s="226">
        <f t="shared" si="151"/>
      </c>
      <c r="P263" s="225">
        <f t="shared" si="241"/>
      </c>
      <c r="Q263" s="226"/>
      <c r="R263" s="226"/>
      <c r="S263" s="221">
        <f>SUM(S258:S262)</f>
      </c>
      <c r="T263" s="221">
        <f>SUM(T258:T262)</f>
      </c>
      <c r="U263" s="221">
        <f>SUM(U258:U262)</f>
      </c>
      <c r="V263" s="221">
        <f>SUM(V258:V262)</f>
      </c>
      <c r="W263" s="221">
        <f>SUM(W258:W262)</f>
      </c>
      <c r="X263" s="221">
        <f>SUM(X258:X262)</f>
      </c>
      <c r="Y263" s="221">
        <f>SUM(Y258:Y262)</f>
      </c>
      <c r="Z263" s="250"/>
    </row>
    <row r="264">
      <c r="A264" s="252"/>
      <c r="B264" s="201" t="s">
        <v>125</v>
      </c>
      <c r="C264" s="202" t="s">
        <v>134</v>
      </c>
      <c r="D264" s="202">
        <f t="shared" ref="D264:D265" si="75">E264+G264+F264</f>
      </c>
      <c r="E264" s="203">
        <v>0</v>
      </c>
      <c r="F264" s="203">
        <v>1624.63</v>
      </c>
      <c r="G264" s="203">
        <v>3795.87</v>
      </c>
      <c r="H264" s="204">
        <v>13</v>
      </c>
      <c r="I264" s="203">
        <v>3603.39</v>
      </c>
      <c r="J264" s="206">
        <f t="shared" si="11"/>
      </c>
      <c r="K264" s="206">
        <f t="shared" si="302"/>
      </c>
      <c r="L264" s="206">
        <f t="shared" si="272"/>
      </c>
      <c r="M264" s="207">
        <f t="shared" si="211"/>
      </c>
      <c r="N264" s="208">
        <f t="shared" si="181"/>
      </c>
      <c r="O264" s="209">
        <f t="shared" si="151"/>
      </c>
      <c r="P264" s="208">
        <f t="shared" si="241"/>
      </c>
      <c r="Q264" s="210" t="s">
        <v>114</v>
      </c>
      <c r="R264" s="232" t="s">
        <v>129</v>
      </c>
      <c r="S264" s="233">
        <v>227360</v>
      </c>
      <c r="T264" s="233">
        <v>3963</v>
      </c>
      <c r="U264" s="233">
        <v>499</v>
      </c>
      <c r="V264" s="233">
        <v>6626</v>
      </c>
      <c r="W264" s="233">
        <v>845</v>
      </c>
      <c r="X264" s="233">
        <v>26</v>
      </c>
      <c r="Y264" s="229">
        <v>109</v>
      </c>
      <c r="Z264" s="250"/>
    </row>
    <row r="265">
      <c r="A265" s="252"/>
      <c r="B265" s="201" t="s">
        <v>125</v>
      </c>
      <c r="C265" s="202" t="s">
        <v>135</v>
      </c>
      <c r="D265" s="202">
        <f t="shared" si="75"/>
      </c>
      <c r="E265" s="203">
        <v>0</v>
      </c>
      <c r="F265" s="203">
        <f>1108.87+0.13+2.31+0.01+0.12</f>
      </c>
      <c r="G265" s="203">
        <v>2290.01</v>
      </c>
      <c r="H265" s="204">
        <v>21</v>
      </c>
      <c r="I265" s="203">
        <v>5405.05</v>
      </c>
      <c r="J265" s="206">
        <f t="shared" si="11"/>
      </c>
      <c r="K265" s="206">
        <f t="shared" si="302"/>
      </c>
      <c r="L265" s="206">
        <f t="shared" si="272"/>
      </c>
      <c r="M265" s="207">
        <f t="shared" si="211"/>
      </c>
      <c r="N265" s="208">
        <f t="shared" si="181"/>
      </c>
      <c r="O265" s="209">
        <f t="shared" si="151"/>
      </c>
      <c r="P265" s="208">
        <f t="shared" si="241"/>
      </c>
      <c r="Q265" s="210" t="s">
        <v>114</v>
      </c>
      <c r="R265" s="232" t="s">
        <v>129</v>
      </c>
      <c r="S265" s="233">
        <v>132039</v>
      </c>
      <c r="T265" s="233">
        <v>3340</v>
      </c>
      <c r="U265" s="233">
        <v>399</v>
      </c>
      <c r="V265" s="233">
        <v>6011</v>
      </c>
      <c r="W265" s="246">
        <v>771</v>
      </c>
      <c r="X265" s="214">
        <v>36</v>
      </c>
      <c r="Y265" s="248">
        <v>75</v>
      </c>
      <c r="Z265" s="250"/>
    </row>
    <row r="266">
      <c r="A266" s="252"/>
      <c r="B266" s="219" t="s">
        <v>119</v>
      </c>
      <c r="C266" s="219"/>
      <c r="D266" s="220">
        <f>SUM(D264:D265)</f>
      </c>
      <c r="E266" s="220">
        <f>SUM(E264:E265)</f>
      </c>
      <c r="F266" s="220">
        <f>SUM(F264:G265)</f>
      </c>
      <c r="G266" s="220"/>
      <c r="H266" s="220">
        <f>SUM(H264:H265)</f>
      </c>
      <c r="I266" s="220">
        <f>SUM(I264:I265)</f>
      </c>
      <c r="J266" s="222">
        <f t="shared" si="11"/>
      </c>
      <c r="K266" s="223">
        <f t="shared" si="302"/>
      </c>
      <c r="L266" s="224">
        <f t="shared" si="272"/>
      </c>
      <c r="M266" s="225">
        <f t="shared" si="211"/>
      </c>
      <c r="N266" s="225">
        <f t="shared" si="181"/>
      </c>
      <c r="O266" s="226">
        <f t="shared" si="151"/>
      </c>
      <c r="P266" s="225">
        <f t="shared" si="241"/>
      </c>
      <c r="Q266" s="226"/>
      <c r="R266" s="235"/>
      <c r="S266" s="220">
        <f>SUM(S264:S265)</f>
      </c>
      <c r="T266" s="220">
        <f>SUM(T264:T265)</f>
      </c>
      <c r="U266" s="220">
        <f>SUM(U264:U265)</f>
      </c>
      <c r="V266" s="220">
        <f>SUM(V264:V265)</f>
      </c>
      <c r="W266" s="220">
        <f>SUM(W264:W265)</f>
      </c>
      <c r="X266" s="220">
        <f>SUM(X264:X265)</f>
      </c>
      <c r="Y266" s="220">
        <f>SUM(Y264:Y265)</f>
      </c>
      <c r="Z266" s="250"/>
    </row>
    <row r="267">
      <c r="A267" s="252"/>
      <c r="B267" s="236" t="s">
        <v>138</v>
      </c>
      <c r="C267" s="236"/>
      <c r="D267" s="237">
        <f>D266+D263+D257+D252</f>
      </c>
      <c r="E267" s="237">
        <f>E266+E263+E257+E252</f>
      </c>
      <c r="F267" s="237">
        <f>F266+F263+F257+F252</f>
      </c>
      <c r="G267" s="237"/>
      <c r="H267" s="238">
        <f>H266+H263+H257+H252</f>
      </c>
      <c r="I267" s="237">
        <f>I266+I263+I257+I252</f>
      </c>
      <c r="J267" s="239">
        <f t="shared" si="11"/>
      </c>
      <c r="K267" s="239">
        <f t="shared" si="302"/>
      </c>
      <c r="L267" s="239">
        <f t="shared" si="272"/>
      </c>
      <c r="M267" s="240">
        <f t="shared" si="211"/>
      </c>
      <c r="N267" s="240">
        <f t="shared" si="181"/>
      </c>
      <c r="O267" s="239">
        <f t="shared" si="151"/>
      </c>
      <c r="P267" s="240">
        <f t="shared" si="241"/>
      </c>
      <c r="Q267" s="241"/>
      <c r="R267" s="242"/>
      <c r="S267" s="243">
        <f>S266+S263+S257+S252</f>
      </c>
      <c r="T267" s="243">
        <f>T266+T263+T257+T252</f>
      </c>
      <c r="U267" s="243">
        <f>U266+U263+U257+U252</f>
      </c>
      <c r="V267" s="243">
        <f>V266+V263+V257+V252</f>
      </c>
      <c r="W267" s="243">
        <f>W266+W263+W257+W252</f>
      </c>
      <c r="X267" s="244">
        <f>X266+X263+X257+X252</f>
      </c>
      <c r="Y267" s="238">
        <f>Y266+Y263+Y257+Y252</f>
      </c>
      <c r="Z267" s="250"/>
    </row>
    <row r="268">
      <c r="A268" s="188" t="s">
        <v>83</v>
      </c>
      <c r="B268" s="188"/>
      <c r="C268" s="188"/>
      <c r="D268" s="189" t="s">
        <v>84</v>
      </c>
      <c r="E268" s="189"/>
      <c r="F268" s="189"/>
      <c r="G268" s="189"/>
      <c r="H268" s="189"/>
      <c r="I268" s="189"/>
      <c r="J268" s="189"/>
      <c r="K268" s="189"/>
      <c r="L268" s="189"/>
      <c r="M268" s="190" t="s">
        <v>85</v>
      </c>
      <c r="N268" s="190"/>
      <c r="O268" s="190"/>
      <c r="P268" s="190"/>
      <c r="Q268" s="190"/>
      <c r="R268" s="190"/>
      <c r="S268" s="191" t="s">
        <v>86</v>
      </c>
      <c r="T268" s="191"/>
      <c r="U268" s="191"/>
      <c r="V268" s="191"/>
      <c r="W268" s="191"/>
      <c r="X268" s="191"/>
      <c r="Y268" s="191"/>
      <c r="Z268" s="250"/>
    </row>
    <row r="269">
      <c r="A269" s="192" t="s">
        <v>87</v>
      </c>
      <c r="B269" s="188" t="s">
        <v>88</v>
      </c>
      <c r="C269" s="188" t="s">
        <v>89</v>
      </c>
      <c r="D269" s="193" t="s">
        <v>90</v>
      </c>
      <c r="E269" s="193" t="s">
        <v>91</v>
      </c>
      <c r="F269" s="189" t="s">
        <v>92</v>
      </c>
      <c r="G269" s="189"/>
      <c r="H269" s="194" t="s">
        <v>93</v>
      </c>
      <c r="I269" s="189" t="s">
        <v>94</v>
      </c>
      <c r="J269" s="195" t="s">
        <v>95</v>
      </c>
      <c r="K269" s="196" t="s">
        <v>96</v>
      </c>
      <c r="L269" s="189" t="s">
        <v>97</v>
      </c>
      <c r="M269" s="190" t="s">
        <v>98</v>
      </c>
      <c r="N269" s="190" t="s">
        <v>99</v>
      </c>
      <c r="O269" s="190" t="s">
        <v>100</v>
      </c>
      <c r="P269" s="190" t="s">
        <v>101</v>
      </c>
      <c r="Q269" s="197" t="s">
        <v>102</v>
      </c>
      <c r="R269" s="197" t="s">
        <v>103</v>
      </c>
      <c r="S269" s="198" t="s">
        <v>104</v>
      </c>
      <c r="T269" s="198" t="s">
        <v>105</v>
      </c>
      <c r="U269" s="199" t="s">
        <v>106</v>
      </c>
      <c r="V269" s="199" t="s">
        <v>107</v>
      </c>
      <c r="W269" s="199" t="s">
        <v>108</v>
      </c>
      <c r="X269" s="199" t="s">
        <v>109</v>
      </c>
      <c r="Y269" s="199" t="s">
        <v>110</v>
      </c>
      <c r="Z269" s="250"/>
    </row>
    <row r="270">
      <c r="A270" s="200" t="s">
        <v>156</v>
      </c>
      <c r="B270" s="227" t="s">
        <v>132</v>
      </c>
      <c r="C270" s="202" t="s">
        <v>113</v>
      </c>
      <c r="D270" s="202">
        <f t="shared" ref="D270:D273" si="76">E270+G270+F270</f>
      </c>
      <c r="E270" s="202">
        <v>0</v>
      </c>
      <c r="F270" s="202">
        <v>1217.24</v>
      </c>
      <c r="G270" s="202">
        <v>1664.58</v>
      </c>
      <c r="H270" s="204">
        <v>14</v>
      </c>
      <c r="I270" s="202">
        <v>7146.26</v>
      </c>
      <c r="J270" s="205">
        <f t="shared" ref="J270:J288" si="12">I270/D270</f>
      </c>
      <c r="K270" s="205">
        <f t="shared" ref="K270:K288" si="303">D270/H270</f>
      </c>
      <c r="L270" s="206">
        <f t="shared" ref="L270:L288" si="273">I270/H270</f>
      </c>
      <c r="M270" s="207">
        <f t="shared" ref="M270:M288" si="212">T270/S270</f>
      </c>
      <c r="N270" s="208">
        <f t="shared" ref="N270:N288" si="182">H270/X270</f>
      </c>
      <c r="O270" s="209">
        <f t="shared" ref="O270:O288" si="152">(Y270*1000)/D270</f>
      </c>
      <c r="P270" s="208">
        <f t="shared" ref="P270:P288" si="242">W270/V270</f>
      </c>
      <c r="Q270" s="210" t="s">
        <v>127</v>
      </c>
      <c r="R270" s="251" t="s">
        <v>141</v>
      </c>
      <c r="S270" s="212">
        <v>44551</v>
      </c>
      <c r="T270" s="212">
        <v>2791</v>
      </c>
      <c r="U270" s="213">
        <v>397</v>
      </c>
      <c r="V270" s="212">
        <v>4548</v>
      </c>
      <c r="W270" s="212">
        <v>639</v>
      </c>
      <c r="X270" s="214">
        <v>25</v>
      </c>
      <c r="Y270" s="214">
        <v>77</v>
      </c>
      <c r="Z270" s="250"/>
    </row>
    <row r="271">
      <c r="A271" s="252"/>
      <c r="B271" s="227" t="s">
        <v>132</v>
      </c>
      <c r="C271" s="202" t="s">
        <v>116</v>
      </c>
      <c r="D271" s="202">
        <f t="shared" si="76"/>
      </c>
      <c r="E271" s="202">
        <v>0</v>
      </c>
      <c r="F271" s="202">
        <v>1094.01</v>
      </c>
      <c r="G271" s="202">
        <v>2379.87</v>
      </c>
      <c r="H271" s="215">
        <v>21</v>
      </c>
      <c r="I271" s="202">
        <v>7647.280000000001</v>
      </c>
      <c r="J271" s="206">
        <f t="shared" si="12"/>
      </c>
      <c r="K271" s="206">
        <f t="shared" si="303"/>
      </c>
      <c r="L271" s="205">
        <f t="shared" si="273"/>
      </c>
      <c r="M271" s="207">
        <f t="shared" si="212"/>
      </c>
      <c r="N271" s="208">
        <f t="shared" si="182"/>
      </c>
      <c r="O271" s="209">
        <f t="shared" si="152"/>
      </c>
      <c r="P271" s="208">
        <f t="shared" si="242"/>
      </c>
      <c r="Q271" s="210" t="s">
        <v>127</v>
      </c>
      <c r="R271" s="251" t="s">
        <v>141</v>
      </c>
      <c r="S271" s="216">
        <v>117926</v>
      </c>
      <c r="T271" s="216">
        <v>2498</v>
      </c>
      <c r="U271" s="212">
        <v>397</v>
      </c>
      <c r="V271" s="212">
        <v>4024</v>
      </c>
      <c r="W271" s="212">
        <v>659</v>
      </c>
      <c r="X271" s="214">
        <v>29</v>
      </c>
      <c r="Y271" s="217">
        <v>85</v>
      </c>
      <c r="Z271" s="250"/>
    </row>
    <row r="272">
      <c r="A272" s="252"/>
      <c r="B272" s="227" t="s">
        <v>132</v>
      </c>
      <c r="C272" s="202" t="s">
        <v>117</v>
      </c>
      <c r="D272" s="202">
        <f t="shared" si="76"/>
      </c>
      <c r="E272" s="218">
        <v>0</v>
      </c>
      <c r="F272" s="202">
        <v>903.14</v>
      </c>
      <c r="G272" s="202">
        <v>3238.57</v>
      </c>
      <c r="H272" s="215">
        <v>23</v>
      </c>
      <c r="I272" s="218">
        <v>9952.939999999999</v>
      </c>
      <c r="J272" s="206">
        <f t="shared" si="12"/>
      </c>
      <c r="K272" s="206">
        <f t="shared" si="303"/>
      </c>
      <c r="L272" s="206">
        <f t="shared" si="273"/>
      </c>
      <c r="M272" s="207">
        <f t="shared" si="212"/>
      </c>
      <c r="N272" s="208">
        <f t="shared" si="182"/>
      </c>
      <c r="O272" s="209">
        <f t="shared" si="152"/>
      </c>
      <c r="P272" s="208">
        <f t="shared" si="242"/>
      </c>
      <c r="Q272" s="210" t="s">
        <v>127</v>
      </c>
      <c r="R272" s="251" t="s">
        <v>141</v>
      </c>
      <c r="S272" s="217">
        <v>170935</v>
      </c>
      <c r="T272" s="217">
        <v>2122</v>
      </c>
      <c r="U272" s="217">
        <v>341</v>
      </c>
      <c r="V272" s="217">
        <v>2964</v>
      </c>
      <c r="W272" s="217">
        <v>463</v>
      </c>
      <c r="X272" s="214">
        <v>37</v>
      </c>
      <c r="Y272" s="217">
        <v>60</v>
      </c>
      <c r="Z272" s="250"/>
    </row>
    <row r="273">
      <c r="A273" s="252"/>
      <c r="B273" s="227" t="s">
        <v>132</v>
      </c>
      <c r="C273" s="202" t="s">
        <v>118</v>
      </c>
      <c r="D273" s="202">
        <f t="shared" si="76"/>
      </c>
      <c r="E273" s="202">
        <v>0</v>
      </c>
      <c r="F273" s="202">
        <v>396.65</v>
      </c>
      <c r="G273" s="202">
        <v>3301.94</v>
      </c>
      <c r="H273" s="215">
        <v>15</v>
      </c>
      <c r="I273" s="202">
        <v>4126.720000000001</v>
      </c>
      <c r="J273" s="206">
        <f t="shared" si="12"/>
      </c>
      <c r="K273" s="206">
        <f t="shared" si="303"/>
      </c>
      <c r="L273" s="206">
        <f t="shared" si="273"/>
      </c>
      <c r="M273" s="207">
        <f t="shared" si="212"/>
      </c>
      <c r="N273" s="208">
        <f t="shared" si="182"/>
      </c>
      <c r="O273" s="209">
        <f t="shared" si="152"/>
      </c>
      <c r="P273" s="208">
        <f t="shared" si="242"/>
      </c>
      <c r="Q273" s="210" t="s">
        <v>127</v>
      </c>
      <c r="R273" s="251" t="s">
        <v>141</v>
      </c>
      <c r="S273" s="217">
        <v>157060</v>
      </c>
      <c r="T273" s="217">
        <v>1896</v>
      </c>
      <c r="U273" s="217">
        <v>300</v>
      </c>
      <c r="V273" s="217">
        <v>2377</v>
      </c>
      <c r="W273" s="217">
        <v>347</v>
      </c>
      <c r="X273" s="214">
        <v>25</v>
      </c>
      <c r="Y273" s="217">
        <v>73</v>
      </c>
      <c r="Z273" s="250"/>
    </row>
    <row r="274">
      <c r="A274" s="252"/>
      <c r="B274" s="219" t="s">
        <v>119</v>
      </c>
      <c r="C274" s="219"/>
      <c r="D274" s="220">
        <f>SUM(D270:D273)</f>
      </c>
      <c r="E274" s="220">
        <f>SUM(E270:E273)</f>
      </c>
      <c r="F274" s="220">
        <f>SUM(F270:G273)</f>
      </c>
      <c r="G274" s="220"/>
      <c r="H274" s="221">
        <f>SUM(H270:H273)</f>
      </c>
      <c r="I274" s="220">
        <f>SUM(I270:I273)</f>
      </c>
      <c r="J274" s="253">
        <f t="shared" si="12"/>
      </c>
      <c r="K274" s="223">
        <f t="shared" si="303"/>
      </c>
      <c r="L274" s="254">
        <f t="shared" si="273"/>
      </c>
      <c r="M274" s="225">
        <f t="shared" si="212"/>
      </c>
      <c r="N274" s="225">
        <f t="shared" si="182"/>
      </c>
      <c r="O274" s="226">
        <f t="shared" si="152"/>
      </c>
      <c r="P274" s="225">
        <f t="shared" si="242"/>
      </c>
      <c r="Q274" s="226"/>
      <c r="R274" s="226"/>
      <c r="S274" s="221">
        <f>SUM(S270:S273)</f>
      </c>
      <c r="T274" s="221">
        <f>SUM(T270:T273)</f>
      </c>
      <c r="U274" s="221">
        <f>SUM(U270:U273)</f>
      </c>
      <c r="V274" s="221">
        <f>SUM(V270:V273)</f>
      </c>
      <c r="W274" s="221">
        <f>SUM(W270:W273)</f>
      </c>
      <c r="X274" s="221">
        <f>SUM(X270:X273)</f>
      </c>
      <c r="Y274" s="221">
        <f>SUM(Y270:Y273)</f>
      </c>
      <c r="Z274" s="250"/>
    </row>
    <row r="275">
      <c r="A275" s="252"/>
      <c r="B275" s="201" t="s">
        <v>144</v>
      </c>
      <c r="C275" s="202" t="s">
        <v>121</v>
      </c>
      <c r="D275" s="202">
        <f t="shared" ref="D275:D278" si="77">E275+G275+F275</f>
      </c>
      <c r="E275" s="202">
        <v>0</v>
      </c>
      <c r="F275" s="202">
        <v>2439.07</v>
      </c>
      <c r="G275" s="202">
        <v>1678.62</v>
      </c>
      <c r="H275" s="215">
        <v>16</v>
      </c>
      <c r="I275" s="202">
        <v>9184.069999999996</v>
      </c>
      <c r="J275" s="206">
        <f t="shared" si="12"/>
      </c>
      <c r="K275" s="206">
        <f t="shared" si="303"/>
      </c>
      <c r="L275" s="206">
        <f t="shared" si="273"/>
      </c>
      <c r="M275" s="207">
        <f t="shared" si="212"/>
      </c>
      <c r="N275" s="208">
        <f t="shared" si="182"/>
      </c>
      <c r="O275" s="209">
        <f t="shared" si="152"/>
      </c>
      <c r="P275" s="208">
        <f t="shared" si="242"/>
      </c>
      <c r="Q275" s="210" t="s">
        <v>127</v>
      </c>
      <c r="R275" s="251" t="s">
        <v>141</v>
      </c>
      <c r="S275" s="228">
        <v>55452</v>
      </c>
      <c r="T275" s="228">
        <v>4267</v>
      </c>
      <c r="U275" s="228">
        <v>635</v>
      </c>
      <c r="V275" s="228">
        <v>7337</v>
      </c>
      <c r="W275" s="228">
        <v>1191</v>
      </c>
      <c r="X275" s="229">
        <v>25</v>
      </c>
      <c r="Y275" s="228">
        <v>103</v>
      </c>
      <c r="Z275" s="250"/>
    </row>
    <row r="276">
      <c r="A276" s="252"/>
      <c r="B276" s="201" t="s">
        <v>144</v>
      </c>
      <c r="C276" s="202" t="s">
        <v>122</v>
      </c>
      <c r="D276" s="202">
        <f t="shared" si="77"/>
      </c>
      <c r="E276" s="202">
        <v>0</v>
      </c>
      <c r="F276" s="202">
        <v>2276.65</v>
      </c>
      <c r="G276" s="202">
        <v>1899.92</v>
      </c>
      <c r="H276" s="215">
        <v>13</v>
      </c>
      <c r="I276" s="202">
        <v>4179.020000000004</v>
      </c>
      <c r="J276" s="206">
        <f t="shared" si="12"/>
      </c>
      <c r="K276" s="206">
        <f t="shared" si="303"/>
      </c>
      <c r="L276" s="206">
        <f t="shared" si="273"/>
      </c>
      <c r="M276" s="207">
        <f t="shared" si="212"/>
      </c>
      <c r="N276" s="208">
        <f t="shared" si="182"/>
      </c>
      <c r="O276" s="209">
        <f t="shared" si="152"/>
      </c>
      <c r="P276" s="208">
        <f t="shared" si="242"/>
      </c>
      <c r="Q276" s="210" t="s">
        <v>127</v>
      </c>
      <c r="R276" s="251" t="s">
        <v>141</v>
      </c>
      <c r="S276" s="228">
        <v>64639</v>
      </c>
      <c r="T276" s="228">
        <v>4342</v>
      </c>
      <c r="U276" s="228">
        <v>548</v>
      </c>
      <c r="V276" s="228">
        <v>7616</v>
      </c>
      <c r="W276" s="228">
        <v>1186</v>
      </c>
      <c r="X276" s="229">
        <v>21</v>
      </c>
      <c r="Y276" s="228">
        <v>93</v>
      </c>
      <c r="Z276" s="250"/>
    </row>
    <row r="277">
      <c r="A277" s="252"/>
      <c r="B277" s="201" t="s">
        <v>144</v>
      </c>
      <c r="C277" s="202" t="s">
        <v>123</v>
      </c>
      <c r="D277" s="202">
        <f t="shared" si="77"/>
      </c>
      <c r="E277" s="202">
        <v>0</v>
      </c>
      <c r="F277" s="202">
        <v>1885.73</v>
      </c>
      <c r="G277" s="202">
        <v>804.02</v>
      </c>
      <c r="H277" s="215">
        <v>14</v>
      </c>
      <c r="I277" s="202">
        <v>6132.040000000001</v>
      </c>
      <c r="J277" s="206">
        <f t="shared" si="12"/>
      </c>
      <c r="K277" s="206">
        <f t="shared" si="303"/>
      </c>
      <c r="L277" s="206">
        <f t="shared" si="273"/>
      </c>
      <c r="M277" s="207">
        <f t="shared" si="212"/>
      </c>
      <c r="N277" s="208">
        <f t="shared" si="182"/>
      </c>
      <c r="O277" s="209">
        <f t="shared" si="152"/>
      </c>
      <c r="P277" s="208">
        <f t="shared" si="242"/>
      </c>
      <c r="Q277" s="210" t="s">
        <v>127</v>
      </c>
      <c r="R277" s="251" t="s">
        <v>141</v>
      </c>
      <c r="S277" s="228">
        <v>39552</v>
      </c>
      <c r="T277" s="228">
        <v>2820</v>
      </c>
      <c r="U277" s="228">
        <v>367</v>
      </c>
      <c r="V277" s="228">
        <v>5005</v>
      </c>
      <c r="W277" s="228">
        <v>711</v>
      </c>
      <c r="X277" s="229">
        <v>17</v>
      </c>
      <c r="Y277" s="228">
        <v>58</v>
      </c>
      <c r="Z277" s="250"/>
    </row>
    <row r="278">
      <c r="A278" s="252"/>
      <c r="B278" s="201" t="s">
        <v>144</v>
      </c>
      <c r="C278" s="202" t="s">
        <v>124</v>
      </c>
      <c r="D278" s="202">
        <f t="shared" si="77"/>
      </c>
      <c r="E278" s="202">
        <v>0</v>
      </c>
      <c r="F278" s="202">
        <v>2177.27</v>
      </c>
      <c r="G278" s="202">
        <v>597.12</v>
      </c>
      <c r="H278" s="215">
        <v>11</v>
      </c>
      <c r="I278" s="202">
        <v>2347.0800000000017</v>
      </c>
      <c r="J278" s="206">
        <f t="shared" si="12"/>
      </c>
      <c r="K278" s="206">
        <f t="shared" si="303"/>
      </c>
      <c r="L278" s="206">
        <f t="shared" si="273"/>
      </c>
      <c r="M278" s="207">
        <f t="shared" si="212"/>
      </c>
      <c r="N278" s="208">
        <f t="shared" si="182"/>
      </c>
      <c r="O278" s="209">
        <f t="shared" si="152"/>
      </c>
      <c r="P278" s="208">
        <f t="shared" si="242"/>
      </c>
      <c r="Q278" s="210" t="s">
        <v>127</v>
      </c>
      <c r="R278" s="251" t="s">
        <v>141</v>
      </c>
      <c r="S278" s="228">
        <v>41026</v>
      </c>
      <c r="T278" s="228">
        <v>2958</v>
      </c>
      <c r="U278" s="228">
        <v>353</v>
      </c>
      <c r="V278" s="228">
        <v>5169</v>
      </c>
      <c r="W278" s="228">
        <v>730</v>
      </c>
      <c r="X278" s="229">
        <v>20</v>
      </c>
      <c r="Y278" s="228">
        <v>56</v>
      </c>
      <c r="Z278" s="250"/>
    </row>
    <row r="279">
      <c r="A279" s="252"/>
      <c r="B279" s="219" t="s">
        <v>119</v>
      </c>
      <c r="C279" s="219"/>
      <c r="D279" s="220">
        <f>SUM(D275:D278)</f>
      </c>
      <c r="E279" s="220">
        <v>0</v>
      </c>
      <c r="F279" s="220">
        <f>SUM(F275:G278)</f>
      </c>
      <c r="G279" s="220"/>
      <c r="H279" s="221">
        <f>SUM(H275:H278)</f>
      </c>
      <c r="I279" s="220">
        <f>SUM(I275:I278)</f>
      </c>
      <c r="J279" s="222">
        <f t="shared" si="12"/>
      </c>
      <c r="K279" s="223">
        <f t="shared" si="303"/>
      </c>
      <c r="L279" s="224">
        <f t="shared" si="273"/>
      </c>
      <c r="M279" s="225">
        <f t="shared" si="212"/>
      </c>
      <c r="N279" s="225">
        <f t="shared" si="182"/>
      </c>
      <c r="O279" s="226">
        <f t="shared" si="152"/>
      </c>
      <c r="P279" s="225">
        <f t="shared" si="242"/>
      </c>
      <c r="Q279" s="226"/>
      <c r="R279" s="226"/>
      <c r="S279" s="221">
        <f>SUM(S275:S278)</f>
      </c>
      <c r="T279" s="221">
        <f>SUM(T275:T278)</f>
      </c>
      <c r="U279" s="221">
        <f>SUM(U275:U278)</f>
      </c>
      <c r="V279" s="221">
        <f>SUM(V275:V278)</f>
      </c>
      <c r="W279" s="221">
        <f>SUM(W275:W278)</f>
      </c>
      <c r="X279" s="221">
        <f>SUM(X275:X278)</f>
      </c>
      <c r="Y279" s="221">
        <f>SUM(Y275:Y278)</f>
      </c>
      <c r="Z279" s="250"/>
    </row>
    <row r="280">
      <c r="A280" s="252"/>
      <c r="B280" s="245" t="s">
        <v>120</v>
      </c>
      <c r="C280" s="202" t="s">
        <v>126</v>
      </c>
      <c r="D280" s="202">
        <f t="shared" ref="D280:D283" si="78">E280+G280+F280</f>
      </c>
      <c r="E280" s="203">
        <v>0</v>
      </c>
      <c r="F280" s="203">
        <v>3747.03</v>
      </c>
      <c r="G280" s="203">
        <v>865.74</v>
      </c>
      <c r="H280" s="204">
        <v>8</v>
      </c>
      <c r="I280" s="203">
        <v>3010.38</v>
      </c>
      <c r="J280" s="206">
        <f t="shared" si="12"/>
      </c>
      <c r="K280" s="206">
        <f t="shared" si="303"/>
      </c>
      <c r="L280" s="206">
        <f t="shared" si="273"/>
      </c>
      <c r="M280" s="207">
        <f t="shared" si="212"/>
      </c>
      <c r="N280" s="208">
        <f t="shared" si="182"/>
      </c>
      <c r="O280" s="209">
        <f t="shared" si="152"/>
      </c>
      <c r="P280" s="208">
        <f t="shared" si="242"/>
      </c>
      <c r="Q280" s="210" t="s">
        <v>114</v>
      </c>
      <c r="R280" s="251" t="s">
        <v>141</v>
      </c>
      <c r="S280" s="230">
        <v>75044</v>
      </c>
      <c r="T280" s="230">
        <v>5359</v>
      </c>
      <c r="U280" s="230">
        <v>488</v>
      </c>
      <c r="V280" s="230">
        <v>9697</v>
      </c>
      <c r="W280" s="230">
        <v>1228</v>
      </c>
      <c r="X280" s="234">
        <v>20</v>
      </c>
      <c r="Y280" s="229">
        <v>78</v>
      </c>
      <c r="Z280" s="250"/>
    </row>
    <row r="281">
      <c r="A281" s="252"/>
      <c r="B281" s="201" t="s">
        <v>120</v>
      </c>
      <c r="C281" s="202" t="s">
        <v>128</v>
      </c>
      <c r="D281" s="202">
        <f t="shared" si="78"/>
      </c>
      <c r="E281" s="203">
        <v>0</v>
      </c>
      <c r="F281" s="203">
        <v>1817.43</v>
      </c>
      <c r="G281" s="203">
        <v>1473.38</v>
      </c>
      <c r="H281" s="204">
        <v>15</v>
      </c>
      <c r="I281" s="203">
        <v>5959.44</v>
      </c>
      <c r="J281" s="206">
        <f t="shared" si="12"/>
      </c>
      <c r="K281" s="206">
        <f t="shared" si="303"/>
      </c>
      <c r="L281" s="206">
        <f t="shared" si="273"/>
      </c>
      <c r="M281" s="207">
        <f t="shared" si="212"/>
      </c>
      <c r="N281" s="208">
        <f t="shared" si="182"/>
      </c>
      <c r="O281" s="209">
        <f t="shared" si="152"/>
      </c>
      <c r="P281" s="208">
        <f t="shared" si="242"/>
      </c>
      <c r="Q281" s="210" t="s">
        <v>114</v>
      </c>
      <c r="R281" s="232" t="s">
        <v>129</v>
      </c>
      <c r="S281" s="229">
        <v>61396</v>
      </c>
      <c r="T281" s="229">
        <v>3739</v>
      </c>
      <c r="U281" s="229">
        <v>540</v>
      </c>
      <c r="V281" s="229">
        <v>5763</v>
      </c>
      <c r="W281" s="229">
        <v>732</v>
      </c>
      <c r="X281" s="229">
        <v>26</v>
      </c>
      <c r="Y281" s="229">
        <v>87</v>
      </c>
      <c r="Z281" s="250"/>
    </row>
    <row r="282">
      <c r="A282" s="252"/>
      <c r="B282" s="201" t="s">
        <v>120</v>
      </c>
      <c r="C282" s="202" t="s">
        <v>130</v>
      </c>
      <c r="D282" s="202">
        <f t="shared" si="78"/>
      </c>
      <c r="E282" s="203">
        <v>0</v>
      </c>
      <c r="F282" s="203">
        <v>1875</v>
      </c>
      <c r="G282" s="203">
        <v>2098.61</v>
      </c>
      <c r="H282" s="204">
        <v>20</v>
      </c>
      <c r="I282" s="203">
        <v>9677.3</v>
      </c>
      <c r="J282" s="206">
        <f t="shared" si="12"/>
      </c>
      <c r="K282" s="206">
        <f t="shared" si="303"/>
      </c>
      <c r="L282" s="206">
        <f t="shared" si="273"/>
      </c>
      <c r="M282" s="207">
        <f t="shared" si="212"/>
      </c>
      <c r="N282" s="208">
        <f t="shared" si="182"/>
      </c>
      <c r="O282" s="209">
        <f t="shared" si="152"/>
      </c>
      <c r="P282" s="208">
        <f t="shared" si="242"/>
      </c>
      <c r="Q282" s="210" t="s">
        <v>114</v>
      </c>
      <c r="R282" s="232" t="s">
        <v>129</v>
      </c>
      <c r="S282" s="229">
        <v>87384</v>
      </c>
      <c r="T282" s="229">
        <v>5246</v>
      </c>
      <c r="U282" s="229">
        <v>555</v>
      </c>
      <c r="V282" s="229">
        <v>8585</v>
      </c>
      <c r="W282" s="229">
        <v>1189</v>
      </c>
      <c r="X282" s="229">
        <v>29</v>
      </c>
      <c r="Y282" s="229">
        <v>110</v>
      </c>
      <c r="Z282" s="250"/>
    </row>
    <row r="283">
      <c r="A283" s="252"/>
      <c r="B283" s="201" t="s">
        <v>120</v>
      </c>
      <c r="C283" s="202" t="s">
        <v>131</v>
      </c>
      <c r="D283" s="202">
        <f t="shared" si="78"/>
      </c>
      <c r="E283" s="203">
        <v>0</v>
      </c>
      <c r="F283" s="203">
        <v>4828.87</v>
      </c>
      <c r="G283" s="203">
        <v>2127.72</v>
      </c>
      <c r="H283" s="204">
        <v>25</v>
      </c>
      <c r="I283" s="203">
        <v>9856.48</v>
      </c>
      <c r="J283" s="206">
        <f t="shared" si="12"/>
      </c>
      <c r="K283" s="206">
        <f t="shared" si="303"/>
      </c>
      <c r="L283" s="206">
        <f t="shared" si="273"/>
      </c>
      <c r="M283" s="207">
        <f t="shared" si="212"/>
      </c>
      <c r="N283" s="208">
        <f t="shared" si="182"/>
      </c>
      <c r="O283" s="209">
        <f t="shared" si="152"/>
      </c>
      <c r="P283" s="208">
        <f t="shared" si="242"/>
      </c>
      <c r="Q283" s="210" t="s">
        <v>114</v>
      </c>
      <c r="R283" s="232" t="s">
        <v>129</v>
      </c>
      <c r="S283" s="229">
        <v>165577</v>
      </c>
      <c r="T283" s="229">
        <v>9019</v>
      </c>
      <c r="U283" s="229">
        <v>785</v>
      </c>
      <c r="V283" s="229">
        <v>17761</v>
      </c>
      <c r="W283" s="229">
        <v>2362</v>
      </c>
      <c r="X283" s="229">
        <v>40</v>
      </c>
      <c r="Y283" s="229">
        <v>139</v>
      </c>
      <c r="Z283" s="250"/>
    </row>
    <row r="284">
      <c r="A284" s="252"/>
      <c r="B284" s="219" t="s">
        <v>119</v>
      </c>
      <c r="C284" s="219"/>
      <c r="D284" s="220">
        <f>SUM(D280:D283)</f>
      </c>
      <c r="E284" s="220">
        <f>SUM(E280:E283)</f>
      </c>
      <c r="F284" s="220">
        <f>SUM(F280:G283)</f>
      </c>
      <c r="G284" s="220"/>
      <c r="H284" s="221">
        <f>SUM(H280:H283)</f>
      </c>
      <c r="I284" s="221">
        <f>SUM(I280:I283)</f>
      </c>
      <c r="J284" s="222">
        <f t="shared" si="12"/>
      </c>
      <c r="K284" s="223">
        <f t="shared" si="303"/>
      </c>
      <c r="L284" s="224">
        <f t="shared" si="273"/>
      </c>
      <c r="M284" s="225">
        <f t="shared" si="212"/>
      </c>
      <c r="N284" s="225">
        <f t="shared" si="182"/>
      </c>
      <c r="O284" s="226">
        <f t="shared" si="152"/>
      </c>
      <c r="P284" s="225">
        <f t="shared" si="242"/>
      </c>
      <c r="Q284" s="226"/>
      <c r="R284" s="226"/>
      <c r="S284" s="221">
        <f>SUM(S280:S283)</f>
      </c>
      <c r="T284" s="221">
        <f>SUM(T280:T283)</f>
      </c>
      <c r="U284" s="221">
        <f>SUM(U280:U283)</f>
      </c>
      <c r="V284" s="221">
        <f>SUM(V280:V283)</f>
      </c>
      <c r="W284" s="221">
        <f>SUM(W280:W283)</f>
      </c>
      <c r="X284" s="221">
        <f>SUM(X280:X283)</f>
      </c>
      <c r="Y284" s="221">
        <f>SUM(Y280:Y283)</f>
      </c>
      <c r="Z284" s="250"/>
    </row>
    <row r="285">
      <c r="A285" s="252"/>
      <c r="B285" s="201" t="s">
        <v>112</v>
      </c>
      <c r="C285" s="203" t="s">
        <v>133</v>
      </c>
      <c r="D285" s="202">
        <f t="shared" ref="D285:D286" si="79">E285+G285+F285</f>
      </c>
      <c r="E285" s="203">
        <v>0</v>
      </c>
      <c r="F285" s="203">
        <v>2678.82</v>
      </c>
      <c r="G285" s="203">
        <v>1294.31</v>
      </c>
      <c r="H285" s="204">
        <v>14</v>
      </c>
      <c r="I285" s="203">
        <v>4360.7</v>
      </c>
      <c r="J285" s="206">
        <f t="shared" si="12"/>
      </c>
      <c r="K285" s="206">
        <f t="shared" si="303"/>
      </c>
      <c r="L285" s="206">
        <f t="shared" si="273"/>
      </c>
      <c r="M285" s="207">
        <f t="shared" si="212"/>
      </c>
      <c r="N285" s="208">
        <f t="shared" si="182"/>
      </c>
      <c r="O285" s="209">
        <f t="shared" si="152"/>
      </c>
      <c r="P285" s="208">
        <f t="shared" si="242"/>
      </c>
      <c r="Q285" s="210" t="s">
        <v>114</v>
      </c>
      <c r="R285" s="232" t="s">
        <v>129</v>
      </c>
      <c r="S285" s="233">
        <v>96397</v>
      </c>
      <c r="T285" s="233">
        <v>4481</v>
      </c>
      <c r="U285" s="233">
        <v>509</v>
      </c>
      <c r="V285" s="233">
        <v>8431</v>
      </c>
      <c r="W285" s="233">
        <v>1062</v>
      </c>
      <c r="X285" s="233">
        <v>24</v>
      </c>
      <c r="Y285" s="229">
        <v>61</v>
      </c>
      <c r="Z285" s="250"/>
    </row>
    <row r="286">
      <c r="A286" s="252"/>
      <c r="B286" s="201" t="s">
        <v>112</v>
      </c>
      <c r="C286" s="202" t="s">
        <v>134</v>
      </c>
      <c r="D286" s="202">
        <f t="shared" si="79"/>
      </c>
      <c r="E286" s="203">
        <v>0</v>
      </c>
      <c r="F286" s="203">
        <f>1094.59+1.9+3.39</f>
      </c>
      <c r="G286" s="203">
        <v>1131.92</v>
      </c>
      <c r="H286" s="204">
        <v>3</v>
      </c>
      <c r="I286" s="203">
        <v>2506.34</v>
      </c>
      <c r="J286" s="206">
        <f t="shared" si="12"/>
      </c>
      <c r="K286" s="206">
        <f t="shared" si="303"/>
      </c>
      <c r="L286" s="206">
        <f t="shared" si="273"/>
      </c>
      <c r="M286" s="207">
        <f t="shared" si="212"/>
      </c>
      <c r="N286" s="208">
        <f t="shared" si="182"/>
      </c>
      <c r="O286" s="209">
        <f t="shared" si="152"/>
      </c>
      <c r="P286" s="208">
        <f t="shared" si="242"/>
      </c>
      <c r="Q286" s="210" t="s">
        <v>114</v>
      </c>
      <c r="R286" s="232" t="s">
        <v>129</v>
      </c>
      <c r="S286" s="233">
        <v>46831</v>
      </c>
      <c r="T286" s="233">
        <v>2227</v>
      </c>
      <c r="U286" s="233">
        <v>264</v>
      </c>
      <c r="V286" s="233">
        <v>3587</v>
      </c>
      <c r="W286" s="246">
        <v>453</v>
      </c>
      <c r="X286" s="214">
        <v>10</v>
      </c>
      <c r="Y286" s="248">
        <v>44</v>
      </c>
      <c r="Z286" s="250"/>
    </row>
    <row r="287">
      <c r="A287" s="252"/>
      <c r="B287" s="219" t="s">
        <v>119</v>
      </c>
      <c r="C287" s="219"/>
      <c r="D287" s="220">
        <f>SUM(D285:D286)</f>
      </c>
      <c r="E287" s="220">
        <f>SUM(E285:E286)</f>
      </c>
      <c r="F287" s="220">
        <f>SUM(F285:G286)</f>
      </c>
      <c r="G287" s="220"/>
      <c r="H287" s="220">
        <f>SUM(H285:H286)</f>
      </c>
      <c r="I287" s="220">
        <f>SUM(I285:I286)</f>
      </c>
      <c r="J287" s="222">
        <f t="shared" si="12"/>
      </c>
      <c r="K287" s="223">
        <f t="shared" si="303"/>
      </c>
      <c r="L287" s="224">
        <f t="shared" si="273"/>
      </c>
      <c r="M287" s="225">
        <f t="shared" si="212"/>
      </c>
      <c r="N287" s="225">
        <f t="shared" si="182"/>
      </c>
      <c r="O287" s="226">
        <f t="shared" si="152"/>
      </c>
      <c r="P287" s="225">
        <f t="shared" si="242"/>
      </c>
      <c r="Q287" s="226"/>
      <c r="R287" s="235"/>
      <c r="S287" s="220">
        <f>SUM(S285:S286)</f>
      </c>
      <c r="T287" s="220">
        <f>SUM(T285:T286)</f>
      </c>
      <c r="U287" s="220">
        <f>SUM(U285:U286)</f>
      </c>
      <c r="V287" s="220">
        <f>SUM(V285:V286)</f>
      </c>
      <c r="W287" s="220">
        <f>SUM(W285:W286)</f>
      </c>
      <c r="X287" s="220">
        <f>SUM(X285:X286)</f>
      </c>
      <c r="Y287" s="220">
        <f>SUM(Y285:Y286)</f>
      </c>
      <c r="Z287" s="250"/>
    </row>
    <row r="288">
      <c r="A288" s="252"/>
      <c r="B288" s="236" t="s">
        <v>138</v>
      </c>
      <c r="C288" s="236"/>
      <c r="D288" s="237">
        <f>D287+D284+D279+D274</f>
      </c>
      <c r="E288" s="237">
        <f>E287+E284+E279+E274</f>
      </c>
      <c r="F288" s="237">
        <f>F287+F284+F279+F274</f>
      </c>
      <c r="G288" s="237"/>
      <c r="H288" s="238">
        <f>H287+H284+H279+H274</f>
      </c>
      <c r="I288" s="237">
        <f>I287+I284+I279+I274</f>
      </c>
      <c r="J288" s="239">
        <f t="shared" si="12"/>
      </c>
      <c r="K288" s="239">
        <f t="shared" si="303"/>
      </c>
      <c r="L288" s="239">
        <f t="shared" si="273"/>
      </c>
      <c r="M288" s="240">
        <f t="shared" si="212"/>
      </c>
      <c r="N288" s="240">
        <f t="shared" si="182"/>
      </c>
      <c r="O288" s="239">
        <f t="shared" si="152"/>
      </c>
      <c r="P288" s="240">
        <f t="shared" si="242"/>
      </c>
      <c r="Q288" s="241"/>
      <c r="R288" s="242"/>
      <c r="S288" s="243">
        <f>S287+S284+S279+S274</f>
      </c>
      <c r="T288" s="243">
        <f>T287+T284+T279+T274</f>
      </c>
      <c r="U288" s="243">
        <f>U287+U284+U279+U274</f>
      </c>
      <c r="V288" s="243">
        <f>V287+V284+V279+V274</f>
      </c>
      <c r="W288" s="243">
        <f>W287+W284+W279+W274</f>
      </c>
      <c r="X288" s="244">
        <f>X287+X284+X279+X274</f>
      </c>
      <c r="Y288" s="238">
        <f>Y287+Y284+Y279+Y274</f>
      </c>
      <c r="Z288" s="250"/>
    </row>
    <row r="289">
      <c r="A289" s="188" t="s">
        <v>83</v>
      </c>
      <c r="B289" s="188"/>
      <c r="C289" s="188"/>
      <c r="D289" s="189" t="s">
        <v>84</v>
      </c>
      <c r="E289" s="189"/>
      <c r="F289" s="189"/>
      <c r="G289" s="189"/>
      <c r="H289" s="189"/>
      <c r="I289" s="189"/>
      <c r="J289" s="189"/>
      <c r="K289" s="189"/>
      <c r="L289" s="189"/>
      <c r="M289" s="190" t="s">
        <v>85</v>
      </c>
      <c r="N289" s="190"/>
      <c r="O289" s="190"/>
      <c r="P289" s="190"/>
      <c r="Q289" s="190"/>
      <c r="R289" s="190"/>
      <c r="S289" s="191" t="s">
        <v>86</v>
      </c>
      <c r="T289" s="191"/>
      <c r="U289" s="191"/>
      <c r="V289" s="191"/>
      <c r="W289" s="191"/>
      <c r="X289" s="191"/>
      <c r="Y289" s="191"/>
      <c r="Z289" s="250"/>
    </row>
    <row r="290">
      <c r="A290" s="192" t="s">
        <v>87</v>
      </c>
      <c r="B290" s="188" t="s">
        <v>88</v>
      </c>
      <c r="C290" s="188" t="s">
        <v>89</v>
      </c>
      <c r="D290" s="193" t="s">
        <v>90</v>
      </c>
      <c r="E290" s="193" t="s">
        <v>91</v>
      </c>
      <c r="F290" s="189" t="s">
        <v>92</v>
      </c>
      <c r="G290" s="189"/>
      <c r="H290" s="194" t="s">
        <v>93</v>
      </c>
      <c r="I290" s="189" t="s">
        <v>94</v>
      </c>
      <c r="J290" s="195" t="s">
        <v>95</v>
      </c>
      <c r="K290" s="196" t="s">
        <v>96</v>
      </c>
      <c r="L290" s="189" t="s">
        <v>97</v>
      </c>
      <c r="M290" s="190" t="s">
        <v>98</v>
      </c>
      <c r="N290" s="190" t="s">
        <v>99</v>
      </c>
      <c r="O290" s="190" t="s">
        <v>100</v>
      </c>
      <c r="P290" s="190" t="s">
        <v>101</v>
      </c>
      <c r="Q290" s="197" t="s">
        <v>102</v>
      </c>
      <c r="R290" s="197" t="s">
        <v>103</v>
      </c>
      <c r="S290" s="198" t="s">
        <v>104</v>
      </c>
      <c r="T290" s="198" t="s">
        <v>105</v>
      </c>
      <c r="U290" s="199" t="s">
        <v>106</v>
      </c>
      <c r="V290" s="199" t="s">
        <v>107</v>
      </c>
      <c r="W290" s="199" t="s">
        <v>108</v>
      </c>
      <c r="X290" s="199" t="s">
        <v>109</v>
      </c>
      <c r="Y290" s="199" t="s">
        <v>110</v>
      </c>
      <c r="Z290" s="250"/>
    </row>
    <row r="291">
      <c r="A291" s="200" t="s">
        <v>157</v>
      </c>
      <c r="B291" s="201" t="s">
        <v>132</v>
      </c>
      <c r="C291" s="202" t="s">
        <v>113</v>
      </c>
      <c r="D291" s="202">
        <f t="shared" ref="D291:D294" si="80">E291+G291+F291</f>
      </c>
      <c r="E291" s="202">
        <v>0</v>
      </c>
      <c r="F291" s="202">
        <v>68.25</v>
      </c>
      <c r="G291" s="202">
        <v>1040.79</v>
      </c>
      <c r="H291" s="204">
        <v>4</v>
      </c>
      <c r="I291" s="202">
        <v>1785.6</v>
      </c>
      <c r="J291" s="205">
        <f t="shared" ref="J291:J312" si="13">I291/D291</f>
      </c>
      <c r="K291" s="205">
        <f t="shared" ref="K291:K312" si="304">D291/H291</f>
      </c>
      <c r="L291" s="206">
        <f t="shared" ref="L291:L312" si="274">I291/H291</f>
      </c>
      <c r="M291" s="207">
        <f t="shared" ref="M291:M312" si="213">T291/S291</f>
      </c>
      <c r="N291" s="208">
        <f t="shared" ref="N291:N312" si="183">H291/X291</f>
      </c>
      <c r="O291" s="209">
        <f t="shared" ref="O291:O312" si="153">(Y291*1000)/D291</f>
      </c>
      <c r="P291" s="208">
        <f t="shared" ref="P291:P312" si="243">W291/V291</f>
      </c>
      <c r="Q291" s="210" t="s">
        <v>127</v>
      </c>
      <c r="R291" s="251" t="s">
        <v>141</v>
      </c>
      <c r="S291" s="212">
        <v>26620</v>
      </c>
      <c r="T291" s="212">
        <v>1083</v>
      </c>
      <c r="U291" s="213">
        <v>161</v>
      </c>
      <c r="V291" s="212">
        <v>1106</v>
      </c>
      <c r="W291" s="212">
        <v>136</v>
      </c>
      <c r="X291" s="214">
        <v>8</v>
      </c>
      <c r="Y291" s="214">
        <v>37</v>
      </c>
      <c r="Z291" s="250"/>
    </row>
    <row r="292">
      <c r="A292" s="252"/>
      <c r="B292" s="227" t="s">
        <v>132</v>
      </c>
      <c r="C292" s="202" t="s">
        <v>116</v>
      </c>
      <c r="D292" s="202">
        <f t="shared" si="80"/>
      </c>
      <c r="E292" s="202">
        <v>0</v>
      </c>
      <c r="F292" s="202">
        <v>515.38</v>
      </c>
      <c r="G292" s="202">
        <v>1028.52</v>
      </c>
      <c r="H292" s="215">
        <v>6</v>
      </c>
      <c r="I292" s="202">
        <v>2639.28</v>
      </c>
      <c r="J292" s="206">
        <f t="shared" si="13"/>
      </c>
      <c r="K292" s="206">
        <f t="shared" si="304"/>
      </c>
      <c r="L292" s="205">
        <f t="shared" si="274"/>
      </c>
      <c r="M292" s="207">
        <f t="shared" si="213"/>
      </c>
      <c r="N292" s="208">
        <f t="shared" si="183"/>
      </c>
      <c r="O292" s="209">
        <f t="shared" si="153"/>
      </c>
      <c r="P292" s="208">
        <f t="shared" si="243"/>
      </c>
      <c r="Q292" s="210" t="s">
        <v>127</v>
      </c>
      <c r="R292" s="251" t="s">
        <v>141</v>
      </c>
      <c r="S292" s="216">
        <v>36275</v>
      </c>
      <c r="T292" s="216">
        <v>1552</v>
      </c>
      <c r="U292" s="212">
        <v>244</v>
      </c>
      <c r="V292" s="212">
        <v>2173</v>
      </c>
      <c r="W292" s="212">
        <v>364</v>
      </c>
      <c r="X292" s="217">
        <v>13</v>
      </c>
      <c r="Y292" s="217">
        <v>41</v>
      </c>
      <c r="Z292" s="250"/>
    </row>
    <row r="293">
      <c r="A293" s="252"/>
      <c r="B293" s="227" t="s">
        <v>132</v>
      </c>
      <c r="C293" s="202" t="s">
        <v>117</v>
      </c>
      <c r="D293" s="202">
        <f t="shared" si="80"/>
      </c>
      <c r="E293" s="218">
        <v>334.15999999999997</v>
      </c>
      <c r="F293" s="202">
        <v>322.49</v>
      </c>
      <c r="G293" s="202">
        <v>1019.11</v>
      </c>
      <c r="H293" s="215">
        <v>4</v>
      </c>
      <c r="I293" s="202">
        <v>2066.8499999999995</v>
      </c>
      <c r="J293" s="206">
        <f t="shared" si="13"/>
      </c>
      <c r="K293" s="206">
        <f t="shared" si="304"/>
      </c>
      <c r="L293" s="206">
        <f t="shared" si="274"/>
      </c>
      <c r="M293" s="207">
        <f t="shared" si="213"/>
      </c>
      <c r="N293" s="208">
        <f t="shared" si="183"/>
      </c>
      <c r="O293" s="209">
        <f t="shared" si="153"/>
      </c>
      <c r="P293" s="208">
        <f t="shared" si="243"/>
      </c>
      <c r="Q293" s="210" t="s">
        <v>127</v>
      </c>
      <c r="R293" s="251" t="s">
        <v>141</v>
      </c>
      <c r="S293" s="217">
        <v>28150</v>
      </c>
      <c r="T293" s="217">
        <v>1370</v>
      </c>
      <c r="U293" s="217">
        <v>229</v>
      </c>
      <c r="V293" s="217">
        <v>2280</v>
      </c>
      <c r="W293" s="217">
        <v>416</v>
      </c>
      <c r="X293" s="217">
        <v>14</v>
      </c>
      <c r="Y293" s="217">
        <v>52</v>
      </c>
      <c r="Z293" s="250"/>
    </row>
    <row r="294">
      <c r="A294" s="252"/>
      <c r="B294" s="227" t="s">
        <v>132</v>
      </c>
      <c r="C294" s="202" t="s">
        <v>118</v>
      </c>
      <c r="D294" s="202">
        <f t="shared" si="80"/>
      </c>
      <c r="E294" s="202">
        <v>558.59</v>
      </c>
      <c r="F294" s="202">
        <v>775.2699999999999</v>
      </c>
      <c r="G294" s="202">
        <v>490.29</v>
      </c>
      <c r="H294" s="215">
        <v>9</v>
      </c>
      <c r="I294" s="202">
        <v>2351.8999999999996</v>
      </c>
      <c r="J294" s="206">
        <f t="shared" si="13"/>
      </c>
      <c r="K294" s="206">
        <f t="shared" si="304"/>
      </c>
      <c r="L294" s="206">
        <f t="shared" si="274"/>
      </c>
      <c r="M294" s="207">
        <f t="shared" si="213"/>
      </c>
      <c r="N294" s="208">
        <f t="shared" si="183"/>
      </c>
      <c r="O294" s="209">
        <f t="shared" si="153"/>
      </c>
      <c r="P294" s="208">
        <f t="shared" si="243"/>
      </c>
      <c r="Q294" s="210" t="s">
        <v>127</v>
      </c>
      <c r="R294" s="251" t="s">
        <v>141</v>
      </c>
      <c r="S294" s="217">
        <v>29023</v>
      </c>
      <c r="T294" s="217">
        <v>1326</v>
      </c>
      <c r="U294" s="217">
        <v>206</v>
      </c>
      <c r="V294" s="217">
        <v>2559</v>
      </c>
      <c r="W294" s="217">
        <v>414</v>
      </c>
      <c r="X294" s="217">
        <v>12</v>
      </c>
      <c r="Y294" s="217">
        <v>35</v>
      </c>
      <c r="Z294" s="250"/>
    </row>
    <row r="295">
      <c r="A295" s="252"/>
      <c r="B295" s="219" t="s">
        <v>119</v>
      </c>
      <c r="C295" s="219"/>
      <c r="D295" s="220">
        <f>SUM(D291:D294)</f>
      </c>
      <c r="E295" s="220">
        <f>SUM(E291:E294)</f>
      </c>
      <c r="F295" s="220">
        <f>SUM(F291:G294)</f>
      </c>
      <c r="G295" s="220"/>
      <c r="H295" s="221">
        <f>SUM(H291:H294)</f>
      </c>
      <c r="I295" s="220">
        <f>SUM(I291:I294)</f>
      </c>
      <c r="J295" s="222">
        <f t="shared" si="13"/>
      </c>
      <c r="K295" s="223">
        <f t="shared" si="304"/>
      </c>
      <c r="L295" s="224">
        <f t="shared" si="274"/>
      </c>
      <c r="M295" s="225">
        <f t="shared" si="213"/>
      </c>
      <c r="N295" s="225">
        <f t="shared" si="183"/>
      </c>
      <c r="O295" s="226">
        <f t="shared" si="153"/>
      </c>
      <c r="P295" s="225">
        <f t="shared" si="243"/>
      </c>
      <c r="Q295" s="226"/>
      <c r="R295" s="226"/>
      <c r="S295" s="221">
        <f>SUM(S291:S294)</f>
      </c>
      <c r="T295" s="221">
        <f>SUM(T291:T294)</f>
      </c>
      <c r="U295" s="221">
        <f>SUM(U291:U294)</f>
      </c>
      <c r="V295" s="221">
        <f>SUM(V291:V294)</f>
      </c>
      <c r="W295" s="221">
        <f>SUM(W291:W294)</f>
      </c>
      <c r="X295" s="221">
        <f>SUM(X291:X294)</f>
      </c>
      <c r="Y295" s="221">
        <f>SUM(Y291:Y294)</f>
      </c>
      <c r="Z295" s="250"/>
    </row>
    <row r="296">
      <c r="A296" s="252"/>
      <c r="B296" s="201" t="s">
        <v>125</v>
      </c>
      <c r="C296" s="202" t="s">
        <v>121</v>
      </c>
      <c r="D296" s="202">
        <f t="shared" ref="D296:D299" si="81">E296+G296+F296</f>
      </c>
      <c r="E296" s="202">
        <v>794.1300000000001</v>
      </c>
      <c r="F296" s="202">
        <v>958.26</v>
      </c>
      <c r="G296" s="202">
        <v>376.63</v>
      </c>
      <c r="H296" s="215">
        <v>10</v>
      </c>
      <c r="I296" s="202">
        <v>2519.42</v>
      </c>
      <c r="J296" s="206">
        <f t="shared" si="13"/>
      </c>
      <c r="K296" s="206">
        <f t="shared" si="304"/>
      </c>
      <c r="L296" s="206">
        <f t="shared" si="274"/>
      </c>
      <c r="M296" s="207">
        <f t="shared" si="213"/>
      </c>
      <c r="N296" s="208">
        <f t="shared" si="183"/>
      </c>
      <c r="O296" s="209">
        <f t="shared" si="153"/>
      </c>
      <c r="P296" s="208">
        <f t="shared" si="243"/>
      </c>
      <c r="Q296" s="210" t="s">
        <v>127</v>
      </c>
      <c r="R296" s="251" t="s">
        <v>141</v>
      </c>
      <c r="S296" s="228">
        <v>35046</v>
      </c>
      <c r="T296" s="228">
        <v>2002</v>
      </c>
      <c r="U296" s="228">
        <v>267</v>
      </c>
      <c r="V296" s="228">
        <v>3965</v>
      </c>
      <c r="W296" s="228">
        <v>648</v>
      </c>
      <c r="X296" s="228">
        <v>20</v>
      </c>
      <c r="Y296" s="228">
        <v>63</v>
      </c>
      <c r="Z296" s="250"/>
    </row>
    <row r="297">
      <c r="A297" s="252"/>
      <c r="B297" s="201" t="s">
        <v>125</v>
      </c>
      <c r="C297" s="202" t="s">
        <v>122</v>
      </c>
      <c r="D297" s="202">
        <f t="shared" si="81"/>
      </c>
      <c r="E297" s="202">
        <v>912.8899999999999</v>
      </c>
      <c r="F297" s="202">
        <v>1122.0800000000002</v>
      </c>
      <c r="G297" s="202">
        <v>338.53</v>
      </c>
      <c r="H297" s="215">
        <v>3</v>
      </c>
      <c r="I297" s="202">
        <v>1107.8400000000001</v>
      </c>
      <c r="J297" s="206">
        <f t="shared" si="13"/>
      </c>
      <c r="K297" s="206">
        <f t="shared" si="304"/>
      </c>
      <c r="L297" s="206">
        <f t="shared" si="274"/>
      </c>
      <c r="M297" s="207">
        <f t="shared" si="213"/>
      </c>
      <c r="N297" s="208">
        <f t="shared" si="183"/>
      </c>
      <c r="O297" s="209">
        <f t="shared" si="153"/>
      </c>
      <c r="P297" s="208">
        <f t="shared" si="243"/>
      </c>
      <c r="Q297" s="210" t="s">
        <v>127</v>
      </c>
      <c r="R297" s="251" t="s">
        <v>141</v>
      </c>
      <c r="S297" s="228">
        <v>35021</v>
      </c>
      <c r="T297" s="228">
        <v>2066</v>
      </c>
      <c r="U297" s="228">
        <v>215</v>
      </c>
      <c r="V297" s="228">
        <v>3883</v>
      </c>
      <c r="W297" s="228">
        <v>566</v>
      </c>
      <c r="X297" s="228">
        <v>6</v>
      </c>
      <c r="Y297" s="228">
        <v>37</v>
      </c>
      <c r="Z297" s="250"/>
    </row>
    <row r="298">
      <c r="A298" s="252"/>
      <c r="B298" s="201" t="s">
        <v>125</v>
      </c>
      <c r="C298" s="202" t="s">
        <v>123</v>
      </c>
      <c r="D298" s="202">
        <f t="shared" si="81"/>
      </c>
      <c r="E298" s="202">
        <v>1591.6100000000001</v>
      </c>
      <c r="F298" s="202">
        <v>579.7999999999997</v>
      </c>
      <c r="G298" s="202">
        <v>248.37</v>
      </c>
      <c r="H298" s="215">
        <v>13</v>
      </c>
      <c r="I298" s="202">
        <v>4964.799999999999</v>
      </c>
      <c r="J298" s="206">
        <f t="shared" si="13"/>
      </c>
      <c r="K298" s="206">
        <f t="shared" si="304"/>
      </c>
      <c r="L298" s="206">
        <f t="shared" si="274"/>
      </c>
      <c r="M298" s="207">
        <f t="shared" si="213"/>
      </c>
      <c r="N298" s="208">
        <f t="shared" si="183"/>
      </c>
      <c r="O298" s="209">
        <f t="shared" si="153"/>
      </c>
      <c r="P298" s="208">
        <f t="shared" si="243"/>
      </c>
      <c r="Q298" s="210" t="s">
        <v>127</v>
      </c>
      <c r="R298" s="251" t="s">
        <v>141</v>
      </c>
      <c r="S298" s="228">
        <v>37811</v>
      </c>
      <c r="T298" s="228">
        <v>2938</v>
      </c>
      <c r="U298" s="228">
        <v>289</v>
      </c>
      <c r="V298" s="228">
        <v>5968</v>
      </c>
      <c r="W298" s="228">
        <v>811</v>
      </c>
      <c r="X298" s="228">
        <v>21</v>
      </c>
      <c r="Y298" s="228">
        <v>70</v>
      </c>
      <c r="Z298" s="250"/>
    </row>
    <row r="299">
      <c r="A299" s="252"/>
      <c r="B299" s="201" t="s">
        <v>125</v>
      </c>
      <c r="C299" s="202" t="s">
        <v>124</v>
      </c>
      <c r="D299" s="202">
        <f t="shared" si="81"/>
      </c>
      <c r="E299" s="202">
        <v>975.6300000000001</v>
      </c>
      <c r="F299" s="202">
        <v>303.52</v>
      </c>
      <c r="G299" s="202">
        <v>446.62</v>
      </c>
      <c r="H299" s="215">
        <v>4</v>
      </c>
      <c r="I299" s="202">
        <v>841.8000000000029</v>
      </c>
      <c r="J299" s="206">
        <f t="shared" si="13"/>
      </c>
      <c r="K299" s="206">
        <f t="shared" si="304"/>
      </c>
      <c r="L299" s="206">
        <f t="shared" si="274"/>
      </c>
      <c r="M299" s="207">
        <f t="shared" si="213"/>
      </c>
      <c r="N299" s="208">
        <f t="shared" si="183"/>
      </c>
      <c r="O299" s="209">
        <f t="shared" si="153"/>
      </c>
      <c r="P299" s="208">
        <f t="shared" si="243"/>
      </c>
      <c r="Q299" s="210" t="s">
        <v>127</v>
      </c>
      <c r="R299" s="251" t="s">
        <v>141</v>
      </c>
      <c r="S299" s="228">
        <v>30875</v>
      </c>
      <c r="T299" s="228">
        <v>2310</v>
      </c>
      <c r="U299" s="228">
        <v>188</v>
      </c>
      <c r="V299" s="228">
        <v>4838</v>
      </c>
      <c r="W299" s="228">
        <v>762</v>
      </c>
      <c r="X299" s="228">
        <v>6</v>
      </c>
      <c r="Y299" s="228">
        <v>35</v>
      </c>
      <c r="Z299" s="250"/>
    </row>
    <row r="300">
      <c r="A300" s="252"/>
      <c r="B300" s="219" t="s">
        <v>119</v>
      </c>
      <c r="C300" s="219"/>
      <c r="D300" s="220">
        <f>SUM(D296:D299)</f>
      </c>
      <c r="E300" s="220">
        <f>SUM(E296:E299)</f>
      </c>
      <c r="F300" s="220">
        <f>SUM(F296:G299)</f>
      </c>
      <c r="G300" s="220"/>
      <c r="H300" s="221">
        <f>SUM(H296:H299)</f>
      </c>
      <c r="I300" s="220">
        <f>SUM(I296:I299)</f>
      </c>
      <c r="J300" s="222">
        <f t="shared" si="13"/>
      </c>
      <c r="K300" s="223">
        <f t="shared" si="304"/>
      </c>
      <c r="L300" s="224">
        <f t="shared" si="274"/>
      </c>
      <c r="M300" s="225">
        <f t="shared" si="213"/>
      </c>
      <c r="N300" s="225">
        <f t="shared" si="183"/>
      </c>
      <c r="O300" s="226">
        <f t="shared" si="153"/>
      </c>
      <c r="P300" s="225">
        <f t="shared" si="243"/>
      </c>
      <c r="Q300" s="226"/>
      <c r="R300" s="226"/>
      <c r="S300" s="221">
        <f>SUM(S296:S299)</f>
      </c>
      <c r="T300" s="221">
        <f>SUM(T296:T299)</f>
      </c>
      <c r="U300" s="221">
        <f>SUM(U296:U299)</f>
      </c>
      <c r="V300" s="221">
        <f>SUM(V296:V299)</f>
      </c>
      <c r="W300" s="221">
        <f>SUM(W296:W299)</f>
      </c>
      <c r="X300" s="221">
        <f>SUM(X296:X299)</f>
      </c>
      <c r="Y300" s="221">
        <f>SUM(Y296:Y299)</f>
      </c>
      <c r="Z300" s="250"/>
    </row>
    <row r="301">
      <c r="A301" s="252"/>
      <c r="B301" s="201" t="s">
        <v>120</v>
      </c>
      <c r="C301" s="202" t="s">
        <v>126</v>
      </c>
      <c r="D301" s="202">
        <f t="shared" ref="D301:D305" si="82">E301+G301+F301</f>
      </c>
      <c r="E301" s="203">
        <v>1679.33</v>
      </c>
      <c r="F301" s="203">
        <v>675.93</v>
      </c>
      <c r="G301" s="203">
        <v>83.49</v>
      </c>
      <c r="H301" s="204">
        <v>5</v>
      </c>
      <c r="I301" s="203">
        <v>1075.2</v>
      </c>
      <c r="J301" s="206">
        <f t="shared" si="13"/>
      </c>
      <c r="K301" s="206">
        <f t="shared" si="304"/>
      </c>
      <c r="L301" s="206">
        <f t="shared" si="274"/>
      </c>
      <c r="M301" s="207">
        <f t="shared" si="213"/>
      </c>
      <c r="N301" s="208">
        <f t="shared" si="183"/>
      </c>
      <c r="O301" s="209">
        <f t="shared" si="153"/>
      </c>
      <c r="P301" s="208">
        <f t="shared" si="243"/>
      </c>
      <c r="Q301" s="210" t="s">
        <v>114</v>
      </c>
      <c r="R301" s="251" t="s">
        <v>141</v>
      </c>
      <c r="S301" s="230">
        <v>38530</v>
      </c>
      <c r="T301" s="230">
        <v>2948</v>
      </c>
      <c r="U301" s="230">
        <v>266</v>
      </c>
      <c r="V301" s="230">
        <v>6520</v>
      </c>
      <c r="W301" s="230">
        <v>989</v>
      </c>
      <c r="X301" s="234">
        <v>10</v>
      </c>
      <c r="Y301" s="229">
        <v>30</v>
      </c>
      <c r="Z301" s="250"/>
    </row>
    <row r="302">
      <c r="A302" s="252"/>
      <c r="B302" s="201" t="s">
        <v>120</v>
      </c>
      <c r="C302" s="202" t="s">
        <v>128</v>
      </c>
      <c r="D302" s="202">
        <f t="shared" si="82"/>
      </c>
      <c r="E302" s="203">
        <v>1706.4</v>
      </c>
      <c r="F302" s="203">
        <v>417.56</v>
      </c>
      <c r="G302" s="203">
        <v>0.02</v>
      </c>
      <c r="H302" s="204">
        <v>8</v>
      </c>
      <c r="I302" s="203">
        <v>4844.4</v>
      </c>
      <c r="J302" s="206">
        <f t="shared" si="13"/>
      </c>
      <c r="K302" s="206">
        <f t="shared" si="304"/>
      </c>
      <c r="L302" s="206">
        <f t="shared" si="274"/>
      </c>
      <c r="M302" s="207">
        <f t="shared" si="213"/>
      </c>
      <c r="N302" s="208">
        <f t="shared" si="183"/>
      </c>
      <c r="O302" s="209">
        <f t="shared" si="153"/>
      </c>
      <c r="P302" s="208">
        <f t="shared" si="243"/>
      </c>
      <c r="Q302" s="210" t="s">
        <v>114</v>
      </c>
      <c r="R302" s="232" t="s">
        <v>129</v>
      </c>
      <c r="S302" s="229">
        <v>32770</v>
      </c>
      <c r="T302" s="229">
        <v>2313</v>
      </c>
      <c r="U302" s="229">
        <v>238</v>
      </c>
      <c r="V302" s="229">
        <v>4797</v>
      </c>
      <c r="W302" s="229">
        <v>671</v>
      </c>
      <c r="X302" s="229">
        <v>13</v>
      </c>
      <c r="Y302" s="229">
        <v>64</v>
      </c>
      <c r="Z302" s="250"/>
    </row>
    <row r="303">
      <c r="A303" s="252"/>
      <c r="B303" s="201" t="s">
        <v>120</v>
      </c>
      <c r="C303" s="202" t="s">
        <v>130</v>
      </c>
      <c r="D303" s="202">
        <f t="shared" si="82"/>
      </c>
      <c r="E303" s="203">
        <v>2410.03</v>
      </c>
      <c r="F303" s="203">
        <v>1258.3</v>
      </c>
      <c r="G303" s="203">
        <v>0</v>
      </c>
      <c r="H303" s="204">
        <v>20</v>
      </c>
      <c r="I303" s="203">
        <v>8357.88</v>
      </c>
      <c r="J303" s="206">
        <f t="shared" si="13"/>
      </c>
      <c r="K303" s="206">
        <f t="shared" si="304"/>
      </c>
      <c r="L303" s="206">
        <f t="shared" si="274"/>
      </c>
      <c r="M303" s="207">
        <f t="shared" si="213"/>
      </c>
      <c r="N303" s="208">
        <f t="shared" si="183"/>
      </c>
      <c r="O303" s="209">
        <f t="shared" si="153"/>
      </c>
      <c r="P303" s="208">
        <f t="shared" si="243"/>
      </c>
      <c r="Q303" s="210" t="s">
        <v>114</v>
      </c>
      <c r="R303" s="232" t="s">
        <v>129</v>
      </c>
      <c r="S303" s="229">
        <v>78157</v>
      </c>
      <c r="T303" s="229">
        <v>4940</v>
      </c>
      <c r="U303" s="229">
        <v>418</v>
      </c>
      <c r="V303" s="229">
        <v>11365</v>
      </c>
      <c r="W303" s="229">
        <v>1669</v>
      </c>
      <c r="X303" s="229">
        <v>30</v>
      </c>
      <c r="Y303" s="229">
        <v>48</v>
      </c>
      <c r="Z303" s="250"/>
    </row>
    <row r="304">
      <c r="A304" s="252"/>
      <c r="B304" s="201" t="s">
        <v>120</v>
      </c>
      <c r="C304" s="202" t="s">
        <v>131</v>
      </c>
      <c r="D304" s="202">
        <f t="shared" si="82"/>
      </c>
      <c r="E304" s="203">
        <v>1751.15</v>
      </c>
      <c r="F304" s="203">
        <v>4356.19</v>
      </c>
      <c r="G304" s="203">
        <v>0</v>
      </c>
      <c r="H304" s="204">
        <v>20</v>
      </c>
      <c r="I304" s="203">
        <v>7873.28</v>
      </c>
      <c r="J304" s="206">
        <f t="shared" si="13"/>
      </c>
      <c r="K304" s="206">
        <f t="shared" si="304"/>
      </c>
      <c r="L304" s="206">
        <f t="shared" si="274"/>
      </c>
      <c r="M304" s="207">
        <f t="shared" si="213"/>
      </c>
      <c r="N304" s="208">
        <f t="shared" si="183"/>
      </c>
      <c r="O304" s="209">
        <f t="shared" si="153"/>
      </c>
      <c r="P304" s="208">
        <f t="shared" si="243"/>
      </c>
      <c r="Q304" s="210" t="s">
        <v>114</v>
      </c>
      <c r="R304" s="232" t="s">
        <v>129</v>
      </c>
      <c r="S304" s="229">
        <v>132794</v>
      </c>
      <c r="T304" s="229">
        <v>5676</v>
      </c>
      <c r="U304" s="229">
        <v>673</v>
      </c>
      <c r="V304" s="229">
        <v>11503</v>
      </c>
      <c r="W304" s="229">
        <v>1749</v>
      </c>
      <c r="X304" s="229">
        <v>34</v>
      </c>
      <c r="Y304" s="229">
        <v>95</v>
      </c>
      <c r="Z304" s="250"/>
    </row>
    <row r="305">
      <c r="A305" s="252"/>
      <c r="B305" s="201" t="s">
        <v>120</v>
      </c>
      <c r="C305" s="202" t="s">
        <v>133</v>
      </c>
      <c r="D305" s="202">
        <f t="shared" si="82"/>
      </c>
      <c r="E305" s="203">
        <v>2826.73</v>
      </c>
      <c r="F305" s="203">
        <v>2462.23</v>
      </c>
      <c r="G305" s="203">
        <v>0</v>
      </c>
      <c r="H305" s="204">
        <v>18</v>
      </c>
      <c r="I305" s="203">
        <v>5682.48</v>
      </c>
      <c r="J305" s="206">
        <f t="shared" si="13"/>
      </c>
      <c r="K305" s="206">
        <f t="shared" si="304"/>
      </c>
      <c r="L305" s="206">
        <f t="shared" si="274"/>
      </c>
      <c r="M305" s="207">
        <f t="shared" si="213"/>
      </c>
      <c r="N305" s="208">
        <f t="shared" si="183"/>
      </c>
      <c r="O305" s="209">
        <f t="shared" si="153"/>
      </c>
      <c r="P305" s="208">
        <f t="shared" si="243"/>
      </c>
      <c r="Q305" s="210" t="s">
        <v>114</v>
      </c>
      <c r="R305" s="232" t="s">
        <v>129</v>
      </c>
      <c r="S305" s="229">
        <v>122064</v>
      </c>
      <c r="T305" s="229">
        <v>6539</v>
      </c>
      <c r="U305" s="229">
        <v>706</v>
      </c>
      <c r="V305" s="229">
        <v>13787</v>
      </c>
      <c r="W305" s="229">
        <v>2005</v>
      </c>
      <c r="X305" s="229">
        <v>40</v>
      </c>
      <c r="Y305" s="229">
        <v>151</v>
      </c>
      <c r="Z305" s="250"/>
    </row>
    <row r="306">
      <c r="A306" s="252"/>
      <c r="B306" s="219" t="s">
        <v>119</v>
      </c>
      <c r="C306" s="219"/>
      <c r="D306" s="220">
        <f>SUM(D301:D305)</f>
      </c>
      <c r="E306" s="220">
        <f>SUM(E301:E305)</f>
      </c>
      <c r="F306" s="220">
        <f>SUM(F301:G305)</f>
      </c>
      <c r="G306" s="220"/>
      <c r="H306" s="221">
        <f>SUM(H301:H305)</f>
      </c>
      <c r="I306" s="220">
        <f>SUM(I301:I305)</f>
      </c>
      <c r="J306" s="222">
        <f t="shared" si="13"/>
      </c>
      <c r="K306" s="223">
        <f t="shared" si="304"/>
      </c>
      <c r="L306" s="224">
        <f t="shared" si="274"/>
      </c>
      <c r="M306" s="225">
        <f t="shared" si="213"/>
      </c>
      <c r="N306" s="225">
        <f t="shared" si="183"/>
      </c>
      <c r="O306" s="226">
        <f t="shared" si="153"/>
      </c>
      <c r="P306" s="225">
        <f t="shared" si="243"/>
      </c>
      <c r="Q306" s="226"/>
      <c r="R306" s="226"/>
      <c r="S306" s="221">
        <f>SUM(S301:S305)</f>
      </c>
      <c r="T306" s="221">
        <f>SUM(T301:T305)</f>
      </c>
      <c r="U306" s="221">
        <f>SUM(U301:U305)</f>
      </c>
      <c r="V306" s="221">
        <f>SUM(V301:V305)</f>
      </c>
      <c r="W306" s="221">
        <f>SUM(W301:W305)</f>
      </c>
      <c r="X306" s="221">
        <f>SUM(X301:X305)</f>
      </c>
      <c r="Y306" s="221">
        <f>SUM(Y301:Y305)</f>
      </c>
      <c r="Z306" s="250"/>
    </row>
    <row r="307">
      <c r="A307" s="252"/>
      <c r="B307" s="201" t="s">
        <v>112</v>
      </c>
      <c r="C307" s="202" t="s">
        <v>134</v>
      </c>
      <c r="D307" s="202">
        <f t="shared" ref="D307:D310" si="83">E307+G307+F307</f>
      </c>
      <c r="E307" s="203">
        <v>3777.7</v>
      </c>
      <c r="F307" s="203">
        <v>1697.03</v>
      </c>
      <c r="G307" s="203">
        <v>0</v>
      </c>
      <c r="H307" s="204">
        <v>25</v>
      </c>
      <c r="I307" s="203">
        <v>6175.28</v>
      </c>
      <c r="J307" s="206">
        <f t="shared" si="13"/>
      </c>
      <c r="K307" s="206">
        <f t="shared" si="304"/>
      </c>
      <c r="L307" s="206">
        <f t="shared" si="274"/>
      </c>
      <c r="M307" s="207">
        <f t="shared" si="213"/>
      </c>
      <c r="N307" s="208">
        <f t="shared" si="183"/>
      </c>
      <c r="O307" s="209">
        <f t="shared" si="153"/>
      </c>
      <c r="P307" s="208">
        <f t="shared" si="243"/>
      </c>
      <c r="Q307" s="210" t="s">
        <v>114</v>
      </c>
      <c r="R307" s="232" t="s">
        <v>129</v>
      </c>
      <c r="S307" s="229">
        <v>112075</v>
      </c>
      <c r="T307" s="229">
        <v>5775</v>
      </c>
      <c r="U307" s="229">
        <v>742</v>
      </c>
      <c r="V307" s="229">
        <v>12735</v>
      </c>
      <c r="W307" s="229">
        <v>1675</v>
      </c>
      <c r="X307" s="229">
        <v>41</v>
      </c>
      <c r="Y307" s="229">
        <v>135</v>
      </c>
      <c r="Z307" s="255"/>
    </row>
    <row r="308">
      <c r="A308" s="252"/>
      <c r="B308" s="201" t="s">
        <v>112</v>
      </c>
      <c r="C308" s="202" t="s">
        <v>135</v>
      </c>
      <c r="D308" s="202">
        <f t="shared" si="83"/>
      </c>
      <c r="E308" s="203">
        <v>4146.86</v>
      </c>
      <c r="F308" s="203">
        <v>4756.76</v>
      </c>
      <c r="G308" s="203">
        <v>0</v>
      </c>
      <c r="H308" s="204">
        <v>25</v>
      </c>
      <c r="I308" s="203">
        <v>8025.6</v>
      </c>
      <c r="J308" s="206">
        <f t="shared" si="13"/>
      </c>
      <c r="K308" s="206">
        <f t="shared" si="304"/>
      </c>
      <c r="L308" s="206">
        <f t="shared" si="274"/>
      </c>
      <c r="M308" s="207">
        <f t="shared" si="213"/>
      </c>
      <c r="N308" s="208">
        <f t="shared" si="183"/>
      </c>
      <c r="O308" s="209">
        <f t="shared" si="153"/>
      </c>
      <c r="P308" s="208">
        <f t="shared" si="243"/>
      </c>
      <c r="Q308" s="210" t="s">
        <v>114</v>
      </c>
      <c r="R308" s="232" t="s">
        <v>129</v>
      </c>
      <c r="S308" s="233">
        <v>137955</v>
      </c>
      <c r="T308" s="233">
        <v>9634</v>
      </c>
      <c r="U308" s="233">
        <v>1449</v>
      </c>
      <c r="V308" s="233">
        <v>19726</v>
      </c>
      <c r="W308" s="246">
        <v>2731</v>
      </c>
      <c r="X308" s="214">
        <v>47</v>
      </c>
      <c r="Y308" s="248">
        <v>197</v>
      </c>
      <c r="Z308" s="250"/>
    </row>
    <row r="309">
      <c r="A309" s="252"/>
      <c r="B309" s="201" t="s">
        <v>112</v>
      </c>
      <c r="C309" s="202" t="s">
        <v>136</v>
      </c>
      <c r="D309" s="202">
        <f t="shared" si="83"/>
      </c>
      <c r="E309" s="203">
        <v>1723.98</v>
      </c>
      <c r="F309" s="203">
        <v>5767.99</v>
      </c>
      <c r="G309" s="203">
        <v>0</v>
      </c>
      <c r="H309" s="204">
        <v>27</v>
      </c>
      <c r="I309" s="203">
        <v>12112.6</v>
      </c>
      <c r="J309" s="206">
        <f t="shared" si="13"/>
      </c>
      <c r="K309" s="206">
        <f t="shared" si="304"/>
      </c>
      <c r="L309" s="206">
        <f t="shared" si="274"/>
      </c>
      <c r="M309" s="207">
        <f t="shared" si="213"/>
      </c>
      <c r="N309" s="208">
        <f t="shared" si="183"/>
      </c>
      <c r="O309" s="209">
        <f t="shared" si="153"/>
      </c>
      <c r="P309" s="208">
        <f t="shared" si="243"/>
      </c>
      <c r="Q309" s="210" t="s">
        <v>114</v>
      </c>
      <c r="R309" s="232" t="s">
        <v>129</v>
      </c>
      <c r="S309" s="233">
        <v>150239</v>
      </c>
      <c r="T309" s="233">
        <v>5449</v>
      </c>
      <c r="U309" s="233">
        <v>824</v>
      </c>
      <c r="V309" s="233">
        <v>10869</v>
      </c>
      <c r="W309" s="246">
        <v>1664</v>
      </c>
      <c r="X309" s="214">
        <v>40</v>
      </c>
      <c r="Y309" s="248">
        <v>138</v>
      </c>
      <c r="Z309" s="250"/>
    </row>
    <row r="310">
      <c r="A310" s="252"/>
      <c r="B310" s="201" t="s">
        <v>112</v>
      </c>
      <c r="C310" s="202" t="s">
        <v>137</v>
      </c>
      <c r="D310" s="202">
        <f t="shared" si="83"/>
      </c>
      <c r="E310" s="203">
        <v>482.56</v>
      </c>
      <c r="F310" s="203">
        <v>3525.59</v>
      </c>
      <c r="G310" s="203">
        <v>0</v>
      </c>
      <c r="H310" s="204">
        <v>18</v>
      </c>
      <c r="I310" s="203">
        <v>8825.56</v>
      </c>
      <c r="J310" s="206">
        <f t="shared" si="13"/>
      </c>
      <c r="K310" s="206">
        <f t="shared" si="304"/>
      </c>
      <c r="L310" s="206">
        <f t="shared" si="274"/>
      </c>
      <c r="M310" s="207">
        <f t="shared" si="213"/>
      </c>
      <c r="N310" s="208">
        <f t="shared" si="183"/>
      </c>
      <c r="O310" s="209">
        <f t="shared" si="153"/>
      </c>
      <c r="P310" s="208">
        <f t="shared" si="243"/>
      </c>
      <c r="Q310" s="210" t="s">
        <v>114</v>
      </c>
      <c r="R310" s="232" t="s">
        <v>129</v>
      </c>
      <c r="S310" s="233">
        <v>79967</v>
      </c>
      <c r="T310" s="233">
        <v>2711</v>
      </c>
      <c r="U310" s="233">
        <v>499</v>
      </c>
      <c r="V310" s="233">
        <v>4642</v>
      </c>
      <c r="W310" s="233">
        <v>666</v>
      </c>
      <c r="X310" s="249">
        <v>29</v>
      </c>
      <c r="Y310" s="229">
        <v>95</v>
      </c>
      <c r="Z310" s="250"/>
    </row>
    <row r="311">
      <c r="A311" s="252"/>
      <c r="B311" s="219" t="s">
        <v>119</v>
      </c>
      <c r="C311" s="219"/>
      <c r="D311" s="220">
        <f>SUM(D307:D310)</f>
      </c>
      <c r="E311" s="220">
        <f>SUM(E307:E310)</f>
      </c>
      <c r="F311" s="220">
        <f>SUM(F307:G310)</f>
      </c>
      <c r="G311" s="220"/>
      <c r="H311" s="220">
        <f>SUM(H307:H310)</f>
      </c>
      <c r="I311" s="220">
        <f>SUM(I307:I310)</f>
      </c>
      <c r="J311" s="222">
        <f t="shared" si="13"/>
      </c>
      <c r="K311" s="223">
        <f t="shared" si="304"/>
      </c>
      <c r="L311" s="224">
        <f t="shared" si="274"/>
      </c>
      <c r="M311" s="225">
        <f t="shared" si="213"/>
      </c>
      <c r="N311" s="225">
        <f t="shared" si="183"/>
      </c>
      <c r="O311" s="226">
        <f t="shared" si="153"/>
      </c>
      <c r="P311" s="225">
        <f t="shared" si="243"/>
      </c>
      <c r="Q311" s="226"/>
      <c r="R311" s="235"/>
      <c r="S311" s="220">
        <f>SUM(S307:S310)</f>
      </c>
      <c r="T311" s="220">
        <f>SUM(T307:T310)</f>
      </c>
      <c r="U311" s="220">
        <f>SUM(U307:U310)</f>
      </c>
      <c r="V311" s="220">
        <f>SUM(V307:V310)</f>
      </c>
      <c r="W311" s="220">
        <f>SUM(W307:W310)</f>
      </c>
      <c r="X311" s="220">
        <f>SUM(X307:X310)</f>
      </c>
      <c r="Y311" s="220">
        <f>SUM(Y307:Y310)</f>
      </c>
      <c r="Z311" s="250"/>
    </row>
    <row r="312">
      <c r="A312" s="252"/>
      <c r="B312" s="236" t="s">
        <v>138</v>
      </c>
      <c r="C312" s="236"/>
      <c r="D312" s="237">
        <f>D311+D306+D300+D295</f>
      </c>
      <c r="E312" s="237">
        <f>E311+E306+E300+E295</f>
      </c>
      <c r="F312" s="237">
        <f>F311+F306+F300+F295</f>
      </c>
      <c r="G312" s="237"/>
      <c r="H312" s="238">
        <f>H311+H306+H300+H295</f>
      </c>
      <c r="I312" s="237">
        <f>I311+I306+I300+I295</f>
      </c>
      <c r="J312" s="239">
        <f t="shared" si="13"/>
      </c>
      <c r="K312" s="239">
        <f t="shared" si="304"/>
      </c>
      <c r="L312" s="239">
        <f t="shared" si="274"/>
      </c>
      <c r="M312" s="240">
        <f t="shared" si="213"/>
      </c>
      <c r="N312" s="240">
        <f t="shared" si="183"/>
      </c>
      <c r="O312" s="239">
        <f t="shared" si="153"/>
      </c>
      <c r="P312" s="240">
        <f t="shared" si="243"/>
      </c>
      <c r="Q312" s="241"/>
      <c r="R312" s="242"/>
      <c r="S312" s="243">
        <f>S311+S306+S300+S295</f>
      </c>
      <c r="T312" s="243">
        <f>T311+T306+T300+T295</f>
      </c>
      <c r="U312" s="243">
        <f>U311+U306+U300+U295</f>
      </c>
      <c r="V312" s="243">
        <f>V311+V306+V300+V295</f>
      </c>
      <c r="W312" s="243">
        <f>W311+W306+W300+W295</f>
      </c>
      <c r="X312" s="244">
        <f>X311+X306+X300+X295</f>
      </c>
      <c r="Y312" s="238">
        <f>Y311+Y306+Y300+Y295</f>
      </c>
      <c r="Z312" s="250"/>
    </row>
    <row r="313">
      <c r="A313" s="188" t="s">
        <v>83</v>
      </c>
      <c r="B313" s="188"/>
      <c r="C313" s="188"/>
      <c r="D313" s="189" t="s">
        <v>84</v>
      </c>
      <c r="E313" s="189"/>
      <c r="F313" s="189"/>
      <c r="G313" s="189"/>
      <c r="H313" s="189"/>
      <c r="I313" s="189"/>
      <c r="J313" s="189"/>
      <c r="K313" s="189"/>
      <c r="L313" s="189"/>
      <c r="M313" s="190" t="s">
        <v>85</v>
      </c>
      <c r="N313" s="190"/>
      <c r="O313" s="190"/>
      <c r="P313" s="190"/>
      <c r="Q313" s="190"/>
      <c r="R313" s="190"/>
      <c r="S313" s="191" t="s">
        <v>86</v>
      </c>
      <c r="T313" s="191"/>
      <c r="U313" s="191"/>
      <c r="V313" s="191"/>
      <c r="W313" s="191"/>
      <c r="X313" s="191"/>
      <c r="Y313" s="191"/>
      <c r="Z313" s="250"/>
    </row>
    <row r="314">
      <c r="A314" s="192" t="s">
        <v>87</v>
      </c>
      <c r="B314" s="188" t="s">
        <v>88</v>
      </c>
      <c r="C314" s="188" t="s">
        <v>89</v>
      </c>
      <c r="D314" s="193" t="s">
        <v>90</v>
      </c>
      <c r="E314" s="193" t="s">
        <v>91</v>
      </c>
      <c r="F314" s="189" t="s">
        <v>92</v>
      </c>
      <c r="G314" s="189"/>
      <c r="H314" s="194" t="s">
        <v>93</v>
      </c>
      <c r="I314" s="189" t="s">
        <v>94</v>
      </c>
      <c r="J314" s="195" t="s">
        <v>95</v>
      </c>
      <c r="K314" s="196" t="s">
        <v>96</v>
      </c>
      <c r="L314" s="189" t="s">
        <v>97</v>
      </c>
      <c r="M314" s="190" t="s">
        <v>98</v>
      </c>
      <c r="N314" s="190" t="s">
        <v>99</v>
      </c>
      <c r="O314" s="190" t="s">
        <v>100</v>
      </c>
      <c r="P314" s="190" t="s">
        <v>101</v>
      </c>
      <c r="Q314" s="197" t="s">
        <v>102</v>
      </c>
      <c r="R314" s="197" t="s">
        <v>103</v>
      </c>
      <c r="S314" s="198" t="s">
        <v>104</v>
      </c>
      <c r="T314" s="198" t="s">
        <v>105</v>
      </c>
      <c r="U314" s="199" t="s">
        <v>106</v>
      </c>
      <c r="V314" s="199" t="s">
        <v>107</v>
      </c>
      <c r="W314" s="199" t="s">
        <v>108</v>
      </c>
      <c r="X314" s="199" t="s">
        <v>109</v>
      </c>
      <c r="Y314" s="199" t="s">
        <v>110</v>
      </c>
      <c r="Z314" s="250"/>
    </row>
    <row r="315">
      <c r="A315" s="200" t="s">
        <v>158</v>
      </c>
      <c r="B315" s="201" t="s">
        <v>125</v>
      </c>
      <c r="C315" s="202" t="s">
        <v>113</v>
      </c>
      <c r="D315" s="202">
        <f t="shared" ref="D315:D318" si="84">E315+G315+F315</f>
      </c>
      <c r="E315" s="202">
        <v>727.49</v>
      </c>
      <c r="F315" s="202">
        <v>1519.8500000000001</v>
      </c>
      <c r="G315" s="203">
        <v>0</v>
      </c>
      <c r="H315" s="204">
        <v>4</v>
      </c>
      <c r="I315" s="202">
        <v>1322.88</v>
      </c>
      <c r="J315" s="205">
        <f t="shared" ref="J315:J336" si="14">I315/D315</f>
      </c>
      <c r="K315" s="205">
        <f t="shared" ref="K315:K336" si="305">D315/H315</f>
      </c>
      <c r="L315" s="206">
        <f t="shared" ref="L315:L336" si="275">I315/H315</f>
      </c>
      <c r="M315" s="207">
        <f t="shared" ref="M315:M336" si="214">T315/S315</f>
      </c>
      <c r="N315" s="208">
        <f t="shared" ref="N315:N336" si="184">H315/X315</f>
      </c>
      <c r="O315" s="209">
        <f t="shared" ref="O315:O336" si="154">(Y315*1000)/D315</f>
      </c>
      <c r="P315" s="208">
        <f t="shared" ref="P315:P336" si="244">W315/V315</f>
      </c>
      <c r="Q315" s="210" t="s">
        <v>127</v>
      </c>
      <c r="R315" s="251" t="s">
        <v>141</v>
      </c>
      <c r="S315" s="212">
        <v>36293</v>
      </c>
      <c r="T315" s="212">
        <v>2020</v>
      </c>
      <c r="U315" s="213">
        <v>248</v>
      </c>
      <c r="V315" s="212">
        <v>3635</v>
      </c>
      <c r="W315" s="212">
        <v>615</v>
      </c>
      <c r="X315" s="214">
        <v>15</v>
      </c>
      <c r="Y315" s="214">
        <v>53</v>
      </c>
      <c r="Z315" s="250"/>
    </row>
    <row r="316">
      <c r="A316" s="200"/>
      <c r="B316" s="227" t="s">
        <v>125</v>
      </c>
      <c r="C316" s="202" t="s">
        <v>116</v>
      </c>
      <c r="D316" s="202">
        <f t="shared" si="84"/>
      </c>
      <c r="E316" s="202">
        <v>681.29</v>
      </c>
      <c r="F316" s="202">
        <v>757.3900000000001</v>
      </c>
      <c r="G316" s="203">
        <v>0</v>
      </c>
      <c r="H316" s="215">
        <v>2</v>
      </c>
      <c r="I316" s="202">
        <v>1779.12</v>
      </c>
      <c r="J316" s="206">
        <f t="shared" si="14"/>
      </c>
      <c r="K316" s="206">
        <f t="shared" si="305"/>
      </c>
      <c r="L316" s="205">
        <f t="shared" si="275"/>
      </c>
      <c r="M316" s="207">
        <f t="shared" si="214"/>
      </c>
      <c r="N316" s="208">
        <f t="shared" si="184"/>
      </c>
      <c r="O316" s="209">
        <f t="shared" si="154"/>
      </c>
      <c r="P316" s="208">
        <f t="shared" si="244"/>
      </c>
      <c r="Q316" s="210" t="s">
        <v>127</v>
      </c>
      <c r="R316" s="251" t="s">
        <v>141</v>
      </c>
      <c r="S316" s="216">
        <v>24152</v>
      </c>
      <c r="T316" s="216">
        <v>1422</v>
      </c>
      <c r="U316" s="212">
        <v>172</v>
      </c>
      <c r="V316" s="212">
        <v>3001</v>
      </c>
      <c r="W316" s="212">
        <v>510</v>
      </c>
      <c r="X316" s="217">
        <v>7</v>
      </c>
      <c r="Y316" s="217">
        <v>27</v>
      </c>
      <c r="Z316" s="250"/>
    </row>
    <row r="317">
      <c r="A317" s="200"/>
      <c r="B317" s="227" t="s">
        <v>125</v>
      </c>
      <c r="C317" s="202" t="s">
        <v>117</v>
      </c>
      <c r="D317" s="202">
        <f t="shared" si="84"/>
      </c>
      <c r="E317" s="218">
        <v>846.3599999999999</v>
      </c>
      <c r="F317" s="202">
        <v>722.7</v>
      </c>
      <c r="G317" s="202">
        <v>0</v>
      </c>
      <c r="H317" s="215">
        <v>6</v>
      </c>
      <c r="I317" s="202">
        <v>4451.04</v>
      </c>
      <c r="J317" s="206">
        <f t="shared" si="14"/>
      </c>
      <c r="K317" s="206">
        <f t="shared" si="305"/>
      </c>
      <c r="L317" s="206">
        <f t="shared" si="275"/>
      </c>
      <c r="M317" s="207">
        <f t="shared" si="214"/>
      </c>
      <c r="N317" s="208">
        <f t="shared" si="184"/>
      </c>
      <c r="O317" s="209">
        <f t="shared" si="154"/>
      </c>
      <c r="P317" s="208">
        <f t="shared" si="244"/>
      </c>
      <c r="Q317" s="210" t="s">
        <v>127</v>
      </c>
      <c r="R317" s="251" t="s">
        <v>141</v>
      </c>
      <c r="S317" s="217">
        <v>25275</v>
      </c>
      <c r="T317" s="217">
        <v>1493</v>
      </c>
      <c r="U317" s="217">
        <v>162</v>
      </c>
      <c r="V317" s="217">
        <v>3120</v>
      </c>
      <c r="W317" s="217">
        <v>538</v>
      </c>
      <c r="X317" s="217">
        <v>14</v>
      </c>
      <c r="Y317" s="217">
        <v>39</v>
      </c>
      <c r="Z317" s="250"/>
    </row>
    <row r="318">
      <c r="A318" s="200"/>
      <c r="B318" s="227" t="s">
        <v>125</v>
      </c>
      <c r="C318" s="202" t="s">
        <v>118</v>
      </c>
      <c r="D318" s="202">
        <f t="shared" si="84"/>
      </c>
      <c r="E318" s="202">
        <v>1163.4</v>
      </c>
      <c r="F318" s="202">
        <v>934.0099999999998</v>
      </c>
      <c r="G318" s="203">
        <v>0</v>
      </c>
      <c r="H318" s="215">
        <v>9</v>
      </c>
      <c r="I318" s="202">
        <v>4224.839999999999</v>
      </c>
      <c r="J318" s="206">
        <f t="shared" si="14"/>
      </c>
      <c r="K318" s="206">
        <f t="shared" si="305"/>
      </c>
      <c r="L318" s="206">
        <f t="shared" si="275"/>
      </c>
      <c r="M318" s="207">
        <f t="shared" si="214"/>
      </c>
      <c r="N318" s="208">
        <f t="shared" si="184"/>
      </c>
      <c r="O318" s="209">
        <f t="shared" si="154"/>
      </c>
      <c r="P318" s="208">
        <f t="shared" si="244"/>
      </c>
      <c r="Q318" s="210" t="s">
        <v>127</v>
      </c>
      <c r="R318" s="251" t="s">
        <v>141</v>
      </c>
      <c r="S318" s="217">
        <v>32802</v>
      </c>
      <c r="T318" s="217">
        <v>1885</v>
      </c>
      <c r="U318" s="217">
        <v>289</v>
      </c>
      <c r="V318" s="217">
        <v>3944</v>
      </c>
      <c r="W318" s="217">
        <v>654</v>
      </c>
      <c r="X318" s="217">
        <v>14</v>
      </c>
      <c r="Y318" s="217">
        <v>52</v>
      </c>
      <c r="Z318" s="250"/>
    </row>
    <row r="319">
      <c r="A319" s="200"/>
      <c r="B319" s="219" t="s">
        <v>119</v>
      </c>
      <c r="C319" s="219"/>
      <c r="D319" s="220">
        <f>SUM(D315:D318)</f>
      </c>
      <c r="E319" s="220">
        <f>SUM(E315:E318)</f>
      </c>
      <c r="F319" s="220">
        <f>SUM(F315:G318)</f>
      </c>
      <c r="G319" s="220"/>
      <c r="H319" s="221">
        <f>SUM(H315:H318)</f>
      </c>
      <c r="I319" s="220">
        <f>SUM(I315:I318)</f>
      </c>
      <c r="J319" s="222">
        <f t="shared" si="14"/>
      </c>
      <c r="K319" s="223">
        <f t="shared" si="305"/>
      </c>
      <c r="L319" s="224">
        <f t="shared" si="275"/>
      </c>
      <c r="M319" s="225">
        <f t="shared" si="214"/>
      </c>
      <c r="N319" s="225">
        <f t="shared" si="184"/>
      </c>
      <c r="O319" s="226">
        <f t="shared" si="154"/>
      </c>
      <c r="P319" s="225">
        <f t="shared" si="244"/>
      </c>
      <c r="Q319" s="226"/>
      <c r="R319" s="226"/>
      <c r="S319" s="221">
        <f>SUM(S315:S318)</f>
      </c>
      <c r="T319" s="221">
        <f>SUM(T315:T318)</f>
      </c>
      <c r="U319" s="221">
        <f>SUM(U315:U318)</f>
      </c>
      <c r="V319" s="221">
        <f>SUM(V315:V318)</f>
      </c>
      <c r="W319" s="221">
        <f>SUM(W315:W318)</f>
      </c>
      <c r="X319" s="221">
        <f>SUM(X315:X318)</f>
      </c>
      <c r="Y319" s="221">
        <f>SUM(Y315:Y318)</f>
      </c>
      <c r="Z319" s="250"/>
    </row>
    <row r="320">
      <c r="A320" s="200"/>
      <c r="B320" s="201" t="s">
        <v>112</v>
      </c>
      <c r="C320" s="202" t="s">
        <v>121</v>
      </c>
      <c r="D320" s="202">
        <f t="shared" ref="D320:D323" si="85">E320+G320+F320</f>
      </c>
      <c r="E320" s="202">
        <v>1332.5</v>
      </c>
      <c r="F320" s="202">
        <v>1706.6599999999999</v>
      </c>
      <c r="G320" s="202">
        <v>0</v>
      </c>
      <c r="H320" s="215">
        <v>13</v>
      </c>
      <c r="I320" s="202">
        <v>5013.620000000001</v>
      </c>
      <c r="J320" s="206">
        <f t="shared" si="14"/>
      </c>
      <c r="K320" s="206">
        <f t="shared" si="305"/>
      </c>
      <c r="L320" s="206">
        <f t="shared" si="275"/>
      </c>
      <c r="M320" s="207">
        <f t="shared" si="214"/>
      </c>
      <c r="N320" s="208">
        <f t="shared" si="184"/>
      </c>
      <c r="O320" s="209">
        <f t="shared" si="154"/>
      </c>
      <c r="P320" s="208">
        <f t="shared" si="244"/>
      </c>
      <c r="Q320" s="210" t="s">
        <v>127</v>
      </c>
      <c r="R320" s="251" t="s">
        <v>141</v>
      </c>
      <c r="S320" s="228">
        <v>51629</v>
      </c>
      <c r="T320" s="228">
        <v>2624</v>
      </c>
      <c r="U320" s="228">
        <v>359</v>
      </c>
      <c r="V320" s="228">
        <v>5600</v>
      </c>
      <c r="W320" s="228">
        <v>896</v>
      </c>
      <c r="X320" s="228">
        <v>25</v>
      </c>
      <c r="Y320" s="228">
        <v>46</v>
      </c>
      <c r="Z320" s="250"/>
    </row>
    <row r="321">
      <c r="A321" s="200"/>
      <c r="B321" s="201" t="s">
        <v>112</v>
      </c>
      <c r="C321" s="202" t="s">
        <v>122</v>
      </c>
      <c r="D321" s="202">
        <f t="shared" si="85"/>
      </c>
      <c r="E321" s="202">
        <v>1441.7399999999998</v>
      </c>
      <c r="F321" s="202">
        <v>2685.87</v>
      </c>
      <c r="G321" s="202">
        <v>0</v>
      </c>
      <c r="H321" s="215">
        <v>18</v>
      </c>
      <c r="I321" s="202">
        <v>6890.09</v>
      </c>
      <c r="J321" s="206">
        <f t="shared" si="14"/>
      </c>
      <c r="K321" s="206">
        <f t="shared" si="305"/>
      </c>
      <c r="L321" s="206">
        <f t="shared" si="275"/>
      </c>
      <c r="M321" s="207">
        <f t="shared" si="214"/>
      </c>
      <c r="N321" s="208">
        <f t="shared" si="184"/>
      </c>
      <c r="O321" s="209">
        <f t="shared" si="154"/>
      </c>
      <c r="P321" s="208">
        <f t="shared" si="244"/>
      </c>
      <c r="Q321" s="210" t="s">
        <v>127</v>
      </c>
      <c r="R321" s="251" t="s">
        <v>141</v>
      </c>
      <c r="S321" s="228">
        <v>58966</v>
      </c>
      <c r="T321" s="228">
        <v>3934</v>
      </c>
      <c r="U321" s="228">
        <v>645</v>
      </c>
      <c r="V321" s="228">
        <v>7693</v>
      </c>
      <c r="W321" s="228">
        <v>1233</v>
      </c>
      <c r="X321" s="228">
        <v>31</v>
      </c>
      <c r="Y321" s="228">
        <v>150</v>
      </c>
      <c r="Z321" s="250"/>
    </row>
    <row r="322">
      <c r="A322" s="200"/>
      <c r="B322" s="201" t="s">
        <v>112</v>
      </c>
      <c r="C322" s="202" t="s">
        <v>123</v>
      </c>
      <c r="D322" s="202">
        <f t="shared" si="85"/>
      </c>
      <c r="E322" s="202">
        <v>1902.5100000000002</v>
      </c>
      <c r="F322" s="202">
        <v>1893.7199999999998</v>
      </c>
      <c r="G322" s="203">
        <v>0</v>
      </c>
      <c r="H322" s="215">
        <v>13</v>
      </c>
      <c r="I322" s="202">
        <v>4626.740000000002</v>
      </c>
      <c r="J322" s="206">
        <f t="shared" si="14"/>
      </c>
      <c r="K322" s="206">
        <f t="shared" si="305"/>
      </c>
      <c r="L322" s="206">
        <f t="shared" si="275"/>
      </c>
      <c r="M322" s="207">
        <f t="shared" si="214"/>
      </c>
      <c r="N322" s="208">
        <f t="shared" si="184"/>
      </c>
      <c r="O322" s="209">
        <f t="shared" si="154"/>
      </c>
      <c r="P322" s="208">
        <f t="shared" si="244"/>
      </c>
      <c r="Q322" s="210" t="s">
        <v>127</v>
      </c>
      <c r="R322" s="251" t="s">
        <v>141</v>
      </c>
      <c r="S322" s="228">
        <v>50800</v>
      </c>
      <c r="T322" s="228">
        <v>3205</v>
      </c>
      <c r="U322" s="228">
        <v>457</v>
      </c>
      <c r="V322" s="228">
        <v>6986</v>
      </c>
      <c r="W322" s="228">
        <v>1012</v>
      </c>
      <c r="X322" s="228">
        <v>27</v>
      </c>
      <c r="Y322" s="228">
        <v>76</v>
      </c>
      <c r="Z322" s="250"/>
    </row>
    <row r="323">
      <c r="A323" s="200"/>
      <c r="B323" s="201" t="s">
        <v>112</v>
      </c>
      <c r="C323" s="202" t="s">
        <v>124</v>
      </c>
      <c r="D323" s="202">
        <f t="shared" si="85"/>
      </c>
      <c r="E323" s="202">
        <v>2160.7699999999995</v>
      </c>
      <c r="F323" s="202">
        <v>1398.7200000000003</v>
      </c>
      <c r="G323" s="202">
        <v>0</v>
      </c>
      <c r="H323" s="215">
        <v>15</v>
      </c>
      <c r="I323" s="202">
        <v>3668.66</v>
      </c>
      <c r="J323" s="206">
        <f t="shared" si="14"/>
      </c>
      <c r="K323" s="206">
        <f t="shared" si="305"/>
      </c>
      <c r="L323" s="206">
        <f t="shared" si="275"/>
      </c>
      <c r="M323" s="207">
        <f t="shared" si="214"/>
      </c>
      <c r="N323" s="208">
        <f t="shared" si="184"/>
      </c>
      <c r="O323" s="209">
        <f t="shared" si="154"/>
      </c>
      <c r="P323" s="208">
        <f t="shared" si="244"/>
      </c>
      <c r="Q323" s="210" t="s">
        <v>127</v>
      </c>
      <c r="R323" s="251" t="s">
        <v>141</v>
      </c>
      <c r="S323" s="228">
        <v>43279</v>
      </c>
      <c r="T323" s="228">
        <v>3284</v>
      </c>
      <c r="U323" s="228">
        <v>476</v>
      </c>
      <c r="V323" s="228">
        <v>7282</v>
      </c>
      <c r="W323" s="228">
        <v>1079</v>
      </c>
      <c r="X323" s="228">
        <v>33</v>
      </c>
      <c r="Y323" s="228">
        <v>87</v>
      </c>
      <c r="Z323" s="250"/>
    </row>
    <row r="324">
      <c r="A324" s="200"/>
      <c r="B324" s="219" t="s">
        <v>119</v>
      </c>
      <c r="C324" s="219"/>
      <c r="D324" s="220">
        <f>SUM(D320:D323)</f>
      </c>
      <c r="E324" s="220">
        <f>SUM(E320:E323)</f>
      </c>
      <c r="F324" s="220">
        <f>SUM(F320:G323)</f>
      </c>
      <c r="G324" s="220"/>
      <c r="H324" s="221">
        <f>SUM(H320:H323)</f>
      </c>
      <c r="I324" s="220">
        <f>SUM(I320:I323)</f>
      </c>
      <c r="J324" s="222">
        <f t="shared" si="14"/>
      </c>
      <c r="K324" s="223">
        <f t="shared" si="305"/>
      </c>
      <c r="L324" s="224">
        <f t="shared" si="275"/>
      </c>
      <c r="M324" s="225">
        <f t="shared" si="214"/>
      </c>
      <c r="N324" s="225">
        <f t="shared" si="184"/>
      </c>
      <c r="O324" s="226">
        <f t="shared" si="154"/>
      </c>
      <c r="P324" s="225">
        <f t="shared" si="244"/>
      </c>
      <c r="Q324" s="226"/>
      <c r="R324" s="226"/>
      <c r="S324" s="221">
        <f>SUM(S320:S323)</f>
      </c>
      <c r="T324" s="221">
        <f>SUM(T320:T323)</f>
      </c>
      <c r="U324" s="221">
        <f>SUM(U320:U323)</f>
      </c>
      <c r="V324" s="221">
        <f>SUM(V320:V323)</f>
      </c>
      <c r="W324" s="221">
        <f>SUM(W320:W323)</f>
      </c>
      <c r="X324" s="221">
        <f>SUM(X320:X323)</f>
      </c>
      <c r="Y324" s="221">
        <f>SUM(Y320:Y323)</f>
      </c>
      <c r="Z324" s="250"/>
    </row>
    <row r="325">
      <c r="A325" s="200"/>
      <c r="B325" s="201" t="s">
        <v>120</v>
      </c>
      <c r="C325" s="202" t="s">
        <v>126</v>
      </c>
      <c r="D325" s="202">
        <f t="shared" ref="D325:D329" si="86">E325+G325+F325</f>
      </c>
      <c r="E325" s="203">
        <v>1706.1</v>
      </c>
      <c r="F325" s="203">
        <v>2431.27</v>
      </c>
      <c r="G325" s="203">
        <v>0</v>
      </c>
      <c r="H325" s="204">
        <v>17</v>
      </c>
      <c r="I325" s="203">
        <v>5360.44</v>
      </c>
      <c r="J325" s="206">
        <f t="shared" si="14"/>
      </c>
      <c r="K325" s="206">
        <f t="shared" si="305"/>
      </c>
      <c r="L325" s="206">
        <f t="shared" si="275"/>
      </c>
      <c r="M325" s="207">
        <f t="shared" si="214"/>
      </c>
      <c r="N325" s="208">
        <f t="shared" si="184"/>
      </c>
      <c r="O325" s="209">
        <f t="shared" si="154"/>
      </c>
      <c r="P325" s="208">
        <f t="shared" si="244"/>
      </c>
      <c r="Q325" s="210" t="s">
        <v>114</v>
      </c>
      <c r="R325" s="251" t="s">
        <v>141</v>
      </c>
      <c r="S325" s="230">
        <v>56758</v>
      </c>
      <c r="T325" s="230">
        <v>3451</v>
      </c>
      <c r="U325" s="230">
        <v>589</v>
      </c>
      <c r="V325" s="230">
        <v>7099</v>
      </c>
      <c r="W325" s="230">
        <v>1132</v>
      </c>
      <c r="X325" s="234">
        <v>30</v>
      </c>
      <c r="Y325" s="229">
        <v>98</v>
      </c>
      <c r="Z325" s="250"/>
    </row>
    <row r="326">
      <c r="A326" s="200"/>
      <c r="B326" s="201" t="s">
        <v>120</v>
      </c>
      <c r="C326" s="202" t="s">
        <v>128</v>
      </c>
      <c r="D326" s="202">
        <f t="shared" si="86"/>
      </c>
      <c r="E326" s="203">
        <v>1504.15</v>
      </c>
      <c r="F326" s="203">
        <v>3541.29</v>
      </c>
      <c r="G326" s="203">
        <v>0</v>
      </c>
      <c r="H326" s="204">
        <v>27</v>
      </c>
      <c r="I326" s="203">
        <v>11682.36</v>
      </c>
      <c r="J326" s="206">
        <f t="shared" si="14"/>
      </c>
      <c r="K326" s="206">
        <f t="shared" si="305"/>
      </c>
      <c r="L326" s="206">
        <f t="shared" si="275"/>
      </c>
      <c r="M326" s="207">
        <f t="shared" si="214"/>
      </c>
      <c r="N326" s="208">
        <f t="shared" si="184"/>
      </c>
      <c r="O326" s="209">
        <f t="shared" si="154"/>
      </c>
      <c r="P326" s="208">
        <f t="shared" si="244"/>
      </c>
      <c r="Q326" s="210" t="s">
        <v>114</v>
      </c>
      <c r="R326" s="232" t="s">
        <v>129</v>
      </c>
      <c r="S326" s="229">
        <v>83873</v>
      </c>
      <c r="T326" s="229">
        <v>3761</v>
      </c>
      <c r="U326" s="229">
        <v>678</v>
      </c>
      <c r="V326" s="229">
        <v>6734</v>
      </c>
      <c r="W326" s="229">
        <v>1102</v>
      </c>
      <c r="X326" s="229">
        <v>44</v>
      </c>
      <c r="Y326" s="229">
        <v>132</v>
      </c>
      <c r="Z326" s="250"/>
    </row>
    <row r="327">
      <c r="A327" s="200"/>
      <c r="B327" s="201" t="s">
        <v>120</v>
      </c>
      <c r="C327" s="202" t="s">
        <v>130</v>
      </c>
      <c r="D327" s="202">
        <f t="shared" si="86"/>
      </c>
      <c r="E327" s="203">
        <v>237.85</v>
      </c>
      <c r="F327" s="203">
        <v>3671.92</v>
      </c>
      <c r="G327" s="203">
        <v>0</v>
      </c>
      <c r="H327" s="204">
        <v>4</v>
      </c>
      <c r="I327" s="203">
        <v>2209.2</v>
      </c>
      <c r="J327" s="206">
        <f t="shared" si="14"/>
      </c>
      <c r="K327" s="206">
        <f t="shared" si="305"/>
      </c>
      <c r="L327" s="206">
        <f t="shared" si="275"/>
      </c>
      <c r="M327" s="207">
        <f t="shared" si="214"/>
      </c>
      <c r="N327" s="208">
        <f t="shared" si="184"/>
      </c>
      <c r="O327" s="209">
        <f t="shared" si="154"/>
      </c>
      <c r="P327" s="208">
        <f t="shared" si="244"/>
      </c>
      <c r="Q327" s="210" t="s">
        <v>114</v>
      </c>
      <c r="R327" s="232" t="s">
        <v>129</v>
      </c>
      <c r="S327" s="229">
        <v>58913</v>
      </c>
      <c r="T327" s="229">
        <v>1624</v>
      </c>
      <c r="U327" s="229">
        <v>348</v>
      </c>
      <c r="V327" s="229">
        <v>2597</v>
      </c>
      <c r="W327" s="229">
        <v>447</v>
      </c>
      <c r="X327" s="229">
        <v>17</v>
      </c>
      <c r="Y327" s="229">
        <v>63</v>
      </c>
      <c r="Z327" s="250"/>
    </row>
    <row r="328">
      <c r="A328" s="200"/>
      <c r="B328" s="201" t="s">
        <v>120</v>
      </c>
      <c r="C328" s="202" t="s">
        <v>131</v>
      </c>
      <c r="D328" s="202">
        <f t="shared" si="86"/>
      </c>
      <c r="E328" s="203">
        <v>716.97</v>
      </c>
      <c r="F328" s="203">
        <v>2474.75</v>
      </c>
      <c r="G328" s="203">
        <v>0</v>
      </c>
      <c r="H328" s="204">
        <v>3</v>
      </c>
      <c r="I328" s="203">
        <v>645.12</v>
      </c>
      <c r="J328" s="206">
        <f t="shared" si="14"/>
      </c>
      <c r="K328" s="206">
        <f t="shared" si="305"/>
      </c>
      <c r="L328" s="206">
        <f t="shared" si="275"/>
      </c>
      <c r="M328" s="207">
        <f t="shared" si="214"/>
      </c>
      <c r="N328" s="208">
        <f t="shared" si="184"/>
      </c>
      <c r="O328" s="209">
        <f t="shared" si="154"/>
      </c>
      <c r="P328" s="208">
        <f t="shared" si="244"/>
      </c>
      <c r="Q328" s="210" t="s">
        <v>114</v>
      </c>
      <c r="R328" s="232" t="s">
        <v>129</v>
      </c>
      <c r="S328" s="229">
        <v>70631</v>
      </c>
      <c r="T328" s="229">
        <v>1396</v>
      </c>
      <c r="U328" s="229">
        <v>289</v>
      </c>
      <c r="V328" s="229">
        <v>2605</v>
      </c>
      <c r="W328" s="229">
        <v>420</v>
      </c>
      <c r="X328" s="229">
        <v>10</v>
      </c>
      <c r="Y328" s="229">
        <v>53</v>
      </c>
      <c r="Z328" s="250"/>
    </row>
    <row r="329">
      <c r="A329" s="200"/>
      <c r="B329" s="201" t="s">
        <v>120</v>
      </c>
      <c r="C329" s="202" t="s">
        <v>133</v>
      </c>
      <c r="D329" s="202">
        <f t="shared" si="86"/>
      </c>
      <c r="E329" s="203">
        <v>1087.34</v>
      </c>
      <c r="F329" s="203">
        <v>2507.75</v>
      </c>
      <c r="G329" s="203">
        <v>0</v>
      </c>
      <c r="H329" s="204">
        <v>4</v>
      </c>
      <c r="I329" s="203">
        <v>2671.92</v>
      </c>
      <c r="J329" s="206">
        <f t="shared" si="14"/>
      </c>
      <c r="K329" s="206">
        <f t="shared" si="305"/>
      </c>
      <c r="L329" s="206">
        <f t="shared" si="275"/>
      </c>
      <c r="M329" s="207">
        <f t="shared" si="214"/>
      </c>
      <c r="N329" s="208">
        <f t="shared" si="184"/>
      </c>
      <c r="O329" s="209">
        <f t="shared" si="154"/>
      </c>
      <c r="P329" s="208">
        <f t="shared" si="244"/>
      </c>
      <c r="Q329" s="210" t="s">
        <v>114</v>
      </c>
      <c r="R329" s="232" t="s">
        <v>129</v>
      </c>
      <c r="S329" s="229">
        <v>23245</v>
      </c>
      <c r="T329" s="229">
        <v>1172</v>
      </c>
      <c r="U329" s="229">
        <v>161</v>
      </c>
      <c r="V329" s="229">
        <v>2210</v>
      </c>
      <c r="W329" s="229">
        <v>356</v>
      </c>
      <c r="X329" s="229">
        <v>11</v>
      </c>
      <c r="Y329" s="229">
        <v>82</v>
      </c>
      <c r="Z329" s="250"/>
    </row>
    <row r="330">
      <c r="A330" s="200"/>
      <c r="B330" s="219" t="s">
        <v>119</v>
      </c>
      <c r="C330" s="219"/>
      <c r="D330" s="220">
        <f>SUM(D325:D329)</f>
      </c>
      <c r="E330" s="220">
        <f>SUM(E325:E329)</f>
      </c>
      <c r="F330" s="220">
        <f>SUM(F325:G329)</f>
      </c>
      <c r="G330" s="220"/>
      <c r="H330" s="221">
        <f>SUM(H325:H329)</f>
      </c>
      <c r="I330" s="220">
        <f>SUM(I325:I329)</f>
      </c>
      <c r="J330" s="222">
        <f t="shared" si="14"/>
      </c>
      <c r="K330" s="223">
        <f t="shared" si="305"/>
      </c>
      <c r="L330" s="224">
        <f t="shared" si="275"/>
      </c>
      <c r="M330" s="225">
        <f t="shared" si="214"/>
      </c>
      <c r="N330" s="225">
        <f t="shared" si="184"/>
      </c>
      <c r="O330" s="226">
        <f t="shared" si="154"/>
      </c>
      <c r="P330" s="225">
        <f t="shared" si="244"/>
      </c>
      <c r="Q330" s="226"/>
      <c r="R330" s="226"/>
      <c r="S330" s="221">
        <f>SUM(S325:S329)</f>
      </c>
      <c r="T330" s="221">
        <f>SUM(T325:T329)</f>
      </c>
      <c r="U330" s="221">
        <f>SUM(U325:U329)</f>
      </c>
      <c r="V330" s="221">
        <f>SUM(V325:V329)</f>
      </c>
      <c r="W330" s="221">
        <f>SUM(W325:W329)</f>
      </c>
      <c r="X330" s="221">
        <f>SUM(X325:X329)</f>
      </c>
      <c r="Y330" s="221">
        <f>SUM(Y325:Y329)</f>
      </c>
      <c r="Z330" s="250"/>
    </row>
    <row r="331">
      <c r="A331" s="200"/>
      <c r="B331" s="245" t="s">
        <v>132</v>
      </c>
      <c r="C331" s="202" t="s">
        <v>134</v>
      </c>
      <c r="D331" s="202">
        <f t="shared" ref="D331:D334" si="87">E331+G331+F331</f>
      </c>
      <c r="E331" s="203">
        <v>1331.28</v>
      </c>
      <c r="F331" s="203">
        <v>1858.31</v>
      </c>
      <c r="G331" s="203">
        <v>0</v>
      </c>
      <c r="H331" s="204">
        <v>17</v>
      </c>
      <c r="I331" s="203">
        <v>6850.94</v>
      </c>
      <c r="J331" s="206">
        <f t="shared" si="14"/>
      </c>
      <c r="K331" s="206">
        <f t="shared" si="305"/>
      </c>
      <c r="L331" s="206">
        <f t="shared" si="275"/>
      </c>
      <c r="M331" s="207">
        <f t="shared" si="214"/>
      </c>
      <c r="N331" s="208">
        <f t="shared" si="184"/>
      </c>
      <c r="O331" s="209">
        <f t="shared" si="154"/>
      </c>
      <c r="P331" s="208">
        <f t="shared" si="244"/>
      </c>
      <c r="Q331" s="210" t="s">
        <v>114</v>
      </c>
      <c r="R331" s="232" t="s">
        <v>129</v>
      </c>
      <c r="S331" s="229">
        <v>42603</v>
      </c>
      <c r="T331" s="229">
        <v>1432</v>
      </c>
      <c r="U331" s="229">
        <v>208</v>
      </c>
      <c r="V331" s="229">
        <v>2762</v>
      </c>
      <c r="W331" s="229">
        <v>389</v>
      </c>
      <c r="X331" s="229">
        <v>27</v>
      </c>
      <c r="Y331" s="229">
        <v>99</v>
      </c>
      <c r="Z331" s="255"/>
    </row>
    <row r="332">
      <c r="A332" s="200"/>
      <c r="B332" s="201" t="s">
        <v>132</v>
      </c>
      <c r="C332" s="202" t="s">
        <v>135</v>
      </c>
      <c r="D332" s="202">
        <f t="shared" si="87"/>
      </c>
      <c r="E332" s="203">
        <v>3979.95</v>
      </c>
      <c r="F332" s="203">
        <v>1788.48</v>
      </c>
      <c r="G332" s="203">
        <v>0</v>
      </c>
      <c r="H332" s="204">
        <v>18</v>
      </c>
      <c r="I332" s="203">
        <v>14305</v>
      </c>
      <c r="J332" s="206">
        <f t="shared" si="14"/>
      </c>
      <c r="K332" s="206">
        <f t="shared" si="305"/>
      </c>
      <c r="L332" s="206">
        <f t="shared" si="275"/>
      </c>
      <c r="M332" s="207">
        <f t="shared" si="214"/>
      </c>
      <c r="N332" s="208">
        <f t="shared" si="184"/>
      </c>
      <c r="O332" s="209">
        <f t="shared" si="154"/>
      </c>
      <c r="P332" s="208">
        <f t="shared" si="244"/>
      </c>
      <c r="Q332" s="210" t="s">
        <v>114</v>
      </c>
      <c r="R332" s="232" t="s">
        <v>129</v>
      </c>
      <c r="S332" s="233">
        <v>55152</v>
      </c>
      <c r="T332" s="233">
        <v>4141</v>
      </c>
      <c r="U332" s="233">
        <v>296</v>
      </c>
      <c r="V332" s="233">
        <v>8535</v>
      </c>
      <c r="W332" s="246">
        <v>1053</v>
      </c>
      <c r="X332" s="214">
        <v>32</v>
      </c>
      <c r="Y332" s="248">
        <v>103</v>
      </c>
      <c r="Z332" s="250"/>
    </row>
    <row r="333">
      <c r="A333" s="200"/>
      <c r="B333" s="201" t="s">
        <v>132</v>
      </c>
      <c r="C333" s="202" t="s">
        <v>136</v>
      </c>
      <c r="D333" s="202">
        <f t="shared" si="87"/>
      </c>
      <c r="E333" s="203">
        <v>3278.92</v>
      </c>
      <c r="F333" s="203">
        <v>2901.23</v>
      </c>
      <c r="G333" s="203">
        <v>0</v>
      </c>
      <c r="H333" s="204">
        <v>26</v>
      </c>
      <c r="I333" s="203">
        <v>15605.28</v>
      </c>
      <c r="J333" s="206">
        <f t="shared" si="14"/>
      </c>
      <c r="K333" s="206">
        <f t="shared" si="305"/>
      </c>
      <c r="L333" s="206">
        <f t="shared" si="275"/>
      </c>
      <c r="M333" s="207">
        <f t="shared" si="214"/>
      </c>
      <c r="N333" s="208">
        <f t="shared" si="184"/>
      </c>
      <c r="O333" s="209">
        <f t="shared" si="154"/>
      </c>
      <c r="P333" s="208">
        <f t="shared" si="244"/>
      </c>
      <c r="Q333" s="210" t="s">
        <v>114</v>
      </c>
      <c r="R333" s="232" t="s">
        <v>129</v>
      </c>
      <c r="S333" s="233">
        <v>39203</v>
      </c>
      <c r="T333" s="233">
        <v>3323</v>
      </c>
      <c r="U333" s="233">
        <v>276</v>
      </c>
      <c r="V333" s="233">
        <v>5966</v>
      </c>
      <c r="W333" s="246">
        <v>669</v>
      </c>
      <c r="X333" s="214">
        <v>44</v>
      </c>
      <c r="Y333" s="248">
        <v>68</v>
      </c>
      <c r="Z333" s="250"/>
    </row>
    <row r="334">
      <c r="A334" s="200"/>
      <c r="B334" s="201" t="s">
        <v>132</v>
      </c>
      <c r="C334" s="202" t="s">
        <v>137</v>
      </c>
      <c r="D334" s="202">
        <f t="shared" si="87"/>
      </c>
      <c r="E334" s="203">
        <v>1270.6</v>
      </c>
      <c r="F334" s="203">
        <v>5654.17</v>
      </c>
      <c r="G334" s="203">
        <v>0</v>
      </c>
      <c r="H334" s="204">
        <v>27</v>
      </c>
      <c r="I334" s="203">
        <v>10757.42</v>
      </c>
      <c r="J334" s="206">
        <f t="shared" si="14"/>
      </c>
      <c r="K334" s="206">
        <f t="shared" si="305"/>
      </c>
      <c r="L334" s="206">
        <f t="shared" si="275"/>
      </c>
      <c r="M334" s="207">
        <f t="shared" si="214"/>
      </c>
      <c r="N334" s="208">
        <f t="shared" si="184"/>
      </c>
      <c r="O334" s="209">
        <f t="shared" si="154"/>
      </c>
      <c r="P334" s="208">
        <f t="shared" si="244"/>
      </c>
      <c r="Q334" s="210" t="s">
        <v>114</v>
      </c>
      <c r="R334" s="232" t="s">
        <v>129</v>
      </c>
      <c r="S334" s="233">
        <v>40449</v>
      </c>
      <c r="T334" s="233">
        <v>2224</v>
      </c>
      <c r="U334" s="233">
        <v>188</v>
      </c>
      <c r="V334" s="233">
        <v>4381</v>
      </c>
      <c r="W334" s="233">
        <v>529</v>
      </c>
      <c r="X334" s="249">
        <v>39</v>
      </c>
      <c r="Y334" s="229">
        <v>65</v>
      </c>
      <c r="Z334" s="250"/>
    </row>
    <row r="335">
      <c r="A335" s="200"/>
      <c r="B335" s="219" t="s">
        <v>119</v>
      </c>
      <c r="C335" s="219"/>
      <c r="D335" s="220">
        <f>SUM(D331:D334)</f>
      </c>
      <c r="E335" s="220">
        <f>SUM(E331:E334)</f>
      </c>
      <c r="F335" s="220">
        <f>SUM(F331:G334)</f>
      </c>
      <c r="G335" s="220"/>
      <c r="H335" s="220">
        <f>SUM(H331:H334)</f>
      </c>
      <c r="I335" s="220">
        <f>SUM(I331:I334)</f>
      </c>
      <c r="J335" s="222">
        <f t="shared" si="14"/>
      </c>
      <c r="K335" s="223">
        <f t="shared" si="305"/>
      </c>
      <c r="L335" s="224">
        <f t="shared" si="275"/>
      </c>
      <c r="M335" s="225">
        <f t="shared" si="214"/>
      </c>
      <c r="N335" s="225">
        <f t="shared" si="184"/>
      </c>
      <c r="O335" s="226">
        <f t="shared" si="154"/>
      </c>
      <c r="P335" s="225">
        <f t="shared" si="244"/>
      </c>
      <c r="Q335" s="226"/>
      <c r="R335" s="235"/>
      <c r="S335" s="220">
        <f>SUM(S331:S334)</f>
      </c>
      <c r="T335" s="220">
        <f>SUM(T331:T334)</f>
      </c>
      <c r="U335" s="220">
        <f>SUM(U331:U334)</f>
      </c>
      <c r="V335" s="220">
        <f>SUM(V331:V334)</f>
      </c>
      <c r="W335" s="220">
        <f>SUM(W331:W334)</f>
      </c>
      <c r="X335" s="220">
        <f>SUM(X331:X334)</f>
      </c>
      <c r="Y335" s="220">
        <f>SUM(Y331:Y334)</f>
      </c>
      <c r="Z335" s="250"/>
    </row>
    <row r="336">
      <c r="A336" s="200"/>
      <c r="B336" s="236" t="s">
        <v>138</v>
      </c>
      <c r="C336" s="236"/>
      <c r="D336" s="237">
        <f>D335+D330+D324+D319</f>
      </c>
      <c r="E336" s="237">
        <f>E335+E330+E324+E319</f>
      </c>
      <c r="F336" s="237">
        <f>F335+F330+F324+F319</f>
      </c>
      <c r="G336" s="237"/>
      <c r="H336" s="238">
        <f>H335+H330+H324+H319</f>
      </c>
      <c r="I336" s="237">
        <f>I335+I330+I324+I319</f>
      </c>
      <c r="J336" s="239">
        <f t="shared" si="14"/>
      </c>
      <c r="K336" s="239">
        <f t="shared" si="305"/>
      </c>
      <c r="L336" s="239">
        <f t="shared" si="275"/>
      </c>
      <c r="M336" s="240">
        <f t="shared" si="214"/>
      </c>
      <c r="N336" s="240">
        <f t="shared" si="184"/>
      </c>
      <c r="O336" s="239">
        <f t="shared" si="154"/>
      </c>
      <c r="P336" s="240">
        <f t="shared" si="244"/>
      </c>
      <c r="Q336" s="241"/>
      <c r="R336" s="242"/>
      <c r="S336" s="243">
        <f>S335+S330+S324+S319</f>
      </c>
      <c r="T336" s="243">
        <f>T335+T330+T324+T319</f>
      </c>
      <c r="U336" s="243">
        <f>U335+U330+U324+U319</f>
      </c>
      <c r="V336" s="243">
        <f>V335+V330+V324+V319</f>
      </c>
      <c r="W336" s="243">
        <f>W335+W330+W324+W319</f>
      </c>
      <c r="X336" s="244">
        <f>X335+X330+X324+X319</f>
      </c>
      <c r="Y336" s="238">
        <f>Y335+Y330+Y324+Y319</f>
      </c>
      <c r="Z336" s="250"/>
    </row>
    <row r="337">
      <c r="A337" s="188" t="s">
        <v>83</v>
      </c>
      <c r="B337" s="188"/>
      <c r="C337" s="188"/>
      <c r="D337" s="189" t="s">
        <v>84</v>
      </c>
      <c r="E337" s="189"/>
      <c r="F337" s="189"/>
      <c r="G337" s="189"/>
      <c r="H337" s="189"/>
      <c r="I337" s="189"/>
      <c r="J337" s="189"/>
      <c r="K337" s="189"/>
      <c r="L337" s="189"/>
      <c r="M337" s="190" t="s">
        <v>85</v>
      </c>
      <c r="N337" s="190"/>
      <c r="O337" s="190"/>
      <c r="P337" s="190"/>
      <c r="Q337" s="190"/>
      <c r="R337" s="190"/>
      <c r="S337" s="191" t="s">
        <v>86</v>
      </c>
      <c r="T337" s="191"/>
      <c r="U337" s="191"/>
      <c r="V337" s="191"/>
      <c r="W337" s="191"/>
      <c r="X337" s="191"/>
      <c r="Y337" s="191"/>
      <c r="Z337" s="250"/>
    </row>
    <row r="338">
      <c r="A338" s="192" t="s">
        <v>87</v>
      </c>
      <c r="B338" s="188" t="s">
        <v>88</v>
      </c>
      <c r="C338" s="188" t="s">
        <v>89</v>
      </c>
      <c r="D338" s="193" t="s">
        <v>90</v>
      </c>
      <c r="E338" s="193" t="s">
        <v>91</v>
      </c>
      <c r="F338" s="189" t="s">
        <v>92</v>
      </c>
      <c r="G338" s="189"/>
      <c r="H338" s="194" t="s">
        <v>93</v>
      </c>
      <c r="I338" s="189" t="s">
        <v>94</v>
      </c>
      <c r="J338" s="195" t="s">
        <v>95</v>
      </c>
      <c r="K338" s="196" t="s">
        <v>96</v>
      </c>
      <c r="L338" s="189" t="s">
        <v>97</v>
      </c>
      <c r="M338" s="190" t="s">
        <v>98</v>
      </c>
      <c r="N338" s="190" t="s">
        <v>99</v>
      </c>
      <c r="O338" s="190" t="s">
        <v>100</v>
      </c>
      <c r="P338" s="190" t="s">
        <v>101</v>
      </c>
      <c r="Q338" s="197" t="s">
        <v>102</v>
      </c>
      <c r="R338" s="197" t="s">
        <v>103</v>
      </c>
      <c r="S338" s="198" t="s">
        <v>104</v>
      </c>
      <c r="T338" s="198" t="s">
        <v>105</v>
      </c>
      <c r="U338" s="199" t="s">
        <v>106</v>
      </c>
      <c r="V338" s="199" t="s">
        <v>107</v>
      </c>
      <c r="W338" s="199" t="s">
        <v>108</v>
      </c>
      <c r="X338" s="199" t="s">
        <v>109</v>
      </c>
      <c r="Y338" s="199" t="s">
        <v>110</v>
      </c>
      <c r="Z338" s="250"/>
    </row>
    <row r="339">
      <c r="A339" s="200" t="s">
        <v>159</v>
      </c>
      <c r="B339" s="227" t="s">
        <v>125</v>
      </c>
      <c r="C339" s="202" t="s">
        <v>113</v>
      </c>
      <c r="D339" s="202">
        <f t="shared" ref="D339:D342" si="88">E339+G339+F339</f>
      </c>
      <c r="E339" s="202">
        <v>1265.76</v>
      </c>
      <c r="F339" s="202">
        <v>1819.3200000000002</v>
      </c>
      <c r="G339" s="203">
        <v>0</v>
      </c>
      <c r="H339" s="204">
        <v>17</v>
      </c>
      <c r="I339" s="202">
        <v>6847.6</v>
      </c>
      <c r="J339" s="205">
        <f t="shared" ref="J339:J360" si="15">I339/D339</f>
      </c>
      <c r="K339" s="205">
        <f t="shared" ref="K339:K360" si="306">D339/H339</f>
      </c>
      <c r="L339" s="206">
        <f t="shared" ref="L339:L360" si="276">I339/H339</f>
      </c>
      <c r="M339" s="207">
        <f t="shared" ref="M339:M360" si="215">T339/S339</f>
      </c>
      <c r="N339" s="208">
        <f t="shared" ref="N339:N360" si="185">H339/X339</f>
      </c>
      <c r="O339" s="209">
        <f t="shared" ref="O339:O360" si="155">(Y339*1000)/D339</f>
      </c>
      <c r="P339" s="208">
        <f t="shared" ref="P339:P360" si="245">W339/V339</f>
      </c>
      <c r="Q339" s="210" t="s">
        <v>127</v>
      </c>
      <c r="R339" s="251" t="s">
        <v>141</v>
      </c>
      <c r="S339" s="212">
        <v>48230</v>
      </c>
      <c r="T339" s="212">
        <v>2562</v>
      </c>
      <c r="U339" s="213">
        <v>251</v>
      </c>
      <c r="V339" s="212">
        <v>4751</v>
      </c>
      <c r="W339" s="212">
        <v>795</v>
      </c>
      <c r="X339" s="214">
        <v>32</v>
      </c>
      <c r="Y339" s="214">
        <v>73</v>
      </c>
      <c r="Z339" s="250"/>
    </row>
    <row r="340">
      <c r="A340" s="200"/>
      <c r="B340" s="227" t="s">
        <v>125</v>
      </c>
      <c r="C340" s="202" t="s">
        <v>116</v>
      </c>
      <c r="D340" s="202">
        <f t="shared" si="88"/>
      </c>
      <c r="E340" s="202">
        <v>1673.8700000000001</v>
      </c>
      <c r="F340" s="202">
        <v>2868.96</v>
      </c>
      <c r="G340" s="203">
        <v>0</v>
      </c>
      <c r="H340" s="215">
        <v>17</v>
      </c>
      <c r="I340" s="202">
        <v>7294.199999999999</v>
      </c>
      <c r="J340" s="206">
        <f t="shared" si="15"/>
      </c>
      <c r="K340" s="206">
        <f t="shared" si="306"/>
      </c>
      <c r="L340" s="205">
        <f t="shared" si="276"/>
      </c>
      <c r="M340" s="207">
        <f t="shared" si="215"/>
      </c>
      <c r="N340" s="208">
        <f t="shared" si="185"/>
      </c>
      <c r="O340" s="209">
        <f t="shared" si="155"/>
      </c>
      <c r="P340" s="208">
        <f t="shared" si="245"/>
      </c>
      <c r="Q340" s="210" t="s">
        <v>127</v>
      </c>
      <c r="R340" s="251" t="s">
        <v>141</v>
      </c>
      <c r="S340" s="216">
        <v>63517</v>
      </c>
      <c r="T340" s="216">
        <v>2397</v>
      </c>
      <c r="U340" s="212">
        <v>259</v>
      </c>
      <c r="V340" s="212">
        <v>4736</v>
      </c>
      <c r="W340" s="212">
        <v>865</v>
      </c>
      <c r="X340" s="214">
        <v>38</v>
      </c>
      <c r="Y340" s="217">
        <v>88</v>
      </c>
      <c r="Z340" s="250"/>
    </row>
    <row r="341">
      <c r="A341" s="200"/>
      <c r="B341" s="227" t="s">
        <v>125</v>
      </c>
      <c r="C341" s="202" t="s">
        <v>117</v>
      </c>
      <c r="D341" s="202">
        <f t="shared" si="88"/>
      </c>
      <c r="E341" s="218">
        <v>1762.33</v>
      </c>
      <c r="F341" s="202">
        <v>2048.289999999999</v>
      </c>
      <c r="G341" s="202">
        <v>0</v>
      </c>
      <c r="H341" s="215">
        <v>8</v>
      </c>
      <c r="I341" s="202">
        <v>2601.7800000000025</v>
      </c>
      <c r="J341" s="206">
        <f t="shared" si="15"/>
      </c>
      <c r="K341" s="206">
        <f t="shared" si="306"/>
      </c>
      <c r="L341" s="206">
        <f t="shared" si="276"/>
      </c>
      <c r="M341" s="207">
        <f t="shared" si="215"/>
      </c>
      <c r="N341" s="208">
        <f t="shared" si="185"/>
      </c>
      <c r="O341" s="209">
        <f t="shared" si="155"/>
      </c>
      <c r="P341" s="208">
        <f t="shared" si="245"/>
      </c>
      <c r="Q341" s="210" t="s">
        <v>127</v>
      </c>
      <c r="R341" s="251" t="s">
        <v>141</v>
      </c>
      <c r="S341" s="217">
        <v>48442</v>
      </c>
      <c r="T341" s="217">
        <v>2045</v>
      </c>
      <c r="U341" s="217">
        <v>236</v>
      </c>
      <c r="V341" s="217">
        <v>3793</v>
      </c>
      <c r="W341" s="217">
        <v>695</v>
      </c>
      <c r="X341" s="214">
        <v>18</v>
      </c>
      <c r="Y341" s="217">
        <v>54</v>
      </c>
      <c r="Z341" s="250"/>
    </row>
    <row r="342">
      <c r="A342" s="200"/>
      <c r="B342" s="227" t="s">
        <v>125</v>
      </c>
      <c r="C342" s="202" t="s">
        <v>118</v>
      </c>
      <c r="D342" s="202">
        <f t="shared" si="88"/>
      </c>
      <c r="E342" s="202">
        <v>657.0799999999999</v>
      </c>
      <c r="F342" s="202">
        <v>2296.2000000000007</v>
      </c>
      <c r="G342" s="203">
        <v>0</v>
      </c>
      <c r="H342" s="215">
        <v>13</v>
      </c>
      <c r="I342" s="202">
        <v>7767.879999999997</v>
      </c>
      <c r="J342" s="206">
        <f t="shared" si="15"/>
      </c>
      <c r="K342" s="206">
        <f t="shared" si="306"/>
      </c>
      <c r="L342" s="206">
        <f t="shared" si="276"/>
      </c>
      <c r="M342" s="207">
        <f t="shared" si="215"/>
      </c>
      <c r="N342" s="208">
        <f t="shared" si="185"/>
      </c>
      <c r="O342" s="209">
        <f t="shared" si="155"/>
      </c>
      <c r="P342" s="208">
        <f t="shared" si="245"/>
      </c>
      <c r="Q342" s="210" t="s">
        <v>127</v>
      </c>
      <c r="R342" s="251" t="s">
        <v>141</v>
      </c>
      <c r="S342" s="217">
        <v>48272</v>
      </c>
      <c r="T342" s="217">
        <v>1265</v>
      </c>
      <c r="U342" s="217">
        <v>235</v>
      </c>
      <c r="V342" s="217">
        <v>2178</v>
      </c>
      <c r="W342" s="217">
        <v>415</v>
      </c>
      <c r="X342" s="214">
        <v>30</v>
      </c>
      <c r="Y342" s="217">
        <v>53</v>
      </c>
      <c r="Z342" s="250"/>
    </row>
    <row r="343">
      <c r="A343" s="200"/>
      <c r="B343" s="219" t="s">
        <v>119</v>
      </c>
      <c r="C343" s="219"/>
      <c r="D343" s="220">
        <f>SUM(D339:D342)</f>
      </c>
      <c r="E343" s="220">
        <f>SUM(E339:E342)</f>
      </c>
      <c r="F343" s="220">
        <f>SUM(F339:G342)</f>
      </c>
      <c r="G343" s="220"/>
      <c r="H343" s="221">
        <f>SUM(H339:H342)</f>
      </c>
      <c r="I343" s="220">
        <f>SUM(I339:I342)</f>
      </c>
      <c r="J343" s="253">
        <f t="shared" si="15"/>
      </c>
      <c r="K343" s="223">
        <f t="shared" si="306"/>
      </c>
      <c r="L343" s="254">
        <f t="shared" si="276"/>
      </c>
      <c r="M343" s="225">
        <f t="shared" si="215"/>
      </c>
      <c r="N343" s="225">
        <f t="shared" si="185"/>
      </c>
      <c r="O343" s="226">
        <f t="shared" si="155"/>
      </c>
      <c r="P343" s="225">
        <f t="shared" si="245"/>
      </c>
      <c r="Q343" s="226"/>
      <c r="R343" s="226"/>
      <c r="S343" s="221">
        <f>SUM(S339:S342)</f>
      </c>
      <c r="T343" s="221">
        <f>SUM(T339:T342)</f>
      </c>
      <c r="U343" s="221">
        <f>SUM(U339:U342)</f>
      </c>
      <c r="V343" s="221">
        <f>SUM(V339:V342)</f>
      </c>
      <c r="W343" s="221">
        <f>SUM(W339:W342)</f>
      </c>
      <c r="X343" s="221">
        <f>SUM(X339:X342)</f>
      </c>
      <c r="Y343" s="221">
        <f>SUM(Y339:Y342)</f>
      </c>
      <c r="Z343" s="250"/>
    </row>
    <row r="344">
      <c r="A344" s="200"/>
      <c r="B344" s="201" t="s">
        <v>120</v>
      </c>
      <c r="C344" s="202" t="s">
        <v>121</v>
      </c>
      <c r="D344" s="202">
        <f t="shared" ref="D344:D348" si="89">E344+G344+F344</f>
      </c>
      <c r="E344" s="202">
        <v>831.8600000000006</v>
      </c>
      <c r="F344" s="202">
        <v>2186.0399999999972</v>
      </c>
      <c r="G344" s="202">
        <v>0</v>
      </c>
      <c r="H344" s="215">
        <v>11</v>
      </c>
      <c r="I344" s="202">
        <v>5102.639999999999</v>
      </c>
      <c r="J344" s="206">
        <f t="shared" si="15"/>
      </c>
      <c r="K344" s="206">
        <f t="shared" si="306"/>
      </c>
      <c r="L344" s="206">
        <f t="shared" si="276"/>
      </c>
      <c r="M344" s="207">
        <f t="shared" si="215"/>
      </c>
      <c r="N344" s="208">
        <f t="shared" si="185"/>
      </c>
      <c r="O344" s="209">
        <f t="shared" si="155"/>
      </c>
      <c r="P344" s="208">
        <f t="shared" si="245"/>
      </c>
      <c r="Q344" s="210" t="s">
        <v>127</v>
      </c>
      <c r="R344" s="251" t="s">
        <v>141</v>
      </c>
      <c r="S344" s="228">
        <v>42491</v>
      </c>
      <c r="T344" s="228">
        <v>1333</v>
      </c>
      <c r="U344" s="228">
        <v>196</v>
      </c>
      <c r="V344" s="228">
        <v>2283</v>
      </c>
      <c r="W344" s="228">
        <v>408</v>
      </c>
      <c r="X344" s="229">
        <v>18</v>
      </c>
      <c r="Y344" s="228">
        <v>50</v>
      </c>
      <c r="Z344" s="250"/>
    </row>
    <row r="345">
      <c r="A345" s="200"/>
      <c r="B345" s="201" t="s">
        <v>120</v>
      </c>
      <c r="C345" s="202" t="s">
        <v>122</v>
      </c>
      <c r="D345" s="202">
        <f t="shared" si="89"/>
      </c>
      <c r="E345" s="202">
        <v>700.2499999999991</v>
      </c>
      <c r="F345" s="202">
        <v>2193.1900000000023</v>
      </c>
      <c r="G345" s="202">
        <v>0</v>
      </c>
      <c r="H345" s="215">
        <v>9</v>
      </c>
      <c r="I345" s="202">
        <v>3786.239999999998</v>
      </c>
      <c r="J345" s="206">
        <f t="shared" si="15"/>
      </c>
      <c r="K345" s="206">
        <f t="shared" si="306"/>
      </c>
      <c r="L345" s="206">
        <f t="shared" si="276"/>
      </c>
      <c r="M345" s="207">
        <f t="shared" si="215"/>
      </c>
      <c r="N345" s="208">
        <f t="shared" si="185"/>
      </c>
      <c r="O345" s="209">
        <f t="shared" si="155"/>
      </c>
      <c r="P345" s="208">
        <f t="shared" si="245"/>
      </c>
      <c r="Q345" s="210" t="s">
        <v>127</v>
      </c>
      <c r="R345" s="251" t="s">
        <v>141</v>
      </c>
      <c r="S345" s="228">
        <v>47510</v>
      </c>
      <c r="T345" s="228">
        <v>1317</v>
      </c>
      <c r="U345" s="228">
        <v>227</v>
      </c>
      <c r="V345" s="228">
        <v>2149</v>
      </c>
      <c r="W345" s="228">
        <v>330</v>
      </c>
      <c r="X345" s="229">
        <v>15</v>
      </c>
      <c r="Y345" s="228">
        <v>39</v>
      </c>
      <c r="Z345" s="250"/>
    </row>
    <row r="346">
      <c r="A346" s="200"/>
      <c r="B346" s="201" t="s">
        <v>120</v>
      </c>
      <c r="C346" s="202" t="s">
        <v>123</v>
      </c>
      <c r="D346" s="202">
        <f t="shared" si="89"/>
      </c>
      <c r="E346" s="202">
        <v>969.6800000000003</v>
      </c>
      <c r="F346" s="202">
        <v>2135.869999999999</v>
      </c>
      <c r="G346" s="202">
        <v>0</v>
      </c>
      <c r="H346" s="215">
        <v>11</v>
      </c>
      <c r="I346" s="202">
        <v>4197.960000000006</v>
      </c>
      <c r="J346" s="206">
        <f t="shared" si="15"/>
      </c>
      <c r="K346" s="206">
        <f t="shared" si="306"/>
      </c>
      <c r="L346" s="206">
        <f t="shared" si="276"/>
      </c>
      <c r="M346" s="207">
        <f t="shared" si="215"/>
      </c>
      <c r="N346" s="208">
        <f t="shared" si="185"/>
      </c>
      <c r="O346" s="209">
        <f t="shared" si="155"/>
      </c>
      <c r="P346" s="208">
        <f t="shared" si="245"/>
      </c>
      <c r="Q346" s="210" t="s">
        <v>127</v>
      </c>
      <c r="R346" s="251" t="s">
        <v>141</v>
      </c>
      <c r="S346" s="228">
        <v>49382</v>
      </c>
      <c r="T346" s="228">
        <v>1619</v>
      </c>
      <c r="U346" s="228">
        <v>247</v>
      </c>
      <c r="V346" s="228">
        <v>2839</v>
      </c>
      <c r="W346" s="228">
        <v>392</v>
      </c>
      <c r="X346" s="229">
        <v>23</v>
      </c>
      <c r="Y346" s="229">
        <v>60</v>
      </c>
      <c r="Z346" s="250"/>
    </row>
    <row customHeight="true" ht="16.666666666666668" r="347">
      <c r="A347" s="200"/>
      <c r="B347" s="201" t="s">
        <v>120</v>
      </c>
      <c r="C347" s="202" t="s">
        <v>124</v>
      </c>
      <c r="D347" s="202">
        <f t="shared" si="89"/>
      </c>
      <c r="E347" s="202">
        <v>1245.4700000000012</v>
      </c>
      <c r="F347" s="202">
        <v>2334.470000000001</v>
      </c>
      <c r="G347" s="202">
        <v>0</v>
      </c>
      <c r="H347" s="215">
        <v>18</v>
      </c>
      <c r="I347" s="202">
        <v>13112.369999999995</v>
      </c>
      <c r="J347" s="206">
        <f t="shared" si="15"/>
      </c>
      <c r="K347" s="206">
        <f t="shared" si="306"/>
      </c>
      <c r="L347" s="206">
        <f t="shared" si="276"/>
      </c>
      <c r="M347" s="207">
        <f t="shared" si="215"/>
      </c>
      <c r="N347" s="208">
        <f t="shared" si="185"/>
      </c>
      <c r="O347" s="209">
        <f t="shared" si="155"/>
      </c>
      <c r="P347" s="208">
        <f t="shared" si="245"/>
      </c>
      <c r="Q347" s="210" t="s">
        <v>114</v>
      </c>
      <c r="R347" s="251" t="s">
        <v>141</v>
      </c>
      <c r="S347" s="228">
        <v>56746</v>
      </c>
      <c r="T347" s="228">
        <v>1943</v>
      </c>
      <c r="U347" s="228">
        <v>272</v>
      </c>
      <c r="V347" s="228">
        <v>3155</v>
      </c>
      <c r="W347" s="228">
        <v>494</v>
      </c>
      <c r="X347" s="229">
        <v>38</v>
      </c>
      <c r="Y347" s="229">
        <v>65</v>
      </c>
      <c r="Z347" s="250"/>
    </row>
    <row r="348">
      <c r="A348" s="200"/>
      <c r="B348" s="201" t="s">
        <v>120</v>
      </c>
      <c r="C348" s="203" t="s">
        <v>126</v>
      </c>
      <c r="D348" s="202">
        <f t="shared" si="89"/>
      </c>
      <c r="E348" s="203">
        <v>1481.31</v>
      </c>
      <c r="F348" s="203">
        <v>3715.11</v>
      </c>
      <c r="G348" s="203">
        <v>0</v>
      </c>
      <c r="H348" s="204">
        <v>29</v>
      </c>
      <c r="I348" s="203">
        <v>14904.25</v>
      </c>
      <c r="J348" s="206">
        <f t="shared" si="15"/>
      </c>
      <c r="K348" s="206">
        <f t="shared" si="306"/>
      </c>
      <c r="L348" s="206">
        <f t="shared" si="276"/>
      </c>
      <c r="M348" s="207">
        <f t="shared" si="215"/>
      </c>
      <c r="N348" s="208">
        <f t="shared" si="185"/>
      </c>
      <c r="O348" s="209">
        <f t="shared" si="155"/>
      </c>
      <c r="P348" s="208">
        <f t="shared" si="245"/>
      </c>
      <c r="Q348" s="210" t="s">
        <v>114</v>
      </c>
      <c r="R348" s="251" t="s">
        <v>141</v>
      </c>
      <c r="S348" s="229">
        <v>93122</v>
      </c>
      <c r="T348" s="229">
        <v>2187</v>
      </c>
      <c r="U348" s="229">
        <v>297</v>
      </c>
      <c r="V348" s="229">
        <v>3486</v>
      </c>
      <c r="W348" s="229">
        <v>544</v>
      </c>
      <c r="X348" s="229">
        <v>38</v>
      </c>
      <c r="Y348" s="229">
        <v>96</v>
      </c>
      <c r="Z348" s="250"/>
    </row>
    <row r="349">
      <c r="A349" s="200"/>
      <c r="B349" s="219" t="s">
        <v>119</v>
      </c>
      <c r="C349" s="219"/>
      <c r="D349" s="220">
        <f>SUM(D344:D348)</f>
      </c>
      <c r="E349" s="220">
        <f>SUM(E344:E348)</f>
      </c>
      <c r="F349" s="220">
        <f>SUM(F344:G348)</f>
      </c>
      <c r="G349" s="220"/>
      <c r="H349" s="221">
        <f>SUM(H344:H348)</f>
      </c>
      <c r="I349" s="220">
        <f>SUM(I344:I348)</f>
      </c>
      <c r="J349" s="222">
        <f t="shared" si="15"/>
      </c>
      <c r="K349" s="223">
        <f t="shared" si="306"/>
      </c>
      <c r="L349" s="224">
        <f t="shared" si="276"/>
      </c>
      <c r="M349" s="225">
        <f t="shared" si="215"/>
      </c>
      <c r="N349" s="225">
        <f t="shared" si="185"/>
      </c>
      <c r="O349" s="226">
        <f t="shared" si="155"/>
      </c>
      <c r="P349" s="225">
        <f t="shared" si="245"/>
      </c>
      <c r="Q349" s="226"/>
      <c r="R349" s="226"/>
      <c r="S349" s="221">
        <f>SUM(S344:S348)</f>
      </c>
      <c r="T349" s="221">
        <f>SUM(T344:T348)</f>
      </c>
      <c r="U349" s="221">
        <f>SUM(U344:U348)</f>
      </c>
      <c r="V349" s="221">
        <f>SUM(V344:V348)</f>
      </c>
      <c r="W349" s="221">
        <f>SUM(W344:W348)</f>
      </c>
      <c r="X349" s="221">
        <f>SUM(X344:X348)</f>
      </c>
      <c r="Y349" s="221">
        <f>SUM(Y344:Y348)</f>
      </c>
      <c r="Z349" s="250"/>
    </row>
    <row r="350">
      <c r="A350" s="200"/>
      <c r="B350" s="201" t="s">
        <v>160</v>
      </c>
      <c r="C350" s="202" t="s">
        <v>128</v>
      </c>
      <c r="D350" s="202">
        <f t="shared" ref="D350:D352" si="90">E350+G350+F350</f>
      </c>
      <c r="E350" s="203">
        <v>1016.11</v>
      </c>
      <c r="F350" s="203">
        <v>2523.39</v>
      </c>
      <c r="G350" s="203">
        <v>0</v>
      </c>
      <c r="H350" s="204">
        <v>4</v>
      </c>
      <c r="I350" s="203">
        <v>860.16</v>
      </c>
      <c r="J350" s="206">
        <f t="shared" si="15"/>
      </c>
      <c r="K350" s="206">
        <f t="shared" si="306"/>
      </c>
      <c r="L350" s="206">
        <f t="shared" si="276"/>
      </c>
      <c r="M350" s="207">
        <f t="shared" si="215"/>
      </c>
      <c r="N350" s="208">
        <f t="shared" si="185"/>
      </c>
      <c r="O350" s="209">
        <f t="shared" si="155"/>
      </c>
      <c r="P350" s="208">
        <f t="shared" si="245"/>
      </c>
      <c r="Q350" s="210" t="s">
        <v>114</v>
      </c>
      <c r="R350" s="232" t="s">
        <v>129</v>
      </c>
      <c r="S350" s="229">
        <v>56878</v>
      </c>
      <c r="T350" s="229">
        <v>1077</v>
      </c>
      <c r="U350" s="229">
        <v>127</v>
      </c>
      <c r="V350" s="229">
        <v>1617</v>
      </c>
      <c r="W350" s="229">
        <v>218</v>
      </c>
      <c r="X350" s="229">
        <v>13</v>
      </c>
      <c r="Y350" s="229">
        <v>43</v>
      </c>
      <c r="Z350" s="250"/>
    </row>
    <row r="351">
      <c r="A351" s="200"/>
      <c r="B351" s="201" t="s">
        <v>160</v>
      </c>
      <c r="C351" s="202" t="s">
        <v>130</v>
      </c>
      <c r="D351" s="202">
        <f t="shared" si="90"/>
      </c>
      <c r="E351" s="203">
        <v>1821.6</v>
      </c>
      <c r="F351" s="203">
        <v>1125.78</v>
      </c>
      <c r="G351" s="203">
        <v>0</v>
      </c>
      <c r="H351" s="204">
        <v>11</v>
      </c>
      <c r="I351" s="203">
        <v>6439.46</v>
      </c>
      <c r="J351" s="206">
        <f t="shared" si="15"/>
      </c>
      <c r="K351" s="206">
        <f t="shared" si="306"/>
      </c>
      <c r="L351" s="206">
        <f t="shared" si="276"/>
      </c>
      <c r="M351" s="207">
        <f t="shared" si="215"/>
      </c>
      <c r="N351" s="208">
        <f t="shared" si="185"/>
      </c>
      <c r="O351" s="209">
        <f t="shared" si="155"/>
      </c>
      <c r="P351" s="208">
        <f t="shared" si="245"/>
      </c>
      <c r="Q351" s="210" t="s">
        <v>114</v>
      </c>
      <c r="R351" s="232" t="s">
        <v>129</v>
      </c>
      <c r="S351" s="229">
        <v>51705</v>
      </c>
      <c r="T351" s="229">
        <v>2091</v>
      </c>
      <c r="U351" s="229">
        <v>162</v>
      </c>
      <c r="V351" s="229">
        <v>3875</v>
      </c>
      <c r="W351" s="229">
        <v>487</v>
      </c>
      <c r="X351" s="229">
        <v>20</v>
      </c>
      <c r="Y351" s="229">
        <v>43</v>
      </c>
      <c r="Z351" s="250"/>
    </row>
    <row r="352">
      <c r="A352" s="200"/>
      <c r="B352" s="201" t="s">
        <v>160</v>
      </c>
      <c r="C352" s="202" t="s">
        <v>131</v>
      </c>
      <c r="D352" s="202">
        <f t="shared" si="90"/>
      </c>
      <c r="E352" s="203">
        <v>2107.7</v>
      </c>
      <c r="F352" s="203">
        <v>977.07</v>
      </c>
      <c r="G352" s="203">
        <v>0</v>
      </c>
      <c r="H352" s="204">
        <v>7</v>
      </c>
      <c r="I352" s="203">
        <v>2329.72</v>
      </c>
      <c r="J352" s="206">
        <f t="shared" si="15"/>
      </c>
      <c r="K352" s="206">
        <f t="shared" si="306"/>
      </c>
      <c r="L352" s="206">
        <f t="shared" si="276"/>
      </c>
      <c r="M352" s="207">
        <f t="shared" si="215"/>
      </c>
      <c r="N352" s="208">
        <f t="shared" si="185"/>
      </c>
      <c r="O352" s="209">
        <f t="shared" si="155"/>
      </c>
      <c r="P352" s="208">
        <f t="shared" si="245"/>
      </c>
      <c r="Q352" s="210" t="s">
        <v>114</v>
      </c>
      <c r="R352" s="232" t="s">
        <v>129</v>
      </c>
      <c r="S352" s="229">
        <v>51414</v>
      </c>
      <c r="T352" s="229">
        <v>2789</v>
      </c>
      <c r="U352" s="229">
        <v>178</v>
      </c>
      <c r="V352" s="229">
        <v>5433</v>
      </c>
      <c r="W352" s="229">
        <v>681</v>
      </c>
      <c r="X352" s="229">
        <v>15</v>
      </c>
      <c r="Y352" s="229">
        <v>44</v>
      </c>
      <c r="Z352" s="250"/>
    </row>
    <row r="353">
      <c r="A353" s="200"/>
      <c r="B353" s="219" t="s">
        <v>119</v>
      </c>
      <c r="C353" s="219"/>
      <c r="D353" s="220">
        <f>SUM(D350:D352)</f>
      </c>
      <c r="E353" s="220">
        <f>SUM(E350:E352)</f>
      </c>
      <c r="F353" s="220">
        <f>SUM(F350:G352)</f>
      </c>
      <c r="G353" s="220"/>
      <c r="H353" s="221">
        <f>SUM(H350:H352)</f>
      </c>
      <c r="I353" s="220">
        <f>SUM(I350:I352)</f>
      </c>
      <c r="J353" s="222">
        <f t="shared" si="15"/>
      </c>
      <c r="K353" s="223">
        <f t="shared" si="306"/>
      </c>
      <c r="L353" s="224">
        <f t="shared" si="276"/>
      </c>
      <c r="M353" s="225">
        <f t="shared" si="215"/>
      </c>
      <c r="N353" s="225">
        <f t="shared" si="185"/>
      </c>
      <c r="O353" s="226">
        <f t="shared" si="155"/>
      </c>
      <c r="P353" s="225">
        <f t="shared" si="245"/>
      </c>
      <c r="Q353" s="226"/>
      <c r="R353" s="226"/>
      <c r="S353" s="221">
        <f>SUM(S350:S352)</f>
      </c>
      <c r="T353" s="221">
        <f>SUM(T350:T352)</f>
      </c>
      <c r="U353" s="221">
        <f>SUM(U350:U352)</f>
      </c>
      <c r="V353" s="221">
        <f>SUM(V350:V352)</f>
      </c>
      <c r="W353" s="221">
        <f>SUM(W350:W352)</f>
      </c>
      <c r="X353" s="221">
        <f>SUM(X350:X352)</f>
      </c>
      <c r="Y353" s="221">
        <f>SUM(Y350:Y352)</f>
      </c>
      <c r="Z353" s="250"/>
    </row>
    <row r="354">
      <c r="A354" s="200"/>
      <c r="B354" s="245" t="s">
        <v>132</v>
      </c>
      <c r="C354" s="202" t="s">
        <v>133</v>
      </c>
      <c r="D354" s="202">
        <f t="shared" ref="D354:D358" si="91">E354+G354+F354</f>
      </c>
      <c r="E354" s="203">
        <v>2338.45</v>
      </c>
      <c r="F354" s="203">
        <v>2599.3</v>
      </c>
      <c r="G354" s="203">
        <v>0</v>
      </c>
      <c r="H354" s="204">
        <v>13</v>
      </c>
      <c r="I354" s="203">
        <v>8690.16</v>
      </c>
      <c r="J354" s="206">
        <f t="shared" si="15"/>
      </c>
      <c r="K354" s="206">
        <f t="shared" si="306"/>
      </c>
      <c r="L354" s="206">
        <f t="shared" si="276"/>
      </c>
      <c r="M354" s="207">
        <f t="shared" si="215"/>
      </c>
      <c r="N354" s="208">
        <f t="shared" si="185"/>
      </c>
      <c r="O354" s="209">
        <f t="shared" si="155"/>
      </c>
      <c r="P354" s="208">
        <f t="shared" si="245"/>
      </c>
      <c r="Q354" s="210" t="s">
        <v>114</v>
      </c>
      <c r="R354" s="232" t="s">
        <v>129</v>
      </c>
      <c r="S354" s="229">
        <v>84952</v>
      </c>
      <c r="T354" s="229">
        <v>2986</v>
      </c>
      <c r="U354" s="229">
        <v>317</v>
      </c>
      <c r="V354" s="229">
        <v>5020</v>
      </c>
      <c r="W354" s="229">
        <v>521</v>
      </c>
      <c r="X354" s="229">
        <v>27</v>
      </c>
      <c r="Y354" s="229">
        <v>70</v>
      </c>
      <c r="Z354" s="250"/>
    </row>
    <row r="355">
      <c r="A355" s="200"/>
      <c r="B355" s="201" t="s">
        <v>132</v>
      </c>
      <c r="C355" s="202" t="s">
        <v>134</v>
      </c>
      <c r="D355" s="202">
        <f t="shared" si="91"/>
      </c>
      <c r="E355" s="203">
        <v>4162.94</v>
      </c>
      <c r="F355" s="203">
        <v>4252.58</v>
      </c>
      <c r="G355" s="203">
        <v>0</v>
      </c>
      <c r="H355" s="204">
        <v>43</v>
      </c>
      <c r="I355" s="203">
        <v>21878.22</v>
      </c>
      <c r="J355" s="206">
        <f t="shared" si="15"/>
      </c>
      <c r="K355" s="206">
        <f t="shared" si="306"/>
      </c>
      <c r="L355" s="206">
        <f t="shared" si="276"/>
      </c>
      <c r="M355" s="207">
        <f t="shared" si="215"/>
      </c>
      <c r="N355" s="208">
        <f t="shared" si="185"/>
      </c>
      <c r="O355" s="209">
        <f t="shared" si="155"/>
      </c>
      <c r="P355" s="208">
        <f t="shared" si="245"/>
      </c>
      <c r="Q355" s="210" t="s">
        <v>114</v>
      </c>
      <c r="R355" s="232" t="s">
        <v>129</v>
      </c>
      <c r="S355" s="233">
        <v>172903</v>
      </c>
      <c r="T355" s="233">
        <v>5624</v>
      </c>
      <c r="U355" s="233">
        <v>580</v>
      </c>
      <c r="V355" s="233">
        <v>9386</v>
      </c>
      <c r="W355" s="233">
        <v>1060</v>
      </c>
      <c r="X355" s="233">
        <v>68</v>
      </c>
      <c r="Y355" s="229">
        <v>137</v>
      </c>
      <c r="Z355" s="250"/>
    </row>
    <row r="356">
      <c r="A356" s="200"/>
      <c r="B356" s="201" t="s">
        <v>132</v>
      </c>
      <c r="C356" s="202" t="s">
        <v>135</v>
      </c>
      <c r="D356" s="202">
        <f t="shared" si="91"/>
      </c>
      <c r="E356" s="203">
        <v>4773.08</v>
      </c>
      <c r="F356" s="203">
        <v>3031.94</v>
      </c>
      <c r="G356" s="203">
        <v>0</v>
      </c>
      <c r="H356" s="204">
        <v>33</v>
      </c>
      <c r="I356" s="203">
        <v>22153.8</v>
      </c>
      <c r="J356" s="206">
        <f t="shared" si="15"/>
      </c>
      <c r="K356" s="206">
        <f t="shared" si="306"/>
      </c>
      <c r="L356" s="206">
        <f t="shared" si="276"/>
      </c>
      <c r="M356" s="207">
        <f t="shared" si="215"/>
      </c>
      <c r="N356" s="208">
        <f t="shared" si="185"/>
      </c>
      <c r="O356" s="209">
        <f t="shared" si="155"/>
      </c>
      <c r="P356" s="208">
        <f t="shared" si="245"/>
      </c>
      <c r="Q356" s="210" t="s">
        <v>114</v>
      </c>
      <c r="R356" s="232" t="s">
        <v>129</v>
      </c>
      <c r="S356" s="233">
        <v>115369</v>
      </c>
      <c r="T356" s="233">
        <v>7225</v>
      </c>
      <c r="U356" s="233">
        <v>538</v>
      </c>
      <c r="V356" s="233">
        <v>12497</v>
      </c>
      <c r="W356" s="246">
        <v>1349</v>
      </c>
      <c r="X356" s="214">
        <v>59</v>
      </c>
      <c r="Y356" s="248">
        <v>98</v>
      </c>
      <c r="Z356" s="250"/>
    </row>
    <row r="357">
      <c r="A357" s="200"/>
      <c r="B357" s="201" t="s">
        <v>132</v>
      </c>
      <c r="C357" s="202" t="s">
        <v>136</v>
      </c>
      <c r="D357" s="202">
        <f t="shared" si="91"/>
      </c>
      <c r="E357" s="203">
        <v>2983.66</v>
      </c>
      <c r="F357" s="203">
        <v>6973.04</v>
      </c>
      <c r="G357" s="203">
        <v>0</v>
      </c>
      <c r="H357" s="204">
        <v>30</v>
      </c>
      <c r="I357" s="203">
        <v>9475.99</v>
      </c>
      <c r="J357" s="206">
        <f t="shared" si="15"/>
      </c>
      <c r="K357" s="206">
        <f t="shared" si="306"/>
      </c>
      <c r="L357" s="206">
        <f t="shared" si="276"/>
      </c>
      <c r="M357" s="207">
        <f t="shared" si="215"/>
      </c>
      <c r="N357" s="208">
        <f t="shared" si="185"/>
      </c>
      <c r="O357" s="209">
        <f t="shared" si="155"/>
      </c>
      <c r="P357" s="208">
        <f t="shared" si="245"/>
      </c>
      <c r="Q357" s="210" t="s">
        <v>114</v>
      </c>
      <c r="R357" s="232" t="s">
        <v>129</v>
      </c>
      <c r="S357" s="233">
        <v>206065</v>
      </c>
      <c r="T357" s="233">
        <v>6274</v>
      </c>
      <c r="U357" s="233">
        <v>617</v>
      </c>
      <c r="V357" s="233">
        <v>9836</v>
      </c>
      <c r="W357" s="246">
        <v>1102</v>
      </c>
      <c r="X357" s="214">
        <v>48</v>
      </c>
      <c r="Y357" s="248">
        <v>93</v>
      </c>
      <c r="Z357" s="250"/>
    </row>
    <row r="358">
      <c r="A358" s="200"/>
      <c r="B358" s="201" t="s">
        <v>132</v>
      </c>
      <c r="C358" s="202" t="s">
        <v>137</v>
      </c>
      <c r="D358" s="202">
        <f t="shared" si="91"/>
      </c>
      <c r="E358" s="203">
        <v>2987.96</v>
      </c>
      <c r="F358" s="203">
        <v>2104.5</v>
      </c>
      <c r="G358" s="203">
        <v>0</v>
      </c>
      <c r="H358" s="204">
        <v>25</v>
      </c>
      <c r="I358" s="203">
        <v>18196.56</v>
      </c>
      <c r="J358" s="206">
        <f t="shared" si="15"/>
      </c>
      <c r="K358" s="206">
        <f t="shared" si="306"/>
      </c>
      <c r="L358" s="206">
        <f t="shared" si="276"/>
      </c>
      <c r="M358" s="207">
        <f t="shared" si="215"/>
      </c>
      <c r="N358" s="208">
        <f t="shared" si="185"/>
      </c>
      <c r="O358" s="209">
        <f t="shared" si="155"/>
      </c>
      <c r="P358" s="208">
        <f t="shared" si="245"/>
      </c>
      <c r="Q358" s="210" t="s">
        <v>114</v>
      </c>
      <c r="R358" s="232" t="s">
        <v>129</v>
      </c>
      <c r="S358" s="233">
        <v>86973</v>
      </c>
      <c r="T358" s="233">
        <v>4842</v>
      </c>
      <c r="U358" s="233">
        <v>327</v>
      </c>
      <c r="V358" s="233">
        <v>8093</v>
      </c>
      <c r="W358" s="233">
        <v>882</v>
      </c>
      <c r="X358" s="249">
        <v>38</v>
      </c>
      <c r="Y358" s="229">
        <v>96</v>
      </c>
      <c r="Z358" s="250"/>
    </row>
    <row r="359">
      <c r="A359" s="200"/>
      <c r="B359" s="219" t="s">
        <v>119</v>
      </c>
      <c r="C359" s="219"/>
      <c r="D359" s="220">
        <f>SUM(D354:D358)</f>
      </c>
      <c r="E359" s="220">
        <f>SUM(E354:E358)</f>
      </c>
      <c r="F359" s="220">
        <f>SUM(F354:G358)</f>
      </c>
      <c r="G359" s="220"/>
      <c r="H359" s="220">
        <f>SUM(H354:H358)</f>
      </c>
      <c r="I359" s="220">
        <f>SUM(I354:I358)</f>
      </c>
      <c r="J359" s="222">
        <f t="shared" si="15"/>
      </c>
      <c r="K359" s="223">
        <f t="shared" si="306"/>
      </c>
      <c r="L359" s="224">
        <f t="shared" si="276"/>
      </c>
      <c r="M359" s="225">
        <f t="shared" si="215"/>
      </c>
      <c r="N359" s="225">
        <f t="shared" si="185"/>
      </c>
      <c r="O359" s="226">
        <f t="shared" si="155"/>
      </c>
      <c r="P359" s="225">
        <f t="shared" si="245"/>
      </c>
      <c r="Q359" s="226"/>
      <c r="R359" s="235"/>
      <c r="S359" s="220">
        <f>SUM(S354:S358)</f>
      </c>
      <c r="T359" s="220">
        <f>SUM(T354:T358)</f>
      </c>
      <c r="U359" s="220">
        <f>SUM(U354:U358)</f>
      </c>
      <c r="V359" s="220">
        <f>SUM(V354:V358)</f>
      </c>
      <c r="W359" s="220">
        <f>SUM(W354:W358)</f>
      </c>
      <c r="X359" s="220">
        <f>SUM(X354:X358)</f>
      </c>
      <c r="Y359" s="220">
        <f>SUM(Y354:Y358)</f>
      </c>
      <c r="Z359" s="250"/>
    </row>
    <row r="360">
      <c r="A360" s="200"/>
      <c r="B360" s="236" t="s">
        <v>138</v>
      </c>
      <c r="C360" s="236"/>
      <c r="D360" s="237">
        <f>D359+D353+D349+D343</f>
      </c>
      <c r="E360" s="237">
        <f>E359+E353+E349+E343</f>
      </c>
      <c r="F360" s="237">
        <f>F359+F353+F349+F343</f>
      </c>
      <c r="G360" s="237"/>
      <c r="H360" s="238">
        <f>H359+H353+H349+H343</f>
      </c>
      <c r="I360" s="237">
        <f>I359+I353+I349+I343</f>
      </c>
      <c r="J360" s="239">
        <f t="shared" si="15"/>
      </c>
      <c r="K360" s="239">
        <f t="shared" si="306"/>
      </c>
      <c r="L360" s="239">
        <f t="shared" si="276"/>
      </c>
      <c r="M360" s="240">
        <f t="shared" si="215"/>
      </c>
      <c r="N360" s="240">
        <f t="shared" si="185"/>
      </c>
      <c r="O360" s="239">
        <f t="shared" si="155"/>
      </c>
      <c r="P360" s="240">
        <f t="shared" si="245"/>
      </c>
      <c r="Q360" s="241"/>
      <c r="R360" s="242"/>
      <c r="S360" s="243">
        <f>S359+S353+S349+S343</f>
      </c>
      <c r="T360" s="243">
        <f>T359+T353+T349+T343</f>
      </c>
      <c r="U360" s="243">
        <f>U359+U353+U349+U343</f>
      </c>
      <c r="V360" s="243">
        <f>V359+V353+V349+V343</f>
      </c>
      <c r="W360" s="243">
        <f>W359+W353+W349+W343</f>
      </c>
      <c r="X360" s="244">
        <f>X359+X353+X349+X343</f>
      </c>
      <c r="Y360" s="238">
        <f>Y359+Y353+Y349+Y343</f>
      </c>
      <c r="Z360" s="255"/>
    </row>
    <row r="361">
      <c r="A361" s="188" t="s">
        <v>83</v>
      </c>
      <c r="B361" s="188"/>
      <c r="C361" s="188"/>
      <c r="D361" s="189" t="s">
        <v>84</v>
      </c>
      <c r="E361" s="189"/>
      <c r="F361" s="189"/>
      <c r="G361" s="189"/>
      <c r="H361" s="189"/>
      <c r="I361" s="189"/>
      <c r="J361" s="189"/>
      <c r="K361" s="189"/>
      <c r="L361" s="189"/>
      <c r="M361" s="190" t="s">
        <v>85</v>
      </c>
      <c r="N361" s="190"/>
      <c r="O361" s="190"/>
      <c r="P361" s="190"/>
      <c r="Q361" s="190"/>
      <c r="R361" s="190"/>
      <c r="S361" s="191" t="s">
        <v>86</v>
      </c>
      <c r="T361" s="191"/>
      <c r="U361" s="191"/>
      <c r="V361" s="191"/>
      <c r="W361" s="191"/>
      <c r="X361" s="191"/>
      <c r="Y361" s="191"/>
      <c r="Z361" s="250"/>
    </row>
    <row r="362">
      <c r="A362" s="192" t="s">
        <v>87</v>
      </c>
      <c r="B362" s="188" t="s">
        <v>88</v>
      </c>
      <c r="C362" s="188" t="s">
        <v>89</v>
      </c>
      <c r="D362" s="193" t="s">
        <v>90</v>
      </c>
      <c r="E362" s="193" t="s">
        <v>91</v>
      </c>
      <c r="F362" s="189" t="s">
        <v>92</v>
      </c>
      <c r="G362" s="189"/>
      <c r="H362" s="194" t="s">
        <v>93</v>
      </c>
      <c r="I362" s="189" t="s">
        <v>94</v>
      </c>
      <c r="J362" s="195" t="s">
        <v>95</v>
      </c>
      <c r="K362" s="196" t="s">
        <v>96</v>
      </c>
      <c r="L362" s="189" t="s">
        <v>97</v>
      </c>
      <c r="M362" s="190" t="s">
        <v>98</v>
      </c>
      <c r="N362" s="190" t="s">
        <v>99</v>
      </c>
      <c r="O362" s="190" t="s">
        <v>100</v>
      </c>
      <c r="P362" s="190" t="s">
        <v>101</v>
      </c>
      <c r="Q362" s="197" t="s">
        <v>102</v>
      </c>
      <c r="R362" s="197" t="s">
        <v>103</v>
      </c>
      <c r="S362" s="198" t="s">
        <v>104</v>
      </c>
      <c r="T362" s="198" t="s">
        <v>105</v>
      </c>
      <c r="U362" s="199" t="s">
        <v>106</v>
      </c>
      <c r="V362" s="199" t="s">
        <v>107</v>
      </c>
      <c r="W362" s="199" t="s">
        <v>108</v>
      </c>
      <c r="X362" s="199" t="s">
        <v>109</v>
      </c>
      <c r="Y362" s="199" t="s">
        <v>110</v>
      </c>
      <c r="Z362" s="250"/>
    </row>
    <row r="363">
      <c r="A363" s="200" t="s">
        <v>161</v>
      </c>
      <c r="B363" s="227" t="s">
        <v>125</v>
      </c>
      <c r="C363" s="202" t="s">
        <v>113</v>
      </c>
      <c r="D363" s="202">
        <f t="shared" ref="D363:D366" si="92">E363+G363+F363</f>
      </c>
      <c r="E363" s="202">
        <v>1713.36</v>
      </c>
      <c r="F363" s="202">
        <v>1492.5200000000002</v>
      </c>
      <c r="G363" s="203">
        <v>0</v>
      </c>
      <c r="H363" s="204">
        <v>8</v>
      </c>
      <c r="I363" s="202">
        <v>2626.1</v>
      </c>
      <c r="J363" s="205">
        <f t="shared" ref="J363:J384" si="16">I363/D363</f>
      </c>
      <c r="K363" s="205">
        <f t="shared" ref="K363:K384" si="307">D363/H363</f>
      </c>
      <c r="L363" s="206">
        <f t="shared" ref="L363:L384" si="277">I363/H363</f>
      </c>
      <c r="M363" s="207">
        <f t="shared" ref="M363:M384" si="216">T363/S363</f>
      </c>
      <c r="N363" s="208">
        <f t="shared" ref="N363:N384" si="186">H363/X363</f>
      </c>
      <c r="O363" s="209">
        <f t="shared" ref="O363:O384" si="156">(Y363*1000)/D363</f>
      </c>
      <c r="P363" s="208">
        <f t="shared" ref="P363:P384" si="246">W363/V363</f>
      </c>
      <c r="Q363" s="210" t="s">
        <v>127</v>
      </c>
      <c r="R363" s="211" t="s">
        <v>115</v>
      </c>
      <c r="S363" s="212">
        <v>45362</v>
      </c>
      <c r="T363" s="212">
        <v>1980</v>
      </c>
      <c r="U363" s="213">
        <v>223</v>
      </c>
      <c r="V363" s="212">
        <v>3604</v>
      </c>
      <c r="W363" s="212">
        <v>599</v>
      </c>
      <c r="X363" s="214">
        <v>25</v>
      </c>
      <c r="Y363" s="214">
        <v>50</v>
      </c>
      <c r="Z363" s="250"/>
    </row>
    <row r="364">
      <c r="A364" s="200"/>
      <c r="B364" s="227" t="s">
        <v>125</v>
      </c>
      <c r="C364" s="202" t="s">
        <v>116</v>
      </c>
      <c r="D364" s="202">
        <f t="shared" si="92"/>
      </c>
      <c r="E364" s="202">
        <v>2001.6700000000003</v>
      </c>
      <c r="F364" s="202">
        <v>3294.99</v>
      </c>
      <c r="G364" s="203">
        <v>0</v>
      </c>
      <c r="H364" s="215">
        <v>29</v>
      </c>
      <c r="I364" s="202">
        <v>13903.24</v>
      </c>
      <c r="J364" s="206">
        <f t="shared" si="16"/>
      </c>
      <c r="K364" s="206">
        <f t="shared" si="307"/>
      </c>
      <c r="L364" s="205">
        <f t="shared" si="277"/>
      </c>
      <c r="M364" s="207">
        <f t="shared" si="216"/>
      </c>
      <c r="N364" s="208">
        <f t="shared" si="186"/>
      </c>
      <c r="O364" s="209">
        <f t="shared" si="156"/>
      </c>
      <c r="P364" s="208">
        <f t="shared" si="246"/>
      </c>
      <c r="Q364" s="210" t="s">
        <v>127</v>
      </c>
      <c r="R364" s="211" t="s">
        <v>115</v>
      </c>
      <c r="S364" s="216">
        <v>89915</v>
      </c>
      <c r="T364" s="216">
        <v>3726</v>
      </c>
      <c r="U364" s="212">
        <v>359</v>
      </c>
      <c r="V364" s="212">
        <v>7213</v>
      </c>
      <c r="W364" s="212">
        <v>1229</v>
      </c>
      <c r="X364" s="214">
        <v>55</v>
      </c>
      <c r="Y364" s="217">
        <v>89</v>
      </c>
      <c r="Z364" s="250"/>
    </row>
    <row r="365">
      <c r="A365" s="200"/>
      <c r="B365" s="227" t="s">
        <v>125</v>
      </c>
      <c r="C365" s="202" t="s">
        <v>117</v>
      </c>
      <c r="D365" s="202">
        <f t="shared" si="92"/>
      </c>
      <c r="E365" s="218">
        <v>1030.3199999999993</v>
      </c>
      <c r="F365" s="202">
        <v>3968.3599999999988</v>
      </c>
      <c r="G365" s="203">
        <v>0</v>
      </c>
      <c r="H365" s="215">
        <v>22</v>
      </c>
      <c r="I365" s="202">
        <v>9262.119999999999</v>
      </c>
      <c r="J365" s="206">
        <f t="shared" si="16"/>
      </c>
      <c r="K365" s="206">
        <f t="shared" si="307"/>
      </c>
      <c r="L365" s="206">
        <f t="shared" si="277"/>
      </c>
      <c r="M365" s="207">
        <f t="shared" si="216"/>
      </c>
      <c r="N365" s="208">
        <f t="shared" si="186"/>
      </c>
      <c r="O365" s="209">
        <f t="shared" si="156"/>
      </c>
      <c r="P365" s="208">
        <f t="shared" si="246"/>
      </c>
      <c r="Q365" s="210" t="s">
        <v>127</v>
      </c>
      <c r="R365" s="211" t="s">
        <v>115</v>
      </c>
      <c r="S365" s="217">
        <v>108161</v>
      </c>
      <c r="T365" s="217">
        <v>2259</v>
      </c>
      <c r="U365" s="217">
        <v>361</v>
      </c>
      <c r="V365" s="217">
        <v>3709</v>
      </c>
      <c r="W365" s="217">
        <v>703</v>
      </c>
      <c r="X365" s="214">
        <v>45</v>
      </c>
      <c r="Y365" s="217">
        <v>77</v>
      </c>
      <c r="Z365" s="250"/>
    </row>
    <row r="366">
      <c r="A366" s="200"/>
      <c r="B366" s="227" t="s">
        <v>125</v>
      </c>
      <c r="C366" s="202" t="s">
        <v>118</v>
      </c>
      <c r="D366" s="202">
        <f t="shared" si="92"/>
      </c>
      <c r="E366" s="202">
        <v>850.460000000001</v>
      </c>
      <c r="F366" s="202">
        <v>1523.4700000000012</v>
      </c>
      <c r="G366" s="203">
        <v>0</v>
      </c>
      <c r="H366" s="215">
        <v>6</v>
      </c>
      <c r="I366" s="202">
        <v>3384.350000000002</v>
      </c>
      <c r="J366" s="206">
        <f t="shared" si="16"/>
      </c>
      <c r="K366" s="206">
        <f t="shared" si="307"/>
      </c>
      <c r="L366" s="206">
        <f t="shared" si="277"/>
      </c>
      <c r="M366" s="207">
        <f t="shared" si="216"/>
      </c>
      <c r="N366" s="208">
        <f t="shared" si="186"/>
      </c>
      <c r="O366" s="209">
        <f t="shared" si="156"/>
      </c>
      <c r="P366" s="208">
        <f t="shared" si="246"/>
      </c>
      <c r="Q366" s="210" t="s">
        <v>127</v>
      </c>
      <c r="R366" s="211" t="s">
        <v>115</v>
      </c>
      <c r="S366" s="217">
        <v>44298</v>
      </c>
      <c r="T366" s="217">
        <v>1019</v>
      </c>
      <c r="U366" s="217">
        <v>143</v>
      </c>
      <c r="V366" s="217">
        <v>1755</v>
      </c>
      <c r="W366" s="217">
        <v>328</v>
      </c>
      <c r="X366" s="214">
        <v>15</v>
      </c>
      <c r="Y366" s="217">
        <v>40</v>
      </c>
      <c r="Z366" s="250"/>
    </row>
    <row r="367">
      <c r="A367" s="200"/>
      <c r="B367" s="219" t="s">
        <v>119</v>
      </c>
      <c r="C367" s="219"/>
      <c r="D367" s="220">
        <f>SUM(D363:D366)</f>
      </c>
      <c r="E367" s="220">
        <f>SUM(E363:E366)</f>
      </c>
      <c r="F367" s="220">
        <f>SUM(F363:G366)</f>
      </c>
      <c r="G367" s="220"/>
      <c r="H367" s="221">
        <f>SUM(H363:H366)</f>
      </c>
      <c r="I367" s="220">
        <f>SUM(I363:I366)</f>
      </c>
      <c r="J367" s="253">
        <f t="shared" si="16"/>
      </c>
      <c r="K367" s="223">
        <f t="shared" si="307"/>
      </c>
      <c r="L367" s="254">
        <f t="shared" si="277"/>
      </c>
      <c r="M367" s="225">
        <f t="shared" si="216"/>
      </c>
      <c r="N367" s="225">
        <f t="shared" si="186"/>
      </c>
      <c r="O367" s="226">
        <f t="shared" si="156"/>
      </c>
      <c r="P367" s="225">
        <f t="shared" si="246"/>
      </c>
      <c r="Q367" s="226"/>
      <c r="R367" s="226"/>
      <c r="S367" s="221">
        <f>SUM(S363:S366)</f>
      </c>
      <c r="T367" s="221">
        <f>SUM(T363:T366)</f>
      </c>
      <c r="U367" s="221">
        <f>SUM(U363:U366)</f>
      </c>
      <c r="V367" s="221">
        <f>SUM(V363:V366)</f>
      </c>
      <c r="W367" s="221">
        <f>SUM(W363:W366)</f>
      </c>
      <c r="X367" s="221">
        <f>SUM(X363:X366)</f>
      </c>
      <c r="Y367" s="221">
        <f>SUM(Y363:Y366)</f>
      </c>
      <c r="Z367" s="250"/>
    </row>
    <row r="368">
      <c r="A368" s="200"/>
      <c r="B368" s="201" t="s">
        <v>120</v>
      </c>
      <c r="C368" s="202" t="s">
        <v>121</v>
      </c>
      <c r="D368" s="202">
        <f t="shared" ref="D368:D372" si="93">E368+G368+F368</f>
      </c>
      <c r="E368" s="202">
        <v>1362.9099999999999</v>
      </c>
      <c r="F368" s="202">
        <v>596.3199999999997</v>
      </c>
      <c r="G368" s="203">
        <v>0</v>
      </c>
      <c r="H368" s="215">
        <v>5</v>
      </c>
      <c r="I368" s="202">
        <v>2424.239999999998</v>
      </c>
      <c r="J368" s="206">
        <f t="shared" si="16"/>
      </c>
      <c r="K368" s="206">
        <f t="shared" si="307"/>
      </c>
      <c r="L368" s="206">
        <f t="shared" si="277"/>
      </c>
      <c r="M368" s="207">
        <f t="shared" si="216"/>
      </c>
      <c r="N368" s="208">
        <f t="shared" si="186"/>
      </c>
      <c r="O368" s="209">
        <f t="shared" si="156"/>
      </c>
      <c r="P368" s="208">
        <f t="shared" si="246"/>
      </c>
      <c r="Q368" s="210" t="s">
        <v>127</v>
      </c>
      <c r="R368" s="251" t="s">
        <v>115</v>
      </c>
      <c r="S368" s="228">
        <v>23864</v>
      </c>
      <c r="T368" s="228">
        <v>1324</v>
      </c>
      <c r="U368" s="228">
        <v>88</v>
      </c>
      <c r="V368" s="228">
        <v>2829</v>
      </c>
      <c r="W368" s="228">
        <v>423</v>
      </c>
      <c r="X368" s="229">
        <v>13</v>
      </c>
      <c r="Y368" s="228">
        <v>29</v>
      </c>
      <c r="Z368" s="250"/>
    </row>
    <row r="369">
      <c r="A369" s="200"/>
      <c r="B369" s="201" t="s">
        <v>120</v>
      </c>
      <c r="C369" s="202" t="s">
        <v>122</v>
      </c>
      <c r="D369" s="202">
        <f t="shared" si="93"/>
      </c>
      <c r="E369" s="202">
        <v>1571.0700000000006</v>
      </c>
      <c r="F369" s="202">
        <v>527.5500000000011</v>
      </c>
      <c r="G369" s="203">
        <v>0</v>
      </c>
      <c r="H369" s="215">
        <v>10</v>
      </c>
      <c r="I369" s="202">
        <v>6139.619999999999</v>
      </c>
      <c r="J369" s="206">
        <f t="shared" si="16"/>
      </c>
      <c r="K369" s="206">
        <f t="shared" si="307"/>
      </c>
      <c r="L369" s="206">
        <f t="shared" si="277"/>
      </c>
      <c r="M369" s="207">
        <f t="shared" si="216"/>
      </c>
      <c r="N369" s="208">
        <f t="shared" si="186"/>
      </c>
      <c r="O369" s="209">
        <f t="shared" si="156"/>
      </c>
      <c r="P369" s="208">
        <f t="shared" si="246"/>
      </c>
      <c r="Q369" s="210" t="s">
        <v>127</v>
      </c>
      <c r="R369" s="251" t="s">
        <v>115</v>
      </c>
      <c r="S369" s="228">
        <v>26060</v>
      </c>
      <c r="T369" s="228">
        <v>1664</v>
      </c>
      <c r="U369" s="228">
        <v>147</v>
      </c>
      <c r="V369" s="228">
        <v>3596</v>
      </c>
      <c r="W369" s="228">
        <v>520</v>
      </c>
      <c r="X369" s="229">
        <v>21</v>
      </c>
      <c r="Y369" s="228">
        <v>55</v>
      </c>
      <c r="Z369" s="250"/>
    </row>
    <row r="370">
      <c r="A370" s="200"/>
      <c r="B370" s="201" t="s">
        <v>120</v>
      </c>
      <c r="C370" s="202" t="s">
        <v>123</v>
      </c>
      <c r="D370" s="202">
        <f t="shared" si="93"/>
      </c>
      <c r="E370" s="202">
        <v>2124.8499999999985</v>
      </c>
      <c r="F370" s="202">
        <v>700.2800000000007</v>
      </c>
      <c r="G370" s="203">
        <v>0</v>
      </c>
      <c r="H370" s="215">
        <v>13</v>
      </c>
      <c r="I370" s="202">
        <v>5059.580000000002</v>
      </c>
      <c r="J370" s="206">
        <f t="shared" si="16"/>
      </c>
      <c r="K370" s="206">
        <f t="shared" si="307"/>
      </c>
      <c r="L370" s="206">
        <f t="shared" si="277"/>
      </c>
      <c r="M370" s="207">
        <f t="shared" si="216"/>
      </c>
      <c r="N370" s="208">
        <f t="shared" si="186"/>
      </c>
      <c r="O370" s="209">
        <f t="shared" si="156"/>
      </c>
      <c r="P370" s="208">
        <f t="shared" si="246"/>
      </c>
      <c r="Q370" s="210" t="s">
        <v>127</v>
      </c>
      <c r="R370" s="251" t="s">
        <v>115</v>
      </c>
      <c r="S370" s="228">
        <v>19318</v>
      </c>
      <c r="T370" s="228">
        <v>1309</v>
      </c>
      <c r="U370" s="228">
        <v>142</v>
      </c>
      <c r="V370" s="228">
        <v>2892</v>
      </c>
      <c r="W370" s="228">
        <v>406</v>
      </c>
      <c r="X370" s="229">
        <v>27</v>
      </c>
      <c r="Y370" s="229">
        <v>59</v>
      </c>
      <c r="Z370" s="250"/>
    </row>
    <row r="371">
      <c r="A371" s="200"/>
      <c r="B371" s="201" t="s">
        <v>120</v>
      </c>
      <c r="C371" s="202" t="s">
        <v>124</v>
      </c>
      <c r="D371" s="202">
        <f t="shared" si="93"/>
      </c>
      <c r="E371" s="202">
        <v>2884.8899999999994</v>
      </c>
      <c r="F371" s="203">
        <v>406.450000000001</v>
      </c>
      <c r="G371" s="203">
        <v>0</v>
      </c>
      <c r="H371" s="215">
        <v>10</v>
      </c>
      <c r="I371" s="202">
        <v>5828.040000000001</v>
      </c>
      <c r="J371" s="206">
        <f t="shared" si="16"/>
      </c>
      <c r="K371" s="206">
        <f t="shared" si="307"/>
      </c>
      <c r="L371" s="206">
        <f t="shared" si="277"/>
      </c>
      <c r="M371" s="207">
        <f t="shared" si="216"/>
      </c>
      <c r="N371" s="208">
        <f t="shared" si="186"/>
      </c>
      <c r="O371" s="209">
        <f t="shared" si="156"/>
      </c>
      <c r="P371" s="208">
        <f t="shared" si="246"/>
      </c>
      <c r="Q371" s="210" t="s">
        <v>127</v>
      </c>
      <c r="R371" s="251" t="s">
        <v>115</v>
      </c>
      <c r="S371" s="228">
        <v>15143</v>
      </c>
      <c r="T371" s="228">
        <v>1118</v>
      </c>
      <c r="U371" s="228">
        <v>128</v>
      </c>
      <c r="V371" s="228">
        <v>2409</v>
      </c>
      <c r="W371" s="228">
        <v>346</v>
      </c>
      <c r="X371" s="229">
        <v>19</v>
      </c>
      <c r="Y371" s="229">
        <v>63</v>
      </c>
      <c r="Z371" s="250"/>
    </row>
    <row r="372">
      <c r="A372" s="200"/>
      <c r="B372" s="201" t="s">
        <v>120</v>
      </c>
      <c r="C372" s="203" t="s">
        <v>126</v>
      </c>
      <c r="D372" s="202">
        <f t="shared" si="93"/>
      </c>
      <c r="E372" s="203">
        <v>2779.02</v>
      </c>
      <c r="F372" s="203">
        <v>1601.68</v>
      </c>
      <c r="G372" s="203">
        <v>0</v>
      </c>
      <c r="H372" s="204">
        <v>11</v>
      </c>
      <c r="I372" s="203">
        <v>6816.3</v>
      </c>
      <c r="J372" s="206">
        <f t="shared" si="16"/>
      </c>
      <c r="K372" s="206">
        <f t="shared" si="307"/>
      </c>
      <c r="L372" s="206">
        <f t="shared" si="277"/>
      </c>
      <c r="M372" s="207">
        <f t="shared" si="216"/>
      </c>
      <c r="N372" s="208">
        <f t="shared" si="186"/>
      </c>
      <c r="O372" s="209">
        <f t="shared" si="156"/>
      </c>
      <c r="P372" s="208">
        <f t="shared" si="246"/>
      </c>
      <c r="Q372" s="210" t="s">
        <v>114</v>
      </c>
      <c r="R372" s="251" t="s">
        <v>115</v>
      </c>
      <c r="S372" s="229">
        <v>46041</v>
      </c>
      <c r="T372" s="229">
        <v>2177</v>
      </c>
      <c r="U372" s="229">
        <v>237</v>
      </c>
      <c r="V372" s="229">
        <v>4663</v>
      </c>
      <c r="W372" s="229">
        <v>657</v>
      </c>
      <c r="X372" s="229">
        <v>25</v>
      </c>
      <c r="Y372" s="229">
        <v>84</v>
      </c>
      <c r="Z372" s="250"/>
    </row>
    <row r="373">
      <c r="A373" s="200"/>
      <c r="B373" s="219" t="s">
        <v>119</v>
      </c>
      <c r="C373" s="219"/>
      <c r="D373" s="220">
        <f>SUM(D368:D372)</f>
      </c>
      <c r="E373" s="220">
        <f>SUM(E368:E372)</f>
      </c>
      <c r="F373" s="220">
        <f>SUM(F368:G372)</f>
      </c>
      <c r="G373" s="220"/>
      <c r="H373" s="221">
        <f>SUM(H368:H372)</f>
      </c>
      <c r="I373" s="220">
        <f>SUM(I368:I372)</f>
      </c>
      <c r="J373" s="222">
        <f t="shared" si="16"/>
      </c>
      <c r="K373" s="223">
        <f t="shared" si="307"/>
      </c>
      <c r="L373" s="224">
        <f t="shared" si="277"/>
      </c>
      <c r="M373" s="225">
        <f t="shared" si="216"/>
      </c>
      <c r="N373" s="225">
        <f t="shared" si="186"/>
      </c>
      <c r="O373" s="226">
        <f t="shared" si="156"/>
      </c>
      <c r="P373" s="225">
        <f t="shared" si="246"/>
      </c>
      <c r="Q373" s="226"/>
      <c r="R373" s="226"/>
      <c r="S373" s="221">
        <f>SUM(S368:S372)</f>
      </c>
      <c r="T373" s="221">
        <f>SUM(T368:T372)</f>
      </c>
      <c r="U373" s="221">
        <f>SUM(U368:U372)</f>
      </c>
      <c r="V373" s="221">
        <f>SUM(V368:V372)</f>
      </c>
      <c r="W373" s="221">
        <f>SUM(W368:W372)</f>
      </c>
      <c r="X373" s="221">
        <f>SUM(X368:X372)</f>
      </c>
      <c r="Y373" s="221">
        <f>SUM(Y368:Y372)</f>
      </c>
      <c r="Z373" s="250"/>
    </row>
    <row r="374">
      <c r="A374" s="200"/>
      <c r="B374" s="201" t="s">
        <v>160</v>
      </c>
      <c r="C374" s="202" t="s">
        <v>128</v>
      </c>
      <c r="D374" s="202">
        <f t="shared" ref="D374:D376" si="94">E374+G374+F374</f>
      </c>
      <c r="E374" s="203">
        <v>2679.88</v>
      </c>
      <c r="F374" s="203">
        <v>742.48</v>
      </c>
      <c r="G374" s="203">
        <v>0</v>
      </c>
      <c r="H374" s="204">
        <v>13</v>
      </c>
      <c r="I374" s="203">
        <v>3668.78</v>
      </c>
      <c r="J374" s="206">
        <f t="shared" si="16"/>
      </c>
      <c r="K374" s="206">
        <f t="shared" si="307"/>
      </c>
      <c r="L374" s="206">
        <f t="shared" si="277"/>
      </c>
      <c r="M374" s="207">
        <f t="shared" si="216"/>
      </c>
      <c r="N374" s="208">
        <f t="shared" si="186"/>
      </c>
      <c r="O374" s="209">
        <f t="shared" si="156"/>
      </c>
      <c r="P374" s="208">
        <f t="shared" si="246"/>
      </c>
      <c r="Q374" s="210" t="s">
        <v>114</v>
      </c>
      <c r="R374" s="232" t="s">
        <v>129</v>
      </c>
      <c r="S374" s="229">
        <v>36415</v>
      </c>
      <c r="T374" s="229">
        <v>1769</v>
      </c>
      <c r="U374" s="229">
        <v>221</v>
      </c>
      <c r="V374" s="229">
        <v>3944</v>
      </c>
      <c r="W374" s="229">
        <v>594</v>
      </c>
      <c r="X374" s="229">
        <v>28</v>
      </c>
      <c r="Y374" s="229">
        <v>77</v>
      </c>
      <c r="Z374" s="250"/>
    </row>
    <row r="375">
      <c r="A375" s="200"/>
      <c r="B375" s="201" t="s">
        <v>160</v>
      </c>
      <c r="C375" s="202" t="s">
        <v>130</v>
      </c>
      <c r="D375" s="202">
        <f t="shared" si="94"/>
      </c>
      <c r="E375" s="203">
        <v>1978.35</v>
      </c>
      <c r="F375" s="203">
        <v>2103.83</v>
      </c>
      <c r="G375" s="203">
        <v>0</v>
      </c>
      <c r="H375" s="204">
        <v>14</v>
      </c>
      <c r="I375" s="203">
        <v>8442.48</v>
      </c>
      <c r="J375" s="206">
        <f t="shared" si="16"/>
      </c>
      <c r="K375" s="206">
        <f t="shared" si="307"/>
      </c>
      <c r="L375" s="206">
        <f t="shared" si="277"/>
      </c>
      <c r="M375" s="207">
        <f t="shared" si="216"/>
      </c>
      <c r="N375" s="208">
        <f t="shared" si="186"/>
      </c>
      <c r="O375" s="209">
        <f t="shared" si="156"/>
      </c>
      <c r="P375" s="208">
        <f t="shared" si="246"/>
      </c>
      <c r="Q375" s="210" t="s">
        <v>114</v>
      </c>
      <c r="R375" s="232" t="s">
        <v>129</v>
      </c>
      <c r="S375" s="229">
        <v>70802</v>
      </c>
      <c r="T375" s="229">
        <v>2961</v>
      </c>
      <c r="U375" s="229">
        <v>264</v>
      </c>
      <c r="V375" s="229">
        <v>7394</v>
      </c>
      <c r="W375" s="229">
        <v>1064</v>
      </c>
      <c r="X375" s="229">
        <v>30</v>
      </c>
      <c r="Y375" s="229">
        <v>93</v>
      </c>
      <c r="Z375" s="250"/>
    </row>
    <row r="376">
      <c r="A376" s="200"/>
      <c r="B376" s="201" t="s">
        <v>160</v>
      </c>
      <c r="C376" s="202" t="s">
        <v>131</v>
      </c>
      <c r="D376" s="202">
        <f t="shared" si="94"/>
      </c>
      <c r="E376" s="203">
        <v>1342.29</v>
      </c>
      <c r="F376" s="203">
        <v>1702.76</v>
      </c>
      <c r="G376" s="203">
        <v>0</v>
      </c>
      <c r="H376" s="204">
        <v>13</v>
      </c>
      <c r="I376" s="203">
        <v>4198.68</v>
      </c>
      <c r="J376" s="206">
        <f t="shared" si="16"/>
      </c>
      <c r="K376" s="206">
        <f t="shared" si="307"/>
      </c>
      <c r="L376" s="206">
        <f t="shared" si="277"/>
      </c>
      <c r="M376" s="207">
        <f t="shared" si="216"/>
      </c>
      <c r="N376" s="208">
        <f t="shared" si="186"/>
      </c>
      <c r="O376" s="209">
        <f t="shared" si="156"/>
      </c>
      <c r="P376" s="208">
        <f t="shared" si="246"/>
      </c>
      <c r="Q376" s="210" t="s">
        <v>114</v>
      </c>
      <c r="R376" s="232" t="s">
        <v>129</v>
      </c>
      <c r="S376" s="229">
        <v>63046</v>
      </c>
      <c r="T376" s="229">
        <v>1713</v>
      </c>
      <c r="U376" s="229">
        <v>214</v>
      </c>
      <c r="V376" s="229">
        <v>3836</v>
      </c>
      <c r="W376" s="229">
        <v>539</v>
      </c>
      <c r="X376" s="229">
        <v>28</v>
      </c>
      <c r="Y376" s="229">
        <v>54</v>
      </c>
      <c r="Z376" s="250"/>
    </row>
    <row r="377">
      <c r="A377" s="200"/>
      <c r="B377" s="219" t="s">
        <v>119</v>
      </c>
      <c r="C377" s="219"/>
      <c r="D377" s="220">
        <f>SUM(D374:D376)</f>
      </c>
      <c r="E377" s="220">
        <f>SUM(E374:E376)</f>
      </c>
      <c r="F377" s="220">
        <f>SUM(F374:G376)</f>
      </c>
      <c r="G377" s="220"/>
      <c r="H377" s="221">
        <f>SUM(H374:H376)</f>
      </c>
      <c r="I377" s="220">
        <f>SUM(I374:I376)</f>
      </c>
      <c r="J377" s="222">
        <f t="shared" si="16"/>
      </c>
      <c r="K377" s="223">
        <f t="shared" si="307"/>
      </c>
      <c r="L377" s="224">
        <f t="shared" si="277"/>
      </c>
      <c r="M377" s="225">
        <f t="shared" si="216"/>
      </c>
      <c r="N377" s="225">
        <f t="shared" si="186"/>
      </c>
      <c r="O377" s="226">
        <f t="shared" si="156"/>
      </c>
      <c r="P377" s="225">
        <f t="shared" si="246"/>
      </c>
      <c r="Q377" s="226"/>
      <c r="R377" s="226"/>
      <c r="S377" s="221">
        <f>SUM(S374:S376)</f>
      </c>
      <c r="T377" s="221">
        <f>SUM(T374:T376)</f>
      </c>
      <c r="U377" s="221">
        <f>SUM(U374:U376)</f>
      </c>
      <c r="V377" s="221">
        <f>SUM(V374:V376)</f>
      </c>
      <c r="W377" s="221">
        <f>SUM(W374:W376)</f>
      </c>
      <c r="X377" s="221">
        <f>SUM(X374:X376)</f>
      </c>
      <c r="Y377" s="221">
        <f>SUM(Y374:Y376)</f>
      </c>
      <c r="Z377" s="250"/>
    </row>
    <row r="378">
      <c r="A378" s="200"/>
      <c r="B378" s="245" t="s">
        <v>132</v>
      </c>
      <c r="C378" s="202" t="s">
        <v>133</v>
      </c>
      <c r="D378" s="202">
        <f t="shared" ref="D378:D382" si="95">E378+G378+F378</f>
      </c>
      <c r="E378" s="203">
        <v>2682.67</v>
      </c>
      <c r="F378" s="203">
        <v>2533.89</v>
      </c>
      <c r="G378" s="203">
        <v>0</v>
      </c>
      <c r="H378" s="204">
        <v>18</v>
      </c>
      <c r="I378" s="203">
        <v>8811.78</v>
      </c>
      <c r="J378" s="206">
        <f t="shared" si="16"/>
      </c>
      <c r="K378" s="206">
        <f t="shared" si="307"/>
      </c>
      <c r="L378" s="206">
        <f t="shared" si="277"/>
      </c>
      <c r="M378" s="207">
        <f t="shared" si="216"/>
      </c>
      <c r="N378" s="208">
        <f t="shared" si="186"/>
      </c>
      <c r="O378" s="209">
        <f t="shared" si="156"/>
      </c>
      <c r="P378" s="208">
        <f t="shared" si="246"/>
      </c>
      <c r="Q378" s="210" t="s">
        <v>114</v>
      </c>
      <c r="R378" s="232" t="s">
        <v>129</v>
      </c>
      <c r="S378" s="229">
        <v>93261</v>
      </c>
      <c r="T378" s="229">
        <v>3126</v>
      </c>
      <c r="U378" s="229">
        <v>363</v>
      </c>
      <c r="V378" s="229">
        <v>6372</v>
      </c>
      <c r="W378" s="229">
        <v>910</v>
      </c>
      <c r="X378" s="229">
        <v>40</v>
      </c>
      <c r="Y378" s="229">
        <v>121</v>
      </c>
      <c r="Z378" s="250"/>
    </row>
    <row r="379">
      <c r="A379" s="200"/>
      <c r="B379" s="201" t="s">
        <v>132</v>
      </c>
      <c r="C379" s="202" t="s">
        <v>134</v>
      </c>
      <c r="D379" s="202">
        <f t="shared" si="95"/>
      </c>
      <c r="E379" s="203">
        <v>2109.38</v>
      </c>
      <c r="F379" s="203">
        <v>2161.25</v>
      </c>
      <c r="G379" s="203">
        <v>0</v>
      </c>
      <c r="H379" s="204">
        <v>23</v>
      </c>
      <c r="I379" s="203">
        <v>10914.14</v>
      </c>
      <c r="J379" s="206">
        <f t="shared" si="16"/>
      </c>
      <c r="K379" s="206">
        <f t="shared" si="307"/>
      </c>
      <c r="L379" s="206">
        <f t="shared" si="277"/>
      </c>
      <c r="M379" s="207">
        <f t="shared" si="216"/>
      </c>
      <c r="N379" s="208">
        <f t="shared" si="186"/>
      </c>
      <c r="O379" s="209">
        <f t="shared" si="156"/>
      </c>
      <c r="P379" s="208">
        <f t="shared" si="246"/>
      </c>
      <c r="Q379" s="210" t="s">
        <v>114</v>
      </c>
      <c r="R379" s="232" t="s">
        <v>129</v>
      </c>
      <c r="S379" s="233">
        <v>87186</v>
      </c>
      <c r="T379" s="233">
        <v>4318</v>
      </c>
      <c r="U379" s="233">
        <v>434</v>
      </c>
      <c r="V379" s="233">
        <v>8995</v>
      </c>
      <c r="W379" s="233">
        <v>1202</v>
      </c>
      <c r="X379" s="233">
        <v>42</v>
      </c>
      <c r="Y379" s="229">
        <v>106</v>
      </c>
      <c r="Z379" s="250"/>
    </row>
    <row r="380">
      <c r="A380" s="200"/>
      <c r="B380" s="201" t="s">
        <v>132</v>
      </c>
      <c r="C380" s="202" t="s">
        <v>135</v>
      </c>
      <c r="D380" s="202">
        <f t="shared" si="95"/>
      </c>
      <c r="E380" s="203">
        <v>2398.98</v>
      </c>
      <c r="F380" s="203">
        <v>1996.98</v>
      </c>
      <c r="G380" s="203">
        <v>0</v>
      </c>
      <c r="H380" s="204">
        <v>21</v>
      </c>
      <c r="I380" s="203">
        <v>13007.33</v>
      </c>
      <c r="J380" s="206">
        <f t="shared" si="16"/>
      </c>
      <c r="K380" s="206">
        <f t="shared" si="307"/>
      </c>
      <c r="L380" s="206">
        <f t="shared" si="277"/>
      </c>
      <c r="M380" s="207">
        <f t="shared" si="216"/>
      </c>
      <c r="N380" s="208">
        <f t="shared" si="186"/>
      </c>
      <c r="O380" s="209">
        <f t="shared" si="156"/>
      </c>
      <c r="P380" s="208">
        <f t="shared" si="246"/>
      </c>
      <c r="Q380" s="210" t="s">
        <v>114</v>
      </c>
      <c r="R380" s="232" t="s">
        <v>129</v>
      </c>
      <c r="S380" s="233">
        <v>69206</v>
      </c>
      <c r="T380" s="233">
        <v>3080</v>
      </c>
      <c r="U380" s="233">
        <v>352</v>
      </c>
      <c r="V380" s="233">
        <v>6378</v>
      </c>
      <c r="W380" s="246">
        <v>842</v>
      </c>
      <c r="X380" s="214">
        <v>42</v>
      </c>
      <c r="Y380" s="248">
        <v>68</v>
      </c>
      <c r="Z380" s="250"/>
    </row>
    <row r="381">
      <c r="A381" s="200"/>
      <c r="B381" s="201" t="s">
        <v>132</v>
      </c>
      <c r="C381" s="202" t="s">
        <v>136</v>
      </c>
      <c r="D381" s="202">
        <f t="shared" si="95"/>
      </c>
      <c r="E381" s="203">
        <v>2401.91</v>
      </c>
      <c r="F381" s="203">
        <v>3544.96</v>
      </c>
      <c r="G381" s="203">
        <v>0</v>
      </c>
      <c r="H381" s="204">
        <v>25</v>
      </c>
      <c r="I381" s="203">
        <v>13061.44</v>
      </c>
      <c r="J381" s="206">
        <f t="shared" si="16"/>
      </c>
      <c r="K381" s="206">
        <f t="shared" si="307"/>
      </c>
      <c r="L381" s="206">
        <f t="shared" si="277"/>
      </c>
      <c r="M381" s="207">
        <f t="shared" si="216"/>
      </c>
      <c r="N381" s="208">
        <f t="shared" si="186"/>
      </c>
      <c r="O381" s="209">
        <f t="shared" si="156"/>
      </c>
      <c r="P381" s="208">
        <f t="shared" si="246"/>
      </c>
      <c r="Q381" s="210" t="s">
        <v>114</v>
      </c>
      <c r="R381" s="232" t="s">
        <v>129</v>
      </c>
      <c r="S381" s="233">
        <v>52102</v>
      </c>
      <c r="T381" s="233">
        <v>3932</v>
      </c>
      <c r="U381" s="233">
        <v>389</v>
      </c>
      <c r="V381" s="233">
        <v>8226</v>
      </c>
      <c r="W381" s="246">
        <v>1046</v>
      </c>
      <c r="X381" s="214">
        <v>62</v>
      </c>
      <c r="Y381" s="248">
        <v>85</v>
      </c>
      <c r="Z381" s="250"/>
    </row>
    <row r="382">
      <c r="A382" s="200"/>
      <c r="B382" s="201" t="s">
        <v>132</v>
      </c>
      <c r="C382" s="202" t="s">
        <v>137</v>
      </c>
      <c r="D382" s="202">
        <f t="shared" si="95"/>
      </c>
      <c r="E382" s="203">
        <v>1853.9399999999987</v>
      </c>
      <c r="F382" s="203">
        <v>3719.58</v>
      </c>
      <c r="G382" s="203">
        <v>0</v>
      </c>
      <c r="H382" s="204">
        <v>27</v>
      </c>
      <c r="I382" s="203">
        <v>13899.92</v>
      </c>
      <c r="J382" s="206">
        <f t="shared" si="16"/>
      </c>
      <c r="K382" s="206">
        <f t="shared" si="307"/>
      </c>
      <c r="L382" s="206">
        <f t="shared" si="277"/>
      </c>
      <c r="M382" s="207">
        <f t="shared" si="216"/>
      </c>
      <c r="N382" s="208">
        <f t="shared" si="186"/>
      </c>
      <c r="O382" s="209">
        <f t="shared" si="156"/>
      </c>
      <c r="P382" s="208">
        <f t="shared" si="246"/>
      </c>
      <c r="Q382" s="210" t="s">
        <v>114</v>
      </c>
      <c r="R382" s="232" t="s">
        <v>129</v>
      </c>
      <c r="S382" s="233">
        <v>48491</v>
      </c>
      <c r="T382" s="233">
        <v>4143</v>
      </c>
      <c r="U382" s="233">
        <v>402</v>
      </c>
      <c r="V382" s="233">
        <v>8437</v>
      </c>
      <c r="W382" s="233">
        <v>1015</v>
      </c>
      <c r="X382" s="249">
        <v>51</v>
      </c>
      <c r="Y382" s="229">
        <v>105</v>
      </c>
      <c r="Z382" s="250"/>
    </row>
    <row r="383">
      <c r="A383" s="200"/>
      <c r="B383" s="219" t="s">
        <v>119</v>
      </c>
      <c r="C383" s="219"/>
      <c r="D383" s="220">
        <f>SUM(D378:D382)</f>
      </c>
      <c r="E383" s="220">
        <f>SUM(E378:E382)</f>
      </c>
      <c r="F383" s="220">
        <f>SUM(F378:G382)</f>
      </c>
      <c r="G383" s="220"/>
      <c r="H383" s="220">
        <f>SUM(H378:H382)</f>
      </c>
      <c r="I383" s="220">
        <f>SUM(I378:I382)</f>
      </c>
      <c r="J383" s="222">
        <f t="shared" si="16"/>
      </c>
      <c r="K383" s="223">
        <f t="shared" si="307"/>
      </c>
      <c r="L383" s="224">
        <f t="shared" si="277"/>
      </c>
      <c r="M383" s="225">
        <f t="shared" si="216"/>
      </c>
      <c r="N383" s="225">
        <f t="shared" si="186"/>
      </c>
      <c r="O383" s="226">
        <f t="shared" si="156"/>
      </c>
      <c r="P383" s="225">
        <f t="shared" si="246"/>
      </c>
      <c r="Q383" s="226"/>
      <c r="R383" s="235"/>
      <c r="S383" s="220">
        <f>SUM(S378:S382)</f>
      </c>
      <c r="T383" s="220">
        <f>SUM(T378:T382)</f>
      </c>
      <c r="U383" s="220">
        <f>SUM(U378:U382)</f>
      </c>
      <c r="V383" s="220">
        <f>SUM(V378:V382)</f>
      </c>
      <c r="W383" s="220">
        <f>SUM(W378:W382)</f>
      </c>
      <c r="X383" s="220">
        <f>SUM(X378:X382)</f>
      </c>
      <c r="Y383" s="220">
        <f>SUM(Y378:Y382)</f>
      </c>
      <c r="Z383" s="250"/>
    </row>
    <row r="384">
      <c r="A384" s="200"/>
      <c r="B384" s="236" t="s">
        <v>138</v>
      </c>
      <c r="C384" s="236"/>
      <c r="D384" s="237">
        <f>D383+D377+D373+D367</f>
      </c>
      <c r="E384" s="237">
        <f>E383+E377+E373+E367</f>
      </c>
      <c r="F384" s="237">
        <f>F383+F377+F373+F367</f>
      </c>
      <c r="G384" s="237"/>
      <c r="H384" s="238">
        <f>H383+H377+H373+H367</f>
      </c>
      <c r="I384" s="237">
        <f>I383+I377+I373+I367</f>
      </c>
      <c r="J384" s="239">
        <f t="shared" si="16"/>
      </c>
      <c r="K384" s="239">
        <f t="shared" si="307"/>
      </c>
      <c r="L384" s="239">
        <f t="shared" si="277"/>
      </c>
      <c r="M384" s="240">
        <f t="shared" si="216"/>
      </c>
      <c r="N384" s="240">
        <f t="shared" si="186"/>
      </c>
      <c r="O384" s="239">
        <f t="shared" si="156"/>
      </c>
      <c r="P384" s="240">
        <f t="shared" si="246"/>
      </c>
      <c r="Q384" s="241"/>
      <c r="R384" s="242"/>
      <c r="S384" s="243">
        <f>S383+S377+S373+S367</f>
      </c>
      <c r="T384" s="243">
        <f>T383+T377+T373+T367</f>
      </c>
      <c r="U384" s="243">
        <f>U383+U377+U373+U367</f>
      </c>
      <c r="V384" s="243">
        <f>V383+V377+V373+V367</f>
      </c>
      <c r="W384" s="243">
        <f>W383+W377+W373+W367</f>
      </c>
      <c r="X384" s="244">
        <f>X383+X377+X373+X367</f>
      </c>
      <c r="Y384" s="238">
        <f>Y383+Y377+Y373+Y367</f>
      </c>
      <c r="Z384" s="255"/>
    </row>
    <row r="385">
      <c r="A385" s="188" t="s">
        <v>83</v>
      </c>
      <c r="B385" s="188"/>
      <c r="C385" s="188"/>
      <c r="D385" s="189" t="s">
        <v>84</v>
      </c>
      <c r="E385" s="189"/>
      <c r="F385" s="189"/>
      <c r="G385" s="189"/>
      <c r="H385" s="189"/>
      <c r="I385" s="189"/>
      <c r="J385" s="189"/>
      <c r="K385" s="189"/>
      <c r="L385" s="189"/>
      <c r="M385" s="190" t="s">
        <v>85</v>
      </c>
      <c r="N385" s="190"/>
      <c r="O385" s="190"/>
      <c r="P385" s="190"/>
      <c r="Q385" s="190"/>
      <c r="R385" s="190"/>
      <c r="S385" s="191" t="s">
        <v>86</v>
      </c>
      <c r="T385" s="191"/>
      <c r="U385" s="191"/>
      <c r="V385" s="191"/>
      <c r="W385" s="191"/>
      <c r="X385" s="191"/>
      <c r="Y385" s="191"/>
      <c r="Z385" s="250"/>
    </row>
    <row r="386">
      <c r="A386" s="192" t="s">
        <v>87</v>
      </c>
      <c r="B386" s="188" t="s">
        <v>88</v>
      </c>
      <c r="C386" s="188" t="s">
        <v>89</v>
      </c>
      <c r="D386" s="193" t="s">
        <v>90</v>
      </c>
      <c r="E386" s="193" t="s">
        <v>91</v>
      </c>
      <c r="F386" s="189" t="s">
        <v>92</v>
      </c>
      <c r="G386" s="189"/>
      <c r="H386" s="194" t="s">
        <v>93</v>
      </c>
      <c r="I386" s="189" t="s">
        <v>94</v>
      </c>
      <c r="J386" s="195" t="s">
        <v>95</v>
      </c>
      <c r="K386" s="196" t="s">
        <v>96</v>
      </c>
      <c r="L386" s="189" t="s">
        <v>97</v>
      </c>
      <c r="M386" s="190" t="s">
        <v>98</v>
      </c>
      <c r="N386" s="190" t="s">
        <v>99</v>
      </c>
      <c r="O386" s="190" t="s">
        <v>100</v>
      </c>
      <c r="P386" s="190" t="s">
        <v>101</v>
      </c>
      <c r="Q386" s="197" t="s">
        <v>102</v>
      </c>
      <c r="R386" s="197" t="s">
        <v>103</v>
      </c>
      <c r="S386" s="198" t="s">
        <v>104</v>
      </c>
      <c r="T386" s="198" t="s">
        <v>105</v>
      </c>
      <c r="U386" s="199" t="s">
        <v>106</v>
      </c>
      <c r="V386" s="199" t="s">
        <v>107</v>
      </c>
      <c r="W386" s="199" t="s">
        <v>108</v>
      </c>
      <c r="X386" s="199" t="s">
        <v>109</v>
      </c>
      <c r="Y386" s="199" t="s">
        <v>110</v>
      </c>
      <c r="Z386" s="250"/>
    </row>
    <row r="387">
      <c r="A387" s="200" t="s">
        <v>162</v>
      </c>
      <c r="B387" s="227" t="s">
        <v>125</v>
      </c>
      <c r="C387" s="202" t="s">
        <v>113</v>
      </c>
      <c r="D387" s="202">
        <f t="shared" ref="D387:D390" si="96">E387+G387+F387</f>
      </c>
      <c r="E387" s="202">
        <v>1406.67</v>
      </c>
      <c r="F387" s="202">
        <v>2266.96</v>
      </c>
      <c r="G387" s="203">
        <v>0</v>
      </c>
      <c r="H387" s="204">
        <v>11</v>
      </c>
      <c r="I387" s="202">
        <v>2286.8</v>
      </c>
      <c r="J387" s="205">
        <f t="shared" ref="J387:J408" si="17">I387/D387</f>
      </c>
      <c r="K387" s="205">
        <f t="shared" ref="K387:K408" si="308">D387/H387</f>
      </c>
      <c r="L387" s="206">
        <f t="shared" ref="L387:L408" si="278">I387/H387</f>
      </c>
      <c r="M387" s="207">
        <f t="shared" ref="M387:M408" si="217">T387/S387</f>
      </c>
      <c r="N387" s="208">
        <f t="shared" ref="N387:N408" si="187">H387/X387</f>
      </c>
      <c r="O387" s="209">
        <f t="shared" ref="O387:O408" si="157">(Y387*1000)/D387</f>
      </c>
      <c r="P387" s="208">
        <f t="shared" ref="P387:P408" si="247">W387/V387</f>
      </c>
      <c r="Q387" s="210" t="s">
        <v>127</v>
      </c>
      <c r="R387" s="211" t="s">
        <v>115</v>
      </c>
      <c r="S387" s="212">
        <v>44321</v>
      </c>
      <c r="T387" s="212">
        <v>2650</v>
      </c>
      <c r="U387" s="213">
        <v>287</v>
      </c>
      <c r="V387" s="212">
        <v>5519</v>
      </c>
      <c r="W387" s="212">
        <v>913</v>
      </c>
      <c r="X387" s="214">
        <v>25</v>
      </c>
      <c r="Y387" s="214">
        <v>82</v>
      </c>
      <c r="Z387" s="250"/>
    </row>
    <row r="388">
      <c r="A388" s="200"/>
      <c r="B388" s="227" t="s">
        <v>125</v>
      </c>
      <c r="C388" s="202" t="s">
        <v>116</v>
      </c>
      <c r="D388" s="202">
        <f t="shared" si="96"/>
      </c>
      <c r="E388" s="202">
        <v>1471.83</v>
      </c>
      <c r="F388" s="202">
        <v>2637.5999999999995</v>
      </c>
      <c r="G388" s="203">
        <v>0</v>
      </c>
      <c r="H388" s="215">
        <v>19</v>
      </c>
      <c r="I388" s="202">
        <v>9980.400000000001</v>
      </c>
      <c r="J388" s="206">
        <f t="shared" si="17"/>
      </c>
      <c r="K388" s="206">
        <f t="shared" si="308"/>
      </c>
      <c r="L388" s="205">
        <f t="shared" si="278"/>
      </c>
      <c r="M388" s="207">
        <f t="shared" si="217"/>
      </c>
      <c r="N388" s="208">
        <f t="shared" si="187"/>
      </c>
      <c r="O388" s="209">
        <f t="shared" si="157"/>
      </c>
      <c r="P388" s="208">
        <f t="shared" si="247"/>
      </c>
      <c r="Q388" s="210" t="s">
        <v>127</v>
      </c>
      <c r="R388" s="211" t="s">
        <v>115</v>
      </c>
      <c r="S388" s="216">
        <v>67136</v>
      </c>
      <c r="T388" s="216">
        <v>2616</v>
      </c>
      <c r="U388" s="212">
        <v>324</v>
      </c>
      <c r="V388" s="212">
        <v>5269</v>
      </c>
      <c r="W388" s="212">
        <v>983</v>
      </c>
      <c r="X388" s="214">
        <v>35</v>
      </c>
      <c r="Y388" s="217">
        <v>71</v>
      </c>
      <c r="Z388" s="250"/>
    </row>
    <row r="389">
      <c r="A389" s="200"/>
      <c r="B389" s="227" t="s">
        <v>125</v>
      </c>
      <c r="C389" s="202" t="s">
        <v>117</v>
      </c>
      <c r="D389" s="202">
        <f t="shared" si="96"/>
      </c>
      <c r="E389" s="218">
        <v>884.4900000000002</v>
      </c>
      <c r="F389" s="202">
        <v>3173.8900000000003</v>
      </c>
      <c r="G389" s="203">
        <v>0</v>
      </c>
      <c r="H389" s="215">
        <v>21</v>
      </c>
      <c r="I389" s="202">
        <v>8689.09</v>
      </c>
      <c r="J389" s="206">
        <f t="shared" si="17"/>
      </c>
      <c r="K389" s="206">
        <f t="shared" si="308"/>
      </c>
      <c r="L389" s="206">
        <f t="shared" si="278"/>
      </c>
      <c r="M389" s="207">
        <f t="shared" si="217"/>
      </c>
      <c r="N389" s="208">
        <f t="shared" si="187"/>
      </c>
      <c r="O389" s="209">
        <f t="shared" si="157"/>
      </c>
      <c r="P389" s="208">
        <f t="shared" si="247"/>
      </c>
      <c r="Q389" s="210" t="s">
        <v>127</v>
      </c>
      <c r="R389" s="211" t="s">
        <v>115</v>
      </c>
      <c r="S389" s="217">
        <v>88630</v>
      </c>
      <c r="T389" s="217">
        <v>2394</v>
      </c>
      <c r="U389" s="217">
        <v>379</v>
      </c>
      <c r="V389" s="217">
        <v>4634</v>
      </c>
      <c r="W389" s="217">
        <v>868</v>
      </c>
      <c r="X389" s="214">
        <v>49</v>
      </c>
      <c r="Y389" s="217">
        <v>85</v>
      </c>
      <c r="Z389" s="250"/>
    </row>
    <row r="390">
      <c r="A390" s="200"/>
      <c r="B390" s="227" t="s">
        <v>125</v>
      </c>
      <c r="C390" s="202" t="s">
        <v>118</v>
      </c>
      <c r="D390" s="202">
        <f t="shared" si="96"/>
      </c>
      <c r="E390" s="202">
        <v>2048.809999999999</v>
      </c>
      <c r="F390" s="202">
        <v>2360.0899999999992</v>
      </c>
      <c r="G390" s="203">
        <v>0</v>
      </c>
      <c r="H390" s="215">
        <v>11</v>
      </c>
      <c r="I390" s="202">
        <v>3748.9399999999987</v>
      </c>
      <c r="J390" s="206">
        <f t="shared" si="17"/>
      </c>
      <c r="K390" s="206">
        <f t="shared" si="308"/>
      </c>
      <c r="L390" s="206">
        <f t="shared" si="278"/>
      </c>
      <c r="M390" s="207">
        <f t="shared" si="217"/>
      </c>
      <c r="N390" s="208">
        <f t="shared" si="187"/>
      </c>
      <c r="O390" s="209">
        <f t="shared" si="157"/>
      </c>
      <c r="P390" s="208">
        <f t="shared" si="247"/>
      </c>
      <c r="Q390" s="210" t="s">
        <v>127</v>
      </c>
      <c r="R390" s="211" t="s">
        <v>115</v>
      </c>
      <c r="S390" s="217">
        <v>67693</v>
      </c>
      <c r="T390" s="217">
        <v>3683</v>
      </c>
      <c r="U390" s="217">
        <v>387</v>
      </c>
      <c r="V390" s="217">
        <v>7666</v>
      </c>
      <c r="W390" s="217">
        <v>1207</v>
      </c>
      <c r="X390" s="214">
        <v>28</v>
      </c>
      <c r="Y390" s="217">
        <v>90</v>
      </c>
      <c r="Z390" s="250"/>
    </row>
    <row r="391">
      <c r="A391" s="200"/>
      <c r="B391" s="219" t="s">
        <v>119</v>
      </c>
      <c r="C391" s="219"/>
      <c r="D391" s="220">
        <f>SUM(D387:D390)</f>
      </c>
      <c r="E391" s="220">
        <f>SUM(E387:E390)</f>
      </c>
      <c r="F391" s="220">
        <f>SUM(F387:G390)</f>
      </c>
      <c r="G391" s="220"/>
      <c r="H391" s="221">
        <f>SUM(H387:H390)</f>
      </c>
      <c r="I391" s="220">
        <f>SUM(I387:I390)</f>
      </c>
      <c r="J391" s="253">
        <f t="shared" si="17"/>
      </c>
      <c r="K391" s="223">
        <f t="shared" si="308"/>
      </c>
      <c r="L391" s="254">
        <f t="shared" si="278"/>
      </c>
      <c r="M391" s="225">
        <f t="shared" si="217"/>
      </c>
      <c r="N391" s="225">
        <f t="shared" si="187"/>
      </c>
      <c r="O391" s="226">
        <f t="shared" si="157"/>
      </c>
      <c r="P391" s="225">
        <f t="shared" si="247"/>
      </c>
      <c r="Q391" s="226"/>
      <c r="R391" s="226"/>
      <c r="S391" s="221">
        <f>SUM(S387:S390)</f>
      </c>
      <c r="T391" s="221">
        <f>SUM(T387:T390)</f>
      </c>
      <c r="U391" s="221">
        <f>SUM(U387:U390)</f>
      </c>
      <c r="V391" s="221">
        <f>SUM(V387:V390)</f>
      </c>
      <c r="W391" s="221">
        <f>SUM(W387:W390)</f>
      </c>
      <c r="X391" s="221">
        <f>SUM(X387:X390)</f>
      </c>
      <c r="Y391" s="221">
        <f>SUM(Y387:Y390)</f>
      </c>
      <c r="Z391" s="250"/>
    </row>
    <row r="392">
      <c r="A392" s="200"/>
      <c r="B392" s="201" t="s">
        <v>120</v>
      </c>
      <c r="C392" s="202" t="s">
        <v>121</v>
      </c>
      <c r="D392" s="202">
        <f t="shared" ref="D392:D396" si="97">E392+G392+F392</f>
      </c>
      <c r="E392" s="202">
        <v>1964.0700000000006</v>
      </c>
      <c r="F392" s="202">
        <v>4665.67</v>
      </c>
      <c r="G392" s="203">
        <v>0</v>
      </c>
      <c r="H392" s="215">
        <v>15</v>
      </c>
      <c r="I392" s="202">
        <v>6012.260000000002</v>
      </c>
      <c r="J392" s="206">
        <f t="shared" si="17"/>
      </c>
      <c r="K392" s="206">
        <f t="shared" si="308"/>
      </c>
      <c r="L392" s="206">
        <f t="shared" si="278"/>
      </c>
      <c r="M392" s="207">
        <f t="shared" si="217"/>
      </c>
      <c r="N392" s="208">
        <f t="shared" si="187"/>
      </c>
      <c r="O392" s="209">
        <f t="shared" si="157"/>
      </c>
      <c r="P392" s="208">
        <f t="shared" si="247"/>
      </c>
      <c r="Q392" s="210" t="s">
        <v>127</v>
      </c>
      <c r="R392" s="251" t="s">
        <v>115</v>
      </c>
      <c r="S392" s="228">
        <v>118426</v>
      </c>
      <c r="T392" s="228">
        <v>4400</v>
      </c>
      <c r="U392" s="228">
        <v>402</v>
      </c>
      <c r="V392" s="228">
        <v>9063</v>
      </c>
      <c r="W392" s="228">
        <v>1434</v>
      </c>
      <c r="X392" s="229">
        <v>31</v>
      </c>
      <c r="Y392" s="228">
        <v>107</v>
      </c>
      <c r="Z392" s="250"/>
    </row>
    <row r="393">
      <c r="A393" s="200"/>
      <c r="B393" s="201" t="s">
        <v>120</v>
      </c>
      <c r="C393" s="202" t="s">
        <v>122</v>
      </c>
      <c r="D393" s="202">
        <f t="shared" si="97"/>
      </c>
      <c r="E393" s="202">
        <v>1006.3599999999997</v>
      </c>
      <c r="F393" s="202">
        <v>2538.380000000001</v>
      </c>
      <c r="G393" s="203">
        <v>0</v>
      </c>
      <c r="H393" s="215">
        <v>17</v>
      </c>
      <c r="I393" s="202">
        <v>11288.3</v>
      </c>
      <c r="J393" s="206">
        <f t="shared" si="17"/>
      </c>
      <c r="K393" s="206">
        <f t="shared" si="308"/>
      </c>
      <c r="L393" s="206">
        <f t="shared" si="278"/>
      </c>
      <c r="M393" s="207">
        <f t="shared" si="217"/>
      </c>
      <c r="N393" s="208">
        <f t="shared" si="187"/>
      </c>
      <c r="O393" s="209">
        <f t="shared" si="157"/>
      </c>
      <c r="P393" s="208">
        <f t="shared" si="247"/>
      </c>
      <c r="Q393" s="210" t="s">
        <v>127</v>
      </c>
      <c r="R393" s="251" t="s">
        <v>115</v>
      </c>
      <c r="S393" s="228">
        <v>76610</v>
      </c>
      <c r="T393" s="228">
        <v>2586</v>
      </c>
      <c r="U393" s="228">
        <v>280</v>
      </c>
      <c r="V393" s="228">
        <v>4620</v>
      </c>
      <c r="W393" s="228">
        <v>688</v>
      </c>
      <c r="X393" s="229">
        <v>32</v>
      </c>
      <c r="Y393" s="228">
        <v>80</v>
      </c>
      <c r="Z393" s="250"/>
    </row>
    <row r="394">
      <c r="A394" s="200"/>
      <c r="B394" s="201" t="s">
        <v>120</v>
      </c>
      <c r="C394" s="202" t="s">
        <v>123</v>
      </c>
      <c r="D394" s="202">
        <f t="shared" si="97"/>
      </c>
      <c r="E394" s="202">
        <v>968.1599999999999</v>
      </c>
      <c r="F394" s="202">
        <v>2420.1899999999987</v>
      </c>
      <c r="G394" s="203">
        <v>0</v>
      </c>
      <c r="H394" s="215">
        <v>13</v>
      </c>
      <c r="I394" s="202">
        <v>5538.199999999997</v>
      </c>
      <c r="J394" s="206">
        <f t="shared" si="17"/>
      </c>
      <c r="K394" s="206">
        <f t="shared" si="308"/>
      </c>
      <c r="L394" s="206">
        <f t="shared" si="278"/>
      </c>
      <c r="M394" s="207">
        <f t="shared" si="217"/>
      </c>
      <c r="N394" s="208">
        <f t="shared" si="187"/>
      </c>
      <c r="O394" s="209">
        <f t="shared" si="157"/>
      </c>
      <c r="P394" s="208">
        <f t="shared" si="247"/>
      </c>
      <c r="Q394" s="210" t="s">
        <v>127</v>
      </c>
      <c r="R394" s="251" t="s">
        <v>115</v>
      </c>
      <c r="S394" s="228">
        <v>68866</v>
      </c>
      <c r="T394" s="228">
        <v>2427</v>
      </c>
      <c r="U394" s="228">
        <v>296</v>
      </c>
      <c r="V394" s="228">
        <v>4299</v>
      </c>
      <c r="W394" s="228">
        <v>593</v>
      </c>
      <c r="X394" s="229">
        <v>26</v>
      </c>
      <c r="Y394" s="229">
        <v>57</v>
      </c>
      <c r="Z394" s="250"/>
    </row>
    <row r="395">
      <c r="A395" s="200"/>
      <c r="B395" s="201" t="s">
        <v>120</v>
      </c>
      <c r="C395" s="202" t="s">
        <v>124</v>
      </c>
      <c r="D395" s="202">
        <f t="shared" si="97"/>
      </c>
      <c r="E395" s="202">
        <v>925.9300000000003</v>
      </c>
      <c r="F395" s="203">
        <v>2433.6399999999994</v>
      </c>
      <c r="G395" s="203">
        <v>0</v>
      </c>
      <c r="H395" s="215">
        <v>18</v>
      </c>
      <c r="I395" s="202">
        <v>11117.760000000002</v>
      </c>
      <c r="J395" s="206">
        <f t="shared" si="17"/>
      </c>
      <c r="K395" s="206">
        <f t="shared" si="308"/>
      </c>
      <c r="L395" s="206">
        <f t="shared" si="278"/>
      </c>
      <c r="M395" s="207">
        <f t="shared" si="217"/>
      </c>
      <c r="N395" s="208">
        <f t="shared" si="187"/>
      </c>
      <c r="O395" s="209">
        <f t="shared" si="157"/>
      </c>
      <c r="P395" s="208">
        <f t="shared" si="247"/>
      </c>
      <c r="Q395" s="210" t="s">
        <v>127</v>
      </c>
      <c r="R395" s="251" t="s">
        <v>115</v>
      </c>
      <c r="S395" s="228">
        <v>75718</v>
      </c>
      <c r="T395" s="228">
        <v>2602</v>
      </c>
      <c r="U395" s="228">
        <v>332</v>
      </c>
      <c r="V395" s="228">
        <v>4241</v>
      </c>
      <c r="W395" s="228">
        <v>571</v>
      </c>
      <c r="X395" s="229">
        <v>37</v>
      </c>
      <c r="Y395" s="229">
        <v>66</v>
      </c>
      <c r="Z395" s="250"/>
    </row>
    <row r="396">
      <c r="A396" s="200"/>
      <c r="B396" s="201" t="s">
        <v>120</v>
      </c>
      <c r="C396" s="203" t="s">
        <v>126</v>
      </c>
      <c r="D396" s="202">
        <f t="shared" si="97"/>
      </c>
      <c r="E396" s="203">
        <v>1386.51</v>
      </c>
      <c r="F396" s="203">
        <v>2634.16</v>
      </c>
      <c r="G396" s="203">
        <v>0</v>
      </c>
      <c r="H396" s="204">
        <v>7</v>
      </c>
      <c r="I396" s="203">
        <v>5552.4</v>
      </c>
      <c r="J396" s="206">
        <f t="shared" si="17"/>
      </c>
      <c r="K396" s="206">
        <f t="shared" si="308"/>
      </c>
      <c r="L396" s="206">
        <f t="shared" si="278"/>
      </c>
      <c r="M396" s="207">
        <f t="shared" si="217"/>
      </c>
      <c r="N396" s="208">
        <f t="shared" si="187"/>
      </c>
      <c r="O396" s="209">
        <f t="shared" si="157"/>
      </c>
      <c r="P396" s="208">
        <f t="shared" si="247"/>
      </c>
      <c r="Q396" s="210" t="s">
        <v>114</v>
      </c>
      <c r="R396" s="251" t="s">
        <v>115</v>
      </c>
      <c r="S396" s="229">
        <v>89425</v>
      </c>
      <c r="T396" s="229">
        <v>3406</v>
      </c>
      <c r="U396" s="229">
        <v>356</v>
      </c>
      <c r="V396" s="229">
        <v>6239</v>
      </c>
      <c r="W396" s="229">
        <v>828</v>
      </c>
      <c r="X396" s="229">
        <v>22</v>
      </c>
      <c r="Y396" s="229">
        <v>75</v>
      </c>
      <c r="Z396" s="250"/>
    </row>
    <row r="397">
      <c r="A397" s="200"/>
      <c r="B397" s="219" t="s">
        <v>119</v>
      </c>
      <c r="C397" s="219"/>
      <c r="D397" s="220">
        <f>SUM(D392:D396)</f>
      </c>
      <c r="E397" s="220">
        <f>SUM(E392:E396)</f>
      </c>
      <c r="F397" s="220">
        <f>SUM(F392:G396)</f>
      </c>
      <c r="G397" s="220"/>
      <c r="H397" s="221">
        <f>SUM(H392:H396)</f>
      </c>
      <c r="I397" s="220">
        <f>SUM(I392:I396)</f>
      </c>
      <c r="J397" s="222">
        <f t="shared" si="17"/>
      </c>
      <c r="K397" s="223">
        <f t="shared" si="308"/>
      </c>
      <c r="L397" s="224">
        <f t="shared" si="278"/>
      </c>
      <c r="M397" s="225">
        <f t="shared" si="217"/>
      </c>
      <c r="N397" s="225">
        <f t="shared" si="187"/>
      </c>
      <c r="O397" s="226">
        <f t="shared" si="157"/>
      </c>
      <c r="P397" s="225">
        <f t="shared" si="247"/>
      </c>
      <c r="Q397" s="226"/>
      <c r="R397" s="226"/>
      <c r="S397" s="221">
        <f>SUM(S392:S396)</f>
      </c>
      <c r="T397" s="221">
        <f>SUM(T392:T396)</f>
      </c>
      <c r="U397" s="221">
        <f>SUM(U392:U396)</f>
      </c>
      <c r="V397" s="221">
        <f>SUM(V392:V396)</f>
      </c>
      <c r="W397" s="221">
        <f>SUM(W392:W396)</f>
      </c>
      <c r="X397" s="221">
        <f>SUM(X392:X396)</f>
      </c>
      <c r="Y397" s="221">
        <f>SUM(Y392:Y396)</f>
      </c>
      <c r="Z397" s="250"/>
    </row>
    <row r="398">
      <c r="A398" s="200"/>
      <c r="B398" s="201" t="s">
        <v>160</v>
      </c>
      <c r="C398" s="202" t="s">
        <v>128</v>
      </c>
      <c r="D398" s="202">
        <f t="shared" ref="D398:D400" si="98">E398+G398+F398</f>
      </c>
      <c r="E398" s="203">
        <v>638.11</v>
      </c>
      <c r="F398" s="203">
        <v>1410.81</v>
      </c>
      <c r="G398" s="203">
        <v>0</v>
      </c>
      <c r="H398" s="204">
        <v>8</v>
      </c>
      <c r="I398" s="203">
        <v>2945.8</v>
      </c>
      <c r="J398" s="206">
        <f t="shared" si="17"/>
      </c>
      <c r="K398" s="206">
        <f t="shared" si="308"/>
      </c>
      <c r="L398" s="206">
        <f t="shared" si="278"/>
      </c>
      <c r="M398" s="207">
        <f t="shared" si="217"/>
      </c>
      <c r="N398" s="208">
        <f t="shared" si="187"/>
      </c>
      <c r="O398" s="209">
        <f t="shared" si="157"/>
      </c>
      <c r="P398" s="208">
        <f t="shared" si="247"/>
      </c>
      <c r="Q398" s="210" t="s">
        <v>114</v>
      </c>
      <c r="R398" s="232" t="s">
        <v>129</v>
      </c>
      <c r="S398" s="229">
        <v>51907</v>
      </c>
      <c r="T398" s="229">
        <v>1945</v>
      </c>
      <c r="U398" s="229">
        <v>213</v>
      </c>
      <c r="V398" s="229">
        <v>3604</v>
      </c>
      <c r="W398" s="229">
        <v>530</v>
      </c>
      <c r="X398" s="229">
        <v>18</v>
      </c>
      <c r="Y398" s="229">
        <v>41</v>
      </c>
      <c r="Z398" s="250"/>
    </row>
    <row r="399">
      <c r="A399" s="200"/>
      <c r="B399" s="201" t="s">
        <v>160</v>
      </c>
      <c r="C399" s="202" t="s">
        <v>130</v>
      </c>
      <c r="D399" s="202">
        <f t="shared" si="98"/>
      </c>
      <c r="E399" s="203">
        <v>345.61</v>
      </c>
      <c r="F399" s="203">
        <v>1320.12</v>
      </c>
      <c r="G399" s="203">
        <v>0</v>
      </c>
      <c r="H399" s="204">
        <v>4</v>
      </c>
      <c r="I399" s="203">
        <v>1322.88</v>
      </c>
      <c r="J399" s="206">
        <f t="shared" si="17"/>
      </c>
      <c r="K399" s="206">
        <f t="shared" si="308"/>
      </c>
      <c r="L399" s="206">
        <f t="shared" si="278"/>
      </c>
      <c r="M399" s="207">
        <f t="shared" si="217"/>
      </c>
      <c r="N399" s="208">
        <f t="shared" si="187"/>
      </c>
      <c r="O399" s="209">
        <f t="shared" si="157"/>
      </c>
      <c r="P399" s="208">
        <f t="shared" si="247"/>
      </c>
      <c r="Q399" s="210" t="s">
        <v>114</v>
      </c>
      <c r="R399" s="232" t="s">
        <v>129</v>
      </c>
      <c r="S399" s="229">
        <v>38113</v>
      </c>
      <c r="T399" s="229">
        <v>1293</v>
      </c>
      <c r="U399" s="229">
        <v>153</v>
      </c>
      <c r="V399" s="229">
        <v>2413</v>
      </c>
      <c r="W399" s="229">
        <v>324</v>
      </c>
      <c r="X399" s="229">
        <v>13</v>
      </c>
      <c r="Y399" s="229">
        <v>23</v>
      </c>
      <c r="Z399" s="250"/>
    </row>
    <row r="400">
      <c r="A400" s="200"/>
      <c r="B400" s="201" t="s">
        <v>160</v>
      </c>
      <c r="C400" s="202" t="s">
        <v>131</v>
      </c>
      <c r="D400" s="202">
        <f t="shared" si="98"/>
      </c>
      <c r="E400" s="203">
        <v>684.41</v>
      </c>
      <c r="F400" s="203">
        <v>1958.64</v>
      </c>
      <c r="G400" s="203">
        <v>0</v>
      </c>
      <c r="H400" s="204">
        <v>7</v>
      </c>
      <c r="I400" s="203">
        <v>1968</v>
      </c>
      <c r="J400" s="206">
        <f t="shared" si="17"/>
      </c>
      <c r="K400" s="206">
        <f t="shared" si="308"/>
      </c>
      <c r="L400" s="206">
        <f t="shared" si="278"/>
      </c>
      <c r="M400" s="207">
        <f t="shared" si="217"/>
      </c>
      <c r="N400" s="208">
        <f t="shared" si="187"/>
      </c>
      <c r="O400" s="209">
        <f t="shared" si="157"/>
      </c>
      <c r="P400" s="208">
        <f t="shared" si="247"/>
      </c>
      <c r="Q400" s="210" t="s">
        <v>114</v>
      </c>
      <c r="R400" s="232" t="s">
        <v>129</v>
      </c>
      <c r="S400" s="229">
        <v>51174</v>
      </c>
      <c r="T400" s="229">
        <v>1809</v>
      </c>
      <c r="U400" s="229">
        <v>179</v>
      </c>
      <c r="V400" s="229">
        <v>3881</v>
      </c>
      <c r="W400" s="229">
        <v>564</v>
      </c>
      <c r="X400" s="229">
        <v>17</v>
      </c>
      <c r="Y400" s="229">
        <v>49</v>
      </c>
      <c r="Z400" s="250"/>
    </row>
    <row r="401">
      <c r="A401" s="200"/>
      <c r="B401" s="219" t="s">
        <v>119</v>
      </c>
      <c r="C401" s="219"/>
      <c r="D401" s="220">
        <f>SUM(D398:D400)</f>
      </c>
      <c r="E401" s="220">
        <f>SUM(E398:E400)</f>
      </c>
      <c r="F401" s="220">
        <f>SUM(F398:G400)</f>
      </c>
      <c r="G401" s="220"/>
      <c r="H401" s="221">
        <f>SUM(H398:H400)</f>
      </c>
      <c r="I401" s="220">
        <f>SUM(I398:I400)</f>
      </c>
      <c r="J401" s="222">
        <f t="shared" si="17"/>
      </c>
      <c r="K401" s="223">
        <f t="shared" si="308"/>
      </c>
      <c r="L401" s="224">
        <f t="shared" si="278"/>
      </c>
      <c r="M401" s="225">
        <f t="shared" si="217"/>
      </c>
      <c r="N401" s="225">
        <f t="shared" si="187"/>
      </c>
      <c r="O401" s="226">
        <f t="shared" si="157"/>
      </c>
      <c r="P401" s="225">
        <f t="shared" si="247"/>
      </c>
      <c r="Q401" s="226"/>
      <c r="R401" s="226"/>
      <c r="S401" s="221">
        <f>SUM(S398:S400)</f>
      </c>
      <c r="T401" s="221">
        <f>SUM(T398:T400)</f>
      </c>
      <c r="U401" s="221">
        <f>SUM(U398:U400)</f>
      </c>
      <c r="V401" s="221">
        <f>SUM(V398:V400)</f>
      </c>
      <c r="W401" s="221">
        <f>SUM(W398:W400)</f>
      </c>
      <c r="X401" s="221">
        <f>SUM(X398:X400)</f>
      </c>
      <c r="Y401" s="221">
        <f>SUM(Y398:Y400)</f>
      </c>
      <c r="Z401" s="250"/>
    </row>
    <row r="402">
      <c r="A402" s="200"/>
      <c r="B402" s="245" t="s">
        <v>132</v>
      </c>
      <c r="C402" s="202" t="s">
        <v>133</v>
      </c>
      <c r="D402" s="202">
        <f t="shared" ref="D402:D406" si="99">E402+G402+F402</f>
      </c>
      <c r="E402" s="203">
        <v>738.39</v>
      </c>
      <c r="F402" s="203">
        <v>2265.4</v>
      </c>
      <c r="G402" s="203">
        <v>0</v>
      </c>
      <c r="H402" s="204">
        <v>11</v>
      </c>
      <c r="I402" s="203">
        <v>3668.9</v>
      </c>
      <c r="J402" s="206">
        <f t="shared" si="17"/>
      </c>
      <c r="K402" s="206">
        <f t="shared" si="308"/>
      </c>
      <c r="L402" s="206">
        <f t="shared" si="278"/>
      </c>
      <c r="M402" s="207">
        <f t="shared" si="217"/>
      </c>
      <c r="N402" s="208">
        <f t="shared" si="187"/>
      </c>
      <c r="O402" s="209">
        <f t="shared" si="157"/>
      </c>
      <c r="P402" s="208">
        <f t="shared" si="247"/>
      </c>
      <c r="Q402" s="210" t="s">
        <v>114</v>
      </c>
      <c r="R402" s="232" t="s">
        <v>129</v>
      </c>
      <c r="S402" s="229">
        <v>44985</v>
      </c>
      <c r="T402" s="229">
        <v>1550</v>
      </c>
      <c r="U402" s="229">
        <v>205</v>
      </c>
      <c r="V402" s="229">
        <v>3215</v>
      </c>
      <c r="W402" s="229">
        <v>436</v>
      </c>
      <c r="X402" s="229">
        <v>25</v>
      </c>
      <c r="Y402" s="229">
        <v>70</v>
      </c>
      <c r="Z402" s="250"/>
    </row>
    <row r="403">
      <c r="A403" s="200"/>
      <c r="B403" s="201" t="s">
        <v>132</v>
      </c>
      <c r="C403" s="202" t="s">
        <v>134</v>
      </c>
      <c r="D403" s="202">
        <f t="shared" si="99"/>
      </c>
      <c r="E403" s="203">
        <v>1685.18</v>
      </c>
      <c r="F403" s="203">
        <v>2804.21</v>
      </c>
      <c r="G403" s="203">
        <v>0</v>
      </c>
      <c r="H403" s="204">
        <v>17</v>
      </c>
      <c r="I403" s="203">
        <v>10011.74</v>
      </c>
      <c r="J403" s="206">
        <f t="shared" si="17"/>
      </c>
      <c r="K403" s="206">
        <f t="shared" si="308"/>
      </c>
      <c r="L403" s="206">
        <f t="shared" si="278"/>
      </c>
      <c r="M403" s="207">
        <f t="shared" si="217"/>
      </c>
      <c r="N403" s="208">
        <f t="shared" si="187"/>
      </c>
      <c r="O403" s="209">
        <f t="shared" si="157"/>
      </c>
      <c r="P403" s="208">
        <f t="shared" si="247"/>
      </c>
      <c r="Q403" s="210" t="s">
        <v>114</v>
      </c>
      <c r="R403" s="232" t="s">
        <v>129</v>
      </c>
      <c r="S403" s="233">
        <v>48395</v>
      </c>
      <c r="T403" s="233">
        <v>3282</v>
      </c>
      <c r="U403" s="233">
        <v>290</v>
      </c>
      <c r="V403" s="233">
        <v>6305</v>
      </c>
      <c r="W403" s="233">
        <v>805</v>
      </c>
      <c r="X403" s="233">
        <v>39</v>
      </c>
      <c r="Y403" s="229">
        <v>92</v>
      </c>
      <c r="Z403" s="250"/>
    </row>
    <row r="404">
      <c r="A404" s="200"/>
      <c r="B404" s="201" t="s">
        <v>132</v>
      </c>
      <c r="C404" s="202" t="s">
        <v>135</v>
      </c>
      <c r="D404" s="202">
        <f t="shared" si="99"/>
      </c>
      <c r="E404" s="203">
        <v>1711.54</v>
      </c>
      <c r="F404" s="203">
        <v>10026.75</v>
      </c>
      <c r="G404" s="203">
        <v>0</v>
      </c>
      <c r="H404" s="204">
        <v>36</v>
      </c>
      <c r="I404" s="203">
        <v>18904.69</v>
      </c>
      <c r="J404" s="206">
        <f t="shared" si="17"/>
      </c>
      <c r="K404" s="206">
        <f t="shared" si="308"/>
      </c>
      <c r="L404" s="206">
        <f t="shared" si="278"/>
      </c>
      <c r="M404" s="207">
        <f t="shared" si="217"/>
      </c>
      <c r="N404" s="208">
        <f t="shared" si="187"/>
      </c>
      <c r="O404" s="209">
        <f t="shared" si="157"/>
      </c>
      <c r="P404" s="208">
        <f t="shared" si="247"/>
      </c>
      <c r="Q404" s="210" t="s">
        <v>114</v>
      </c>
      <c r="R404" s="232" t="s">
        <v>129</v>
      </c>
      <c r="S404" s="233">
        <v>42385</v>
      </c>
      <c r="T404" s="233">
        <v>2738</v>
      </c>
      <c r="U404" s="233">
        <v>232</v>
      </c>
      <c r="V404" s="233">
        <v>5512</v>
      </c>
      <c r="W404" s="246">
        <v>669</v>
      </c>
      <c r="X404" s="214">
        <v>66</v>
      </c>
      <c r="Y404" s="248">
        <v>140</v>
      </c>
      <c r="Z404" s="250"/>
    </row>
    <row r="405">
      <c r="A405" s="200"/>
      <c r="B405" s="201" t="s">
        <v>132</v>
      </c>
      <c r="C405" s="202" t="s">
        <v>136</v>
      </c>
      <c r="D405" s="202">
        <f t="shared" si="99"/>
      </c>
      <c r="E405" s="203">
        <v>1477.75</v>
      </c>
      <c r="F405" s="203">
        <v>3516.3</v>
      </c>
      <c r="G405" s="203">
        <v>0</v>
      </c>
      <c r="H405" s="204">
        <v>18</v>
      </c>
      <c r="I405" s="203">
        <v>7952.3</v>
      </c>
      <c r="J405" s="206">
        <f t="shared" si="17"/>
      </c>
      <c r="K405" s="206">
        <f t="shared" si="308"/>
      </c>
      <c r="L405" s="206">
        <f t="shared" si="278"/>
      </c>
      <c r="M405" s="207">
        <f t="shared" si="217"/>
      </c>
      <c r="N405" s="208">
        <f t="shared" si="187"/>
      </c>
      <c r="O405" s="209">
        <f t="shared" si="157"/>
      </c>
      <c r="P405" s="208">
        <f t="shared" si="247"/>
      </c>
      <c r="Q405" s="210" t="s">
        <v>114</v>
      </c>
      <c r="R405" s="232" t="s">
        <v>129</v>
      </c>
      <c r="S405" s="233">
        <v>35534</v>
      </c>
      <c r="T405" s="233">
        <v>2228</v>
      </c>
      <c r="U405" s="233">
        <v>240</v>
      </c>
      <c r="V405" s="233">
        <v>4334</v>
      </c>
      <c r="W405" s="246">
        <v>551</v>
      </c>
      <c r="X405" s="214">
        <v>38</v>
      </c>
      <c r="Y405" s="248">
        <v>107</v>
      </c>
      <c r="Z405" s="250"/>
    </row>
    <row r="406">
      <c r="A406" s="200"/>
      <c r="B406" s="201" t="s">
        <v>132</v>
      </c>
      <c r="C406" s="202" t="s">
        <v>137</v>
      </c>
      <c r="D406" s="202">
        <f t="shared" si="99"/>
      </c>
      <c r="E406" s="203">
        <f>1132.75+0.08</f>
      </c>
      <c r="F406" s="203">
        <v>2793.07</v>
      </c>
      <c r="G406" s="203">
        <v>0</v>
      </c>
      <c r="H406" s="204">
        <v>28</v>
      </c>
      <c r="I406" s="203">
        <v>16013.64</v>
      </c>
      <c r="J406" s="206">
        <f t="shared" si="17"/>
      </c>
      <c r="K406" s="206">
        <f t="shared" si="308"/>
      </c>
      <c r="L406" s="206">
        <f t="shared" si="278"/>
      </c>
      <c r="M406" s="207">
        <f t="shared" si="217"/>
      </c>
      <c r="N406" s="208">
        <f t="shared" si="187"/>
      </c>
      <c r="O406" s="209">
        <f t="shared" si="157"/>
      </c>
      <c r="P406" s="208">
        <f t="shared" si="247"/>
      </c>
      <c r="Q406" s="210" t="s">
        <v>114</v>
      </c>
      <c r="R406" s="232" t="s">
        <v>129</v>
      </c>
      <c r="S406" s="233">
        <v>33590</v>
      </c>
      <c r="T406" s="233">
        <v>2178</v>
      </c>
      <c r="U406" s="233">
        <v>229</v>
      </c>
      <c r="V406" s="233">
        <v>4160</v>
      </c>
      <c r="W406" s="233">
        <v>474</v>
      </c>
      <c r="X406" s="249">
        <v>46</v>
      </c>
      <c r="Y406" s="229">
        <v>56</v>
      </c>
      <c r="Z406" s="250"/>
    </row>
    <row r="407">
      <c r="A407" s="200"/>
      <c r="B407" s="219" t="s">
        <v>119</v>
      </c>
      <c r="C407" s="219"/>
      <c r="D407" s="220">
        <f>SUM(D402:D406)</f>
      </c>
      <c r="E407" s="220">
        <f>SUM(E402:E406)</f>
      </c>
      <c r="F407" s="220">
        <f>SUM(F402:G406)</f>
      </c>
      <c r="G407" s="220"/>
      <c r="H407" s="220">
        <f>SUM(H402:H406)</f>
      </c>
      <c r="I407" s="220">
        <f>SUM(I402:I406)</f>
      </c>
      <c r="J407" s="222">
        <f t="shared" si="17"/>
      </c>
      <c r="K407" s="223">
        <f t="shared" si="308"/>
      </c>
      <c r="L407" s="224">
        <f t="shared" si="278"/>
      </c>
      <c r="M407" s="225">
        <f t="shared" si="217"/>
      </c>
      <c r="N407" s="225">
        <f t="shared" si="187"/>
      </c>
      <c r="O407" s="226">
        <f t="shared" si="157"/>
      </c>
      <c r="P407" s="225">
        <f t="shared" si="247"/>
      </c>
      <c r="Q407" s="226"/>
      <c r="R407" s="235"/>
      <c r="S407" s="220">
        <f>SUM(S402:S406)</f>
      </c>
      <c r="T407" s="220">
        <f>SUM(T402:T406)</f>
      </c>
      <c r="U407" s="220">
        <f>SUM(U402:U406)</f>
      </c>
      <c r="V407" s="220">
        <f>SUM(V402:V406)</f>
      </c>
      <c r="W407" s="220">
        <f>SUM(W402:W406)</f>
      </c>
      <c r="X407" s="220">
        <f>SUM(X402:X406)</f>
      </c>
      <c r="Y407" s="220">
        <f>SUM(Y402:Y406)</f>
      </c>
      <c r="Z407" s="250"/>
    </row>
    <row r="408">
      <c r="A408" s="200"/>
      <c r="B408" s="236" t="s">
        <v>138</v>
      </c>
      <c r="C408" s="236"/>
      <c r="D408" s="237">
        <f>D407+D401+D397+D391</f>
      </c>
      <c r="E408" s="237">
        <f>E407+E401+E397+E391</f>
      </c>
      <c r="F408" s="237">
        <f>F407+F401+F397+F391</f>
      </c>
      <c r="G408" s="237"/>
      <c r="H408" s="238">
        <f>H407+H401+H397+H391</f>
      </c>
      <c r="I408" s="237">
        <f>I407+I401+I397+I391</f>
      </c>
      <c r="J408" s="239">
        <f t="shared" si="17"/>
      </c>
      <c r="K408" s="239">
        <f t="shared" si="308"/>
      </c>
      <c r="L408" s="239">
        <f t="shared" si="278"/>
      </c>
      <c r="M408" s="240">
        <f t="shared" si="217"/>
      </c>
      <c r="N408" s="240">
        <f t="shared" si="187"/>
      </c>
      <c r="O408" s="239">
        <f t="shared" si="157"/>
      </c>
      <c r="P408" s="240">
        <f t="shared" si="247"/>
      </c>
      <c r="Q408" s="241"/>
      <c r="R408" s="242"/>
      <c r="S408" s="243">
        <f>S407+S401+S397+S391</f>
      </c>
      <c r="T408" s="243">
        <f>T407+T401+T397+T391</f>
      </c>
      <c r="U408" s="243">
        <f>U407+U401+U397+U391</f>
      </c>
      <c r="V408" s="243">
        <f>V407+V401+V397+V391</f>
      </c>
      <c r="W408" s="243">
        <f>W407+W401+W397+W391</f>
      </c>
      <c r="X408" s="244">
        <f>X407+X401+X397+X391</f>
      </c>
      <c r="Y408" s="238">
        <f>Y407+Y401+Y397+Y391</f>
      </c>
      <c r="Z408" s="255"/>
    </row>
    <row r="409">
      <c r="A409" s="188" t="s">
        <v>83</v>
      </c>
      <c r="B409" s="188"/>
      <c r="C409" s="188"/>
      <c r="D409" s="189" t="s">
        <v>84</v>
      </c>
      <c r="E409" s="189"/>
      <c r="F409" s="189"/>
      <c r="G409" s="189"/>
      <c r="H409" s="189"/>
      <c r="I409" s="189"/>
      <c r="J409" s="189"/>
      <c r="K409" s="189"/>
      <c r="L409" s="189"/>
      <c r="M409" s="190" t="s">
        <v>85</v>
      </c>
      <c r="N409" s="190"/>
      <c r="O409" s="190"/>
      <c r="P409" s="190"/>
      <c r="Q409" s="190"/>
      <c r="R409" s="190"/>
      <c r="S409" s="191" t="s">
        <v>86</v>
      </c>
      <c r="T409" s="191"/>
      <c r="U409" s="191"/>
      <c r="V409" s="191"/>
      <c r="W409" s="191"/>
      <c r="X409" s="191"/>
      <c r="Y409" s="191"/>
      <c r="Z409" s="250"/>
    </row>
    <row r="410">
      <c r="A410" s="192" t="s">
        <v>87</v>
      </c>
      <c r="B410" s="188" t="s">
        <v>88</v>
      </c>
      <c r="C410" s="188" t="s">
        <v>89</v>
      </c>
      <c r="D410" s="193" t="s">
        <v>90</v>
      </c>
      <c r="E410" s="193" t="s">
        <v>91</v>
      </c>
      <c r="F410" s="189" t="s">
        <v>92</v>
      </c>
      <c r="G410" s="189"/>
      <c r="H410" s="194" t="s">
        <v>93</v>
      </c>
      <c r="I410" s="189" t="s">
        <v>94</v>
      </c>
      <c r="J410" s="195" t="s">
        <v>95</v>
      </c>
      <c r="K410" s="196" t="s">
        <v>96</v>
      </c>
      <c r="L410" s="189" t="s">
        <v>97</v>
      </c>
      <c r="M410" s="190" t="s">
        <v>98</v>
      </c>
      <c r="N410" s="190" t="s">
        <v>99</v>
      </c>
      <c r="O410" s="190" t="s">
        <v>100</v>
      </c>
      <c r="P410" s="190" t="s">
        <v>101</v>
      </c>
      <c r="Q410" s="197" t="s">
        <v>102</v>
      </c>
      <c r="R410" s="197" t="s">
        <v>103</v>
      </c>
      <c r="S410" s="198" t="s">
        <v>104</v>
      </c>
      <c r="T410" s="198" t="s">
        <v>105</v>
      </c>
      <c r="U410" s="199" t="s">
        <v>106</v>
      </c>
      <c r="V410" s="199" t="s">
        <v>107</v>
      </c>
      <c r="W410" s="199" t="s">
        <v>108</v>
      </c>
      <c r="X410" s="199" t="s">
        <v>109</v>
      </c>
      <c r="Y410" s="199" t="s">
        <v>110</v>
      </c>
      <c r="Z410" s="250"/>
    </row>
    <row r="411">
      <c r="A411" s="200" t="s">
        <v>163</v>
      </c>
      <c r="B411" s="227" t="s">
        <v>125</v>
      </c>
      <c r="C411" s="202" t="s">
        <v>113</v>
      </c>
      <c r="D411" s="202">
        <f t="shared" ref="D411:D414" si="100">E411+G411+F411</f>
      </c>
      <c r="E411" s="202">
        <v>1249.9199999999998</v>
      </c>
      <c r="F411" s="202">
        <v>2488.61</v>
      </c>
      <c r="G411" s="203">
        <v>0</v>
      </c>
      <c r="H411" s="204">
        <v>11</v>
      </c>
      <c r="I411" s="202">
        <v>5965.94</v>
      </c>
      <c r="J411" s="205">
        <f t="shared" ref="J411:J433" si="18">I411/D411</f>
      </c>
      <c r="K411" s="205">
        <f t="shared" ref="K411:K433" si="309">D411/H411</f>
      </c>
      <c r="L411" s="206">
        <f t="shared" ref="L411:L433" si="279">I411/H411</f>
      </c>
      <c r="M411" s="207">
        <f t="shared" ref="M411:M433" si="218">T411/S411</f>
      </c>
      <c r="N411" s="208">
        <f t="shared" ref="N411:N433" si="188">H411/X411</f>
      </c>
      <c r="O411" s="209">
        <f t="shared" ref="O411:O433" si="158">(Y411*1000)/D411</f>
      </c>
      <c r="P411" s="208">
        <f t="shared" ref="P411:P433" si="248">W411/V411</f>
      </c>
      <c r="Q411" s="210" t="s">
        <v>127</v>
      </c>
      <c r="R411" s="211" t="s">
        <v>164</v>
      </c>
      <c r="S411" s="212">
        <v>90452</v>
      </c>
      <c r="T411" s="212">
        <v>3082</v>
      </c>
      <c r="U411" s="213">
        <v>396</v>
      </c>
      <c r="V411" s="212">
        <v>5283</v>
      </c>
      <c r="W411" s="212">
        <v>852</v>
      </c>
      <c r="X411" s="214">
        <v>25</v>
      </c>
      <c r="Y411" s="214">
        <v>86</v>
      </c>
      <c r="Z411" s="250"/>
    </row>
    <row r="412">
      <c r="A412" s="200"/>
      <c r="B412" s="227" t="s">
        <v>125</v>
      </c>
      <c r="C412" s="202" t="s">
        <v>116</v>
      </c>
      <c r="D412" s="202">
        <f t="shared" si="100"/>
      </c>
      <c r="E412" s="202">
        <v>758.99</v>
      </c>
      <c r="F412" s="202">
        <v>4410.59</v>
      </c>
      <c r="G412" s="203">
        <v>0</v>
      </c>
      <c r="H412" s="215">
        <v>35</v>
      </c>
      <c r="I412" s="202">
        <v>17360.100000000002</v>
      </c>
      <c r="J412" s="206">
        <f t="shared" si="18"/>
      </c>
      <c r="K412" s="206">
        <f t="shared" si="309"/>
      </c>
      <c r="L412" s="205">
        <f t="shared" si="279"/>
      </c>
      <c r="M412" s="207">
        <f t="shared" si="218"/>
      </c>
      <c r="N412" s="208">
        <f t="shared" si="188"/>
      </c>
      <c r="O412" s="209">
        <f t="shared" si="158"/>
      </c>
      <c r="P412" s="208">
        <f t="shared" si="248"/>
      </c>
      <c r="Q412" s="210" t="s">
        <v>127</v>
      </c>
      <c r="R412" s="211" t="s">
        <v>164</v>
      </c>
      <c r="S412" s="216">
        <v>119046</v>
      </c>
      <c r="T412" s="216">
        <v>3396</v>
      </c>
      <c r="U412" s="212">
        <v>530</v>
      </c>
      <c r="V412" s="212">
        <v>5518</v>
      </c>
      <c r="W412" s="212">
        <v>919</v>
      </c>
      <c r="X412" s="214">
        <v>73</v>
      </c>
      <c r="Y412" s="217">
        <v>90</v>
      </c>
      <c r="Z412" s="250"/>
    </row>
    <row r="413">
      <c r="A413" s="200"/>
      <c r="B413" s="227" t="s">
        <v>125</v>
      </c>
      <c r="C413" s="202" t="s">
        <v>117</v>
      </c>
      <c r="D413" s="202">
        <f t="shared" si="100"/>
      </c>
      <c r="E413" s="218">
        <v>866.9900000000002</v>
      </c>
      <c r="F413" s="202">
        <v>6589.089999999998</v>
      </c>
      <c r="G413" s="203">
        <v>0</v>
      </c>
      <c r="H413" s="215">
        <v>31</v>
      </c>
      <c r="I413" s="202">
        <v>11546.339999999997</v>
      </c>
      <c r="J413" s="206">
        <f t="shared" si="18"/>
      </c>
      <c r="K413" s="206">
        <f t="shared" si="309"/>
      </c>
      <c r="L413" s="206">
        <f t="shared" si="279"/>
      </c>
      <c r="M413" s="207">
        <f t="shared" si="218"/>
      </c>
      <c r="N413" s="208">
        <f t="shared" si="188"/>
      </c>
      <c r="O413" s="209">
        <f t="shared" si="158"/>
      </c>
      <c r="P413" s="208">
        <f t="shared" si="248"/>
      </c>
      <c r="Q413" s="210" t="s">
        <v>127</v>
      </c>
      <c r="R413" s="211" t="s">
        <v>164</v>
      </c>
      <c r="S413" s="217">
        <v>149487</v>
      </c>
      <c r="T413" s="217">
        <v>2948</v>
      </c>
      <c r="U413" s="217">
        <v>550</v>
      </c>
      <c r="V413" s="217">
        <v>4353</v>
      </c>
      <c r="W413" s="217">
        <v>762</v>
      </c>
      <c r="X413" s="214">
        <v>59</v>
      </c>
      <c r="Y413" s="217">
        <v>114</v>
      </c>
      <c r="Z413" s="250"/>
    </row>
    <row r="414">
      <c r="A414" s="200"/>
      <c r="B414" s="227" t="s">
        <v>125</v>
      </c>
      <c r="C414" s="202" t="s">
        <v>118</v>
      </c>
      <c r="D414" s="202">
        <f t="shared" si="100"/>
      </c>
      <c r="E414" s="202">
        <v>473.1399999999999</v>
      </c>
      <c r="F414" s="202">
        <v>6890.500000000002</v>
      </c>
      <c r="G414" s="203">
        <v>0</v>
      </c>
      <c r="H414" s="215">
        <v>21</v>
      </c>
      <c r="I414" s="202">
        <v>8577.760000000002</v>
      </c>
      <c r="J414" s="206">
        <f t="shared" si="18"/>
      </c>
      <c r="K414" s="206">
        <f t="shared" si="309"/>
      </c>
      <c r="L414" s="206">
        <f t="shared" si="279"/>
      </c>
      <c r="M414" s="207">
        <f t="shared" si="218"/>
      </c>
      <c r="N414" s="208">
        <f t="shared" si="188"/>
      </c>
      <c r="O414" s="209">
        <f t="shared" si="158"/>
      </c>
      <c r="P414" s="208">
        <f t="shared" si="248"/>
      </c>
      <c r="Q414" s="210" t="s">
        <v>127</v>
      </c>
      <c r="R414" s="211" t="s">
        <v>164</v>
      </c>
      <c r="S414" s="217">
        <v>165379</v>
      </c>
      <c r="T414" s="217">
        <v>2126</v>
      </c>
      <c r="U414" s="217">
        <v>418</v>
      </c>
      <c r="V414" s="217">
        <v>2700</v>
      </c>
      <c r="W414" s="217">
        <v>475</v>
      </c>
      <c r="X414" s="214">
        <v>43</v>
      </c>
      <c r="Y414" s="214">
        <v>94</v>
      </c>
      <c r="Z414" s="250"/>
    </row>
    <row r="415">
      <c r="A415" s="200"/>
      <c r="B415" s="219" t="s">
        <v>119</v>
      </c>
      <c r="C415" s="219"/>
      <c r="D415" s="220">
        <f>SUM(D411:D414)</f>
      </c>
      <c r="E415" s="220">
        <f>SUM(E411:E414)</f>
      </c>
      <c r="F415" s="220">
        <f>SUM(F411:G414)</f>
      </c>
      <c r="G415" s="220"/>
      <c r="H415" s="221">
        <f>SUM(H411:H414)</f>
      </c>
      <c r="I415" s="220">
        <f>SUM(I411:I414)</f>
      </c>
      <c r="J415" s="253">
        <f t="shared" si="18"/>
      </c>
      <c r="K415" s="223">
        <f t="shared" si="309"/>
      </c>
      <c r="L415" s="254">
        <f t="shared" si="279"/>
      </c>
      <c r="M415" s="225">
        <f t="shared" si="218"/>
      </c>
      <c r="N415" s="225">
        <f t="shared" si="188"/>
      </c>
      <c r="O415" s="226">
        <f t="shared" si="158"/>
      </c>
      <c r="P415" s="225">
        <f t="shared" si="248"/>
      </c>
      <c r="Q415" s="226"/>
      <c r="R415" s="226"/>
      <c r="S415" s="221">
        <f>SUM(S411:S414)</f>
      </c>
      <c r="T415" s="221">
        <f>SUM(T411:T414)</f>
      </c>
      <c r="U415" s="221">
        <f>SUM(U411:U414)</f>
      </c>
      <c r="V415" s="221">
        <f>SUM(V411:V414)</f>
      </c>
      <c r="W415" s="221">
        <f>SUM(W411:W414)</f>
      </c>
      <c r="X415" s="221">
        <f>SUM(X411:X414)</f>
      </c>
      <c r="Y415" s="221">
        <f>SUM(Y411:Y414)</f>
      </c>
      <c r="Z415" s="250"/>
    </row>
    <row r="416">
      <c r="A416" s="200"/>
      <c r="B416" s="201" t="s">
        <v>120</v>
      </c>
      <c r="C416" s="202" t="s">
        <v>121</v>
      </c>
      <c r="D416" s="202">
        <f t="shared" ref="D416:D420" si="101">E416+G416+F416</f>
      </c>
      <c r="E416" s="202">
        <v>640.3400000000001</v>
      </c>
      <c r="F416" s="202">
        <v>3977.7499999999964</v>
      </c>
      <c r="G416" s="203">
        <v>0</v>
      </c>
      <c r="H416" s="215">
        <v>22</v>
      </c>
      <c r="I416" s="202">
        <v>10628.879999999997</v>
      </c>
      <c r="J416" s="206">
        <f t="shared" si="18"/>
      </c>
      <c r="K416" s="206">
        <f t="shared" si="309"/>
      </c>
      <c r="L416" s="206">
        <f t="shared" si="279"/>
      </c>
      <c r="M416" s="207">
        <f t="shared" si="218"/>
      </c>
      <c r="N416" s="208">
        <f t="shared" si="188"/>
      </c>
      <c r="O416" s="209">
        <f t="shared" si="158"/>
      </c>
      <c r="P416" s="208">
        <f t="shared" si="248"/>
      </c>
      <c r="Q416" s="210" t="s">
        <v>127</v>
      </c>
      <c r="R416" s="211" t="s">
        <v>164</v>
      </c>
      <c r="S416" s="228">
        <v>70825</v>
      </c>
      <c r="T416" s="228">
        <v>1995</v>
      </c>
      <c r="U416" s="228">
        <v>416</v>
      </c>
      <c r="V416" s="228">
        <v>3294</v>
      </c>
      <c r="W416" s="228">
        <v>614</v>
      </c>
      <c r="X416" s="229">
        <v>38</v>
      </c>
      <c r="Y416" s="229">
        <v>70</v>
      </c>
      <c r="Z416" s="250"/>
    </row>
    <row r="417">
      <c r="A417" s="200"/>
      <c r="B417" s="201" t="s">
        <v>120</v>
      </c>
      <c r="C417" s="202" t="s">
        <v>122</v>
      </c>
      <c r="D417" s="202">
        <f t="shared" si="101"/>
      </c>
      <c r="E417" s="202">
        <v>1059.4199999999992</v>
      </c>
      <c r="F417" s="202">
        <v>4332.380000000001</v>
      </c>
      <c r="G417" s="203">
        <v>0</v>
      </c>
      <c r="H417" s="215">
        <v>27</v>
      </c>
      <c r="I417" s="202">
        <v>14476.580000000009</v>
      </c>
      <c r="J417" s="206">
        <f t="shared" si="18"/>
      </c>
      <c r="K417" s="206">
        <f t="shared" si="309"/>
      </c>
      <c r="L417" s="206">
        <f t="shared" si="279"/>
      </c>
      <c r="M417" s="207">
        <f t="shared" si="218"/>
      </c>
      <c r="N417" s="208">
        <f t="shared" si="188"/>
      </c>
      <c r="O417" s="209">
        <f t="shared" si="158"/>
      </c>
      <c r="P417" s="208">
        <f t="shared" si="248"/>
      </c>
      <c r="Q417" s="210" t="s">
        <v>127</v>
      </c>
      <c r="R417" s="211" t="s">
        <v>164</v>
      </c>
      <c r="S417" s="228">
        <v>74527</v>
      </c>
      <c r="T417" s="228">
        <v>3227</v>
      </c>
      <c r="U417" s="228">
        <v>524</v>
      </c>
      <c r="V417" s="228">
        <v>5033</v>
      </c>
      <c r="W417" s="228">
        <v>842</v>
      </c>
      <c r="X417" s="229">
        <v>54</v>
      </c>
      <c r="Y417" s="228">
        <v>116</v>
      </c>
      <c r="Z417" s="250"/>
    </row>
    <row r="418">
      <c r="A418" s="200"/>
      <c r="B418" s="201" t="s">
        <v>120</v>
      </c>
      <c r="C418" s="202" t="s">
        <v>123</v>
      </c>
      <c r="D418" s="202">
        <f t="shared" si="101"/>
      </c>
      <c r="E418" s="202">
        <v>1417.4900000000007</v>
      </c>
      <c r="F418" s="202">
        <v>2814.41</v>
      </c>
      <c r="G418" s="203">
        <v>0</v>
      </c>
      <c r="H418" s="215">
        <v>18</v>
      </c>
      <c r="I418" s="202">
        <v>11152.220000000001</v>
      </c>
      <c r="J418" s="206">
        <f t="shared" si="18"/>
      </c>
      <c r="K418" s="206">
        <f t="shared" si="309"/>
      </c>
      <c r="L418" s="206">
        <f t="shared" si="279"/>
      </c>
      <c r="M418" s="207">
        <f t="shared" si="218"/>
      </c>
      <c r="N418" s="208">
        <f t="shared" si="188"/>
      </c>
      <c r="O418" s="209">
        <f t="shared" si="158"/>
      </c>
      <c r="P418" s="208">
        <f t="shared" si="248"/>
      </c>
      <c r="Q418" s="210" t="s">
        <v>127</v>
      </c>
      <c r="R418" s="211" t="s">
        <v>164</v>
      </c>
      <c r="S418" s="228">
        <v>62535</v>
      </c>
      <c r="T418" s="228">
        <v>2886</v>
      </c>
      <c r="U418" s="228">
        <v>371</v>
      </c>
      <c r="V418" s="228">
        <v>5033</v>
      </c>
      <c r="W418" s="228">
        <v>748</v>
      </c>
      <c r="X418" s="229">
        <v>26</v>
      </c>
      <c r="Y418" s="229">
        <v>66</v>
      </c>
      <c r="Z418" s="250"/>
    </row>
    <row r="419">
      <c r="A419" s="200"/>
      <c r="B419" s="201" t="s">
        <v>120</v>
      </c>
      <c r="C419" s="203" t="s">
        <v>124</v>
      </c>
      <c r="D419" s="202">
        <f t="shared" si="101"/>
      </c>
      <c r="E419" s="202">
        <v>1026.2300000000005</v>
      </c>
      <c r="F419" s="203">
        <v>2516.6899999999987</v>
      </c>
      <c r="G419" s="203">
        <v>0</v>
      </c>
      <c r="H419" s="215">
        <v>9</v>
      </c>
      <c r="I419" s="202">
        <v>3245.079999999987</v>
      </c>
      <c r="J419" s="206">
        <f t="shared" si="18"/>
      </c>
      <c r="K419" s="206">
        <f t="shared" si="309"/>
      </c>
      <c r="L419" s="206">
        <f t="shared" si="279"/>
      </c>
      <c r="M419" s="207">
        <f t="shared" si="218"/>
      </c>
      <c r="N419" s="208">
        <f t="shared" si="188"/>
      </c>
      <c r="O419" s="209">
        <f t="shared" si="158"/>
      </c>
      <c r="P419" s="208">
        <f t="shared" si="248"/>
      </c>
      <c r="Q419" s="210" t="s">
        <v>127</v>
      </c>
      <c r="R419" s="211" t="s">
        <v>164</v>
      </c>
      <c r="S419" s="228">
        <v>68722</v>
      </c>
      <c r="T419" s="228">
        <v>2333</v>
      </c>
      <c r="U419" s="228">
        <v>319</v>
      </c>
      <c r="V419" s="228">
        <v>3626</v>
      </c>
      <c r="W419" s="228">
        <v>506</v>
      </c>
      <c r="X419" s="229">
        <v>25</v>
      </c>
      <c r="Y419" s="229">
        <v>58</v>
      </c>
      <c r="Z419" s="250"/>
    </row>
    <row customHeight="true" ht="16.666666666666668" r="420">
      <c r="A420" s="200"/>
      <c r="B420" s="201" t="s">
        <v>120</v>
      </c>
      <c r="C420" s="203" t="s">
        <v>165</v>
      </c>
      <c r="D420" s="202">
        <f t="shared" si="101"/>
      </c>
      <c r="E420" s="203">
        <v>431.21999999999935</v>
      </c>
      <c r="F420" s="203">
        <v>1589.9900000000052</v>
      </c>
      <c r="G420" s="203">
        <v>0</v>
      </c>
      <c r="H420" s="204">
        <v>4</v>
      </c>
      <c r="I420" s="203">
        <v>2243.6600000000035</v>
      </c>
      <c r="J420" s="206">
        <f t="shared" si="18"/>
      </c>
      <c r="K420" s="206">
        <f t="shared" si="309"/>
      </c>
      <c r="L420" s="206">
        <f t="shared" si="279"/>
      </c>
      <c r="M420" s="207">
        <f t="shared" si="218"/>
      </c>
      <c r="N420" s="208">
        <f t="shared" si="188"/>
      </c>
      <c r="O420" s="209">
        <f t="shared" si="158"/>
      </c>
      <c r="P420" s="208">
        <f t="shared" si="248"/>
      </c>
      <c r="Q420" s="210" t="s">
        <v>114</v>
      </c>
      <c r="R420" s="211" t="s">
        <v>164</v>
      </c>
      <c r="S420" s="229">
        <v>39304</v>
      </c>
      <c r="T420" s="229">
        <v>1296</v>
      </c>
      <c r="U420" s="229">
        <v>178</v>
      </c>
      <c r="V420" s="229">
        <v>1966</v>
      </c>
      <c r="W420" s="229">
        <v>274</v>
      </c>
      <c r="X420" s="229">
        <v>9</v>
      </c>
      <c r="Y420" s="229">
        <v>31</v>
      </c>
      <c r="Z420" s="250"/>
    </row>
    <row r="421">
      <c r="A421" s="200"/>
      <c r="B421" s="219" t="s">
        <v>119</v>
      </c>
      <c r="C421" s="219"/>
      <c r="D421" s="220">
        <f>SUM(D416:D420)</f>
      </c>
      <c r="E421" s="220">
        <f>SUM(E416:E420)</f>
      </c>
      <c r="F421" s="220">
        <f>SUM(F416:G420)</f>
      </c>
      <c r="G421" s="220"/>
      <c r="H421" s="220">
        <f>SUM(H416:H420)</f>
      </c>
      <c r="I421" s="220">
        <f>SUM(I416:I420)</f>
      </c>
      <c r="J421" s="222">
        <f t="shared" si="18"/>
      </c>
      <c r="K421" s="223">
        <f t="shared" si="309"/>
      </c>
      <c r="L421" s="224">
        <f t="shared" si="279"/>
      </c>
      <c r="M421" s="225">
        <f t="shared" si="218"/>
      </c>
      <c r="N421" s="225">
        <f t="shared" si="188"/>
      </c>
      <c r="O421" s="226">
        <f t="shared" si="158"/>
      </c>
      <c r="P421" s="225">
        <f t="shared" si="248"/>
      </c>
      <c r="Q421" s="226"/>
      <c r="R421" s="226"/>
      <c r="S421" s="220">
        <f>SUM(S416:S420)</f>
      </c>
      <c r="T421" s="220">
        <f>SUM(T416:T420)</f>
      </c>
      <c r="U421" s="220">
        <f>SUM(U416:U420)</f>
      </c>
      <c r="V421" s="220">
        <f>SUM(V416:V420)</f>
      </c>
      <c r="W421" s="220">
        <f>SUM(W416:W420)</f>
      </c>
      <c r="X421" s="220">
        <f>SUM(X416:X420)</f>
      </c>
      <c r="Y421" s="220">
        <f>SUM(Y416:Y420)</f>
      </c>
      <c r="Z421" s="250"/>
    </row>
    <row customHeight="true" ht="16.666666666666668" r="422">
      <c r="A422" s="200"/>
      <c r="B422" s="245" t="s">
        <v>166</v>
      </c>
      <c r="C422" s="203" t="s">
        <v>167</v>
      </c>
      <c r="D422" s="202">
        <f t="shared" ref="D422:D425" si="102">E422+G422+F422</f>
      </c>
      <c r="E422" s="203">
        <v>371.98</v>
      </c>
      <c r="F422" s="203">
        <v>1084.44</v>
      </c>
      <c r="G422" s="203">
        <v>0</v>
      </c>
      <c r="H422" s="204">
        <v>8</v>
      </c>
      <c r="I422" s="203">
        <v>4452.86</v>
      </c>
      <c r="J422" s="206">
        <f t="shared" si="18"/>
      </c>
      <c r="K422" s="206">
        <f t="shared" si="309"/>
      </c>
      <c r="L422" s="206">
        <f t="shared" si="279"/>
      </c>
      <c r="M422" s="207">
        <f t="shared" si="218"/>
      </c>
      <c r="N422" s="208">
        <f t="shared" si="188"/>
      </c>
      <c r="O422" s="209">
        <f t="shared" si="158"/>
      </c>
      <c r="P422" s="208">
        <f t="shared" si="248"/>
      </c>
      <c r="Q422" s="210" t="s">
        <v>114</v>
      </c>
      <c r="R422" s="211" t="s">
        <v>164</v>
      </c>
      <c r="S422" s="229">
        <v>31433</v>
      </c>
      <c r="T422" s="229">
        <v>2200</v>
      </c>
      <c r="U422" s="229">
        <v>338</v>
      </c>
      <c r="V422" s="229">
        <v>3515</v>
      </c>
      <c r="W422" s="229">
        <v>519</v>
      </c>
      <c r="X422" s="229">
        <v>18</v>
      </c>
      <c r="Y422" s="229">
        <v>12</v>
      </c>
      <c r="Z422" s="250"/>
    </row>
    <row r="423">
      <c r="A423" s="200"/>
      <c r="B423" s="245" t="s">
        <v>166</v>
      </c>
      <c r="C423" s="202" t="s">
        <v>128</v>
      </c>
      <c r="D423" s="202">
        <f t="shared" si="102"/>
      </c>
      <c r="E423" s="203">
        <v>957.66</v>
      </c>
      <c r="F423" s="203">
        <v>3583.11</v>
      </c>
      <c r="G423" s="203">
        <v>0</v>
      </c>
      <c r="H423" s="204">
        <v>16</v>
      </c>
      <c r="I423" s="203">
        <v>6120.16</v>
      </c>
      <c r="J423" s="206">
        <f t="shared" si="18"/>
      </c>
      <c r="K423" s="206">
        <f t="shared" si="309"/>
      </c>
      <c r="L423" s="206">
        <f t="shared" si="279"/>
      </c>
      <c r="M423" s="207">
        <f t="shared" si="218"/>
      </c>
      <c r="N423" s="208">
        <f t="shared" si="188"/>
      </c>
      <c r="O423" s="209">
        <f t="shared" si="158"/>
      </c>
      <c r="P423" s="208">
        <f t="shared" si="248"/>
      </c>
      <c r="Q423" s="210" t="s">
        <v>114</v>
      </c>
      <c r="R423" s="232" t="s">
        <v>129</v>
      </c>
      <c r="S423" s="229">
        <v>143667</v>
      </c>
      <c r="T423" s="229">
        <v>3032</v>
      </c>
      <c r="U423" s="229">
        <v>385</v>
      </c>
      <c r="V423" s="229">
        <v>4707</v>
      </c>
      <c r="W423" s="229">
        <v>626</v>
      </c>
      <c r="X423" s="229">
        <v>40</v>
      </c>
      <c r="Y423" s="229">
        <v>54</v>
      </c>
      <c r="Z423" s="250"/>
    </row>
    <row r="424">
      <c r="A424" s="200"/>
      <c r="B424" s="245" t="s">
        <v>166</v>
      </c>
      <c r="C424" s="202" t="s">
        <v>130</v>
      </c>
      <c r="D424" s="202">
        <f t="shared" si="102"/>
      </c>
      <c r="E424" s="203">
        <v>565.48</v>
      </c>
      <c r="F424" s="203">
        <v>2286.62</v>
      </c>
      <c r="G424" s="203">
        <v>0</v>
      </c>
      <c r="H424" s="204">
        <v>17</v>
      </c>
      <c r="I424" s="203">
        <v>10038.84</v>
      </c>
      <c r="J424" s="206">
        <f t="shared" si="18"/>
      </c>
      <c r="K424" s="206">
        <f t="shared" si="309"/>
      </c>
      <c r="L424" s="206">
        <f t="shared" si="279"/>
      </c>
      <c r="M424" s="207">
        <f t="shared" si="218"/>
      </c>
      <c r="N424" s="208">
        <f t="shared" si="188"/>
      </c>
      <c r="O424" s="209">
        <f t="shared" si="158"/>
      </c>
      <c r="P424" s="208">
        <f t="shared" si="248"/>
      </c>
      <c r="Q424" s="210" t="s">
        <v>114</v>
      </c>
      <c r="R424" s="232" t="s">
        <v>129</v>
      </c>
      <c r="S424" s="229">
        <v>87291</v>
      </c>
      <c r="T424" s="229">
        <v>2311</v>
      </c>
      <c r="U424" s="229">
        <v>236</v>
      </c>
      <c r="V424" s="229">
        <v>4210</v>
      </c>
      <c r="W424" s="229">
        <v>590</v>
      </c>
      <c r="X424" s="229">
        <v>21</v>
      </c>
      <c r="Y424" s="229">
        <v>57</v>
      </c>
      <c r="Z424" s="250"/>
    </row>
    <row r="425">
      <c r="A425" s="200"/>
      <c r="B425" s="245" t="s">
        <v>166</v>
      </c>
      <c r="C425" s="202" t="s">
        <v>131</v>
      </c>
      <c r="D425" s="202">
        <f t="shared" si="102"/>
      </c>
      <c r="E425" s="203">
        <v>1337.85</v>
      </c>
      <c r="F425" s="203">
        <v>3235.02</v>
      </c>
      <c r="G425" s="203">
        <v>0</v>
      </c>
      <c r="H425" s="204">
        <v>8</v>
      </c>
      <c r="I425" s="203">
        <v>3865.25</v>
      </c>
      <c r="J425" s="206">
        <f t="shared" si="18"/>
      </c>
      <c r="K425" s="206">
        <f t="shared" si="309"/>
      </c>
      <c r="L425" s="206">
        <f t="shared" si="279"/>
      </c>
      <c r="M425" s="207">
        <f t="shared" si="218"/>
      </c>
      <c r="N425" s="208">
        <f t="shared" si="188"/>
      </c>
      <c r="O425" s="209">
        <f t="shared" si="158"/>
      </c>
      <c r="P425" s="208">
        <f t="shared" si="248"/>
      </c>
      <c r="Q425" s="210" t="s">
        <v>114</v>
      </c>
      <c r="R425" s="232" t="s">
        <v>129</v>
      </c>
      <c r="S425" s="229">
        <v>116483</v>
      </c>
      <c r="T425" s="229">
        <v>3569</v>
      </c>
      <c r="U425" s="229">
        <v>331</v>
      </c>
      <c r="V425" s="229">
        <v>6819</v>
      </c>
      <c r="W425" s="229">
        <v>798</v>
      </c>
      <c r="X425" s="229">
        <v>20</v>
      </c>
      <c r="Y425" s="229">
        <v>47</v>
      </c>
      <c r="Z425" s="250"/>
    </row>
    <row r="426">
      <c r="A426" s="200"/>
      <c r="B426" s="219" t="s">
        <v>119</v>
      </c>
      <c r="C426" s="219"/>
      <c r="D426" s="220">
        <f>SUM(D422:D425)</f>
      </c>
      <c r="E426" s="220">
        <f>SUM(E422:E425)</f>
      </c>
      <c r="F426" s="220">
        <f>SUM(F422:G425)</f>
      </c>
      <c r="G426" s="220"/>
      <c r="H426" s="221">
        <f>SUM(H422:H425)</f>
      </c>
      <c r="I426" s="220">
        <f>SUM(I422:I425)</f>
      </c>
      <c r="J426" s="253">
        <f t="shared" si="18"/>
      </c>
      <c r="K426" s="223">
        <f t="shared" si="309"/>
      </c>
      <c r="L426" s="254">
        <f t="shared" si="279"/>
      </c>
      <c r="M426" s="225">
        <f t="shared" si="218"/>
      </c>
      <c r="N426" s="225">
        <f t="shared" si="188"/>
      </c>
      <c r="O426" s="226">
        <f t="shared" si="158"/>
      </c>
      <c r="P426" s="225">
        <f t="shared" si="248"/>
      </c>
      <c r="Q426" s="226"/>
      <c r="R426" s="226"/>
      <c r="S426" s="221">
        <f>SUM(S422:S425)</f>
      </c>
      <c r="T426" s="221">
        <f>SUM(T422:T425)</f>
      </c>
      <c r="U426" s="221">
        <f>SUM(U422:U425)</f>
      </c>
      <c r="V426" s="221">
        <f>SUM(V422:V425)</f>
      </c>
      <c r="W426" s="221">
        <f>SUM(W422:W425)</f>
      </c>
      <c r="X426" s="221">
        <f>SUM(X422:X425)</f>
      </c>
      <c r="Y426" s="221">
        <f>SUM(Y422:Y425)</f>
      </c>
      <c r="Z426" s="250"/>
    </row>
    <row r="427">
      <c r="A427" s="200"/>
      <c r="B427" s="245" t="s">
        <v>132</v>
      </c>
      <c r="C427" s="202" t="s">
        <v>133</v>
      </c>
      <c r="D427" s="202">
        <f t="shared" ref="D427:D431" si="103">E427+G427+F427</f>
      </c>
      <c r="E427" s="203">
        <v>1715.99</v>
      </c>
      <c r="F427" s="203">
        <v>1702.74</v>
      </c>
      <c r="G427" s="203">
        <v>0</v>
      </c>
      <c r="H427" s="204">
        <v>23</v>
      </c>
      <c r="I427" s="203">
        <v>12131.92</v>
      </c>
      <c r="J427" s="206">
        <f t="shared" si="18"/>
      </c>
      <c r="K427" s="206">
        <f t="shared" si="309"/>
      </c>
      <c r="L427" s="206">
        <f t="shared" si="279"/>
      </c>
      <c r="M427" s="207">
        <f t="shared" si="218"/>
      </c>
      <c r="N427" s="208">
        <f t="shared" si="188"/>
      </c>
      <c r="O427" s="209">
        <f t="shared" si="158"/>
      </c>
      <c r="P427" s="208">
        <f t="shared" si="248"/>
      </c>
      <c r="Q427" s="210" t="s">
        <v>114</v>
      </c>
      <c r="R427" s="232" t="s">
        <v>129</v>
      </c>
      <c r="S427" s="229">
        <v>55597</v>
      </c>
      <c r="T427" s="229">
        <v>3272</v>
      </c>
      <c r="U427" s="229">
        <v>296</v>
      </c>
      <c r="V427" s="229">
        <v>6449</v>
      </c>
      <c r="W427" s="229">
        <v>772</v>
      </c>
      <c r="X427" s="229">
        <v>34</v>
      </c>
      <c r="Y427" s="229">
        <v>70</v>
      </c>
      <c r="Z427" s="250"/>
    </row>
    <row r="428">
      <c r="A428" s="200"/>
      <c r="B428" s="201" t="s">
        <v>132</v>
      </c>
      <c r="C428" s="202" t="s">
        <v>134</v>
      </c>
      <c r="D428" s="202">
        <f t="shared" si="103"/>
      </c>
      <c r="E428" s="203">
        <v>2936.7</v>
      </c>
      <c r="F428" s="203">
        <v>1939.65</v>
      </c>
      <c r="G428" s="203">
        <v>0</v>
      </c>
      <c r="H428" s="204">
        <v>22</v>
      </c>
      <c r="I428" s="203">
        <v>14060.01</v>
      </c>
      <c r="J428" s="206">
        <f t="shared" si="18"/>
      </c>
      <c r="K428" s="206">
        <f t="shared" si="309"/>
      </c>
      <c r="L428" s="206">
        <f t="shared" si="279"/>
      </c>
      <c r="M428" s="207">
        <f t="shared" si="218"/>
      </c>
      <c r="N428" s="208">
        <f t="shared" si="188"/>
      </c>
      <c r="O428" s="209">
        <f t="shared" si="158"/>
      </c>
      <c r="P428" s="208">
        <f t="shared" si="248"/>
      </c>
      <c r="Q428" s="210" t="s">
        <v>114</v>
      </c>
      <c r="R428" s="232" t="s">
        <v>129</v>
      </c>
      <c r="S428" s="233">
        <v>99589</v>
      </c>
      <c r="T428" s="233">
        <v>5132</v>
      </c>
      <c r="U428" s="233">
        <v>400</v>
      </c>
      <c r="V428" s="233">
        <v>9632</v>
      </c>
      <c r="W428" s="233">
        <v>1029</v>
      </c>
      <c r="X428" s="233">
        <v>38</v>
      </c>
      <c r="Y428" s="229">
        <v>85</v>
      </c>
      <c r="Z428" s="250"/>
    </row>
    <row r="429">
      <c r="A429" s="200"/>
      <c r="B429" s="201" t="s">
        <v>132</v>
      </c>
      <c r="C429" s="202" t="s">
        <v>135</v>
      </c>
      <c r="D429" s="202">
        <f t="shared" si="103"/>
      </c>
      <c r="E429" s="203">
        <v>1893.57</v>
      </c>
      <c r="F429" s="203">
        <v>2457.48</v>
      </c>
      <c r="G429" s="203">
        <v>0</v>
      </c>
      <c r="H429" s="204">
        <v>14</v>
      </c>
      <c r="I429" s="203">
        <v>9292.84</v>
      </c>
      <c r="J429" s="206">
        <f t="shared" si="18"/>
      </c>
      <c r="K429" s="206">
        <f t="shared" si="309"/>
      </c>
      <c r="L429" s="206">
        <f t="shared" si="279"/>
      </c>
      <c r="M429" s="207">
        <f t="shared" si="218"/>
      </c>
      <c r="N429" s="208">
        <f t="shared" si="188"/>
      </c>
      <c r="O429" s="209">
        <f t="shared" si="158"/>
      </c>
      <c r="P429" s="208">
        <f t="shared" si="248"/>
      </c>
      <c r="Q429" s="210" t="s">
        <v>114</v>
      </c>
      <c r="R429" s="232" t="s">
        <v>129</v>
      </c>
      <c r="S429" s="233">
        <v>64278</v>
      </c>
      <c r="T429" s="233">
        <v>3654</v>
      </c>
      <c r="U429" s="233">
        <v>377</v>
      </c>
      <c r="V429" s="233">
        <v>6422</v>
      </c>
      <c r="W429" s="246">
        <v>680</v>
      </c>
      <c r="X429" s="214">
        <v>26</v>
      </c>
      <c r="Y429" s="248">
        <v>52</v>
      </c>
      <c r="Z429" s="250"/>
    </row>
    <row r="430">
      <c r="A430" s="200"/>
      <c r="B430" s="201" t="s">
        <v>132</v>
      </c>
      <c r="C430" s="202" t="s">
        <v>136</v>
      </c>
      <c r="D430" s="202">
        <f t="shared" si="103"/>
      </c>
      <c r="E430" s="203">
        <v>2956.99</v>
      </c>
      <c r="F430" s="203">
        <v>7191.37</v>
      </c>
      <c r="G430" s="203">
        <v>0</v>
      </c>
      <c r="H430" s="204">
        <v>42</v>
      </c>
      <c r="I430" s="203">
        <v>20098.62</v>
      </c>
      <c r="J430" s="206">
        <f t="shared" si="18"/>
      </c>
      <c r="K430" s="206">
        <f t="shared" si="309"/>
      </c>
      <c r="L430" s="206">
        <f t="shared" si="279"/>
      </c>
      <c r="M430" s="207">
        <f t="shared" si="218"/>
      </c>
      <c r="N430" s="208">
        <f t="shared" si="188"/>
      </c>
      <c r="O430" s="209">
        <f t="shared" si="158"/>
      </c>
      <c r="P430" s="208">
        <f t="shared" si="248"/>
      </c>
      <c r="Q430" s="210" t="s">
        <v>114</v>
      </c>
      <c r="R430" s="232" t="s">
        <v>129</v>
      </c>
      <c r="S430" s="233">
        <v>264069</v>
      </c>
      <c r="T430" s="233">
        <v>6969</v>
      </c>
      <c r="U430" s="233">
        <v>726</v>
      </c>
      <c r="V430" s="233">
        <v>11187</v>
      </c>
      <c r="W430" s="246">
        <v>1261</v>
      </c>
      <c r="X430" s="214">
        <v>88</v>
      </c>
      <c r="Y430" s="248">
        <v>135</v>
      </c>
      <c r="Z430" s="250"/>
    </row>
    <row r="431">
      <c r="A431" s="200"/>
      <c r="B431" s="201" t="s">
        <v>132</v>
      </c>
      <c r="C431" s="202" t="s">
        <v>137</v>
      </c>
      <c r="D431" s="202">
        <f t="shared" si="103"/>
      </c>
      <c r="E431" s="203">
        <v>1294.03</v>
      </c>
      <c r="F431" s="203">
        <v>3714.9</v>
      </c>
      <c r="G431" s="203">
        <v>0</v>
      </c>
      <c r="H431" s="204">
        <v>35</v>
      </c>
      <c r="I431" s="203">
        <v>14757.06</v>
      </c>
      <c r="J431" s="206">
        <f t="shared" si="18"/>
      </c>
      <c r="K431" s="206">
        <f t="shared" si="309"/>
      </c>
      <c r="L431" s="206">
        <f t="shared" si="279"/>
      </c>
      <c r="M431" s="207">
        <f t="shared" si="218"/>
      </c>
      <c r="N431" s="208">
        <f t="shared" si="188"/>
      </c>
      <c r="O431" s="209">
        <f t="shared" si="158"/>
      </c>
      <c r="P431" s="208">
        <f t="shared" si="248"/>
      </c>
      <c r="Q431" s="210" t="s">
        <v>114</v>
      </c>
      <c r="R431" s="232" t="s">
        <v>129</v>
      </c>
      <c r="S431" s="233">
        <v>172019</v>
      </c>
      <c r="T431" s="233">
        <v>3342</v>
      </c>
      <c r="U431" s="233">
        <v>665</v>
      </c>
      <c r="V431" s="233">
        <v>5830</v>
      </c>
      <c r="W431" s="233">
        <v>722</v>
      </c>
      <c r="X431" s="249">
        <v>54</v>
      </c>
      <c r="Y431" s="229">
        <v>90</v>
      </c>
      <c r="Z431" s="250"/>
    </row>
    <row r="432">
      <c r="A432" s="200"/>
      <c r="B432" s="219" t="s">
        <v>119</v>
      </c>
      <c r="C432" s="219"/>
      <c r="D432" s="220">
        <f>SUM(D427:D431)</f>
      </c>
      <c r="E432" s="220">
        <f>SUM(E427:E431)</f>
      </c>
      <c r="F432" s="220">
        <f>SUM(F427:G431)</f>
      </c>
      <c r="G432" s="220"/>
      <c r="H432" s="220">
        <f>SUM(H427:H431)</f>
      </c>
      <c r="I432" s="220">
        <f>SUM(I427:I431)</f>
      </c>
      <c r="J432" s="222">
        <f t="shared" si="18"/>
      </c>
      <c r="K432" s="223">
        <f t="shared" si="309"/>
      </c>
      <c r="L432" s="224">
        <f t="shared" si="279"/>
      </c>
      <c r="M432" s="225">
        <f t="shared" si="218"/>
      </c>
      <c r="N432" s="225">
        <f t="shared" si="188"/>
      </c>
      <c r="O432" s="226">
        <f t="shared" si="158"/>
      </c>
      <c r="P432" s="225">
        <f t="shared" si="248"/>
      </c>
      <c r="Q432" s="226"/>
      <c r="R432" s="235"/>
      <c r="S432" s="220">
        <f>SUM(S427:S431)</f>
      </c>
      <c r="T432" s="220">
        <f>SUM(T427:T431)</f>
      </c>
      <c r="U432" s="220">
        <f>SUM(U427:U431)</f>
      </c>
      <c r="V432" s="220">
        <f>SUM(V427:V431)</f>
      </c>
      <c r="W432" s="220">
        <f>SUM(W427:W431)</f>
      </c>
      <c r="X432" s="220">
        <f>SUM(X427:X431)</f>
      </c>
      <c r="Y432" s="220">
        <f>SUM(Y427:Y431)</f>
      </c>
      <c r="Z432" s="250"/>
    </row>
    <row r="433">
      <c r="A433" s="200"/>
      <c r="B433" s="236" t="s">
        <v>138</v>
      </c>
      <c r="C433" s="236"/>
      <c r="D433" s="237">
        <f>D432+D426+D421+D415</f>
      </c>
      <c r="E433" s="237">
        <f>E432+E426+E421+E415</f>
      </c>
      <c r="F433" s="237">
        <f>F432+F426+F421+F415</f>
      </c>
      <c r="G433" s="237"/>
      <c r="H433" s="238">
        <f>H432+H426+H421+H415</f>
      </c>
      <c r="I433" s="237">
        <f>I432+I426+I421+I415</f>
      </c>
      <c r="J433" s="239">
        <f t="shared" si="18"/>
      </c>
      <c r="K433" s="239">
        <f t="shared" si="309"/>
      </c>
      <c r="L433" s="239">
        <f t="shared" si="279"/>
      </c>
      <c r="M433" s="240">
        <f t="shared" si="218"/>
      </c>
      <c r="N433" s="240">
        <f t="shared" si="188"/>
      </c>
      <c r="O433" s="239">
        <f t="shared" si="158"/>
      </c>
      <c r="P433" s="240">
        <f t="shared" si="248"/>
      </c>
      <c r="Q433" s="241"/>
      <c r="R433" s="242"/>
      <c r="S433" s="243">
        <f>S432+S426+S421+S415</f>
      </c>
      <c r="T433" s="243">
        <f>T432+T426+T421+T415</f>
      </c>
      <c r="U433" s="243">
        <f>U432+U426+U421+U415</f>
      </c>
      <c r="V433" s="243">
        <f>V432+V426+V421+V415</f>
      </c>
      <c r="W433" s="243">
        <f>W432+W426+W421+W415</f>
      </c>
      <c r="X433" s="244">
        <f>X432+X426+X421+X415</f>
      </c>
      <c r="Y433" s="238">
        <f>Y432+Y426+Y421+Y415</f>
      </c>
      <c r="Z433" s="255"/>
    </row>
    <row r="434">
      <c r="A434" s="188" t="s">
        <v>83</v>
      </c>
      <c r="B434" s="188"/>
      <c r="C434" s="188"/>
      <c r="D434" s="189" t="s">
        <v>84</v>
      </c>
      <c r="E434" s="189"/>
      <c r="F434" s="189"/>
      <c r="G434" s="189"/>
      <c r="H434" s="189"/>
      <c r="I434" s="189"/>
      <c r="J434" s="189"/>
      <c r="K434" s="189"/>
      <c r="L434" s="189"/>
      <c r="M434" s="190" t="s">
        <v>85</v>
      </c>
      <c r="N434" s="190"/>
      <c r="O434" s="190"/>
      <c r="P434" s="190"/>
      <c r="Q434" s="190"/>
      <c r="R434" s="190"/>
      <c r="S434" s="191" t="s">
        <v>86</v>
      </c>
      <c r="T434" s="191"/>
      <c r="U434" s="191"/>
      <c r="V434" s="191"/>
      <c r="W434" s="191"/>
      <c r="X434" s="191"/>
      <c r="Y434" s="191"/>
      <c r="Z434" s="250"/>
    </row>
    <row r="435">
      <c r="A435" s="192" t="s">
        <v>87</v>
      </c>
      <c r="B435" s="188" t="s">
        <v>88</v>
      </c>
      <c r="C435" s="188" t="s">
        <v>89</v>
      </c>
      <c r="D435" s="193" t="s">
        <v>90</v>
      </c>
      <c r="E435" s="193" t="s">
        <v>91</v>
      </c>
      <c r="F435" s="189" t="s">
        <v>92</v>
      </c>
      <c r="G435" s="189"/>
      <c r="H435" s="194" t="s">
        <v>93</v>
      </c>
      <c r="I435" s="189" t="s">
        <v>94</v>
      </c>
      <c r="J435" s="195" t="s">
        <v>95</v>
      </c>
      <c r="K435" s="196" t="s">
        <v>96</v>
      </c>
      <c r="L435" s="189" t="s">
        <v>97</v>
      </c>
      <c r="M435" s="190" t="s">
        <v>98</v>
      </c>
      <c r="N435" s="190" t="s">
        <v>99</v>
      </c>
      <c r="O435" s="190" t="s">
        <v>100</v>
      </c>
      <c r="P435" s="190" t="s">
        <v>101</v>
      </c>
      <c r="Q435" s="197" t="s">
        <v>102</v>
      </c>
      <c r="R435" s="197" t="s">
        <v>103</v>
      </c>
      <c r="S435" s="198" t="s">
        <v>104</v>
      </c>
      <c r="T435" s="198" t="s">
        <v>105</v>
      </c>
      <c r="U435" s="199" t="s">
        <v>106</v>
      </c>
      <c r="V435" s="199" t="s">
        <v>107</v>
      </c>
      <c r="W435" s="199" t="s">
        <v>108</v>
      </c>
      <c r="X435" s="199" t="s">
        <v>109</v>
      </c>
      <c r="Y435" s="199" t="s">
        <v>110</v>
      </c>
      <c r="Z435" s="250"/>
    </row>
    <row r="436">
      <c r="A436" s="200" t="s">
        <v>168</v>
      </c>
      <c r="B436" s="201" t="s">
        <v>120</v>
      </c>
      <c r="C436" s="202" t="s">
        <v>113</v>
      </c>
      <c r="D436" s="202">
        <f t="shared" ref="D436:D439" si="104">E436+G436+F436</f>
      </c>
      <c r="E436" s="202">
        <v>1174.04</v>
      </c>
      <c r="F436" s="202">
        <v>1392.7999999999997</v>
      </c>
      <c r="G436" s="203">
        <v>0</v>
      </c>
      <c r="H436" s="204">
        <v>9</v>
      </c>
      <c r="I436" s="202">
        <v>5879.25</v>
      </c>
      <c r="J436" s="205">
        <f t="shared" ref="J436:J457" si="19">I436/D436</f>
      </c>
      <c r="K436" s="205">
        <f t="shared" ref="K436:K457" si="310">D436/H436</f>
      </c>
      <c r="L436" s="206">
        <f t="shared" ref="L436:L457" si="280">I436/H436</f>
      </c>
      <c r="M436" s="207">
        <f t="shared" ref="M436:M457" si="219">T436/S436</f>
      </c>
      <c r="N436" s="208">
        <f t="shared" ref="N436:N457" si="189">H436/X436</f>
      </c>
      <c r="O436" s="209">
        <f t="shared" ref="O436:O457" si="159">(Y436*1000)/D436</f>
      </c>
      <c r="P436" s="208">
        <f t="shared" ref="P436:P457" si="249">W436/V436</f>
      </c>
      <c r="Q436" s="210" t="s">
        <v>127</v>
      </c>
      <c r="R436" s="211" t="s">
        <v>164</v>
      </c>
      <c r="S436" s="212">
        <v>49466</v>
      </c>
      <c r="T436" s="212">
        <v>2611</v>
      </c>
      <c r="U436" s="213">
        <v>283</v>
      </c>
      <c r="V436" s="212">
        <v>4854</v>
      </c>
      <c r="W436" s="212">
        <v>718</v>
      </c>
      <c r="X436" s="214">
        <v>29</v>
      </c>
      <c r="Y436" s="214">
        <v>50</v>
      </c>
      <c r="Z436" s="250"/>
    </row>
    <row r="437">
      <c r="A437" s="200"/>
      <c r="B437" s="201" t="s">
        <v>120</v>
      </c>
      <c r="C437" s="202" t="s">
        <v>116</v>
      </c>
      <c r="D437" s="202">
        <f t="shared" si="104"/>
      </c>
      <c r="E437" s="202">
        <v>909.3000000000002</v>
      </c>
      <c r="F437" s="202">
        <v>1317.6100000000006</v>
      </c>
      <c r="G437" s="203">
        <v>0</v>
      </c>
      <c r="H437" s="215">
        <v>10</v>
      </c>
      <c r="I437" s="202">
        <v>5494.34</v>
      </c>
      <c r="J437" s="206">
        <f t="shared" si="19"/>
      </c>
      <c r="K437" s="206">
        <f t="shared" si="310"/>
      </c>
      <c r="L437" s="205">
        <f t="shared" si="280"/>
      </c>
      <c r="M437" s="207">
        <f t="shared" si="219"/>
      </c>
      <c r="N437" s="208">
        <f t="shared" si="189"/>
      </c>
      <c r="O437" s="209">
        <f t="shared" si="159"/>
      </c>
      <c r="P437" s="208">
        <f t="shared" si="249"/>
      </c>
      <c r="Q437" s="210" t="s">
        <v>127</v>
      </c>
      <c r="R437" s="211" t="s">
        <v>164</v>
      </c>
      <c r="S437" s="216">
        <v>40699</v>
      </c>
      <c r="T437" s="216">
        <v>1927</v>
      </c>
      <c r="U437" s="212">
        <v>291</v>
      </c>
      <c r="V437" s="212">
        <v>3469</v>
      </c>
      <c r="W437" s="212">
        <v>588</v>
      </c>
      <c r="X437" s="214">
        <v>21</v>
      </c>
      <c r="Y437" s="217">
        <v>58</v>
      </c>
      <c r="Z437" s="250"/>
    </row>
    <row r="438">
      <c r="A438" s="200"/>
      <c r="B438" s="201" t="s">
        <v>120</v>
      </c>
      <c r="C438" s="202" t="s">
        <v>117</v>
      </c>
      <c r="D438" s="202">
        <f t="shared" si="104"/>
      </c>
      <c r="E438" s="218">
        <v>911.4699999999998</v>
      </c>
      <c r="F438" s="202">
        <v>1674.9499999999994</v>
      </c>
      <c r="G438" s="203">
        <v>0</v>
      </c>
      <c r="H438" s="215">
        <v>13</v>
      </c>
      <c r="I438" s="202">
        <v>5765.1500000000015</v>
      </c>
      <c r="J438" s="206">
        <f t="shared" si="19"/>
      </c>
      <c r="K438" s="206">
        <f t="shared" si="310"/>
      </c>
      <c r="L438" s="206">
        <f t="shared" si="280"/>
      </c>
      <c r="M438" s="207">
        <f t="shared" si="219"/>
      </c>
      <c r="N438" s="208">
        <f t="shared" si="189"/>
      </c>
      <c r="O438" s="209">
        <f t="shared" si="159"/>
      </c>
      <c r="P438" s="208">
        <f t="shared" si="249"/>
      </c>
      <c r="Q438" s="210" t="s">
        <v>127</v>
      </c>
      <c r="R438" s="211" t="s">
        <v>164</v>
      </c>
      <c r="S438" s="217">
        <v>45192</v>
      </c>
      <c r="T438" s="217">
        <v>1839</v>
      </c>
      <c r="U438" s="217">
        <v>255</v>
      </c>
      <c r="V438" s="217">
        <v>3034</v>
      </c>
      <c r="W438" s="217">
        <v>515</v>
      </c>
      <c r="X438" s="214">
        <v>26</v>
      </c>
      <c r="Y438" s="217">
        <v>41</v>
      </c>
      <c r="Z438" s="250"/>
    </row>
    <row r="439">
      <c r="A439" s="200"/>
      <c r="B439" s="201" t="s">
        <v>120</v>
      </c>
      <c r="C439" s="202" t="s">
        <v>118</v>
      </c>
      <c r="D439" s="202">
        <f t="shared" si="104"/>
      </c>
      <c r="E439" s="202">
        <v>1041.0600000000004</v>
      </c>
      <c r="F439" s="202">
        <v>2242.4700000000003</v>
      </c>
      <c r="G439" s="203">
        <v>0</v>
      </c>
      <c r="H439" s="215">
        <v>12</v>
      </c>
      <c r="I439" s="202">
        <v>3420.869999999999</v>
      </c>
      <c r="J439" s="206">
        <f t="shared" si="19"/>
      </c>
      <c r="K439" s="206">
        <f t="shared" si="310"/>
      </c>
      <c r="L439" s="206">
        <f t="shared" si="280"/>
      </c>
      <c r="M439" s="207">
        <f t="shared" si="219"/>
      </c>
      <c r="N439" s="208">
        <f t="shared" si="189"/>
      </c>
      <c r="O439" s="209">
        <f t="shared" si="159"/>
      </c>
      <c r="P439" s="208">
        <f t="shared" si="249"/>
      </c>
      <c r="Q439" s="210" t="s">
        <v>127</v>
      </c>
      <c r="R439" s="211" t="s">
        <v>164</v>
      </c>
      <c r="S439" s="217">
        <v>51741</v>
      </c>
      <c r="T439" s="217">
        <v>1763</v>
      </c>
      <c r="U439" s="217">
        <v>308</v>
      </c>
      <c r="V439" s="217">
        <v>2787</v>
      </c>
      <c r="W439" s="217">
        <v>488</v>
      </c>
      <c r="X439" s="214">
        <v>24</v>
      </c>
      <c r="Y439" s="214">
        <v>55</v>
      </c>
      <c r="Z439" s="250"/>
    </row>
    <row r="440">
      <c r="A440" s="200"/>
      <c r="B440" s="219" t="s">
        <v>119</v>
      </c>
      <c r="C440" s="219"/>
      <c r="D440" s="220">
        <f>SUM(D436:D439)</f>
      </c>
      <c r="E440" s="220">
        <f>SUM(E436:E439)</f>
      </c>
      <c r="F440" s="220">
        <f>SUM(F436:G439)</f>
      </c>
      <c r="G440" s="220"/>
      <c r="H440" s="221">
        <f>SUM(H436:H439)</f>
      </c>
      <c r="I440" s="220">
        <f>SUM(I436:I439)</f>
      </c>
      <c r="J440" s="253">
        <f t="shared" si="19"/>
      </c>
      <c r="K440" s="223">
        <f t="shared" si="310"/>
      </c>
      <c r="L440" s="254">
        <f t="shared" si="280"/>
      </c>
      <c r="M440" s="225">
        <f t="shared" si="219"/>
      </c>
      <c r="N440" s="225">
        <f t="shared" si="189"/>
      </c>
      <c r="O440" s="226">
        <f t="shared" si="159"/>
      </c>
      <c r="P440" s="225">
        <f t="shared" si="249"/>
      </c>
      <c r="Q440" s="226"/>
      <c r="R440" s="226"/>
      <c r="S440" s="221">
        <f>SUM(S436:S439)</f>
      </c>
      <c r="T440" s="221">
        <f>SUM(T436:T439)</f>
      </c>
      <c r="U440" s="221">
        <f>SUM(U436:U439)</f>
      </c>
      <c r="V440" s="221">
        <f>SUM(V436:V439)</f>
      </c>
      <c r="W440" s="221">
        <f>SUM(W436:W439)</f>
      </c>
      <c r="X440" s="221">
        <f>SUM(X436:X439)</f>
      </c>
      <c r="Y440" s="221">
        <f>SUM(Y436:Y439)</f>
      </c>
      <c r="Z440" s="250"/>
    </row>
    <row r="441">
      <c r="A441" s="200"/>
      <c r="B441" s="227" t="s">
        <v>125</v>
      </c>
      <c r="C441" s="202" t="s">
        <v>121</v>
      </c>
      <c r="D441" s="202">
        <f t="shared" ref="D441:D444" si="105">E441+G441+F441</f>
      </c>
      <c r="E441" s="202">
        <v>1019.7399999999993</v>
      </c>
      <c r="F441" s="202">
        <v>2225.380000000001</v>
      </c>
      <c r="G441" s="203">
        <v>0</v>
      </c>
      <c r="H441" s="215">
        <v>15</v>
      </c>
      <c r="I441" s="202">
        <v>6898.579999999998</v>
      </c>
      <c r="J441" s="206">
        <f t="shared" si="19"/>
      </c>
      <c r="K441" s="206">
        <f t="shared" si="310"/>
      </c>
      <c r="L441" s="206">
        <f t="shared" si="280"/>
      </c>
      <c r="M441" s="207">
        <f t="shared" si="219"/>
      </c>
      <c r="N441" s="208">
        <f t="shared" si="189"/>
      </c>
      <c r="O441" s="209">
        <f t="shared" si="159"/>
      </c>
      <c r="P441" s="208">
        <f t="shared" si="249"/>
      </c>
      <c r="Q441" s="210" t="s">
        <v>127</v>
      </c>
      <c r="R441" s="211" t="s">
        <v>164</v>
      </c>
      <c r="S441" s="228">
        <v>63019</v>
      </c>
      <c r="T441" s="228">
        <v>1614</v>
      </c>
      <c r="U441" s="228">
        <v>282</v>
      </c>
      <c r="V441" s="228">
        <v>2593</v>
      </c>
      <c r="W441" s="228">
        <v>475</v>
      </c>
      <c r="X441" s="229">
        <v>26</v>
      </c>
      <c r="Y441" s="229">
        <v>43</v>
      </c>
      <c r="Z441" s="250"/>
    </row>
    <row r="442">
      <c r="A442" s="200"/>
      <c r="B442" s="227" t="s">
        <v>125</v>
      </c>
      <c r="C442" s="202" t="s">
        <v>122</v>
      </c>
      <c r="D442" s="202">
        <f t="shared" si="105"/>
      </c>
      <c r="E442" s="202">
        <v>1633.4300000000003</v>
      </c>
      <c r="F442" s="202">
        <v>2023.2199999999993</v>
      </c>
      <c r="G442" s="203">
        <v>0</v>
      </c>
      <c r="H442" s="215">
        <v>12</v>
      </c>
      <c r="I442" s="202">
        <v>4249.890000000003</v>
      </c>
      <c r="J442" s="206">
        <f t="shared" si="19"/>
      </c>
      <c r="K442" s="206">
        <f t="shared" si="310"/>
      </c>
      <c r="L442" s="206">
        <f t="shared" si="280"/>
      </c>
      <c r="M442" s="207">
        <f t="shared" si="219"/>
      </c>
      <c r="N442" s="208">
        <f t="shared" si="189"/>
      </c>
      <c r="O442" s="209">
        <f t="shared" si="159"/>
      </c>
      <c r="P442" s="208">
        <f t="shared" si="249"/>
      </c>
      <c r="Q442" s="210" t="s">
        <v>127</v>
      </c>
      <c r="R442" s="211" t="s">
        <v>164</v>
      </c>
      <c r="S442" s="228">
        <v>52988</v>
      </c>
      <c r="T442" s="228">
        <v>2945</v>
      </c>
      <c r="U442" s="228">
        <v>360</v>
      </c>
      <c r="V442" s="228">
        <v>5134</v>
      </c>
      <c r="W442" s="228">
        <v>763</v>
      </c>
      <c r="X442" s="229">
        <v>23</v>
      </c>
      <c r="Y442" s="228">
        <v>70</v>
      </c>
    </row>
    <row r="443">
      <c r="A443" s="200"/>
      <c r="B443" s="227" t="s">
        <v>125</v>
      </c>
      <c r="C443" s="202" t="s">
        <v>123</v>
      </c>
      <c r="D443" s="202">
        <f t="shared" si="105"/>
      </c>
      <c r="E443" s="202">
        <v>1842.7300000000005</v>
      </c>
      <c r="F443" s="202">
        <v>1597.3700000000008</v>
      </c>
      <c r="G443" s="203">
        <v>0</v>
      </c>
      <c r="H443" s="215">
        <v>6</v>
      </c>
      <c r="I443" s="202">
        <v>2693.4000000000015</v>
      </c>
      <c r="J443" s="206">
        <f t="shared" si="19"/>
      </c>
      <c r="K443" s="206">
        <f t="shared" si="310"/>
      </c>
      <c r="L443" s="206">
        <f t="shared" si="280"/>
      </c>
      <c r="M443" s="207">
        <f t="shared" si="219"/>
      </c>
      <c r="N443" s="208">
        <f t="shared" si="189"/>
      </c>
      <c r="O443" s="209">
        <f t="shared" si="159"/>
      </c>
      <c r="P443" s="208">
        <f t="shared" si="249"/>
      </c>
      <c r="Q443" s="210" t="s">
        <v>127</v>
      </c>
      <c r="R443" s="211" t="s">
        <v>164</v>
      </c>
      <c r="S443" s="228">
        <v>61651</v>
      </c>
      <c r="T443" s="228">
        <v>3654</v>
      </c>
      <c r="U443" s="228">
        <v>393</v>
      </c>
      <c r="V443" s="228">
        <v>7192</v>
      </c>
      <c r="W443" s="228">
        <v>1052</v>
      </c>
      <c r="X443" s="229">
        <v>15</v>
      </c>
      <c r="Y443" s="229">
        <v>94</v>
      </c>
    </row>
    <row r="444">
      <c r="A444" s="200"/>
      <c r="B444" s="227" t="s">
        <v>125</v>
      </c>
      <c r="C444" s="203" t="s">
        <v>124</v>
      </c>
      <c r="D444" s="202">
        <f t="shared" si="105"/>
      </c>
      <c r="E444" s="202">
        <v>1155.5900000000001</v>
      </c>
      <c r="F444" s="203">
        <v>1549.1200000000008</v>
      </c>
      <c r="G444" s="203">
        <v>0</v>
      </c>
      <c r="H444" s="215">
        <v>7</v>
      </c>
      <c r="I444" s="202">
        <v>4224.119999999995</v>
      </c>
      <c r="J444" s="206">
        <f t="shared" si="19"/>
      </c>
      <c r="K444" s="206">
        <f t="shared" si="310"/>
      </c>
      <c r="L444" s="206">
        <f t="shared" si="280"/>
      </c>
      <c r="M444" s="207">
        <f t="shared" si="219"/>
      </c>
      <c r="N444" s="208">
        <f t="shared" si="189"/>
      </c>
      <c r="O444" s="209">
        <f t="shared" si="159"/>
      </c>
      <c r="P444" s="208">
        <f t="shared" si="249"/>
      </c>
      <c r="Q444" s="210" t="s">
        <v>127</v>
      </c>
      <c r="R444" s="211" t="s">
        <v>164</v>
      </c>
      <c r="S444" s="228">
        <v>54498</v>
      </c>
      <c r="T444" s="228">
        <v>2333</v>
      </c>
      <c r="U444" s="228">
        <v>243</v>
      </c>
      <c r="V444" s="228">
        <v>4378</v>
      </c>
      <c r="W444" s="228">
        <v>672</v>
      </c>
      <c r="X444" s="229">
        <v>16</v>
      </c>
      <c r="Y444" s="229">
        <v>66</v>
      </c>
    </row>
    <row r="445">
      <c r="A445" s="200"/>
      <c r="B445" s="219" t="s">
        <v>119</v>
      </c>
      <c r="C445" s="219"/>
      <c r="D445" s="220">
        <f>SUM(D441:D444)</f>
      </c>
      <c r="E445" s="220">
        <f>SUM(E441:E444)</f>
      </c>
      <c r="F445" s="220">
        <f>SUM(F441:G444)</f>
      </c>
      <c r="G445" s="220"/>
      <c r="H445" s="220">
        <f>SUM(H441:H444)</f>
      </c>
      <c r="I445" s="220">
        <f>SUM(I441:I444)</f>
      </c>
      <c r="J445" s="222">
        <f t="shared" si="19"/>
      </c>
      <c r="K445" s="223">
        <f t="shared" si="310"/>
      </c>
      <c r="L445" s="224">
        <f t="shared" si="280"/>
      </c>
      <c r="M445" s="225">
        <f t="shared" si="219"/>
      </c>
      <c r="N445" s="225">
        <f t="shared" si="189"/>
      </c>
      <c r="O445" s="226">
        <f t="shared" si="159"/>
      </c>
      <c r="P445" s="225">
        <f t="shared" si="249"/>
      </c>
      <c r="Q445" s="226"/>
      <c r="R445" s="226"/>
      <c r="S445" s="220">
        <f>SUM(S441:S444)</f>
      </c>
      <c r="T445" s="220">
        <f>SUM(T441:T444)</f>
      </c>
      <c r="U445" s="220">
        <f>SUM(U441:U444)</f>
      </c>
      <c r="V445" s="220">
        <f>SUM(V441:V444)</f>
      </c>
      <c r="W445" s="220">
        <f>SUM(W441:W444)</f>
      </c>
      <c r="X445" s="220">
        <f>SUM(X441:X444)</f>
      </c>
      <c r="Y445" s="220">
        <f>SUM(Y441:Y444)</f>
      </c>
    </row>
    <row r="446">
      <c r="A446" s="200"/>
      <c r="B446" s="245" t="s">
        <v>166</v>
      </c>
      <c r="C446" s="203" t="s">
        <v>126</v>
      </c>
      <c r="D446" s="202">
        <f t="shared" ref="D446:D449" si="106">E446+G446+F446</f>
      </c>
      <c r="E446" s="203">
        <v>950.5499999999993</v>
      </c>
      <c r="F446" s="203">
        <v>2312.720000000001</v>
      </c>
      <c r="G446" s="203">
        <v>0</v>
      </c>
      <c r="H446" s="204">
        <v>19</v>
      </c>
      <c r="I446" s="203">
        <v>13969.090000000004</v>
      </c>
      <c r="J446" s="206">
        <f t="shared" si="19"/>
      </c>
      <c r="K446" s="206">
        <f t="shared" si="310"/>
      </c>
      <c r="L446" s="206">
        <f t="shared" si="280"/>
      </c>
      <c r="M446" s="207">
        <f t="shared" si="219"/>
      </c>
      <c r="N446" s="208">
        <f t="shared" si="189"/>
      </c>
      <c r="O446" s="209">
        <f t="shared" si="159"/>
      </c>
      <c r="P446" s="208">
        <f t="shared" si="249"/>
      </c>
      <c r="Q446" s="210" t="s">
        <v>114</v>
      </c>
      <c r="R446" s="211" t="s">
        <v>164</v>
      </c>
      <c r="S446" s="229">
        <v>97515</v>
      </c>
      <c r="T446" s="229">
        <v>2290</v>
      </c>
      <c r="U446" s="229">
        <v>328</v>
      </c>
      <c r="V446" s="229">
        <v>4223</v>
      </c>
      <c r="W446" s="229">
        <v>622</v>
      </c>
      <c r="X446" s="229">
        <v>33</v>
      </c>
      <c r="Y446" s="229">
        <v>56</v>
      </c>
    </row>
    <row r="447">
      <c r="A447" s="200"/>
      <c r="B447" s="245" t="s">
        <v>166</v>
      </c>
      <c r="C447" s="202" t="s">
        <v>128</v>
      </c>
      <c r="D447" s="202">
        <f t="shared" si="106"/>
      </c>
      <c r="E447" s="203">
        <v>1290.17</v>
      </c>
      <c r="F447" s="203">
        <v>4279.63</v>
      </c>
      <c r="G447" s="203">
        <v>0</v>
      </c>
      <c r="H447" s="204">
        <v>16</v>
      </c>
      <c r="I447" s="203">
        <v>7476.04</v>
      </c>
      <c r="J447" s="206">
        <f t="shared" si="19"/>
      </c>
      <c r="K447" s="206">
        <f t="shared" si="310"/>
      </c>
      <c r="L447" s="206">
        <f t="shared" si="280"/>
      </c>
      <c r="M447" s="207">
        <f t="shared" si="219"/>
      </c>
      <c r="N447" s="208">
        <f t="shared" si="189"/>
      </c>
      <c r="O447" s="209">
        <f t="shared" si="159"/>
      </c>
      <c r="P447" s="208">
        <f t="shared" si="249"/>
      </c>
      <c r="Q447" s="210" t="s">
        <v>114</v>
      </c>
      <c r="R447" s="232" t="s">
        <v>129</v>
      </c>
      <c r="S447" s="257">
        <v>154635</v>
      </c>
      <c r="T447" s="257">
        <v>3175</v>
      </c>
      <c r="U447" s="257">
        <v>494</v>
      </c>
      <c r="V447" s="257">
        <v>5544</v>
      </c>
      <c r="W447" s="257">
        <v>843</v>
      </c>
      <c r="X447" s="229">
        <v>28</v>
      </c>
      <c r="Y447" s="229">
        <v>104</v>
      </c>
    </row>
    <row r="448">
      <c r="A448" s="200"/>
      <c r="B448" s="245" t="s">
        <v>166</v>
      </c>
      <c r="C448" s="202" t="s">
        <v>130</v>
      </c>
      <c r="D448" s="202">
        <f t="shared" si="106"/>
      </c>
      <c r="E448" s="203">
        <v>747.11</v>
      </c>
      <c r="F448" s="203">
        <v>1502.33</v>
      </c>
      <c r="G448" s="203">
        <v>0</v>
      </c>
      <c r="H448" s="204">
        <v>7</v>
      </c>
      <c r="I448" s="203">
        <v>3755.44</v>
      </c>
      <c r="J448" s="206">
        <f t="shared" si="19"/>
      </c>
      <c r="K448" s="206">
        <f t="shared" si="310"/>
      </c>
      <c r="L448" s="206">
        <f t="shared" si="280"/>
      </c>
      <c r="M448" s="207">
        <f t="shared" si="219"/>
      </c>
      <c r="N448" s="208">
        <f t="shared" si="189"/>
      </c>
      <c r="O448" s="209">
        <f t="shared" si="159"/>
      </c>
      <c r="P448" s="208">
        <f t="shared" si="249"/>
      </c>
      <c r="Q448" s="210" t="s">
        <v>114</v>
      </c>
      <c r="R448" s="232" t="s">
        <v>129</v>
      </c>
      <c r="S448" s="229">
        <v>46750</v>
      </c>
      <c r="T448" s="229">
        <v>2158</v>
      </c>
      <c r="U448" s="229">
        <v>246</v>
      </c>
      <c r="V448" s="229">
        <v>4157</v>
      </c>
      <c r="W448" s="229">
        <v>647</v>
      </c>
      <c r="X448" s="229">
        <v>14</v>
      </c>
      <c r="Y448" s="229">
        <v>44</v>
      </c>
    </row>
    <row r="449">
      <c r="A449" s="200"/>
      <c r="B449" s="245" t="s">
        <v>166</v>
      </c>
      <c r="C449" s="202" t="s">
        <v>131</v>
      </c>
      <c r="D449" s="202">
        <f t="shared" si="106"/>
      </c>
      <c r="E449" s="203">
        <v>968.08</v>
      </c>
      <c r="F449" s="203">
        <v>1390.93</v>
      </c>
      <c r="G449" s="203">
        <v>0</v>
      </c>
      <c r="H449" s="204">
        <v>6</v>
      </c>
      <c r="I449" s="203">
        <v>1252.22</v>
      </c>
      <c r="J449" s="206">
        <f t="shared" si="19"/>
      </c>
      <c r="K449" s="206">
        <f t="shared" si="310"/>
      </c>
      <c r="L449" s="206">
        <f t="shared" si="280"/>
      </c>
      <c r="M449" s="207">
        <f t="shared" si="219"/>
      </c>
      <c r="N449" s="208">
        <f t="shared" si="189"/>
      </c>
      <c r="O449" s="209">
        <f t="shared" si="159"/>
      </c>
      <c r="P449" s="208">
        <f t="shared" si="249"/>
      </c>
      <c r="Q449" s="210" t="s">
        <v>114</v>
      </c>
      <c r="R449" s="232" t="s">
        <v>129</v>
      </c>
      <c r="S449" s="229">
        <v>37515</v>
      </c>
      <c r="T449" s="229">
        <v>1818</v>
      </c>
      <c r="U449" s="229">
        <v>200</v>
      </c>
      <c r="V449" s="229">
        <v>3611</v>
      </c>
      <c r="W449" s="229">
        <v>473</v>
      </c>
      <c r="X449" s="229">
        <v>15</v>
      </c>
      <c r="Y449" s="229">
        <v>36</v>
      </c>
    </row>
    <row r="450">
      <c r="A450" s="200"/>
      <c r="B450" s="219" t="s">
        <v>119</v>
      </c>
      <c r="C450" s="219"/>
      <c r="D450" s="220">
        <f>SUM(D446:D449)</f>
      </c>
      <c r="E450" s="220">
        <f>SUM(E446:E449)</f>
      </c>
      <c r="F450" s="220">
        <f>SUM(F446:G449)</f>
      </c>
      <c r="G450" s="220"/>
      <c r="H450" s="221">
        <f>SUM(H446:H449)</f>
      </c>
      <c r="I450" s="220">
        <f>SUM(I446:I449)</f>
      </c>
      <c r="J450" s="253">
        <f t="shared" si="19"/>
      </c>
      <c r="K450" s="223">
        <f t="shared" si="310"/>
      </c>
      <c r="L450" s="254">
        <f t="shared" si="280"/>
      </c>
      <c r="M450" s="225">
        <f t="shared" si="219"/>
      </c>
      <c r="N450" s="225">
        <f t="shared" si="189"/>
      </c>
      <c r="O450" s="226">
        <f t="shared" si="159"/>
      </c>
      <c r="P450" s="225">
        <f t="shared" si="249"/>
      </c>
      <c r="Q450" s="226"/>
      <c r="R450" s="226"/>
      <c r="S450" s="221">
        <f>SUM(S446:S449)</f>
      </c>
      <c r="T450" s="221">
        <f>SUM(T446:T449)</f>
      </c>
      <c r="U450" s="221">
        <f>SUM(U446:U449)</f>
      </c>
      <c r="V450" s="221">
        <f>SUM(V446:V449)</f>
      </c>
      <c r="W450" s="221">
        <f>SUM(W446:W449)</f>
      </c>
      <c r="X450" s="221">
        <f>SUM(X446:X449)</f>
      </c>
      <c r="Y450" s="221">
        <f>SUM(Y446:Y449)</f>
      </c>
    </row>
    <row r="451">
      <c r="A451" s="200"/>
      <c r="B451" s="245" t="s">
        <v>132</v>
      </c>
      <c r="C451" s="202" t="s">
        <v>133</v>
      </c>
      <c r="D451" s="202">
        <f t="shared" ref="D451:D455" si="107">E451+G451+F451</f>
      </c>
      <c r="E451" s="203">
        <v>825.12</v>
      </c>
      <c r="F451" s="203">
        <v>1977.37</v>
      </c>
      <c r="G451" s="203">
        <v>0</v>
      </c>
      <c r="H451" s="204">
        <v>11</v>
      </c>
      <c r="I451" s="203">
        <v>5021.3</v>
      </c>
      <c r="J451" s="206">
        <f t="shared" si="19"/>
      </c>
      <c r="K451" s="206">
        <f t="shared" si="310"/>
      </c>
      <c r="L451" s="206">
        <f t="shared" si="280"/>
      </c>
      <c r="M451" s="207">
        <f t="shared" si="219"/>
      </c>
      <c r="N451" s="208">
        <f t="shared" si="189"/>
      </c>
      <c r="O451" s="209">
        <f t="shared" si="159"/>
      </c>
      <c r="P451" s="208">
        <f t="shared" si="249"/>
      </c>
      <c r="Q451" s="210" t="s">
        <v>114</v>
      </c>
      <c r="R451" s="232" t="s">
        <v>129</v>
      </c>
      <c r="S451" s="229">
        <v>51734</v>
      </c>
      <c r="T451" s="229">
        <v>2029</v>
      </c>
      <c r="U451" s="229">
        <v>286</v>
      </c>
      <c r="V451" s="229">
        <v>3895</v>
      </c>
      <c r="W451" s="229">
        <v>480</v>
      </c>
      <c r="X451" s="229">
        <v>18</v>
      </c>
      <c r="Y451" s="229">
        <v>50</v>
      </c>
    </row>
    <row r="452">
      <c r="A452" s="200"/>
      <c r="B452" s="201" t="s">
        <v>132</v>
      </c>
      <c r="C452" s="202" t="s">
        <v>134</v>
      </c>
      <c r="D452" s="202">
        <f t="shared" si="107"/>
      </c>
      <c r="E452" s="203">
        <v>1906.11</v>
      </c>
      <c r="F452" s="203">
        <v>2565.77</v>
      </c>
      <c r="G452" s="203">
        <v>0</v>
      </c>
      <c r="H452" s="204">
        <v>16</v>
      </c>
      <c r="I452" s="203">
        <v>9253.34</v>
      </c>
      <c r="J452" s="206">
        <f t="shared" si="19"/>
      </c>
      <c r="K452" s="206">
        <f t="shared" si="310"/>
      </c>
      <c r="L452" s="206">
        <f t="shared" si="280"/>
      </c>
      <c r="M452" s="207">
        <f t="shared" si="219"/>
      </c>
      <c r="N452" s="208">
        <f t="shared" si="189"/>
      </c>
      <c r="O452" s="209">
        <f t="shared" si="159"/>
      </c>
      <c r="P452" s="208">
        <f t="shared" si="249"/>
      </c>
      <c r="Q452" s="210" t="s">
        <v>114</v>
      </c>
      <c r="R452" s="232" t="s">
        <v>129</v>
      </c>
      <c r="S452" s="233">
        <v>93268</v>
      </c>
      <c r="T452" s="233">
        <v>3611</v>
      </c>
      <c r="U452" s="233">
        <v>399</v>
      </c>
      <c r="V452" s="233">
        <v>6900</v>
      </c>
      <c r="W452" s="233">
        <v>804</v>
      </c>
      <c r="X452" s="233">
        <v>25</v>
      </c>
      <c r="Y452" s="229">
        <v>66</v>
      </c>
    </row>
    <row r="453">
      <c r="A453" s="200"/>
      <c r="B453" s="201" t="s">
        <v>132</v>
      </c>
      <c r="C453" s="202" t="s">
        <v>135</v>
      </c>
      <c r="D453" s="202">
        <f t="shared" si="107"/>
      </c>
      <c r="E453" s="203">
        <v>1058.6</v>
      </c>
      <c r="F453" s="203">
        <v>3929.03</v>
      </c>
      <c r="G453" s="203">
        <v>0</v>
      </c>
      <c r="H453" s="204">
        <v>29</v>
      </c>
      <c r="I453" s="203">
        <v>17139.76</v>
      </c>
      <c r="J453" s="206">
        <f t="shared" si="19"/>
      </c>
      <c r="K453" s="206">
        <f t="shared" si="310"/>
      </c>
      <c r="L453" s="206">
        <f t="shared" si="280"/>
      </c>
      <c r="M453" s="207">
        <f t="shared" si="219"/>
      </c>
      <c r="N453" s="208">
        <f t="shared" si="189"/>
      </c>
      <c r="O453" s="209">
        <f t="shared" si="159"/>
      </c>
      <c r="P453" s="208">
        <f t="shared" si="249"/>
      </c>
      <c r="Q453" s="210" t="s">
        <v>114</v>
      </c>
      <c r="R453" s="232" t="s">
        <v>129</v>
      </c>
      <c r="S453" s="233">
        <v>91178</v>
      </c>
      <c r="T453" s="233">
        <v>2845</v>
      </c>
      <c r="U453" s="233">
        <v>407</v>
      </c>
      <c r="V453" s="233">
        <v>5088</v>
      </c>
      <c r="W453" s="246">
        <v>624</v>
      </c>
      <c r="X453" s="214">
        <v>65</v>
      </c>
      <c r="Y453" s="248">
        <v>85</v>
      </c>
    </row>
    <row r="454">
      <c r="A454" s="200"/>
      <c r="B454" s="201" t="s">
        <v>132</v>
      </c>
      <c r="C454" s="202" t="s">
        <v>136</v>
      </c>
      <c r="D454" s="202">
        <f t="shared" si="107"/>
      </c>
      <c r="E454" s="203">
        <v>1689.05</v>
      </c>
      <c r="F454" s="203">
        <v>6833.46</v>
      </c>
      <c r="G454" s="203">
        <v>0</v>
      </c>
      <c r="H454" s="204">
        <v>30</v>
      </c>
      <c r="I454" s="203">
        <v>11888.88</v>
      </c>
      <c r="J454" s="206">
        <f t="shared" si="19"/>
      </c>
      <c r="K454" s="206">
        <f t="shared" si="310"/>
      </c>
      <c r="L454" s="206">
        <f t="shared" si="280"/>
      </c>
      <c r="M454" s="207">
        <f t="shared" si="219"/>
      </c>
      <c r="N454" s="208">
        <f t="shared" si="189"/>
      </c>
      <c r="O454" s="209">
        <f t="shared" si="159"/>
      </c>
      <c r="P454" s="208">
        <f t="shared" si="249"/>
      </c>
      <c r="Q454" s="210" t="s">
        <v>114</v>
      </c>
      <c r="R454" s="232" t="s">
        <v>129</v>
      </c>
      <c r="S454" s="233">
        <v>204563</v>
      </c>
      <c r="T454" s="233">
        <v>5818</v>
      </c>
      <c r="U454" s="233">
        <v>697</v>
      </c>
      <c r="V454" s="233">
        <v>10420</v>
      </c>
      <c r="W454" s="246">
        <v>1212</v>
      </c>
      <c r="X454" s="214">
        <v>64</v>
      </c>
      <c r="Y454" s="248">
        <v>117</v>
      </c>
    </row>
    <row r="455">
      <c r="A455" s="200"/>
      <c r="B455" s="201" t="s">
        <v>132</v>
      </c>
      <c r="C455" s="202" t="s">
        <v>137</v>
      </c>
      <c r="D455" s="202">
        <f t="shared" si="107"/>
      </c>
      <c r="E455" s="203">
        <v>801.44</v>
      </c>
      <c r="F455" s="203">
        <v>1868.07</v>
      </c>
      <c r="G455" s="203">
        <v>0</v>
      </c>
      <c r="H455" s="204">
        <v>28</v>
      </c>
      <c r="I455" s="203">
        <v>19268.32</v>
      </c>
      <c r="J455" s="206">
        <f t="shared" si="19"/>
      </c>
      <c r="K455" s="206">
        <f t="shared" si="310"/>
      </c>
      <c r="L455" s="206">
        <f t="shared" si="280"/>
      </c>
      <c r="M455" s="207">
        <f t="shared" si="219"/>
      </c>
      <c r="N455" s="208">
        <f t="shared" si="189"/>
      </c>
      <c r="O455" s="209">
        <f t="shared" si="159"/>
      </c>
      <c r="P455" s="208">
        <f t="shared" si="249"/>
      </c>
      <c r="Q455" s="210" t="s">
        <v>114</v>
      </c>
      <c r="R455" s="232" t="s">
        <v>129</v>
      </c>
      <c r="S455" s="233">
        <v>67916</v>
      </c>
      <c r="T455" s="233">
        <v>1884</v>
      </c>
      <c r="U455" s="233">
        <v>248</v>
      </c>
      <c r="V455" s="233">
        <v>3393</v>
      </c>
      <c r="W455" s="233">
        <v>398</v>
      </c>
      <c r="X455" s="249">
        <v>45</v>
      </c>
      <c r="Y455" s="229">
        <v>56</v>
      </c>
    </row>
    <row r="456">
      <c r="A456" s="200"/>
      <c r="B456" s="219" t="s">
        <v>119</v>
      </c>
      <c r="C456" s="219"/>
      <c r="D456" s="220">
        <f>SUM(D451:D455)</f>
      </c>
      <c r="E456" s="220">
        <f>SUM(E451:E455)</f>
      </c>
      <c r="F456" s="220">
        <f>SUM(F451:G455)</f>
      </c>
      <c r="G456" s="220"/>
      <c r="H456" s="220">
        <f>SUM(H451:H455)</f>
      </c>
      <c r="I456" s="220">
        <f>SUM(I451:I455)</f>
      </c>
      <c r="J456" s="222">
        <f t="shared" si="19"/>
      </c>
      <c r="K456" s="223">
        <f t="shared" si="310"/>
      </c>
      <c r="L456" s="224">
        <f t="shared" si="280"/>
      </c>
      <c r="M456" s="225">
        <f t="shared" si="219"/>
      </c>
      <c r="N456" s="225">
        <f t="shared" si="189"/>
      </c>
      <c r="O456" s="226">
        <f t="shared" si="159"/>
      </c>
      <c r="P456" s="225">
        <f t="shared" si="249"/>
      </c>
      <c r="Q456" s="226"/>
      <c r="R456" s="235"/>
      <c r="S456" s="220">
        <f>SUM(S451:S455)</f>
      </c>
      <c r="T456" s="220">
        <f>SUM(T451:T455)</f>
      </c>
      <c r="U456" s="220">
        <f>SUM(U451:U455)</f>
      </c>
      <c r="V456" s="220">
        <f>SUM(V451:V455)</f>
      </c>
      <c r="W456" s="220">
        <f>SUM(W451:W455)</f>
      </c>
      <c r="X456" s="220">
        <f>SUM(X451:X455)</f>
      </c>
      <c r="Y456" s="220">
        <f>SUM(Y451:Y455)</f>
      </c>
    </row>
    <row r="457">
      <c r="A457" s="200"/>
      <c r="B457" s="236" t="s">
        <v>138</v>
      </c>
      <c r="C457" s="236"/>
      <c r="D457" s="237">
        <f>D456+D450+D445+D440</f>
      </c>
      <c r="E457" s="237">
        <f>E456+E450+E445+E440</f>
      </c>
      <c r="F457" s="237">
        <f>F456+F450+F445+F440</f>
      </c>
      <c r="G457" s="237"/>
      <c r="H457" s="238">
        <f>H456+H450+H445+H440</f>
      </c>
      <c r="I457" s="237">
        <f>I456+I450+I445+I440</f>
      </c>
      <c r="J457" s="239">
        <f t="shared" si="19"/>
      </c>
      <c r="K457" s="239">
        <f t="shared" si="310"/>
      </c>
      <c r="L457" s="239">
        <f t="shared" si="280"/>
      </c>
      <c r="M457" s="240">
        <f t="shared" si="219"/>
      </c>
      <c r="N457" s="240">
        <f t="shared" si="189"/>
      </c>
      <c r="O457" s="239">
        <f t="shared" si="159"/>
      </c>
      <c r="P457" s="240">
        <f t="shared" si="249"/>
      </c>
      <c r="Q457" s="241"/>
      <c r="R457" s="242"/>
      <c r="S457" s="243">
        <f>S456+S450+S445+S440</f>
      </c>
      <c r="T457" s="243">
        <f>T456+T450+T445+T440</f>
      </c>
      <c r="U457" s="243">
        <f>U456+U450+U445+U440</f>
      </c>
      <c r="V457" s="243">
        <f>V456+V450+V445+V440</f>
      </c>
      <c r="W457" s="243">
        <f>W456+W450+W445+W440</f>
      </c>
      <c r="X457" s="244">
        <f>X456+X450+X445+X440</f>
      </c>
      <c r="Y457" s="238">
        <f>Y456+Y450+Y445+Y440</f>
      </c>
    </row>
    <row r="458">
      <c r="A458" s="188" t="s">
        <v>83</v>
      </c>
      <c r="B458" s="188"/>
      <c r="C458" s="188"/>
      <c r="D458" s="189" t="s">
        <v>84</v>
      </c>
      <c r="E458" s="189"/>
      <c r="F458" s="189"/>
      <c r="G458" s="189"/>
      <c r="H458" s="189"/>
      <c r="I458" s="189"/>
      <c r="J458" s="189"/>
      <c r="K458" s="189"/>
      <c r="L458" s="189"/>
      <c r="M458" s="190" t="s">
        <v>85</v>
      </c>
      <c r="N458" s="190"/>
      <c r="O458" s="190"/>
      <c r="P458" s="190"/>
      <c r="Q458" s="190"/>
      <c r="R458" s="190"/>
      <c r="S458" s="191" t="s">
        <v>86</v>
      </c>
      <c r="T458" s="191"/>
      <c r="U458" s="191"/>
      <c r="V458" s="191"/>
      <c r="W458" s="191"/>
      <c r="X458" s="191"/>
      <c r="Y458" s="191"/>
      <c r="Z458" s="250"/>
    </row>
    <row r="459">
      <c r="A459" s="192" t="s">
        <v>87</v>
      </c>
      <c r="B459" s="188" t="s">
        <v>88</v>
      </c>
      <c r="C459" s="188" t="s">
        <v>89</v>
      </c>
      <c r="D459" s="193" t="s">
        <v>90</v>
      </c>
      <c r="E459" s="193" t="s">
        <v>91</v>
      </c>
      <c r="F459" s="189" t="s">
        <v>92</v>
      </c>
      <c r="G459" s="189"/>
      <c r="H459" s="194" t="s">
        <v>93</v>
      </c>
      <c r="I459" s="189" t="s">
        <v>94</v>
      </c>
      <c r="J459" s="195" t="s">
        <v>95</v>
      </c>
      <c r="K459" s="196" t="s">
        <v>96</v>
      </c>
      <c r="L459" s="189" t="s">
        <v>97</v>
      </c>
      <c r="M459" s="190" t="s">
        <v>98</v>
      </c>
      <c r="N459" s="190" t="s">
        <v>99</v>
      </c>
      <c r="O459" s="190" t="s">
        <v>100</v>
      </c>
      <c r="P459" s="190" t="s">
        <v>101</v>
      </c>
      <c r="Q459" s="197" t="s">
        <v>102</v>
      </c>
      <c r="R459" s="197" t="s">
        <v>103</v>
      </c>
      <c r="S459" s="198" t="s">
        <v>104</v>
      </c>
      <c r="T459" s="198" t="s">
        <v>105</v>
      </c>
      <c r="U459" s="199" t="s">
        <v>106</v>
      </c>
      <c r="V459" s="199" t="s">
        <v>107</v>
      </c>
      <c r="W459" s="199" t="s">
        <v>108</v>
      </c>
      <c r="X459" s="199" t="s">
        <v>109</v>
      </c>
      <c r="Y459" s="199" t="s">
        <v>110</v>
      </c>
      <c r="Z459" s="250"/>
    </row>
    <row r="460">
      <c r="A460" s="200" t="s">
        <v>169</v>
      </c>
      <c r="B460" s="201" t="s">
        <v>120</v>
      </c>
      <c r="C460" s="202" t="s">
        <v>113</v>
      </c>
      <c r="D460" s="202">
        <f t="shared" ref="D460:D463" si="108">E460+G460+F460</f>
      </c>
      <c r="E460" s="202">
        <v>1019.06</v>
      </c>
      <c r="F460" s="202">
        <v>2213.69</v>
      </c>
      <c r="G460" s="203">
        <v>0</v>
      </c>
      <c r="H460" s="204">
        <v>11</v>
      </c>
      <c r="I460" s="202">
        <v>3290.88</v>
      </c>
      <c r="J460" s="205">
        <f t="shared" ref="J460:J475" si="20">I460/D460</f>
      </c>
      <c r="K460" s="205">
        <f t="shared" ref="K460:K475" si="311">D460/H460</f>
      </c>
      <c r="L460" s="206">
        <f t="shared" ref="L460:L475" si="281">I460/H460</f>
      </c>
      <c r="M460" s="207">
        <f t="shared" ref="M460:M475" si="220">T460/S460</f>
      </c>
      <c r="N460" s="208">
        <f t="shared" ref="N460:N475" si="190">H460/X460</f>
      </c>
      <c r="O460" s="209">
        <f t="shared" ref="O460:O475" si="160">(Y460*1000)/D460</f>
      </c>
      <c r="P460" s="208">
        <f t="shared" ref="P460:P475" si="250">W460/V460</f>
      </c>
      <c r="Q460" s="210" t="s">
        <v>127</v>
      </c>
      <c r="R460" s="211" t="s">
        <v>141</v>
      </c>
      <c r="S460" s="212">
        <v>65104</v>
      </c>
      <c r="T460" s="212">
        <v>2641</v>
      </c>
      <c r="U460" s="213">
        <v>349</v>
      </c>
      <c r="V460" s="212">
        <v>4473</v>
      </c>
      <c r="W460" s="212">
        <v>666</v>
      </c>
      <c r="X460" s="214">
        <v>33</v>
      </c>
      <c r="Y460" s="214">
        <v>67</v>
      </c>
      <c r="Z460" s="250"/>
    </row>
    <row r="461">
      <c r="A461" s="200"/>
      <c r="B461" s="201" t="s">
        <v>120</v>
      </c>
      <c r="C461" s="202" t="s">
        <v>116</v>
      </c>
      <c r="D461" s="202">
        <f t="shared" si="108"/>
      </c>
      <c r="E461" s="202">
        <v>340.59000000000015</v>
      </c>
      <c r="F461" s="202">
        <v>3687.2399999999993</v>
      </c>
      <c r="G461" s="203">
        <v>0</v>
      </c>
      <c r="H461" s="215">
        <v>12</v>
      </c>
      <c r="I461" s="202">
        <v>3887.3</v>
      </c>
      <c r="J461" s="206">
        <f t="shared" si="20"/>
      </c>
      <c r="K461" s="206">
        <f t="shared" si="311"/>
      </c>
      <c r="L461" s="205">
        <f t="shared" si="281"/>
      </c>
      <c r="M461" s="207">
        <f t="shared" si="220"/>
      </c>
      <c r="N461" s="208">
        <f t="shared" si="190"/>
      </c>
      <c r="O461" s="209">
        <f t="shared" si="160"/>
      </c>
      <c r="P461" s="208">
        <f t="shared" si="250"/>
      </c>
      <c r="Q461" s="210" t="s">
        <v>127</v>
      </c>
      <c r="R461" s="211" t="s">
        <v>141</v>
      </c>
      <c r="S461" s="216">
        <v>91144</v>
      </c>
      <c r="T461" s="216">
        <v>1714</v>
      </c>
      <c r="U461" s="212">
        <v>290</v>
      </c>
      <c r="V461" s="212">
        <v>2581</v>
      </c>
      <c r="W461" s="212">
        <v>432</v>
      </c>
      <c r="X461" s="214">
        <v>19</v>
      </c>
      <c r="Y461" s="217">
        <v>49</v>
      </c>
      <c r="Z461" s="250"/>
    </row>
    <row r="462">
      <c r="A462" s="200"/>
      <c r="B462" s="201" t="s">
        <v>120</v>
      </c>
      <c r="C462" s="202" t="s">
        <v>117</v>
      </c>
      <c r="D462" s="202">
        <f t="shared" si="108"/>
      </c>
      <c r="E462" s="218">
        <v>326.7099999999998</v>
      </c>
      <c r="F462" s="202">
        <v>1793.33</v>
      </c>
      <c r="G462" s="203">
        <v>0</v>
      </c>
      <c r="H462" s="215">
        <v>6</v>
      </c>
      <c r="I462" s="202">
        <v>2639.2800000000007</v>
      </c>
      <c r="J462" s="206">
        <f t="shared" si="20"/>
      </c>
      <c r="K462" s="206">
        <f t="shared" si="311"/>
      </c>
      <c r="L462" s="206">
        <f t="shared" si="281"/>
      </c>
      <c r="M462" s="207">
        <f t="shared" si="220"/>
      </c>
      <c r="N462" s="208">
        <f t="shared" si="190"/>
      </c>
      <c r="O462" s="209">
        <f t="shared" si="160"/>
      </c>
      <c r="P462" s="208">
        <f t="shared" si="250"/>
      </c>
      <c r="Q462" s="210" t="s">
        <v>127</v>
      </c>
      <c r="R462" s="211" t="s">
        <v>141</v>
      </c>
      <c r="S462" s="217">
        <v>44811</v>
      </c>
      <c r="T462" s="217">
        <v>1132</v>
      </c>
      <c r="U462" s="217">
        <v>174</v>
      </c>
      <c r="V462" s="217">
        <v>1786</v>
      </c>
      <c r="W462" s="217">
        <v>303</v>
      </c>
      <c r="X462" s="214">
        <v>12</v>
      </c>
      <c r="Y462" s="217">
        <v>24</v>
      </c>
      <c r="Z462" s="250"/>
    </row>
    <row r="463">
      <c r="A463" s="200"/>
      <c r="B463" s="201" t="s">
        <v>120</v>
      </c>
      <c r="C463" s="202" t="s">
        <v>118</v>
      </c>
      <c r="D463" s="202">
        <f t="shared" si="108"/>
      </c>
      <c r="E463" s="202">
        <v>862.26</v>
      </c>
      <c r="F463" s="202">
        <v>2168.5499999999984</v>
      </c>
      <c r="G463" s="203">
        <v>0</v>
      </c>
      <c r="H463" s="215">
        <v>13</v>
      </c>
      <c r="I463" s="202">
        <v>3167.3999999999996</v>
      </c>
      <c r="J463" s="206">
        <f t="shared" si="20"/>
      </c>
      <c r="K463" s="206">
        <f t="shared" si="311"/>
      </c>
      <c r="L463" s="206">
        <f t="shared" si="281"/>
      </c>
      <c r="M463" s="207">
        <f t="shared" si="220"/>
      </c>
      <c r="N463" s="208">
        <f t="shared" si="190"/>
      </c>
      <c r="O463" s="209">
        <f t="shared" si="160"/>
      </c>
      <c r="P463" s="208">
        <f t="shared" si="250"/>
      </c>
      <c r="Q463" s="210" t="s">
        <v>127</v>
      </c>
      <c r="R463" s="211" t="s">
        <v>141</v>
      </c>
      <c r="S463" s="217">
        <v>54990</v>
      </c>
      <c r="T463" s="217">
        <v>2097</v>
      </c>
      <c r="U463" s="217">
        <v>288</v>
      </c>
      <c r="V463" s="217">
        <v>3662</v>
      </c>
      <c r="W463" s="217">
        <v>565</v>
      </c>
      <c r="X463" s="214">
        <v>20</v>
      </c>
      <c r="Y463" s="214">
        <v>48</v>
      </c>
      <c r="Z463" s="250"/>
    </row>
    <row r="464">
      <c r="A464" s="200"/>
      <c r="B464" s="219" t="s">
        <v>119</v>
      </c>
      <c r="C464" s="219"/>
      <c r="D464" s="220">
        <f>SUM(D460:D463)</f>
      </c>
      <c r="E464" s="220">
        <f>SUM(E460:E463)</f>
      </c>
      <c r="F464" s="220">
        <f>SUM(F460:G463)</f>
      </c>
      <c r="G464" s="220"/>
      <c r="H464" s="221">
        <f>SUM(H460:H463)</f>
      </c>
      <c r="I464" s="220">
        <f>SUM(I460:I463)</f>
      </c>
      <c r="J464" s="253">
        <f t="shared" si="20"/>
      </c>
      <c r="K464" s="223">
        <f t="shared" si="311"/>
      </c>
      <c r="L464" s="254">
        <f t="shared" si="281"/>
      </c>
      <c r="M464" s="225">
        <f t="shared" si="220"/>
      </c>
      <c r="N464" s="225">
        <f t="shared" si="190"/>
      </c>
      <c r="O464" s="226">
        <f t="shared" si="160"/>
      </c>
      <c r="P464" s="225">
        <f t="shared" si="250"/>
      </c>
      <c r="Q464" s="226"/>
      <c r="R464" s="226"/>
      <c r="S464" s="221">
        <f>SUM(S460:S463)</f>
      </c>
      <c r="T464" s="221">
        <f>SUM(T460:T463)</f>
      </c>
      <c r="U464" s="221">
        <f>SUM(U460:U463)</f>
      </c>
      <c r="V464" s="221">
        <f>SUM(V460:V463)</f>
      </c>
      <c r="W464" s="221">
        <f>SUM(W460:W463)</f>
      </c>
      <c r="X464" s="221">
        <f>SUM(X460:X463)</f>
      </c>
      <c r="Y464" s="221">
        <f>SUM(Y460:Y463)</f>
      </c>
      <c r="Z464" s="250"/>
    </row>
    <row r="465">
      <c r="A465" s="200"/>
      <c r="B465" s="227" t="s">
        <v>125</v>
      </c>
      <c r="C465" s="202" t="s">
        <v>121</v>
      </c>
      <c r="D465" s="202">
        <f t="shared" ref="D465:D468" si="109">E465+G465+F465</f>
      </c>
      <c r="E465" s="202">
        <v>849.5300000000002</v>
      </c>
      <c r="F465" s="202">
        <v>2800.58</v>
      </c>
      <c r="G465" s="203">
        <v>0</v>
      </c>
      <c r="H465" s="215">
        <v>15</v>
      </c>
      <c r="I465" s="202">
        <v>5062.32</v>
      </c>
      <c r="J465" s="206">
        <f t="shared" si="20"/>
      </c>
      <c r="K465" s="206">
        <f t="shared" si="311"/>
      </c>
      <c r="L465" s="206">
        <f t="shared" si="281"/>
      </c>
      <c r="M465" s="207">
        <f t="shared" si="220"/>
      </c>
      <c r="N465" s="208">
        <f t="shared" si="190"/>
      </c>
      <c r="O465" s="209">
        <f t="shared" si="160"/>
      </c>
      <c r="P465" s="208">
        <f t="shared" si="250"/>
      </c>
      <c r="Q465" s="210" t="s">
        <v>127</v>
      </c>
      <c r="R465" s="211" t="s">
        <v>141</v>
      </c>
      <c r="S465" s="228">
        <v>89082</v>
      </c>
      <c r="T465" s="228">
        <v>2479</v>
      </c>
      <c r="U465" s="228">
        <v>339</v>
      </c>
      <c r="V465" s="228">
        <v>4539</v>
      </c>
      <c r="W465" s="228">
        <v>747</v>
      </c>
      <c r="X465" s="229">
        <v>28</v>
      </c>
      <c r="Y465" s="229">
        <v>67</v>
      </c>
      <c r="Z465" s="250"/>
    </row>
    <row r="466">
      <c r="A466" s="200"/>
      <c r="B466" s="227" t="s">
        <v>125</v>
      </c>
      <c r="C466" s="202" t="s">
        <v>122</v>
      </c>
      <c r="D466" s="202">
        <f t="shared" si="109"/>
      </c>
      <c r="E466" s="202">
        <v>1325.7499999999995</v>
      </c>
      <c r="F466" s="202">
        <v>1810.0599999999995</v>
      </c>
      <c r="G466" s="203">
        <v>0</v>
      </c>
      <c r="H466" s="215">
        <v>13</v>
      </c>
      <c r="I466" s="202">
        <v>6404.879999999997</v>
      </c>
      <c r="J466" s="206">
        <f t="shared" si="20"/>
      </c>
      <c r="K466" s="206">
        <f t="shared" si="311"/>
      </c>
      <c r="L466" s="206">
        <f t="shared" si="281"/>
      </c>
      <c r="M466" s="207">
        <f t="shared" si="220"/>
      </c>
      <c r="N466" s="208">
        <f t="shared" si="190"/>
      </c>
      <c r="O466" s="209">
        <f t="shared" si="160"/>
      </c>
      <c r="P466" s="208">
        <f t="shared" si="250"/>
      </c>
      <c r="Q466" s="210" t="s">
        <v>127</v>
      </c>
      <c r="R466" s="211" t="s">
        <v>141</v>
      </c>
      <c r="S466" s="228">
        <v>79885</v>
      </c>
      <c r="T466" s="228">
        <v>2817</v>
      </c>
      <c r="U466" s="228">
        <v>290</v>
      </c>
      <c r="V466" s="228">
        <v>5383</v>
      </c>
      <c r="W466" s="228">
        <v>757</v>
      </c>
      <c r="X466" s="229">
        <v>18</v>
      </c>
      <c r="Y466" s="228">
        <v>65</v>
      </c>
    </row>
    <row r="467">
      <c r="A467" s="200"/>
      <c r="B467" s="227" t="s">
        <v>125</v>
      </c>
      <c r="C467" s="202" t="s">
        <v>123</v>
      </c>
      <c r="D467" s="202">
        <f t="shared" si="109"/>
      </c>
      <c r="E467" s="202">
        <v>1400.5500000000002</v>
      </c>
      <c r="F467" s="202">
        <v>1661.2300000000014</v>
      </c>
      <c r="G467" s="203">
        <v>0</v>
      </c>
      <c r="H467" s="215">
        <v>14</v>
      </c>
      <c r="I467" s="202">
        <v>6179.300000000003</v>
      </c>
      <c r="J467" s="206">
        <f t="shared" si="20"/>
      </c>
      <c r="K467" s="206">
        <f t="shared" si="311"/>
      </c>
      <c r="L467" s="206">
        <f t="shared" si="281"/>
      </c>
      <c r="M467" s="207">
        <f t="shared" si="220"/>
      </c>
      <c r="N467" s="208">
        <f t="shared" si="190"/>
      </c>
      <c r="O467" s="209">
        <f t="shared" si="160"/>
      </c>
      <c r="P467" s="208">
        <f t="shared" si="250"/>
      </c>
      <c r="Q467" s="210" t="s">
        <v>127</v>
      </c>
      <c r="R467" s="211" t="s">
        <v>141</v>
      </c>
      <c r="S467" s="228">
        <v>77278</v>
      </c>
      <c r="T467" s="228">
        <v>2848</v>
      </c>
      <c r="U467" s="228">
        <v>283</v>
      </c>
      <c r="V467" s="228">
        <v>5071</v>
      </c>
      <c r="W467" s="228">
        <v>691</v>
      </c>
      <c r="X467" s="229">
        <v>25</v>
      </c>
      <c r="Y467" s="229">
        <v>66</v>
      </c>
    </row>
    <row r="468">
      <c r="A468" s="200"/>
      <c r="B468" s="227" t="s">
        <v>125</v>
      </c>
      <c r="C468" s="203" t="s">
        <v>124</v>
      </c>
      <c r="D468" s="202">
        <f t="shared" si="109"/>
      </c>
      <c r="E468" s="202">
        <v>3142.7799999999997</v>
      </c>
      <c r="F468" s="203">
        <v>422.4499999999989</v>
      </c>
      <c r="G468" s="203">
        <v>0</v>
      </c>
      <c r="H468" s="215">
        <v>18</v>
      </c>
      <c r="I468" s="202">
        <v>6199.32</v>
      </c>
      <c r="J468" s="206">
        <f t="shared" si="20"/>
      </c>
      <c r="K468" s="206">
        <f t="shared" si="311"/>
      </c>
      <c r="L468" s="206">
        <f t="shared" si="281"/>
      </c>
      <c r="M468" s="207">
        <f t="shared" si="220"/>
      </c>
      <c r="N468" s="208">
        <f t="shared" si="190"/>
      </c>
      <c r="O468" s="209">
        <f t="shared" si="160"/>
      </c>
      <c r="P468" s="208">
        <f t="shared" si="250"/>
      </c>
      <c r="Q468" s="210" t="s">
        <v>127</v>
      </c>
      <c r="R468" s="211" t="s">
        <v>141</v>
      </c>
      <c r="S468" s="228">
        <v>71376</v>
      </c>
      <c r="T468" s="228">
        <v>5315</v>
      </c>
      <c r="U468" s="228">
        <v>374</v>
      </c>
      <c r="V468" s="228">
        <v>11011</v>
      </c>
      <c r="W468" s="228">
        <v>1365</v>
      </c>
      <c r="X468" s="229">
        <v>36</v>
      </c>
      <c r="Y468" s="229">
        <v>78</v>
      </c>
    </row>
    <row r="469">
      <c r="A469" s="200"/>
      <c r="B469" s="219" t="s">
        <v>119</v>
      </c>
      <c r="C469" s="219"/>
      <c r="D469" s="220">
        <f>SUM(D465:D468)</f>
      </c>
      <c r="E469" s="220">
        <f>SUM(E465:E468)</f>
      </c>
      <c r="F469" s="220">
        <f>SUM(F465:G468)</f>
      </c>
      <c r="G469" s="220"/>
      <c r="H469" s="220">
        <f>SUM(H465:H468)</f>
      </c>
      <c r="I469" s="220">
        <f>SUM(I465:I468)</f>
      </c>
      <c r="J469" s="222">
        <f t="shared" si="20"/>
      </c>
      <c r="K469" s="223">
        <f t="shared" si="311"/>
      </c>
      <c r="L469" s="224">
        <f t="shared" si="281"/>
      </c>
      <c r="M469" s="225">
        <f t="shared" si="220"/>
      </c>
      <c r="N469" s="225">
        <f t="shared" si="190"/>
      </c>
      <c r="O469" s="226">
        <f t="shared" si="160"/>
      </c>
      <c r="P469" s="225">
        <f t="shared" si="250"/>
      </c>
      <c r="Q469" s="226"/>
      <c r="R469" s="226"/>
      <c r="S469" s="220">
        <f>SUM(S465:S468)</f>
      </c>
      <c r="T469" s="220">
        <f>SUM(T465:T468)</f>
      </c>
      <c r="U469" s="220">
        <f>SUM(U465:U468)</f>
      </c>
      <c r="V469" s="220">
        <f>SUM(V465:V468)</f>
      </c>
      <c r="W469" s="220">
        <f>SUM(W465:W468)</f>
      </c>
      <c r="X469" s="220">
        <f>SUM(X465:X468)</f>
      </c>
      <c r="Y469" s="220">
        <f>SUM(Y465:Y468)</f>
      </c>
    </row>
    <row r="470">
      <c r="A470" s="200"/>
      <c r="B470" s="245" t="s">
        <v>132</v>
      </c>
      <c r="C470" s="203" t="s">
        <v>126</v>
      </c>
      <c r="D470" s="202">
        <f t="shared" ref="D470:D473" si="110">E470+G470+F470</f>
      </c>
      <c r="E470" s="203">
        <v>4813.39</v>
      </c>
      <c r="F470" s="203">
        <v>3214.46</v>
      </c>
      <c r="G470" s="203">
        <v>0</v>
      </c>
      <c r="H470" s="204">
        <v>26</v>
      </c>
      <c r="I470" s="203">
        <v>10879.77</v>
      </c>
      <c r="J470" s="206">
        <f t="shared" si="20"/>
      </c>
      <c r="K470" s="206">
        <f t="shared" si="311"/>
      </c>
      <c r="L470" s="206">
        <f t="shared" si="281"/>
      </c>
      <c r="M470" s="207">
        <f t="shared" si="220"/>
      </c>
      <c r="N470" s="208">
        <f t="shared" si="190"/>
      </c>
      <c r="O470" s="209">
        <f t="shared" si="160"/>
      </c>
      <c r="P470" s="208">
        <f t="shared" si="250"/>
      </c>
      <c r="Q470" s="210" t="s">
        <v>114</v>
      </c>
      <c r="R470" s="211" t="s">
        <v>141</v>
      </c>
      <c r="S470" s="229">
        <v>189984</v>
      </c>
      <c r="T470" s="229">
        <v>9429</v>
      </c>
      <c r="U470" s="229">
        <v>602</v>
      </c>
      <c r="V470" s="229">
        <v>19348</v>
      </c>
      <c r="W470" s="229">
        <v>2503</v>
      </c>
      <c r="X470" s="229">
        <v>43</v>
      </c>
      <c r="Y470" s="229">
        <v>131</v>
      </c>
    </row>
    <row r="471">
      <c r="A471" s="200"/>
      <c r="B471" s="245" t="s">
        <v>132</v>
      </c>
      <c r="C471" s="202" t="s">
        <v>128</v>
      </c>
      <c r="D471" s="202">
        <f t="shared" si="110"/>
      </c>
      <c r="E471" s="203">
        <v>4808.36</v>
      </c>
      <c r="F471" s="203">
        <v>2646.06</v>
      </c>
      <c r="G471" s="203">
        <v>0</v>
      </c>
      <c r="H471" s="204">
        <v>35</v>
      </c>
      <c r="I471" s="203">
        <v>18843.26</v>
      </c>
      <c r="J471" s="206">
        <f t="shared" si="20"/>
      </c>
      <c r="K471" s="206">
        <f t="shared" si="311"/>
      </c>
      <c r="L471" s="206">
        <f t="shared" si="281"/>
      </c>
      <c r="M471" s="207">
        <f t="shared" si="220"/>
      </c>
      <c r="N471" s="208">
        <f t="shared" si="190"/>
      </c>
      <c r="O471" s="209">
        <f t="shared" si="160"/>
      </c>
      <c r="P471" s="208">
        <f t="shared" si="250"/>
      </c>
      <c r="Q471" s="210" t="s">
        <v>114</v>
      </c>
      <c r="R471" s="232" t="s">
        <v>129</v>
      </c>
      <c r="S471" s="257">
        <v>187227</v>
      </c>
      <c r="T471" s="257">
        <v>10114</v>
      </c>
      <c r="U471" s="257">
        <v>630</v>
      </c>
      <c r="V471" s="257">
        <v>21495</v>
      </c>
      <c r="W471" s="257">
        <v>2999</v>
      </c>
      <c r="X471" s="229">
        <v>59</v>
      </c>
      <c r="Y471" s="229">
        <v>116</v>
      </c>
    </row>
    <row r="472">
      <c r="A472" s="200"/>
      <c r="B472" s="245" t="s">
        <v>132</v>
      </c>
      <c r="C472" s="202" t="s">
        <v>130</v>
      </c>
      <c r="D472" s="202">
        <f t="shared" si="110"/>
      </c>
      <c r="E472" s="203">
        <v>3497.09</v>
      </c>
      <c r="F472" s="203">
        <v>3765.29</v>
      </c>
      <c r="G472" s="203">
        <v>0</v>
      </c>
      <c r="H472" s="204">
        <v>23</v>
      </c>
      <c r="I472" s="203">
        <v>15443.64</v>
      </c>
      <c r="J472" s="206">
        <f t="shared" si="20"/>
      </c>
      <c r="K472" s="206">
        <f t="shared" si="311"/>
      </c>
      <c r="L472" s="206">
        <f t="shared" si="281"/>
      </c>
      <c r="M472" s="207">
        <f t="shared" si="220"/>
      </c>
      <c r="N472" s="208">
        <f t="shared" si="190"/>
      </c>
      <c r="O472" s="209">
        <f t="shared" si="160"/>
      </c>
      <c r="P472" s="208">
        <f t="shared" si="250"/>
      </c>
      <c r="Q472" s="210" t="s">
        <v>114</v>
      </c>
      <c r="R472" s="232" t="s">
        <v>129</v>
      </c>
      <c r="S472" s="229">
        <v>203932</v>
      </c>
      <c r="T472" s="229">
        <v>8036</v>
      </c>
      <c r="U472" s="229">
        <v>557</v>
      </c>
      <c r="V472" s="229">
        <v>16221</v>
      </c>
      <c r="W472" s="229">
        <v>2248</v>
      </c>
      <c r="X472" s="229">
        <v>39</v>
      </c>
      <c r="Y472" s="229">
        <v>120</v>
      </c>
    </row>
    <row r="473">
      <c r="A473" s="200"/>
      <c r="B473" s="245" t="s">
        <v>132</v>
      </c>
      <c r="C473" s="202" t="s">
        <v>131</v>
      </c>
      <c r="D473" s="202">
        <f t="shared" si="110"/>
      </c>
      <c r="E473" s="203">
        <f>5144.03+81.6</f>
      </c>
      <c r="F473" s="203">
        <v>1601.04</v>
      </c>
      <c r="G473" s="203">
        <v>0</v>
      </c>
      <c r="H473" s="204">
        <v>34</v>
      </c>
      <c r="I473" s="203">
        <v>23178.97</v>
      </c>
      <c r="J473" s="206">
        <f t="shared" si="20"/>
      </c>
      <c r="K473" s="206">
        <f t="shared" si="311"/>
      </c>
      <c r="L473" s="206">
        <f t="shared" si="281"/>
      </c>
      <c r="M473" s="207">
        <f t="shared" si="220"/>
      </c>
      <c r="N473" s="208">
        <f t="shared" si="190"/>
      </c>
      <c r="O473" s="209">
        <f t="shared" si="160"/>
      </c>
      <c r="P473" s="208">
        <f t="shared" si="250"/>
      </c>
      <c r="Q473" s="210" t="s">
        <v>114</v>
      </c>
      <c r="R473" s="232" t="s">
        <v>129</v>
      </c>
      <c r="S473" s="229">
        <v>190632</v>
      </c>
      <c r="T473" s="229">
        <v>10902</v>
      </c>
      <c r="U473" s="229">
        <v>605</v>
      </c>
      <c r="V473" s="229">
        <v>22019</v>
      </c>
      <c r="W473" s="229">
        <v>2822</v>
      </c>
      <c r="X473" s="229">
        <v>58</v>
      </c>
      <c r="Y473" s="229">
        <v>122</v>
      </c>
    </row>
    <row r="474">
      <c r="A474" s="200"/>
      <c r="B474" s="219" t="s">
        <v>119</v>
      </c>
      <c r="C474" s="219"/>
      <c r="D474" s="220">
        <f>SUM(D470:D473)</f>
      </c>
      <c r="E474" s="220">
        <f>SUM(E470:E473)</f>
      </c>
      <c r="F474" s="220">
        <f>SUM(F470:G473)</f>
      </c>
      <c r="G474" s="220"/>
      <c r="H474" s="221">
        <f>SUM(H470:H473)</f>
      </c>
      <c r="I474" s="220">
        <f>SUM(I470:I473)</f>
      </c>
      <c r="J474" s="253">
        <f t="shared" si="20"/>
      </c>
      <c r="K474" s="223">
        <f t="shared" si="311"/>
      </c>
      <c r="L474" s="254">
        <f t="shared" si="281"/>
      </c>
      <c r="M474" s="225">
        <f t="shared" si="220"/>
      </c>
      <c r="N474" s="225">
        <f t="shared" si="190"/>
      </c>
      <c r="O474" s="226">
        <f t="shared" si="160"/>
      </c>
      <c r="P474" s="225">
        <f t="shared" si="250"/>
      </c>
      <c r="Q474" s="226"/>
      <c r="R474" s="226"/>
      <c r="S474" s="221">
        <f>SUM(S470:S473)</f>
      </c>
      <c r="T474" s="221">
        <f>SUM(T470:T473)</f>
      </c>
      <c r="U474" s="221">
        <f>SUM(U470:U473)</f>
      </c>
      <c r="V474" s="221">
        <f>SUM(V470:V473)</f>
      </c>
      <c r="W474" s="221">
        <f>SUM(W470:W473)</f>
      </c>
      <c r="X474" s="221">
        <f>SUM(X470:X473)</f>
      </c>
      <c r="Y474" s="221">
        <f>SUM(Y470:Y473)</f>
      </c>
    </row>
    <row r="475">
      <c r="A475" s="200"/>
      <c r="B475" s="236" t="s">
        <v>138</v>
      </c>
      <c r="C475" s="236"/>
      <c r="D475" s="237">
        <f>D474+D469+D464</f>
      </c>
      <c r="E475" s="237">
        <f>E474+E469+E464</f>
      </c>
      <c r="F475" s="237">
        <f>F474+F469+F464</f>
      </c>
      <c r="G475" s="237"/>
      <c r="H475" s="238">
        <f>H474+H469+H464</f>
      </c>
      <c r="I475" s="237">
        <f>I474+I469+I464</f>
      </c>
      <c r="J475" s="239">
        <f t="shared" si="20"/>
      </c>
      <c r="K475" s="239">
        <f t="shared" si="311"/>
      </c>
      <c r="L475" s="239">
        <f t="shared" si="281"/>
      </c>
      <c r="M475" s="240">
        <f t="shared" si="220"/>
      </c>
      <c r="N475" s="240">
        <f t="shared" si="190"/>
      </c>
      <c r="O475" s="239">
        <f t="shared" si="160"/>
      </c>
      <c r="P475" s="240">
        <f t="shared" si="250"/>
      </c>
      <c r="Q475" s="241"/>
      <c r="R475" s="242"/>
      <c r="S475" s="243">
        <f>S474+S469+S464</f>
      </c>
      <c r="T475" s="243">
        <f>T474+T469+T464</f>
      </c>
      <c r="U475" s="243">
        <f>U474+U469+U464</f>
      </c>
      <c r="V475" s="243">
        <f>V474+V469+V464</f>
      </c>
      <c r="W475" s="243">
        <f>W474+W469+W464</f>
      </c>
      <c r="X475" s="244">
        <f>X474+X469+X464</f>
      </c>
      <c r="Y475" s="238">
        <f>Y474+Y469+Y464</f>
      </c>
    </row>
    <row r="476">
      <c r="A476" s="188" t="s">
        <v>83</v>
      </c>
      <c r="B476" s="188"/>
      <c r="C476" s="188"/>
      <c r="D476" s="189" t="s">
        <v>84</v>
      </c>
      <c r="E476" s="189"/>
      <c r="F476" s="189"/>
      <c r="G476" s="189"/>
      <c r="H476" s="189"/>
      <c r="I476" s="189"/>
      <c r="J476" s="189"/>
      <c r="K476" s="189"/>
      <c r="L476" s="189"/>
      <c r="M476" s="190" t="s">
        <v>85</v>
      </c>
      <c r="N476" s="190"/>
      <c r="O476" s="190"/>
      <c r="P476" s="190"/>
      <c r="Q476" s="190"/>
      <c r="R476" s="190"/>
      <c r="S476" s="191" t="s">
        <v>86</v>
      </c>
      <c r="T476" s="191"/>
      <c r="U476" s="191"/>
      <c r="V476" s="191"/>
      <c r="W476" s="191"/>
      <c r="X476" s="191"/>
      <c r="Y476" s="191"/>
      <c r="Z476" s="250"/>
    </row>
    <row r="477">
      <c r="A477" s="192" t="s">
        <v>87</v>
      </c>
      <c r="B477" s="188" t="s">
        <v>88</v>
      </c>
      <c r="C477" s="188" t="s">
        <v>89</v>
      </c>
      <c r="D477" s="193" t="s">
        <v>90</v>
      </c>
      <c r="E477" s="193" t="s">
        <v>91</v>
      </c>
      <c r="F477" s="189" t="s">
        <v>92</v>
      </c>
      <c r="G477" s="189"/>
      <c r="H477" s="194" t="s">
        <v>93</v>
      </c>
      <c r="I477" s="189" t="s">
        <v>94</v>
      </c>
      <c r="J477" s="195" t="s">
        <v>95</v>
      </c>
      <c r="K477" s="196" t="s">
        <v>96</v>
      </c>
      <c r="L477" s="189" t="s">
        <v>97</v>
      </c>
      <c r="M477" s="190" t="s">
        <v>98</v>
      </c>
      <c r="N477" s="190" t="s">
        <v>99</v>
      </c>
      <c r="O477" s="190" t="s">
        <v>100</v>
      </c>
      <c r="P477" s="190" t="s">
        <v>101</v>
      </c>
      <c r="Q477" s="197" t="s">
        <v>102</v>
      </c>
      <c r="R477" s="197" t="s">
        <v>103</v>
      </c>
      <c r="S477" s="198" t="s">
        <v>104</v>
      </c>
      <c r="T477" s="198" t="s">
        <v>105</v>
      </c>
      <c r="U477" s="199" t="s">
        <v>106</v>
      </c>
      <c r="V477" s="199" t="s">
        <v>107</v>
      </c>
      <c r="W477" s="199" t="s">
        <v>108</v>
      </c>
      <c r="X477" s="199" t="s">
        <v>109</v>
      </c>
      <c r="Y477" s="199" t="s">
        <v>110</v>
      </c>
      <c r="Z477" s="250"/>
    </row>
    <row r="478">
      <c r="A478" s="200" t="s">
        <v>170</v>
      </c>
      <c r="B478" s="201" t="s">
        <v>125</v>
      </c>
      <c r="C478" s="202" t="s">
        <v>113</v>
      </c>
      <c r="D478" s="202">
        <f t="shared" ref="D478:D481" si="111">E478+G478+F478</f>
      </c>
      <c r="E478" s="202">
        <v>868.5100000000001</v>
      </c>
      <c r="F478" s="202">
        <v>3141.0999999999995</v>
      </c>
      <c r="G478" s="203">
        <v>0</v>
      </c>
      <c r="H478" s="204">
        <v>11</v>
      </c>
      <c r="I478" s="202">
        <v>2828.16</v>
      </c>
      <c r="J478" s="205">
        <f t="shared" ref="J478:J495" si="21">I478/D478</f>
      </c>
      <c r="K478" s="205">
        <f t="shared" ref="K478:K495" si="312">D478/H478</f>
      </c>
      <c r="L478" s="206">
        <f t="shared" ref="L478:L495" si="282">I478/H478</f>
      </c>
      <c r="M478" s="207">
        <f t="shared" ref="M478:M495" si="221">T478/S478</f>
      </c>
      <c r="N478" s="208">
        <f t="shared" ref="N478:N495" si="191">H478/X478</f>
      </c>
      <c r="O478" s="209">
        <f t="shared" ref="O478:O495" si="161">(Y478*1000)/D478</f>
      </c>
      <c r="P478" s="208">
        <f t="shared" ref="P478:P495" si="251">W478/V478</f>
      </c>
      <c r="Q478" s="210" t="s">
        <v>127</v>
      </c>
      <c r="R478" s="211" t="s">
        <v>141</v>
      </c>
      <c r="S478" s="212">
        <v>82225</v>
      </c>
      <c r="T478" s="212">
        <v>4050</v>
      </c>
      <c r="U478" s="213">
        <v>303</v>
      </c>
      <c r="V478" s="212">
        <v>5225</v>
      </c>
      <c r="W478" s="212">
        <v>579</v>
      </c>
      <c r="X478" s="214">
        <v>16</v>
      </c>
      <c r="Y478" s="214">
        <v>58</v>
      </c>
      <c r="Z478" s="250"/>
    </row>
    <row r="479">
      <c r="A479" s="200"/>
      <c r="B479" s="201" t="s">
        <v>125</v>
      </c>
      <c r="C479" s="202" t="s">
        <v>116</v>
      </c>
      <c r="D479" s="202">
        <f t="shared" si="111"/>
      </c>
      <c r="E479" s="202">
        <v>994.9299999999997</v>
      </c>
      <c r="F479" s="202">
        <v>1162.5100000000002</v>
      </c>
      <c r="G479" s="203">
        <v>0</v>
      </c>
      <c r="H479" s="215">
        <v>9</v>
      </c>
      <c r="I479" s="202">
        <v>7728.4</v>
      </c>
      <c r="J479" s="206">
        <f t="shared" si="21"/>
      </c>
      <c r="K479" s="206">
        <f t="shared" si="312"/>
      </c>
      <c r="L479" s="205">
        <f t="shared" si="282"/>
      </c>
      <c r="M479" s="207">
        <f t="shared" si="221"/>
      </c>
      <c r="N479" s="208">
        <f t="shared" si="191"/>
      </c>
      <c r="O479" s="209">
        <f t="shared" si="161"/>
      </c>
      <c r="P479" s="208">
        <f t="shared" si="251"/>
      </c>
      <c r="Q479" s="210" t="s">
        <v>127</v>
      </c>
      <c r="R479" s="211" t="s">
        <v>141</v>
      </c>
      <c r="S479" s="216">
        <v>36759</v>
      </c>
      <c r="T479" s="216">
        <v>1972</v>
      </c>
      <c r="U479" s="212">
        <v>249</v>
      </c>
      <c r="V479" s="212">
        <v>3244</v>
      </c>
      <c r="W479" s="212">
        <v>563</v>
      </c>
      <c r="X479" s="214">
        <v>27</v>
      </c>
      <c r="Y479" s="217">
        <v>45</v>
      </c>
      <c r="Z479" s="250"/>
    </row>
    <row r="480">
      <c r="A480" s="200"/>
      <c r="B480" s="201" t="s">
        <v>125</v>
      </c>
      <c r="C480" s="202" t="s">
        <v>117</v>
      </c>
      <c r="D480" s="202">
        <f t="shared" si="111"/>
      </c>
      <c r="E480" s="218">
        <v>2488.1400000000003</v>
      </c>
      <c r="F480" s="202">
        <v>1657.21</v>
      </c>
      <c r="G480" s="203">
        <v>0</v>
      </c>
      <c r="H480" s="215">
        <v>12</v>
      </c>
      <c r="I480" s="202">
        <v>6539.160000000002</v>
      </c>
      <c r="J480" s="206">
        <f t="shared" si="21"/>
      </c>
      <c r="K480" s="206">
        <f t="shared" si="312"/>
      </c>
      <c r="L480" s="206">
        <f t="shared" si="282"/>
      </c>
      <c r="M480" s="207">
        <f t="shared" si="221"/>
      </c>
      <c r="N480" s="208">
        <f t="shared" si="191"/>
      </c>
      <c r="O480" s="209">
        <f t="shared" si="161"/>
      </c>
      <c r="P480" s="208">
        <f t="shared" si="251"/>
      </c>
      <c r="Q480" s="210" t="s">
        <v>127</v>
      </c>
      <c r="R480" s="211" t="s">
        <v>141</v>
      </c>
      <c r="S480" s="217">
        <v>62253</v>
      </c>
      <c r="T480" s="217">
        <v>3850</v>
      </c>
      <c r="U480" s="217">
        <v>408</v>
      </c>
      <c r="V480" s="217">
        <v>7020</v>
      </c>
      <c r="W480" s="217">
        <v>1107</v>
      </c>
      <c r="X480" s="214">
        <v>20</v>
      </c>
      <c r="Y480" s="217">
        <v>82</v>
      </c>
      <c r="Z480" s="250"/>
    </row>
    <row r="481">
      <c r="A481" s="200"/>
      <c r="B481" s="201" t="s">
        <v>125</v>
      </c>
      <c r="C481" s="202" t="s">
        <v>118</v>
      </c>
      <c r="D481" s="202">
        <f t="shared" si="111"/>
      </c>
      <c r="E481" s="202">
        <v>2488.51</v>
      </c>
      <c r="F481" s="202">
        <v>611.159999999998</v>
      </c>
      <c r="G481" s="203">
        <v>0</v>
      </c>
      <c r="H481" s="215">
        <v>19</v>
      </c>
      <c r="I481" s="202">
        <v>9914.519999999997</v>
      </c>
      <c r="J481" s="206">
        <f t="shared" si="21"/>
      </c>
      <c r="K481" s="206">
        <f t="shared" si="312"/>
      </c>
      <c r="L481" s="206">
        <f t="shared" si="282"/>
      </c>
      <c r="M481" s="207">
        <f t="shared" si="221"/>
      </c>
      <c r="N481" s="208">
        <f t="shared" si="191"/>
      </c>
      <c r="O481" s="209">
        <f t="shared" si="161"/>
      </c>
      <c r="P481" s="208">
        <f t="shared" si="251"/>
      </c>
      <c r="Q481" s="210" t="s">
        <v>127</v>
      </c>
      <c r="R481" s="211" t="s">
        <v>141</v>
      </c>
      <c r="S481" s="217">
        <v>50760</v>
      </c>
      <c r="T481" s="217">
        <v>3383</v>
      </c>
      <c r="U481" s="217">
        <v>307</v>
      </c>
      <c r="V481" s="217">
        <v>6349</v>
      </c>
      <c r="W481" s="217">
        <v>1129</v>
      </c>
      <c r="X481" s="214">
        <v>29</v>
      </c>
      <c r="Y481" s="214">
        <v>71</v>
      </c>
      <c r="Z481" s="250"/>
    </row>
    <row r="482">
      <c r="A482" s="200"/>
      <c r="B482" s="219" t="s">
        <v>119</v>
      </c>
      <c r="C482" s="219"/>
      <c r="D482" s="220">
        <f>SUM(D478:D481)</f>
      </c>
      <c r="E482" s="220">
        <f>SUM(E478:E481)</f>
      </c>
      <c r="F482" s="220">
        <f>SUM(F478:G481)</f>
      </c>
      <c r="G482" s="220"/>
      <c r="H482" s="221">
        <f>SUM(H478:H481)</f>
      </c>
      <c r="I482" s="220">
        <f>SUM(I478:I481)</f>
      </c>
      <c r="J482" s="253">
        <f t="shared" si="21"/>
      </c>
      <c r="K482" s="223">
        <f t="shared" si="312"/>
      </c>
      <c r="L482" s="254">
        <f t="shared" si="282"/>
      </c>
      <c r="M482" s="225">
        <f t="shared" si="221"/>
      </c>
      <c r="N482" s="225">
        <f t="shared" si="191"/>
      </c>
      <c r="O482" s="226">
        <f t="shared" si="161"/>
      </c>
      <c r="P482" s="225">
        <f t="shared" si="251"/>
      </c>
      <c r="Q482" s="226"/>
      <c r="R482" s="226"/>
      <c r="S482" s="221">
        <f>SUM(S478:S481)</f>
      </c>
      <c r="T482" s="221">
        <f>SUM(T478:T481)</f>
      </c>
      <c r="U482" s="221">
        <f>SUM(U478:U481)</f>
      </c>
      <c r="V482" s="221">
        <f>SUM(V478:V481)</f>
      </c>
      <c r="W482" s="221">
        <f>SUM(W478:W481)</f>
      </c>
      <c r="X482" s="221">
        <f>SUM(X478:X481)</f>
      </c>
      <c r="Y482" s="221">
        <f>SUM(Y478:Y481)</f>
      </c>
      <c r="Z482" s="250"/>
    </row>
    <row r="483">
      <c r="A483" s="200"/>
      <c r="B483" s="245" t="s">
        <v>120</v>
      </c>
      <c r="C483" s="202" t="s">
        <v>121</v>
      </c>
      <c r="D483" s="202">
        <f t="shared" ref="D483:D487" si="112">E483+G483+F483</f>
      </c>
      <c r="E483" s="202">
        <v>2313.2800000000007</v>
      </c>
      <c r="F483" s="202">
        <v>818.9000000000005</v>
      </c>
      <c r="G483" s="203">
        <v>0</v>
      </c>
      <c r="H483" s="215">
        <v>11</v>
      </c>
      <c r="I483" s="202">
        <v>8756.160000000003</v>
      </c>
      <c r="J483" s="206">
        <f t="shared" si="21"/>
      </c>
      <c r="K483" s="206">
        <f t="shared" si="312"/>
      </c>
      <c r="L483" s="206">
        <f t="shared" si="282"/>
      </c>
      <c r="M483" s="207">
        <f t="shared" si="221"/>
      </c>
      <c r="N483" s="208">
        <f t="shared" si="191"/>
      </c>
      <c r="O483" s="209">
        <f t="shared" si="161"/>
      </c>
      <c r="P483" s="208">
        <f t="shared" si="251"/>
      </c>
      <c r="Q483" s="210" t="s">
        <v>127</v>
      </c>
      <c r="R483" s="211" t="s">
        <v>141</v>
      </c>
      <c r="S483" s="228">
        <v>51228</v>
      </c>
      <c r="T483" s="228">
        <v>3449</v>
      </c>
      <c r="U483" s="228">
        <v>286</v>
      </c>
      <c r="V483" s="228">
        <v>6297</v>
      </c>
      <c r="W483" s="228">
        <v>948</v>
      </c>
      <c r="X483" s="229">
        <v>24</v>
      </c>
      <c r="Y483" s="229">
        <v>70</v>
      </c>
      <c r="Z483" s="250"/>
    </row>
    <row r="484">
      <c r="A484" s="200"/>
      <c r="B484" s="227" t="s">
        <v>120</v>
      </c>
      <c r="C484" s="202" t="s">
        <v>122</v>
      </c>
      <c r="D484" s="202">
        <f t="shared" si="112"/>
      </c>
      <c r="E484" s="202">
        <v>1857.539999999999</v>
      </c>
      <c r="F484" s="202">
        <v>1134.3500000000013</v>
      </c>
      <c r="G484" s="203">
        <v>0</v>
      </c>
      <c r="H484" s="215">
        <v>8</v>
      </c>
      <c r="I484" s="202">
        <v>2183.040000000001</v>
      </c>
      <c r="J484" s="206">
        <f t="shared" si="21"/>
      </c>
      <c r="K484" s="206">
        <f t="shared" si="312"/>
      </c>
      <c r="L484" s="206">
        <f t="shared" si="282"/>
      </c>
      <c r="M484" s="207">
        <f t="shared" si="221"/>
      </c>
      <c r="N484" s="208">
        <f t="shared" si="191"/>
      </c>
      <c r="O484" s="209">
        <f t="shared" si="161"/>
      </c>
      <c r="P484" s="208">
        <f t="shared" si="251"/>
      </c>
      <c r="Q484" s="210" t="s">
        <v>127</v>
      </c>
      <c r="R484" s="211" t="s">
        <v>141</v>
      </c>
      <c r="S484" s="228">
        <v>45757</v>
      </c>
      <c r="T484" s="228">
        <v>3148</v>
      </c>
      <c r="U484" s="228">
        <v>294</v>
      </c>
      <c r="V484" s="228">
        <v>5260</v>
      </c>
      <c r="W484" s="228">
        <v>707</v>
      </c>
      <c r="X484" s="229">
        <v>14</v>
      </c>
      <c r="Y484" s="228">
        <v>58</v>
      </c>
    </row>
    <row r="485">
      <c r="A485" s="200"/>
      <c r="B485" s="227" t="s">
        <v>120</v>
      </c>
      <c r="C485" s="202" t="s">
        <v>123</v>
      </c>
      <c r="D485" s="202">
        <f t="shared" si="112"/>
      </c>
      <c r="E485" s="202">
        <v>1134.1599999999999</v>
      </c>
      <c r="F485" s="202">
        <v>2013.170000000002</v>
      </c>
      <c r="G485" s="203">
        <v>0</v>
      </c>
      <c r="H485" s="215">
        <v>16</v>
      </c>
      <c r="I485" s="202">
        <v>6513.040000000001</v>
      </c>
      <c r="J485" s="206">
        <f t="shared" si="21"/>
      </c>
      <c r="K485" s="206">
        <f t="shared" si="312"/>
      </c>
      <c r="L485" s="206">
        <f t="shared" si="282"/>
      </c>
      <c r="M485" s="207">
        <f t="shared" si="221"/>
      </c>
      <c r="N485" s="208">
        <f t="shared" si="191"/>
      </c>
      <c r="O485" s="209">
        <f t="shared" si="161"/>
      </c>
      <c r="P485" s="208">
        <f t="shared" si="251"/>
      </c>
      <c r="Q485" s="210" t="s">
        <v>127</v>
      </c>
      <c r="R485" s="211" t="s">
        <v>141</v>
      </c>
      <c r="S485" s="228">
        <v>52319</v>
      </c>
      <c r="T485" s="228">
        <v>2520</v>
      </c>
      <c r="U485" s="228">
        <v>279</v>
      </c>
      <c r="V485" s="228">
        <v>4137</v>
      </c>
      <c r="W485" s="228">
        <v>558</v>
      </c>
      <c r="X485" s="229">
        <v>25</v>
      </c>
      <c r="Y485" s="229">
        <v>50</v>
      </c>
    </row>
    <row customHeight="true" ht="16.666666666666668" r="486">
      <c r="A486" s="200"/>
      <c r="B486" s="227" t="s">
        <v>120</v>
      </c>
      <c r="C486" s="202" t="s">
        <v>124</v>
      </c>
      <c r="D486" s="202">
        <f t="shared" si="112"/>
      </c>
      <c r="E486" s="202">
        <v>1135.7200000000012</v>
      </c>
      <c r="F486" s="202">
        <v>3564.0700000000015</v>
      </c>
      <c r="G486" s="203">
        <v>0</v>
      </c>
      <c r="H486" s="215">
        <v>6</v>
      </c>
      <c r="I486" s="202">
        <v>1270.5800000000017</v>
      </c>
      <c r="J486" s="206">
        <f t="shared" si="21"/>
      </c>
      <c r="K486" s="206">
        <f t="shared" si="312"/>
      </c>
      <c r="L486" s="206">
        <f t="shared" si="282"/>
      </c>
      <c r="M486" s="207">
        <f t="shared" si="221"/>
      </c>
      <c r="N486" s="208">
        <f t="shared" si="191"/>
      </c>
      <c r="O486" s="209">
        <f t="shared" si="161"/>
      </c>
      <c r="P486" s="208">
        <f t="shared" si="251"/>
      </c>
      <c r="Q486" s="210" t="s">
        <v>127</v>
      </c>
      <c r="R486" s="211" t="s">
        <v>141</v>
      </c>
      <c r="S486" s="228">
        <v>89806</v>
      </c>
      <c r="T486" s="228">
        <v>2852</v>
      </c>
      <c r="U486" s="228">
        <v>433</v>
      </c>
      <c r="V486" s="228">
        <v>4703</v>
      </c>
      <c r="W486" s="228">
        <v>706</v>
      </c>
      <c r="X486" s="229">
        <v>22</v>
      </c>
      <c r="Y486" s="229">
        <v>60</v>
      </c>
    </row>
    <row r="487">
      <c r="A487" s="200"/>
      <c r="B487" s="227" t="s">
        <v>120</v>
      </c>
      <c r="C487" s="203" t="s">
        <v>126</v>
      </c>
      <c r="D487" s="202">
        <f t="shared" si="112"/>
      </c>
      <c r="E487" s="203">
        <v>988.84</v>
      </c>
      <c r="F487" s="203">
        <v>3061.18</v>
      </c>
      <c r="G487" s="203">
        <v>0</v>
      </c>
      <c r="H487" s="204">
        <v>16</v>
      </c>
      <c r="I487" s="203">
        <v>4347.72</v>
      </c>
      <c r="J487" s="206">
        <f t="shared" si="21"/>
      </c>
      <c r="K487" s="206">
        <f t="shared" si="312"/>
      </c>
      <c r="L487" s="206">
        <f t="shared" si="282"/>
      </c>
      <c r="M487" s="207">
        <f t="shared" si="221"/>
      </c>
      <c r="N487" s="208">
        <f t="shared" si="191"/>
      </c>
      <c r="O487" s="209">
        <f t="shared" si="161"/>
      </c>
      <c r="P487" s="208">
        <f t="shared" si="251"/>
      </c>
      <c r="Q487" s="210" t="s">
        <v>127</v>
      </c>
      <c r="R487" s="211" t="s">
        <v>141</v>
      </c>
      <c r="S487" s="228">
        <v>84158</v>
      </c>
      <c r="T487" s="228">
        <v>2646</v>
      </c>
      <c r="U487" s="228">
        <v>360</v>
      </c>
      <c r="V487" s="228">
        <v>4104</v>
      </c>
      <c r="W487" s="228">
        <v>619</v>
      </c>
      <c r="X487" s="229">
        <v>33</v>
      </c>
      <c r="Y487" s="229">
        <v>45</v>
      </c>
    </row>
    <row r="488">
      <c r="A488" s="200"/>
      <c r="B488" s="219" t="s">
        <v>119</v>
      </c>
      <c r="C488" s="219"/>
      <c r="D488" s="220">
        <f>SUM(D483:D487)</f>
      </c>
      <c r="E488" s="220">
        <f>SUM(E483:E487)</f>
      </c>
      <c r="F488" s="220">
        <f>SUM(F483:G487)</f>
      </c>
      <c r="G488" s="220"/>
      <c r="H488" s="220">
        <f>SUM(H483:H487)</f>
      </c>
      <c r="I488" s="220">
        <f>SUM(I483:I487)</f>
      </c>
      <c r="J488" s="222">
        <f t="shared" si="21"/>
      </c>
      <c r="K488" s="223">
        <f t="shared" si="312"/>
      </c>
      <c r="L488" s="224">
        <f t="shared" si="282"/>
      </c>
      <c r="M488" s="225">
        <f t="shared" si="221"/>
      </c>
      <c r="N488" s="225">
        <f t="shared" si="191"/>
      </c>
      <c r="O488" s="226">
        <f t="shared" si="161"/>
      </c>
      <c r="P488" s="225">
        <f t="shared" si="251"/>
      </c>
      <c r="Q488" s="226"/>
      <c r="R488" s="226"/>
      <c r="S488" s="220">
        <f>SUM(S483:S487)</f>
      </c>
      <c r="T488" s="220">
        <f>SUM(T483:T487)</f>
      </c>
      <c r="U488" s="220">
        <f>SUM(U483:U487)</f>
      </c>
      <c r="V488" s="220">
        <f>SUM(V483:V487)</f>
      </c>
      <c r="W488" s="220">
        <f>SUM(W483:W487)</f>
      </c>
      <c r="X488" s="220">
        <f>SUM(X483:X487)</f>
      </c>
      <c r="Y488" s="220">
        <f>SUM(Y483:Y487)</f>
      </c>
    </row>
    <row r="489">
      <c r="A489" s="200"/>
      <c r="B489" s="245" t="s">
        <v>166</v>
      </c>
      <c r="C489" s="202" t="s">
        <v>128</v>
      </c>
      <c r="D489" s="202">
        <f>E489+G489+F489</f>
      </c>
      <c r="E489" s="203">
        <v>1032.07</v>
      </c>
      <c r="F489" s="203">
        <v>3664.68</v>
      </c>
      <c r="G489" s="203">
        <v>0</v>
      </c>
      <c r="H489" s="204">
        <v>12</v>
      </c>
      <c r="I489" s="203">
        <v>4718</v>
      </c>
      <c r="J489" s="206">
        <f t="shared" si="21"/>
      </c>
      <c r="K489" s="206">
        <f t="shared" si="312"/>
      </c>
      <c r="L489" s="206">
        <f t="shared" si="282"/>
      </c>
      <c r="M489" s="207">
        <f t="shared" si="221"/>
      </c>
      <c r="N489" s="208">
        <f t="shared" si="191"/>
      </c>
      <c r="O489" s="209">
        <f t="shared" si="161"/>
      </c>
      <c r="P489" s="208">
        <f t="shared" si="251"/>
      </c>
      <c r="Q489" s="210" t="s">
        <v>114</v>
      </c>
      <c r="R489" s="232" t="s">
        <v>129</v>
      </c>
      <c r="S489" s="257">
        <v>99043</v>
      </c>
      <c r="T489" s="257">
        <v>3092</v>
      </c>
      <c r="U489" s="257">
        <v>332</v>
      </c>
      <c r="V489" s="257">
        <v>4971</v>
      </c>
      <c r="W489" s="257">
        <v>748</v>
      </c>
      <c r="X489" s="229">
        <v>28</v>
      </c>
      <c r="Y489" s="229">
        <v>40</v>
      </c>
    </row>
    <row r="490">
      <c r="A490" s="200"/>
      <c r="B490" s="219" t="s">
        <v>119</v>
      </c>
      <c r="C490" s="219"/>
      <c r="D490" s="220">
        <f>SUM(D489)</f>
      </c>
      <c r="E490" s="220">
        <f>SUM(E489)</f>
      </c>
      <c r="F490" s="220">
        <f>SUM(F489:G489)</f>
      </c>
      <c r="G490" s="220"/>
      <c r="H490" s="221">
        <f>SUM(H489)</f>
      </c>
      <c r="I490" s="220">
        <f>SUM(I489)</f>
      </c>
      <c r="J490" s="253">
        <f t="shared" si="21"/>
      </c>
      <c r="K490" s="223">
        <f t="shared" si="312"/>
      </c>
      <c r="L490" s="254">
        <f t="shared" si="282"/>
      </c>
      <c r="M490" s="225">
        <f t="shared" si="221"/>
      </c>
      <c r="N490" s="225">
        <f t="shared" si="191"/>
      </c>
      <c r="O490" s="226">
        <f t="shared" si="161"/>
      </c>
      <c r="P490" s="225">
        <f t="shared" si="251"/>
      </c>
      <c r="Q490" s="226"/>
      <c r="R490" s="226"/>
      <c r="S490" s="221">
        <f>SUM(S489)</f>
      </c>
      <c r="T490" s="221">
        <f>SUM(T489)</f>
      </c>
      <c r="U490" s="221">
        <f>SUM(U489)</f>
      </c>
      <c r="V490" s="221">
        <f>SUM(V489)</f>
      </c>
      <c r="W490" s="221">
        <f>SUM(W489)</f>
      </c>
      <c r="X490" s="221">
        <f>SUM(X489)</f>
      </c>
      <c r="Y490" s="221">
        <f>SUM(Y489)</f>
      </c>
    </row>
    <row r="491">
      <c r="A491" s="200"/>
      <c r="B491" s="201" t="s">
        <v>132</v>
      </c>
      <c r="C491" s="202" t="s">
        <v>134</v>
      </c>
      <c r="D491" s="202">
        <f t="shared" ref="D491:D493" si="113">E491+G491+F491</f>
      </c>
      <c r="E491" s="203">
        <v>1469.55</v>
      </c>
      <c r="F491" s="203">
        <v>2692.74</v>
      </c>
      <c r="G491" s="203">
        <v>0</v>
      </c>
      <c r="H491" s="204">
        <v>22</v>
      </c>
      <c r="I491" s="203">
        <v>10165.96</v>
      </c>
      <c r="J491" s="206">
        <f t="shared" si="21"/>
      </c>
      <c r="K491" s="206">
        <f t="shared" si="312"/>
      </c>
      <c r="L491" s="206">
        <f t="shared" si="282"/>
      </c>
      <c r="M491" s="207">
        <f t="shared" si="221"/>
      </c>
      <c r="N491" s="208">
        <f t="shared" si="191"/>
      </c>
      <c r="O491" s="209">
        <f t="shared" si="161"/>
      </c>
      <c r="P491" s="208">
        <f t="shared" si="251"/>
      </c>
      <c r="Q491" s="210" t="s">
        <v>114</v>
      </c>
      <c r="R491" s="232" t="s">
        <v>129</v>
      </c>
      <c r="S491" s="233">
        <v>85085</v>
      </c>
      <c r="T491" s="233">
        <v>3105</v>
      </c>
      <c r="U491" s="233">
        <v>318</v>
      </c>
      <c r="V491" s="233">
        <v>4667</v>
      </c>
      <c r="W491" s="233">
        <v>579</v>
      </c>
      <c r="X491" s="233">
        <v>31</v>
      </c>
      <c r="Y491" s="229">
        <v>63</v>
      </c>
    </row>
    <row r="492">
      <c r="A492" s="200"/>
      <c r="B492" s="201" t="s">
        <v>132</v>
      </c>
      <c r="C492" s="202" t="s">
        <v>135</v>
      </c>
      <c r="D492" s="202">
        <f t="shared" si="113"/>
      </c>
      <c r="E492" s="203">
        <v>2866.37</v>
      </c>
      <c r="F492" s="203">
        <v>3182.44</v>
      </c>
      <c r="G492" s="203">
        <v>0</v>
      </c>
      <c r="H492" s="204">
        <v>27</v>
      </c>
      <c r="I492" s="203">
        <v>12028.39</v>
      </c>
      <c r="J492" s="206">
        <f t="shared" si="21"/>
      </c>
      <c r="K492" s="206">
        <f t="shared" si="312"/>
      </c>
      <c r="L492" s="206">
        <f t="shared" si="282"/>
      </c>
      <c r="M492" s="207">
        <f t="shared" si="221"/>
      </c>
      <c r="N492" s="208">
        <f t="shared" si="191"/>
      </c>
      <c r="O492" s="209">
        <f t="shared" si="161"/>
      </c>
      <c r="P492" s="208">
        <f t="shared" si="251"/>
      </c>
      <c r="Q492" s="210" t="s">
        <v>114</v>
      </c>
      <c r="R492" s="232" t="s">
        <v>129</v>
      </c>
      <c r="S492" s="233">
        <v>127113</v>
      </c>
      <c r="T492" s="233">
        <v>5429</v>
      </c>
      <c r="U492" s="233">
        <v>462</v>
      </c>
      <c r="V492" s="233">
        <v>9100</v>
      </c>
      <c r="W492" s="246">
        <v>988</v>
      </c>
      <c r="X492" s="214">
        <v>44</v>
      </c>
      <c r="Y492" s="248">
        <v>100</v>
      </c>
    </row>
    <row r="493">
      <c r="A493" s="200"/>
      <c r="B493" s="201" t="s">
        <v>132</v>
      </c>
      <c r="C493" s="203" t="s">
        <v>171</v>
      </c>
      <c r="D493" s="202">
        <f t="shared" si="113"/>
      </c>
      <c r="E493" s="203">
        <f>2519.43+5.2</f>
      </c>
      <c r="F493" s="203">
        <v>2724.91</v>
      </c>
      <c r="G493" s="203">
        <v>0</v>
      </c>
      <c r="H493" s="204">
        <v>19</v>
      </c>
      <c r="I493" s="203">
        <v>11332.8</v>
      </c>
      <c r="J493" s="206">
        <f t="shared" si="21"/>
      </c>
      <c r="K493" s="206">
        <f t="shared" si="312"/>
      </c>
      <c r="L493" s="206">
        <f t="shared" si="282"/>
      </c>
      <c r="M493" s="207">
        <f t="shared" si="221"/>
      </c>
      <c r="N493" s="208">
        <f t="shared" si="191"/>
      </c>
      <c r="O493" s="209">
        <f t="shared" si="161"/>
      </c>
      <c r="P493" s="208">
        <f t="shared" si="251"/>
      </c>
      <c r="Q493" s="210" t="s">
        <v>114</v>
      </c>
      <c r="R493" s="232" t="s">
        <v>129</v>
      </c>
      <c r="S493" s="233">
        <v>130758</v>
      </c>
      <c r="T493" s="233">
        <v>5977</v>
      </c>
      <c r="U493" s="233">
        <v>363</v>
      </c>
      <c r="V493" s="233">
        <v>9734</v>
      </c>
      <c r="W493" s="246">
        <v>1038</v>
      </c>
      <c r="X493" s="214">
        <v>37</v>
      </c>
      <c r="Y493" s="248">
        <v>60</v>
      </c>
    </row>
    <row r="494">
      <c r="A494" s="200"/>
      <c r="B494" s="219" t="s">
        <v>119</v>
      </c>
      <c r="C494" s="219"/>
      <c r="D494" s="220">
        <f>SUM(D491:D493)</f>
      </c>
      <c r="E494" s="220">
        <f>SUM(E491:E493)</f>
      </c>
      <c r="F494" s="220">
        <f>SUM(F491:G493)</f>
      </c>
      <c r="G494" s="220"/>
      <c r="H494" s="220">
        <f>SUM(H491:H493)</f>
      </c>
      <c r="I494" s="220">
        <f>SUM(I491:I493)</f>
      </c>
      <c r="J494" s="222">
        <f t="shared" si="21"/>
      </c>
      <c r="K494" s="223">
        <f t="shared" si="312"/>
      </c>
      <c r="L494" s="224">
        <f t="shared" si="282"/>
      </c>
      <c r="M494" s="225">
        <f t="shared" si="221"/>
      </c>
      <c r="N494" s="225">
        <f t="shared" si="191"/>
      </c>
      <c r="O494" s="226">
        <f t="shared" si="161"/>
      </c>
      <c r="P494" s="225">
        <f t="shared" si="251"/>
      </c>
      <c r="Q494" s="226"/>
      <c r="R494" s="235"/>
      <c r="S494" s="220">
        <f>SUM(S491:S493)</f>
      </c>
      <c r="T494" s="220">
        <f>SUM(T491:T493)</f>
      </c>
      <c r="U494" s="220">
        <f>SUM(U491:U493)</f>
      </c>
      <c r="V494" s="220">
        <f>SUM(V491:V493)</f>
      </c>
      <c r="W494" s="220">
        <f>SUM(W491:W493)</f>
      </c>
      <c r="X494" s="220">
        <f>SUM(X491:X493)</f>
      </c>
      <c r="Y494" s="220">
        <f>SUM(Y491:Y493)</f>
      </c>
    </row>
    <row r="495">
      <c r="A495" s="200"/>
      <c r="B495" s="236" t="s">
        <v>138</v>
      </c>
      <c r="C495" s="236"/>
      <c r="D495" s="237">
        <f>D494+D490+D488+D482</f>
      </c>
      <c r="E495" s="237">
        <f>E494+E490+E488+E482</f>
      </c>
      <c r="F495" s="237">
        <f>F494+F490+F488+F482</f>
      </c>
      <c r="G495" s="237"/>
      <c r="H495" s="238">
        <f>H494+H490+H488+H482</f>
      </c>
      <c r="I495" s="237">
        <f>I494+I490+I488+I482</f>
      </c>
      <c r="J495" s="239">
        <f t="shared" si="21"/>
      </c>
      <c r="K495" s="239">
        <f t="shared" si="312"/>
      </c>
      <c r="L495" s="239">
        <f t="shared" si="282"/>
      </c>
      <c r="M495" s="240">
        <f t="shared" si="221"/>
      </c>
      <c r="N495" s="240">
        <f t="shared" si="191"/>
      </c>
      <c r="O495" s="239">
        <f t="shared" si="161"/>
      </c>
      <c r="P495" s="240">
        <f t="shared" si="251"/>
      </c>
      <c r="Q495" s="241"/>
      <c r="R495" s="242"/>
      <c r="S495" s="243">
        <f>S494+S490+S488+S482</f>
      </c>
      <c r="T495" s="243">
        <f>T494+T490+T488+T482</f>
      </c>
      <c r="U495" s="243">
        <f>U494+U490+U488+U482</f>
      </c>
      <c r="V495" s="243">
        <f>V494+V490+V488+V482</f>
      </c>
      <c r="W495" s="243">
        <f>W494+W490+W488+W482</f>
      </c>
      <c r="X495" s="244">
        <f>X494+X490+X488+X482</f>
      </c>
      <c r="Y495" s="238">
        <f>Y494+Y490+Y488+Y482</f>
      </c>
    </row>
    <row r="496">
      <c r="A496" s="188" t="s">
        <v>83</v>
      </c>
      <c r="B496" s="188"/>
      <c r="C496" s="188"/>
      <c r="D496" s="189" t="s">
        <v>84</v>
      </c>
      <c r="E496" s="189"/>
      <c r="F496" s="189"/>
      <c r="G496" s="189"/>
      <c r="H496" s="189"/>
      <c r="I496" s="189"/>
      <c r="J496" s="189"/>
      <c r="K496" s="189"/>
      <c r="L496" s="189"/>
      <c r="M496" s="190" t="s">
        <v>85</v>
      </c>
      <c r="N496" s="190"/>
      <c r="O496" s="190"/>
      <c r="P496" s="190"/>
      <c r="Q496" s="190"/>
      <c r="R496" s="190"/>
      <c r="S496" s="191" t="s">
        <v>86</v>
      </c>
      <c r="T496" s="191"/>
      <c r="U496" s="191"/>
      <c r="V496" s="191"/>
      <c r="W496" s="191"/>
      <c r="X496" s="191"/>
      <c r="Y496" s="191"/>
      <c r="Z496" s="250"/>
    </row>
    <row r="497">
      <c r="A497" s="188" t="s">
        <v>87</v>
      </c>
      <c r="B497" s="188" t="s">
        <v>88</v>
      </c>
      <c r="C497" s="188" t="s">
        <v>89</v>
      </c>
      <c r="D497" s="193" t="s">
        <v>90</v>
      </c>
      <c r="E497" s="193" t="s">
        <v>91</v>
      </c>
      <c r="F497" s="189" t="s">
        <v>92</v>
      </c>
      <c r="G497" s="189"/>
      <c r="H497" s="194" t="s">
        <v>93</v>
      </c>
      <c r="I497" s="189" t="s">
        <v>94</v>
      </c>
      <c r="J497" s="195" t="s">
        <v>95</v>
      </c>
      <c r="K497" s="196" t="s">
        <v>96</v>
      </c>
      <c r="L497" s="189" t="s">
        <v>97</v>
      </c>
      <c r="M497" s="190" t="s">
        <v>98</v>
      </c>
      <c r="N497" s="190" t="s">
        <v>99</v>
      </c>
      <c r="O497" s="190" t="s">
        <v>100</v>
      </c>
      <c r="P497" s="190" t="s">
        <v>101</v>
      </c>
      <c r="Q497" s="197" t="s">
        <v>102</v>
      </c>
      <c r="R497" s="197" t="s">
        <v>103</v>
      </c>
      <c r="S497" s="198" t="s">
        <v>104</v>
      </c>
      <c r="T497" s="198" t="s">
        <v>105</v>
      </c>
      <c r="U497" s="199" t="s">
        <v>106</v>
      </c>
      <c r="V497" s="199" t="s">
        <v>107</v>
      </c>
      <c r="W497" s="199" t="s">
        <v>108</v>
      </c>
      <c r="X497" s="199" t="s">
        <v>109</v>
      </c>
      <c r="Y497" s="199" t="s">
        <v>110</v>
      </c>
      <c r="Z497" s="250"/>
    </row>
    <row r="498">
      <c r="A498" s="200" t="s">
        <v>172</v>
      </c>
      <c r="B498" s="201" t="s">
        <v>120</v>
      </c>
      <c r="C498" s="202" t="s">
        <v>113</v>
      </c>
      <c r="D498" s="202">
        <f t="shared" ref="D498:D501" si="114">E498+G498+F498</f>
      </c>
      <c r="E498" s="202">
        <v>1215.93</v>
      </c>
      <c r="F498" s="202">
        <v>2114.23</v>
      </c>
      <c r="G498" s="202">
        <v>0</v>
      </c>
      <c r="H498" s="204">
        <v>18</v>
      </c>
      <c r="I498" s="202">
        <v>10553.38</v>
      </c>
      <c r="J498" s="205">
        <f t="shared" ref="J498:J519" si="22">I498/D498</f>
      </c>
      <c r="K498" s="205">
        <f t="shared" ref="K498:K519" si="313">D498/H498</f>
      </c>
      <c r="L498" s="206">
        <f t="shared" ref="L498:L519" si="283">I498/H498</f>
      </c>
      <c r="M498" s="207">
        <f t="shared" ref="M498:M519" si="222">T498/S498</f>
      </c>
      <c r="N498" s="208">
        <f t="shared" ref="N498:N519" si="192">H498/X498</f>
      </c>
      <c r="O498" s="209">
        <f t="shared" ref="O498:O519" si="162">(Y498*1000)/D498</f>
      </c>
      <c r="P498" s="208">
        <f t="shared" ref="P498:P519" si="252">W498/V498</f>
      </c>
      <c r="Q498" s="210" t="s">
        <v>127</v>
      </c>
      <c r="R498" s="251" t="s">
        <v>141</v>
      </c>
      <c r="S498" s="212">
        <v>67566</v>
      </c>
      <c r="T498" s="212">
        <v>3409</v>
      </c>
      <c r="U498" s="213">
        <v>313</v>
      </c>
      <c r="V498" s="212">
        <v>5277</v>
      </c>
      <c r="W498" s="212">
        <v>844</v>
      </c>
      <c r="X498" s="214">
        <v>30</v>
      </c>
      <c r="Y498" s="214">
        <v>58</v>
      </c>
      <c r="Z498" s="250"/>
    </row>
    <row r="499">
      <c r="A499" s="258"/>
      <c r="B499" s="201" t="s">
        <v>120</v>
      </c>
      <c r="C499" s="202" t="s">
        <v>116</v>
      </c>
      <c r="D499" s="202">
        <f t="shared" si="114"/>
      </c>
      <c r="E499" s="218">
        <v>840.8500000000001</v>
      </c>
      <c r="F499" s="202">
        <v>3488.22</v>
      </c>
      <c r="G499" s="202">
        <v>0</v>
      </c>
      <c r="H499" s="215">
        <v>17</v>
      </c>
      <c r="I499" s="202">
        <v>11449.359999999999</v>
      </c>
      <c r="J499" s="206">
        <f t="shared" si="22"/>
      </c>
      <c r="K499" s="206">
        <f t="shared" si="313"/>
      </c>
      <c r="L499" s="205">
        <f t="shared" si="283"/>
      </c>
      <c r="M499" s="207">
        <f t="shared" si="222"/>
      </c>
      <c r="N499" s="208">
        <f t="shared" si="192"/>
      </c>
      <c r="O499" s="209">
        <f t="shared" si="162"/>
      </c>
      <c r="P499" s="208">
        <f t="shared" si="252"/>
      </c>
      <c r="Q499" s="210" t="s">
        <v>127</v>
      </c>
      <c r="R499" s="251" t="s">
        <v>141</v>
      </c>
      <c r="S499" s="216">
        <v>72647</v>
      </c>
      <c r="T499" s="216">
        <v>2266</v>
      </c>
      <c r="U499" s="212">
        <v>283</v>
      </c>
      <c r="V499" s="212">
        <v>3347</v>
      </c>
      <c r="W499" s="212">
        <v>507</v>
      </c>
      <c r="X499" s="217">
        <v>35</v>
      </c>
      <c r="Y499" s="217">
        <v>50</v>
      </c>
      <c r="Z499" s="250"/>
    </row>
    <row r="500">
      <c r="A500" s="258"/>
      <c r="B500" s="201" t="s">
        <v>120</v>
      </c>
      <c r="C500" s="202" t="s">
        <v>117</v>
      </c>
      <c r="D500" s="202">
        <f t="shared" si="114"/>
      </c>
      <c r="E500" s="218">
        <v>1417.02</v>
      </c>
      <c r="F500" s="202">
        <v>1959.2800000000007</v>
      </c>
      <c r="G500" s="202">
        <v>0</v>
      </c>
      <c r="H500" s="215">
        <v>15</v>
      </c>
      <c r="I500" s="202">
        <v>5418.740000000002</v>
      </c>
      <c r="J500" s="205">
        <f t="shared" si="22"/>
      </c>
      <c r="K500" s="205">
        <f t="shared" si="313"/>
      </c>
      <c r="L500" s="205">
        <f t="shared" si="283"/>
      </c>
      <c r="M500" s="259">
        <f t="shared" si="222"/>
      </c>
      <c r="N500" s="260">
        <f t="shared" si="192"/>
      </c>
      <c r="O500" s="261">
        <f t="shared" si="162"/>
      </c>
      <c r="P500" s="208">
        <f t="shared" si="252"/>
      </c>
      <c r="Q500" s="262" t="s">
        <v>127</v>
      </c>
      <c r="R500" s="251" t="s">
        <v>141</v>
      </c>
      <c r="S500" s="217">
        <v>63912</v>
      </c>
      <c r="T500" s="217">
        <v>2958</v>
      </c>
      <c r="U500" s="263">
        <v>352</v>
      </c>
      <c r="V500" s="217">
        <v>5469</v>
      </c>
      <c r="W500" s="217">
        <v>944</v>
      </c>
      <c r="X500" s="217">
        <v>26</v>
      </c>
      <c r="Y500" s="217">
        <v>74</v>
      </c>
      <c r="Z500" s="250"/>
    </row>
    <row r="501">
      <c r="A501" s="258"/>
      <c r="B501" s="201" t="s">
        <v>120</v>
      </c>
      <c r="C501" s="202" t="s">
        <v>118</v>
      </c>
      <c r="D501" s="202">
        <f t="shared" si="114"/>
      </c>
      <c r="E501" s="202">
        <v>1663.4700000000003</v>
      </c>
      <c r="F501" s="202">
        <v>1630.750000000001</v>
      </c>
      <c r="G501" s="202">
        <v>0</v>
      </c>
      <c r="H501" s="215">
        <v>12</v>
      </c>
      <c r="I501" s="202">
        <v>8084.880000000001</v>
      </c>
      <c r="J501" s="205">
        <f t="shared" si="22"/>
      </c>
      <c r="K501" s="206">
        <f t="shared" si="313"/>
      </c>
      <c r="L501" s="206">
        <f t="shared" si="283"/>
      </c>
      <c r="M501" s="207">
        <f t="shared" si="222"/>
      </c>
      <c r="N501" s="208">
        <f t="shared" si="192"/>
      </c>
      <c r="O501" s="209">
        <f t="shared" si="162"/>
      </c>
      <c r="P501" s="208">
        <f t="shared" si="252"/>
      </c>
      <c r="Q501" s="210" t="s">
        <v>127</v>
      </c>
      <c r="R501" s="251" t="s">
        <v>141</v>
      </c>
      <c r="S501" s="217">
        <v>55292</v>
      </c>
      <c r="T501" s="217">
        <v>2717</v>
      </c>
      <c r="U501" s="217">
        <v>276</v>
      </c>
      <c r="V501" s="217">
        <v>4643</v>
      </c>
      <c r="W501" s="217">
        <v>724</v>
      </c>
      <c r="X501" s="217">
        <v>23</v>
      </c>
      <c r="Y501" s="217">
        <v>48</v>
      </c>
      <c r="Z501" s="250"/>
    </row>
    <row r="502">
      <c r="A502" s="258"/>
      <c r="B502" s="219" t="s">
        <v>119</v>
      </c>
      <c r="C502" s="219"/>
      <c r="D502" s="220">
        <f>SUM(D498:D501)</f>
      </c>
      <c r="E502" s="220">
        <f>SUM(E498:E501)</f>
      </c>
      <c r="F502" s="220">
        <f>SUM(F498:G501)</f>
      </c>
      <c r="G502" s="220"/>
      <c r="H502" s="221">
        <f>SUM(H498:H501)</f>
      </c>
      <c r="I502" s="220">
        <f>SUM(I498:I501)</f>
      </c>
      <c r="J502" s="253">
        <f t="shared" si="22"/>
      </c>
      <c r="K502" s="264">
        <f t="shared" si="313"/>
      </c>
      <c r="L502" s="254">
        <f t="shared" si="283"/>
      </c>
      <c r="M502" s="265">
        <f t="shared" si="222"/>
      </c>
      <c r="N502" s="225">
        <f t="shared" si="192"/>
      </c>
      <c r="O502" s="266">
        <f t="shared" si="162"/>
      </c>
      <c r="P502" s="225">
        <f t="shared" si="252"/>
      </c>
      <c r="Q502" s="226"/>
      <c r="R502" s="226"/>
      <c r="S502" s="221">
        <f>SUM(S498:S501)</f>
      </c>
      <c r="T502" s="221">
        <f>SUM(T498:T501)</f>
      </c>
      <c r="U502" s="221">
        <f>SUM(U498:U501)</f>
      </c>
      <c r="V502" s="221">
        <f>SUM(V498:V501)</f>
      </c>
      <c r="W502" s="221">
        <f>SUM(W498:W501)</f>
      </c>
      <c r="X502" s="221">
        <f>SUM(X498:X501)</f>
      </c>
      <c r="Y502" s="221">
        <f>SUM(Y498:Y501)</f>
      </c>
      <c r="Z502" s="250"/>
    </row>
    <row r="503">
      <c r="A503" s="258"/>
      <c r="B503" s="201" t="s">
        <v>132</v>
      </c>
      <c r="C503" s="202" t="s">
        <v>121</v>
      </c>
      <c r="D503" s="202">
        <f t="shared" ref="D503:D507" si="115">E503+G503+F503</f>
      </c>
      <c r="E503" s="202">
        <v>1968.7799999999997</v>
      </c>
      <c r="F503" s="202">
        <v>1216.3999999999996</v>
      </c>
      <c r="G503" s="218">
        <v>0</v>
      </c>
      <c r="H503" s="215">
        <v>11</v>
      </c>
      <c r="I503" s="202">
        <v>3739.439999999995</v>
      </c>
      <c r="J503" s="206">
        <f t="shared" si="22"/>
      </c>
      <c r="K503" s="206">
        <f t="shared" si="313"/>
      </c>
      <c r="L503" s="206">
        <f t="shared" si="283"/>
      </c>
      <c r="M503" s="207">
        <f t="shared" si="222"/>
      </c>
      <c r="N503" s="208">
        <f t="shared" si="192"/>
      </c>
      <c r="O503" s="209">
        <f t="shared" si="162"/>
      </c>
      <c r="P503" s="208">
        <f t="shared" si="252"/>
      </c>
      <c r="Q503" s="210" t="s">
        <v>127</v>
      </c>
      <c r="R503" s="251" t="s">
        <v>141</v>
      </c>
      <c r="S503" s="228">
        <v>50770</v>
      </c>
      <c r="T503" s="228">
        <v>3034</v>
      </c>
      <c r="U503" s="228">
        <v>300</v>
      </c>
      <c r="V503" s="228">
        <v>5957</v>
      </c>
      <c r="W503" s="228">
        <v>990</v>
      </c>
      <c r="X503" s="228">
        <v>19</v>
      </c>
      <c r="Y503" s="228">
        <v>55</v>
      </c>
      <c r="Z503" s="250"/>
    </row>
    <row r="504">
      <c r="A504" s="258"/>
      <c r="B504" s="227" t="s">
        <v>132</v>
      </c>
      <c r="C504" s="202" t="s">
        <v>122</v>
      </c>
      <c r="D504" s="202">
        <f t="shared" si="115"/>
      </c>
      <c r="E504" s="218">
        <v>1776.71</v>
      </c>
      <c r="F504" s="202">
        <v>4084.959999999999</v>
      </c>
      <c r="G504" s="202">
        <v>0</v>
      </c>
      <c r="H504" s="215">
        <v>30</v>
      </c>
      <c r="I504" s="202">
        <v>16427.420000000006</v>
      </c>
      <c r="J504" s="206">
        <f t="shared" si="22"/>
      </c>
      <c r="K504" s="206">
        <f t="shared" si="313"/>
      </c>
      <c r="L504" s="206">
        <f t="shared" si="283"/>
      </c>
      <c r="M504" s="207">
        <f t="shared" si="222"/>
      </c>
      <c r="N504" s="208">
        <f t="shared" si="192"/>
      </c>
      <c r="O504" s="209">
        <f t="shared" si="162"/>
      </c>
      <c r="P504" s="208">
        <f t="shared" si="252"/>
      </c>
      <c r="Q504" s="210" t="s">
        <v>127</v>
      </c>
      <c r="R504" s="251" t="s">
        <v>141</v>
      </c>
      <c r="S504" s="228">
        <v>107199</v>
      </c>
      <c r="T504" s="228">
        <v>3901</v>
      </c>
      <c r="U504" s="228">
        <v>466</v>
      </c>
      <c r="V504" s="228">
        <v>6468</v>
      </c>
      <c r="W504" s="228">
        <v>909</v>
      </c>
      <c r="X504" s="228">
        <v>58</v>
      </c>
      <c r="Y504" s="228">
        <v>84</v>
      </c>
      <c r="Z504" s="250"/>
    </row>
    <row r="505">
      <c r="A505" s="258"/>
      <c r="B505" s="227" t="s">
        <v>132</v>
      </c>
      <c r="C505" s="202" t="s">
        <v>123</v>
      </c>
      <c r="D505" s="202">
        <f t="shared" si="115"/>
      </c>
      <c r="E505" s="202">
        <v>1585.2199999999993</v>
      </c>
      <c r="F505" s="202">
        <v>4900.710000000003</v>
      </c>
      <c r="G505" s="202">
        <v>0</v>
      </c>
      <c r="H505" s="215">
        <v>27</v>
      </c>
      <c r="I505" s="202">
        <v>12551.080000000002</v>
      </c>
      <c r="J505" s="206">
        <f t="shared" si="22"/>
      </c>
      <c r="K505" s="206">
        <f t="shared" si="313"/>
      </c>
      <c r="L505" s="206">
        <f t="shared" si="283"/>
      </c>
      <c r="M505" s="207">
        <f t="shared" si="222"/>
      </c>
      <c r="N505" s="208">
        <f t="shared" si="192"/>
      </c>
      <c r="O505" s="209">
        <f t="shared" si="162"/>
      </c>
      <c r="P505" s="208">
        <f t="shared" si="252"/>
      </c>
      <c r="Q505" s="210" t="s">
        <v>127</v>
      </c>
      <c r="R505" s="251" t="s">
        <v>141</v>
      </c>
      <c r="S505" s="228">
        <v>125293</v>
      </c>
      <c r="T505" s="228">
        <v>3805</v>
      </c>
      <c r="U505" s="228">
        <v>358</v>
      </c>
      <c r="V505" s="228">
        <v>6040</v>
      </c>
      <c r="W505" s="228">
        <v>837</v>
      </c>
      <c r="X505" s="228">
        <v>54</v>
      </c>
      <c r="Y505" s="228">
        <v>67</v>
      </c>
      <c r="Z505" s="250"/>
    </row>
    <row r="506">
      <c r="A506" s="258"/>
      <c r="B506" s="227" t="s">
        <v>132</v>
      </c>
      <c r="C506" s="202" t="s">
        <v>124</v>
      </c>
      <c r="D506" s="202">
        <f t="shared" si="115"/>
      </c>
      <c r="E506" s="202">
        <v>1408.6499999999996</v>
      </c>
      <c r="F506" s="202">
        <v>1596.6200000000026</v>
      </c>
      <c r="G506" s="202">
        <v>0</v>
      </c>
      <c r="H506" s="215">
        <v>12</v>
      </c>
      <c r="I506" s="202">
        <v>6720.8399999999965</v>
      </c>
      <c r="J506" s="206">
        <f t="shared" si="22"/>
      </c>
      <c r="K506" s="206">
        <f t="shared" si="313"/>
      </c>
      <c r="L506" s="206">
        <f t="shared" si="283"/>
      </c>
      <c r="M506" s="207">
        <f t="shared" si="222"/>
      </c>
      <c r="N506" s="208">
        <f t="shared" si="192"/>
      </c>
      <c r="O506" s="209">
        <f t="shared" si="162"/>
      </c>
      <c r="P506" s="208">
        <f t="shared" si="252"/>
      </c>
      <c r="Q506" s="210" t="s">
        <v>127</v>
      </c>
      <c r="R506" s="251" t="s">
        <v>141</v>
      </c>
      <c r="S506" s="228">
        <v>61985</v>
      </c>
      <c r="T506" s="228">
        <v>2758</v>
      </c>
      <c r="U506" s="228">
        <v>285</v>
      </c>
      <c r="V506" s="228">
        <v>4503</v>
      </c>
      <c r="W506" s="228">
        <v>620</v>
      </c>
      <c r="X506" s="228">
        <v>24</v>
      </c>
      <c r="Y506" s="228">
        <v>47</v>
      </c>
      <c r="Z506" s="250"/>
    </row>
    <row r="507">
      <c r="A507" s="258"/>
      <c r="B507" s="227" t="s">
        <v>132</v>
      </c>
      <c r="C507" s="202" t="s">
        <v>126</v>
      </c>
      <c r="D507" s="202">
        <f t="shared" si="115"/>
      </c>
      <c r="E507" s="203">
        <v>1777.55</v>
      </c>
      <c r="F507" s="203">
        <v>2618.62</v>
      </c>
      <c r="G507" s="203">
        <v>0</v>
      </c>
      <c r="H507" s="204">
        <v>14</v>
      </c>
      <c r="I507" s="203">
        <v>6720.6</v>
      </c>
      <c r="J507" s="206">
        <f t="shared" si="22"/>
      </c>
      <c r="K507" s="206">
        <f t="shared" si="313"/>
      </c>
      <c r="L507" s="206">
        <f t="shared" si="283"/>
      </c>
      <c r="M507" s="207">
        <f t="shared" si="222"/>
      </c>
      <c r="N507" s="208">
        <f t="shared" si="192"/>
      </c>
      <c r="O507" s="209">
        <f t="shared" si="162"/>
      </c>
      <c r="P507" s="208">
        <f t="shared" si="252"/>
      </c>
      <c r="Q507" s="210" t="s">
        <v>127</v>
      </c>
      <c r="R507" s="251" t="s">
        <v>141</v>
      </c>
      <c r="S507" s="228">
        <v>88371</v>
      </c>
      <c r="T507" s="228">
        <v>3616</v>
      </c>
      <c r="U507" s="228">
        <v>328</v>
      </c>
      <c r="V507" s="228">
        <v>5681</v>
      </c>
      <c r="W507" s="228">
        <v>698</v>
      </c>
      <c r="X507" s="229">
        <v>29</v>
      </c>
      <c r="Y507" s="229">
        <v>63</v>
      </c>
      <c r="Z507" s="250"/>
    </row>
    <row r="508">
      <c r="A508" s="258"/>
      <c r="B508" s="219" t="s">
        <v>119</v>
      </c>
      <c r="C508" s="219"/>
      <c r="D508" s="220">
        <f>SUM(D503:D507)</f>
      </c>
      <c r="E508" s="220">
        <f>SUM(E503:E507)</f>
      </c>
      <c r="F508" s="220">
        <f>SUM(F503:G507)</f>
      </c>
      <c r="G508" s="220"/>
      <c r="H508" s="220">
        <f>SUM(H503:H507)</f>
      </c>
      <c r="I508" s="220">
        <f>SUM(I503:I507)</f>
      </c>
      <c r="J508" s="222">
        <f t="shared" si="22"/>
      </c>
      <c r="K508" s="223">
        <f t="shared" si="313"/>
      </c>
      <c r="L508" s="224">
        <f t="shared" si="283"/>
      </c>
      <c r="M508" s="225">
        <f t="shared" si="222"/>
      </c>
      <c r="N508" s="225">
        <f t="shared" si="192"/>
      </c>
      <c r="O508" s="226">
        <f t="shared" si="162"/>
      </c>
      <c r="P508" s="225">
        <f t="shared" si="252"/>
      </c>
      <c r="Q508" s="226"/>
      <c r="R508" s="226"/>
      <c r="S508" s="220">
        <f>SUM(S503:S507)</f>
      </c>
      <c r="T508" s="220">
        <f>SUM(T503:T507)</f>
      </c>
      <c r="U508" s="220">
        <f>SUM(U503:U507)</f>
      </c>
      <c r="V508" s="220">
        <f>SUM(V503:V507)</f>
      </c>
      <c r="W508" s="220">
        <f>SUM(W503:W507)</f>
      </c>
      <c r="X508" s="220">
        <f>SUM(X503:X507)</f>
      </c>
      <c r="Y508" s="220">
        <f>SUM(Y503:Y507)</f>
      </c>
      <c r="Z508" s="250"/>
    </row>
    <row r="509">
      <c r="A509" s="258"/>
      <c r="B509" s="201" t="s">
        <v>166</v>
      </c>
      <c r="C509" s="202" t="s">
        <v>128</v>
      </c>
      <c r="D509" s="202">
        <f t="shared" ref="D509:D512" si="116">E509+G509+F509</f>
      </c>
      <c r="E509" s="203">
        <v>2465.67</v>
      </c>
      <c r="F509" s="203">
        <v>2288.45</v>
      </c>
      <c r="G509" s="203">
        <v>0</v>
      </c>
      <c r="H509" s="204">
        <v>20</v>
      </c>
      <c r="I509" s="203">
        <v>6850.67</v>
      </c>
      <c r="J509" s="206">
        <f t="shared" si="22"/>
      </c>
      <c r="K509" s="206">
        <f t="shared" si="313"/>
      </c>
      <c r="L509" s="206">
        <f t="shared" si="283"/>
      </c>
      <c r="M509" s="207">
        <f t="shared" si="222"/>
      </c>
      <c r="N509" s="208">
        <f t="shared" si="192"/>
      </c>
      <c r="O509" s="209">
        <f t="shared" si="162"/>
      </c>
      <c r="P509" s="208">
        <f t="shared" si="252"/>
      </c>
      <c r="Q509" s="210" t="s">
        <v>114</v>
      </c>
      <c r="R509" s="232" t="s">
        <v>129</v>
      </c>
      <c r="S509" s="257">
        <v>96660</v>
      </c>
      <c r="T509" s="257">
        <v>3940</v>
      </c>
      <c r="U509" s="257">
        <v>327</v>
      </c>
      <c r="V509" s="257">
        <v>6906</v>
      </c>
      <c r="W509" s="257">
        <v>859</v>
      </c>
      <c r="X509" s="229">
        <v>35</v>
      </c>
      <c r="Y509" s="229">
        <v>64</v>
      </c>
      <c r="Z509" s="250"/>
    </row>
    <row r="510">
      <c r="A510" s="258"/>
      <c r="B510" s="201" t="s">
        <v>166</v>
      </c>
      <c r="C510" s="202" t="s">
        <v>130</v>
      </c>
      <c r="D510" s="202">
        <f t="shared" si="116"/>
      </c>
      <c r="E510" s="203">
        <v>2293.73</v>
      </c>
      <c r="F510" s="203">
        <v>5515</v>
      </c>
      <c r="G510" s="203">
        <v>0</v>
      </c>
      <c r="H510" s="204">
        <v>23</v>
      </c>
      <c r="I510" s="203">
        <v>10200.83</v>
      </c>
      <c r="J510" s="206">
        <f t="shared" si="22"/>
      </c>
      <c r="K510" s="206">
        <f t="shared" si="313"/>
      </c>
      <c r="L510" s="206">
        <f t="shared" si="283"/>
      </c>
      <c r="M510" s="207">
        <f t="shared" si="222"/>
      </c>
      <c r="N510" s="208">
        <f t="shared" si="192"/>
      </c>
      <c r="O510" s="209">
        <f t="shared" si="162"/>
      </c>
      <c r="P510" s="208">
        <f t="shared" si="252"/>
      </c>
      <c r="Q510" s="210" t="s">
        <v>114</v>
      </c>
      <c r="R510" s="232" t="s">
        <v>129</v>
      </c>
      <c r="S510" s="228">
        <v>224381</v>
      </c>
      <c r="T510" s="228">
        <v>6435</v>
      </c>
      <c r="U510" s="228">
        <v>468</v>
      </c>
      <c r="V510" s="228">
        <v>10672</v>
      </c>
      <c r="W510" s="228">
        <v>1163</v>
      </c>
      <c r="X510" s="229">
        <v>49</v>
      </c>
      <c r="Y510" s="229">
        <v>107</v>
      </c>
      <c r="Z510" s="250"/>
    </row>
    <row r="511">
      <c r="A511" s="258"/>
      <c r="B511" s="201" t="s">
        <v>166</v>
      </c>
      <c r="C511" s="202" t="s">
        <v>131</v>
      </c>
      <c r="D511" s="202">
        <f t="shared" si="116"/>
      </c>
      <c r="E511" s="203">
        <v>1879.11</v>
      </c>
      <c r="F511" s="203">
        <v>2141.07</v>
      </c>
      <c r="G511" s="203">
        <v>0</v>
      </c>
      <c r="H511" s="204">
        <v>9</v>
      </c>
      <c r="I511" s="203">
        <v>5076.5</v>
      </c>
      <c r="J511" s="206">
        <f t="shared" si="22"/>
      </c>
      <c r="K511" s="206">
        <f t="shared" si="313"/>
      </c>
      <c r="L511" s="206">
        <f t="shared" si="283"/>
      </c>
      <c r="M511" s="207">
        <f t="shared" si="222"/>
      </c>
      <c r="N511" s="208">
        <f t="shared" si="192"/>
      </c>
      <c r="O511" s="209">
        <f t="shared" si="162"/>
      </c>
      <c r="P511" s="208">
        <f t="shared" si="252"/>
      </c>
      <c r="Q511" s="210" t="s">
        <v>114</v>
      </c>
      <c r="R511" s="232" t="s">
        <v>129</v>
      </c>
      <c r="S511" s="228">
        <v>86882</v>
      </c>
      <c r="T511" s="228">
        <v>3939</v>
      </c>
      <c r="U511" s="228">
        <v>289</v>
      </c>
      <c r="V511" s="228">
        <v>6584</v>
      </c>
      <c r="W511" s="228">
        <v>801</v>
      </c>
      <c r="X511" s="229">
        <v>13</v>
      </c>
      <c r="Y511" s="229">
        <v>63</v>
      </c>
      <c r="Z511" s="250"/>
    </row>
    <row r="512">
      <c r="A512" s="258"/>
      <c r="B512" s="201" t="s">
        <v>166</v>
      </c>
      <c r="C512" s="202" t="s">
        <v>133</v>
      </c>
      <c r="D512" s="202">
        <f t="shared" si="116"/>
      </c>
      <c r="E512" s="203">
        <v>1224.91</v>
      </c>
      <c r="F512" s="203">
        <v>2053.83</v>
      </c>
      <c r="G512" s="203">
        <v>0</v>
      </c>
      <c r="H512" s="204">
        <v>13</v>
      </c>
      <c r="I512" s="203">
        <v>5907.5</v>
      </c>
      <c r="J512" s="206">
        <f t="shared" si="22"/>
      </c>
      <c r="K512" s="206">
        <f t="shared" si="313"/>
      </c>
      <c r="L512" s="206">
        <f t="shared" si="283"/>
      </c>
      <c r="M512" s="207">
        <f t="shared" si="222"/>
      </c>
      <c r="N512" s="208">
        <f t="shared" si="192"/>
      </c>
      <c r="O512" s="209">
        <f t="shared" si="162"/>
      </c>
      <c r="P512" s="208">
        <f t="shared" si="252"/>
      </c>
      <c r="Q512" s="210" t="s">
        <v>114</v>
      </c>
      <c r="R512" s="232" t="s">
        <v>129</v>
      </c>
      <c r="S512" s="228">
        <v>60815</v>
      </c>
      <c r="T512" s="228">
        <v>2684</v>
      </c>
      <c r="U512" s="228">
        <v>236</v>
      </c>
      <c r="V512" s="228">
        <v>4527</v>
      </c>
      <c r="W512" s="228">
        <v>572</v>
      </c>
      <c r="X512" s="229">
        <v>17</v>
      </c>
      <c r="Y512" s="229">
        <v>68</v>
      </c>
      <c r="Z512" s="250"/>
    </row>
    <row r="513">
      <c r="A513" s="258"/>
      <c r="B513" s="219" t="s">
        <v>119</v>
      </c>
      <c r="C513" s="219"/>
      <c r="D513" s="220">
        <f>SUM(D509:D512)</f>
      </c>
      <c r="E513" s="220">
        <f>SUM(E509:E512)</f>
      </c>
      <c r="F513" s="220">
        <f>SUM(F509:G512)</f>
      </c>
      <c r="G513" s="220"/>
      <c r="H513" s="221">
        <f>SUM(H509:H512)</f>
      </c>
      <c r="I513" s="220">
        <f>SUM(I509:I512)</f>
      </c>
      <c r="J513" s="253">
        <f t="shared" si="22"/>
      </c>
      <c r="K513" s="223">
        <f t="shared" si="313"/>
      </c>
      <c r="L513" s="254">
        <f t="shared" si="283"/>
      </c>
      <c r="M513" s="225">
        <f t="shared" si="222"/>
      </c>
      <c r="N513" s="225">
        <f t="shared" si="192"/>
      </c>
      <c r="O513" s="226">
        <f t="shared" si="162"/>
      </c>
      <c r="P513" s="225">
        <f t="shared" si="252"/>
      </c>
      <c r="Q513" s="226"/>
      <c r="R513" s="226"/>
      <c r="S513" s="221">
        <f>SUM(S509:S512)</f>
      </c>
      <c r="T513" s="221">
        <f>SUM(T509:T512)</f>
      </c>
      <c r="U513" s="221">
        <f>SUM(U509:U512)</f>
      </c>
      <c r="V513" s="221">
        <f>SUM(V509:V512)</f>
      </c>
      <c r="W513" s="221">
        <f>SUM(W509:W512)</f>
      </c>
      <c r="X513" s="221">
        <f>SUM(X509:X512)</f>
      </c>
      <c r="Y513" s="221">
        <f>SUM(Y509:Y512)</f>
      </c>
      <c r="Z513" s="250"/>
    </row>
    <row r="514">
      <c r="A514" s="258"/>
      <c r="B514" s="245" t="s">
        <v>125</v>
      </c>
      <c r="C514" s="202" t="s">
        <v>134</v>
      </c>
      <c r="D514" s="202">
        <f t="shared" ref="D514:D517" si="117">E514+G514+F514</f>
      </c>
      <c r="E514" s="203">
        <v>1138.33</v>
      </c>
      <c r="F514" s="203">
        <v>2861.18</v>
      </c>
      <c r="G514" s="203">
        <v>0</v>
      </c>
      <c r="H514" s="204">
        <v>19</v>
      </c>
      <c r="I514" s="203">
        <v>9089.04</v>
      </c>
      <c r="J514" s="206">
        <f t="shared" si="22"/>
      </c>
      <c r="K514" s="206">
        <f t="shared" si="313"/>
      </c>
      <c r="L514" s="206">
        <f t="shared" si="283"/>
      </c>
      <c r="M514" s="207">
        <f t="shared" si="222"/>
      </c>
      <c r="N514" s="208">
        <f t="shared" si="192"/>
      </c>
      <c r="O514" s="209">
        <f t="shared" si="162"/>
      </c>
      <c r="P514" s="208">
        <f t="shared" si="252"/>
      </c>
      <c r="Q514" s="210" t="s">
        <v>114</v>
      </c>
      <c r="R514" s="232" t="s">
        <v>129</v>
      </c>
      <c r="S514" s="267">
        <v>93660</v>
      </c>
      <c r="T514" s="267">
        <v>3100</v>
      </c>
      <c r="U514" s="267">
        <v>359</v>
      </c>
      <c r="V514" s="267">
        <v>4877</v>
      </c>
      <c r="W514" s="267">
        <v>641</v>
      </c>
      <c r="X514" s="233">
        <v>31</v>
      </c>
      <c r="Y514" s="229">
        <v>83</v>
      </c>
      <c r="Z514" s="250"/>
    </row>
    <row r="515">
      <c r="A515" s="258"/>
      <c r="B515" s="201" t="s">
        <v>125</v>
      </c>
      <c r="C515" s="202" t="s">
        <v>135</v>
      </c>
      <c r="D515" s="202">
        <f t="shared" si="117"/>
      </c>
      <c r="E515" s="203">
        <v>823.48</v>
      </c>
      <c r="F515" s="203">
        <v>2869.17</v>
      </c>
      <c r="G515" s="203">
        <v>0</v>
      </c>
      <c r="H515" s="204">
        <v>19</v>
      </c>
      <c r="I515" s="203">
        <v>8260.58</v>
      </c>
      <c r="J515" s="206">
        <f t="shared" si="22"/>
      </c>
      <c r="K515" s="206">
        <f t="shared" si="313"/>
      </c>
      <c r="L515" s="206">
        <f t="shared" si="283"/>
      </c>
      <c r="M515" s="207">
        <f t="shared" si="222"/>
      </c>
      <c r="N515" s="208">
        <f t="shared" si="192"/>
      </c>
      <c r="O515" s="209">
        <f t="shared" si="162"/>
      </c>
      <c r="P515" s="208">
        <f t="shared" si="252"/>
      </c>
      <c r="Q515" s="210" t="s">
        <v>114</v>
      </c>
      <c r="R515" s="232" t="s">
        <v>129</v>
      </c>
      <c r="S515" s="267">
        <v>71978</v>
      </c>
      <c r="T515" s="267">
        <v>2803</v>
      </c>
      <c r="U515" s="267">
        <v>312</v>
      </c>
      <c r="V515" s="267">
        <v>4337</v>
      </c>
      <c r="W515" s="268">
        <v>559</v>
      </c>
      <c r="X515" s="214">
        <v>37</v>
      </c>
      <c r="Y515" s="248">
        <v>28</v>
      </c>
      <c r="Z515" s="250"/>
    </row>
    <row r="516">
      <c r="A516" s="258"/>
      <c r="B516" s="201" t="s">
        <v>125</v>
      </c>
      <c r="C516" s="202" t="s">
        <v>136</v>
      </c>
      <c r="D516" s="202">
        <f t="shared" si="117"/>
      </c>
      <c r="E516" s="203">
        <v>893.73</v>
      </c>
      <c r="F516" s="203">
        <v>6357.48</v>
      </c>
      <c r="G516" s="203">
        <v>0</v>
      </c>
      <c r="H516" s="204">
        <v>20</v>
      </c>
      <c r="I516" s="203">
        <v>9396.6</v>
      </c>
      <c r="J516" s="206">
        <f t="shared" si="22"/>
      </c>
      <c r="K516" s="206">
        <f t="shared" si="313"/>
      </c>
      <c r="L516" s="206">
        <f t="shared" si="283"/>
      </c>
      <c r="M516" s="207">
        <f t="shared" si="222"/>
      </c>
      <c r="N516" s="208">
        <f t="shared" si="192"/>
      </c>
      <c r="O516" s="209">
        <f t="shared" si="162"/>
      </c>
      <c r="P516" s="208">
        <f t="shared" si="252"/>
      </c>
      <c r="Q516" s="210" t="s">
        <v>114</v>
      </c>
      <c r="R516" s="232" t="s">
        <v>129</v>
      </c>
      <c r="S516" s="267">
        <v>163311</v>
      </c>
      <c r="T516" s="267">
        <v>4612</v>
      </c>
      <c r="U516" s="267">
        <v>464</v>
      </c>
      <c r="V516" s="267">
        <v>6238</v>
      </c>
      <c r="W516" s="268">
        <v>697</v>
      </c>
      <c r="X516" s="214">
        <v>43</v>
      </c>
      <c r="Y516" s="248">
        <v>55</v>
      </c>
      <c r="Z516" s="250"/>
    </row>
    <row r="517">
      <c r="A517" s="258"/>
      <c r="B517" s="201" t="s">
        <v>125</v>
      </c>
      <c r="C517" s="202" t="s">
        <v>137</v>
      </c>
      <c r="D517" s="202">
        <f t="shared" si="117"/>
      </c>
      <c r="E517" s="203">
        <f>924.97+0.73</f>
      </c>
      <c r="F517" s="203">
        <v>2949.82</v>
      </c>
      <c r="G517" s="203">
        <v>0</v>
      </c>
      <c r="H517" s="204">
        <v>15</v>
      </c>
      <c r="I517" s="203">
        <v>6386.2</v>
      </c>
      <c r="J517" s="206">
        <f t="shared" si="22"/>
      </c>
      <c r="K517" s="206">
        <f t="shared" si="313"/>
      </c>
      <c r="L517" s="206">
        <f t="shared" si="283"/>
      </c>
      <c r="M517" s="207">
        <f t="shared" si="222"/>
      </c>
      <c r="N517" s="208">
        <f t="shared" si="192"/>
      </c>
      <c r="O517" s="209">
        <f t="shared" si="162"/>
      </c>
      <c r="P517" s="208">
        <f t="shared" si="252"/>
      </c>
      <c r="Q517" s="210" t="s">
        <v>114</v>
      </c>
      <c r="R517" s="232" t="s">
        <v>129</v>
      </c>
      <c r="S517" s="267">
        <v>76449</v>
      </c>
      <c r="T517" s="267">
        <v>2470</v>
      </c>
      <c r="U517" s="267">
        <v>304</v>
      </c>
      <c r="V517" s="267">
        <v>3446</v>
      </c>
      <c r="W517" s="267">
        <v>449</v>
      </c>
      <c r="X517" s="249">
        <v>23</v>
      </c>
      <c r="Y517" s="229">
        <v>118</v>
      </c>
      <c r="Z517" s="250"/>
    </row>
    <row r="518">
      <c r="A518" s="258"/>
      <c r="B518" s="219" t="s">
        <v>119</v>
      </c>
      <c r="C518" s="219"/>
      <c r="D518" s="220">
        <f>SUM(D514:D517)</f>
      </c>
      <c r="E518" s="220">
        <f>SUM(E514:E517)</f>
      </c>
      <c r="F518" s="220">
        <f>SUM(F514:G517)</f>
      </c>
      <c r="G518" s="220"/>
      <c r="H518" s="220">
        <f>SUM(H514:H517)</f>
      </c>
      <c r="I518" s="220">
        <f>SUM(I514:I517)</f>
      </c>
      <c r="J518" s="222">
        <f t="shared" si="22"/>
      </c>
      <c r="K518" s="223">
        <f t="shared" si="313"/>
      </c>
      <c r="L518" s="224">
        <f t="shared" si="283"/>
      </c>
      <c r="M518" s="225">
        <f t="shared" si="222"/>
      </c>
      <c r="N518" s="225">
        <f t="shared" si="192"/>
      </c>
      <c r="O518" s="226">
        <f t="shared" si="162"/>
      </c>
      <c r="P518" s="225">
        <f t="shared" si="252"/>
      </c>
      <c r="Q518" s="226"/>
      <c r="R518" s="235"/>
      <c r="S518" s="220">
        <f>SUM(S514:S517)</f>
      </c>
      <c r="T518" s="220">
        <f>SUM(T514:T517)</f>
      </c>
      <c r="U518" s="220">
        <f>SUM(U514:U517)</f>
      </c>
      <c r="V518" s="220">
        <f>SUM(V514:V517)</f>
      </c>
      <c r="W518" s="220">
        <f>SUM(W514:W517)</f>
      </c>
      <c r="X518" s="220">
        <f>SUM(X514:X517)</f>
      </c>
      <c r="Y518" s="220">
        <f>SUM(Y514:Y517)</f>
      </c>
      <c r="Z518" s="250"/>
    </row>
    <row r="519">
      <c r="A519" s="258"/>
      <c r="B519" s="236" t="s">
        <v>138</v>
      </c>
      <c r="C519" s="236"/>
      <c r="D519" s="237">
        <f>D518+D513+D508+D502</f>
      </c>
      <c r="E519" s="237">
        <f>E518+E513+E508+E502</f>
      </c>
      <c r="F519" s="237">
        <f>F518+F513+F508+F502</f>
      </c>
      <c r="G519" s="237"/>
      <c r="H519" s="238">
        <f>H518+H513+H508+H502</f>
      </c>
      <c r="I519" s="237">
        <f>I518+I513+I508+I502</f>
      </c>
      <c r="J519" s="239">
        <f t="shared" si="22"/>
      </c>
      <c r="K519" s="239">
        <f t="shared" si="313"/>
      </c>
      <c r="L519" s="239">
        <f t="shared" si="283"/>
      </c>
      <c r="M519" s="240">
        <f t="shared" si="222"/>
      </c>
      <c r="N519" s="240">
        <f t="shared" si="192"/>
      </c>
      <c r="O519" s="239">
        <f t="shared" si="162"/>
      </c>
      <c r="P519" s="240">
        <f t="shared" si="252"/>
      </c>
      <c r="Q519" s="241"/>
      <c r="R519" s="242"/>
      <c r="S519" s="243">
        <f>S518+S513+S508+S502</f>
      </c>
      <c r="T519" s="243">
        <f>T518+T513+T508+T502</f>
      </c>
      <c r="U519" s="243">
        <f>U518+U513+U508+U502</f>
      </c>
      <c r="V519" s="243">
        <f>V518+V513+V508+V502</f>
      </c>
      <c r="W519" s="243">
        <f>W518+W513+W508+W502</f>
      </c>
      <c r="X519" s="244">
        <f>X518+X513+X508+X502</f>
      </c>
      <c r="Y519" s="238">
        <f>Y518+Y513+Y508+Y502</f>
      </c>
      <c r="Z519" s="250"/>
    </row>
    <row r="520">
      <c r="A520" s="188" t="s">
        <v>83</v>
      </c>
      <c r="B520" s="188"/>
      <c r="C520" s="188"/>
      <c r="D520" s="189" t="s">
        <v>84</v>
      </c>
      <c r="E520" s="189"/>
      <c r="F520" s="189"/>
      <c r="G520" s="189"/>
      <c r="H520" s="189"/>
      <c r="I520" s="189"/>
      <c r="J520" s="189"/>
      <c r="K520" s="189"/>
      <c r="L520" s="189"/>
      <c r="M520" s="190" t="s">
        <v>85</v>
      </c>
      <c r="N520" s="190"/>
      <c r="O520" s="190"/>
      <c r="P520" s="190"/>
      <c r="Q520" s="190"/>
      <c r="R520" s="190"/>
      <c r="S520" s="191" t="s">
        <v>86</v>
      </c>
      <c r="T520" s="191"/>
      <c r="U520" s="191"/>
      <c r="V520" s="191"/>
      <c r="W520" s="191"/>
      <c r="X520" s="191"/>
      <c r="Y520" s="191"/>
      <c r="Z520" s="250"/>
    </row>
    <row r="521">
      <c r="A521" s="188" t="s">
        <v>87</v>
      </c>
      <c r="B521" s="188" t="s">
        <v>88</v>
      </c>
      <c r="C521" s="188" t="s">
        <v>89</v>
      </c>
      <c r="D521" s="193" t="s">
        <v>90</v>
      </c>
      <c r="E521" s="193" t="s">
        <v>91</v>
      </c>
      <c r="F521" s="189" t="s">
        <v>92</v>
      </c>
      <c r="G521" s="189"/>
      <c r="H521" s="194" t="s">
        <v>93</v>
      </c>
      <c r="I521" s="189" t="s">
        <v>94</v>
      </c>
      <c r="J521" s="195" t="s">
        <v>95</v>
      </c>
      <c r="K521" s="196" t="s">
        <v>96</v>
      </c>
      <c r="L521" s="189" t="s">
        <v>97</v>
      </c>
      <c r="M521" s="190" t="s">
        <v>98</v>
      </c>
      <c r="N521" s="190" t="s">
        <v>99</v>
      </c>
      <c r="O521" s="190" t="s">
        <v>100</v>
      </c>
      <c r="P521" s="190" t="s">
        <v>101</v>
      </c>
      <c r="Q521" s="197" t="s">
        <v>102</v>
      </c>
      <c r="R521" s="197" t="s">
        <v>103</v>
      </c>
      <c r="S521" s="198" t="s">
        <v>104</v>
      </c>
      <c r="T521" s="198" t="s">
        <v>105</v>
      </c>
      <c r="U521" s="199" t="s">
        <v>106</v>
      </c>
      <c r="V521" s="199" t="s">
        <v>107</v>
      </c>
      <c r="W521" s="199" t="s">
        <v>108</v>
      </c>
      <c r="X521" s="199" t="s">
        <v>109</v>
      </c>
      <c r="Y521" s="199" t="s">
        <v>110</v>
      </c>
      <c r="Z521" s="250"/>
    </row>
    <row r="522">
      <c r="A522" s="200" t="s">
        <v>173</v>
      </c>
      <c r="B522" s="201" t="s">
        <v>120</v>
      </c>
      <c r="C522" s="202" t="s">
        <v>113</v>
      </c>
      <c r="D522" s="202">
        <f t="shared" ref="D522:D525" si="118">E522+G522+F522</f>
      </c>
      <c r="E522" s="202">
        <v>695.25</v>
      </c>
      <c r="F522" s="202">
        <v>2326.72</v>
      </c>
      <c r="G522" s="202">
        <v>0</v>
      </c>
      <c r="H522" s="204">
        <v>4</v>
      </c>
      <c r="I522" s="202">
        <v>1800.6</v>
      </c>
      <c r="J522" s="205">
        <f t="shared" ref="J522:J541" si="23">I522/D522</f>
      </c>
      <c r="K522" s="205">
        <f t="shared" ref="K522:K541" si="314">D522/H522</f>
      </c>
      <c r="L522" s="206">
        <f t="shared" ref="L522:L541" si="284">I522/H522</f>
      </c>
      <c r="M522" s="207">
        <f t="shared" ref="M522:M541" si="223">T522/S522</f>
      </c>
      <c r="N522" s="208">
        <f t="shared" ref="N522:N541" si="193">H522/X522</f>
      </c>
      <c r="O522" s="209">
        <f t="shared" ref="O522:O541" si="163">(Y522*1000)/D522</f>
      </c>
      <c r="P522" s="208">
        <f t="shared" ref="P522:P541" si="253">W522/V522</f>
      </c>
      <c r="Q522" s="210" t="s">
        <v>127</v>
      </c>
      <c r="R522" s="251" t="s">
        <v>141</v>
      </c>
      <c r="S522" s="212">
        <v>56231</v>
      </c>
      <c r="T522" s="212">
        <v>2458</v>
      </c>
      <c r="U522" s="213">
        <v>329</v>
      </c>
      <c r="V522" s="212">
        <v>3577</v>
      </c>
      <c r="W522" s="212">
        <v>543</v>
      </c>
      <c r="X522" s="214">
        <v>17</v>
      </c>
      <c r="Y522" s="214">
        <v>53</v>
      </c>
      <c r="Z522" s="250"/>
    </row>
    <row r="523">
      <c r="A523" s="200"/>
      <c r="B523" s="201" t="s">
        <v>120</v>
      </c>
      <c r="C523" s="202" t="s">
        <v>116</v>
      </c>
      <c r="D523" s="202">
        <f t="shared" si="118"/>
      </c>
      <c r="E523" s="218">
        <v>500.3499999999999</v>
      </c>
      <c r="F523" s="202">
        <v>1552.7900000000004</v>
      </c>
      <c r="G523" s="202">
        <v>0</v>
      </c>
      <c r="H523" s="215">
        <v>4</v>
      </c>
      <c r="I523" s="202">
        <v>1767.2400000000002</v>
      </c>
      <c r="J523" s="206">
        <f t="shared" si="23"/>
      </c>
      <c r="K523" s="206">
        <f t="shared" si="314"/>
      </c>
      <c r="L523" s="205">
        <f t="shared" si="284"/>
      </c>
      <c r="M523" s="207">
        <f t="shared" si="223"/>
      </c>
      <c r="N523" s="208">
        <f t="shared" si="193"/>
      </c>
      <c r="O523" s="209">
        <f t="shared" si="163"/>
      </c>
      <c r="P523" s="208">
        <f t="shared" si="253"/>
      </c>
      <c r="Q523" s="210" t="s">
        <v>127</v>
      </c>
      <c r="R523" s="251" t="s">
        <v>141</v>
      </c>
      <c r="S523" s="216">
        <v>43155</v>
      </c>
      <c r="T523" s="216">
        <v>1477</v>
      </c>
      <c r="U523" s="212">
        <v>244</v>
      </c>
      <c r="V523" s="212">
        <v>2235</v>
      </c>
      <c r="W523" s="212">
        <v>429</v>
      </c>
      <c r="X523" s="217">
        <v>13</v>
      </c>
      <c r="Y523" s="217">
        <v>27</v>
      </c>
      <c r="Z523" s="250"/>
    </row>
    <row r="524">
      <c r="A524" s="200"/>
      <c r="B524" s="201" t="s">
        <v>120</v>
      </c>
      <c r="C524" s="202" t="s">
        <v>117</v>
      </c>
      <c r="D524" s="202">
        <f t="shared" si="118"/>
      </c>
      <c r="E524" s="218">
        <v>620.3500000000001</v>
      </c>
      <c r="F524" s="202">
        <v>379.9899999999998</v>
      </c>
      <c r="G524" s="202">
        <v>0</v>
      </c>
      <c r="H524" s="215">
        <v>3</v>
      </c>
      <c r="I524" s="202">
        <v>1585.5599999999995</v>
      </c>
      <c r="J524" s="205">
        <f t="shared" si="23"/>
      </c>
      <c r="K524" s="205">
        <f t="shared" si="314"/>
      </c>
      <c r="L524" s="205">
        <f t="shared" si="284"/>
      </c>
      <c r="M524" s="259">
        <f t="shared" si="223"/>
      </c>
      <c r="N524" s="260">
        <f t="shared" si="193"/>
      </c>
      <c r="O524" s="261">
        <f t="shared" si="163"/>
      </c>
      <c r="P524" s="208">
        <f t="shared" si="253"/>
      </c>
      <c r="Q524" s="262" t="s">
        <v>127</v>
      </c>
      <c r="R524" s="251" t="s">
        <v>141</v>
      </c>
      <c r="S524" s="217">
        <v>18212</v>
      </c>
      <c r="T524" s="217">
        <v>1112</v>
      </c>
      <c r="U524" s="263">
        <v>106</v>
      </c>
      <c r="V524" s="217">
        <v>1922</v>
      </c>
      <c r="W524" s="217">
        <v>326</v>
      </c>
      <c r="X524" s="214">
        <v>6</v>
      </c>
      <c r="Y524" s="214">
        <v>27</v>
      </c>
      <c r="Z524" s="250"/>
    </row>
    <row r="525">
      <c r="A525" s="200"/>
      <c r="B525" s="201" t="s">
        <v>120</v>
      </c>
      <c r="C525" s="202" t="s">
        <v>118</v>
      </c>
      <c r="D525" s="202">
        <f t="shared" si="118"/>
      </c>
      <c r="E525" s="202">
        <v>600.28</v>
      </c>
      <c r="F525" s="202">
        <v>724.4700000000003</v>
      </c>
      <c r="G525" s="202">
        <v>0</v>
      </c>
      <c r="H525" s="215">
        <v>7</v>
      </c>
      <c r="I525" s="202">
        <v>4222.82</v>
      </c>
      <c r="J525" s="205">
        <f t="shared" si="23"/>
      </c>
      <c r="K525" s="206">
        <f t="shared" si="314"/>
      </c>
      <c r="L525" s="206">
        <f t="shared" si="284"/>
      </c>
      <c r="M525" s="207">
        <f t="shared" si="223"/>
      </c>
      <c r="N525" s="208">
        <f t="shared" si="193"/>
      </c>
      <c r="O525" s="209">
        <f t="shared" si="163"/>
      </c>
      <c r="P525" s="208">
        <f t="shared" si="253"/>
      </c>
      <c r="Q525" s="210" t="s">
        <v>127</v>
      </c>
      <c r="R525" s="251" t="s">
        <v>141</v>
      </c>
      <c r="S525" s="217">
        <v>22925</v>
      </c>
      <c r="T525" s="217">
        <v>1208</v>
      </c>
      <c r="U525" s="217">
        <v>150</v>
      </c>
      <c r="V525" s="217">
        <v>2005</v>
      </c>
      <c r="W525" s="217">
        <v>362</v>
      </c>
      <c r="X525" s="217">
        <v>10</v>
      </c>
      <c r="Y525" s="217">
        <v>33</v>
      </c>
      <c r="Z525" s="250"/>
    </row>
    <row r="526">
      <c r="A526" s="200"/>
      <c r="B526" s="219" t="s">
        <v>119</v>
      </c>
      <c r="C526" s="219"/>
      <c r="D526" s="220">
        <f>SUM(D522:D525)</f>
      </c>
      <c r="E526" s="220">
        <f>SUM(E522:E525)</f>
      </c>
      <c r="F526" s="220">
        <f>SUM(F522:G525)</f>
      </c>
      <c r="G526" s="220"/>
      <c r="H526" s="221">
        <f>SUM(H522:H525)</f>
      </c>
      <c r="I526" s="220">
        <f>SUM(I522:I525)</f>
      </c>
      <c r="J526" s="253">
        <f t="shared" si="23"/>
      </c>
      <c r="K526" s="264">
        <f t="shared" si="314"/>
      </c>
      <c r="L526" s="254">
        <f t="shared" si="284"/>
      </c>
      <c r="M526" s="265">
        <f t="shared" si="223"/>
      </c>
      <c r="N526" s="225">
        <f t="shared" si="193"/>
      </c>
      <c r="O526" s="266">
        <f t="shared" si="163"/>
      </c>
      <c r="P526" s="225">
        <f t="shared" si="253"/>
      </c>
      <c r="Q526" s="226"/>
      <c r="R526" s="226"/>
      <c r="S526" s="221">
        <f>SUM(S522:S525)</f>
      </c>
      <c r="T526" s="221">
        <f>SUM(T522:T525)</f>
      </c>
      <c r="U526" s="221">
        <f>SUM(U522:U525)</f>
      </c>
      <c r="V526" s="221">
        <f>SUM(V522:V525)</f>
      </c>
      <c r="W526" s="221">
        <f>SUM(W522:W525)</f>
      </c>
      <c r="X526" s="221">
        <f>SUM(X522:X525)</f>
      </c>
      <c r="Y526" s="221">
        <f>SUM(Y522:Y525)</f>
      </c>
      <c r="Z526" s="250"/>
    </row>
    <row r="527">
      <c r="A527" s="200"/>
      <c r="B527" s="201" t="s">
        <v>125</v>
      </c>
      <c r="C527" s="202" t="s">
        <v>121</v>
      </c>
      <c r="D527" s="202">
        <f t="shared" ref="D527:D530" si="119">E527+G527+F527</f>
      </c>
      <c r="E527" s="202">
        <v>1211.7800000000002</v>
      </c>
      <c r="F527" s="202">
        <v>1550.0999999999995</v>
      </c>
      <c r="G527" s="218">
        <v>0</v>
      </c>
      <c r="H527" s="215">
        <v>14</v>
      </c>
      <c r="I527" s="202">
        <v>6064.77</v>
      </c>
      <c r="J527" s="206">
        <f t="shared" si="23"/>
      </c>
      <c r="K527" s="206">
        <f t="shared" si="314"/>
      </c>
      <c r="L527" s="206">
        <f t="shared" si="284"/>
      </c>
      <c r="M527" s="207">
        <f t="shared" si="223"/>
      </c>
      <c r="N527" s="208">
        <f t="shared" si="193"/>
      </c>
      <c r="O527" s="209">
        <f t="shared" si="163"/>
      </c>
      <c r="P527" s="208">
        <f t="shared" si="253"/>
      </c>
      <c r="Q527" s="210" t="s">
        <v>127</v>
      </c>
      <c r="R527" s="251" t="s">
        <v>141</v>
      </c>
      <c r="S527" s="228">
        <v>44076</v>
      </c>
      <c r="T527" s="228">
        <v>2238</v>
      </c>
      <c r="U527" s="228">
        <v>221</v>
      </c>
      <c r="V527" s="228">
        <v>4070</v>
      </c>
      <c r="W527" s="228">
        <v>771</v>
      </c>
      <c r="X527" s="228">
        <v>27</v>
      </c>
      <c r="Y527" s="228">
        <v>62</v>
      </c>
      <c r="Z527" s="250"/>
    </row>
    <row r="528">
      <c r="A528" s="200"/>
      <c r="B528" s="227" t="s">
        <v>125</v>
      </c>
      <c r="C528" s="202" t="s">
        <v>122</v>
      </c>
      <c r="D528" s="202">
        <f t="shared" si="119"/>
      </c>
      <c r="E528" s="218">
        <v>1110.3599999999997</v>
      </c>
      <c r="F528" s="202">
        <v>1898.8500000000022</v>
      </c>
      <c r="G528" s="202">
        <v>0</v>
      </c>
      <c r="H528" s="215">
        <v>8</v>
      </c>
      <c r="I528" s="202">
        <v>1671.5000000000018</v>
      </c>
      <c r="J528" s="206">
        <f t="shared" si="23"/>
      </c>
      <c r="K528" s="206">
        <f t="shared" si="314"/>
      </c>
      <c r="L528" s="206">
        <f t="shared" si="284"/>
      </c>
      <c r="M528" s="207">
        <f t="shared" si="223"/>
      </c>
      <c r="N528" s="208">
        <f t="shared" si="193"/>
      </c>
      <c r="O528" s="209">
        <f t="shared" si="163"/>
      </c>
      <c r="P528" s="208">
        <f t="shared" si="253"/>
      </c>
      <c r="Q528" s="210" t="s">
        <v>127</v>
      </c>
      <c r="R528" s="251" t="s">
        <v>141</v>
      </c>
      <c r="S528" s="228">
        <v>56234</v>
      </c>
      <c r="T528" s="228">
        <v>2431</v>
      </c>
      <c r="U528" s="228">
        <v>270</v>
      </c>
      <c r="V528" s="228">
        <v>4300</v>
      </c>
      <c r="W528" s="228">
        <v>672</v>
      </c>
      <c r="X528" s="228">
        <v>26</v>
      </c>
      <c r="Y528" s="228">
        <v>72</v>
      </c>
      <c r="Z528" s="250"/>
    </row>
    <row r="529">
      <c r="A529" s="200"/>
      <c r="B529" s="227" t="s">
        <v>125</v>
      </c>
      <c r="C529" s="202" t="s">
        <v>123</v>
      </c>
      <c r="D529" s="202">
        <f t="shared" si="119"/>
      </c>
      <c r="E529" s="202">
        <v>1045.9899999999998</v>
      </c>
      <c r="F529" s="202">
        <v>1693.5499999999993</v>
      </c>
      <c r="G529" s="202">
        <v>0</v>
      </c>
      <c r="H529" s="215">
        <v>8</v>
      </c>
      <c r="I529" s="202">
        <v>2645.7599999999984</v>
      </c>
      <c r="J529" s="206">
        <f t="shared" si="23"/>
      </c>
      <c r="K529" s="206">
        <f t="shared" si="314"/>
      </c>
      <c r="L529" s="206">
        <f t="shared" si="284"/>
      </c>
      <c r="M529" s="207">
        <f t="shared" si="223"/>
      </c>
      <c r="N529" s="208">
        <f t="shared" si="193"/>
      </c>
      <c r="O529" s="209">
        <f t="shared" si="163"/>
      </c>
      <c r="P529" s="208">
        <f t="shared" si="253"/>
      </c>
      <c r="Q529" s="210" t="s">
        <v>127</v>
      </c>
      <c r="R529" s="251" t="s">
        <v>141</v>
      </c>
      <c r="S529" s="228">
        <v>52794</v>
      </c>
      <c r="T529" s="228">
        <v>1908</v>
      </c>
      <c r="U529" s="228">
        <v>234</v>
      </c>
      <c r="V529" s="228">
        <v>3085</v>
      </c>
      <c r="W529" s="228">
        <v>465</v>
      </c>
      <c r="X529" s="228">
        <v>21</v>
      </c>
      <c r="Y529" s="228">
        <v>55</v>
      </c>
      <c r="Z529" s="250"/>
    </row>
    <row r="530">
      <c r="A530" s="200"/>
      <c r="B530" s="227" t="s">
        <v>125</v>
      </c>
      <c r="C530" s="202" t="s">
        <v>124</v>
      </c>
      <c r="D530" s="202">
        <f t="shared" si="119"/>
      </c>
      <c r="E530" s="202">
        <v>559.29</v>
      </c>
      <c r="F530" s="202">
        <v>2306.0700000000015</v>
      </c>
      <c r="G530" s="202">
        <v>0</v>
      </c>
      <c r="H530" s="215">
        <v>8</v>
      </c>
      <c r="I530" s="202">
        <v>2105.7000000000007</v>
      </c>
      <c r="J530" s="206">
        <f t="shared" si="23"/>
      </c>
      <c r="K530" s="206">
        <f t="shared" si="314"/>
      </c>
      <c r="L530" s="206">
        <f t="shared" si="284"/>
      </c>
      <c r="M530" s="207">
        <f t="shared" si="223"/>
      </c>
      <c r="N530" s="208">
        <f t="shared" si="193"/>
      </c>
      <c r="O530" s="209">
        <f t="shared" si="163"/>
      </c>
      <c r="P530" s="208">
        <f t="shared" si="253"/>
      </c>
      <c r="Q530" s="210" t="s">
        <v>127</v>
      </c>
      <c r="R530" s="251" t="s">
        <v>141</v>
      </c>
      <c r="S530" s="228">
        <v>66338</v>
      </c>
      <c r="T530" s="228">
        <v>1932</v>
      </c>
      <c r="U530" s="228">
        <v>240</v>
      </c>
      <c r="V530" s="228">
        <v>2778</v>
      </c>
      <c r="W530" s="228">
        <v>384</v>
      </c>
      <c r="X530" s="228">
        <v>31</v>
      </c>
      <c r="Y530" s="228">
        <v>60</v>
      </c>
      <c r="Z530" s="250"/>
    </row>
    <row r="531">
      <c r="A531" s="200"/>
      <c r="B531" s="219" t="s">
        <v>119</v>
      </c>
      <c r="C531" s="219"/>
      <c r="D531" s="220">
        <f>SUM(D527:D530)</f>
      </c>
      <c r="E531" s="220">
        <f>SUM(E527:E530)</f>
      </c>
      <c r="F531" s="220">
        <f>SUM(F527:G530)</f>
      </c>
      <c r="G531" s="220"/>
      <c r="H531" s="220">
        <f>SUM(H527:H530)</f>
      </c>
      <c r="I531" s="220">
        <f>SUM(I527:I530)</f>
      </c>
      <c r="J531" s="222">
        <f t="shared" si="23"/>
      </c>
      <c r="K531" s="223">
        <f t="shared" si="314"/>
      </c>
      <c r="L531" s="224">
        <f t="shared" si="284"/>
      </c>
      <c r="M531" s="225">
        <f t="shared" si="223"/>
      </c>
      <c r="N531" s="225">
        <f t="shared" si="193"/>
      </c>
      <c r="O531" s="226">
        <f t="shared" si="163"/>
      </c>
      <c r="P531" s="225">
        <f t="shared" si="253"/>
      </c>
      <c r="Q531" s="226"/>
      <c r="R531" s="226"/>
      <c r="S531" s="220">
        <f>SUM(S527:S530)</f>
      </c>
      <c r="T531" s="220">
        <f>SUM(T527:T530)</f>
      </c>
      <c r="U531" s="220">
        <f>SUM(U527:U530)</f>
      </c>
      <c r="V531" s="220">
        <f>SUM(V527:V530)</f>
      </c>
      <c r="W531" s="220">
        <f>SUM(W527:W530)</f>
      </c>
      <c r="X531" s="220">
        <f>SUM(X527:X530)</f>
      </c>
      <c r="Y531" s="220">
        <f>SUM(Y527:Y530)</f>
      </c>
      <c r="Z531" s="250"/>
    </row>
    <row r="532">
      <c r="A532" s="200"/>
      <c r="B532" s="201" t="s">
        <v>132</v>
      </c>
      <c r="C532" s="202" t="s">
        <v>126</v>
      </c>
      <c r="D532" s="202">
        <f t="shared" ref="D532:D536" si="120">E532+G532+F532</f>
      </c>
      <c r="E532" s="203">
        <v>418.16</v>
      </c>
      <c r="F532" s="203">
        <v>1613.44</v>
      </c>
      <c r="G532" s="203">
        <v>0</v>
      </c>
      <c r="H532" s="204">
        <v>8</v>
      </c>
      <c r="I532" s="203">
        <v>5444.72</v>
      </c>
      <c r="J532" s="206">
        <f t="shared" si="23"/>
      </c>
      <c r="K532" s="206">
        <f t="shared" si="314"/>
      </c>
      <c r="L532" s="206">
        <f t="shared" si="284"/>
      </c>
      <c r="M532" s="207">
        <f t="shared" si="223"/>
      </c>
      <c r="N532" s="208">
        <f t="shared" si="193"/>
      </c>
      <c r="O532" s="209">
        <f t="shared" si="163"/>
      </c>
      <c r="P532" s="208">
        <f t="shared" si="253"/>
      </c>
      <c r="Q532" s="210" t="s">
        <v>114</v>
      </c>
      <c r="R532" s="232" t="s">
        <v>141</v>
      </c>
      <c r="S532" s="257">
        <v>46314</v>
      </c>
      <c r="T532" s="257">
        <v>1475</v>
      </c>
      <c r="U532" s="257">
        <v>241</v>
      </c>
      <c r="V532" s="257">
        <v>2056</v>
      </c>
      <c r="W532" s="257">
        <v>336</v>
      </c>
      <c r="X532" s="229">
        <v>25</v>
      </c>
      <c r="Y532" s="229">
        <v>37</v>
      </c>
      <c r="Z532" s="250"/>
    </row>
    <row r="533">
      <c r="A533" s="200"/>
      <c r="B533" s="201" t="s">
        <v>132</v>
      </c>
      <c r="C533" s="202" t="s">
        <v>128</v>
      </c>
      <c r="D533" s="202">
        <f t="shared" si="120"/>
      </c>
      <c r="E533" s="203">
        <v>550.13</v>
      </c>
      <c r="F533" s="203">
        <v>1330.31</v>
      </c>
      <c r="G533" s="203">
        <v>0</v>
      </c>
      <c r="H533" s="204">
        <v>3</v>
      </c>
      <c r="I533" s="203">
        <v>2456.88</v>
      </c>
      <c r="J533" s="206">
        <f t="shared" si="23"/>
      </c>
      <c r="K533" s="206">
        <f t="shared" si="314"/>
      </c>
      <c r="L533" s="206">
        <f t="shared" si="284"/>
      </c>
      <c r="M533" s="207">
        <f t="shared" si="223"/>
      </c>
      <c r="N533" s="208">
        <f t="shared" si="193"/>
      </c>
      <c r="O533" s="209">
        <f t="shared" si="163"/>
      </c>
      <c r="P533" s="208">
        <f t="shared" si="253"/>
      </c>
      <c r="Q533" s="210" t="s">
        <v>114</v>
      </c>
      <c r="R533" s="232" t="s">
        <v>129</v>
      </c>
      <c r="S533" s="228">
        <v>44447</v>
      </c>
      <c r="T533" s="228">
        <v>1334</v>
      </c>
      <c r="U533" s="228">
        <v>162</v>
      </c>
      <c r="V533" s="228">
        <v>2101</v>
      </c>
      <c r="W533" s="228">
        <v>280</v>
      </c>
      <c r="X533" s="229">
        <v>15</v>
      </c>
      <c r="Y533" s="229">
        <v>30</v>
      </c>
      <c r="Z533" s="250"/>
    </row>
    <row r="534">
      <c r="A534" s="200"/>
      <c r="B534" s="201" t="s">
        <v>132</v>
      </c>
      <c r="C534" s="202" t="s">
        <v>130</v>
      </c>
      <c r="D534" s="202">
        <f t="shared" si="120"/>
      </c>
      <c r="E534" s="203">
        <v>377.39</v>
      </c>
      <c r="F534" s="203">
        <v>1087.93</v>
      </c>
      <c r="G534" s="203">
        <v>0</v>
      </c>
      <c r="H534" s="204">
        <v>7</v>
      </c>
      <c r="I534" s="203">
        <v>3312.84</v>
      </c>
      <c r="J534" s="206">
        <f t="shared" si="23"/>
      </c>
      <c r="K534" s="206">
        <f t="shared" si="314"/>
      </c>
      <c r="L534" s="206">
        <f t="shared" si="284"/>
      </c>
      <c r="M534" s="207">
        <f t="shared" si="223"/>
      </c>
      <c r="N534" s="208">
        <f t="shared" si="193"/>
      </c>
      <c r="O534" s="209">
        <f t="shared" si="163"/>
      </c>
      <c r="P534" s="208">
        <f t="shared" si="253"/>
      </c>
      <c r="Q534" s="210" t="s">
        <v>114</v>
      </c>
      <c r="R534" s="232" t="s">
        <v>129</v>
      </c>
      <c r="S534" s="228">
        <v>38854</v>
      </c>
      <c r="T534" s="228">
        <v>1231</v>
      </c>
      <c r="U534" s="228">
        <v>127</v>
      </c>
      <c r="V534" s="228">
        <v>2052</v>
      </c>
      <c r="W534" s="228">
        <v>277</v>
      </c>
      <c r="X534" s="229">
        <v>12</v>
      </c>
      <c r="Y534" s="229">
        <v>35</v>
      </c>
      <c r="Z534" s="250"/>
    </row>
    <row customHeight="true" ht="16.666666666666668" r="535">
      <c r="A535" s="200"/>
      <c r="B535" s="201" t="s">
        <v>132</v>
      </c>
      <c r="C535" s="202" t="s">
        <v>131</v>
      </c>
      <c r="D535" s="202">
        <f t="shared" si="120"/>
      </c>
      <c r="E535" s="203">
        <v>340.16</v>
      </c>
      <c r="F535" s="203">
        <v>1721.97</v>
      </c>
      <c r="G535" s="203">
        <v>0</v>
      </c>
      <c r="H535" s="204">
        <v>6</v>
      </c>
      <c r="I535" s="203">
        <v>4982.88</v>
      </c>
      <c r="J535" s="206">
        <f t="shared" si="23"/>
      </c>
      <c r="K535" s="206">
        <f t="shared" si="314"/>
      </c>
      <c r="L535" s="206">
        <f t="shared" si="284"/>
      </c>
      <c r="M535" s="207">
        <f t="shared" si="223"/>
      </c>
      <c r="N535" s="208">
        <f t="shared" si="193"/>
      </c>
      <c r="O535" s="209">
        <f t="shared" si="163"/>
      </c>
      <c r="P535" s="208">
        <f t="shared" si="253"/>
      </c>
      <c r="Q535" s="210" t="s">
        <v>114</v>
      </c>
      <c r="R535" s="232" t="s">
        <v>129</v>
      </c>
      <c r="S535" s="228">
        <v>59660</v>
      </c>
      <c r="T535" s="228">
        <v>1404</v>
      </c>
      <c r="U535" s="228">
        <v>148</v>
      </c>
      <c r="V535" s="228">
        <v>2133</v>
      </c>
      <c r="W535" s="228">
        <v>291</v>
      </c>
      <c r="X535" s="229">
        <v>10</v>
      </c>
      <c r="Y535" s="229">
        <v>42</v>
      </c>
      <c r="Z535" s="250"/>
    </row>
    <row r="536">
      <c r="A536" s="200"/>
      <c r="B536" s="201" t="s">
        <v>132</v>
      </c>
      <c r="C536" s="202" t="s">
        <v>133</v>
      </c>
      <c r="D536" s="202">
        <f t="shared" si="120"/>
      </c>
      <c r="E536" s="203">
        <v>462.75</v>
      </c>
      <c r="F536" s="203">
        <v>1906.18</v>
      </c>
      <c r="G536" s="203">
        <v>0</v>
      </c>
      <c r="H536" s="204">
        <v>5</v>
      </c>
      <c r="I536" s="203">
        <v>2886.96</v>
      </c>
      <c r="J536" s="206">
        <f t="shared" si="23"/>
      </c>
      <c r="K536" s="206">
        <f t="shared" si="314"/>
      </c>
      <c r="L536" s="206">
        <f t="shared" si="284"/>
      </c>
      <c r="M536" s="207">
        <f t="shared" si="223"/>
      </c>
      <c r="N536" s="208">
        <f t="shared" si="193"/>
      </c>
      <c r="O536" s="209">
        <f t="shared" si="163"/>
      </c>
      <c r="P536" s="208">
        <f t="shared" si="253"/>
      </c>
      <c r="Q536" s="210" t="s">
        <v>114</v>
      </c>
      <c r="R536" s="232" t="s">
        <v>129</v>
      </c>
      <c r="S536" s="228">
        <v>63795</v>
      </c>
      <c r="T536" s="228">
        <v>1856</v>
      </c>
      <c r="U536" s="228">
        <v>197</v>
      </c>
      <c r="V536" s="228">
        <v>2678</v>
      </c>
      <c r="W536" s="228">
        <v>345</v>
      </c>
      <c r="X536" s="229">
        <v>14</v>
      </c>
      <c r="Y536" s="229">
        <v>47</v>
      </c>
      <c r="Z536" s="250"/>
    </row>
    <row r="537">
      <c r="A537" s="200"/>
      <c r="B537" s="219" t="s">
        <v>119</v>
      </c>
      <c r="C537" s="219"/>
      <c r="D537" s="220">
        <f>SUM(D532:D536)</f>
      </c>
      <c r="E537" s="220">
        <f>SUM(E532:E536)</f>
      </c>
      <c r="F537" s="220">
        <f>SUM(F532:G536)</f>
      </c>
      <c r="G537" s="220"/>
      <c r="H537" s="221">
        <f>SUM(H532:H536)</f>
      </c>
      <c r="I537" s="220">
        <f>SUM(I532:I536)</f>
      </c>
      <c r="J537" s="253">
        <f t="shared" si="23"/>
      </c>
      <c r="K537" s="223">
        <f t="shared" si="314"/>
      </c>
      <c r="L537" s="254">
        <f t="shared" si="284"/>
      </c>
      <c r="M537" s="225">
        <f t="shared" si="223"/>
      </c>
      <c r="N537" s="225">
        <f t="shared" si="193"/>
      </c>
      <c r="O537" s="226">
        <f t="shared" si="163"/>
      </c>
      <c r="P537" s="225">
        <f t="shared" si="253"/>
      </c>
      <c r="Q537" s="226"/>
      <c r="R537" s="226"/>
      <c r="S537" s="221">
        <f>SUM(S532:S536)</f>
      </c>
      <c r="T537" s="221">
        <f>SUM(T532:T536)</f>
      </c>
      <c r="U537" s="221">
        <f>SUM(U532:U536)</f>
      </c>
      <c r="V537" s="221">
        <f>SUM(V532:V536)</f>
      </c>
      <c r="W537" s="221">
        <f>SUM(W532:W536)</f>
      </c>
      <c r="X537" s="221">
        <f>SUM(X532:X536)</f>
      </c>
      <c r="Y537" s="221">
        <f>SUM(Y532:Y536)</f>
      </c>
      <c r="Z537" s="250"/>
    </row>
    <row r="538">
      <c r="A538" s="200"/>
      <c r="B538" s="245" t="s">
        <v>112</v>
      </c>
      <c r="C538" s="202" t="s">
        <v>134</v>
      </c>
      <c r="D538" s="202">
        <f t="shared" ref="D538:D539" si="121">E538+G538+F538</f>
      </c>
      <c r="E538" s="203">
        <v>803.33</v>
      </c>
      <c r="F538" s="203">
        <v>3700.86</v>
      </c>
      <c r="G538" s="203">
        <v>0</v>
      </c>
      <c r="H538" s="204">
        <v>16</v>
      </c>
      <c r="I538" s="203">
        <v>7577.64</v>
      </c>
      <c r="J538" s="206">
        <f t="shared" si="23"/>
      </c>
      <c r="K538" s="206">
        <f t="shared" si="314"/>
      </c>
      <c r="L538" s="206">
        <f t="shared" si="284"/>
      </c>
      <c r="M538" s="207">
        <f t="shared" si="223"/>
      </c>
      <c r="N538" s="208">
        <f t="shared" si="193"/>
      </c>
      <c r="O538" s="209">
        <f t="shared" si="163"/>
      </c>
      <c r="P538" s="208">
        <f t="shared" si="253"/>
      </c>
      <c r="Q538" s="210" t="s">
        <v>114</v>
      </c>
      <c r="R538" s="232" t="s">
        <v>129</v>
      </c>
      <c r="S538" s="267">
        <v>146338</v>
      </c>
      <c r="T538" s="267">
        <v>3417</v>
      </c>
      <c r="U538" s="267">
        <v>286</v>
      </c>
      <c r="V538" s="267">
        <v>4848</v>
      </c>
      <c r="W538" s="267">
        <v>542</v>
      </c>
      <c r="X538" s="233">
        <v>36</v>
      </c>
      <c r="Y538" s="229">
        <v>93</v>
      </c>
      <c r="Z538" s="250"/>
    </row>
    <row r="539">
      <c r="A539" s="200"/>
      <c r="B539" s="201" t="s">
        <v>112</v>
      </c>
      <c r="C539" s="202" t="s">
        <v>135</v>
      </c>
      <c r="D539" s="202">
        <f t="shared" si="121"/>
      </c>
      <c r="E539" s="203">
        <f>478.64+32.35</f>
      </c>
      <c r="F539" s="203">
        <v>2498.54</v>
      </c>
      <c r="G539" s="203">
        <v>0</v>
      </c>
      <c r="H539" s="204">
        <v>5</v>
      </c>
      <c r="I539" s="203">
        <v>1519.56</v>
      </c>
      <c r="J539" s="206">
        <f t="shared" si="23"/>
      </c>
      <c r="K539" s="206">
        <f t="shared" si="314"/>
      </c>
      <c r="L539" s="206">
        <f t="shared" si="284"/>
      </c>
      <c r="M539" s="207">
        <f t="shared" si="223"/>
      </c>
      <c r="N539" s="208">
        <f t="shared" si="193"/>
      </c>
      <c r="O539" s="209">
        <f t="shared" si="163"/>
      </c>
      <c r="P539" s="208">
        <f t="shared" si="253"/>
      </c>
      <c r="Q539" s="210" t="s">
        <v>114</v>
      </c>
      <c r="R539" s="232" t="s">
        <v>129</v>
      </c>
      <c r="S539" s="267">
        <v>82262</v>
      </c>
      <c r="T539" s="267">
        <v>1856</v>
      </c>
      <c r="U539" s="267">
        <v>178</v>
      </c>
      <c r="V539" s="267">
        <v>2512</v>
      </c>
      <c r="W539" s="268">
        <v>329</v>
      </c>
      <c r="X539" s="214">
        <v>10</v>
      </c>
      <c r="Y539" s="248">
        <v>73</v>
      </c>
      <c r="Z539" s="250"/>
    </row>
    <row r="540">
      <c r="A540" s="200"/>
      <c r="B540" s="219" t="s">
        <v>119</v>
      </c>
      <c r="C540" s="219"/>
      <c r="D540" s="220">
        <f>SUM(D538:D539)</f>
      </c>
      <c r="E540" s="220">
        <f>SUM(E538:E539)</f>
      </c>
      <c r="F540" s="220">
        <f>SUM(F538:G539)</f>
      </c>
      <c r="G540" s="220"/>
      <c r="H540" s="220">
        <f>SUM(H538:H539)</f>
      </c>
      <c r="I540" s="220">
        <f>SUM(I538:I539)</f>
      </c>
      <c r="J540" s="222">
        <f t="shared" si="23"/>
      </c>
      <c r="K540" s="223">
        <f t="shared" si="314"/>
      </c>
      <c r="L540" s="224">
        <f t="shared" si="284"/>
      </c>
      <c r="M540" s="225">
        <f t="shared" si="223"/>
      </c>
      <c r="N540" s="225">
        <f t="shared" si="193"/>
      </c>
      <c r="O540" s="226">
        <f t="shared" si="163"/>
      </c>
      <c r="P540" s="225">
        <f t="shared" si="253"/>
      </c>
      <c r="Q540" s="226"/>
      <c r="R540" s="235"/>
      <c r="S540" s="220">
        <f>SUM(S538:S539)</f>
      </c>
      <c r="T540" s="220">
        <f>SUM(T538:T539)</f>
      </c>
      <c r="U540" s="220">
        <f>SUM(U538:U539)</f>
      </c>
      <c r="V540" s="220">
        <f>SUM(V538:V539)</f>
      </c>
      <c r="W540" s="220">
        <f>SUM(W538:W539)</f>
      </c>
      <c r="X540" s="220">
        <f>SUM(X538:X539)</f>
      </c>
      <c r="Y540" s="220">
        <f>SUM(Y538:Y539)</f>
      </c>
      <c r="Z540" s="250"/>
    </row>
    <row r="541">
      <c r="A541" s="200"/>
      <c r="B541" s="236" t="s">
        <v>138</v>
      </c>
      <c r="C541" s="236"/>
      <c r="D541" s="237">
        <f>D540+D537+D531+D526</f>
      </c>
      <c r="E541" s="237">
        <f>E540+E537+E531+E526</f>
      </c>
      <c r="F541" s="237">
        <f>F540+F537+F531+F526</f>
      </c>
      <c r="G541" s="237"/>
      <c r="H541" s="238">
        <f>H540+H537+H531+H526</f>
      </c>
      <c r="I541" s="237">
        <f>I540+I537+I531+I526</f>
      </c>
      <c r="J541" s="239">
        <f t="shared" si="23"/>
      </c>
      <c r="K541" s="239">
        <f t="shared" si="314"/>
      </c>
      <c r="L541" s="239">
        <f t="shared" si="284"/>
      </c>
      <c r="M541" s="240">
        <f t="shared" si="223"/>
      </c>
      <c r="N541" s="240">
        <f t="shared" si="193"/>
      </c>
      <c r="O541" s="239">
        <f t="shared" si="163"/>
      </c>
      <c r="P541" s="240">
        <f t="shared" si="253"/>
      </c>
      <c r="Q541" s="241"/>
      <c r="R541" s="242"/>
      <c r="S541" s="243">
        <f>S540+S537+S531+S526</f>
      </c>
      <c r="T541" s="243">
        <f>T540+T537+T531+T526</f>
      </c>
      <c r="U541" s="243">
        <f>U540+U537+U531+U526</f>
      </c>
      <c r="V541" s="243">
        <f>V540+V537+V531+V526</f>
      </c>
      <c r="W541" s="243">
        <f>W540+W537+W531+W526</f>
      </c>
      <c r="X541" s="244">
        <f>X540+X537+X531+X526</f>
      </c>
      <c r="Y541" s="238">
        <f>Y540+Y537+Y531+Y526</f>
      </c>
      <c r="Z541" s="250"/>
    </row>
    <row r="542">
      <c r="A542" s="188" t="s">
        <v>83</v>
      </c>
      <c r="B542" s="188"/>
      <c r="C542" s="188"/>
      <c r="D542" s="189" t="s">
        <v>84</v>
      </c>
      <c r="E542" s="189"/>
      <c r="F542" s="189"/>
      <c r="G542" s="189"/>
      <c r="H542" s="189"/>
      <c r="I542" s="189"/>
      <c r="J542" s="189"/>
      <c r="K542" s="189"/>
      <c r="L542" s="189"/>
      <c r="M542" s="190" t="s">
        <v>85</v>
      </c>
      <c r="N542" s="190"/>
      <c r="O542" s="190"/>
      <c r="P542" s="190"/>
      <c r="Q542" s="190"/>
      <c r="R542" s="190"/>
      <c r="S542" s="191" t="s">
        <v>86</v>
      </c>
      <c r="T542" s="191"/>
      <c r="U542" s="191"/>
      <c r="V542" s="191"/>
      <c r="W542" s="191"/>
      <c r="X542" s="191"/>
      <c r="Y542" s="191"/>
      <c r="Z542" s="250"/>
    </row>
    <row r="543">
      <c r="A543" s="188" t="s">
        <v>87</v>
      </c>
      <c r="B543" s="188" t="s">
        <v>88</v>
      </c>
      <c r="C543" s="188" t="s">
        <v>89</v>
      </c>
      <c r="D543" s="193" t="s">
        <v>90</v>
      </c>
      <c r="E543" s="193" t="s">
        <v>91</v>
      </c>
      <c r="F543" s="189" t="s">
        <v>92</v>
      </c>
      <c r="G543" s="189"/>
      <c r="H543" s="194" t="s">
        <v>93</v>
      </c>
      <c r="I543" s="189" t="s">
        <v>94</v>
      </c>
      <c r="J543" s="195" t="s">
        <v>95</v>
      </c>
      <c r="K543" s="196" t="s">
        <v>96</v>
      </c>
      <c r="L543" s="189" t="s">
        <v>97</v>
      </c>
      <c r="M543" s="190" t="s">
        <v>98</v>
      </c>
      <c r="N543" s="190" t="s">
        <v>99</v>
      </c>
      <c r="O543" s="190" t="s">
        <v>100</v>
      </c>
      <c r="P543" s="190" t="s">
        <v>101</v>
      </c>
      <c r="Q543" s="197" t="s">
        <v>102</v>
      </c>
      <c r="R543" s="197" t="s">
        <v>103</v>
      </c>
      <c r="S543" s="198" t="s">
        <v>104</v>
      </c>
      <c r="T543" s="198" t="s">
        <v>105</v>
      </c>
      <c r="U543" s="199" t="s">
        <v>106</v>
      </c>
      <c r="V543" s="199" t="s">
        <v>107</v>
      </c>
      <c r="W543" s="199" t="s">
        <v>108</v>
      </c>
      <c r="X543" s="199" t="s">
        <v>109</v>
      </c>
      <c r="Y543" s="199" t="s">
        <v>110</v>
      </c>
      <c r="Z543" s="250"/>
    </row>
    <row r="544">
      <c r="A544" s="200" t="s">
        <v>174</v>
      </c>
      <c r="B544" s="245" t="s">
        <v>144</v>
      </c>
      <c r="C544" s="203" t="s">
        <v>128</v>
      </c>
      <c r="D544" s="202">
        <f t="shared" ref="D544:D547" si="122">E544+G544+F544</f>
      </c>
      <c r="E544" s="203">
        <v>787.98</v>
      </c>
      <c r="F544" s="203">
        <v>1597.44</v>
      </c>
      <c r="G544" s="203">
        <v>0</v>
      </c>
      <c r="H544" s="204">
        <v>12</v>
      </c>
      <c r="I544" s="203">
        <v>5347.48</v>
      </c>
      <c r="J544" s="205">
        <f t="shared" ref="J544:J555" si="24">I544/D544</f>
      </c>
      <c r="K544" s="205">
        <f t="shared" ref="K544:K555" si="315">D544/H544</f>
      </c>
      <c r="L544" s="206">
        <f t="shared" ref="L544:L555" si="285">I544/H544</f>
      </c>
      <c r="M544" s="207">
        <f t="shared" ref="M544:M555" si="224">T544/S544</f>
      </c>
      <c r="N544" s="208">
        <f t="shared" ref="N544:N555" si="194">H544/X544</f>
      </c>
      <c r="O544" s="209">
        <f t="shared" ref="O544:O555" si="164">(Y544*1000)/D544</f>
      </c>
      <c r="P544" s="208">
        <f t="shared" ref="P544:P555" si="254">W544/V544</f>
      </c>
      <c r="Q544" s="210" t="s">
        <v>127</v>
      </c>
      <c r="R544" s="211" t="s">
        <v>129</v>
      </c>
      <c r="S544" s="212">
        <v>55101</v>
      </c>
      <c r="T544" s="212">
        <v>2156</v>
      </c>
      <c r="U544" s="213">
        <v>243</v>
      </c>
      <c r="V544" s="212">
        <v>3489</v>
      </c>
      <c r="W544" s="212">
        <v>543</v>
      </c>
      <c r="X544" s="214">
        <v>24</v>
      </c>
      <c r="Y544" s="214">
        <v>84</v>
      </c>
      <c r="Z544" s="250"/>
    </row>
    <row r="545">
      <c r="A545" s="200"/>
      <c r="B545" s="245" t="s">
        <v>144</v>
      </c>
      <c r="C545" s="203" t="s">
        <v>130</v>
      </c>
      <c r="D545" s="202">
        <f t="shared" si="122"/>
      </c>
      <c r="E545" s="203">
        <v>937.34</v>
      </c>
      <c r="F545" s="203">
        <v>1914.53</v>
      </c>
      <c r="G545" s="203">
        <v>0</v>
      </c>
      <c r="H545" s="204">
        <v>9</v>
      </c>
      <c r="I545" s="203">
        <v>6302.85</v>
      </c>
      <c r="J545" s="206">
        <f t="shared" si="24"/>
      </c>
      <c r="K545" s="206">
        <f t="shared" si="315"/>
      </c>
      <c r="L545" s="205">
        <f t="shared" si="285"/>
      </c>
      <c r="M545" s="207">
        <f t="shared" si="224"/>
      </c>
      <c r="N545" s="208">
        <f t="shared" si="194"/>
      </c>
      <c r="O545" s="209">
        <f t="shared" si="164"/>
      </c>
      <c r="P545" s="208">
        <f t="shared" si="254"/>
      </c>
      <c r="Q545" s="210" t="s">
        <v>127</v>
      </c>
      <c r="R545" s="211" t="s">
        <v>129</v>
      </c>
      <c r="S545" s="216">
        <v>58393</v>
      </c>
      <c r="T545" s="216">
        <v>2697</v>
      </c>
      <c r="U545" s="212">
        <v>263</v>
      </c>
      <c r="V545" s="212">
        <v>4570</v>
      </c>
      <c r="W545" s="212">
        <v>783</v>
      </c>
      <c r="X545" s="214">
        <v>27</v>
      </c>
      <c r="Y545" s="214">
        <v>57</v>
      </c>
      <c r="Z545" s="250"/>
    </row>
    <row r="546">
      <c r="A546" s="200"/>
      <c r="B546" s="245" t="s">
        <v>144</v>
      </c>
      <c r="C546" s="203" t="s">
        <v>131</v>
      </c>
      <c r="D546" s="202">
        <f t="shared" si="122"/>
      </c>
      <c r="E546" s="203">
        <v>847.29</v>
      </c>
      <c r="F546" s="203">
        <v>2301.6</v>
      </c>
      <c r="G546" s="203">
        <v>0</v>
      </c>
      <c r="H546" s="204">
        <v>8</v>
      </c>
      <c r="I546" s="203">
        <v>4437.86</v>
      </c>
      <c r="J546" s="205">
        <f t="shared" si="24"/>
      </c>
      <c r="K546" s="205">
        <f t="shared" si="315"/>
      </c>
      <c r="L546" s="205">
        <f t="shared" si="285"/>
      </c>
      <c r="M546" s="259">
        <f t="shared" si="224"/>
      </c>
      <c r="N546" s="260">
        <f t="shared" si="194"/>
      </c>
      <c r="O546" s="261">
        <f t="shared" si="164"/>
      </c>
      <c r="P546" s="208">
        <f t="shared" si="254"/>
      </c>
      <c r="Q546" s="262" t="s">
        <v>127</v>
      </c>
      <c r="R546" s="211" t="s">
        <v>129</v>
      </c>
      <c r="S546" s="217">
        <v>81265</v>
      </c>
      <c r="T546" s="217">
        <v>3174</v>
      </c>
      <c r="U546" s="263">
        <v>274</v>
      </c>
      <c r="V546" s="217">
        <v>5177</v>
      </c>
      <c r="W546" s="217">
        <v>756</v>
      </c>
      <c r="X546" s="214">
        <v>21</v>
      </c>
      <c r="Y546" s="214">
        <v>92</v>
      </c>
      <c r="Z546" s="250"/>
    </row>
    <row r="547">
      <c r="A547" s="200"/>
      <c r="B547" s="245" t="s">
        <v>144</v>
      </c>
      <c r="C547" s="203" t="s">
        <v>133</v>
      </c>
      <c r="D547" s="202">
        <f t="shared" si="122"/>
      </c>
      <c r="E547" s="203">
        <v>1148.54</v>
      </c>
      <c r="F547" s="203">
        <v>2576.64</v>
      </c>
      <c r="G547" s="203">
        <v>0</v>
      </c>
      <c r="H547" s="204">
        <v>17</v>
      </c>
      <c r="I547" s="203">
        <v>7348.12</v>
      </c>
      <c r="J547" s="205">
        <f t="shared" si="24"/>
      </c>
      <c r="K547" s="206">
        <f t="shared" si="315"/>
      </c>
      <c r="L547" s="206">
        <f t="shared" si="285"/>
      </c>
      <c r="M547" s="207">
        <f t="shared" si="224"/>
      </c>
      <c r="N547" s="208">
        <f t="shared" si="194"/>
      </c>
      <c r="O547" s="209">
        <f t="shared" si="164"/>
      </c>
      <c r="P547" s="208">
        <f t="shared" si="254"/>
      </c>
      <c r="Q547" s="210" t="s">
        <v>127</v>
      </c>
      <c r="R547" s="211" t="s">
        <v>129</v>
      </c>
      <c r="S547" s="217">
        <v>79818</v>
      </c>
      <c r="T547" s="217">
        <v>4210</v>
      </c>
      <c r="U547" s="217">
        <v>329</v>
      </c>
      <c r="V547" s="217">
        <v>6638</v>
      </c>
      <c r="W547" s="217">
        <v>908</v>
      </c>
      <c r="X547" s="214">
        <v>35</v>
      </c>
      <c r="Y547" s="214">
        <v>104</v>
      </c>
      <c r="Z547" s="250"/>
    </row>
    <row r="548">
      <c r="A548" s="200"/>
      <c r="B548" s="219" t="s">
        <v>119</v>
      </c>
      <c r="C548" s="219"/>
      <c r="D548" s="220">
        <f>SUM(D544:D547)</f>
      </c>
      <c r="E548" s="220">
        <f>SUM(E544:E547)</f>
      </c>
      <c r="F548" s="220">
        <f>SUM(F544:G547)</f>
      </c>
      <c r="G548" s="220"/>
      <c r="H548" s="221">
        <f>SUM(H544:H547)</f>
      </c>
      <c r="I548" s="220">
        <f>SUM(I544:I547)</f>
      </c>
      <c r="J548" s="253">
        <f t="shared" si="24"/>
      </c>
      <c r="K548" s="264">
        <f t="shared" si="315"/>
      </c>
      <c r="L548" s="254">
        <f t="shared" si="285"/>
      </c>
      <c r="M548" s="265">
        <f t="shared" si="224"/>
      </c>
      <c r="N548" s="225">
        <f t="shared" si="194"/>
      </c>
      <c r="O548" s="266">
        <f t="shared" si="164"/>
      </c>
      <c r="P548" s="225">
        <f t="shared" si="254"/>
      </c>
      <c r="Q548" s="226"/>
      <c r="R548" s="226"/>
      <c r="S548" s="221">
        <f>SUM(S544:S547)</f>
      </c>
      <c r="T548" s="221">
        <f>SUM(T544:T547)</f>
      </c>
      <c r="U548" s="221">
        <f>SUM(U544:U547)</f>
      </c>
      <c r="V548" s="221">
        <f>SUM(V544:V547)</f>
      </c>
      <c r="W548" s="221">
        <f>SUM(W544:W547)</f>
      </c>
      <c r="X548" s="221">
        <f>SUM(X544:X547)</f>
      </c>
      <c r="Y548" s="221">
        <f>SUM(Y544:Y547)</f>
      </c>
      <c r="Z548" s="250"/>
    </row>
    <row r="549">
      <c r="A549" s="200"/>
      <c r="B549" s="245" t="s">
        <v>125</v>
      </c>
      <c r="C549" s="203" t="s">
        <v>134</v>
      </c>
      <c r="D549" s="202">
        <f t="shared" ref="D549:D552" si="123">E549+G549+F549</f>
      </c>
      <c r="E549" s="203">
        <v>2437.15</v>
      </c>
      <c r="F549" s="203">
        <v>4128.04</v>
      </c>
      <c r="G549" s="203">
        <v>0</v>
      </c>
      <c r="H549" s="204">
        <v>31</v>
      </c>
      <c r="I549" s="203">
        <v>18115.66</v>
      </c>
      <c r="J549" s="206">
        <f t="shared" si="24"/>
      </c>
      <c r="K549" s="206">
        <f t="shared" si="315"/>
      </c>
      <c r="L549" s="206">
        <f t="shared" si="285"/>
      </c>
      <c r="M549" s="207">
        <f t="shared" si="224"/>
      </c>
      <c r="N549" s="208">
        <f t="shared" si="194"/>
      </c>
      <c r="O549" s="209">
        <f t="shared" si="164"/>
      </c>
      <c r="P549" s="208">
        <f t="shared" si="254"/>
      </c>
      <c r="Q549" s="210" t="s">
        <v>114</v>
      </c>
      <c r="R549" s="211" t="s">
        <v>129</v>
      </c>
      <c r="S549" s="257">
        <v>144363</v>
      </c>
      <c r="T549" s="257">
        <v>7373</v>
      </c>
      <c r="U549" s="257">
        <v>572</v>
      </c>
      <c r="V549" s="257">
        <v>11481</v>
      </c>
      <c r="W549" s="257">
        <v>1392</v>
      </c>
      <c r="X549" s="229">
        <v>69</v>
      </c>
      <c r="Y549" s="229">
        <v>168</v>
      </c>
      <c r="Z549" s="250"/>
    </row>
    <row r="550">
      <c r="A550" s="200"/>
      <c r="B550" s="245" t="s">
        <v>125</v>
      </c>
      <c r="C550" s="203" t="s">
        <v>135</v>
      </c>
      <c r="D550" s="202">
        <f t="shared" si="123"/>
      </c>
      <c r="E550" s="203">
        <v>4319.79</v>
      </c>
      <c r="F550" s="203">
        <v>3810.6</v>
      </c>
      <c r="G550" s="203">
        <v>0</v>
      </c>
      <c r="H550" s="204">
        <v>35</v>
      </c>
      <c r="I550" s="203">
        <v>18645.86</v>
      </c>
      <c r="J550" s="206">
        <f t="shared" si="24"/>
      </c>
      <c r="K550" s="206">
        <f t="shared" si="315"/>
      </c>
      <c r="L550" s="206">
        <f t="shared" si="285"/>
      </c>
      <c r="M550" s="207">
        <f t="shared" si="224"/>
      </c>
      <c r="N550" s="208">
        <f t="shared" si="194"/>
      </c>
      <c r="O550" s="209">
        <f t="shared" si="164"/>
      </c>
      <c r="P550" s="208">
        <f t="shared" si="254"/>
      </c>
      <c r="Q550" s="210" t="s">
        <v>114</v>
      </c>
      <c r="R550" s="232" t="s">
        <v>129</v>
      </c>
      <c r="S550" s="228">
        <v>201564</v>
      </c>
      <c r="T550" s="228">
        <v>12110</v>
      </c>
      <c r="U550" s="228">
        <v>627</v>
      </c>
      <c r="V550" s="228">
        <v>20924</v>
      </c>
      <c r="W550" s="228">
        <v>2663</v>
      </c>
      <c r="X550" s="229">
        <v>74</v>
      </c>
      <c r="Y550" s="229">
        <v>193</v>
      </c>
      <c r="Z550" s="250"/>
    </row>
    <row r="551">
      <c r="A551" s="200"/>
      <c r="B551" s="245" t="s">
        <v>125</v>
      </c>
      <c r="C551" s="203" t="s">
        <v>136</v>
      </c>
      <c r="D551" s="202">
        <f t="shared" si="123"/>
      </c>
      <c r="E551" s="203">
        <v>4359.97</v>
      </c>
      <c r="F551" s="203">
        <v>9712.94</v>
      </c>
      <c r="G551" s="203">
        <v>0</v>
      </c>
      <c r="H551" s="204">
        <v>56</v>
      </c>
      <c r="I551" s="203">
        <v>27794</v>
      </c>
      <c r="J551" s="206">
        <f t="shared" si="24"/>
      </c>
      <c r="K551" s="206">
        <f t="shared" si="315"/>
      </c>
      <c r="L551" s="206">
        <f t="shared" si="285"/>
      </c>
      <c r="M551" s="207">
        <f t="shared" si="224"/>
      </c>
      <c r="N551" s="208">
        <f t="shared" si="194"/>
      </c>
      <c r="O551" s="209">
        <f t="shared" si="164"/>
      </c>
      <c r="P551" s="208">
        <f t="shared" si="254"/>
      </c>
      <c r="Q551" s="210" t="s">
        <v>114</v>
      </c>
      <c r="R551" s="232" t="s">
        <v>129</v>
      </c>
      <c r="S551" s="228">
        <v>411108</v>
      </c>
      <c r="T551" s="228">
        <v>16286</v>
      </c>
      <c r="U551" s="228">
        <v>1166</v>
      </c>
      <c r="V551" s="228">
        <v>26677</v>
      </c>
      <c r="W551" s="228">
        <v>3106</v>
      </c>
      <c r="X551" s="229">
        <v>110</v>
      </c>
      <c r="Y551" s="229">
        <v>225</v>
      </c>
      <c r="Z551" s="250"/>
    </row>
    <row r="552">
      <c r="A552" s="200"/>
      <c r="B552" s="245" t="s">
        <v>125</v>
      </c>
      <c r="C552" s="203" t="s">
        <v>137</v>
      </c>
      <c r="D552" s="202">
        <f t="shared" si="123"/>
      </c>
      <c r="E552" s="203">
        <f>17853.72+1.05</f>
      </c>
      <c r="F552" s="203">
        <v>9672.49</v>
      </c>
      <c r="G552" s="203">
        <v>0</v>
      </c>
      <c r="H552" s="204">
        <v>88</v>
      </c>
      <c r="I552" s="203">
        <v>45430.55</v>
      </c>
      <c r="J552" s="206">
        <f t="shared" si="24"/>
      </c>
      <c r="K552" s="206">
        <f t="shared" si="315"/>
      </c>
      <c r="L552" s="206">
        <f t="shared" si="285"/>
      </c>
      <c r="M552" s="207">
        <f t="shared" si="224"/>
      </c>
      <c r="N552" s="208">
        <f t="shared" si="194"/>
      </c>
      <c r="O552" s="209">
        <f t="shared" si="164"/>
      </c>
      <c r="P552" s="208">
        <f t="shared" si="254"/>
      </c>
      <c r="Q552" s="210" t="s">
        <v>114</v>
      </c>
      <c r="R552" s="232" t="s">
        <v>129</v>
      </c>
      <c r="S552" s="228">
        <v>742224</v>
      </c>
      <c r="T552" s="228">
        <v>48900</v>
      </c>
      <c r="U552" s="228">
        <v>2235</v>
      </c>
      <c r="V552" s="228">
        <v>97132</v>
      </c>
      <c r="W552" s="228">
        <v>12201</v>
      </c>
      <c r="X552" s="229">
        <v>168</v>
      </c>
      <c r="Y552" s="229">
        <v>383</v>
      </c>
      <c r="Z552" s="250"/>
    </row>
    <row r="553">
      <c r="A553" s="200"/>
      <c r="B553" s="219" t="s">
        <v>119</v>
      </c>
      <c r="C553" s="219"/>
      <c r="D553" s="220">
        <f>SUM(D549:D552)</f>
      </c>
      <c r="E553" s="220">
        <f>SUM(E549:E552)</f>
      </c>
      <c r="F553" s="220">
        <f>SUM(F549:G552)</f>
      </c>
      <c r="G553" s="220"/>
      <c r="H553" s="221">
        <f>SUM(H549:H552)</f>
      </c>
      <c r="I553" s="220">
        <f>SUM(I549:I552)</f>
      </c>
      <c r="J553" s="253">
        <f t="shared" si="24"/>
      </c>
      <c r="K553" s="223">
        <f t="shared" si="315"/>
      </c>
      <c r="L553" s="254">
        <f t="shared" si="285"/>
      </c>
      <c r="M553" s="225">
        <f t="shared" si="224"/>
      </c>
      <c r="N553" s="225">
        <f t="shared" si="194"/>
      </c>
      <c r="O553" s="226">
        <f t="shared" si="164"/>
      </c>
      <c r="P553" s="225">
        <f t="shared" si="254"/>
      </c>
      <c r="Q553" s="226"/>
      <c r="R553" s="226"/>
      <c r="S553" s="221">
        <f>SUM(S549:S552)</f>
      </c>
      <c r="T553" s="221">
        <f>SUM(T549:T552)</f>
      </c>
      <c r="U553" s="221">
        <f>SUM(U549:U552)</f>
      </c>
      <c r="V553" s="221">
        <f>SUM(V549:V552)</f>
      </c>
      <c r="W553" s="221">
        <f>SUM(W549:W552)</f>
      </c>
      <c r="X553" s="221">
        <f>SUM(X549:X552)</f>
      </c>
      <c r="Y553" s="221">
        <f>SUM(Y549:Y552)</f>
      </c>
      <c r="Z553" s="250"/>
    </row>
    <row hidden="true" r="554">
      <c r="A554" s="200"/>
      <c r="B554" s="245" t="s">
        <v>112</v>
      </c>
      <c r="C554" s="202" t="s">
        <v>134</v>
      </c>
      <c r="D554" s="202">
        <f>E554+G554+F554</f>
      </c>
      <c r="E554" s="203"/>
      <c r="F554" s="203"/>
      <c r="G554" s="203"/>
      <c r="H554" s="204"/>
      <c r="I554" s="203"/>
      <c r="J554" s="206">
        <f t="shared" si="24"/>
      </c>
      <c r="K554" s="206">
        <f t="shared" si="315"/>
      </c>
      <c r="L554" s="206">
        <f t="shared" si="285"/>
      </c>
      <c r="M554" s="207">
        <f t="shared" si="224"/>
      </c>
      <c r="N554" s="208">
        <f t="shared" si="194"/>
      </c>
      <c r="O554" s="209">
        <f t="shared" si="164"/>
      </c>
      <c r="P554" s="208">
        <f t="shared" si="254"/>
      </c>
      <c r="Q554" s="210" t="s">
        <v>114</v>
      </c>
      <c r="R554" s="232" t="s">
        <v>129</v>
      </c>
      <c r="S554" s="267"/>
      <c r="T554" s="267"/>
      <c r="U554" s="267"/>
      <c r="V554" s="267"/>
      <c r="W554" s="267"/>
      <c r="X554" s="233"/>
      <c r="Y554" s="229"/>
      <c r="Z554" s="250"/>
    </row>
    <row r="555">
      <c r="A555" s="200"/>
      <c r="B555" s="236" t="s">
        <v>138</v>
      </c>
      <c r="C555" s="236"/>
      <c r="D555" s="237">
        <f>D553+D548</f>
      </c>
      <c r="E555" s="269">
        <f>E553+E548</f>
      </c>
      <c r="F555" s="237">
        <f>F553+F548</f>
      </c>
      <c r="G555" s="237"/>
      <c r="H555" s="238">
        <f>H553+H548</f>
      </c>
      <c r="I555" s="237">
        <f>I553+I548</f>
      </c>
      <c r="J555" s="239">
        <f t="shared" si="24"/>
      </c>
      <c r="K555" s="239">
        <f t="shared" si="315"/>
      </c>
      <c r="L555" s="239">
        <f t="shared" si="285"/>
      </c>
      <c r="M555" s="240">
        <f t="shared" si="224"/>
      </c>
      <c r="N555" s="240">
        <f t="shared" si="194"/>
      </c>
      <c r="O555" s="239">
        <f t="shared" si="164"/>
      </c>
      <c r="P555" s="240">
        <f t="shared" si="254"/>
      </c>
      <c r="Q555" s="241"/>
      <c r="R555" s="242"/>
      <c r="S555" s="243">
        <f>S553+S548</f>
      </c>
      <c r="T555" s="243">
        <f>T553+T548</f>
      </c>
      <c r="U555" s="243">
        <f>U553+U548</f>
      </c>
      <c r="V555" s="243">
        <f>V553+V548</f>
      </c>
      <c r="W555" s="243">
        <f>W553+W548</f>
      </c>
      <c r="X555" s="244">
        <f>X553+X548</f>
      </c>
      <c r="Y555" s="238">
        <f>Y553+Y548</f>
      </c>
      <c r="Z555" s="250"/>
    </row>
    <row r="556">
      <c r="A556" s="188" t="s">
        <v>83</v>
      </c>
      <c r="B556" s="188"/>
      <c r="C556" s="188"/>
      <c r="D556" s="189" t="s">
        <v>84</v>
      </c>
      <c r="E556" s="189"/>
      <c r="F556" s="189"/>
      <c r="G556" s="189"/>
      <c r="H556" s="189"/>
      <c r="I556" s="189"/>
      <c r="J556" s="189"/>
      <c r="K556" s="189"/>
      <c r="L556" s="189"/>
      <c r="M556" s="190" t="s">
        <v>85</v>
      </c>
      <c r="N556" s="190"/>
      <c r="O556" s="190"/>
      <c r="P556" s="190"/>
      <c r="Q556" s="190"/>
      <c r="R556" s="190"/>
      <c r="S556" s="191" t="s">
        <v>86</v>
      </c>
      <c r="T556" s="191"/>
      <c r="U556" s="191"/>
      <c r="V556" s="191"/>
      <c r="W556" s="191"/>
      <c r="X556" s="191"/>
      <c r="Y556" s="191"/>
      <c r="Z556" s="250"/>
    </row>
    <row r="557">
      <c r="A557" s="188" t="s">
        <v>87</v>
      </c>
      <c r="B557" s="188" t="s">
        <v>88</v>
      </c>
      <c r="C557" s="188" t="s">
        <v>89</v>
      </c>
      <c r="D557" s="193" t="s">
        <v>90</v>
      </c>
      <c r="E557" s="193" t="s">
        <v>91</v>
      </c>
      <c r="F557" s="189" t="s">
        <v>92</v>
      </c>
      <c r="G557" s="189"/>
      <c r="H557" s="194" t="s">
        <v>93</v>
      </c>
      <c r="I557" s="189" t="s">
        <v>94</v>
      </c>
      <c r="J557" s="195" t="s">
        <v>95</v>
      </c>
      <c r="K557" s="196" t="s">
        <v>96</v>
      </c>
      <c r="L557" s="189" t="s">
        <v>97</v>
      </c>
      <c r="M557" s="190" t="s">
        <v>98</v>
      </c>
      <c r="N557" s="190" t="s">
        <v>99</v>
      </c>
      <c r="O557" s="190" t="s">
        <v>100</v>
      </c>
      <c r="P557" s="190" t="s">
        <v>101</v>
      </c>
      <c r="Q557" s="197" t="s">
        <v>102</v>
      </c>
      <c r="R557" s="197" t="s">
        <v>103</v>
      </c>
      <c r="S557" s="198" t="s">
        <v>104</v>
      </c>
      <c r="T557" s="198" t="s">
        <v>105</v>
      </c>
      <c r="U557" s="199" t="s">
        <v>106</v>
      </c>
      <c r="V557" s="199" t="s">
        <v>107</v>
      </c>
      <c r="W557" s="199" t="s">
        <v>108</v>
      </c>
      <c r="X557" s="199" t="s">
        <v>109</v>
      </c>
      <c r="Y557" s="199" t="s">
        <v>110</v>
      </c>
      <c r="Z557" s="250"/>
    </row>
    <row r="558">
      <c r="A558" s="200" t="s">
        <v>175</v>
      </c>
      <c r="B558" s="245" t="s">
        <v>144</v>
      </c>
      <c r="C558" s="203" t="s">
        <v>130</v>
      </c>
      <c r="D558" s="202">
        <f t="shared" ref="D558:D560" si="124">E558+G558+F558</f>
      </c>
      <c r="E558" s="203">
        <v>1195.3</v>
      </c>
      <c r="F558" s="203">
        <v>2882.24</v>
      </c>
      <c r="G558" s="203">
        <v>0</v>
      </c>
      <c r="H558" s="204">
        <v>16</v>
      </c>
      <c r="I558" s="203">
        <v>7095.26</v>
      </c>
      <c r="J558" s="205">
        <f t="shared" ref="J558:J568" si="25">I558/D558</f>
      </c>
      <c r="K558" s="205">
        <f t="shared" ref="K558:K568" si="316">D558/H558</f>
      </c>
      <c r="L558" s="206">
        <f t="shared" ref="L558:L568" si="286">I558/H558</f>
      </c>
      <c r="M558" s="207">
        <f t="shared" ref="M558:M568" si="225">T558/S558</f>
      </c>
      <c r="N558" s="208">
        <f t="shared" ref="N558:N568" si="195">H558/X558</f>
      </c>
      <c r="O558" s="209">
        <f t="shared" ref="O558:O568" si="165">(Y558*1000)/D558</f>
      </c>
      <c r="P558" s="208">
        <f t="shared" ref="P558:P568" si="255">W558/V558</f>
      </c>
      <c r="Q558" s="210" t="s">
        <v>114</v>
      </c>
      <c r="R558" s="211" t="s">
        <v>129</v>
      </c>
      <c r="S558" s="212">
        <v>97951</v>
      </c>
      <c r="T558" s="212">
        <v>4183</v>
      </c>
      <c r="U558" s="213">
        <v>334</v>
      </c>
      <c r="V558" s="212">
        <v>7029</v>
      </c>
      <c r="W558" s="212">
        <v>967</v>
      </c>
      <c r="X558" s="214">
        <v>35</v>
      </c>
      <c r="Y558" s="214">
        <v>88</v>
      </c>
      <c r="Z558" s="250"/>
    </row>
    <row r="559">
      <c r="A559" s="200"/>
      <c r="B559" s="245" t="s">
        <v>144</v>
      </c>
      <c r="C559" s="203" t="s">
        <v>131</v>
      </c>
      <c r="D559" s="202">
        <f t="shared" si="124"/>
      </c>
      <c r="E559" s="203">
        <v>1681.4</v>
      </c>
      <c r="F559" s="203">
        <v>2937.42</v>
      </c>
      <c r="G559" s="203">
        <v>0</v>
      </c>
      <c r="H559" s="204">
        <v>16</v>
      </c>
      <c r="I559" s="203">
        <v>8718.45</v>
      </c>
      <c r="J559" s="206">
        <f t="shared" si="25"/>
      </c>
      <c r="K559" s="206">
        <f t="shared" si="316"/>
      </c>
      <c r="L559" s="205">
        <f t="shared" si="286"/>
      </c>
      <c r="M559" s="207">
        <f t="shared" si="225"/>
      </c>
      <c r="N559" s="208">
        <f t="shared" si="195"/>
      </c>
      <c r="O559" s="209">
        <f t="shared" si="165"/>
      </c>
      <c r="P559" s="208">
        <f t="shared" si="255"/>
      </c>
      <c r="Q559" s="210" t="s">
        <v>114</v>
      </c>
      <c r="R559" s="211" t="s">
        <v>129</v>
      </c>
      <c r="S559" s="216">
        <v>120855</v>
      </c>
      <c r="T559" s="216">
        <v>6706</v>
      </c>
      <c r="U559" s="212">
        <v>390</v>
      </c>
      <c r="V559" s="212">
        <v>11877</v>
      </c>
      <c r="W559" s="212">
        <v>1500</v>
      </c>
      <c r="X559" s="214">
        <v>27</v>
      </c>
      <c r="Y559" s="214">
        <v>91</v>
      </c>
      <c r="Z559" s="250"/>
    </row>
    <row r="560">
      <c r="A560" s="200"/>
      <c r="B560" s="245" t="s">
        <v>144</v>
      </c>
      <c r="C560" s="203" t="s">
        <v>133</v>
      </c>
      <c r="D560" s="202">
        <f t="shared" si="124"/>
      </c>
      <c r="E560" s="203">
        <v>2089.88</v>
      </c>
      <c r="F560" s="203">
        <v>1467.49</v>
      </c>
      <c r="G560" s="203">
        <v>0</v>
      </c>
      <c r="H560" s="204">
        <v>17</v>
      </c>
      <c r="I560" s="203">
        <v>12320.88</v>
      </c>
      <c r="J560" s="205">
        <f t="shared" si="25"/>
      </c>
      <c r="K560" s="206">
        <f t="shared" si="316"/>
      </c>
      <c r="L560" s="206">
        <f t="shared" si="286"/>
      </c>
      <c r="M560" s="207">
        <f t="shared" si="225"/>
      </c>
      <c r="N560" s="208">
        <f t="shared" si="195"/>
      </c>
      <c r="O560" s="209">
        <f t="shared" si="165"/>
      </c>
      <c r="P560" s="208">
        <f t="shared" si="255"/>
      </c>
      <c r="Q560" s="210" t="s">
        <v>114</v>
      </c>
      <c r="R560" s="211" t="s">
        <v>129</v>
      </c>
      <c r="S560" s="217">
        <v>89016</v>
      </c>
      <c r="T560" s="217">
        <v>5073</v>
      </c>
      <c r="U560" s="217">
        <v>320</v>
      </c>
      <c r="V560" s="217">
        <v>10327</v>
      </c>
      <c r="W560" s="217">
        <v>1276</v>
      </c>
      <c r="X560" s="214">
        <v>36</v>
      </c>
      <c r="Y560" s="214">
        <v>69</v>
      </c>
      <c r="Z560" s="250"/>
    </row>
    <row r="561">
      <c r="A561" s="200"/>
      <c r="B561" s="219" t="s">
        <v>119</v>
      </c>
      <c r="C561" s="219"/>
      <c r="D561" s="220">
        <f>SUM(D558:D560)</f>
      </c>
      <c r="E561" s="220">
        <f>SUM(E558:E560)</f>
      </c>
      <c r="F561" s="220">
        <f>SUM(F558:G560)</f>
      </c>
      <c r="G561" s="220"/>
      <c r="H561" s="221">
        <f>SUM(H558:H560)</f>
      </c>
      <c r="I561" s="220">
        <f>SUM(I558:I560)</f>
      </c>
      <c r="J561" s="253">
        <f t="shared" si="25"/>
      </c>
      <c r="K561" s="264">
        <f t="shared" si="316"/>
      </c>
      <c r="L561" s="254">
        <f t="shared" si="286"/>
      </c>
      <c r="M561" s="265">
        <f t="shared" si="225"/>
      </c>
      <c r="N561" s="225">
        <f t="shared" si="195"/>
      </c>
      <c r="O561" s="266">
        <f t="shared" si="165"/>
      </c>
      <c r="P561" s="225">
        <f t="shared" si="255"/>
      </c>
      <c r="Q561" s="226"/>
      <c r="R561" s="226"/>
      <c r="S561" s="221">
        <f>SUM(S558:S560)</f>
      </c>
      <c r="T561" s="221">
        <f>SUM(T558:T560)</f>
      </c>
      <c r="U561" s="221">
        <f>SUM(U558:U560)</f>
      </c>
      <c r="V561" s="221">
        <f>SUM(V558:V560)</f>
      </c>
      <c r="W561" s="221">
        <f>SUM(W558:W560)</f>
      </c>
      <c r="X561" s="221">
        <f>SUM(X558:X560)</f>
      </c>
      <c r="Y561" s="221">
        <f>SUM(Y558:Y560)</f>
      </c>
      <c r="Z561" s="250"/>
    </row>
    <row r="562">
      <c r="A562" s="200"/>
      <c r="B562" s="245" t="s">
        <v>112</v>
      </c>
      <c r="C562" s="203" t="s">
        <v>134</v>
      </c>
      <c r="D562" s="202">
        <f t="shared" ref="D562:D566" si="125">E562+G562+F562</f>
      </c>
      <c r="E562" s="203">
        <v>671.21</v>
      </c>
      <c r="F562" s="203">
        <v>1425.52</v>
      </c>
      <c r="G562" s="203">
        <v>0</v>
      </c>
      <c r="H562" s="204">
        <v>14</v>
      </c>
      <c r="I562" s="203">
        <v>4341.24</v>
      </c>
      <c r="J562" s="206">
        <f t="shared" si="25"/>
      </c>
      <c r="K562" s="206">
        <f t="shared" si="316"/>
      </c>
      <c r="L562" s="206">
        <f t="shared" si="286"/>
      </c>
      <c r="M562" s="207">
        <f t="shared" si="225"/>
      </c>
      <c r="N562" s="208">
        <f t="shared" si="195"/>
      </c>
      <c r="O562" s="209">
        <f t="shared" si="165"/>
      </c>
      <c r="P562" s="208">
        <f t="shared" si="255"/>
      </c>
      <c r="Q562" s="210" t="s">
        <v>114</v>
      </c>
      <c r="R562" s="211" t="s">
        <v>129</v>
      </c>
      <c r="S562" s="257">
        <v>62940</v>
      </c>
      <c r="T562" s="257">
        <v>2284</v>
      </c>
      <c r="U562" s="257">
        <v>163</v>
      </c>
      <c r="V562" s="257">
        <v>2862</v>
      </c>
      <c r="W562" s="257">
        <v>261</v>
      </c>
      <c r="X562" s="229">
        <v>25</v>
      </c>
      <c r="Y562" s="229">
        <v>43</v>
      </c>
      <c r="Z562" s="250"/>
    </row>
    <row r="563">
      <c r="A563" s="200"/>
      <c r="B563" s="245" t="s">
        <v>112</v>
      </c>
      <c r="C563" s="203" t="s">
        <v>135</v>
      </c>
      <c r="D563" s="202">
        <f t="shared" si="125"/>
      </c>
      <c r="E563" s="203">
        <v>512.57</v>
      </c>
      <c r="F563" s="203">
        <v>3840.35</v>
      </c>
      <c r="G563" s="203">
        <v>0</v>
      </c>
      <c r="H563" s="204">
        <v>14</v>
      </c>
      <c r="I563" s="203">
        <v>6151.7</v>
      </c>
      <c r="J563" s="206">
        <f t="shared" si="25"/>
      </c>
      <c r="K563" s="206">
        <f t="shared" si="316"/>
      </c>
      <c r="L563" s="206">
        <f t="shared" si="286"/>
      </c>
      <c r="M563" s="207">
        <f t="shared" si="225"/>
      </c>
      <c r="N563" s="208">
        <f t="shared" si="195"/>
      </c>
      <c r="O563" s="209">
        <f t="shared" si="165"/>
      </c>
      <c r="P563" s="208">
        <f t="shared" si="255"/>
      </c>
      <c r="Q563" s="210" t="s">
        <v>114</v>
      </c>
      <c r="R563" s="232" t="s">
        <v>129</v>
      </c>
      <c r="S563" s="228">
        <v>211111</v>
      </c>
      <c r="T563" s="228">
        <v>864</v>
      </c>
      <c r="U563" s="228">
        <v>272</v>
      </c>
      <c r="V563" s="228">
        <v>927</v>
      </c>
      <c r="W563" s="228">
        <v>210</v>
      </c>
      <c r="X563" s="229">
        <v>21</v>
      </c>
      <c r="Y563" s="229">
        <v>47</v>
      </c>
      <c r="Z563" s="250"/>
    </row>
    <row r="564">
      <c r="A564" s="200"/>
      <c r="B564" s="245" t="s">
        <v>112</v>
      </c>
      <c r="C564" s="203" t="s">
        <v>136</v>
      </c>
      <c r="D564" s="202">
        <f t="shared" si="125"/>
      </c>
      <c r="E564" s="203">
        <v>1490.78</v>
      </c>
      <c r="F564" s="203">
        <v>5653.93</v>
      </c>
      <c r="G564" s="203">
        <v>0</v>
      </c>
      <c r="H564" s="204">
        <v>29</v>
      </c>
      <c r="I564" s="203">
        <v>15629.48</v>
      </c>
      <c r="J564" s="206">
        <f t="shared" si="25"/>
      </c>
      <c r="K564" s="206">
        <f t="shared" si="316"/>
      </c>
      <c r="L564" s="206">
        <f t="shared" si="286"/>
      </c>
      <c r="M564" s="207">
        <f t="shared" si="225"/>
      </c>
      <c r="N564" s="208">
        <f t="shared" si="195"/>
      </c>
      <c r="O564" s="209">
        <f t="shared" si="165"/>
      </c>
      <c r="P564" s="208">
        <f t="shared" si="255"/>
      </c>
      <c r="Q564" s="210" t="s">
        <v>114</v>
      </c>
      <c r="R564" s="232" t="s">
        <v>129</v>
      </c>
      <c r="S564" s="228">
        <v>204415</v>
      </c>
      <c r="T564" s="228">
        <v>11122</v>
      </c>
      <c r="U564" s="228">
        <v>485</v>
      </c>
      <c r="V564" s="228">
        <v>14207</v>
      </c>
      <c r="W564" s="228">
        <v>1016</v>
      </c>
      <c r="X564" s="229">
        <v>54</v>
      </c>
      <c r="Y564" s="229">
        <v>86</v>
      </c>
      <c r="Z564" s="250"/>
    </row>
    <row customHeight="true" ht="16.666666666666668" r="565">
      <c r="A565" s="200"/>
      <c r="B565" s="245" t="s">
        <v>112</v>
      </c>
      <c r="C565" s="203" t="s">
        <v>137</v>
      </c>
      <c r="D565" s="202">
        <f t="shared" si="125"/>
      </c>
      <c r="E565" s="203">
        <v>9490.08</v>
      </c>
      <c r="F565" s="203">
        <v>2827.85</v>
      </c>
      <c r="G565" s="203">
        <v>0</v>
      </c>
      <c r="H565" s="204">
        <v>49</v>
      </c>
      <c r="I565" s="203">
        <v>24242.04</v>
      </c>
      <c r="J565" s="206">
        <f t="shared" si="25"/>
      </c>
      <c r="K565" s="206">
        <f t="shared" si="316"/>
      </c>
      <c r="L565" s="206">
        <f t="shared" si="286"/>
      </c>
      <c r="M565" s="207">
        <f t="shared" si="225"/>
      </c>
      <c r="N565" s="208">
        <f t="shared" si="195"/>
      </c>
      <c r="O565" s="209">
        <f t="shared" si="165"/>
      </c>
      <c r="P565" s="208">
        <f t="shared" si="255"/>
      </c>
      <c r="Q565" s="210" t="s">
        <v>114</v>
      </c>
      <c r="R565" s="232" t="s">
        <v>129</v>
      </c>
      <c r="S565" s="228">
        <v>252898</v>
      </c>
      <c r="T565" s="228">
        <v>19085</v>
      </c>
      <c r="U565" s="228">
        <v>883</v>
      </c>
      <c r="V565" s="228">
        <v>38799</v>
      </c>
      <c r="W565" s="228">
        <v>4361</v>
      </c>
      <c r="X565" s="229">
        <v>76</v>
      </c>
      <c r="Y565" s="229">
        <v>155</v>
      </c>
      <c r="Z565" s="250"/>
    </row>
    <row r="566">
      <c r="A566" s="200"/>
      <c r="B566" s="245" t="s">
        <v>112</v>
      </c>
      <c r="C566" s="203" t="s">
        <v>176</v>
      </c>
      <c r="D566" s="202">
        <f t="shared" si="125"/>
      </c>
      <c r="E566" s="203">
        <v>4086.27</v>
      </c>
      <c r="F566" s="203">
        <v>2535.34</v>
      </c>
      <c r="G566" s="203">
        <v>0</v>
      </c>
      <c r="H566" s="204">
        <v>31</v>
      </c>
      <c r="I566" s="203">
        <v>17521.22</v>
      </c>
      <c r="J566" s="206">
        <f t="shared" si="25"/>
      </c>
      <c r="K566" s="206">
        <f t="shared" si="316"/>
      </c>
      <c r="L566" s="206">
        <f t="shared" si="286"/>
      </c>
      <c r="M566" s="207">
        <f t="shared" si="225"/>
      </c>
      <c r="N566" s="208">
        <f t="shared" si="195"/>
      </c>
      <c r="O566" s="209">
        <f t="shared" si="165"/>
      </c>
      <c r="P566" s="208">
        <f t="shared" si="255"/>
      </c>
      <c r="Q566" s="210" t="s">
        <v>114</v>
      </c>
      <c r="R566" s="232" t="s">
        <v>129</v>
      </c>
      <c r="S566" s="270">
        <f>SUM(S563:S565)</f>
      </c>
      <c r="T566" s="270">
        <f>SUM(T563:T565)</f>
      </c>
      <c r="U566" s="270">
        <f>SUM(U563:U565)</f>
      </c>
      <c r="V566" s="270">
        <f>SUM(V563:V565)</f>
      </c>
      <c r="W566" s="270">
        <f>SUM(W563:W565)</f>
      </c>
      <c r="X566" s="229">
        <v>49</v>
      </c>
      <c r="Y566" s="229">
        <v>124</v>
      </c>
      <c r="Z566" s="250"/>
    </row>
    <row r="567">
      <c r="A567" s="200"/>
      <c r="B567" s="219" t="s">
        <v>119</v>
      </c>
      <c r="C567" s="219"/>
      <c r="D567" s="220">
        <f>SUM(D562:D566)</f>
      </c>
      <c r="E567" s="220">
        <f>SUM(E562:E566)</f>
      </c>
      <c r="F567" s="220">
        <f>SUM(F562:G566)</f>
      </c>
      <c r="G567" s="220"/>
      <c r="H567" s="221">
        <f>SUM(H562:H566)</f>
      </c>
      <c r="I567" s="220">
        <f>SUM(I562:I566)</f>
      </c>
      <c r="J567" s="253">
        <f t="shared" si="25"/>
      </c>
      <c r="K567" s="223">
        <f t="shared" si="316"/>
      </c>
      <c r="L567" s="254">
        <f t="shared" si="286"/>
      </c>
      <c r="M567" s="225">
        <f t="shared" si="225"/>
      </c>
      <c r="N567" s="225">
        <f t="shared" si="195"/>
      </c>
      <c r="O567" s="226">
        <f t="shared" si="165"/>
      </c>
      <c r="P567" s="225">
        <f t="shared" si="255"/>
      </c>
      <c r="Q567" s="226"/>
      <c r="R567" s="226"/>
      <c r="S567" s="221">
        <f>SUM(S562:S566)</f>
      </c>
      <c r="T567" s="221">
        <f>SUM(T562:T566)</f>
      </c>
      <c r="U567" s="221">
        <f>SUM(U562:U566)</f>
      </c>
      <c r="V567" s="221">
        <f>SUM(V562:V566)</f>
      </c>
      <c r="W567" s="221">
        <f>SUM(W562:W566)</f>
      </c>
      <c r="X567" s="221">
        <f>SUM(X562:X566)</f>
      </c>
      <c r="Y567" s="221">
        <f>SUM(Y562:Y566)</f>
      </c>
      <c r="Z567" s="250"/>
    </row>
    <row r="568">
      <c r="A568" s="200"/>
      <c r="B568" s="236" t="s">
        <v>138</v>
      </c>
      <c r="C568" s="236"/>
      <c r="D568" s="237">
        <f>D567+D561</f>
      </c>
      <c r="E568" s="269">
        <f>E567+E561</f>
      </c>
      <c r="F568" s="237">
        <f>F567+F561</f>
      </c>
      <c r="G568" s="237"/>
      <c r="H568" s="238">
        <f>H567+H561</f>
      </c>
      <c r="I568" s="237">
        <f>I567+I561</f>
      </c>
      <c r="J568" s="239">
        <f t="shared" si="25"/>
      </c>
      <c r="K568" s="239">
        <f t="shared" si="316"/>
      </c>
      <c r="L568" s="239">
        <f t="shared" si="286"/>
      </c>
      <c r="M568" s="240">
        <f t="shared" si="225"/>
      </c>
      <c r="N568" s="240">
        <f t="shared" si="195"/>
      </c>
      <c r="O568" s="239">
        <f t="shared" si="165"/>
      </c>
      <c r="P568" s="240">
        <f t="shared" si="255"/>
      </c>
      <c r="Q568" s="241"/>
      <c r="R568" s="242"/>
      <c r="S568" s="243">
        <f>S567+S561</f>
      </c>
      <c r="T568" s="243">
        <f>T567+T561</f>
      </c>
      <c r="U568" s="243">
        <f>U567+U561</f>
      </c>
      <c r="V568" s="243">
        <f>V567+V561</f>
      </c>
      <c r="W568" s="243">
        <f>W567+W561</f>
      </c>
      <c r="X568" s="244">
        <f>X567+X561</f>
      </c>
      <c r="Y568" s="238">
        <f>Y567+Y561</f>
      </c>
      <c r="Z568" s="250"/>
    </row>
    <row r="569">
      <c r="A569" s="188" t="s">
        <v>87</v>
      </c>
      <c r="B569" s="188" t="s">
        <v>88</v>
      </c>
      <c r="C569" s="188" t="s">
        <v>89</v>
      </c>
      <c r="D569" s="193" t="s">
        <v>90</v>
      </c>
      <c r="E569" s="193" t="s">
        <v>91</v>
      </c>
      <c r="F569" s="189" t="s">
        <v>92</v>
      </c>
      <c r="G569" s="189"/>
      <c r="H569" s="194" t="s">
        <v>93</v>
      </c>
      <c r="I569" s="189" t="s">
        <v>94</v>
      </c>
      <c r="J569" s="195" t="s">
        <v>95</v>
      </c>
      <c r="K569" s="196" t="s">
        <v>96</v>
      </c>
      <c r="L569" s="189" t="s">
        <v>97</v>
      </c>
      <c r="M569" s="190" t="s">
        <v>98</v>
      </c>
      <c r="N569" s="190" t="s">
        <v>99</v>
      </c>
      <c r="O569" s="190" t="s">
        <v>100</v>
      </c>
      <c r="P569" s="190" t="s">
        <v>101</v>
      </c>
      <c r="Q569" s="197" t="s">
        <v>102</v>
      </c>
      <c r="R569" s="197" t="s">
        <v>103</v>
      </c>
      <c r="S569" s="198" t="s">
        <v>104</v>
      </c>
      <c r="T569" s="198" t="s">
        <v>105</v>
      </c>
      <c r="U569" s="199" t="s">
        <v>106</v>
      </c>
      <c r="V569" s="199" t="s">
        <v>107</v>
      </c>
      <c r="W569" s="199" t="s">
        <v>108</v>
      </c>
      <c r="X569" s="199" t="s">
        <v>109</v>
      </c>
      <c r="Y569" s="199" t="s">
        <v>110</v>
      </c>
      <c r="Z569" s="250"/>
    </row>
    <row r="570">
      <c r="A570" s="200" t="s">
        <v>177</v>
      </c>
      <c r="B570" s="245" t="s">
        <v>132</v>
      </c>
      <c r="C570" s="203" t="s">
        <v>128</v>
      </c>
      <c r="D570" s="202">
        <f t="shared" ref="D570:D573" si="126">E570+G570+F570</f>
      </c>
      <c r="E570" s="203">
        <v>2015.5</v>
      </c>
      <c r="F570" s="203">
        <v>3842.31</v>
      </c>
      <c r="G570" s="203">
        <v>0</v>
      </c>
      <c r="H570" s="204">
        <v>25</v>
      </c>
      <c r="I570" s="203">
        <v>13579.58</v>
      </c>
      <c r="J570" s="205">
        <f t="shared" ref="J570:J580" si="26">I570/D570</f>
      </c>
      <c r="K570" s="205">
        <f t="shared" ref="K570:K580" si="317">D570/H570</f>
      </c>
      <c r="L570" s="206">
        <f t="shared" ref="L570:L580" si="287">I570/H570</f>
      </c>
      <c r="M570" s="207">
        <f t="shared" ref="M570:M580" si="226">T570/S570</f>
      </c>
      <c r="N570" s="208">
        <f t="shared" ref="N570:N580" si="196">H570/X570</f>
      </c>
      <c r="O570" s="209">
        <f t="shared" ref="O570:O580" si="166">(Y570*1000)/D570</f>
      </c>
      <c r="P570" s="208">
        <f t="shared" ref="P570:P580" si="256">W570/V570</f>
      </c>
      <c r="Q570" s="210" t="s">
        <v>114</v>
      </c>
      <c r="R570" s="211" t="s">
        <v>129</v>
      </c>
      <c r="S570" s="212">
        <v>151240</v>
      </c>
      <c r="T570" s="212">
        <v>6066</v>
      </c>
      <c r="U570" s="213">
        <v>564</v>
      </c>
      <c r="V570" s="212">
        <v>10734</v>
      </c>
      <c r="W570" s="212">
        <v>1435</v>
      </c>
      <c r="X570" s="214">
        <v>37</v>
      </c>
      <c r="Y570" s="214">
        <v>102</v>
      </c>
      <c r="Z570" s="250"/>
    </row>
    <row customHeight="true" ht="16.666666666666668" r="571">
      <c r="A571" s="200"/>
      <c r="B571" s="245" t="s">
        <v>132</v>
      </c>
      <c r="C571" s="203" t="s">
        <v>130</v>
      </c>
      <c r="D571" s="202">
        <f t="shared" si="126"/>
      </c>
      <c r="E571" s="203">
        <v>2622.32</v>
      </c>
      <c r="F571" s="203">
        <v>4072.91</v>
      </c>
      <c r="G571" s="203">
        <v>0</v>
      </c>
      <c r="H571" s="204">
        <v>23</v>
      </c>
      <c r="I571" s="203">
        <v>11271.9</v>
      </c>
      <c r="J571" s="205">
        <f t="shared" si="26"/>
      </c>
      <c r="K571" s="205">
        <f t="shared" si="317"/>
      </c>
      <c r="L571" s="206">
        <f t="shared" si="287"/>
      </c>
      <c r="M571" s="207">
        <f t="shared" si="226"/>
      </c>
      <c r="N571" s="208">
        <f t="shared" si="196"/>
      </c>
      <c r="O571" s="209">
        <f t="shared" si="166"/>
      </c>
      <c r="P571" s="208">
        <f t="shared" si="256"/>
      </c>
      <c r="Q571" s="210" t="s">
        <v>114</v>
      </c>
      <c r="R571" s="211" t="s">
        <v>129</v>
      </c>
      <c r="S571" s="212">
        <v>202856</v>
      </c>
      <c r="T571" s="212">
        <v>7444</v>
      </c>
      <c r="U571" s="213">
        <v>515</v>
      </c>
      <c r="V571" s="212">
        <v>15689</v>
      </c>
      <c r="W571" s="212">
        <v>2265</v>
      </c>
      <c r="X571" s="214">
        <v>38</v>
      </c>
      <c r="Y571" s="214">
        <v>110</v>
      </c>
      <c r="Z571" s="250"/>
    </row>
    <row r="572">
      <c r="A572" s="200"/>
      <c r="B572" s="245" t="s">
        <v>132</v>
      </c>
      <c r="C572" s="203" t="s">
        <v>131</v>
      </c>
      <c r="D572" s="202">
        <f t="shared" si="126"/>
      </c>
      <c r="E572" s="203">
        <v>3563.39</v>
      </c>
      <c r="F572" s="203">
        <v>4757.41</v>
      </c>
      <c r="G572" s="203">
        <v>0</v>
      </c>
      <c r="H572" s="204">
        <v>31</v>
      </c>
      <c r="I572" s="203">
        <v>18414.7</v>
      </c>
      <c r="J572" s="206">
        <f t="shared" si="26"/>
      </c>
      <c r="K572" s="206">
        <f t="shared" si="317"/>
      </c>
      <c r="L572" s="205">
        <f t="shared" si="287"/>
      </c>
      <c r="M572" s="207">
        <f t="shared" si="226"/>
      </c>
      <c r="N572" s="208">
        <f t="shared" si="196"/>
      </c>
      <c r="O572" s="209">
        <f t="shared" si="166"/>
      </c>
      <c r="P572" s="208">
        <f t="shared" si="256"/>
      </c>
      <c r="Q572" s="210" t="s">
        <v>114</v>
      </c>
      <c r="R572" s="211" t="s">
        <v>129</v>
      </c>
      <c r="S572" s="216">
        <v>274259</v>
      </c>
      <c r="T572" s="216">
        <v>10525</v>
      </c>
      <c r="U572" s="212">
        <v>605</v>
      </c>
      <c r="V572" s="212">
        <v>21602</v>
      </c>
      <c r="W572" s="212">
        <v>3064</v>
      </c>
      <c r="X572" s="214">
        <v>61</v>
      </c>
      <c r="Y572" s="214">
        <v>132</v>
      </c>
      <c r="Z572" s="250"/>
    </row>
    <row r="573">
      <c r="A573" s="200"/>
      <c r="B573" s="245" t="s">
        <v>132</v>
      </c>
      <c r="C573" s="203" t="s">
        <v>133</v>
      </c>
      <c r="D573" s="202">
        <f t="shared" si="126"/>
      </c>
      <c r="E573" s="203">
        <v>3972.15</v>
      </c>
      <c r="F573" s="203">
        <v>2642.21</v>
      </c>
      <c r="G573" s="203">
        <v>0</v>
      </c>
      <c r="H573" s="204">
        <v>34</v>
      </c>
      <c r="I573" s="203">
        <v>18476</v>
      </c>
      <c r="J573" s="205">
        <f t="shared" si="26"/>
      </c>
      <c r="K573" s="206">
        <f t="shared" si="317"/>
      </c>
      <c r="L573" s="206">
        <f t="shared" si="287"/>
      </c>
      <c r="M573" s="207">
        <f t="shared" si="226"/>
      </c>
      <c r="N573" s="208">
        <f t="shared" si="196"/>
      </c>
      <c r="O573" s="209">
        <f t="shared" si="166"/>
      </c>
      <c r="P573" s="208">
        <f t="shared" si="256"/>
      </c>
      <c r="Q573" s="210" t="s">
        <v>114</v>
      </c>
      <c r="R573" s="211" t="s">
        <v>129</v>
      </c>
      <c r="S573" s="217">
        <v>186579</v>
      </c>
      <c r="T573" s="217">
        <v>10305</v>
      </c>
      <c r="U573" s="217">
        <v>593</v>
      </c>
      <c r="V573" s="217">
        <v>21000</v>
      </c>
      <c r="W573" s="217">
        <v>2800</v>
      </c>
      <c r="X573" s="214">
        <v>56</v>
      </c>
      <c r="Y573" s="214">
        <v>122</v>
      </c>
      <c r="Z573" s="250"/>
    </row>
    <row r="574">
      <c r="A574" s="200"/>
      <c r="B574" s="219" t="s">
        <v>119</v>
      </c>
      <c r="C574" s="219"/>
      <c r="D574" s="220">
        <f>SUM(D570:D573)</f>
      </c>
      <c r="E574" s="220">
        <f>SUM(E570:E573)</f>
      </c>
      <c r="F574" s="220">
        <f>SUM(F570:G573)</f>
      </c>
      <c r="G574" s="220"/>
      <c r="H574" s="221">
        <f>SUM(H570:H573)</f>
      </c>
      <c r="I574" s="220">
        <f>SUM(I570:I573)</f>
      </c>
      <c r="J574" s="253">
        <f t="shared" si="26"/>
      </c>
      <c r="K574" s="264">
        <f t="shared" si="317"/>
      </c>
      <c r="L574" s="254">
        <f t="shared" si="287"/>
      </c>
      <c r="M574" s="265">
        <f t="shared" si="226"/>
      </c>
      <c r="N574" s="225">
        <f t="shared" si="196"/>
      </c>
      <c r="O574" s="266">
        <f t="shared" si="166"/>
      </c>
      <c r="P574" s="225">
        <f t="shared" si="256"/>
      </c>
      <c r="Q574" s="226"/>
      <c r="R574" s="226"/>
      <c r="S574" s="221">
        <f>SUM(S570:S573)</f>
      </c>
      <c r="T574" s="221">
        <f>SUM(T570:T573)</f>
      </c>
      <c r="U574" s="221">
        <f>SUM(U570:U573)</f>
      </c>
      <c r="V574" s="221">
        <f>SUM(V570:V573)</f>
      </c>
      <c r="W574" s="221">
        <f>SUM(W570:W573)</f>
      </c>
      <c r="X574" s="221">
        <f>SUM(X570:X573)</f>
      </c>
      <c r="Y574" s="221">
        <f>SUM(Y570:Y573)</f>
      </c>
      <c r="Z574" s="250"/>
    </row>
    <row r="575">
      <c r="A575" s="200"/>
      <c r="B575" s="245" t="s">
        <v>112</v>
      </c>
      <c r="C575" s="203" t="s">
        <v>134</v>
      </c>
      <c r="D575" s="202">
        <f t="shared" ref="D575:D578" si="127">E575+G575+F575</f>
      </c>
      <c r="E575" s="203">
        <v>6261.12</v>
      </c>
      <c r="F575" s="203">
        <v>2657.39</v>
      </c>
      <c r="G575" s="203">
        <v>0</v>
      </c>
      <c r="H575" s="204">
        <v>32</v>
      </c>
      <c r="I575" s="203">
        <v>17998.32</v>
      </c>
      <c r="J575" s="206">
        <f t="shared" si="26"/>
      </c>
      <c r="K575" s="206">
        <f t="shared" si="317"/>
      </c>
      <c r="L575" s="206">
        <f t="shared" si="287"/>
      </c>
      <c r="M575" s="207">
        <f t="shared" si="226"/>
      </c>
      <c r="N575" s="208">
        <f t="shared" si="196"/>
      </c>
      <c r="O575" s="209">
        <f t="shared" si="166"/>
      </c>
      <c r="P575" s="208">
        <f t="shared" si="256"/>
      </c>
      <c r="Q575" s="210" t="s">
        <v>114</v>
      </c>
      <c r="R575" s="211" t="s">
        <v>129</v>
      </c>
      <c r="S575" s="257">
        <v>186690</v>
      </c>
      <c r="T575" s="257">
        <v>15493</v>
      </c>
      <c r="U575" s="257">
        <v>687</v>
      </c>
      <c r="V575" s="257">
        <v>26688</v>
      </c>
      <c r="W575" s="257">
        <v>3022</v>
      </c>
      <c r="X575" s="229">
        <v>60</v>
      </c>
      <c r="Y575" s="229">
        <v>133</v>
      </c>
      <c r="Z575" s="250"/>
    </row>
    <row r="576">
      <c r="A576" s="200"/>
      <c r="B576" s="245" t="s">
        <v>112</v>
      </c>
      <c r="C576" s="203" t="s">
        <v>135</v>
      </c>
      <c r="D576" s="202">
        <f t="shared" si="127"/>
      </c>
      <c r="E576" s="203">
        <v>2933.99</v>
      </c>
      <c r="F576" s="203">
        <v>5474.49</v>
      </c>
      <c r="G576" s="203">
        <v>0</v>
      </c>
      <c r="H576" s="204">
        <v>40</v>
      </c>
      <c r="I576" s="203">
        <v>20276.62</v>
      </c>
      <c r="J576" s="206">
        <f t="shared" si="26"/>
      </c>
      <c r="K576" s="206">
        <f t="shared" si="317"/>
      </c>
      <c r="L576" s="206">
        <f t="shared" si="287"/>
      </c>
      <c r="M576" s="207">
        <f t="shared" si="226"/>
      </c>
      <c r="N576" s="208">
        <f t="shared" si="196"/>
      </c>
      <c r="O576" s="209">
        <f t="shared" si="166"/>
      </c>
      <c r="P576" s="208">
        <f t="shared" si="256"/>
      </c>
      <c r="Q576" s="210" t="s">
        <v>114</v>
      </c>
      <c r="R576" s="232" t="s">
        <v>129</v>
      </c>
      <c r="S576" s="228">
        <v>219740</v>
      </c>
      <c r="T576" s="228">
        <v>10971</v>
      </c>
      <c r="U576" s="228">
        <v>729</v>
      </c>
      <c r="V576" s="228">
        <v>16537</v>
      </c>
      <c r="W576" s="228">
        <v>1654</v>
      </c>
      <c r="X576" s="229">
        <v>70</v>
      </c>
      <c r="Y576" s="229">
        <v>139</v>
      </c>
      <c r="Z576" s="250"/>
    </row>
    <row r="577">
      <c r="A577" s="200"/>
      <c r="B577" s="245" t="s">
        <v>112</v>
      </c>
      <c r="C577" s="203" t="s">
        <v>136</v>
      </c>
      <c r="D577" s="202">
        <f t="shared" si="127"/>
      </c>
      <c r="E577" s="203">
        <v>2808.51</v>
      </c>
      <c r="F577" s="203">
        <v>5523.9</v>
      </c>
      <c r="G577" s="203">
        <v>0</v>
      </c>
      <c r="H577" s="204">
        <v>31</v>
      </c>
      <c r="I577" s="203">
        <v>19426.13</v>
      </c>
      <c r="J577" s="206">
        <f t="shared" si="26"/>
      </c>
      <c r="K577" s="206">
        <f t="shared" si="317"/>
      </c>
      <c r="L577" s="206">
        <f t="shared" si="287"/>
      </c>
      <c r="M577" s="207">
        <f t="shared" si="226"/>
      </c>
      <c r="N577" s="208">
        <f t="shared" si="196"/>
      </c>
      <c r="O577" s="209">
        <f t="shared" si="166"/>
      </c>
      <c r="P577" s="208">
        <f t="shared" si="256"/>
      </c>
      <c r="Q577" s="210" t="s">
        <v>114</v>
      </c>
      <c r="R577" s="232" t="s">
        <v>129</v>
      </c>
      <c r="S577" s="228">
        <v>204400</v>
      </c>
      <c r="T577" s="228">
        <v>7169</v>
      </c>
      <c r="U577" s="228">
        <v>726</v>
      </c>
      <c r="V577" s="228">
        <v>13271</v>
      </c>
      <c r="W577" s="228">
        <v>1820</v>
      </c>
      <c r="X577" s="229">
        <v>66</v>
      </c>
      <c r="Y577" s="229">
        <v>138</v>
      </c>
      <c r="Z577" s="250"/>
    </row>
    <row r="578">
      <c r="A578" s="200"/>
      <c r="B578" s="245" t="s">
        <v>112</v>
      </c>
      <c r="C578" s="203" t="s">
        <v>137</v>
      </c>
      <c r="D578" s="202">
        <f t="shared" si="127"/>
      </c>
      <c r="E578" s="203">
        <v>3327.11</v>
      </c>
      <c r="F578" s="203">
        <v>2910.43</v>
      </c>
      <c r="G578" s="203">
        <v>0</v>
      </c>
      <c r="H578" s="204">
        <v>28</v>
      </c>
      <c r="I578" s="203">
        <v>16751.09</v>
      </c>
      <c r="J578" s="206">
        <f t="shared" si="26"/>
      </c>
      <c r="K578" s="206">
        <f t="shared" si="317"/>
      </c>
      <c r="L578" s="206">
        <f t="shared" si="287"/>
      </c>
      <c r="M578" s="207">
        <f t="shared" si="226"/>
      </c>
      <c r="N578" s="208">
        <f t="shared" si="196"/>
      </c>
      <c r="O578" s="209">
        <f t="shared" si="166"/>
      </c>
      <c r="P578" s="208">
        <f t="shared" si="256"/>
      </c>
      <c r="Q578" s="210" t="s">
        <v>114</v>
      </c>
      <c r="R578" s="232" t="s">
        <v>129</v>
      </c>
      <c r="S578" s="270">
        <v>127112</v>
      </c>
      <c r="T578" s="270">
        <v>8865</v>
      </c>
      <c r="U578" s="270">
        <v>502</v>
      </c>
      <c r="V578" s="270">
        <v>14688</v>
      </c>
      <c r="W578" s="270">
        <v>1478</v>
      </c>
      <c r="X578" s="229">
        <v>46</v>
      </c>
      <c r="Y578" s="229">
        <v>96</v>
      </c>
      <c r="Z578" s="250"/>
    </row>
    <row r="579">
      <c r="A579" s="200"/>
      <c r="B579" s="219" t="s">
        <v>119</v>
      </c>
      <c r="C579" s="219"/>
      <c r="D579" s="220">
        <f>SUM(D575:D578)</f>
      </c>
      <c r="E579" s="220">
        <f>SUM(E575:E578)</f>
      </c>
      <c r="F579" s="220">
        <f>SUM(F575:G578)</f>
      </c>
      <c r="G579" s="220"/>
      <c r="H579" s="221">
        <f>SUM(H575:H578)</f>
      </c>
      <c r="I579" s="220">
        <f>SUM(I575:I578)</f>
      </c>
      <c r="J579" s="253">
        <f t="shared" si="26"/>
      </c>
      <c r="K579" s="223">
        <f t="shared" si="317"/>
      </c>
      <c r="L579" s="254">
        <f t="shared" si="287"/>
      </c>
      <c r="M579" s="225">
        <f t="shared" si="226"/>
      </c>
      <c r="N579" s="225">
        <f t="shared" si="196"/>
      </c>
      <c r="O579" s="226">
        <f t="shared" si="166"/>
      </c>
      <c r="P579" s="225">
        <f t="shared" si="256"/>
      </c>
      <c r="Q579" s="226"/>
      <c r="R579" s="226"/>
      <c r="S579" s="221">
        <f>SUM(S575:S578)</f>
      </c>
      <c r="T579" s="221">
        <f>SUM(T575:T578)</f>
      </c>
      <c r="U579" s="221">
        <f>SUM(U575:U578)</f>
      </c>
      <c r="V579" s="221">
        <f>SUM(V575:V578)</f>
      </c>
      <c r="W579" s="221">
        <f>SUM(W575:W578)</f>
      </c>
      <c r="X579" s="221">
        <f>SUM(X575:X578)</f>
      </c>
      <c r="Y579" s="221">
        <f>SUM(Y575:Y578)</f>
      </c>
      <c r="Z579" s="250"/>
    </row>
    <row r="580">
      <c r="A580" s="200"/>
      <c r="B580" s="236" t="s">
        <v>138</v>
      </c>
      <c r="C580" s="236"/>
      <c r="D580" s="237">
        <f>D579+D574</f>
      </c>
      <c r="E580" s="269">
        <f>E579+E574</f>
      </c>
      <c r="F580" s="237">
        <f>F579+F574</f>
      </c>
      <c r="G580" s="237"/>
      <c r="H580" s="238">
        <f>H579+H574</f>
      </c>
      <c r="I580" s="237">
        <f>I579+I574</f>
      </c>
      <c r="J580" s="239">
        <f t="shared" si="26"/>
      </c>
      <c r="K580" s="239">
        <f t="shared" si="317"/>
      </c>
      <c r="L580" s="239">
        <f t="shared" si="287"/>
      </c>
      <c r="M580" s="240">
        <f t="shared" si="226"/>
      </c>
      <c r="N580" s="240">
        <f t="shared" si="196"/>
      </c>
      <c r="O580" s="239">
        <f t="shared" si="166"/>
      </c>
      <c r="P580" s="240">
        <f t="shared" si="256"/>
      </c>
      <c r="Q580" s="241"/>
      <c r="R580" s="242"/>
      <c r="S580" s="243">
        <f>S579+S574</f>
      </c>
      <c r="T580" s="243">
        <f>T579+T574</f>
      </c>
      <c r="U580" s="243">
        <f>U579+U574</f>
      </c>
      <c r="V580" s="243">
        <f>V579+V574</f>
      </c>
      <c r="W580" s="243">
        <f>W579+W574</f>
      </c>
      <c r="X580" s="244">
        <f>X579+X574</f>
      </c>
      <c r="Y580" s="238">
        <f>Y579+Y574</f>
      </c>
      <c r="Z580" s="250"/>
    </row>
    <row r="581">
      <c r="A581" s="188" t="s">
        <v>83</v>
      </c>
      <c r="B581" s="188"/>
      <c r="C581" s="188"/>
      <c r="D581" s="189" t="s">
        <v>84</v>
      </c>
      <c r="E581" s="189"/>
      <c r="F581" s="189"/>
      <c r="G581" s="189"/>
      <c r="H581" s="189"/>
      <c r="I581" s="189"/>
      <c r="J581" s="189"/>
      <c r="K581" s="189"/>
      <c r="L581" s="189"/>
      <c r="M581" s="190" t="s">
        <v>85</v>
      </c>
      <c r="N581" s="190"/>
      <c r="O581" s="190"/>
      <c r="P581" s="190"/>
      <c r="Q581" s="190"/>
      <c r="R581" s="190"/>
      <c r="S581" s="191" t="s">
        <v>86</v>
      </c>
      <c r="T581" s="191"/>
      <c r="U581" s="191"/>
      <c r="V581" s="191"/>
      <c r="W581" s="191"/>
      <c r="X581" s="191"/>
      <c r="Y581" s="191"/>
      <c r="Z581" s="250"/>
    </row>
    <row r="582">
      <c r="A582" s="192" t="s">
        <v>87</v>
      </c>
      <c r="B582" s="188" t="s">
        <v>88</v>
      </c>
      <c r="C582" s="188" t="s">
        <v>89</v>
      </c>
      <c r="D582" s="193" t="s">
        <v>90</v>
      </c>
      <c r="E582" s="193" t="s">
        <v>91</v>
      </c>
      <c r="F582" s="189" t="s">
        <v>92</v>
      </c>
      <c r="G582" s="189"/>
      <c r="H582" s="194" t="s">
        <v>93</v>
      </c>
      <c r="I582" s="189" t="s">
        <v>94</v>
      </c>
      <c r="J582" s="195" t="s">
        <v>95</v>
      </c>
      <c r="K582" s="196" t="s">
        <v>96</v>
      </c>
      <c r="L582" s="189" t="s">
        <v>97</v>
      </c>
      <c r="M582" s="190" t="s">
        <v>98</v>
      </c>
      <c r="N582" s="190" t="s">
        <v>99</v>
      </c>
      <c r="O582" s="190" t="s">
        <v>100</v>
      </c>
      <c r="P582" s="190" t="s">
        <v>101</v>
      </c>
      <c r="Q582" s="197" t="s">
        <v>102</v>
      </c>
      <c r="R582" s="197" t="s">
        <v>103</v>
      </c>
      <c r="S582" s="198" t="s">
        <v>104</v>
      </c>
      <c r="T582" s="198" t="s">
        <v>105</v>
      </c>
      <c r="U582" s="199" t="s">
        <v>106</v>
      </c>
      <c r="V582" s="199" t="s">
        <v>107</v>
      </c>
      <c r="W582" s="199" t="s">
        <v>108</v>
      </c>
      <c r="X582" s="199" t="s">
        <v>109</v>
      </c>
      <c r="Y582" s="199" t="s">
        <v>110</v>
      </c>
      <c r="Z582" s="250"/>
    </row>
    <row r="583">
      <c r="A583" s="200" t="s">
        <v>178</v>
      </c>
      <c r="B583" s="227" t="s">
        <v>125</v>
      </c>
      <c r="C583" s="202" t="s">
        <v>113</v>
      </c>
      <c r="D583" s="202">
        <f t="shared" ref="D583:D586" si="128">E583+G583+F583</f>
      </c>
      <c r="E583" s="202">
        <v>1370.3200000000002</v>
      </c>
      <c r="F583" s="202">
        <v>2274</v>
      </c>
      <c r="G583" s="203">
        <v>0</v>
      </c>
      <c r="H583" s="204">
        <v>17</v>
      </c>
      <c r="I583" s="202">
        <v>8644.34</v>
      </c>
      <c r="J583" s="205">
        <f t="shared" ref="J583:J604" si="27">I583/D583</f>
      </c>
      <c r="K583" s="205">
        <f t="shared" ref="K583:K604" si="318">D583/H583</f>
      </c>
      <c r="L583" s="206">
        <f t="shared" ref="L583:L604" si="288">I583/H583</f>
      </c>
      <c r="M583" s="207">
        <f t="shared" ref="M583:M604" si="227">T583/S583</f>
      </c>
      <c r="N583" s="208">
        <f t="shared" ref="N583:N604" si="197">H583/X583</f>
      </c>
      <c r="O583" s="209">
        <f t="shared" ref="O583:O604" si="167">(Y583*1000)/D583</f>
      </c>
      <c r="P583" s="208">
        <f t="shared" ref="P583:P604" si="257">W583/V583</f>
      </c>
      <c r="Q583" s="210" t="s">
        <v>127</v>
      </c>
      <c r="R583" s="211" t="s">
        <v>141</v>
      </c>
      <c r="S583" s="212">
        <v>72448</v>
      </c>
      <c r="T583" s="212">
        <v>4404</v>
      </c>
      <c r="U583" s="213">
        <v>384</v>
      </c>
      <c r="V583" s="212">
        <v>6672</v>
      </c>
      <c r="W583" s="212">
        <v>1002</v>
      </c>
      <c r="X583" s="214">
        <v>32</v>
      </c>
      <c r="Y583" s="214">
        <v>74</v>
      </c>
      <c r="Z583" s="250"/>
    </row>
    <row r="584">
      <c r="A584" s="200"/>
      <c r="B584" s="227" t="s">
        <v>125</v>
      </c>
      <c r="C584" s="202" t="s">
        <v>116</v>
      </c>
      <c r="D584" s="202">
        <f t="shared" si="128"/>
      </c>
      <c r="E584" s="202">
        <v>4634.6900000000005</v>
      </c>
      <c r="F584" s="202">
        <v>2123.0699999999997</v>
      </c>
      <c r="G584" s="203">
        <v>0</v>
      </c>
      <c r="H584" s="215">
        <v>32</v>
      </c>
      <c r="I584" s="202">
        <v>13926.82</v>
      </c>
      <c r="J584" s="206">
        <f t="shared" si="27"/>
      </c>
      <c r="K584" s="206">
        <f t="shared" si="318"/>
      </c>
      <c r="L584" s="205">
        <f t="shared" si="288"/>
      </c>
      <c r="M584" s="207">
        <f t="shared" si="227"/>
      </c>
      <c r="N584" s="208">
        <f t="shared" si="197"/>
      </c>
      <c r="O584" s="209">
        <f t="shared" si="167"/>
      </c>
      <c r="P584" s="208">
        <f t="shared" si="257"/>
      </c>
      <c r="Q584" s="210" t="s">
        <v>127</v>
      </c>
      <c r="R584" s="211" t="s">
        <v>141</v>
      </c>
      <c r="S584" s="216">
        <v>124158</v>
      </c>
      <c r="T584" s="216">
        <v>8837</v>
      </c>
      <c r="U584" s="212">
        <v>633</v>
      </c>
      <c r="V584" s="212">
        <v>17410</v>
      </c>
      <c r="W584" s="212">
        <v>3308</v>
      </c>
      <c r="X584" s="214">
        <v>57</v>
      </c>
      <c r="Y584" s="217">
        <v>139</v>
      </c>
      <c r="Z584" s="250"/>
    </row>
    <row r="585">
      <c r="A585" s="200"/>
      <c r="B585" s="227" t="s">
        <v>125</v>
      </c>
      <c r="C585" s="202" t="s">
        <v>117</v>
      </c>
      <c r="D585" s="202">
        <f t="shared" si="128"/>
      </c>
      <c r="E585" s="218">
        <v>4318.75</v>
      </c>
      <c r="F585" s="202">
        <v>2310.6099999999988</v>
      </c>
      <c r="G585" s="203">
        <v>0</v>
      </c>
      <c r="H585" s="215">
        <v>26</v>
      </c>
      <c r="I585" s="202">
        <v>16095.539999999997</v>
      </c>
      <c r="J585" s="206">
        <f t="shared" si="27"/>
      </c>
      <c r="K585" s="206">
        <f t="shared" si="318"/>
      </c>
      <c r="L585" s="206">
        <f t="shared" si="288"/>
      </c>
      <c r="M585" s="207">
        <f t="shared" si="227"/>
      </c>
      <c r="N585" s="208">
        <f t="shared" si="197"/>
      </c>
      <c r="O585" s="209">
        <f t="shared" si="167"/>
      </c>
      <c r="P585" s="208">
        <f t="shared" si="257"/>
      </c>
      <c r="Q585" s="210" t="s">
        <v>127</v>
      </c>
      <c r="R585" s="211" t="s">
        <v>141</v>
      </c>
      <c r="S585" s="217">
        <v>105429</v>
      </c>
      <c r="T585" s="217">
        <v>7361</v>
      </c>
      <c r="U585" s="217">
        <v>549</v>
      </c>
      <c r="V585" s="217">
        <v>15731</v>
      </c>
      <c r="W585" s="217">
        <v>2872</v>
      </c>
      <c r="X585" s="214">
        <v>40</v>
      </c>
      <c r="Y585" s="217">
        <v>107</v>
      </c>
      <c r="Z585" s="250"/>
    </row>
    <row r="586">
      <c r="A586" s="200"/>
      <c r="B586" s="227" t="s">
        <v>125</v>
      </c>
      <c r="C586" s="202" t="s">
        <v>118</v>
      </c>
      <c r="D586" s="202">
        <f t="shared" si="128"/>
      </c>
      <c r="E586" s="202">
        <v>6404.860000000002</v>
      </c>
      <c r="F586" s="202">
        <v>2631.949999999999</v>
      </c>
      <c r="G586" s="203">
        <v>0</v>
      </c>
      <c r="H586" s="215">
        <v>40</v>
      </c>
      <c r="I586" s="202">
        <v>24497.700000000004</v>
      </c>
      <c r="J586" s="206">
        <f t="shared" si="27"/>
      </c>
      <c r="K586" s="206">
        <f t="shared" si="318"/>
      </c>
      <c r="L586" s="206">
        <f t="shared" si="288"/>
      </c>
      <c r="M586" s="207">
        <f t="shared" si="227"/>
      </c>
      <c r="N586" s="208">
        <f t="shared" si="197"/>
      </c>
      <c r="O586" s="209">
        <f t="shared" si="167"/>
      </c>
      <c r="P586" s="208">
        <f t="shared" si="257"/>
      </c>
      <c r="Q586" s="210" t="s">
        <v>127</v>
      </c>
      <c r="R586" s="211" t="s">
        <v>141</v>
      </c>
      <c r="S586" s="217">
        <v>111259</v>
      </c>
      <c r="T586" s="217">
        <v>8788</v>
      </c>
      <c r="U586" s="217">
        <v>648</v>
      </c>
      <c r="V586" s="217">
        <v>17893</v>
      </c>
      <c r="W586" s="217">
        <v>3456</v>
      </c>
      <c r="X586" s="214">
        <v>67</v>
      </c>
      <c r="Y586" s="214">
        <v>110</v>
      </c>
      <c r="Z586" s="250"/>
    </row>
    <row r="587">
      <c r="A587" s="200"/>
      <c r="B587" s="219" t="s">
        <v>119</v>
      </c>
      <c r="C587" s="219"/>
      <c r="D587" s="220">
        <f>SUM(D583:D586)</f>
      </c>
      <c r="E587" s="220">
        <f>SUM(E583:E586)</f>
      </c>
      <c r="F587" s="220">
        <f>SUM(F583:G586)</f>
      </c>
      <c r="G587" s="220"/>
      <c r="H587" s="221">
        <f>SUM(H583:H586)</f>
      </c>
      <c r="I587" s="220">
        <f>SUM(I583:I586)</f>
      </c>
      <c r="J587" s="253">
        <f t="shared" si="27"/>
      </c>
      <c r="K587" s="223">
        <f t="shared" si="318"/>
      </c>
      <c r="L587" s="254">
        <f t="shared" si="288"/>
      </c>
      <c r="M587" s="225">
        <f t="shared" si="227"/>
      </c>
      <c r="N587" s="225">
        <f t="shared" si="197"/>
      </c>
      <c r="O587" s="226">
        <f t="shared" si="167"/>
      </c>
      <c r="P587" s="225">
        <f t="shared" si="257"/>
      </c>
      <c r="Q587" s="226"/>
      <c r="R587" s="226"/>
      <c r="S587" s="221">
        <f>SUM(S583:S586)</f>
      </c>
      <c r="T587" s="221">
        <f>SUM(T583:T586)</f>
      </c>
      <c r="U587" s="221">
        <f>SUM(U583:U586)</f>
      </c>
      <c r="V587" s="221">
        <f>SUM(V583:V586)</f>
      </c>
      <c r="W587" s="221">
        <f>SUM(W583:W586)</f>
      </c>
      <c r="X587" s="221">
        <f>SUM(X583:X586)</f>
      </c>
      <c r="Y587" s="221">
        <f>SUM(Y583:Y586)</f>
      </c>
      <c r="Z587" s="250"/>
    </row>
    <row r="588">
      <c r="A588" s="200"/>
      <c r="B588" s="227" t="s">
        <v>166</v>
      </c>
      <c r="C588" s="202" t="s">
        <v>121</v>
      </c>
      <c r="D588" s="202">
        <f t="shared" ref="D588:D591" si="129">E588+G588+F588</f>
      </c>
      <c r="E588" s="202">
        <v>12009.129999999997</v>
      </c>
      <c r="F588" s="202">
        <v>622.8400000000001</v>
      </c>
      <c r="G588" s="203">
        <v>0</v>
      </c>
      <c r="H588" s="215">
        <v>26</v>
      </c>
      <c r="I588" s="202">
        <v>12744.749999999993</v>
      </c>
      <c r="J588" s="206">
        <f t="shared" si="27"/>
      </c>
      <c r="K588" s="206">
        <f t="shared" si="318"/>
      </c>
      <c r="L588" s="206">
        <f t="shared" si="288"/>
      </c>
      <c r="M588" s="207">
        <f t="shared" si="227"/>
      </c>
      <c r="N588" s="208">
        <f t="shared" si="197"/>
      </c>
      <c r="O588" s="209">
        <f t="shared" si="167"/>
      </c>
      <c r="P588" s="208">
        <f t="shared" si="257"/>
      </c>
      <c r="Q588" s="210" t="s">
        <v>127</v>
      </c>
      <c r="R588" s="211" t="s">
        <v>141</v>
      </c>
      <c r="S588" s="228">
        <v>164430</v>
      </c>
      <c r="T588" s="228">
        <v>15845</v>
      </c>
      <c r="U588" s="228">
        <v>557</v>
      </c>
      <c r="V588" s="228">
        <v>34316</v>
      </c>
      <c r="W588" s="228">
        <v>6696</v>
      </c>
      <c r="X588" s="229">
        <v>39</v>
      </c>
      <c r="Y588" s="229">
        <v>207</v>
      </c>
      <c r="Z588" s="250"/>
    </row>
    <row r="589">
      <c r="A589" s="200"/>
      <c r="B589" s="227" t="s">
        <v>166</v>
      </c>
      <c r="C589" s="202" t="s">
        <v>122</v>
      </c>
      <c r="D589" s="202">
        <f t="shared" si="129"/>
      </c>
      <c r="E589" s="202">
        <v>2057.6500000000015</v>
      </c>
      <c r="F589" s="202">
        <v>1197.5</v>
      </c>
      <c r="G589" s="203">
        <v>0</v>
      </c>
      <c r="H589" s="215">
        <v>11</v>
      </c>
      <c r="I589" s="202">
        <v>6238.790000000008</v>
      </c>
      <c r="J589" s="206">
        <f t="shared" si="27"/>
      </c>
      <c r="K589" s="206">
        <f t="shared" si="318"/>
      </c>
      <c r="L589" s="206">
        <f t="shared" si="288"/>
      </c>
      <c r="M589" s="207">
        <f t="shared" si="227"/>
      </c>
      <c r="N589" s="208">
        <f t="shared" si="197"/>
      </c>
      <c r="O589" s="209">
        <f t="shared" si="167"/>
      </c>
      <c r="P589" s="208">
        <f t="shared" si="257"/>
      </c>
      <c r="Q589" s="210" t="s">
        <v>127</v>
      </c>
      <c r="R589" s="211" t="s">
        <v>141</v>
      </c>
      <c r="S589" s="228">
        <v>55258</v>
      </c>
      <c r="T589" s="228">
        <v>3452</v>
      </c>
      <c r="U589" s="228">
        <v>227</v>
      </c>
      <c r="V589" s="228">
        <v>6543</v>
      </c>
      <c r="W589" s="228">
        <v>1037</v>
      </c>
      <c r="X589" s="229">
        <v>22</v>
      </c>
      <c r="Y589" s="228">
        <v>55</v>
      </c>
    </row>
    <row r="590">
      <c r="A590" s="200"/>
      <c r="B590" s="227" t="s">
        <v>166</v>
      </c>
      <c r="C590" s="202" t="s">
        <v>123</v>
      </c>
      <c r="D590" s="202">
        <f t="shared" si="129"/>
      </c>
      <c r="E590" s="202">
        <v>1686.0099999999948</v>
      </c>
      <c r="F590" s="202">
        <v>1329.9099999999999</v>
      </c>
      <c r="G590" s="203">
        <v>0</v>
      </c>
      <c r="H590" s="215">
        <v>8</v>
      </c>
      <c r="I590" s="202">
        <v>6230.1600000000035</v>
      </c>
      <c r="J590" s="206">
        <f t="shared" si="27"/>
      </c>
      <c r="K590" s="206">
        <f t="shared" si="318"/>
      </c>
      <c r="L590" s="206">
        <f t="shared" si="288"/>
      </c>
      <c r="M590" s="207">
        <f t="shared" si="227"/>
      </c>
      <c r="N590" s="208">
        <f t="shared" si="197"/>
      </c>
      <c r="O590" s="209">
        <f t="shared" si="167"/>
      </c>
      <c r="P590" s="208">
        <f t="shared" si="257"/>
      </c>
      <c r="Q590" s="210" t="s">
        <v>127</v>
      </c>
      <c r="R590" s="211" t="s">
        <v>141</v>
      </c>
      <c r="S590" s="228">
        <v>51464</v>
      </c>
      <c r="T590" s="228">
        <v>2828</v>
      </c>
      <c r="U590" s="228">
        <v>181</v>
      </c>
      <c r="V590" s="228">
        <v>4906</v>
      </c>
      <c r="W590" s="228">
        <v>736</v>
      </c>
      <c r="X590" s="229">
        <v>19</v>
      </c>
      <c r="Y590" s="229">
        <v>39</v>
      </c>
    </row>
    <row r="591">
      <c r="A591" s="200"/>
      <c r="B591" s="227" t="s">
        <v>166</v>
      </c>
      <c r="C591" s="203" t="s">
        <v>124</v>
      </c>
      <c r="D591" s="202">
        <f t="shared" si="129"/>
      </c>
      <c r="E591" s="202">
        <v>2035.0800000000017</v>
      </c>
      <c r="F591" s="203">
        <v>1650.0099999999948</v>
      </c>
      <c r="G591" s="203">
        <v>0</v>
      </c>
      <c r="H591" s="215">
        <v>11</v>
      </c>
      <c r="I591" s="202">
        <v>5611.459999999992</v>
      </c>
      <c r="J591" s="206">
        <f t="shared" si="27"/>
      </c>
      <c r="K591" s="206">
        <f t="shared" si="318"/>
      </c>
      <c r="L591" s="206">
        <f t="shared" si="288"/>
      </c>
      <c r="M591" s="207">
        <f t="shared" si="227"/>
      </c>
      <c r="N591" s="208">
        <f t="shared" si="197"/>
      </c>
      <c r="O591" s="209">
        <f t="shared" si="167"/>
      </c>
      <c r="P591" s="208">
        <f t="shared" si="257"/>
      </c>
      <c r="Q591" s="210" t="s">
        <v>127</v>
      </c>
      <c r="R591" s="211" t="s">
        <v>141</v>
      </c>
      <c r="S591" s="228">
        <v>65469</v>
      </c>
      <c r="T591" s="228">
        <v>4164</v>
      </c>
      <c r="U591" s="228">
        <v>241</v>
      </c>
      <c r="V591" s="228">
        <v>6765</v>
      </c>
      <c r="W591" s="228">
        <v>911</v>
      </c>
      <c r="X591" s="229">
        <v>24</v>
      </c>
      <c r="Y591" s="229">
        <v>50</v>
      </c>
    </row>
    <row r="592">
      <c r="A592" s="200"/>
      <c r="B592" s="219" t="s">
        <v>119</v>
      </c>
      <c r="C592" s="219"/>
      <c r="D592" s="220">
        <f>SUM(D588:D591)</f>
      </c>
      <c r="E592" s="220">
        <f>SUM(E588:E591)</f>
      </c>
      <c r="F592" s="220">
        <f>SUM(F588:G591)</f>
      </c>
      <c r="G592" s="220"/>
      <c r="H592" s="220">
        <f>SUM(H588:H591)</f>
      </c>
      <c r="I592" s="220">
        <f>SUM(I588:I591)</f>
      </c>
      <c r="J592" s="222">
        <f t="shared" si="27"/>
      </c>
      <c r="K592" s="223">
        <f t="shared" si="318"/>
      </c>
      <c r="L592" s="224">
        <f t="shared" si="288"/>
      </c>
      <c r="M592" s="225">
        <f t="shared" si="227"/>
      </c>
      <c r="N592" s="225">
        <f t="shared" si="197"/>
      </c>
      <c r="O592" s="226">
        <f t="shared" si="167"/>
      </c>
      <c r="P592" s="225">
        <f t="shared" si="257"/>
      </c>
      <c r="Q592" s="226"/>
      <c r="R592" s="226"/>
      <c r="S592" s="220">
        <f>SUM(S588:S591)</f>
      </c>
      <c r="T592" s="220">
        <f>SUM(T588:T591)</f>
      </c>
      <c r="U592" s="220">
        <f>SUM(U588:U591)</f>
      </c>
      <c r="V592" s="220">
        <f>SUM(V588:V591)</f>
      </c>
      <c r="W592" s="220">
        <f>SUM(W588:W591)</f>
      </c>
      <c r="X592" s="220">
        <f>SUM(X588:X591)</f>
      </c>
      <c r="Y592" s="220">
        <f>SUM(Y588:Y591)</f>
      </c>
    </row>
    <row r="593">
      <c r="A593" s="200"/>
      <c r="B593" s="245" t="s">
        <v>112</v>
      </c>
      <c r="C593" s="203" t="s">
        <v>126</v>
      </c>
      <c r="D593" s="202">
        <f t="shared" ref="D593:D596" si="130">E593+G593+F593</f>
      </c>
      <c r="E593" s="203">
        <v>1816.36</v>
      </c>
      <c r="F593" s="203">
        <v>1610.44</v>
      </c>
      <c r="G593" s="203">
        <v>0</v>
      </c>
      <c r="H593" s="204">
        <v>14</v>
      </c>
      <c r="I593" s="203">
        <v>7150.92</v>
      </c>
      <c r="J593" s="206">
        <f t="shared" si="27"/>
      </c>
      <c r="K593" s="206">
        <f t="shared" si="318"/>
      </c>
      <c r="L593" s="206">
        <f t="shared" si="288"/>
      </c>
      <c r="M593" s="207">
        <f t="shared" si="227"/>
      </c>
      <c r="N593" s="208">
        <f t="shared" si="197"/>
      </c>
      <c r="O593" s="209">
        <f t="shared" si="167"/>
      </c>
      <c r="P593" s="208">
        <f t="shared" si="257"/>
      </c>
      <c r="Q593" s="210" t="s">
        <v>114</v>
      </c>
      <c r="R593" s="211" t="s">
        <v>141</v>
      </c>
      <c r="S593" s="229">
        <v>61535</v>
      </c>
      <c r="T593" s="229">
        <v>3745</v>
      </c>
      <c r="U593" s="229">
        <v>259</v>
      </c>
      <c r="V593" s="229">
        <v>5917</v>
      </c>
      <c r="W593" s="229">
        <v>861</v>
      </c>
      <c r="X593" s="229">
        <v>33</v>
      </c>
      <c r="Y593" s="229">
        <v>66</v>
      </c>
    </row>
    <row r="594">
      <c r="A594" s="200"/>
      <c r="B594" s="245" t="s">
        <v>112</v>
      </c>
      <c r="C594" s="202" t="s">
        <v>128</v>
      </c>
      <c r="D594" s="202">
        <f t="shared" si="130"/>
      </c>
      <c r="E594" s="203">
        <v>2496.89</v>
      </c>
      <c r="F594" s="203">
        <f>2867.05-382.74</f>
      </c>
      <c r="G594" s="203">
        <v>0</v>
      </c>
      <c r="H594" s="204">
        <v>12</v>
      </c>
      <c r="I594" s="203">
        <v>6687.48</v>
      </c>
      <c r="J594" s="206">
        <f t="shared" si="27"/>
      </c>
      <c r="K594" s="206">
        <f t="shared" si="318"/>
      </c>
      <c r="L594" s="206">
        <f t="shared" si="288"/>
      </c>
      <c r="M594" s="207">
        <f t="shared" si="227"/>
      </c>
      <c r="N594" s="208">
        <f t="shared" si="197"/>
      </c>
      <c r="O594" s="209">
        <f t="shared" si="167"/>
      </c>
      <c r="P594" s="208">
        <f t="shared" si="257"/>
      </c>
      <c r="Q594" s="210" t="s">
        <v>114</v>
      </c>
      <c r="R594" s="232" t="s">
        <v>129</v>
      </c>
      <c r="S594" s="257">
        <v>80371</v>
      </c>
      <c r="T594" s="257">
        <v>5034</v>
      </c>
      <c r="U594" s="257">
        <v>263</v>
      </c>
      <c r="V594" s="257">
        <v>7636</v>
      </c>
      <c r="W594" s="257">
        <v>991</v>
      </c>
      <c r="X594" s="229">
        <v>19</v>
      </c>
      <c r="Y594" s="229">
        <v>81</v>
      </c>
    </row>
    <row r="595">
      <c r="A595" s="200"/>
      <c r="B595" s="245" t="s">
        <v>112</v>
      </c>
      <c r="C595" s="202" t="s">
        <v>130</v>
      </c>
      <c r="D595" s="202">
        <f t="shared" si="130"/>
      </c>
      <c r="E595" s="203">
        <f>3139.5-157.89</f>
      </c>
      <c r="F595" s="203">
        <v>4574.78</v>
      </c>
      <c r="G595" s="203">
        <v>0</v>
      </c>
      <c r="H595" s="204">
        <v>38</v>
      </c>
      <c r="I595" s="203">
        <v>20799.28</v>
      </c>
      <c r="J595" s="206">
        <f t="shared" si="27"/>
      </c>
      <c r="K595" s="206">
        <f t="shared" si="318"/>
      </c>
      <c r="L595" s="206">
        <f t="shared" si="288"/>
      </c>
      <c r="M595" s="207">
        <f t="shared" si="227"/>
      </c>
      <c r="N595" s="208">
        <f t="shared" si="197"/>
      </c>
      <c r="O595" s="209">
        <f t="shared" si="167"/>
      </c>
      <c r="P595" s="208">
        <f t="shared" si="257"/>
      </c>
      <c r="Q595" s="210" t="s">
        <v>114</v>
      </c>
      <c r="R595" s="232" t="s">
        <v>129</v>
      </c>
      <c r="S595" s="229">
        <v>156819</v>
      </c>
      <c r="T595" s="229">
        <v>9922</v>
      </c>
      <c r="U595" s="229">
        <v>537</v>
      </c>
      <c r="V595" s="229">
        <v>17112</v>
      </c>
      <c r="W595" s="229">
        <v>2204</v>
      </c>
      <c r="X595" s="229">
        <v>68</v>
      </c>
      <c r="Y595" s="229">
        <v>126</v>
      </c>
    </row>
    <row r="596">
      <c r="A596" s="200"/>
      <c r="B596" s="245" t="s">
        <v>112</v>
      </c>
      <c r="C596" s="202" t="s">
        <v>131</v>
      </c>
      <c r="D596" s="202">
        <f t="shared" si="130"/>
      </c>
      <c r="E596" s="203">
        <f>1557.5-14.6</f>
      </c>
      <c r="F596" s="203">
        <v>3444.7</v>
      </c>
      <c r="G596" s="203">
        <v>0</v>
      </c>
      <c r="H596" s="204">
        <v>25</v>
      </c>
      <c r="I596" s="203">
        <v>9834.76</v>
      </c>
      <c r="J596" s="206">
        <f t="shared" si="27"/>
      </c>
      <c r="K596" s="206">
        <f t="shared" si="318"/>
      </c>
      <c r="L596" s="206">
        <f t="shared" si="288"/>
      </c>
      <c r="M596" s="207">
        <f t="shared" si="227"/>
      </c>
      <c r="N596" s="208">
        <f t="shared" si="197"/>
      </c>
      <c r="O596" s="209">
        <f t="shared" si="167"/>
      </c>
      <c r="P596" s="208">
        <f t="shared" si="257"/>
      </c>
      <c r="Q596" s="210" t="s">
        <v>114</v>
      </c>
      <c r="R596" s="232" t="s">
        <v>129</v>
      </c>
      <c r="S596" s="229">
        <v>94562</v>
      </c>
      <c r="T596" s="229">
        <v>8561</v>
      </c>
      <c r="U596" s="229">
        <v>391</v>
      </c>
      <c r="V596" s="229">
        <v>12557</v>
      </c>
      <c r="W596" s="229">
        <v>1358</v>
      </c>
      <c r="X596" s="229">
        <v>35</v>
      </c>
      <c r="Y596" s="229">
        <v>81</v>
      </c>
    </row>
    <row r="597">
      <c r="A597" s="200"/>
      <c r="B597" s="219" t="s">
        <v>119</v>
      </c>
      <c r="C597" s="219"/>
      <c r="D597" s="220">
        <f>SUM(D593:D596)</f>
      </c>
      <c r="E597" s="220">
        <f>SUM(E593:E596)</f>
      </c>
      <c r="F597" s="220">
        <f>SUM(F593:G596)</f>
      </c>
      <c r="G597" s="220"/>
      <c r="H597" s="221">
        <f>SUM(H593:H596)</f>
      </c>
      <c r="I597" s="220">
        <f>SUM(I593:I596)</f>
      </c>
      <c r="J597" s="253">
        <f t="shared" si="27"/>
      </c>
      <c r="K597" s="223">
        <f t="shared" si="318"/>
      </c>
      <c r="L597" s="254">
        <f t="shared" si="288"/>
      </c>
      <c r="M597" s="225">
        <f t="shared" si="227"/>
      </c>
      <c r="N597" s="225">
        <f t="shared" si="197"/>
      </c>
      <c r="O597" s="226">
        <f t="shared" si="167"/>
      </c>
      <c r="P597" s="225">
        <f t="shared" si="257"/>
      </c>
      <c r="Q597" s="226"/>
      <c r="R597" s="226"/>
      <c r="S597" s="221">
        <f>SUM(S593:S596)</f>
      </c>
      <c r="T597" s="221">
        <f>SUM(T593:T596)</f>
      </c>
      <c r="U597" s="221">
        <f>SUM(U593:U596)</f>
      </c>
      <c r="V597" s="221">
        <f>SUM(V593:V596)</f>
      </c>
      <c r="W597" s="221">
        <f>SUM(W593:W596)</f>
      </c>
      <c r="X597" s="221">
        <f>SUM(X593:X596)</f>
      </c>
      <c r="Y597" s="221">
        <f>SUM(Y593:Y596)</f>
      </c>
    </row>
    <row r="598">
      <c r="A598" s="200"/>
      <c r="B598" s="245" t="s">
        <v>132</v>
      </c>
      <c r="C598" s="202" t="s">
        <v>133</v>
      </c>
      <c r="D598" s="202">
        <f t="shared" ref="D598:D602" si="131">E598+G598+F598</f>
      </c>
      <c r="E598" s="203">
        <f>2227.23-34.65</f>
      </c>
      <c r="F598" s="203">
        <v>1733.27</v>
      </c>
      <c r="G598" s="203">
        <v>0</v>
      </c>
      <c r="H598" s="204">
        <v>11</v>
      </c>
      <c r="I598" s="203">
        <v>5082.98</v>
      </c>
      <c r="J598" s="206">
        <f t="shared" si="27"/>
      </c>
      <c r="K598" s="206">
        <f t="shared" si="318"/>
      </c>
      <c r="L598" s="206">
        <f t="shared" si="288"/>
      </c>
      <c r="M598" s="207">
        <f t="shared" si="227"/>
      </c>
      <c r="N598" s="208">
        <f t="shared" si="197"/>
      </c>
      <c r="O598" s="209">
        <f t="shared" si="167"/>
      </c>
      <c r="P598" s="208">
        <f t="shared" si="257"/>
      </c>
      <c r="Q598" s="210" t="s">
        <v>114</v>
      </c>
      <c r="R598" s="232" t="s">
        <v>129</v>
      </c>
      <c r="S598" s="229">
        <v>70235</v>
      </c>
      <c r="T598" s="229">
        <v>4508</v>
      </c>
      <c r="U598" s="229">
        <v>290</v>
      </c>
      <c r="V598" s="229">
        <v>7901</v>
      </c>
      <c r="W598" s="229">
        <v>865</v>
      </c>
      <c r="X598" s="229">
        <v>29</v>
      </c>
      <c r="Y598" s="229">
        <v>48</v>
      </c>
    </row>
    <row r="599">
      <c r="A599" s="200"/>
      <c r="B599" s="201" t="s">
        <v>132</v>
      </c>
      <c r="C599" s="202" t="s">
        <v>134</v>
      </c>
      <c r="D599" s="202">
        <f t="shared" si="131"/>
      </c>
      <c r="E599" s="203">
        <f>2739.05-17.53</f>
      </c>
      <c r="F599" s="203">
        <v>2175.02</v>
      </c>
      <c r="G599" s="203">
        <v>0</v>
      </c>
      <c r="H599" s="204">
        <v>24</v>
      </c>
      <c r="I599" s="203">
        <v>15578.94</v>
      </c>
      <c r="J599" s="206">
        <f t="shared" si="27"/>
      </c>
      <c r="K599" s="206">
        <f t="shared" si="318"/>
      </c>
      <c r="L599" s="206">
        <f t="shared" si="288"/>
      </c>
      <c r="M599" s="207">
        <f t="shared" si="227"/>
      </c>
      <c r="N599" s="208">
        <f t="shared" si="197"/>
      </c>
      <c r="O599" s="209">
        <f t="shared" si="167"/>
      </c>
      <c r="P599" s="208">
        <f t="shared" si="257"/>
      </c>
      <c r="Q599" s="210" t="s">
        <v>114</v>
      </c>
      <c r="R599" s="232" t="s">
        <v>129</v>
      </c>
      <c r="S599" s="233">
        <v>94192</v>
      </c>
      <c r="T599" s="233">
        <v>5510</v>
      </c>
      <c r="U599" s="233">
        <v>355</v>
      </c>
      <c r="V599" s="233">
        <v>9846</v>
      </c>
      <c r="W599" s="233">
        <v>1158</v>
      </c>
      <c r="X599" s="233">
        <v>38</v>
      </c>
      <c r="Y599" s="229">
        <v>71</v>
      </c>
    </row>
    <row r="600">
      <c r="A600" s="200"/>
      <c r="B600" s="201" t="s">
        <v>132</v>
      </c>
      <c r="C600" s="202" t="s">
        <v>135</v>
      </c>
      <c r="D600" s="202">
        <f t="shared" si="131"/>
      </c>
      <c r="E600" s="203">
        <v>4823.67</v>
      </c>
      <c r="F600" s="203">
        <v>3264.24</v>
      </c>
      <c r="G600" s="203">
        <v>0</v>
      </c>
      <c r="H600" s="204">
        <v>29</v>
      </c>
      <c r="I600" s="203">
        <v>11666.31</v>
      </c>
      <c r="J600" s="206">
        <f t="shared" si="27"/>
      </c>
      <c r="K600" s="206">
        <f t="shared" si="318"/>
      </c>
      <c r="L600" s="206">
        <f t="shared" si="288"/>
      </c>
      <c r="M600" s="207">
        <f t="shared" si="227"/>
      </c>
      <c r="N600" s="208">
        <f t="shared" si="197"/>
      </c>
      <c r="O600" s="209">
        <f t="shared" si="167"/>
      </c>
      <c r="P600" s="208">
        <f t="shared" si="257"/>
      </c>
      <c r="Q600" s="210" t="s">
        <v>114</v>
      </c>
      <c r="R600" s="232" t="s">
        <v>129</v>
      </c>
      <c r="S600" s="233">
        <v>169054</v>
      </c>
      <c r="T600" s="233">
        <v>9025</v>
      </c>
      <c r="U600" s="233">
        <v>587</v>
      </c>
      <c r="V600" s="233">
        <v>16622</v>
      </c>
      <c r="W600" s="246">
        <v>1870</v>
      </c>
      <c r="X600" s="214">
        <v>54</v>
      </c>
      <c r="Y600" s="248">
        <v>101</v>
      </c>
    </row>
    <row r="601">
      <c r="A601" s="200"/>
      <c r="B601" s="201" t="s">
        <v>132</v>
      </c>
      <c r="C601" s="202" t="s">
        <v>136</v>
      </c>
      <c r="D601" s="202">
        <f t="shared" si="131"/>
      </c>
      <c r="E601" s="203">
        <v>7812.06</v>
      </c>
      <c r="F601" s="203">
        <v>1622.27</v>
      </c>
      <c r="G601" s="203">
        <v>0</v>
      </c>
      <c r="H601" s="204">
        <v>30</v>
      </c>
      <c r="I601" s="203">
        <v>19587.56</v>
      </c>
      <c r="J601" s="206">
        <f t="shared" si="27"/>
      </c>
      <c r="K601" s="206">
        <f t="shared" si="318"/>
      </c>
      <c r="L601" s="206">
        <f t="shared" si="288"/>
      </c>
      <c r="M601" s="207">
        <f t="shared" si="227"/>
      </c>
      <c r="N601" s="208">
        <f t="shared" si="197"/>
      </c>
      <c r="O601" s="209">
        <f t="shared" si="167"/>
      </c>
      <c r="P601" s="208">
        <f t="shared" si="257"/>
      </c>
      <c r="Q601" s="210" t="s">
        <v>114</v>
      </c>
      <c r="R601" s="232" t="s">
        <v>129</v>
      </c>
      <c r="S601" s="233">
        <v>151254</v>
      </c>
      <c r="T601" s="233">
        <v>13382</v>
      </c>
      <c r="U601" s="233">
        <v>772</v>
      </c>
      <c r="V601" s="233">
        <v>27254</v>
      </c>
      <c r="W601" s="246">
        <v>3234</v>
      </c>
      <c r="X601" s="214">
        <v>48</v>
      </c>
      <c r="Y601" s="248">
        <v>165</v>
      </c>
    </row>
    <row r="602">
      <c r="A602" s="200"/>
      <c r="B602" s="201" t="s">
        <v>132</v>
      </c>
      <c r="C602" s="202" t="s">
        <v>137</v>
      </c>
      <c r="D602" s="202">
        <f t="shared" si="131"/>
      </c>
      <c r="E602" s="203">
        <f>4649.7+5.44+0.19</f>
      </c>
      <c r="F602" s="203">
        <v>944.84</v>
      </c>
      <c r="G602" s="203">
        <v>0</v>
      </c>
      <c r="H602" s="204">
        <v>18</v>
      </c>
      <c r="I602" s="203">
        <v>13481.66</v>
      </c>
      <c r="J602" s="206">
        <f t="shared" si="27"/>
      </c>
      <c r="K602" s="206">
        <f t="shared" si="318"/>
      </c>
      <c r="L602" s="206">
        <f t="shared" si="288"/>
      </c>
      <c r="M602" s="207">
        <f t="shared" si="227"/>
      </c>
      <c r="N602" s="208">
        <f t="shared" si="197"/>
      </c>
      <c r="O602" s="209">
        <f t="shared" si="167"/>
      </c>
      <c r="P602" s="208">
        <f t="shared" si="257"/>
      </c>
      <c r="Q602" s="210" t="s">
        <v>114</v>
      </c>
      <c r="R602" s="232" t="s">
        <v>129</v>
      </c>
      <c r="S602" s="233">
        <v>85352</v>
      </c>
      <c r="T602" s="233">
        <v>8946</v>
      </c>
      <c r="U602" s="233">
        <v>462</v>
      </c>
      <c r="V602" s="233">
        <v>17604</v>
      </c>
      <c r="W602" s="233">
        <v>2040</v>
      </c>
      <c r="X602" s="249">
        <v>36</v>
      </c>
      <c r="Y602" s="229">
        <v>88</v>
      </c>
    </row>
    <row r="603">
      <c r="A603" s="200"/>
      <c r="B603" s="219" t="s">
        <v>119</v>
      </c>
      <c r="C603" s="219"/>
      <c r="D603" s="220">
        <f>SUM(D598:D602)</f>
      </c>
      <c r="E603" s="220">
        <f>SUM(E598:E602)</f>
      </c>
      <c r="F603" s="220">
        <f>SUM(F598:G602)</f>
      </c>
      <c r="G603" s="220"/>
      <c r="H603" s="220">
        <f>SUM(H598:H602)</f>
      </c>
      <c r="I603" s="220">
        <f>SUM(I598:I602)</f>
      </c>
      <c r="J603" s="222">
        <f t="shared" si="27"/>
      </c>
      <c r="K603" s="223">
        <f t="shared" si="318"/>
      </c>
      <c r="L603" s="224">
        <f t="shared" si="288"/>
      </c>
      <c r="M603" s="225">
        <f t="shared" si="227"/>
      </c>
      <c r="N603" s="225">
        <f t="shared" si="197"/>
      </c>
      <c r="O603" s="226">
        <f t="shared" si="167"/>
      </c>
      <c r="P603" s="225">
        <f t="shared" si="257"/>
      </c>
      <c r="Q603" s="226"/>
      <c r="R603" s="235"/>
      <c r="S603" s="220">
        <f>SUM(S598:S602)</f>
      </c>
      <c r="T603" s="220">
        <f>SUM(T598:T602)</f>
      </c>
      <c r="U603" s="220">
        <f>SUM(U598:U602)</f>
      </c>
      <c r="V603" s="220">
        <f>SUM(V598:V602)</f>
      </c>
      <c r="W603" s="220">
        <f>SUM(W598:W602)</f>
      </c>
      <c r="X603" s="220">
        <f>SUM(X598:X602)</f>
      </c>
      <c r="Y603" s="220">
        <f>SUM(Y598:Y602)</f>
      </c>
    </row>
    <row r="604">
      <c r="A604" s="200"/>
      <c r="B604" s="236" t="s">
        <v>138</v>
      </c>
      <c r="C604" s="236"/>
      <c r="D604" s="237">
        <f>D603+D597+D592+D587</f>
      </c>
      <c r="E604" s="237">
        <f>E603+E597+E592+E587</f>
      </c>
      <c r="F604" s="237">
        <f>F603+F597+F592+F587</f>
      </c>
      <c r="G604" s="237"/>
      <c r="H604" s="238">
        <f>H603+H597+H592+H587</f>
      </c>
      <c r="I604" s="237">
        <f>I603+I597+I592+I587</f>
      </c>
      <c r="J604" s="239">
        <f t="shared" si="27"/>
      </c>
      <c r="K604" s="239">
        <f t="shared" si="318"/>
      </c>
      <c r="L604" s="239">
        <f t="shared" si="288"/>
      </c>
      <c r="M604" s="240">
        <f t="shared" si="227"/>
      </c>
      <c r="N604" s="240">
        <f t="shared" si="197"/>
      </c>
      <c r="O604" s="239">
        <f t="shared" si="167"/>
      </c>
      <c r="P604" s="240">
        <f t="shared" si="257"/>
      </c>
      <c r="Q604" s="241"/>
      <c r="R604" s="242"/>
      <c r="S604" s="243">
        <f>S603+S597+S592+S587</f>
      </c>
      <c r="T604" s="243">
        <f>T603+T597+T592+T587</f>
      </c>
      <c r="U604" s="243">
        <f>U603+U597+U592+U587</f>
      </c>
      <c r="V604" s="243">
        <f>V603+V597+V592+V587</f>
      </c>
      <c r="W604" s="243">
        <f>W603+W597+W592+W587</f>
      </c>
      <c r="X604" s="244">
        <f>X603+X597+X592+X587</f>
      </c>
      <c r="Y604" s="238">
        <f>Y603+Y597+Y592+Y587</f>
      </c>
    </row>
    <row r="605">
      <c r="A605" s="188" t="s">
        <v>83</v>
      </c>
      <c r="B605" s="188"/>
      <c r="C605" s="188"/>
      <c r="D605" s="189" t="s">
        <v>84</v>
      </c>
      <c r="E605" s="189"/>
      <c r="F605" s="189"/>
      <c r="G605" s="189"/>
      <c r="H605" s="189"/>
      <c r="I605" s="189"/>
      <c r="J605" s="189"/>
      <c r="K605" s="189"/>
      <c r="L605" s="189"/>
      <c r="M605" s="190" t="s">
        <v>85</v>
      </c>
      <c r="N605" s="190"/>
      <c r="O605" s="190"/>
      <c r="P605" s="190"/>
      <c r="Q605" s="190"/>
      <c r="R605" s="190"/>
      <c r="S605" s="191" t="s">
        <v>86</v>
      </c>
      <c r="T605" s="191"/>
      <c r="U605" s="191"/>
      <c r="V605" s="191"/>
      <c r="W605" s="191"/>
      <c r="X605" s="191"/>
      <c r="Y605" s="191"/>
      <c r="Z605" s="250"/>
    </row>
    <row r="606">
      <c r="A606" s="192" t="s">
        <v>87</v>
      </c>
      <c r="B606" s="188" t="s">
        <v>88</v>
      </c>
      <c r="C606" s="188" t="s">
        <v>89</v>
      </c>
      <c r="D606" s="193" t="s">
        <v>90</v>
      </c>
      <c r="E606" s="193" t="s">
        <v>91</v>
      </c>
      <c r="F606" s="189" t="s">
        <v>92</v>
      </c>
      <c r="G606" s="189"/>
      <c r="H606" s="194" t="s">
        <v>93</v>
      </c>
      <c r="I606" s="189" t="s">
        <v>94</v>
      </c>
      <c r="J606" s="195" t="s">
        <v>95</v>
      </c>
      <c r="K606" s="196" t="s">
        <v>96</v>
      </c>
      <c r="L606" s="189" t="s">
        <v>97</v>
      </c>
      <c r="M606" s="190" t="s">
        <v>98</v>
      </c>
      <c r="N606" s="190" t="s">
        <v>99</v>
      </c>
      <c r="O606" s="190" t="s">
        <v>100</v>
      </c>
      <c r="P606" s="190" t="s">
        <v>101</v>
      </c>
      <c r="Q606" s="197" t="s">
        <v>102</v>
      </c>
      <c r="R606" s="197" t="s">
        <v>103</v>
      </c>
      <c r="S606" s="198" t="s">
        <v>104</v>
      </c>
      <c r="T606" s="198" t="s">
        <v>105</v>
      </c>
      <c r="U606" s="199" t="s">
        <v>106</v>
      </c>
      <c r="V606" s="199" t="s">
        <v>107</v>
      </c>
      <c r="W606" s="199" t="s">
        <v>108</v>
      </c>
      <c r="X606" s="199" t="s">
        <v>109</v>
      </c>
      <c r="Y606" s="199" t="s">
        <v>110</v>
      </c>
      <c r="Z606" s="250"/>
    </row>
    <row r="607">
      <c r="A607" s="200" t="s">
        <v>179</v>
      </c>
      <c r="B607" s="227" t="s">
        <v>125</v>
      </c>
      <c r="C607" s="202" t="s">
        <v>113</v>
      </c>
      <c r="D607" s="202">
        <f t="shared" ref="D607:D610" si="132">E607+G607+F607</f>
      </c>
      <c r="E607" s="202">
        <v>1975.06</v>
      </c>
      <c r="F607" s="202">
        <v>1376.4299999999998</v>
      </c>
      <c r="G607" s="203">
        <v>0</v>
      </c>
      <c r="H607" s="204">
        <v>20</v>
      </c>
      <c r="I607" s="202">
        <v>10287.38</v>
      </c>
      <c r="J607" s="205">
        <f t="shared" ref="J607:J628" si="28">I607/D607</f>
      </c>
      <c r="K607" s="205">
        <f t="shared" ref="K607:K628" si="319">D607/H607</f>
      </c>
      <c r="L607" s="206">
        <f t="shared" ref="L607:L628" si="289">I607/H607</f>
      </c>
      <c r="M607" s="207">
        <f t="shared" ref="M607:M628" si="228">T607/S607</f>
      </c>
      <c r="N607" s="208">
        <f t="shared" ref="N607:N628" si="198">H607/X607</f>
      </c>
      <c r="O607" s="209">
        <f t="shared" ref="O607:O628" si="168">(Y607*1000)/D607</f>
      </c>
      <c r="P607" s="208">
        <f t="shared" ref="P607:P628" si="258">W607/V607</f>
      </c>
      <c r="Q607" s="210" t="s">
        <v>127</v>
      </c>
      <c r="R607" s="211" t="s">
        <v>141</v>
      </c>
      <c r="S607" s="212">
        <v>58178</v>
      </c>
      <c r="T607" s="212">
        <v>6226</v>
      </c>
      <c r="U607" s="213">
        <v>341</v>
      </c>
      <c r="V607" s="212">
        <v>11109</v>
      </c>
      <c r="W607" s="212">
        <v>1880</v>
      </c>
      <c r="X607" s="214">
        <v>35</v>
      </c>
      <c r="Y607" s="214">
        <v>133</v>
      </c>
      <c r="Z607" s="250"/>
    </row>
    <row r="608">
      <c r="A608" s="200"/>
      <c r="B608" s="227" t="s">
        <v>125</v>
      </c>
      <c r="C608" s="202" t="s">
        <v>116</v>
      </c>
      <c r="D608" s="202">
        <f t="shared" si="132"/>
      </c>
      <c r="E608" s="202">
        <v>3627.2099999999996</v>
      </c>
      <c r="F608" s="202">
        <v>2430.1000000000004</v>
      </c>
      <c r="G608" s="203">
        <v>0</v>
      </c>
      <c r="H608" s="215">
        <v>16</v>
      </c>
      <c r="I608" s="202">
        <v>9326.42</v>
      </c>
      <c r="J608" s="206">
        <f t="shared" si="28"/>
      </c>
      <c r="K608" s="206">
        <f t="shared" si="319"/>
      </c>
      <c r="L608" s="205">
        <f t="shared" si="289"/>
      </c>
      <c r="M608" s="207">
        <f t="shared" si="228"/>
      </c>
      <c r="N608" s="208">
        <f t="shared" si="198"/>
      </c>
      <c r="O608" s="209">
        <f t="shared" si="168"/>
      </c>
      <c r="P608" s="208">
        <f t="shared" si="258"/>
      </c>
      <c r="Q608" s="210" t="s">
        <v>127</v>
      </c>
      <c r="R608" s="211" t="s">
        <v>141</v>
      </c>
      <c r="S608" s="216">
        <v>87632</v>
      </c>
      <c r="T608" s="216">
        <v>9105</v>
      </c>
      <c r="U608" s="212">
        <v>444</v>
      </c>
      <c r="V608" s="212">
        <v>18158</v>
      </c>
      <c r="W608" s="212">
        <v>3340</v>
      </c>
      <c r="X608" s="214">
        <v>29</v>
      </c>
      <c r="Y608" s="217">
        <v>91</v>
      </c>
      <c r="Z608" s="250"/>
    </row>
    <row r="609">
      <c r="A609" s="200"/>
      <c r="B609" s="227" t="s">
        <v>125</v>
      </c>
      <c r="C609" s="202" t="s">
        <v>117</v>
      </c>
      <c r="D609" s="202">
        <f t="shared" si="132"/>
      </c>
      <c r="E609" s="218">
        <v>5068.690000000001</v>
      </c>
      <c r="F609" s="202">
        <v>1623.7399999999993</v>
      </c>
      <c r="G609" s="203">
        <v>0</v>
      </c>
      <c r="H609" s="215">
        <v>24</v>
      </c>
      <c r="I609" s="202">
        <v>10900.05</v>
      </c>
      <c r="J609" s="206">
        <f t="shared" si="28"/>
      </c>
      <c r="K609" s="206">
        <f t="shared" si="319"/>
      </c>
      <c r="L609" s="206">
        <f t="shared" si="289"/>
      </c>
      <c r="M609" s="207">
        <f t="shared" si="228"/>
      </c>
      <c r="N609" s="208">
        <f t="shared" si="198"/>
      </c>
      <c r="O609" s="209">
        <f t="shared" si="168"/>
      </c>
      <c r="P609" s="208">
        <f t="shared" si="258"/>
      </c>
      <c r="Q609" s="210" t="s">
        <v>127</v>
      </c>
      <c r="R609" s="211" t="s">
        <v>141</v>
      </c>
      <c r="S609" s="217">
        <v>88793</v>
      </c>
      <c r="T609" s="217">
        <v>8088</v>
      </c>
      <c r="U609" s="217">
        <v>504</v>
      </c>
      <c r="V609" s="217">
        <v>16657</v>
      </c>
      <c r="W609" s="217">
        <v>3070</v>
      </c>
      <c r="X609" s="214">
        <v>48</v>
      </c>
      <c r="Y609" s="217">
        <v>142</v>
      </c>
      <c r="Z609" s="250"/>
    </row>
    <row customHeight="true" ht="20.238095238095237" r="610">
      <c r="A610" s="200"/>
      <c r="B610" s="227" t="s">
        <v>125</v>
      </c>
      <c r="C610" s="202" t="s">
        <v>118</v>
      </c>
      <c r="D610" s="202">
        <f t="shared" si="132"/>
      </c>
      <c r="E610" s="202">
        <v>5079.07</v>
      </c>
      <c r="F610" s="202">
        <v>1281.4900000000007</v>
      </c>
      <c r="G610" s="203">
        <v>0</v>
      </c>
      <c r="H610" s="215">
        <v>35</v>
      </c>
      <c r="I610" s="202">
        <v>16566.980000000003</v>
      </c>
      <c r="J610" s="206">
        <f t="shared" si="28"/>
      </c>
      <c r="K610" s="206">
        <f t="shared" si="319"/>
      </c>
      <c r="L610" s="206">
        <f t="shared" si="289"/>
      </c>
      <c r="M610" s="207">
        <f t="shared" si="228"/>
      </c>
      <c r="N610" s="208">
        <f t="shared" si="198"/>
      </c>
      <c r="O610" s="209">
        <f t="shared" si="168"/>
      </c>
      <c r="P610" s="208">
        <f t="shared" si="258"/>
      </c>
      <c r="Q610" s="210" t="s">
        <v>127</v>
      </c>
      <c r="R610" s="211" t="s">
        <v>141</v>
      </c>
      <c r="S610" s="217">
        <v>88750</v>
      </c>
      <c r="T610" s="217">
        <v>8171</v>
      </c>
      <c r="U610" s="217">
        <v>536</v>
      </c>
      <c r="V610" s="217">
        <v>17972</v>
      </c>
      <c r="W610" s="217">
        <v>3310</v>
      </c>
      <c r="X610" s="214">
        <v>53</v>
      </c>
      <c r="Y610" s="214">
        <v>152</v>
      </c>
      <c r="Z610" s="250"/>
    </row>
    <row r="611">
      <c r="A611" s="200"/>
      <c r="B611" s="219" t="s">
        <v>119</v>
      </c>
      <c r="C611" s="219"/>
      <c r="D611" s="220">
        <f>SUM(D607:D610)</f>
      </c>
      <c r="E611" s="220">
        <f>SUM(E607:E610)</f>
      </c>
      <c r="F611" s="220">
        <f>SUM(F607:G610)</f>
      </c>
      <c r="G611" s="220"/>
      <c r="H611" s="221">
        <f>SUM(H607:H610)</f>
      </c>
      <c r="I611" s="220">
        <f>SUM(I607:I610)</f>
      </c>
      <c r="J611" s="253">
        <f t="shared" si="28"/>
      </c>
      <c r="K611" s="223">
        <f t="shared" si="319"/>
      </c>
      <c r="L611" s="254">
        <f t="shared" si="289"/>
      </c>
      <c r="M611" s="225">
        <f t="shared" si="228"/>
      </c>
      <c r="N611" s="225">
        <f t="shared" si="198"/>
      </c>
      <c r="O611" s="226">
        <f t="shared" si="168"/>
      </c>
      <c r="P611" s="225">
        <f t="shared" si="258"/>
      </c>
      <c r="Q611" s="226"/>
      <c r="R611" s="226"/>
      <c r="S611" s="221">
        <f>SUM(S607:S610)</f>
      </c>
      <c r="T611" s="221">
        <f>SUM(T607:T610)</f>
      </c>
      <c r="U611" s="221">
        <f>SUM(U607:U610)</f>
      </c>
      <c r="V611" s="221">
        <f>SUM(V607:V610)</f>
      </c>
      <c r="W611" s="221">
        <f>SUM(W607:W610)</f>
      </c>
      <c r="X611" s="221">
        <f>SUM(X607:X610)</f>
      </c>
      <c r="Y611" s="221">
        <f>SUM(Y607:Y610)</f>
      </c>
      <c r="Z611" s="250"/>
    </row>
    <row r="612">
      <c r="A612" s="200"/>
      <c r="B612" s="227" t="s">
        <v>132</v>
      </c>
      <c r="C612" s="202" t="s">
        <v>121</v>
      </c>
      <c r="D612" s="202">
        <f t="shared" ref="D612:D615" si="133">E612+G612+F612</f>
      </c>
      <c r="E612" s="202">
        <v>4380.51</v>
      </c>
      <c r="F612" s="202">
        <v>569.0099999999984</v>
      </c>
      <c r="G612" s="203">
        <v>0</v>
      </c>
      <c r="H612" s="215">
        <v>24</v>
      </c>
      <c r="I612" s="202">
        <v>19741.09999999999</v>
      </c>
      <c r="J612" s="206">
        <f t="shared" si="28"/>
      </c>
      <c r="K612" s="206">
        <f t="shared" si="319"/>
      </c>
      <c r="L612" s="206">
        <f t="shared" si="289"/>
      </c>
      <c r="M612" s="207">
        <f t="shared" si="228"/>
      </c>
      <c r="N612" s="208">
        <f t="shared" si="198"/>
      </c>
      <c r="O612" s="209">
        <f t="shared" si="168"/>
      </c>
      <c r="P612" s="208">
        <f t="shared" si="258"/>
      </c>
      <c r="Q612" s="210" t="s">
        <v>127</v>
      </c>
      <c r="R612" s="211" t="s">
        <v>141</v>
      </c>
      <c r="S612" s="228">
        <v>63829</v>
      </c>
      <c r="T612" s="228">
        <v>5891</v>
      </c>
      <c r="U612" s="228">
        <v>315</v>
      </c>
      <c r="V612" s="228">
        <v>13072</v>
      </c>
      <c r="W612" s="228">
        <v>2429</v>
      </c>
      <c r="X612" s="229">
        <v>39</v>
      </c>
      <c r="Y612" s="229">
        <v>66</v>
      </c>
      <c r="Z612" s="250"/>
    </row>
    <row r="613">
      <c r="A613" s="200"/>
      <c r="B613" s="227" t="s">
        <v>132</v>
      </c>
      <c r="C613" s="202" t="s">
        <v>122</v>
      </c>
      <c r="D613" s="202">
        <f t="shared" si="133"/>
      </c>
      <c r="E613" s="202">
        <v>6086.639999999998</v>
      </c>
      <c r="F613" s="203">
        <v>0</v>
      </c>
      <c r="G613" s="203">
        <v>0</v>
      </c>
      <c r="H613" s="215">
        <v>20</v>
      </c>
      <c r="I613" s="202">
        <v>12897.320000000007</v>
      </c>
      <c r="J613" s="206">
        <f t="shared" si="28"/>
      </c>
      <c r="K613" s="206">
        <f t="shared" si="319"/>
      </c>
      <c r="L613" s="206">
        <f t="shared" si="289"/>
      </c>
      <c r="M613" s="207">
        <f t="shared" si="228"/>
      </c>
      <c r="N613" s="208">
        <f t="shared" si="198"/>
      </c>
      <c r="O613" s="209">
        <f t="shared" si="168"/>
      </c>
      <c r="P613" s="208">
        <f t="shared" si="258"/>
      </c>
      <c r="Q613" s="210" t="s">
        <v>127</v>
      </c>
      <c r="R613" s="211" t="s">
        <v>141</v>
      </c>
      <c r="S613" s="228">
        <v>84134</v>
      </c>
      <c r="T613" s="228">
        <v>7590</v>
      </c>
      <c r="U613" s="228">
        <v>366</v>
      </c>
      <c r="V613" s="228">
        <v>17345</v>
      </c>
      <c r="W613" s="228">
        <v>3105</v>
      </c>
      <c r="X613" s="229">
        <v>39</v>
      </c>
      <c r="Y613" s="228">
        <v>111</v>
      </c>
    </row>
    <row r="614">
      <c r="A614" s="200"/>
      <c r="B614" s="227" t="s">
        <v>132</v>
      </c>
      <c r="C614" s="202" t="s">
        <v>123</v>
      </c>
      <c r="D614" s="202">
        <f t="shared" si="133"/>
      </c>
      <c r="E614" s="202">
        <v>3350.59</v>
      </c>
      <c r="F614" s="202">
        <v>1511.7799999999988</v>
      </c>
      <c r="G614" s="203">
        <v>0</v>
      </c>
      <c r="H614" s="215">
        <v>15</v>
      </c>
      <c r="I614" s="202">
        <v>11732.779999999999</v>
      </c>
      <c r="J614" s="206">
        <f t="shared" si="28"/>
      </c>
      <c r="K614" s="206">
        <f t="shared" si="319"/>
      </c>
      <c r="L614" s="206">
        <f t="shared" si="289"/>
      </c>
      <c r="M614" s="207">
        <f t="shared" si="228"/>
      </c>
      <c r="N614" s="208">
        <f t="shared" si="198"/>
      </c>
      <c r="O614" s="209">
        <f t="shared" si="168"/>
      </c>
      <c r="P614" s="208">
        <f t="shared" si="258"/>
      </c>
      <c r="Q614" s="210" t="s">
        <v>127</v>
      </c>
      <c r="R614" s="211" t="s">
        <v>141</v>
      </c>
      <c r="S614" s="228">
        <v>65035</v>
      </c>
      <c r="T614" s="228">
        <v>6787</v>
      </c>
      <c r="U614" s="228">
        <v>323</v>
      </c>
      <c r="V614" s="228">
        <v>15001</v>
      </c>
      <c r="W614" s="228">
        <v>2501</v>
      </c>
      <c r="X614" s="229">
        <v>28</v>
      </c>
      <c r="Y614" s="229">
        <v>82</v>
      </c>
    </row>
    <row r="615">
      <c r="A615" s="200"/>
      <c r="B615" s="227" t="s">
        <v>132</v>
      </c>
      <c r="C615" s="203" t="s">
        <v>124</v>
      </c>
      <c r="D615" s="202">
        <f t="shared" si="133"/>
      </c>
      <c r="E615" s="202">
        <v>5688.190000000002</v>
      </c>
      <c r="F615" s="203">
        <v>590.5600000000013</v>
      </c>
      <c r="G615" s="203">
        <v>0</v>
      </c>
      <c r="H615" s="215">
        <v>26</v>
      </c>
      <c r="I615" s="202">
        <v>17992.460000000006</v>
      </c>
      <c r="J615" s="206">
        <f t="shared" si="28"/>
      </c>
      <c r="K615" s="206">
        <f t="shared" si="319"/>
      </c>
      <c r="L615" s="206">
        <f t="shared" si="289"/>
      </c>
      <c r="M615" s="207">
        <f t="shared" si="228"/>
      </c>
      <c r="N615" s="208">
        <f t="shared" si="198"/>
      </c>
      <c r="O615" s="209">
        <f t="shared" si="168"/>
      </c>
      <c r="P615" s="208">
        <f t="shared" si="258"/>
      </c>
      <c r="Q615" s="210" t="s">
        <v>127</v>
      </c>
      <c r="R615" s="211" t="s">
        <v>141</v>
      </c>
      <c r="S615" s="228">
        <v>76027</v>
      </c>
      <c r="T615" s="228">
        <v>8002</v>
      </c>
      <c r="U615" s="228">
        <v>457</v>
      </c>
      <c r="V615" s="228">
        <v>17573</v>
      </c>
      <c r="W615" s="228">
        <v>2763</v>
      </c>
      <c r="X615" s="229">
        <v>49</v>
      </c>
      <c r="Y615" s="229">
        <v>121</v>
      </c>
    </row>
    <row r="616">
      <c r="A616" s="200"/>
      <c r="B616" s="219" t="s">
        <v>119</v>
      </c>
      <c r="C616" s="219"/>
      <c r="D616" s="220">
        <f>SUM(D612:D615)</f>
      </c>
      <c r="E616" s="220">
        <f>SUM(E612:E615)</f>
      </c>
      <c r="F616" s="220">
        <f>SUM(F612:G615)</f>
      </c>
      <c r="G616" s="220"/>
      <c r="H616" s="220">
        <f>SUM(H612:H615)</f>
      </c>
      <c r="I616" s="220">
        <f>SUM(I612:I615)</f>
      </c>
      <c r="J616" s="222">
        <f t="shared" si="28"/>
      </c>
      <c r="K616" s="223">
        <f t="shared" si="319"/>
      </c>
      <c r="L616" s="224">
        <f t="shared" si="289"/>
      </c>
      <c r="M616" s="225">
        <f t="shared" si="228"/>
      </c>
      <c r="N616" s="225">
        <f t="shared" si="198"/>
      </c>
      <c r="O616" s="226">
        <f t="shared" si="168"/>
      </c>
      <c r="P616" s="225">
        <f t="shared" si="258"/>
      </c>
      <c r="Q616" s="226"/>
      <c r="R616" s="226"/>
      <c r="S616" s="220">
        <f>SUM(S612:S615)</f>
      </c>
      <c r="T616" s="220">
        <f>SUM(T612:T615)</f>
      </c>
      <c r="U616" s="220">
        <f>SUM(U612:U615)</f>
      </c>
      <c r="V616" s="220">
        <f>SUM(V612:V615)</f>
      </c>
      <c r="W616" s="220">
        <f>SUM(W612:W615)</f>
      </c>
      <c r="X616" s="220">
        <f>SUM(X612:X615)</f>
      </c>
      <c r="Y616" s="220">
        <f>SUM(Y612:Y615)</f>
      </c>
    </row>
    <row r="617">
      <c r="A617" s="200"/>
      <c r="B617" s="245" t="s">
        <v>112</v>
      </c>
      <c r="C617" s="203" t="s">
        <v>126</v>
      </c>
      <c r="D617" s="202">
        <f t="shared" ref="D617:D620" si="134">E617+G617+F617</f>
      </c>
      <c r="E617" s="203">
        <v>12000.39</v>
      </c>
      <c r="F617" s="203">
        <v>1883.94</v>
      </c>
      <c r="G617" s="203">
        <v>0</v>
      </c>
      <c r="H617" s="204">
        <v>37</v>
      </c>
      <c r="I617" s="203">
        <v>27213.48</v>
      </c>
      <c r="J617" s="206">
        <f t="shared" si="28"/>
      </c>
      <c r="K617" s="206">
        <f t="shared" si="319"/>
      </c>
      <c r="L617" s="206">
        <f t="shared" si="289"/>
      </c>
      <c r="M617" s="207">
        <f t="shared" si="228"/>
      </c>
      <c r="N617" s="208">
        <f t="shared" si="198"/>
      </c>
      <c r="O617" s="209">
        <f t="shared" si="168"/>
      </c>
      <c r="P617" s="208">
        <f t="shared" si="258"/>
      </c>
      <c r="Q617" s="210" t="s">
        <v>114</v>
      </c>
      <c r="R617" s="211" t="s">
        <v>141</v>
      </c>
      <c r="S617" s="229">
        <v>191263</v>
      </c>
      <c r="T617" s="229">
        <v>19068</v>
      </c>
      <c r="U617" s="229">
        <v>810</v>
      </c>
      <c r="V617" s="229">
        <v>42911</v>
      </c>
      <c r="W617" s="229">
        <v>6443</v>
      </c>
      <c r="X617" s="229">
        <v>67</v>
      </c>
      <c r="Y617" s="229">
        <v>221</v>
      </c>
    </row>
    <row r="618">
      <c r="A618" s="200"/>
      <c r="B618" s="245" t="s">
        <v>112</v>
      </c>
      <c r="C618" s="202" t="s">
        <v>128</v>
      </c>
      <c r="D618" s="202">
        <f t="shared" si="134"/>
      </c>
      <c r="E618" s="203">
        <v>9074.69</v>
      </c>
      <c r="F618" s="203">
        <v>2073.58</v>
      </c>
      <c r="G618" s="203">
        <v>0</v>
      </c>
      <c r="H618" s="204">
        <v>46</v>
      </c>
      <c r="I618" s="203">
        <v>29685.83</v>
      </c>
      <c r="J618" s="206">
        <f t="shared" si="28"/>
      </c>
      <c r="K618" s="206">
        <f t="shared" si="319"/>
      </c>
      <c r="L618" s="206">
        <f t="shared" si="289"/>
      </c>
      <c r="M618" s="207">
        <f t="shared" si="228"/>
      </c>
      <c r="N618" s="208">
        <f t="shared" si="198"/>
      </c>
      <c r="O618" s="209">
        <f t="shared" si="168"/>
      </c>
      <c r="P618" s="208">
        <f t="shared" si="258"/>
      </c>
      <c r="Q618" s="210" t="s">
        <v>114</v>
      </c>
      <c r="R618" s="232" t="s">
        <v>129</v>
      </c>
      <c r="S618" s="257">
        <v>184495</v>
      </c>
      <c r="T618" s="257">
        <v>17416</v>
      </c>
      <c r="U618" s="257">
        <v>795</v>
      </c>
      <c r="V618" s="257">
        <v>42130</v>
      </c>
      <c r="W618" s="257">
        <v>6983</v>
      </c>
      <c r="X618" s="229">
        <v>70</v>
      </c>
      <c r="Y618" s="229">
        <v>168</v>
      </c>
    </row>
    <row r="619">
      <c r="A619" s="200"/>
      <c r="B619" s="245" t="s">
        <v>112</v>
      </c>
      <c r="C619" s="202" t="s">
        <v>130</v>
      </c>
      <c r="D619" s="202">
        <f t="shared" si="134"/>
      </c>
      <c r="E619" s="203">
        <v>6738.65</v>
      </c>
      <c r="F619" s="203">
        <v>1815.2</v>
      </c>
      <c r="G619" s="203">
        <v>0</v>
      </c>
      <c r="H619" s="204">
        <v>17</v>
      </c>
      <c r="I619" s="203">
        <v>12086.39</v>
      </c>
      <c r="J619" s="206">
        <f t="shared" si="28"/>
      </c>
      <c r="K619" s="206">
        <f t="shared" si="319"/>
      </c>
      <c r="L619" s="206">
        <f t="shared" si="289"/>
      </c>
      <c r="M619" s="207">
        <f t="shared" si="228"/>
      </c>
      <c r="N619" s="208">
        <f t="shared" si="198"/>
      </c>
      <c r="O619" s="209">
        <f t="shared" si="168"/>
      </c>
      <c r="P619" s="208">
        <f t="shared" si="258"/>
      </c>
      <c r="Q619" s="210" t="s">
        <v>114</v>
      </c>
      <c r="R619" s="232" t="s">
        <v>129</v>
      </c>
      <c r="S619" s="229">
        <v>135653</v>
      </c>
      <c r="T619" s="229">
        <v>12750</v>
      </c>
      <c r="U619" s="229">
        <v>542</v>
      </c>
      <c r="V619" s="229">
        <v>31317</v>
      </c>
      <c r="W619" s="229">
        <v>5466</v>
      </c>
      <c r="X619" s="229">
        <v>31</v>
      </c>
      <c r="Y619" s="229">
        <v>136</v>
      </c>
    </row>
    <row r="620">
      <c r="A620" s="200"/>
      <c r="B620" s="245" t="s">
        <v>112</v>
      </c>
      <c r="C620" s="202" t="s">
        <v>131</v>
      </c>
      <c r="D620" s="202">
        <f t="shared" si="134"/>
      </c>
      <c r="E620" s="203">
        <v>3838.55</v>
      </c>
      <c r="F620" s="203">
        <v>2407.91</v>
      </c>
      <c r="G620" s="203">
        <v>0</v>
      </c>
      <c r="H620" s="204">
        <v>19</v>
      </c>
      <c r="I620" s="203">
        <v>15007.08</v>
      </c>
      <c r="J620" s="206">
        <f t="shared" si="28"/>
      </c>
      <c r="K620" s="206">
        <f t="shared" si="319"/>
      </c>
      <c r="L620" s="206">
        <f t="shared" si="289"/>
      </c>
      <c r="M620" s="207">
        <f t="shared" si="228"/>
      </c>
      <c r="N620" s="208">
        <f t="shared" si="198"/>
      </c>
      <c r="O620" s="209">
        <f t="shared" si="168"/>
      </c>
      <c r="P620" s="208">
        <f t="shared" si="258"/>
      </c>
      <c r="Q620" s="210" t="s">
        <v>114</v>
      </c>
      <c r="R620" s="232" t="s">
        <v>129</v>
      </c>
      <c r="S620" s="229">
        <v>115277</v>
      </c>
      <c r="T620" s="229">
        <v>7890</v>
      </c>
      <c r="U620" s="229">
        <v>406</v>
      </c>
      <c r="V620" s="229">
        <v>17798</v>
      </c>
      <c r="W620" s="229">
        <v>2872</v>
      </c>
      <c r="X620" s="229">
        <v>36</v>
      </c>
      <c r="Y620" s="229">
        <v>79</v>
      </c>
    </row>
    <row r="621">
      <c r="A621" s="200"/>
      <c r="B621" s="219" t="s">
        <v>119</v>
      </c>
      <c r="C621" s="219"/>
      <c r="D621" s="220">
        <f>SUM(D617:D620)</f>
      </c>
      <c r="E621" s="220">
        <f>SUM(E617:E620)</f>
      </c>
      <c r="F621" s="220">
        <f>SUM(F617:G620)</f>
      </c>
      <c r="G621" s="220"/>
      <c r="H621" s="221">
        <f>SUM(H617:H620)</f>
      </c>
      <c r="I621" s="220">
        <f>SUM(I617:I620)</f>
      </c>
      <c r="J621" s="253">
        <f t="shared" si="28"/>
      </c>
      <c r="K621" s="223">
        <f t="shared" si="319"/>
      </c>
      <c r="L621" s="254">
        <f t="shared" si="289"/>
      </c>
      <c r="M621" s="225">
        <f t="shared" si="228"/>
      </c>
      <c r="N621" s="225">
        <f t="shared" si="198"/>
      </c>
      <c r="O621" s="226">
        <f t="shared" si="168"/>
      </c>
      <c r="P621" s="225">
        <f t="shared" si="258"/>
      </c>
      <c r="Q621" s="226"/>
      <c r="R621" s="226"/>
      <c r="S621" s="221">
        <f>SUM(S617:S620)</f>
      </c>
      <c r="T621" s="221">
        <f>SUM(T617:T620)</f>
      </c>
      <c r="U621" s="221">
        <f>SUM(U617:U620)</f>
      </c>
      <c r="V621" s="221">
        <f>SUM(V617:V620)</f>
      </c>
      <c r="W621" s="221">
        <f>SUM(W617:W620)</f>
      </c>
      <c r="X621" s="221">
        <f>SUM(X617:X620)</f>
      </c>
      <c r="Y621" s="221">
        <f>SUM(Y617:Y620)</f>
      </c>
    </row>
    <row r="622">
      <c r="A622" s="200"/>
      <c r="B622" s="245" t="s">
        <v>166</v>
      </c>
      <c r="C622" s="202" t="s">
        <v>133</v>
      </c>
      <c r="D622" s="202">
        <f t="shared" ref="D622:D626" si="135">E622+G622+F622</f>
      </c>
      <c r="E622" s="203">
        <v>2478.71</v>
      </c>
      <c r="F622" s="203">
        <v>1879.66</v>
      </c>
      <c r="G622" s="203">
        <v>0</v>
      </c>
      <c r="H622" s="204">
        <v>20</v>
      </c>
      <c r="I622" s="203">
        <v>13813</v>
      </c>
      <c r="J622" s="206">
        <f t="shared" si="28"/>
      </c>
      <c r="K622" s="206">
        <f t="shared" si="319"/>
      </c>
      <c r="L622" s="206">
        <f t="shared" si="289"/>
      </c>
      <c r="M622" s="207">
        <f t="shared" si="228"/>
      </c>
      <c r="N622" s="208">
        <f t="shared" si="198"/>
      </c>
      <c r="O622" s="209">
        <f t="shared" si="168"/>
      </c>
      <c r="P622" s="208">
        <f t="shared" si="258"/>
      </c>
      <c r="Q622" s="210" t="s">
        <v>114</v>
      </c>
      <c r="R622" s="232" t="s">
        <v>129</v>
      </c>
      <c r="S622" s="229">
        <v>90623</v>
      </c>
      <c r="T622" s="229">
        <v>5831</v>
      </c>
      <c r="U622" s="229">
        <v>323</v>
      </c>
      <c r="V622" s="229">
        <v>12840</v>
      </c>
      <c r="W622" s="229">
        <v>2083</v>
      </c>
      <c r="X622" s="229">
        <v>36</v>
      </c>
      <c r="Y622" s="229">
        <v>68</v>
      </c>
    </row>
    <row r="623">
      <c r="A623" s="200"/>
      <c r="B623" s="201" t="s">
        <v>166</v>
      </c>
      <c r="C623" s="202" t="s">
        <v>134</v>
      </c>
      <c r="D623" s="202">
        <f t="shared" si="135"/>
      </c>
      <c r="E623" s="203">
        <v>2932.56</v>
      </c>
      <c r="F623" s="203">
        <v>2149.64</v>
      </c>
      <c r="G623" s="203">
        <v>0</v>
      </c>
      <c r="H623" s="204">
        <v>21</v>
      </c>
      <c r="I623" s="203">
        <v>11226.73</v>
      </c>
      <c r="J623" s="206">
        <f t="shared" si="28"/>
      </c>
      <c r="K623" s="206">
        <f t="shared" si="319"/>
      </c>
      <c r="L623" s="206">
        <f t="shared" si="289"/>
      </c>
      <c r="M623" s="207">
        <f t="shared" si="228"/>
      </c>
      <c r="N623" s="208">
        <f t="shared" si="198"/>
      </c>
      <c r="O623" s="209">
        <f t="shared" si="168"/>
      </c>
      <c r="P623" s="208">
        <f t="shared" si="258"/>
      </c>
      <c r="Q623" s="210" t="s">
        <v>114</v>
      </c>
      <c r="R623" s="232" t="s">
        <v>129</v>
      </c>
      <c r="S623" s="233">
        <v>99262</v>
      </c>
      <c r="T623" s="233">
        <v>6401</v>
      </c>
      <c r="U623" s="233">
        <v>340</v>
      </c>
      <c r="V623" s="233">
        <v>12930</v>
      </c>
      <c r="W623" s="233">
        <v>1688</v>
      </c>
      <c r="X623" s="233">
        <v>31</v>
      </c>
      <c r="Y623" s="229">
        <v>79</v>
      </c>
    </row>
    <row r="624">
      <c r="A624" s="200"/>
      <c r="B624" s="201" t="s">
        <v>166</v>
      </c>
      <c r="C624" s="202" t="s">
        <v>135</v>
      </c>
      <c r="D624" s="202">
        <f t="shared" si="135"/>
      </c>
      <c r="E624" s="203">
        <v>5994.09</v>
      </c>
      <c r="F624" s="203">
        <v>2086.31</v>
      </c>
      <c r="G624" s="203">
        <v>0</v>
      </c>
      <c r="H624" s="204">
        <v>15</v>
      </c>
      <c r="I624" s="203">
        <v>7706.08</v>
      </c>
      <c r="J624" s="206">
        <f t="shared" si="28"/>
      </c>
      <c r="K624" s="206">
        <f t="shared" si="319"/>
      </c>
      <c r="L624" s="206">
        <f t="shared" si="289"/>
      </c>
      <c r="M624" s="207">
        <f t="shared" si="228"/>
      </c>
      <c r="N624" s="208">
        <f t="shared" si="198"/>
      </c>
      <c r="O624" s="209">
        <f t="shared" si="168"/>
      </c>
      <c r="P624" s="208">
        <f t="shared" si="258"/>
      </c>
      <c r="Q624" s="210" t="s">
        <v>114</v>
      </c>
      <c r="R624" s="232" t="s">
        <v>129</v>
      </c>
      <c r="S624" s="233">
        <v>161892</v>
      </c>
      <c r="T624" s="233">
        <v>11084</v>
      </c>
      <c r="U624" s="233">
        <v>532</v>
      </c>
      <c r="V624" s="233">
        <v>22213</v>
      </c>
      <c r="W624" s="246">
        <v>2722</v>
      </c>
      <c r="X624" s="214">
        <v>39</v>
      </c>
      <c r="Y624" s="248">
        <v>84</v>
      </c>
    </row>
    <row r="625">
      <c r="A625" s="200"/>
      <c r="B625" s="201" t="s">
        <v>166</v>
      </c>
      <c r="C625" s="202" t="s">
        <v>136</v>
      </c>
      <c r="D625" s="202">
        <f t="shared" si="135"/>
      </c>
      <c r="E625" s="203">
        <v>3954.91</v>
      </c>
      <c r="F625" s="203">
        <v>2085.95</v>
      </c>
      <c r="G625" s="203">
        <v>0</v>
      </c>
      <c r="H625" s="204">
        <v>26</v>
      </c>
      <c r="I625" s="203">
        <v>14304.05</v>
      </c>
      <c r="J625" s="206">
        <f t="shared" si="28"/>
      </c>
      <c r="K625" s="206">
        <f t="shared" si="319"/>
      </c>
      <c r="L625" s="206">
        <f t="shared" si="289"/>
      </c>
      <c r="M625" s="207">
        <f t="shared" si="228"/>
      </c>
      <c r="N625" s="208">
        <f t="shared" si="198"/>
      </c>
      <c r="O625" s="209">
        <f t="shared" si="168"/>
      </c>
      <c r="P625" s="208">
        <f t="shared" si="258"/>
      </c>
      <c r="Q625" s="210" t="s">
        <v>114</v>
      </c>
      <c r="R625" s="232" t="s">
        <v>129</v>
      </c>
      <c r="S625" s="233">
        <v>124022</v>
      </c>
      <c r="T625" s="233">
        <v>8390</v>
      </c>
      <c r="U625" s="233">
        <v>510</v>
      </c>
      <c r="V625" s="233">
        <v>16394</v>
      </c>
      <c r="W625" s="246">
        <v>2081</v>
      </c>
      <c r="X625" s="214">
        <v>54</v>
      </c>
      <c r="Y625" s="248">
        <v>102</v>
      </c>
    </row>
    <row r="626">
      <c r="A626" s="200"/>
      <c r="B626" s="201" t="s">
        <v>166</v>
      </c>
      <c r="C626" s="202" t="s">
        <v>137</v>
      </c>
      <c r="D626" s="202">
        <f t="shared" si="135"/>
      </c>
      <c r="E626" s="203">
        <f>3689.74+0.51</f>
      </c>
      <c r="F626" s="203">
        <v>2336.44</v>
      </c>
      <c r="G626" s="203">
        <v>0</v>
      </c>
      <c r="H626" s="204">
        <v>21</v>
      </c>
      <c r="I626" s="203">
        <v>11144.75</v>
      </c>
      <c r="J626" s="206">
        <f t="shared" si="28"/>
      </c>
      <c r="K626" s="206">
        <f t="shared" si="319"/>
      </c>
      <c r="L626" s="206">
        <f t="shared" si="289"/>
      </c>
      <c r="M626" s="207">
        <f t="shared" si="228"/>
      </c>
      <c r="N626" s="208">
        <f t="shared" si="198"/>
      </c>
      <c r="O626" s="209">
        <f t="shared" si="168"/>
      </c>
      <c r="P626" s="208">
        <f t="shared" si="258"/>
      </c>
      <c r="Q626" s="210" t="s">
        <v>114</v>
      </c>
      <c r="R626" s="232" t="s">
        <v>129</v>
      </c>
      <c r="S626" s="233">
        <v>104623</v>
      </c>
      <c r="T626" s="233">
        <v>8130</v>
      </c>
      <c r="U626" s="233">
        <v>429</v>
      </c>
      <c r="V626" s="233">
        <v>15949</v>
      </c>
      <c r="W626" s="233">
        <v>1943</v>
      </c>
      <c r="X626" s="249">
        <v>30</v>
      </c>
      <c r="Y626" s="229">
        <v>79</v>
      </c>
    </row>
    <row r="627">
      <c r="A627" s="200"/>
      <c r="B627" s="219" t="s">
        <v>119</v>
      </c>
      <c r="C627" s="219"/>
      <c r="D627" s="220">
        <f>SUM(D622:D626)</f>
      </c>
      <c r="E627" s="220">
        <f>SUM(E622:E626)</f>
      </c>
      <c r="F627" s="220">
        <f>SUM(F622:G626)</f>
      </c>
      <c r="G627" s="220"/>
      <c r="H627" s="220">
        <f>SUM(H622:H626)</f>
      </c>
      <c r="I627" s="220">
        <f>SUM(I622:I626)</f>
      </c>
      <c r="J627" s="222">
        <f t="shared" si="28"/>
      </c>
      <c r="K627" s="223">
        <f t="shared" si="319"/>
      </c>
      <c r="L627" s="224">
        <f t="shared" si="289"/>
      </c>
      <c r="M627" s="225">
        <f t="shared" si="228"/>
      </c>
      <c r="N627" s="225">
        <f t="shared" si="198"/>
      </c>
      <c r="O627" s="226">
        <f t="shared" si="168"/>
      </c>
      <c r="P627" s="225">
        <f t="shared" si="258"/>
      </c>
      <c r="Q627" s="226"/>
      <c r="R627" s="235"/>
      <c r="S627" s="220">
        <f>SUM(S622:S626)</f>
      </c>
      <c r="T627" s="220">
        <f>SUM(T622:T626)</f>
      </c>
      <c r="U627" s="220">
        <f>SUM(U622:U626)</f>
      </c>
      <c r="V627" s="220">
        <f>SUM(V622:V626)</f>
      </c>
      <c r="W627" s="220">
        <f>SUM(W622:W626)</f>
      </c>
      <c r="X627" s="220">
        <f>SUM(X622:X626)</f>
      </c>
      <c r="Y627" s="220">
        <f>SUM(Y622:Y626)</f>
      </c>
    </row>
    <row r="628">
      <c r="A628" s="200"/>
      <c r="B628" s="236" t="s">
        <v>138</v>
      </c>
      <c r="C628" s="236"/>
      <c r="D628" s="237">
        <f>D627+D621+D616+D611</f>
      </c>
      <c r="E628" s="237">
        <f>E627+E621+E616+E611</f>
      </c>
      <c r="F628" s="237">
        <f>F627+F621+F616+F611</f>
      </c>
      <c r="G628" s="237"/>
      <c r="H628" s="238">
        <f>H627+H621+H616+H611</f>
      </c>
      <c r="I628" s="237">
        <f>I627+I621+I616+I611</f>
      </c>
      <c r="J628" s="239">
        <f t="shared" si="28"/>
      </c>
      <c r="K628" s="239">
        <f t="shared" si="319"/>
      </c>
      <c r="L628" s="239">
        <f t="shared" si="289"/>
      </c>
      <c r="M628" s="240">
        <f t="shared" si="228"/>
      </c>
      <c r="N628" s="240">
        <f t="shared" si="198"/>
      </c>
      <c r="O628" s="239">
        <f t="shared" si="168"/>
      </c>
      <c r="P628" s="240">
        <f t="shared" si="258"/>
      </c>
      <c r="Q628" s="241"/>
      <c r="R628" s="242"/>
      <c r="S628" s="243">
        <f>S627+S621+S616+S611</f>
      </c>
      <c r="T628" s="243">
        <f>T627+T621+T616+T611</f>
      </c>
      <c r="U628" s="243">
        <f>U627+U621+U616+U611</f>
      </c>
      <c r="V628" s="243">
        <f>V627+V621+V616+V611</f>
      </c>
      <c r="W628" s="243">
        <f>W627+W621+W616+W611</f>
      </c>
      <c r="X628" s="244">
        <f>X627+X621+X616+X611</f>
      </c>
      <c r="Y628" s="238">
        <f>Y627+Y621+Y616+Y611</f>
      </c>
    </row>
    <row r="629">
      <c r="A629" s="188" t="s">
        <v>83</v>
      </c>
      <c r="B629" s="188"/>
      <c r="C629" s="188"/>
      <c r="D629" s="189" t="s">
        <v>84</v>
      </c>
      <c r="E629" s="189"/>
      <c r="F629" s="189"/>
      <c r="G629" s="189"/>
      <c r="H629" s="189"/>
      <c r="I629" s="189"/>
      <c r="J629" s="189"/>
      <c r="K629" s="189"/>
      <c r="L629" s="189"/>
      <c r="M629" s="190" t="s">
        <v>85</v>
      </c>
      <c r="N629" s="190"/>
      <c r="O629" s="190"/>
      <c r="P629" s="190"/>
      <c r="Q629" s="190"/>
      <c r="R629" s="190"/>
      <c r="S629" s="191" t="s">
        <v>86</v>
      </c>
      <c r="T629" s="191"/>
      <c r="U629" s="191"/>
      <c r="V629" s="191"/>
      <c r="W629" s="191"/>
      <c r="X629" s="191"/>
      <c r="Y629" s="191"/>
      <c r="Z629" s="250"/>
    </row>
    <row r="630">
      <c r="A630" s="192" t="s">
        <v>87</v>
      </c>
      <c r="B630" s="188" t="s">
        <v>88</v>
      </c>
      <c r="C630" s="188" t="s">
        <v>89</v>
      </c>
      <c r="D630" s="193" t="s">
        <v>90</v>
      </c>
      <c r="E630" s="193" t="s">
        <v>91</v>
      </c>
      <c r="F630" s="189" t="s">
        <v>92</v>
      </c>
      <c r="G630" s="189"/>
      <c r="H630" s="194" t="s">
        <v>93</v>
      </c>
      <c r="I630" s="189" t="s">
        <v>94</v>
      </c>
      <c r="J630" s="195" t="s">
        <v>95</v>
      </c>
      <c r="K630" s="196" t="s">
        <v>96</v>
      </c>
      <c r="L630" s="189" t="s">
        <v>97</v>
      </c>
      <c r="M630" s="190" t="s">
        <v>98</v>
      </c>
      <c r="N630" s="190" t="s">
        <v>99</v>
      </c>
      <c r="O630" s="190" t="s">
        <v>100</v>
      </c>
      <c r="P630" s="190" t="s">
        <v>101</v>
      </c>
      <c r="Q630" s="197" t="s">
        <v>102</v>
      </c>
      <c r="R630" s="197" t="s">
        <v>103</v>
      </c>
      <c r="S630" s="198" t="s">
        <v>104</v>
      </c>
      <c r="T630" s="198" t="s">
        <v>105</v>
      </c>
      <c r="U630" s="199" t="s">
        <v>106</v>
      </c>
      <c r="V630" s="199" t="s">
        <v>107</v>
      </c>
      <c r="W630" s="199" t="s">
        <v>108</v>
      </c>
      <c r="X630" s="199" t="s">
        <v>109</v>
      </c>
      <c r="Y630" s="199" t="s">
        <v>110</v>
      </c>
      <c r="Z630" s="250"/>
    </row>
    <row r="631">
      <c r="A631" s="200" t="s">
        <v>180</v>
      </c>
      <c r="B631" s="227" t="s">
        <v>125</v>
      </c>
      <c r="C631" s="202" t="s">
        <v>113</v>
      </c>
      <c r="D631" s="202">
        <f t="shared" ref="D631:D634" si="136">E631+G631+F631</f>
      </c>
      <c r="E631" s="202">
        <v>5097.12</v>
      </c>
      <c r="F631" s="202">
        <v>1380.6599999999999</v>
      </c>
      <c r="G631" s="203">
        <v>0</v>
      </c>
      <c r="H631" s="204">
        <v>24</v>
      </c>
      <c r="I631" s="202">
        <v>12832.7</v>
      </c>
      <c r="J631" s="205">
        <f t="shared" ref="J631:J650" si="29">I631/D631</f>
      </c>
      <c r="K631" s="205">
        <f t="shared" ref="K631:K650" si="320">D631/H631</f>
      </c>
      <c r="L631" s="206">
        <f t="shared" ref="L631:L650" si="290">I631/H631</f>
      </c>
      <c r="M631" s="207">
        <f t="shared" ref="M631:M650" si="229">T631/S631</f>
      </c>
      <c r="N631" s="208">
        <f t="shared" ref="N631:N650" si="199">H631/X631</f>
      </c>
      <c r="O631" s="209">
        <f t="shared" ref="O631:O650" si="169">(Y631*1000)/D631</f>
      </c>
      <c r="P631" s="208">
        <f t="shared" ref="P631:P650" si="259">W631/V631</f>
      </c>
      <c r="Q631" s="210" t="s">
        <v>127</v>
      </c>
      <c r="R631" s="211" t="s">
        <v>141</v>
      </c>
      <c r="S631" s="212">
        <v>96690</v>
      </c>
      <c r="T631" s="212">
        <v>10867</v>
      </c>
      <c r="U631" s="213">
        <v>526</v>
      </c>
      <c r="V631" s="212">
        <v>22792</v>
      </c>
      <c r="W631" s="212">
        <v>4098</v>
      </c>
      <c r="X631" s="214">
        <v>48</v>
      </c>
      <c r="Y631" s="214">
        <v>124</v>
      </c>
      <c r="Z631" s="250"/>
    </row>
    <row r="632">
      <c r="A632" s="200"/>
      <c r="B632" s="227" t="s">
        <v>125</v>
      </c>
      <c r="C632" s="202" t="s">
        <v>116</v>
      </c>
      <c r="D632" s="202">
        <f t="shared" si="136"/>
      </c>
      <c r="E632" s="202">
        <v>11738.52</v>
      </c>
      <c r="F632" s="202">
        <v>2191.120000000001</v>
      </c>
      <c r="G632" s="203">
        <v>0</v>
      </c>
      <c r="H632" s="215">
        <v>58</v>
      </c>
      <c r="I632" s="202">
        <v>25058.539999999997</v>
      </c>
      <c r="J632" s="206">
        <f t="shared" si="29"/>
      </c>
      <c r="K632" s="206">
        <f t="shared" si="320"/>
      </c>
      <c r="L632" s="205">
        <f t="shared" si="290"/>
      </c>
      <c r="M632" s="207">
        <f t="shared" si="229"/>
      </c>
      <c r="N632" s="208">
        <f t="shared" si="199"/>
      </c>
      <c r="O632" s="209">
        <f t="shared" si="169"/>
      </c>
      <c r="P632" s="208">
        <f t="shared" si="259"/>
      </c>
      <c r="Q632" s="210" t="s">
        <v>127</v>
      </c>
      <c r="R632" s="211" t="s">
        <v>141</v>
      </c>
      <c r="S632" s="216">
        <v>183289</v>
      </c>
      <c r="T632" s="216">
        <v>20533</v>
      </c>
      <c r="U632" s="212">
        <v>1137</v>
      </c>
      <c r="V632" s="212">
        <v>46626</v>
      </c>
      <c r="W632" s="212">
        <v>8583</v>
      </c>
      <c r="X632" s="214">
        <v>119</v>
      </c>
      <c r="Y632" s="217">
        <v>281</v>
      </c>
      <c r="Z632" s="250"/>
    </row>
    <row r="633">
      <c r="A633" s="200"/>
      <c r="B633" s="227" t="s">
        <v>125</v>
      </c>
      <c r="C633" s="202" t="s">
        <v>117</v>
      </c>
      <c r="D633" s="202">
        <f t="shared" si="136"/>
      </c>
      <c r="E633" s="218">
        <v>24724.93</v>
      </c>
      <c r="F633" s="202">
        <v>3919.7999999999984</v>
      </c>
      <c r="G633" s="203">
        <v>0</v>
      </c>
      <c r="H633" s="215">
        <v>140</v>
      </c>
      <c r="I633" s="202">
        <v>66213.45000000001</v>
      </c>
      <c r="J633" s="206">
        <f t="shared" si="29"/>
      </c>
      <c r="K633" s="206">
        <f t="shared" si="320"/>
      </c>
      <c r="L633" s="206">
        <f t="shared" si="290"/>
      </c>
      <c r="M633" s="207">
        <f t="shared" si="229"/>
      </c>
      <c r="N633" s="208">
        <f t="shared" si="199"/>
      </c>
      <c r="O633" s="209">
        <f t="shared" si="169"/>
      </c>
      <c r="P633" s="208">
        <f t="shared" si="259"/>
      </c>
      <c r="Q633" s="210" t="s">
        <v>127</v>
      </c>
      <c r="R633" s="211" t="s">
        <v>141</v>
      </c>
      <c r="S633" s="217">
        <v>395696</v>
      </c>
      <c r="T633" s="217">
        <v>38141</v>
      </c>
      <c r="U633" s="217">
        <v>2041</v>
      </c>
      <c r="V633" s="217">
        <v>89071</v>
      </c>
      <c r="W633" s="217">
        <v>16126</v>
      </c>
      <c r="X633" s="214">
        <v>205</v>
      </c>
      <c r="Y633" s="217">
        <v>421</v>
      </c>
      <c r="Z633" s="250"/>
    </row>
    <row r="634">
      <c r="A634" s="200"/>
      <c r="B634" s="227" t="s">
        <v>125</v>
      </c>
      <c r="C634" s="202" t="s">
        <v>118</v>
      </c>
      <c r="D634" s="202">
        <f t="shared" si="136"/>
      </c>
      <c r="E634" s="202">
        <v>16514.159999999996</v>
      </c>
      <c r="F634" s="202">
        <v>1405.37</v>
      </c>
      <c r="G634" s="203">
        <v>0</v>
      </c>
      <c r="H634" s="215">
        <v>68</v>
      </c>
      <c r="I634" s="202">
        <v>27160.51999999999</v>
      </c>
      <c r="J634" s="206">
        <f t="shared" si="29"/>
      </c>
      <c r="K634" s="206">
        <f t="shared" si="320"/>
      </c>
      <c r="L634" s="206">
        <f t="shared" si="290"/>
      </c>
      <c r="M634" s="207">
        <f t="shared" si="229"/>
      </c>
      <c r="N634" s="208">
        <f t="shared" si="199"/>
      </c>
      <c r="O634" s="209">
        <f t="shared" si="169"/>
      </c>
      <c r="P634" s="208">
        <f t="shared" si="259"/>
      </c>
      <c r="Q634" s="210" t="s">
        <v>127</v>
      </c>
      <c r="R634" s="211" t="s">
        <v>141</v>
      </c>
      <c r="S634" s="217">
        <v>297231</v>
      </c>
      <c r="T634" s="217">
        <v>26852</v>
      </c>
      <c r="U634" s="217">
        <v>1490</v>
      </c>
      <c r="V634" s="217">
        <v>59535</v>
      </c>
      <c r="W634" s="217">
        <v>10627</v>
      </c>
      <c r="X634" s="214">
        <v>112</v>
      </c>
      <c r="Y634" s="214">
        <v>273</v>
      </c>
      <c r="Z634" s="250"/>
    </row>
    <row r="635">
      <c r="A635" s="200"/>
      <c r="B635" s="219" t="s">
        <v>119</v>
      </c>
      <c r="C635" s="219"/>
      <c r="D635" s="220">
        <f>SUM(D631:D634)</f>
      </c>
      <c r="E635" s="220">
        <f>SUM(E631:E634)</f>
      </c>
      <c r="F635" s="220">
        <f>SUM(F631:G634)</f>
      </c>
      <c r="G635" s="220"/>
      <c r="H635" s="221">
        <f>SUM(H631:H634)</f>
      </c>
      <c r="I635" s="220">
        <f>SUM(I631:I634)</f>
      </c>
      <c r="J635" s="253">
        <f t="shared" si="29"/>
      </c>
      <c r="K635" s="223">
        <f t="shared" si="320"/>
      </c>
      <c r="L635" s="254">
        <f t="shared" si="290"/>
      </c>
      <c r="M635" s="225">
        <f t="shared" si="229"/>
      </c>
      <c r="N635" s="225">
        <f t="shared" si="199"/>
      </c>
      <c r="O635" s="226">
        <f t="shared" si="169"/>
      </c>
      <c r="P635" s="225">
        <f t="shared" si="259"/>
      </c>
      <c r="Q635" s="226"/>
      <c r="R635" s="226"/>
      <c r="S635" s="221">
        <f>SUM(S631:S634)</f>
      </c>
      <c r="T635" s="221">
        <f>SUM(T631:T634)</f>
      </c>
      <c r="U635" s="221">
        <f>SUM(U631:U634)</f>
      </c>
      <c r="V635" s="221">
        <f>SUM(V631:V634)</f>
      </c>
      <c r="W635" s="221">
        <f>SUM(W631:W634)</f>
      </c>
      <c r="X635" s="221">
        <f>SUM(X631:X634)</f>
      </c>
      <c r="Y635" s="221">
        <f>SUM(Y631:Y634)</f>
      </c>
      <c r="Z635" s="250"/>
    </row>
    <row r="636">
      <c r="A636" s="200"/>
      <c r="B636" s="227" t="s">
        <v>112</v>
      </c>
      <c r="C636" s="202" t="s">
        <v>121</v>
      </c>
      <c r="D636" s="202">
        <f t="shared" ref="D636:D638" si="137">E636+G636+F636</f>
      </c>
      <c r="E636" s="202">
        <v>9447.080000000002</v>
      </c>
      <c r="F636" s="202">
        <v>617.5099999999966</v>
      </c>
      <c r="G636" s="203">
        <v>0</v>
      </c>
      <c r="H636" s="215">
        <v>42</v>
      </c>
      <c r="I636" s="202">
        <v>19987.46000000002</v>
      </c>
      <c r="J636" s="206">
        <f t="shared" si="29"/>
      </c>
      <c r="K636" s="206">
        <f t="shared" si="320"/>
      </c>
      <c r="L636" s="206">
        <f t="shared" si="290"/>
      </c>
      <c r="M636" s="207">
        <f t="shared" si="229"/>
      </c>
      <c r="N636" s="208">
        <f t="shared" si="199"/>
      </c>
      <c r="O636" s="209">
        <f t="shared" si="169"/>
      </c>
      <c r="P636" s="208">
        <f t="shared" si="259"/>
      </c>
      <c r="Q636" s="210" t="s">
        <v>127</v>
      </c>
      <c r="R636" s="211" t="s">
        <v>141</v>
      </c>
      <c r="S636" s="228">
        <v>142479</v>
      </c>
      <c r="T636" s="228">
        <v>14093</v>
      </c>
      <c r="U636" s="228">
        <v>617</v>
      </c>
      <c r="V636" s="228">
        <v>34516</v>
      </c>
      <c r="W636" s="228">
        <v>5683</v>
      </c>
      <c r="X636" s="229">
        <v>67</v>
      </c>
      <c r="Y636" s="229">
        <v>128</v>
      </c>
      <c r="Z636" s="250"/>
    </row>
    <row r="637">
      <c r="A637" s="200"/>
      <c r="B637" s="227" t="s">
        <v>112</v>
      </c>
      <c r="C637" s="202" t="s">
        <v>122</v>
      </c>
      <c r="D637" s="202">
        <f t="shared" si="137"/>
      </c>
      <c r="E637" s="202">
        <v>5552.540000000008</v>
      </c>
      <c r="F637" s="203">
        <v>265.39999999999964</v>
      </c>
      <c r="G637" s="203">
        <v>0</v>
      </c>
      <c r="H637" s="215">
        <v>29</v>
      </c>
      <c r="I637" s="202">
        <v>17482.599999999977</v>
      </c>
      <c r="J637" s="206">
        <f t="shared" si="29"/>
      </c>
      <c r="K637" s="206">
        <f t="shared" si="320"/>
      </c>
      <c r="L637" s="206">
        <f t="shared" si="290"/>
      </c>
      <c r="M637" s="207">
        <f t="shared" si="229"/>
      </c>
      <c r="N637" s="208">
        <f t="shared" si="199"/>
      </c>
      <c r="O637" s="209">
        <f t="shared" si="169"/>
      </c>
      <c r="P637" s="208">
        <f t="shared" si="259"/>
      </c>
      <c r="Q637" s="210" t="s">
        <v>127</v>
      </c>
      <c r="R637" s="211" t="s">
        <v>141</v>
      </c>
      <c r="S637" s="228">
        <v>95360</v>
      </c>
      <c r="T637" s="228">
        <v>8719</v>
      </c>
      <c r="U637" s="228">
        <v>414</v>
      </c>
      <c r="V637" s="228">
        <v>21078</v>
      </c>
      <c r="W637" s="228">
        <v>3031</v>
      </c>
      <c r="X637" s="229">
        <v>42</v>
      </c>
      <c r="Y637" s="228">
        <v>96</v>
      </c>
    </row>
    <row r="638">
      <c r="A638" s="200"/>
      <c r="B638" s="227" t="s">
        <v>112</v>
      </c>
      <c r="C638" s="202" t="s">
        <v>123</v>
      </c>
      <c r="D638" s="202">
        <f t="shared" si="137"/>
      </c>
      <c r="E638" s="202">
        <v>6631.37999999999</v>
      </c>
      <c r="F638" s="202">
        <v>247.79000000000087</v>
      </c>
      <c r="G638" s="203">
        <v>0</v>
      </c>
      <c r="H638" s="215">
        <v>41</v>
      </c>
      <c r="I638" s="202">
        <v>20577.660000000003</v>
      </c>
      <c r="J638" s="206">
        <f t="shared" si="29"/>
      </c>
      <c r="K638" s="206">
        <f t="shared" si="320"/>
      </c>
      <c r="L638" s="206">
        <f t="shared" si="290"/>
      </c>
      <c r="M638" s="207">
        <f t="shared" si="229"/>
      </c>
      <c r="N638" s="208">
        <f t="shared" si="199"/>
      </c>
      <c r="O638" s="209">
        <f t="shared" si="169"/>
      </c>
      <c r="P638" s="208">
        <f t="shared" si="259"/>
      </c>
      <c r="Q638" s="210" t="s">
        <v>127</v>
      </c>
      <c r="R638" s="211" t="s">
        <v>141</v>
      </c>
      <c r="S638" s="228">
        <v>112260</v>
      </c>
      <c r="T638" s="228">
        <v>10928</v>
      </c>
      <c r="U638" s="228">
        <v>562</v>
      </c>
      <c r="V638" s="228">
        <v>25327</v>
      </c>
      <c r="W638" s="228">
        <v>3284</v>
      </c>
      <c r="X638" s="229">
        <v>63</v>
      </c>
      <c r="Y638" s="229">
        <v>103</v>
      </c>
    </row>
    <row r="639">
      <c r="A639" s="200"/>
      <c r="B639" s="219" t="s">
        <v>119</v>
      </c>
      <c r="C639" s="219"/>
      <c r="D639" s="220">
        <f>SUM(D636:D638)</f>
      </c>
      <c r="E639" s="220">
        <f>SUM(E636:E638)</f>
      </c>
      <c r="F639" s="220">
        <f>SUM(F636:G638)</f>
      </c>
      <c r="G639" s="220"/>
      <c r="H639" s="220">
        <f>SUM(H636:H638)</f>
      </c>
      <c r="I639" s="220">
        <f>SUM(I636:I638)</f>
      </c>
      <c r="J639" s="222">
        <f t="shared" si="29"/>
      </c>
      <c r="K639" s="223">
        <f t="shared" si="320"/>
      </c>
      <c r="L639" s="224">
        <f t="shared" si="290"/>
      </c>
      <c r="M639" s="225">
        <f t="shared" si="229"/>
      </c>
      <c r="N639" s="225">
        <f t="shared" si="199"/>
      </c>
      <c r="O639" s="226">
        <f t="shared" si="169"/>
      </c>
      <c r="P639" s="225">
        <f t="shared" si="259"/>
      </c>
      <c r="Q639" s="226"/>
      <c r="R639" s="226"/>
      <c r="S639" s="220">
        <f>SUM(S636:S638)</f>
      </c>
      <c r="T639" s="220">
        <f>SUM(T636:T638)</f>
      </c>
      <c r="U639" s="220">
        <f>SUM(U636:U638)</f>
      </c>
      <c r="V639" s="220">
        <f>SUM(V636:V638)</f>
      </c>
      <c r="W639" s="220">
        <f>SUM(W636:W638)</f>
      </c>
      <c r="X639" s="220">
        <f>SUM(X636:X638)</f>
      </c>
      <c r="Y639" s="220">
        <f>SUM(Y636:Y638)</f>
      </c>
    </row>
    <row r="640">
      <c r="A640" s="200"/>
      <c r="B640" s="245" t="s">
        <v>132</v>
      </c>
      <c r="C640" s="203" t="s">
        <v>124</v>
      </c>
      <c r="D640" s="202">
        <f t="shared" ref="D640:D644" si="138">E640+G640+F640</f>
      </c>
      <c r="E640" s="203">
        <v>4411.680000000008</v>
      </c>
      <c r="F640" s="203">
        <v>282.37999999999556</v>
      </c>
      <c r="G640" s="203">
        <v>0</v>
      </c>
      <c r="H640" s="204">
        <v>9</v>
      </c>
      <c r="I640" s="203">
        <v>4209.8399999999965</v>
      </c>
      <c r="J640" s="206">
        <f t="shared" si="29"/>
      </c>
      <c r="K640" s="206">
        <f t="shared" si="320"/>
      </c>
      <c r="L640" s="206">
        <f t="shared" si="290"/>
      </c>
      <c r="M640" s="207">
        <f t="shared" si="229"/>
      </c>
      <c r="N640" s="208">
        <f t="shared" si="199"/>
      </c>
      <c r="O640" s="209">
        <f t="shared" si="169"/>
      </c>
      <c r="P640" s="208">
        <f t="shared" si="259"/>
      </c>
      <c r="Q640" s="210" t="s">
        <v>114</v>
      </c>
      <c r="R640" s="211" t="s">
        <v>141</v>
      </c>
      <c r="S640" s="229">
        <v>69958</v>
      </c>
      <c r="T640" s="229">
        <v>6838</v>
      </c>
      <c r="U640" s="229">
        <v>349</v>
      </c>
      <c r="V640" s="229">
        <v>14891</v>
      </c>
      <c r="W640" s="229">
        <v>2116</v>
      </c>
      <c r="X640" s="229">
        <v>22</v>
      </c>
      <c r="Y640" s="229">
        <v>76</v>
      </c>
    </row>
    <row customHeight="true" ht="16.666666666666668" r="641">
      <c r="A641" s="200"/>
      <c r="B641" s="245" t="s">
        <v>132</v>
      </c>
      <c r="C641" s="203" t="s">
        <v>126</v>
      </c>
      <c r="D641" s="202">
        <f t="shared" si="138"/>
      </c>
      <c r="E641" s="203">
        <v>2804.99</v>
      </c>
      <c r="F641" s="203">
        <v>135.79</v>
      </c>
      <c r="G641" s="203">
        <v>0</v>
      </c>
      <c r="H641" s="204">
        <v>7</v>
      </c>
      <c r="I641" s="203">
        <v>4720.2</v>
      </c>
      <c r="J641" s="206">
        <f t="shared" si="29"/>
      </c>
      <c r="K641" s="206">
        <f t="shared" si="320"/>
      </c>
      <c r="L641" s="206">
        <f t="shared" si="290"/>
      </c>
      <c r="M641" s="207">
        <f t="shared" si="229"/>
      </c>
      <c r="N641" s="208">
        <f t="shared" si="199"/>
      </c>
      <c r="O641" s="209">
        <f t="shared" si="169"/>
      </c>
      <c r="P641" s="208">
        <f t="shared" si="259"/>
      </c>
      <c r="Q641" s="210" t="s">
        <v>114</v>
      </c>
      <c r="R641" s="211" t="s">
        <v>141</v>
      </c>
      <c r="S641" s="229">
        <v>49387</v>
      </c>
      <c r="T641" s="229">
        <v>4556</v>
      </c>
      <c r="U641" s="229">
        <v>257</v>
      </c>
      <c r="V641" s="229">
        <v>10357</v>
      </c>
      <c r="W641" s="229">
        <v>1317</v>
      </c>
      <c r="X641" s="229">
        <v>17</v>
      </c>
      <c r="Y641" s="229">
        <v>46</v>
      </c>
    </row>
    <row r="642">
      <c r="A642" s="200"/>
      <c r="B642" s="245" t="s">
        <v>132</v>
      </c>
      <c r="C642" s="202" t="s">
        <v>128</v>
      </c>
      <c r="D642" s="202">
        <f t="shared" si="138"/>
      </c>
      <c r="E642" s="203">
        <v>4603.21</v>
      </c>
      <c r="F642" s="203">
        <v>518.16</v>
      </c>
      <c r="G642" s="203">
        <v>0</v>
      </c>
      <c r="H642" s="204">
        <v>17</v>
      </c>
      <c r="I642" s="203">
        <v>10925.19</v>
      </c>
      <c r="J642" s="206">
        <f t="shared" si="29"/>
      </c>
      <c r="K642" s="206">
        <f t="shared" si="320"/>
      </c>
      <c r="L642" s="206">
        <f t="shared" si="290"/>
      </c>
      <c r="M642" s="207">
        <f t="shared" si="229"/>
      </c>
      <c r="N642" s="208">
        <f t="shared" si="199"/>
      </c>
      <c r="O642" s="209">
        <f t="shared" si="169"/>
      </c>
      <c r="P642" s="208">
        <f t="shared" si="259"/>
      </c>
      <c r="Q642" s="210" t="s">
        <v>114</v>
      </c>
      <c r="R642" s="232" t="s">
        <v>129</v>
      </c>
      <c r="S642" s="257">
        <v>102697</v>
      </c>
      <c r="T642" s="257">
        <v>9531</v>
      </c>
      <c r="U642" s="257">
        <v>466</v>
      </c>
      <c r="V642" s="257">
        <v>22862</v>
      </c>
      <c r="W642" s="257">
        <v>3197</v>
      </c>
      <c r="X642" s="229">
        <v>41</v>
      </c>
      <c r="Y642" s="229">
        <v>104</v>
      </c>
    </row>
    <row r="643">
      <c r="A643" s="200"/>
      <c r="B643" s="245" t="s">
        <v>132</v>
      </c>
      <c r="C643" s="202" t="s">
        <v>130</v>
      </c>
      <c r="D643" s="202">
        <f t="shared" si="138"/>
      </c>
      <c r="E643" s="203">
        <v>2479.46</v>
      </c>
      <c r="F643" s="203">
        <v>349.62</v>
      </c>
      <c r="G643" s="203">
        <v>0</v>
      </c>
      <c r="H643" s="204">
        <v>12</v>
      </c>
      <c r="I643" s="203">
        <v>7880.01</v>
      </c>
      <c r="J643" s="206">
        <f t="shared" si="29"/>
      </c>
      <c r="K643" s="206">
        <f t="shared" si="320"/>
      </c>
      <c r="L643" s="206">
        <f t="shared" si="290"/>
      </c>
      <c r="M643" s="207">
        <f t="shared" si="229"/>
      </c>
      <c r="N643" s="208">
        <f t="shared" si="199"/>
      </c>
      <c r="O643" s="209">
        <f t="shared" si="169"/>
      </c>
      <c r="P643" s="208">
        <f t="shared" si="259"/>
      </c>
      <c r="Q643" s="210" t="s">
        <v>114</v>
      </c>
      <c r="R643" s="232" t="s">
        <v>129</v>
      </c>
      <c r="S643" s="229">
        <v>57137</v>
      </c>
      <c r="T643" s="229">
        <v>5257</v>
      </c>
      <c r="U643" s="229">
        <v>236</v>
      </c>
      <c r="V643" s="229">
        <v>12206</v>
      </c>
      <c r="W643" s="229">
        <v>1847</v>
      </c>
      <c r="X643" s="229">
        <v>24</v>
      </c>
      <c r="Y643" s="229">
        <v>51</v>
      </c>
    </row>
    <row r="644">
      <c r="A644" s="200"/>
      <c r="B644" s="245" t="s">
        <v>132</v>
      </c>
      <c r="C644" s="202" t="s">
        <v>131</v>
      </c>
      <c r="D644" s="202">
        <f t="shared" si="138"/>
      </c>
      <c r="E644" s="203">
        <v>4639.96</v>
      </c>
      <c r="F644" s="203">
        <v>566.46</v>
      </c>
      <c r="G644" s="203">
        <v>0</v>
      </c>
      <c r="H644" s="204">
        <v>38</v>
      </c>
      <c r="I644" s="203">
        <v>26594.29</v>
      </c>
      <c r="J644" s="206">
        <f t="shared" si="29"/>
      </c>
      <c r="K644" s="206">
        <f t="shared" si="320"/>
      </c>
      <c r="L644" s="206">
        <f t="shared" si="290"/>
      </c>
      <c r="M644" s="207">
        <f t="shared" si="229"/>
      </c>
      <c r="N644" s="208">
        <f t="shared" si="199"/>
      </c>
      <c r="O644" s="209">
        <f t="shared" si="169"/>
      </c>
      <c r="P644" s="208">
        <f t="shared" si="259"/>
      </c>
      <c r="Q644" s="210" t="s">
        <v>114</v>
      </c>
      <c r="R644" s="232" t="s">
        <v>129</v>
      </c>
      <c r="S644" s="229">
        <v>120759</v>
      </c>
      <c r="T644" s="229">
        <v>10864</v>
      </c>
      <c r="U644" s="229">
        <v>464</v>
      </c>
      <c r="V644" s="229">
        <v>26825</v>
      </c>
      <c r="W644" s="229">
        <v>3727</v>
      </c>
      <c r="X644" s="229">
        <v>52</v>
      </c>
      <c r="Y644" s="229">
        <v>93</v>
      </c>
    </row>
    <row r="645">
      <c r="A645" s="200"/>
      <c r="B645" s="219" t="s">
        <v>119</v>
      </c>
      <c r="C645" s="219"/>
      <c r="D645" s="220">
        <f>SUM(D640:D644)</f>
      </c>
      <c r="E645" s="220">
        <f>SUM(E640:E644)</f>
      </c>
      <c r="F645" s="220">
        <f>SUM(F640:G644)</f>
      </c>
      <c r="G645" s="220"/>
      <c r="H645" s="221">
        <f>SUM(H640:H644)</f>
      </c>
      <c r="I645" s="220">
        <f>SUM(I640:I644)</f>
      </c>
      <c r="J645" s="253">
        <f t="shared" si="29"/>
      </c>
      <c r="K645" s="223">
        <f t="shared" si="320"/>
      </c>
      <c r="L645" s="254">
        <f t="shared" si="290"/>
      </c>
      <c r="M645" s="225">
        <f t="shared" si="229"/>
      </c>
      <c r="N645" s="225">
        <f t="shared" si="199"/>
      </c>
      <c r="O645" s="226">
        <f t="shared" si="169"/>
      </c>
      <c r="P645" s="225">
        <f t="shared" si="259"/>
      </c>
      <c r="Q645" s="226"/>
      <c r="R645" s="226"/>
      <c r="S645" s="221">
        <f>SUM(S640:S644)</f>
      </c>
      <c r="T645" s="221">
        <f>SUM(T640:T644)</f>
      </c>
      <c r="U645" s="221">
        <f>SUM(U640:U644)</f>
      </c>
      <c r="V645" s="221">
        <f>SUM(V640:V644)</f>
      </c>
      <c r="W645" s="221">
        <f>SUM(W640:W644)</f>
      </c>
      <c r="X645" s="221">
        <f>SUM(X640:X644)</f>
      </c>
      <c r="Y645" s="221">
        <f>SUM(Y640:Y644)</f>
      </c>
    </row>
    <row r="646">
      <c r="A646" s="200"/>
      <c r="B646" s="245" t="s">
        <v>166</v>
      </c>
      <c r="C646" s="202" t="s">
        <v>133</v>
      </c>
      <c r="D646" s="202">
        <f t="shared" ref="D646:D648" si="139">E646+G646+F646</f>
      </c>
      <c r="E646" s="203">
        <v>5708.99</v>
      </c>
      <c r="F646" s="203">
        <v>1029.51</v>
      </c>
      <c r="G646" s="203">
        <v>0</v>
      </c>
      <c r="H646" s="204">
        <v>46</v>
      </c>
      <c r="I646" s="203">
        <v>20234.87</v>
      </c>
      <c r="J646" s="206">
        <f t="shared" si="29"/>
      </c>
      <c r="K646" s="206">
        <f t="shared" si="320"/>
      </c>
      <c r="L646" s="206">
        <f t="shared" si="290"/>
      </c>
      <c r="M646" s="207">
        <f t="shared" si="229"/>
      </c>
      <c r="N646" s="208">
        <f t="shared" si="199"/>
      </c>
      <c r="O646" s="209">
        <f t="shared" si="169"/>
      </c>
      <c r="P646" s="208">
        <f t="shared" si="259"/>
      </c>
      <c r="Q646" s="210" t="s">
        <v>114</v>
      </c>
      <c r="R646" s="232" t="s">
        <v>129</v>
      </c>
      <c r="S646" s="229">
        <v>159196</v>
      </c>
      <c r="T646" s="229">
        <v>12225</v>
      </c>
      <c r="U646" s="229">
        <v>549</v>
      </c>
      <c r="V646" s="229">
        <v>27909</v>
      </c>
      <c r="W646" s="229">
        <v>3828</v>
      </c>
      <c r="X646" s="229">
        <v>64</v>
      </c>
      <c r="Y646" s="229">
        <v>111</v>
      </c>
    </row>
    <row r="647">
      <c r="A647" s="200"/>
      <c r="B647" s="201" t="s">
        <v>166</v>
      </c>
      <c r="C647" s="202" t="s">
        <v>134</v>
      </c>
      <c r="D647" s="202">
        <f t="shared" si="139"/>
      </c>
      <c r="E647" s="203">
        <v>13998.83</v>
      </c>
      <c r="F647" s="203">
        <v>3901.29</v>
      </c>
      <c r="G647" s="203">
        <v>0</v>
      </c>
      <c r="H647" s="204">
        <v>84</v>
      </c>
      <c r="I647" s="203">
        <v>43565.97</v>
      </c>
      <c r="J647" s="206">
        <f t="shared" si="29"/>
      </c>
      <c r="K647" s="206">
        <f t="shared" si="320"/>
      </c>
      <c r="L647" s="206">
        <f t="shared" si="290"/>
      </c>
      <c r="M647" s="207">
        <f t="shared" si="229"/>
      </c>
      <c r="N647" s="208">
        <f t="shared" si="199"/>
      </c>
      <c r="O647" s="209">
        <f t="shared" si="169"/>
      </c>
      <c r="P647" s="208">
        <f t="shared" si="259"/>
      </c>
      <c r="Q647" s="210" t="s">
        <v>114</v>
      </c>
      <c r="R647" s="232" t="s">
        <v>129</v>
      </c>
      <c r="S647" s="233">
        <v>469462</v>
      </c>
      <c r="T647" s="233">
        <v>30840</v>
      </c>
      <c r="U647" s="233">
        <v>1359</v>
      </c>
      <c r="V647" s="233">
        <v>67002</v>
      </c>
      <c r="W647" s="233">
        <v>8061</v>
      </c>
      <c r="X647" s="233">
        <v>124</v>
      </c>
      <c r="Y647" s="229">
        <v>227</v>
      </c>
    </row>
    <row r="648">
      <c r="A648" s="200"/>
      <c r="B648" s="201" t="s">
        <v>166</v>
      </c>
      <c r="C648" s="202" t="s">
        <v>135</v>
      </c>
      <c r="D648" s="202">
        <f t="shared" si="139"/>
      </c>
      <c r="E648" s="203">
        <v>7461.66</v>
      </c>
      <c r="F648" s="203">
        <v>1618.9</v>
      </c>
      <c r="G648" s="203">
        <v>0</v>
      </c>
      <c r="H648" s="204">
        <v>54</v>
      </c>
      <c r="I648" s="203">
        <v>27917.86</v>
      </c>
      <c r="J648" s="206">
        <f t="shared" si="29"/>
      </c>
      <c r="K648" s="206">
        <f t="shared" si="320"/>
      </c>
      <c r="L648" s="206">
        <f t="shared" si="290"/>
      </c>
      <c r="M648" s="207">
        <f t="shared" si="229"/>
      </c>
      <c r="N648" s="208">
        <f t="shared" si="199"/>
      </c>
      <c r="O648" s="209">
        <f t="shared" si="169"/>
      </c>
      <c r="P648" s="208">
        <f t="shared" si="259"/>
      </c>
      <c r="Q648" s="210" t="s">
        <v>114</v>
      </c>
      <c r="R648" s="232" t="s">
        <v>129</v>
      </c>
      <c r="S648" s="233">
        <v>209331</v>
      </c>
      <c r="T648" s="233">
        <v>15061</v>
      </c>
      <c r="U648" s="233">
        <v>728</v>
      </c>
      <c r="V648" s="233">
        <v>32166</v>
      </c>
      <c r="W648" s="246">
        <v>3754</v>
      </c>
      <c r="X648" s="214">
        <v>89</v>
      </c>
      <c r="Y648" s="248">
        <v>136</v>
      </c>
    </row>
    <row r="649">
      <c r="A649" s="200"/>
      <c r="B649" s="219" t="s">
        <v>119</v>
      </c>
      <c r="C649" s="219"/>
      <c r="D649" s="220">
        <f>SUM(D646:D648)</f>
      </c>
      <c r="E649" s="220">
        <f>SUM(E646:E648)</f>
      </c>
      <c r="F649" s="220">
        <f>SUM(F646:G648)</f>
      </c>
      <c r="G649" s="220"/>
      <c r="H649" s="220">
        <f>SUM(H646:H648)</f>
      </c>
      <c r="I649" s="220">
        <f>SUM(I646:I648)</f>
      </c>
      <c r="J649" s="222">
        <f t="shared" si="29"/>
      </c>
      <c r="K649" s="223">
        <f t="shared" si="320"/>
      </c>
      <c r="L649" s="224">
        <f t="shared" si="290"/>
      </c>
      <c r="M649" s="225">
        <f t="shared" si="229"/>
      </c>
      <c r="N649" s="225">
        <f t="shared" si="199"/>
      </c>
      <c r="O649" s="226">
        <f t="shared" si="169"/>
      </c>
      <c r="P649" s="225">
        <f t="shared" si="259"/>
      </c>
      <c r="Q649" s="226"/>
      <c r="R649" s="235"/>
      <c r="S649" s="220">
        <f>SUM(S646:S648)</f>
      </c>
      <c r="T649" s="220">
        <f>SUM(T646:T648)</f>
      </c>
      <c r="U649" s="220">
        <f>SUM(U646:U648)</f>
      </c>
      <c r="V649" s="220">
        <f>SUM(V646:V648)</f>
      </c>
      <c r="W649" s="220">
        <f>SUM(W646:W648)</f>
      </c>
      <c r="X649" s="220">
        <f>SUM(X646:X648)</f>
      </c>
      <c r="Y649" s="220">
        <f>SUM(Y646:Y648)</f>
      </c>
    </row>
    <row r="650">
      <c r="A650" s="200"/>
      <c r="B650" s="236" t="s">
        <v>138</v>
      </c>
      <c r="C650" s="236"/>
      <c r="D650" s="237">
        <f>D649+D645+D639+D635</f>
      </c>
      <c r="E650" s="237">
        <f>E649+E645+E639+E635</f>
      </c>
      <c r="F650" s="237">
        <f>F649+F645+F639+F635</f>
      </c>
      <c r="G650" s="237"/>
      <c r="H650" s="238">
        <f>H649+H645+H639+H635</f>
      </c>
      <c r="I650" s="237">
        <f>I649+I645+I639+I635</f>
      </c>
      <c r="J650" s="239">
        <f t="shared" si="29"/>
      </c>
      <c r="K650" s="239">
        <f t="shared" si="320"/>
      </c>
      <c r="L650" s="239">
        <f t="shared" si="290"/>
      </c>
      <c r="M650" s="240">
        <f t="shared" si="229"/>
      </c>
      <c r="N650" s="240">
        <f t="shared" si="199"/>
      </c>
      <c r="O650" s="239">
        <f t="shared" si="169"/>
      </c>
      <c r="P650" s="240">
        <f t="shared" si="259"/>
      </c>
      <c r="Q650" s="241"/>
      <c r="R650" s="242"/>
      <c r="S650" s="243">
        <f>S649+S645+S639+S635</f>
      </c>
      <c r="T650" s="243">
        <f>T649+T645+T639+T635</f>
      </c>
      <c r="U650" s="243">
        <f>U649+U645+U639+U635</f>
      </c>
      <c r="V650" s="243">
        <f>V649+V645+V639+V635</f>
      </c>
      <c r="W650" s="243">
        <f>W649+W645+W639+W635</f>
      </c>
      <c r="X650" s="244">
        <f>X649+X645+X639+X635</f>
      </c>
      <c r="Y650" s="238">
        <f>Y649+Y645+Y639+Y635</f>
      </c>
    </row>
    <row r="651">
      <c r="A651" s="271"/>
      <c r="B651" s="272"/>
      <c r="C651" s="273"/>
      <c r="D651" s="274"/>
      <c r="E651" s="275">
        <f>E652-E650</f>
      </c>
      <c r="F651" s="275">
        <f>F652-F650</f>
      </c>
      <c r="G651" s="276"/>
      <c r="H651" s="277">
        <f>H652-H650</f>
      </c>
      <c r="I651" s="278">
        <f>I652-I650</f>
      </c>
      <c r="J651" s="279"/>
      <c r="K651" s="250"/>
      <c r="L651" s="250"/>
      <c r="M651" s="250"/>
      <c r="N651" s="250"/>
      <c r="O651" s="280"/>
      <c r="P651" s="280"/>
      <c r="Q651" s="280"/>
      <c r="R651" s="250"/>
      <c r="S651" s="281"/>
      <c r="T651" s="282"/>
      <c r="U651" s="282"/>
      <c r="V651" s="282"/>
      <c r="W651" s="282"/>
      <c r="X651" s="280">
        <f>X652-X650</f>
      </c>
      <c r="Y651" s="280">
        <f>Y652-Y650</f>
      </c>
      <c r="Z651" s="250"/>
    </row>
    <row r="652">
      <c r="A652" s="283"/>
      <c r="B652" s="273"/>
      <c r="C652" s="284"/>
      <c r="D652" s="284"/>
      <c r="E652" s="276">
        <f>E657</f>
      </c>
      <c r="F652" s="276">
        <f>G657</f>
      </c>
      <c r="G652" s="276"/>
      <c r="H652" s="285">
        <f>COUNT(B659:B1032)+F660</f>
      </c>
      <c r="I652" s="286">
        <f>SUM(B659:B1032)+E660</f>
      </c>
      <c r="J652" s="250"/>
      <c r="K652" s="250"/>
      <c r="L652" s="250"/>
      <c r="M652" s="250"/>
      <c r="N652" s="250"/>
      <c r="O652" s="250"/>
      <c r="P652" s="250"/>
      <c r="Q652" s="250"/>
      <c r="R652" s="250"/>
      <c r="S652" s="287">
        <v>80706</v>
      </c>
      <c r="T652" s="287">
        <v>3344</v>
      </c>
      <c r="U652" s="287">
        <v>215</v>
      </c>
      <c r="V652" s="287">
        <v>7118</v>
      </c>
      <c r="W652" s="287">
        <v>907</v>
      </c>
      <c r="X652" s="288">
        <v>1089</v>
      </c>
      <c r="Y652" s="255">
        <v>2270</v>
      </c>
      <c r="Z652" s="250"/>
    </row>
    <row r="653">
      <c r="A653" s="283"/>
      <c r="B653" s="273"/>
      <c r="C653" s="284"/>
      <c r="D653" s="289"/>
      <c r="E653" s="290" t="s">
        <v>181</v>
      </c>
      <c r="F653" s="289" t="s">
        <v>182</v>
      </c>
      <c r="G653" s="250"/>
      <c r="H653" s="250"/>
      <c r="I653" s="250"/>
      <c r="J653" s="250"/>
      <c r="K653" s="250"/>
      <c r="L653" s="250"/>
      <c r="M653" s="291"/>
      <c r="N653" s="250"/>
      <c r="O653" s="250"/>
      <c r="P653" s="250"/>
      <c r="Q653" s="250"/>
      <c r="R653" s="250"/>
      <c r="S653" s="292">
        <v>128625</v>
      </c>
      <c r="T653" s="292">
        <v>11717</v>
      </c>
      <c r="U653" s="292">
        <v>513</v>
      </c>
      <c r="V653" s="292">
        <v>25048</v>
      </c>
      <c r="W653" s="292">
        <v>2847</v>
      </c>
      <c r="X653" s="250"/>
      <c r="Y653" s="250"/>
      <c r="Z653" s="250"/>
    </row>
    <row r="654">
      <c r="A654" s="250"/>
      <c r="B654" s="273"/>
      <c r="C654" s="293" t="s">
        <v>183</v>
      </c>
      <c r="D654" s="276"/>
      <c r="E654" s="294">
        <v>20307.55</v>
      </c>
      <c r="F654" s="255">
        <v>33086.42</v>
      </c>
      <c r="G654" s="290">
        <f t="shared" ref="G654:G656" si="260">F654-E654</f>
      </c>
      <c r="H654" s="255"/>
      <c r="I654" s="250"/>
      <c r="J654" s="250"/>
      <c r="K654" s="250"/>
      <c r="L654" s="295"/>
      <c r="M654" s="250"/>
      <c r="N654" s="250"/>
      <c r="O654" s="250"/>
      <c r="P654" s="250"/>
      <c r="Q654" s="250"/>
      <c r="R654" s="250"/>
      <c r="S654" s="270">
        <f>SUM(S651:S653)</f>
      </c>
      <c r="T654" s="270">
        <f>SUM(T651:T653)</f>
      </c>
      <c r="U654" s="270">
        <f>SUM(U651:U653)</f>
      </c>
      <c r="V654" s="270">
        <f>SUM(V651:V653)</f>
      </c>
      <c r="W654" s="270">
        <f>SUM(W651:W653)</f>
      </c>
      <c r="X654" s="250"/>
      <c r="Y654" s="250"/>
      <c r="Z654" s="250"/>
    </row>
    <row r="655">
      <c r="A655" s="296"/>
      <c r="B655" s="273"/>
      <c r="C655" s="293" t="s">
        <v>184</v>
      </c>
      <c r="D655" s="276"/>
      <c r="E655" s="294">
        <v>105506.96</v>
      </c>
      <c r="F655" s="255">
        <v>111157.85</v>
      </c>
      <c r="G655" s="290">
        <f t="shared" si="260"/>
      </c>
      <c r="H655" s="255"/>
      <c r="J655" s="283"/>
      <c r="K655" s="283"/>
      <c r="L655" s="297"/>
      <c r="M655" s="283"/>
      <c r="N655" s="298"/>
      <c r="O655" s="298"/>
      <c r="P655" s="250"/>
      <c r="Q655" s="283"/>
      <c r="R655" s="250"/>
      <c r="S655" s="299"/>
      <c r="T655" s="300"/>
      <c r="U655" s="283"/>
      <c r="V655" s="250"/>
      <c r="W655" s="250"/>
      <c r="X655" s="250"/>
      <c r="Y655" s="250"/>
      <c r="Z655" s="250"/>
    </row>
    <row r="656">
      <c r="A656" s="296"/>
      <c r="B656" s="273"/>
      <c r="C656" s="293"/>
      <c r="D656" s="276"/>
      <c r="E656" s="294"/>
      <c r="F656" s="301"/>
      <c r="G656" s="290">
        <f t="shared" si="260"/>
      </c>
      <c r="H656" s="250"/>
      <c r="I656" s="250"/>
      <c r="J656" s="283"/>
      <c r="K656" s="283"/>
      <c r="L656" s="297"/>
      <c r="M656" s="283"/>
      <c r="N656" s="298"/>
      <c r="O656" s="298"/>
      <c r="P656" s="250"/>
      <c r="Q656" s="283"/>
      <c r="R656" s="250"/>
      <c r="S656" s="299"/>
      <c r="T656" s="300"/>
      <c r="U656" s="283"/>
      <c r="V656" s="250"/>
      <c r="W656" s="250"/>
      <c r="X656" s="250"/>
      <c r="Y656" s="250"/>
      <c r="Z656" s="250"/>
    </row>
    <row r="657">
      <c r="A657" s="302"/>
      <c r="B657" s="273"/>
      <c r="C657" s="293" t="s">
        <v>185</v>
      </c>
      <c r="D657" s="276"/>
      <c r="E657" s="290">
        <f>E655+E654+E656</f>
      </c>
      <c r="F657" s="290"/>
      <c r="G657" s="290">
        <f>G655+G654+G656</f>
      </c>
      <c r="H657" s="250"/>
      <c r="I657" s="250"/>
      <c r="J657" s="250"/>
      <c r="K657" s="295"/>
      <c r="L657" s="250"/>
      <c r="M657" s="250"/>
      <c r="N657" s="303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>
      <c r="A658" s="250"/>
      <c r="B658" s="304" t="s">
        <v>186</v>
      </c>
      <c r="C658" s="273"/>
      <c r="D658" s="250"/>
      <c r="E658" s="250"/>
      <c r="F658" s="250"/>
      <c r="G658" s="250"/>
      <c r="H658" s="250"/>
      <c r="I658" s="250"/>
      <c r="J658" s="250"/>
      <c r="K658" s="250"/>
      <c r="L658" s="250"/>
      <c r="M658" s="283"/>
      <c r="N658" s="250"/>
      <c r="O658" s="283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>
      <c r="A659" s="250"/>
      <c r="B659" s="305">
        <v>677.76</v>
      </c>
      <c r="C659" s="305" t="s">
        <v>187</v>
      </c>
      <c r="D659" s="306" t="s">
        <v>188</v>
      </c>
      <c r="E659" s="306" t="s">
        <v>189</v>
      </c>
      <c r="F659" s="306" t="s">
        <v>190</v>
      </c>
      <c r="G659" s="283"/>
      <c r="H659" s="250"/>
      <c r="I659" s="283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>
      <c r="A660" s="250"/>
      <c r="B660" s="305">
        <v>592.8</v>
      </c>
      <c r="C660" s="305" t="s">
        <v>191</v>
      </c>
      <c r="D660" s="290"/>
      <c r="E660" s="307">
        <v>330657.91</v>
      </c>
      <c r="F660" s="308">
        <v>662</v>
      </c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>
      <c r="B661" s="309">
        <v>178.81</v>
      </c>
      <c r="C661" s="309" t="s">
        <v>192</v>
      </c>
      <c r="E661" s="310"/>
    </row>
    <row r="662">
      <c r="B662" s="309">
        <v>1421.73</v>
      </c>
      <c r="C662" s="309" t="s">
        <v>193</v>
      </c>
      <c r="E662" s="310"/>
    </row>
    <row r="663">
      <c r="B663" s="309">
        <v>1421.73</v>
      </c>
      <c r="C663" s="309" t="s">
        <v>193</v>
      </c>
      <c r="E663" s="310"/>
    </row>
    <row r="664">
      <c r="B664" s="309">
        <v>195.38</v>
      </c>
      <c r="C664" s="309" t="s">
        <v>193</v>
      </c>
      <c r="E664" s="310"/>
    </row>
    <row r="665">
      <c r="B665" s="309">
        <v>215.04</v>
      </c>
      <c r="C665" s="309" t="s">
        <v>194</v>
      </c>
      <c r="E665" s="310"/>
    </row>
    <row r="666">
      <c r="B666" s="309"/>
      <c r="C666" s="309"/>
      <c r="E666" s="310"/>
    </row>
    <row r="667">
      <c r="B667" s="309"/>
      <c r="C667" s="309"/>
      <c r="E667" s="310"/>
    </row>
    <row r="668">
      <c r="B668" s="309"/>
      <c r="C668" s="309"/>
      <c r="E668" s="310"/>
    </row>
    <row r="669">
      <c r="B669" s="309"/>
      <c r="C669" s="309"/>
      <c r="E669" s="310"/>
    </row>
    <row r="670">
      <c r="B670" s="309"/>
      <c r="C670" s="309"/>
      <c r="E670" s="310"/>
    </row>
    <row r="671">
      <c r="B671" s="309"/>
      <c r="C671" s="309"/>
      <c r="E671" s="310"/>
    </row>
    <row r="672">
      <c r="B672" s="309"/>
      <c r="C672" s="309"/>
      <c r="E672" s="310"/>
    </row>
    <row r="673">
      <c r="B673" s="309"/>
      <c r="C673" s="309"/>
      <c r="E673" s="310"/>
    </row>
    <row r="674">
      <c r="B674" s="309"/>
      <c r="C674" s="309"/>
      <c r="E674" s="310"/>
    </row>
    <row r="675">
      <c r="B675" s="309"/>
      <c r="C675" s="309"/>
      <c r="E675" s="310"/>
    </row>
    <row r="676">
      <c r="B676" s="309"/>
      <c r="C676" s="309"/>
      <c r="E676" s="310"/>
    </row>
    <row r="677">
      <c r="B677" s="309"/>
      <c r="C677" s="309"/>
      <c r="E677" s="310"/>
    </row>
    <row r="678">
      <c r="B678" s="309"/>
      <c r="C678" s="309"/>
      <c r="E678" s="310"/>
    </row>
    <row r="679">
      <c r="B679" s="309"/>
      <c r="C679" s="309"/>
      <c r="E679" s="310"/>
    </row>
    <row r="680">
      <c r="B680" s="309"/>
      <c r="C680" s="309"/>
      <c r="E680" s="310"/>
    </row>
    <row r="681">
      <c r="B681" s="309"/>
      <c r="C681" s="309"/>
      <c r="E681" s="310"/>
    </row>
    <row r="682">
      <c r="B682" s="309"/>
      <c r="C682" s="309"/>
      <c r="E682" s="310"/>
    </row>
    <row r="683">
      <c r="B683" s="309"/>
      <c r="C683" s="309"/>
      <c r="E683" s="310"/>
    </row>
    <row r="684">
      <c r="B684" s="309"/>
      <c r="C684" s="309"/>
      <c r="E684" s="310"/>
    </row>
    <row r="685">
      <c r="B685" s="309"/>
      <c r="C685" s="309"/>
      <c r="E685" s="310"/>
    </row>
    <row r="686">
      <c r="B686" s="309"/>
      <c r="C686" s="309"/>
      <c r="E686" s="310"/>
    </row>
    <row r="687">
      <c r="B687" s="309"/>
      <c r="C687" s="309"/>
      <c r="E687" s="310"/>
    </row>
    <row r="688">
      <c r="B688" s="309"/>
      <c r="C688" s="309"/>
      <c r="E688" s="310"/>
    </row>
    <row r="689">
      <c r="B689" s="309"/>
      <c r="C689" s="309"/>
      <c r="E689" s="310"/>
    </row>
    <row r="690">
      <c r="B690" s="309"/>
      <c r="C690" s="309"/>
      <c r="E690" s="310"/>
    </row>
    <row r="691">
      <c r="B691" s="309"/>
      <c r="C691" s="309"/>
      <c r="E691" s="310"/>
    </row>
    <row r="692">
      <c r="B692" s="309"/>
      <c r="C692" s="309"/>
      <c r="E692" s="310"/>
    </row>
    <row r="693">
      <c r="B693" s="309"/>
      <c r="C693" s="309"/>
      <c r="E693" s="310"/>
    </row>
    <row r="694">
      <c r="B694" s="309"/>
      <c r="C694" s="309"/>
      <c r="E694" s="310"/>
    </row>
    <row r="695">
      <c r="B695" s="309"/>
      <c r="C695" s="309"/>
      <c r="E695" s="310"/>
    </row>
    <row r="696">
      <c r="B696" s="309"/>
      <c r="C696" s="309"/>
      <c r="E696" s="310"/>
    </row>
    <row r="697">
      <c r="B697" s="309"/>
      <c r="C697" s="309"/>
      <c r="E697" s="310"/>
    </row>
    <row r="698">
      <c r="B698" s="309"/>
      <c r="C698" s="309"/>
      <c r="E698" s="310"/>
    </row>
    <row r="699">
      <c r="B699" s="309"/>
      <c r="C699" s="309"/>
      <c r="E699" s="310"/>
    </row>
    <row r="700">
      <c r="B700" s="309"/>
      <c r="C700" s="309"/>
      <c r="E700" s="310"/>
    </row>
    <row r="701">
      <c r="B701" s="309"/>
      <c r="C701" s="309"/>
      <c r="E701" s="310"/>
    </row>
    <row r="702">
      <c r="B702" s="309"/>
      <c r="C702" s="309"/>
      <c r="E702" s="310"/>
    </row>
    <row r="703">
      <c r="B703" s="309"/>
      <c r="C703" s="309"/>
      <c r="E703" s="310"/>
    </row>
    <row r="704">
      <c r="B704" s="309"/>
      <c r="C704" s="309"/>
      <c r="E704" s="310"/>
    </row>
    <row r="705">
      <c r="B705" s="309"/>
      <c r="C705" s="309"/>
      <c r="E705" s="310"/>
    </row>
    <row r="706">
      <c r="B706" s="309"/>
      <c r="C706" s="309"/>
      <c r="E706" s="310"/>
    </row>
    <row r="707">
      <c r="B707" s="309"/>
      <c r="C707" s="309"/>
      <c r="E707" s="310"/>
    </row>
    <row r="708">
      <c r="B708" s="309"/>
      <c r="C708" s="309"/>
      <c r="E708" s="310"/>
    </row>
    <row r="709">
      <c r="B709" s="309"/>
      <c r="C709" s="309"/>
      <c r="E709" s="310"/>
    </row>
    <row r="710">
      <c r="B710" s="309"/>
      <c r="C710" s="309"/>
      <c r="E710" s="310"/>
    </row>
    <row r="711">
      <c r="B711" s="309"/>
      <c r="C711" s="309"/>
      <c r="E711" s="310"/>
    </row>
    <row r="712">
      <c r="B712" s="309"/>
      <c r="C712" s="309"/>
      <c r="E712" s="310"/>
    </row>
    <row r="713">
      <c r="B713" s="309"/>
      <c r="C713" s="309"/>
      <c r="E713" s="310"/>
    </row>
    <row r="714">
      <c r="B714" s="309"/>
      <c r="C714" s="309"/>
      <c r="E714" s="310"/>
    </row>
    <row r="715">
      <c r="B715" s="309"/>
      <c r="C715" s="309"/>
      <c r="E715" s="310"/>
    </row>
    <row r="716">
      <c r="B716" s="309"/>
      <c r="C716" s="309"/>
      <c r="E716" s="310"/>
    </row>
    <row r="717">
      <c r="B717" s="309"/>
      <c r="C717" s="309"/>
      <c r="E717" s="310"/>
    </row>
    <row r="718">
      <c r="B718" s="309"/>
      <c r="C718" s="309"/>
      <c r="E718" s="310"/>
    </row>
    <row r="719">
      <c r="B719" s="309"/>
      <c r="C719" s="309"/>
      <c r="E719" s="310"/>
    </row>
    <row r="720">
      <c r="B720" s="309"/>
      <c r="C720" s="309"/>
      <c r="E720" s="310"/>
    </row>
    <row r="721">
      <c r="B721" s="309"/>
      <c r="C721" s="309"/>
      <c r="E721" s="310"/>
    </row>
    <row r="722">
      <c r="B722" s="309"/>
      <c r="C722" s="309"/>
      <c r="E722" s="310"/>
    </row>
    <row r="723">
      <c r="B723" s="309"/>
      <c r="C723" s="309"/>
      <c r="E723" s="310"/>
    </row>
    <row r="724">
      <c r="B724" s="309"/>
      <c r="C724" s="309"/>
      <c r="E724" s="310"/>
    </row>
    <row r="725">
      <c r="B725" s="309"/>
      <c r="C725" s="309"/>
      <c r="E725" s="310"/>
    </row>
    <row r="726">
      <c r="B726" s="309"/>
      <c r="C726" s="309"/>
      <c r="E726" s="310"/>
    </row>
    <row r="727">
      <c r="B727" s="309"/>
      <c r="C727" s="309"/>
      <c r="E727" s="310"/>
    </row>
    <row r="728">
      <c r="B728" s="309"/>
      <c r="C728" s="309"/>
      <c r="E728" s="310"/>
    </row>
    <row r="729">
      <c r="B729" s="309"/>
      <c r="C729" s="309"/>
      <c r="E729" s="310"/>
    </row>
    <row r="730">
      <c r="B730" s="309"/>
      <c r="C730" s="309"/>
      <c r="E730" s="310"/>
    </row>
    <row r="731">
      <c r="B731" s="309"/>
      <c r="C731" s="309"/>
      <c r="E731" s="310"/>
    </row>
    <row r="732">
      <c r="B732" s="309"/>
      <c r="C732" s="309"/>
      <c r="E732" s="310"/>
    </row>
    <row r="733">
      <c r="B733" s="309"/>
      <c r="C733" s="309"/>
      <c r="E733" s="310"/>
    </row>
    <row r="734">
      <c r="B734" s="309"/>
      <c r="C734" s="309"/>
      <c r="E734" s="310"/>
    </row>
  </sheetData>
  <autoFilter ref="A1:Y666"/>
  <mergeCells>
    <mergeCell ref="F639:G639"/>
    <mergeCell ref="B639:C639"/>
    <mergeCell ref="B635:C635"/>
    <mergeCell ref="F635:G635"/>
    <mergeCell ref="F630:G630"/>
    <mergeCell ref="A629:C629"/>
    <mergeCell ref="D629:L629"/>
    <mergeCell ref="S629:Y629"/>
    <mergeCell ref="M629:R629"/>
    <mergeCell ref="F628:G628"/>
    <mergeCell ref="B628:C628"/>
    <mergeCell ref="F627:G627"/>
    <mergeCell ref="B627:C627"/>
    <mergeCell ref="B621:C621"/>
    <mergeCell ref="F621:G621"/>
    <mergeCell ref="F616:G616"/>
    <mergeCell ref="B616:C616"/>
    <mergeCell ref="B611:C611"/>
    <mergeCell ref="F611:G611"/>
    <mergeCell ref="A607:A628"/>
    <mergeCell ref="F606:G606"/>
    <mergeCell ref="A605:C605"/>
    <mergeCell ref="D605:L605"/>
    <mergeCell ref="S605:Y605"/>
    <mergeCell ref="M605:R605"/>
    <mergeCell ref="F569:G569"/>
    <mergeCell ref="A558:A568"/>
    <mergeCell ref="F567:G567"/>
    <mergeCell ref="B567:C567"/>
    <mergeCell ref="F568:G568"/>
    <mergeCell ref="B568:C568"/>
    <mergeCell ref="F561:G561"/>
    <mergeCell ref="B561:C561"/>
    <mergeCell ref="F557:G557"/>
    <mergeCell ref="S556:Y556"/>
    <mergeCell ref="M556:R556"/>
    <mergeCell ref="D556:L556"/>
    <mergeCell ref="A556:C556"/>
    <mergeCell ref="B555:C555"/>
    <mergeCell ref="F555:G555"/>
    <mergeCell ref="B553:C553"/>
    <mergeCell ref="F553:G553"/>
    <mergeCell ref="F548:G548"/>
    <mergeCell ref="B548:C548"/>
    <mergeCell ref="A544:A555"/>
    <mergeCell ref="F543:G543"/>
    <mergeCell ref="S542:Y542"/>
    <mergeCell ref="M542:R542"/>
    <mergeCell ref="D542:L542"/>
    <mergeCell ref="A542:C542"/>
    <mergeCell ref="F531:G531"/>
    <mergeCell ref="B531:C531"/>
    <mergeCell ref="F526:G526"/>
    <mergeCell ref="B526:C526"/>
    <mergeCell ref="F521:G521"/>
    <mergeCell ref="S520:Y520"/>
    <mergeCell ref="M520:R520"/>
    <mergeCell ref="D520:L520"/>
    <mergeCell ref="A520:C520"/>
    <mergeCell ref="F519:G519"/>
    <mergeCell ref="B519:C519"/>
    <mergeCell ref="F518:G518"/>
    <mergeCell ref="B518:C518"/>
    <mergeCell ref="F513:G513"/>
    <mergeCell ref="B513:C513"/>
    <mergeCell ref="F508:G508"/>
    <mergeCell ref="B508:C508"/>
    <mergeCell ref="F502:G502"/>
    <mergeCell ref="B502:C502"/>
    <mergeCell ref="A498:A519"/>
    <mergeCell ref="F497:G497"/>
    <mergeCell ref="S496:Y496"/>
    <mergeCell ref="M496:R496"/>
    <mergeCell ref="D496:L496"/>
    <mergeCell ref="A496:C496"/>
    <mergeCell ref="B488:C488"/>
    <mergeCell ref="F488:G488"/>
    <mergeCell ref="F457:G457"/>
    <mergeCell ref="B457:C457"/>
    <mergeCell ref="F456:G456"/>
    <mergeCell ref="B456:C456"/>
    <mergeCell ref="B450:C450"/>
    <mergeCell ref="F450:G450"/>
    <mergeCell ref="F445:G445"/>
    <mergeCell ref="B445:C445"/>
    <mergeCell ref="B440:C440"/>
    <mergeCell ref="F440:G440"/>
    <mergeCell ref="A436:A457"/>
    <mergeCell ref="F435:G435"/>
    <mergeCell ref="A434:C434"/>
    <mergeCell ref="D434:L434"/>
    <mergeCell ref="S434:Y434"/>
    <mergeCell ref="F421:G421"/>
    <mergeCell ref="A411:A433"/>
    <mergeCell ref="B426:C426"/>
    <mergeCell ref="F432:G432"/>
    <mergeCell ref="B432:C432"/>
    <mergeCell ref="F433:G433"/>
    <mergeCell ref="B433:C433"/>
    <mergeCell ref="B421:C421"/>
    <mergeCell ref="F426:G426"/>
    <mergeCell ref="F408:G408"/>
    <mergeCell ref="B408:C408"/>
    <mergeCell ref="F407:G407"/>
    <mergeCell ref="B407:C407"/>
    <mergeCell ref="F401:G401"/>
    <mergeCell ref="B401:C401"/>
    <mergeCell ref="F397:G397"/>
    <mergeCell ref="B397:C397"/>
    <mergeCell ref="B391:C391"/>
    <mergeCell ref="F391:G391"/>
    <mergeCell ref="A387:A408"/>
    <mergeCell ref="F386:G386"/>
    <mergeCell ref="A385:C385"/>
    <mergeCell ref="D385:L385"/>
    <mergeCell ref="M385:R385"/>
    <mergeCell ref="S385:Y385"/>
    <mergeCell ref="F384:G384"/>
    <mergeCell ref="B384:C384"/>
    <mergeCell ref="F383:G383"/>
    <mergeCell ref="B383:C383"/>
    <mergeCell ref="F377:G377"/>
    <mergeCell ref="B377:C377"/>
    <mergeCell ref="F373:G373"/>
    <mergeCell ref="B373:C373"/>
    <mergeCell ref="B367:C367"/>
    <mergeCell ref="F367:G367"/>
    <mergeCell ref="A363:A384"/>
    <mergeCell ref="F362:G362"/>
    <mergeCell ref="A361:C361"/>
    <mergeCell ref="D361:L361"/>
    <mergeCell ref="M361:R361"/>
    <mergeCell ref="S361:Y361"/>
    <mergeCell ref="A339:A360"/>
    <mergeCell ref="F349:G349"/>
    <mergeCell ref="B349:C349"/>
    <mergeCell ref="F353:G353"/>
    <mergeCell ref="B353:C353"/>
    <mergeCell ref="F359:G359"/>
    <mergeCell ref="B359:C359"/>
    <mergeCell ref="F360:G360"/>
    <mergeCell ref="B360:C360"/>
    <mergeCell ref="B343:C343"/>
    <mergeCell ref="F343:G343"/>
    <mergeCell ref="F338:G338"/>
    <mergeCell ref="A337:C337"/>
    <mergeCell ref="D337:L337"/>
    <mergeCell ref="M337:R337"/>
    <mergeCell ref="S337:Y337"/>
    <mergeCell ref="B336:C336"/>
    <mergeCell ref="F336:G336"/>
    <mergeCell ref="B335:C335"/>
    <mergeCell ref="F335:G335"/>
    <mergeCell ref="B330:C330"/>
    <mergeCell ref="F330:G330"/>
    <mergeCell ref="B324:C324"/>
    <mergeCell ref="F324:G324"/>
    <mergeCell ref="B319:C319"/>
    <mergeCell ref="F319:G319"/>
    <mergeCell ref="A315:A336"/>
    <mergeCell ref="F314:G314"/>
    <mergeCell ref="A313:C313"/>
    <mergeCell ref="D313:L313"/>
    <mergeCell ref="M313:R313"/>
    <mergeCell ref="S313:Y313"/>
    <mergeCell ref="F284:G284"/>
    <mergeCell ref="B284:C284"/>
    <mergeCell ref="F279:G279"/>
    <mergeCell ref="B279:C279"/>
    <mergeCell ref="F274:G274"/>
    <mergeCell ref="B274:C274"/>
    <mergeCell ref="F269:G269"/>
    <mergeCell ref="S268:Y268"/>
    <mergeCell ref="M268:R268"/>
    <mergeCell ref="D268:L268"/>
    <mergeCell ref="A268:C268"/>
    <mergeCell ref="F267:G267"/>
    <mergeCell ref="B267:C267"/>
    <mergeCell ref="F266:G266"/>
    <mergeCell ref="B266:C266"/>
    <mergeCell ref="F263:G263"/>
    <mergeCell ref="B263:C263"/>
    <mergeCell ref="F257:G257"/>
    <mergeCell ref="B257:C257"/>
    <mergeCell ref="F252:G252"/>
    <mergeCell ref="B252:C252"/>
    <mergeCell ref="A248:A267"/>
    <mergeCell ref="F247:G247"/>
    <mergeCell ref="S246:Y246"/>
    <mergeCell ref="M246:R246"/>
    <mergeCell ref="D246:L246"/>
    <mergeCell ref="A246:C246"/>
    <mergeCell ref="F245:G245"/>
    <mergeCell ref="B245:C245"/>
    <mergeCell ref="A236:A245"/>
    <mergeCell ref="A98:A119"/>
    <mergeCell ref="F113:G113"/>
    <mergeCell ref="B113:C113"/>
    <mergeCell ref="B118:C118"/>
    <mergeCell ref="F118:G118"/>
    <mergeCell ref="B119:C119"/>
    <mergeCell ref="F119:G119"/>
    <mergeCell ref="B107:C107"/>
    <mergeCell ref="F107:G107"/>
    <mergeCell ref="B102:C102"/>
    <mergeCell ref="F102:G102"/>
    <mergeCell ref="F97:G97"/>
    <mergeCell ref="A96:C96"/>
    <mergeCell ref="D96:L96"/>
    <mergeCell ref="M96:R96"/>
    <mergeCell ref="S96:Y96"/>
    <mergeCell ref="F95:G95"/>
    <mergeCell ref="B95:C95"/>
    <mergeCell ref="F94:G94"/>
    <mergeCell ref="B94:C94"/>
    <mergeCell ref="B88:C88"/>
    <mergeCell ref="F88:G88"/>
    <mergeCell ref="B83:C83"/>
    <mergeCell ref="F83:G83"/>
    <mergeCell ref="B78:C78"/>
    <mergeCell ref="F78:G78"/>
    <mergeCell ref="A74:A95"/>
    <mergeCell ref="F73:G73"/>
    <mergeCell ref="A72:C72"/>
    <mergeCell ref="D72:L72"/>
    <mergeCell ref="M72:R72"/>
    <mergeCell ref="S72:Y72"/>
    <mergeCell ref="A50:A71"/>
    <mergeCell ref="F70:G70"/>
    <mergeCell ref="B70:C70"/>
    <mergeCell ref="F71:G71"/>
    <mergeCell ref="B71:C71"/>
    <mergeCell ref="B64:C64"/>
    <mergeCell ref="F64:G64"/>
    <mergeCell ref="B59:C59"/>
    <mergeCell ref="F59:G59"/>
    <mergeCell ref="B54:C54"/>
    <mergeCell ref="F54:G54"/>
    <mergeCell ref="F49:G49"/>
    <mergeCell ref="A48:C48"/>
    <mergeCell ref="D48:L48"/>
    <mergeCell ref="M48:R48"/>
    <mergeCell ref="S48:Y48"/>
    <mergeCell ref="A1:C1"/>
    <mergeCell ref="D1:L1"/>
    <mergeCell ref="M1:R1"/>
    <mergeCell ref="S1:Y1"/>
    <mergeCell ref="F2:G2"/>
    <mergeCell ref="A3:A24"/>
    <mergeCell ref="B7:C7"/>
    <mergeCell ref="F7:G7"/>
    <mergeCell ref="B12:C12"/>
    <mergeCell ref="F12:G12"/>
    <mergeCell ref="B17:C17"/>
    <mergeCell ref="F17:G17"/>
    <mergeCell ref="B23:C23"/>
    <mergeCell ref="F23:G23"/>
    <mergeCell ref="B24:C24"/>
    <mergeCell ref="F24:G24"/>
    <mergeCell ref="A25:C25"/>
    <mergeCell ref="D25:L25"/>
    <mergeCell ref="M25:R25"/>
    <mergeCell ref="S25:Y25"/>
    <mergeCell ref="F26:G26"/>
    <mergeCell ref="A27:A47"/>
    <mergeCell ref="B31:C31"/>
    <mergeCell ref="F31:G31"/>
    <mergeCell ref="B36:C36"/>
    <mergeCell ref="F36:G36"/>
    <mergeCell ref="B41:C41"/>
    <mergeCell ref="F41:G41"/>
    <mergeCell ref="B46:C46"/>
    <mergeCell ref="F46:G46"/>
    <mergeCell ref="B47:C47"/>
    <mergeCell ref="F47:G47"/>
    <mergeCell ref="A120:C120"/>
    <mergeCell ref="D120:L120"/>
    <mergeCell ref="M120:R120"/>
    <mergeCell ref="S120:Y120"/>
    <mergeCell ref="F121:G121"/>
    <mergeCell ref="A122:A143"/>
    <mergeCell ref="B126:C126"/>
    <mergeCell ref="F126:G126"/>
    <mergeCell ref="B131:C131"/>
    <mergeCell ref="F131:G131"/>
    <mergeCell ref="B136:C136"/>
    <mergeCell ref="F136:G136"/>
    <mergeCell ref="B142:C142"/>
    <mergeCell ref="F142:G142"/>
    <mergeCell ref="B143:C143"/>
    <mergeCell ref="F143:G143"/>
    <mergeCell ref="A144:C144"/>
    <mergeCell ref="D144:L144"/>
    <mergeCell ref="M144:R144"/>
    <mergeCell ref="S144:Y144"/>
    <mergeCell ref="F145:G145"/>
    <mergeCell ref="A146:A167"/>
    <mergeCell ref="B150:C150"/>
    <mergeCell ref="F150:G150"/>
    <mergeCell ref="B155:C155"/>
    <mergeCell ref="F155:G155"/>
    <mergeCell ref="B160:C160"/>
    <mergeCell ref="F160:G160"/>
    <mergeCell ref="B166:C166"/>
    <mergeCell ref="F166:G166"/>
    <mergeCell ref="B167:C167"/>
    <mergeCell ref="F167:G167"/>
    <mergeCell ref="A168:C168"/>
    <mergeCell ref="D168:L168"/>
    <mergeCell ref="M168:R168"/>
    <mergeCell ref="S168:Y168"/>
    <mergeCell ref="F169:G169"/>
    <mergeCell ref="A170:A191"/>
    <mergeCell ref="B175:C175"/>
    <mergeCell ref="F175:G175"/>
    <mergeCell ref="B180:C180"/>
    <mergeCell ref="F180:G180"/>
    <mergeCell ref="B185:C185"/>
    <mergeCell ref="F185:G185"/>
    <mergeCell ref="B190:C190"/>
    <mergeCell ref="F190:G190"/>
    <mergeCell ref="B191:C191"/>
    <mergeCell ref="F191:G191"/>
    <mergeCell ref="A192:C192"/>
    <mergeCell ref="D192:L192"/>
    <mergeCell ref="M192:R192"/>
    <mergeCell ref="S192:Y192"/>
    <mergeCell ref="F193:G193"/>
    <mergeCell ref="A194:A214"/>
    <mergeCell ref="B198:C198"/>
    <mergeCell ref="F198:G198"/>
    <mergeCell ref="B203:C203"/>
    <mergeCell ref="F203:G203"/>
    <mergeCell ref="B208:C208"/>
    <mergeCell ref="F208:G208"/>
    <mergeCell ref="B213:C213"/>
    <mergeCell ref="F213:G213"/>
    <mergeCell ref="B214:C214"/>
    <mergeCell ref="F214:G214"/>
    <mergeCell ref="A215:C215"/>
    <mergeCell ref="D215:L215"/>
    <mergeCell ref="M215:R215"/>
    <mergeCell ref="S215:Y215"/>
    <mergeCell ref="F216:G216"/>
    <mergeCell ref="A217:A233"/>
    <mergeCell ref="B221:C221"/>
    <mergeCell ref="F221:G221"/>
    <mergeCell ref="B226:C226"/>
    <mergeCell ref="F226:G226"/>
    <mergeCell ref="B229:C229"/>
    <mergeCell ref="F229:G229"/>
    <mergeCell ref="B232:C232"/>
    <mergeCell ref="F232:G232"/>
    <mergeCell ref="B233:C233"/>
    <mergeCell ref="F233:G233"/>
    <mergeCell ref="A234:C234"/>
    <mergeCell ref="D234:L234"/>
    <mergeCell ref="M234:R234"/>
    <mergeCell ref="S234:Y234"/>
    <mergeCell ref="F235:G235"/>
    <mergeCell ref="B240:C240"/>
    <mergeCell ref="F240:G240"/>
    <mergeCell ref="B244:C244"/>
    <mergeCell ref="F244:G244"/>
    <mergeCell ref="A270:A288"/>
    <mergeCell ref="B287:C287"/>
    <mergeCell ref="F287:G287"/>
    <mergeCell ref="B288:C288"/>
    <mergeCell ref="F288:G288"/>
    <mergeCell ref="A289:C289"/>
    <mergeCell ref="D289:L289"/>
    <mergeCell ref="M289:R289"/>
    <mergeCell ref="S289:Y289"/>
    <mergeCell ref="F290:G290"/>
    <mergeCell ref="A291:A312"/>
    <mergeCell ref="B295:C295"/>
    <mergeCell ref="F295:G295"/>
    <mergeCell ref="B300:C300"/>
    <mergeCell ref="F300:G300"/>
    <mergeCell ref="B306:C306"/>
    <mergeCell ref="F306:G306"/>
    <mergeCell ref="B311:C311"/>
    <mergeCell ref="F311:G311"/>
    <mergeCell ref="B312:C312"/>
    <mergeCell ref="F312:G312"/>
    <mergeCell ref="A409:C409"/>
    <mergeCell ref="D409:L409"/>
    <mergeCell ref="M409:R409"/>
    <mergeCell ref="S409:Y409"/>
    <mergeCell ref="F410:G410"/>
    <mergeCell ref="B415:C415"/>
    <mergeCell ref="F415:G415"/>
    <mergeCell ref="M434:R434"/>
    <mergeCell ref="A458:C458"/>
    <mergeCell ref="D458:L458"/>
    <mergeCell ref="S458:Y458"/>
    <mergeCell ref="M458:R458"/>
    <mergeCell ref="F459:G459"/>
    <mergeCell ref="A460:A475"/>
    <mergeCell ref="B464:C464"/>
    <mergeCell ref="F464:G464"/>
    <mergeCell ref="F469:G469"/>
    <mergeCell ref="B469:C469"/>
    <mergeCell ref="B474:C474"/>
    <mergeCell ref="F474:G474"/>
    <mergeCell ref="F475:G475"/>
    <mergeCell ref="B475:C475"/>
    <mergeCell ref="A476:C476"/>
    <mergeCell ref="D476:L476"/>
    <mergeCell ref="S476:Y476"/>
    <mergeCell ref="M476:R476"/>
    <mergeCell ref="F477:G477"/>
    <mergeCell ref="B482:C482"/>
    <mergeCell ref="F482:G482"/>
    <mergeCell ref="A478:A495"/>
    <mergeCell ref="B490:C490"/>
    <mergeCell ref="F490:G490"/>
    <mergeCell ref="F494:G494"/>
    <mergeCell ref="B494:C494"/>
    <mergeCell ref="F495:G495"/>
    <mergeCell ref="B495:C495"/>
    <mergeCell ref="A522:A541"/>
    <mergeCell ref="B537:C537"/>
    <mergeCell ref="F537:G537"/>
    <mergeCell ref="B540:C540"/>
    <mergeCell ref="F540:G540"/>
    <mergeCell ref="B541:C541"/>
    <mergeCell ref="F541:G541"/>
    <mergeCell ref="A570:A580"/>
    <mergeCell ref="B574:C574"/>
    <mergeCell ref="F574:G574"/>
    <mergeCell ref="B579:C579"/>
    <mergeCell ref="F579:G579"/>
    <mergeCell ref="B580:C580"/>
    <mergeCell ref="F580:G580"/>
    <mergeCell ref="A581:C581"/>
    <mergeCell ref="D581:L581"/>
    <mergeCell ref="S581:Y581"/>
    <mergeCell ref="M581:R581"/>
    <mergeCell ref="F582:G582"/>
    <mergeCell ref="A583:A604"/>
    <mergeCell ref="B587:C587"/>
    <mergeCell ref="F587:G587"/>
    <mergeCell ref="F592:G592"/>
    <mergeCell ref="B592:C592"/>
    <mergeCell ref="B597:C597"/>
    <mergeCell ref="F597:G597"/>
    <mergeCell ref="F603:G603"/>
    <mergeCell ref="B603:C603"/>
    <mergeCell ref="F604:G604"/>
    <mergeCell ref="B604:C604"/>
    <mergeCell ref="A631:A650"/>
    <mergeCell ref="F645:G645"/>
    <mergeCell ref="B645:C645"/>
    <mergeCell ref="B649:C649"/>
    <mergeCell ref="F649:G649"/>
    <mergeCell ref="B650:C650"/>
    <mergeCell ref="F650:G650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3" min="23" style="0" width="10.873239436619718"/>
    <col collapsed="false" customWidth="true" hidden="false" max="26" min="26" style="0" width="11.211267605633802"/>
    <col collapsed="false" customWidth="true" hidden="false" max="3" min="3" style="0" width="10.873239436619718"/>
    <col collapsed="false" customWidth="true" hidden="false" max="7" min="7" style="0" width="10.873239436619718"/>
    <col collapsed="false" customWidth="true" hidden="false" max="11" min="11" style="0" width="10.873239436619718"/>
    <col collapsed="false" customWidth="true" hidden="false" max="15" min="15" style="0" width="10.873239436619718"/>
    <col collapsed="false" customWidth="true" hidden="false" max="19" min="19" style="0" width="12.788732394366198"/>
    <col collapsed="false" customWidth="true" hidden="false" max="24" min="24" style="0" width="10.873239436619718"/>
    <col collapsed="false" customWidth="true" hidden="false" max="4" min="4" style="0" width="10.873239436619718"/>
    <col collapsed="false" customWidth="true" hidden="false" max="8" min="8" style="0" width="10.873239436619718"/>
    <col collapsed="false" customWidth="true" hidden="false" max="12" min="12" style="0" width="10.873239436619718"/>
    <col collapsed="false" customWidth="true" hidden="false" max="16" min="16" style="0" width="12.862221935603449"/>
    <col collapsed="false" customWidth="true" hidden="false" max="20" min="20" style="0" width="10.873239436619718"/>
    <col collapsed="false" customWidth="true" hidden="false" max="21" min="21" style="0" width="10.873239436619718"/>
    <col collapsed="false" customWidth="true" hidden="false" max="1" min="1" style="0" width="10.873239436619718"/>
    <col collapsed="false" customWidth="true" hidden="false" max="5" min="5" style="0" width="10.873239436619718"/>
    <col collapsed="false" customWidth="true" hidden="false" max="9" min="9" style="0" width="10.873239436619718"/>
    <col collapsed="false" customWidth="true" hidden="false" max="13" min="13" style="0" width="10.873239436619718"/>
    <col collapsed="false" customWidth="true" hidden="false" max="17" min="17" style="0" width="10.873239436619718"/>
    <col collapsed="false" customWidth="true" hidden="false" max="22" min="22" style="0" width="10.873239436619718"/>
    <col collapsed="false" customWidth="true" hidden="false" max="25" min="25" style="0" width="10.873239436619718"/>
    <col collapsed="false" customWidth="true" hidden="false" max="2" min="2" style="0" width="10.873239436619718"/>
    <col collapsed="false" customWidth="true" hidden="false" max="6" min="6" style="0" width="10.873239436619718"/>
    <col collapsed="false" customWidth="true" hidden="false" max="10" min="10" style="0" width="10.873239436619718"/>
    <col collapsed="false" customWidth="true" hidden="false" max="14" min="14" style="0" width="10.873239436619718"/>
    <col collapsed="false" customWidth="true" hidden="false" max="18" min="18" style="0" width="12.788732394366198"/>
  </cols>
  <sheetData>
    <row r="1">
      <c r="A1" s="311" t="s">
        <v>195</v>
      </c>
      <c r="B1" s="311"/>
      <c r="C1" s="311"/>
      <c r="D1" s="312" t="s">
        <v>196</v>
      </c>
      <c r="E1" s="312"/>
      <c r="F1" s="312"/>
      <c r="G1" s="312"/>
      <c r="H1" s="312"/>
      <c r="I1" s="312"/>
      <c r="J1" s="312"/>
      <c r="K1" s="312"/>
      <c r="L1" s="312"/>
      <c r="M1" s="313" t="s">
        <v>197</v>
      </c>
      <c r="N1" s="313"/>
      <c r="O1" s="313"/>
      <c r="P1" s="313"/>
      <c r="Q1" s="313"/>
      <c r="R1" s="313"/>
      <c r="S1" s="314" t="s">
        <v>198</v>
      </c>
      <c r="T1" s="314"/>
      <c r="U1" s="314"/>
      <c r="V1" s="314"/>
      <c r="W1" s="314"/>
      <c r="X1" s="314"/>
      <c r="Y1" s="314"/>
    </row>
    <row r="2">
      <c r="A2" s="315" t="s">
        <v>199</v>
      </c>
      <c r="B2" s="311" t="s">
        <v>200</v>
      </c>
      <c r="C2" s="311" t="s">
        <v>201</v>
      </c>
      <c r="D2" s="312" t="s">
        <v>202</v>
      </c>
      <c r="E2" s="316" t="s">
        <v>203</v>
      </c>
      <c r="F2" s="312" t="s">
        <v>204</v>
      </c>
      <c r="G2" s="312"/>
      <c r="H2" s="317" t="s">
        <v>205</v>
      </c>
      <c r="I2" s="312" t="s">
        <v>206</v>
      </c>
      <c r="J2" s="318" t="s">
        <v>207</v>
      </c>
      <c r="K2" s="319" t="s">
        <v>208</v>
      </c>
      <c r="L2" s="312" t="s">
        <v>209</v>
      </c>
      <c r="M2" s="313" t="s">
        <v>210</v>
      </c>
      <c r="N2" s="313" t="s">
        <v>211</v>
      </c>
      <c r="O2" s="313" t="s">
        <v>212</v>
      </c>
      <c r="P2" s="320" t="s">
        <v>213</v>
      </c>
      <c r="Q2" s="321" t="s">
        <v>214</v>
      </c>
      <c r="R2" s="321" t="s">
        <v>215</v>
      </c>
      <c r="S2" s="322" t="s">
        <v>216</v>
      </c>
      <c r="T2" s="322" t="s">
        <v>217</v>
      </c>
      <c r="U2" s="323" t="s">
        <v>218</v>
      </c>
      <c r="V2" s="323" t="s">
        <v>219</v>
      </c>
      <c r="W2" s="323" t="s">
        <v>220</v>
      </c>
      <c r="X2" s="322" t="s">
        <v>221</v>
      </c>
      <c r="Y2" s="322" t="s">
        <v>222</v>
      </c>
    </row>
    <row r="3">
      <c r="A3" s="324" t="s">
        <v>223</v>
      </c>
      <c r="B3" s="325" t="s">
        <v>224</v>
      </c>
      <c r="C3" s="326" t="s">
        <v>225</v>
      </c>
      <c r="D3" s="326">
        <f t="shared" ref="D3:D7" si="130">E3+G3+F3</f>
      </c>
      <c r="E3" s="327">
        <v>266.42</v>
      </c>
      <c r="F3" s="327">
        <v>414.42</v>
      </c>
      <c r="G3" s="327">
        <v>248.53</v>
      </c>
      <c r="H3" s="328">
        <v>6</v>
      </c>
      <c r="I3" s="326">
        <v>1752.96</v>
      </c>
      <c r="J3" s="329">
        <f t="shared" ref="J3:J4" si="238">I3/D3</f>
      </c>
      <c r="K3" s="330">
        <f t="shared" ref="K3:K4" si="276">D3/H3</f>
      </c>
      <c r="L3" s="329">
        <f t="shared" ref="L3:L4" si="311">I3/H3</f>
      </c>
      <c r="M3" s="331">
        <f t="shared" ref="M3:M4" si="4">T3/S3</f>
      </c>
      <c r="N3" s="332">
        <f t="shared" ref="N3:N4" si="70">H3/X3</f>
      </c>
      <c r="O3" s="333">
        <f t="shared" ref="O3:O4" si="100">(Y3*1000)/D3</f>
      </c>
      <c r="P3" s="332">
        <f t="shared" ref="P3:P4" si="36">W3/V3</f>
      </c>
      <c r="Q3" s="334" t="s">
        <v>226</v>
      </c>
      <c r="R3" s="335" t="s">
        <v>227</v>
      </c>
      <c r="S3" s="336">
        <v>13060</v>
      </c>
      <c r="T3" s="336">
        <v>1210</v>
      </c>
      <c r="U3" s="337">
        <v>65</v>
      </c>
      <c r="V3" s="337">
        <v>1608</v>
      </c>
      <c r="W3" s="337">
        <v>148</v>
      </c>
      <c r="X3" s="337">
        <v>14</v>
      </c>
      <c r="Y3" s="337">
        <v>18</v>
      </c>
    </row>
    <row r="4">
      <c r="A4" s="324"/>
      <c r="B4" s="325" t="s">
        <v>224</v>
      </c>
      <c r="C4" s="326" t="s">
        <v>228</v>
      </c>
      <c r="D4" s="326">
        <f t="shared" si="130"/>
      </c>
      <c r="E4" s="327">
        <v>255.74</v>
      </c>
      <c r="F4" s="327">
        <v>469.44</v>
      </c>
      <c r="G4" s="327">
        <v>752.54</v>
      </c>
      <c r="H4" s="338">
        <v>10</v>
      </c>
      <c r="I4" s="326">
        <v>6251.64</v>
      </c>
      <c r="J4" s="329">
        <f t="shared" si="238"/>
      </c>
      <c r="K4" s="329">
        <f t="shared" si="276"/>
      </c>
      <c r="L4" s="330">
        <f t="shared" si="311"/>
      </c>
      <c r="M4" s="331">
        <f t="shared" si="4"/>
      </c>
      <c r="N4" s="332">
        <f t="shared" si="70"/>
      </c>
      <c r="O4" s="333">
        <f t="shared" si="100"/>
      </c>
      <c r="P4" s="332">
        <f t="shared" si="36"/>
      </c>
      <c r="Q4" s="334" t="s">
        <v>226</v>
      </c>
      <c r="R4" s="335" t="s">
        <v>227</v>
      </c>
      <c r="S4" s="336">
        <v>23294</v>
      </c>
      <c r="T4" s="336">
        <v>1942</v>
      </c>
      <c r="U4" s="337">
        <v>93</v>
      </c>
      <c r="V4" s="337">
        <v>2523</v>
      </c>
      <c r="W4" s="337">
        <v>236</v>
      </c>
      <c r="X4" s="337">
        <v>18</v>
      </c>
      <c r="Y4" s="337">
        <v>24</v>
      </c>
    </row>
    <row customHeight="true" ht="16.666666666666668" r="5">
      <c r="A5" s="324"/>
      <c r="B5" s="325" t="s">
        <v>224</v>
      </c>
      <c r="C5" s="326" t="s">
        <v>229</v>
      </c>
      <c r="D5" s="326">
        <f t="shared" si="130"/>
      </c>
      <c r="E5" s="327">
        <v>238.48</v>
      </c>
      <c r="F5" s="327">
        <v>255.59</v>
      </c>
      <c r="G5" s="327">
        <v>1292.01</v>
      </c>
      <c r="H5" s="338">
        <v>6</v>
      </c>
      <c r="I5" s="326">
        <v>3900.09</v>
      </c>
      <c r="J5" s="329">
        <v>2.1836031980650366</v>
      </c>
      <c r="K5" s="329">
        <v>297.68</v>
      </c>
      <c r="L5" s="329">
        <v>650.015</v>
      </c>
      <c r="M5" s="331">
        <v>0.04907291701847411</v>
      </c>
      <c r="N5" s="332">
        <v>0.46153846153846156</v>
      </c>
      <c r="O5" s="333">
        <v>17.356445399982086</v>
      </c>
      <c r="P5" s="332">
        <v>0.1192457016084304</v>
      </c>
      <c r="Q5" s="334" t="s">
        <v>226</v>
      </c>
      <c r="R5" s="335" t="s">
        <v>227</v>
      </c>
      <c r="S5" s="336">
        <v>29609</v>
      </c>
      <c r="T5" s="336">
        <v>1453</v>
      </c>
      <c r="U5" s="337">
        <v>113</v>
      </c>
      <c r="V5" s="337">
        <v>1803</v>
      </c>
      <c r="W5" s="337">
        <v>215</v>
      </c>
      <c r="X5" s="337">
        <v>13</v>
      </c>
      <c r="Y5" s="337">
        <v>31</v>
      </c>
    </row>
    <row r="6">
      <c r="A6" s="324"/>
      <c r="B6" s="325" t="s">
        <v>224</v>
      </c>
      <c r="C6" s="326" t="s">
        <v>230</v>
      </c>
      <c r="D6" s="326">
        <f t="shared" si="130"/>
      </c>
      <c r="E6" s="327">
        <v>332.74</v>
      </c>
      <c r="F6" s="327">
        <v>221.01</v>
      </c>
      <c r="G6" s="327">
        <v>2435.18</v>
      </c>
      <c r="H6" s="338">
        <v>6</v>
      </c>
      <c r="I6" s="326">
        <v>4852.08</v>
      </c>
      <c r="J6" s="329">
        <f t="shared" ref="J6:J21" si="239">I6/D6</f>
      </c>
      <c r="K6" s="329">
        <f t="shared" ref="K6:K21" si="277">D6/H6</f>
      </c>
      <c r="L6" s="329">
        <f t="shared" ref="L6:L21" si="312">I6/H6</f>
      </c>
      <c r="M6" s="331">
        <f t="shared" ref="M6:M21" si="5">T6/S6</f>
      </c>
      <c r="N6" s="332">
        <f t="shared" ref="N6:N21" si="71">H6/X6</f>
      </c>
      <c r="O6" s="333">
        <f t="shared" ref="O6:O21" si="101">(Y6*1000)/D6</f>
      </c>
      <c r="P6" s="332">
        <f t="shared" ref="P6:P21" si="37">W6/V6</f>
      </c>
      <c r="Q6" s="334" t="s">
        <v>226</v>
      </c>
      <c r="R6" s="335" t="s">
        <v>227</v>
      </c>
      <c r="S6" s="336">
        <v>69218</v>
      </c>
      <c r="T6" s="336">
        <v>1836</v>
      </c>
      <c r="U6" s="337">
        <v>185</v>
      </c>
      <c r="V6" s="337">
        <v>2231</v>
      </c>
      <c r="W6" s="337">
        <v>263</v>
      </c>
      <c r="X6" s="337">
        <v>19</v>
      </c>
      <c r="Y6" s="337">
        <v>61</v>
      </c>
    </row>
    <row r="7">
      <c r="A7" s="324"/>
      <c r="B7" s="325" t="s">
        <v>224</v>
      </c>
      <c r="C7" s="327" t="s">
        <v>231</v>
      </c>
      <c r="D7" s="326">
        <f t="shared" si="130"/>
      </c>
      <c r="E7" s="327">
        <v>400.44</v>
      </c>
      <c r="F7" s="327">
        <v>198.49</v>
      </c>
      <c r="G7" s="327">
        <v>878.48</v>
      </c>
      <c r="H7" s="338">
        <v>3</v>
      </c>
      <c r="I7" s="326">
        <v>645.119999999999</v>
      </c>
      <c r="J7" s="329">
        <f t="shared" si="239"/>
      </c>
      <c r="K7" s="329">
        <f t="shared" si="277"/>
      </c>
      <c r="L7" s="329">
        <f t="shared" si="312"/>
      </c>
      <c r="M7" s="331">
        <f t="shared" si="5"/>
      </c>
      <c r="N7" s="332">
        <f t="shared" si="71"/>
      </c>
      <c r="O7" s="333">
        <f t="shared" si="101"/>
      </c>
      <c r="P7" s="332">
        <f t="shared" si="37"/>
      </c>
      <c r="Q7" s="334" t="s">
        <v>226</v>
      </c>
      <c r="R7" s="335" t="s">
        <v>227</v>
      </c>
      <c r="S7" s="336">
        <v>25741</v>
      </c>
      <c r="T7" s="336">
        <v>1119</v>
      </c>
      <c r="U7" s="337">
        <v>83</v>
      </c>
      <c r="V7" s="337">
        <v>1307</v>
      </c>
      <c r="W7" s="337">
        <v>127</v>
      </c>
      <c r="X7" s="337">
        <v>7</v>
      </c>
      <c r="Y7" s="337">
        <v>29</v>
      </c>
    </row>
    <row r="8">
      <c r="A8" s="324"/>
      <c r="B8" s="339" t="s">
        <v>232</v>
      </c>
      <c r="C8" s="339"/>
      <c r="D8" s="340">
        <f>SUM(D3:D7)</f>
      </c>
      <c r="E8" s="340">
        <f>SUM(E3:E7)</f>
      </c>
      <c r="F8" s="340">
        <f>F3+G3+F4+G4+F5+G5+F6+G6+F7+G7</f>
      </c>
      <c r="G8" s="340"/>
      <c r="H8" s="341">
        <f>SUM(H3:H7)</f>
      </c>
      <c r="I8" s="340">
        <f>SUM(I3:I7)</f>
      </c>
      <c r="J8" s="342">
        <f t="shared" si="239"/>
      </c>
      <c r="K8" s="343">
        <f t="shared" si="277"/>
      </c>
      <c r="L8" s="344">
        <f t="shared" si="312"/>
      </c>
      <c r="M8" s="345">
        <f t="shared" si="5"/>
      </c>
      <c r="N8" s="345">
        <f t="shared" si="71"/>
      </c>
      <c r="O8" s="346">
        <f t="shared" si="101"/>
      </c>
      <c r="P8" s="345">
        <f t="shared" si="37"/>
      </c>
      <c r="Q8" s="346"/>
      <c r="R8" s="346"/>
      <c r="S8" s="341">
        <f>SUM(S3:S7)</f>
      </c>
      <c r="T8" s="341">
        <f>SUM(T3:T7)</f>
      </c>
      <c r="U8" s="341">
        <f>SUM(U3:U7)</f>
      </c>
      <c r="V8" s="341">
        <f>SUM(V3:V7)</f>
      </c>
      <c r="W8" s="341">
        <f>SUM(W3:W7)</f>
      </c>
      <c r="X8" s="341">
        <f>SUM(X3:X7)</f>
      </c>
      <c r="Y8" s="341">
        <f>SUM(Y3:Y7)</f>
      </c>
    </row>
    <row r="9">
      <c r="A9" s="324"/>
      <c r="B9" s="325" t="s">
        <v>233</v>
      </c>
      <c r="C9" s="326" t="s">
        <v>234</v>
      </c>
      <c r="D9" s="326">
        <f t="shared" ref="D9:D12" si="131">E9+G9+F9</f>
      </c>
      <c r="E9" s="327">
        <v>183.07</v>
      </c>
      <c r="F9" s="327">
        <v>113.6</v>
      </c>
      <c r="G9" s="327">
        <v>4001.84</v>
      </c>
      <c r="H9" s="338">
        <v>15</v>
      </c>
      <c r="I9" s="326">
        <v>8871.36</v>
      </c>
      <c r="J9" s="329">
        <f t="shared" si="239"/>
      </c>
      <c r="K9" s="329">
        <f t="shared" si="277"/>
      </c>
      <c r="L9" s="329">
        <f t="shared" si="312"/>
      </c>
      <c r="M9" s="331">
        <f t="shared" si="5"/>
      </c>
      <c r="N9" s="332">
        <f t="shared" si="71"/>
      </c>
      <c r="O9" s="333">
        <f t="shared" si="101"/>
      </c>
      <c r="P9" s="332">
        <f t="shared" si="37"/>
      </c>
      <c r="Q9" s="334" t="s">
        <v>226</v>
      </c>
      <c r="R9" s="335" t="s">
        <v>227</v>
      </c>
      <c r="S9" s="347">
        <v>79620</v>
      </c>
      <c r="T9" s="347">
        <v>2698</v>
      </c>
      <c r="U9" s="348">
        <v>214</v>
      </c>
      <c r="V9" s="348">
        <v>2969</v>
      </c>
      <c r="W9" s="348">
        <v>256</v>
      </c>
      <c r="X9" s="348">
        <v>23</v>
      </c>
      <c r="Y9" s="348">
        <v>65</v>
      </c>
    </row>
    <row r="10">
      <c r="A10" s="324"/>
      <c r="B10" s="325" t="s">
        <v>233</v>
      </c>
      <c r="C10" s="326" t="s">
        <v>235</v>
      </c>
      <c r="D10" s="326">
        <f t="shared" si="131"/>
      </c>
      <c r="E10" s="349">
        <v>180.68</v>
      </c>
      <c r="F10" s="326">
        <v>248.93</v>
      </c>
      <c r="G10" s="326">
        <v>5870.37</v>
      </c>
      <c r="H10" s="338">
        <v>21</v>
      </c>
      <c r="I10" s="326">
        <v>12309.720000000001</v>
      </c>
      <c r="J10" s="329">
        <f t="shared" si="239"/>
      </c>
      <c r="K10" s="329">
        <f t="shared" si="277"/>
      </c>
      <c r="L10" s="329">
        <f t="shared" si="312"/>
      </c>
      <c r="M10" s="331">
        <f t="shared" si="5"/>
      </c>
      <c r="N10" s="332">
        <f t="shared" si="71"/>
      </c>
      <c r="O10" s="333">
        <f t="shared" si="101"/>
      </c>
      <c r="P10" s="332">
        <f t="shared" si="37"/>
      </c>
      <c r="Q10" s="334" t="s">
        <v>226</v>
      </c>
      <c r="R10" s="335" t="s">
        <v>227</v>
      </c>
      <c r="S10" s="347">
        <v>191554</v>
      </c>
      <c r="T10" s="347">
        <v>3666</v>
      </c>
      <c r="U10" s="348">
        <v>329</v>
      </c>
      <c r="V10" s="348">
        <v>4035</v>
      </c>
      <c r="W10" s="348">
        <v>375</v>
      </c>
      <c r="X10" s="348">
        <v>33</v>
      </c>
      <c r="Y10" s="348">
        <v>72</v>
      </c>
    </row>
    <row r="11">
      <c r="A11" s="324"/>
      <c r="B11" s="325" t="s">
        <v>233</v>
      </c>
      <c r="C11" s="326" t="s">
        <v>236</v>
      </c>
      <c r="D11" s="326">
        <f t="shared" si="131"/>
      </c>
      <c r="E11" s="326">
        <v>284.32</v>
      </c>
      <c r="F11" s="326">
        <v>1177.88</v>
      </c>
      <c r="G11" s="326">
        <v>2897.34</v>
      </c>
      <c r="H11" s="338">
        <v>13</v>
      </c>
      <c r="I11" s="326">
        <v>5528.059999999998</v>
      </c>
      <c r="J11" s="329">
        <f t="shared" si="239"/>
      </c>
      <c r="K11" s="329">
        <f t="shared" si="277"/>
      </c>
      <c r="L11" s="329">
        <f t="shared" si="312"/>
      </c>
      <c r="M11" s="331">
        <f t="shared" si="5"/>
      </c>
      <c r="N11" s="332">
        <f t="shared" si="71"/>
      </c>
      <c r="O11" s="333">
        <f t="shared" si="101"/>
      </c>
      <c r="P11" s="332">
        <f t="shared" si="37"/>
      </c>
      <c r="Q11" s="334" t="s">
        <v>226</v>
      </c>
      <c r="R11" s="335" t="s">
        <v>227</v>
      </c>
      <c r="S11" s="347">
        <v>89028</v>
      </c>
      <c r="T11" s="347">
        <v>3288</v>
      </c>
      <c r="U11" s="348">
        <v>268</v>
      </c>
      <c r="V11" s="348">
        <v>3768</v>
      </c>
      <c r="W11" s="348">
        <v>317</v>
      </c>
      <c r="X11" s="348">
        <v>32</v>
      </c>
      <c r="Y11" s="348">
        <v>80</v>
      </c>
    </row>
    <row r="12">
      <c r="A12" s="324"/>
      <c r="B12" s="325" t="s">
        <v>233</v>
      </c>
      <c r="C12" s="326" t="s">
        <v>237</v>
      </c>
      <c r="D12" s="326">
        <f t="shared" si="131"/>
      </c>
      <c r="E12" s="326">
        <v>673.93</v>
      </c>
      <c r="F12" s="326">
        <v>654.95</v>
      </c>
      <c r="G12" s="326">
        <v>4025.3</v>
      </c>
      <c r="H12" s="328">
        <v>20</v>
      </c>
      <c r="I12" s="327">
        <v>12468.62</v>
      </c>
      <c r="J12" s="329">
        <f t="shared" si="239"/>
      </c>
      <c r="K12" s="329">
        <f t="shared" si="277"/>
      </c>
      <c r="L12" s="329">
        <f t="shared" si="312"/>
      </c>
      <c r="M12" s="331">
        <f t="shared" si="5"/>
      </c>
      <c r="N12" s="332">
        <f t="shared" si="71"/>
      </c>
      <c r="O12" s="333">
        <f t="shared" si="101"/>
      </c>
      <c r="P12" s="332">
        <f t="shared" si="37"/>
      </c>
      <c r="Q12" s="334" t="s">
        <v>226</v>
      </c>
      <c r="R12" s="335" t="s">
        <v>227</v>
      </c>
      <c r="S12" s="347">
        <v>121367</v>
      </c>
      <c r="T12" s="347">
        <v>3226</v>
      </c>
      <c r="U12" s="348">
        <v>320</v>
      </c>
      <c r="V12" s="348">
        <v>4051</v>
      </c>
      <c r="W12" s="348">
        <v>384</v>
      </c>
      <c r="X12" s="348">
        <v>38</v>
      </c>
      <c r="Y12" s="348">
        <v>68</v>
      </c>
    </row>
    <row r="13">
      <c r="A13" s="324"/>
      <c r="B13" s="339" t="s">
        <v>232</v>
      </c>
      <c r="C13" s="339"/>
      <c r="D13" s="340">
        <f>SUM(D9:D12)</f>
      </c>
      <c r="E13" s="340">
        <f>SUM(E9:E12)</f>
      </c>
      <c r="F13" s="340">
        <f>F9+G9+F10+G10+F11+G11+F12+G12</f>
      </c>
      <c r="G13" s="340"/>
      <c r="H13" s="341">
        <f>SUM(H9:H12)</f>
      </c>
      <c r="I13" s="340">
        <f>SUM(I9:I12)</f>
      </c>
      <c r="J13" s="342">
        <f t="shared" si="239"/>
      </c>
      <c r="K13" s="343">
        <f t="shared" si="277"/>
      </c>
      <c r="L13" s="344">
        <f t="shared" si="312"/>
      </c>
      <c r="M13" s="345">
        <f t="shared" si="5"/>
      </c>
      <c r="N13" s="345">
        <f t="shared" si="71"/>
      </c>
      <c r="O13" s="346">
        <f t="shared" si="101"/>
      </c>
      <c r="P13" s="345">
        <f t="shared" si="37"/>
      </c>
      <c r="Q13" s="346"/>
      <c r="R13" s="346"/>
      <c r="S13" s="341">
        <f>SUM(S9:S12)</f>
      </c>
      <c r="T13" s="341">
        <f>SUM(T9:T12)</f>
      </c>
      <c r="U13" s="341">
        <f>SUM(U9:U12)</f>
      </c>
      <c r="V13" s="341">
        <f>SUM(V9:V12)</f>
      </c>
      <c r="W13" s="341">
        <f>SUM(W9:W12)</f>
      </c>
      <c r="X13" s="341">
        <f>SUM(X9:X12)</f>
      </c>
      <c r="Y13" s="341">
        <f>SUM(Y9:Y12)</f>
      </c>
    </row>
    <row r="14">
      <c r="A14" s="324"/>
      <c r="B14" s="325" t="s">
        <v>238</v>
      </c>
      <c r="C14" s="326" t="s">
        <v>239</v>
      </c>
      <c r="D14" s="326">
        <f t="shared" ref="D14:D16" si="132">E14+G14+F14</f>
      </c>
      <c r="E14" s="326">
        <v>288.46</v>
      </c>
      <c r="F14" s="326">
        <v>145.89</v>
      </c>
      <c r="G14" s="326">
        <v>3019.93</v>
      </c>
      <c r="H14" s="338">
        <v>10</v>
      </c>
      <c r="I14" s="326">
        <v>3942.5</v>
      </c>
      <c r="J14" s="329">
        <f t="shared" si="239"/>
      </c>
      <c r="K14" s="329">
        <f t="shared" si="277"/>
      </c>
      <c r="L14" s="329">
        <f t="shared" si="312"/>
      </c>
      <c r="M14" s="331">
        <f t="shared" si="5"/>
      </c>
      <c r="N14" s="332">
        <f t="shared" si="71"/>
      </c>
      <c r="O14" s="333">
        <f t="shared" si="101"/>
      </c>
      <c r="P14" s="332">
        <f t="shared" si="37"/>
      </c>
      <c r="Q14" s="334" t="s">
        <v>226</v>
      </c>
      <c r="R14" s="350" t="s">
        <v>240</v>
      </c>
      <c r="S14" s="347">
        <v>91482</v>
      </c>
      <c r="T14" s="347">
        <v>1876</v>
      </c>
      <c r="U14" s="348">
        <v>242</v>
      </c>
      <c r="V14" s="348">
        <v>2240</v>
      </c>
      <c r="W14" s="348">
        <v>222</v>
      </c>
      <c r="X14" s="348">
        <v>26</v>
      </c>
      <c r="Y14" s="348">
        <v>52</v>
      </c>
    </row>
    <row r="15">
      <c r="A15" s="324"/>
      <c r="B15" s="325" t="s">
        <v>238</v>
      </c>
      <c r="C15" s="326" t="s">
        <v>241</v>
      </c>
      <c r="D15" s="326">
        <f t="shared" si="132"/>
      </c>
      <c r="E15" s="326">
        <v>210.66</v>
      </c>
      <c r="F15" s="326">
        <v>136.82</v>
      </c>
      <c r="G15" s="326">
        <v>3313.84</v>
      </c>
      <c r="H15" s="338">
        <v>14</v>
      </c>
      <c r="I15" s="326">
        <v>8037.239999999998</v>
      </c>
      <c r="J15" s="329">
        <f t="shared" si="239"/>
      </c>
      <c r="K15" s="329">
        <f t="shared" si="277"/>
      </c>
      <c r="L15" s="329">
        <f t="shared" si="312"/>
      </c>
      <c r="M15" s="331">
        <f t="shared" si="5"/>
      </c>
      <c r="N15" s="332">
        <f t="shared" si="71"/>
      </c>
      <c r="O15" s="333">
        <f t="shared" si="101"/>
      </c>
      <c r="P15" s="332">
        <f t="shared" si="37"/>
      </c>
      <c r="Q15" s="334" t="s">
        <v>226</v>
      </c>
      <c r="R15" s="350" t="s">
        <v>240</v>
      </c>
      <c r="S15" s="347">
        <v>78954</v>
      </c>
      <c r="T15" s="347">
        <v>1263</v>
      </c>
      <c r="U15" s="348">
        <v>203</v>
      </c>
      <c r="V15" s="348">
        <v>1471</v>
      </c>
      <c r="W15" s="348">
        <v>214</v>
      </c>
      <c r="X15" s="348">
        <v>29</v>
      </c>
      <c r="Y15" s="348">
        <v>60</v>
      </c>
    </row>
    <row r="16">
      <c r="A16" s="324"/>
      <c r="B16" s="325" t="s">
        <v>238</v>
      </c>
      <c r="C16" s="327" t="s">
        <v>242</v>
      </c>
      <c r="D16" s="326">
        <f t="shared" si="132"/>
      </c>
      <c r="E16" s="327">
        <v>315.39</v>
      </c>
      <c r="F16" s="326">
        <v>221.13</v>
      </c>
      <c r="G16" s="326">
        <v>7899.77</v>
      </c>
      <c r="H16" s="328">
        <v>20</v>
      </c>
      <c r="I16" s="327">
        <v>17067.240000000005</v>
      </c>
      <c r="J16" s="329">
        <f t="shared" si="239"/>
      </c>
      <c r="K16" s="329">
        <f t="shared" si="277"/>
      </c>
      <c r="L16" s="329">
        <f t="shared" si="312"/>
      </c>
      <c r="M16" s="331">
        <f t="shared" si="5"/>
      </c>
      <c r="N16" s="332">
        <f t="shared" si="71"/>
      </c>
      <c r="O16" s="333">
        <f t="shared" si="101"/>
      </c>
      <c r="P16" s="332">
        <f t="shared" si="37"/>
      </c>
      <c r="Q16" s="334" t="s">
        <v>226</v>
      </c>
      <c r="R16" s="350" t="s">
        <v>240</v>
      </c>
      <c r="S16" s="348">
        <v>238940</v>
      </c>
      <c r="T16" s="348">
        <v>2574</v>
      </c>
      <c r="U16" s="348">
        <v>351</v>
      </c>
      <c r="V16" s="348">
        <v>2841</v>
      </c>
      <c r="W16" s="348">
        <v>333</v>
      </c>
      <c r="X16" s="348">
        <v>49</v>
      </c>
      <c r="Y16" s="348">
        <v>104</v>
      </c>
    </row>
    <row r="17">
      <c r="A17" s="324"/>
      <c r="B17" s="339" t="s">
        <v>232</v>
      </c>
      <c r="C17" s="339"/>
      <c r="D17" s="340">
        <f>SUM(D14:D16)</f>
      </c>
      <c r="E17" s="340">
        <f>SUM(E14:E16)</f>
      </c>
      <c r="F17" s="340">
        <f>F14+G14+F15+G15+F16+G16</f>
      </c>
      <c r="G17" s="340"/>
      <c r="H17" s="341">
        <f>SUM(H14:H16)</f>
      </c>
      <c r="I17" s="340">
        <f>SUM(I14:I16)</f>
      </c>
      <c r="J17" s="342">
        <f t="shared" si="239"/>
      </c>
      <c r="K17" s="343">
        <f t="shared" si="277"/>
      </c>
      <c r="L17" s="344">
        <f t="shared" si="312"/>
      </c>
      <c r="M17" s="345">
        <f t="shared" si="5"/>
      </c>
      <c r="N17" s="345">
        <f t="shared" si="71"/>
      </c>
      <c r="O17" s="346">
        <f t="shared" si="101"/>
      </c>
      <c r="P17" s="345">
        <f t="shared" si="37"/>
      </c>
      <c r="Q17" s="346"/>
      <c r="R17" s="346"/>
      <c r="S17" s="341">
        <f>SUM(S14:S16)</f>
      </c>
      <c r="T17" s="341">
        <f>SUM(T14:T16)</f>
      </c>
      <c r="U17" s="341">
        <f>SUM(U14:U16)</f>
      </c>
      <c r="V17" s="341">
        <f>SUM(V14:V16)</f>
      </c>
      <c r="W17" s="341">
        <f>SUM(W14:W16)</f>
      </c>
      <c r="X17" s="341">
        <f>SUM(X14:X16)</f>
      </c>
      <c r="Y17" s="341">
        <f>SUM(Y14:Y16)</f>
      </c>
    </row>
    <row r="18">
      <c r="A18" s="324"/>
      <c r="B18" s="325" t="s">
        <v>243</v>
      </c>
      <c r="C18" s="327" t="s">
        <v>244</v>
      </c>
      <c r="D18" s="326">
        <f t="shared" ref="D18:D19" si="133">E18+G18+F18</f>
      </c>
      <c r="E18" s="326">
        <v>315.66</v>
      </c>
      <c r="F18" s="326">
        <v>410.61</v>
      </c>
      <c r="G18" s="326">
        <v>2102.74</v>
      </c>
      <c r="H18" s="328">
        <v>7</v>
      </c>
      <c r="I18" s="327">
        <v>3775.0999999999913</v>
      </c>
      <c r="J18" s="329">
        <f t="shared" si="239"/>
      </c>
      <c r="K18" s="329">
        <f t="shared" si="277"/>
      </c>
      <c r="L18" s="329">
        <f t="shared" si="312"/>
      </c>
      <c r="M18" s="331">
        <f t="shared" si="5"/>
      </c>
      <c r="N18" s="332">
        <f t="shared" si="71"/>
      </c>
      <c r="O18" s="333">
        <f t="shared" si="101"/>
      </c>
      <c r="P18" s="332">
        <f t="shared" si="37"/>
      </c>
      <c r="Q18" s="334" t="s">
        <v>226</v>
      </c>
      <c r="R18" s="350" t="s">
        <v>240</v>
      </c>
      <c r="S18" s="348">
        <v>84337</v>
      </c>
      <c r="T18" s="348">
        <v>1773</v>
      </c>
      <c r="U18" s="348">
        <v>169</v>
      </c>
      <c r="V18" s="348">
        <v>2190</v>
      </c>
      <c r="W18" s="348">
        <v>215</v>
      </c>
      <c r="X18" s="348">
        <v>16</v>
      </c>
      <c r="Y18" s="348">
        <v>44</v>
      </c>
    </row>
    <row r="19">
      <c r="A19" s="324"/>
      <c r="B19" s="325" t="s">
        <v>243</v>
      </c>
      <c r="C19" s="327" t="s">
        <v>245</v>
      </c>
      <c r="D19" s="326">
        <f t="shared" si="133"/>
      </c>
      <c r="E19" s="326">
        <v>334.8</v>
      </c>
      <c r="F19" s="326">
        <v>811.02</v>
      </c>
      <c r="G19" s="326">
        <v>736.76</v>
      </c>
      <c r="H19" s="328">
        <v>584.45</v>
      </c>
      <c r="I19" s="327">
        <v>2000.6399999999994</v>
      </c>
      <c r="J19" s="329">
        <f t="shared" si="239"/>
      </c>
      <c r="K19" s="329">
        <f t="shared" si="277"/>
      </c>
      <c r="L19" s="329">
        <f t="shared" si="312"/>
      </c>
      <c r="M19" s="331">
        <f t="shared" si="5"/>
      </c>
      <c r="N19" s="332">
        <f t="shared" si="71"/>
      </c>
      <c r="O19" s="333">
        <f t="shared" si="101"/>
      </c>
      <c r="P19" s="332">
        <f t="shared" si="37"/>
      </c>
      <c r="Q19" s="334" t="s">
        <v>226</v>
      </c>
      <c r="R19" s="350" t="s">
        <v>240</v>
      </c>
      <c r="S19" s="348">
        <v>38823</v>
      </c>
      <c r="T19" s="348">
        <v>1985</v>
      </c>
      <c r="U19" s="348">
        <v>110</v>
      </c>
      <c r="V19" s="348">
        <v>2370</v>
      </c>
      <c r="W19" s="348">
        <v>153</v>
      </c>
      <c r="X19" s="348">
        <v>16</v>
      </c>
      <c r="Y19" s="348">
        <v>27</v>
      </c>
    </row>
    <row r="20">
      <c r="A20" s="324"/>
      <c r="B20" s="339" t="s">
        <v>232</v>
      </c>
      <c r="C20" s="339"/>
      <c r="D20" s="340">
        <f>SUM(D18:D19)</f>
      </c>
      <c r="E20" s="340">
        <f>SUM(E18:E19)</f>
      </c>
      <c r="F20" s="340">
        <f>F18+G18+G19+F19</f>
      </c>
      <c r="G20" s="340"/>
      <c r="H20" s="341">
        <f>SUM(H18:H19)</f>
      </c>
      <c r="I20" s="340">
        <f>SUM(I18:I19)</f>
      </c>
      <c r="J20" s="342">
        <f t="shared" si="239"/>
      </c>
      <c r="K20" s="343">
        <f t="shared" si="277"/>
      </c>
      <c r="L20" s="344">
        <f t="shared" si="312"/>
      </c>
      <c r="M20" s="345">
        <f t="shared" si="5"/>
      </c>
      <c r="N20" s="345">
        <f t="shared" si="71"/>
      </c>
      <c r="O20" s="346">
        <f t="shared" si="101"/>
      </c>
      <c r="P20" s="345">
        <f t="shared" si="37"/>
      </c>
      <c r="Q20" s="346"/>
      <c r="R20" s="351"/>
      <c r="S20" s="341">
        <f>SUM(S18:S19)</f>
      </c>
      <c r="T20" s="341">
        <f>SUM(T18:T19)</f>
      </c>
      <c r="U20" s="341">
        <f>SUM(U18:U19)</f>
      </c>
      <c r="V20" s="341">
        <f>SUM(V18:V19)</f>
      </c>
      <c r="W20" s="341">
        <f>SUM(W18:W19)</f>
      </c>
      <c r="X20" s="352">
        <f>SUM(X18:X19)</f>
      </c>
      <c r="Y20" s="341">
        <f>SUM(Y18:Y19)</f>
      </c>
    </row>
    <row r="21">
      <c r="A21" s="324"/>
      <c r="B21" s="353" t="s">
        <v>246</v>
      </c>
      <c r="C21" s="353"/>
      <c r="D21" s="354">
        <f>D20+D17+D13+D8</f>
      </c>
      <c r="E21" s="354">
        <f>E20+E17+E13+E8</f>
      </c>
      <c r="F21" s="354">
        <f>F20+F17+F13+F8</f>
      </c>
      <c r="G21" s="354">
        <f>G20+G17+G13+G8</f>
      </c>
      <c r="H21" s="355">
        <f>H20+H17+H13+H8</f>
      </c>
      <c r="I21" s="354">
        <f>I20+I17+I13+I8</f>
      </c>
      <c r="J21" s="356">
        <f t="shared" si="239"/>
      </c>
      <c r="K21" s="356">
        <f t="shared" si="277"/>
      </c>
      <c r="L21" s="356">
        <f t="shared" si="312"/>
      </c>
      <c r="M21" s="357">
        <f t="shared" si="5"/>
      </c>
      <c r="N21" s="357">
        <f t="shared" si="71"/>
      </c>
      <c r="O21" s="356">
        <f t="shared" si="101"/>
      </c>
      <c r="P21" s="357">
        <f t="shared" si="37"/>
      </c>
      <c r="Q21" s="358"/>
      <c r="R21" s="359"/>
      <c r="S21" s="355">
        <f>S20+S17+S13+S8</f>
      </c>
      <c r="T21" s="355">
        <f>T20+T17+T13+T8</f>
      </c>
      <c r="U21" s="355">
        <f>U20+U17+U13+U8</f>
      </c>
      <c r="V21" s="355">
        <f>V20+V17+V13+V8</f>
      </c>
      <c r="W21" s="355">
        <f>W20+W17+W13+W8</f>
      </c>
      <c r="X21" s="360">
        <f>X20+X17+X13+X8</f>
      </c>
      <c r="Y21" s="355">
        <f>Y20+Y17+Y13+Y8</f>
      </c>
    </row>
    <row r="22">
      <c r="A22" s="311" t="s">
        <v>195</v>
      </c>
      <c r="B22" s="311"/>
      <c r="C22" s="311"/>
      <c r="D22" s="312" t="s">
        <v>196</v>
      </c>
      <c r="E22" s="312"/>
      <c r="F22" s="312"/>
      <c r="G22" s="312"/>
      <c r="H22" s="312"/>
      <c r="I22" s="312"/>
      <c r="J22" s="312"/>
      <c r="K22" s="312"/>
      <c r="L22" s="312"/>
      <c r="M22" s="313" t="s">
        <v>197</v>
      </c>
      <c r="N22" s="313"/>
      <c r="O22" s="313"/>
      <c r="P22" s="313"/>
      <c r="Q22" s="313"/>
      <c r="R22" s="313"/>
      <c r="S22" s="314" t="s">
        <v>198</v>
      </c>
      <c r="T22" s="314"/>
      <c r="U22" s="314"/>
      <c r="V22" s="314"/>
      <c r="W22" s="314"/>
      <c r="X22" s="314"/>
      <c r="Y22" s="314"/>
    </row>
    <row r="23">
      <c r="A23" s="315" t="s">
        <v>199</v>
      </c>
      <c r="B23" s="311" t="s">
        <v>200</v>
      </c>
      <c r="C23" s="311" t="s">
        <v>201</v>
      </c>
      <c r="D23" s="312" t="s">
        <v>202</v>
      </c>
      <c r="E23" s="316" t="s">
        <v>203</v>
      </c>
      <c r="F23" s="312" t="s">
        <v>204</v>
      </c>
      <c r="G23" s="312"/>
      <c r="H23" s="317" t="s">
        <v>205</v>
      </c>
      <c r="I23" s="312" t="s">
        <v>206</v>
      </c>
      <c r="J23" s="318" t="s">
        <v>207</v>
      </c>
      <c r="K23" s="319" t="s">
        <v>208</v>
      </c>
      <c r="L23" s="312" t="s">
        <v>209</v>
      </c>
      <c r="M23" s="313" t="s">
        <v>210</v>
      </c>
      <c r="N23" s="313" t="s">
        <v>211</v>
      </c>
      <c r="O23" s="313" t="s">
        <v>212</v>
      </c>
      <c r="P23" s="320" t="s">
        <v>213</v>
      </c>
      <c r="Q23" s="321" t="s">
        <v>214</v>
      </c>
      <c r="R23" s="321" t="s">
        <v>215</v>
      </c>
      <c r="S23" s="322" t="s">
        <v>216</v>
      </c>
      <c r="T23" s="322" t="s">
        <v>217</v>
      </c>
      <c r="U23" s="323" t="s">
        <v>218</v>
      </c>
      <c r="V23" s="323" t="s">
        <v>219</v>
      </c>
      <c r="W23" s="323" t="s">
        <v>220</v>
      </c>
      <c r="X23" s="322" t="s">
        <v>221</v>
      </c>
      <c r="Y23" s="322" t="s">
        <v>222</v>
      </c>
    </row>
    <row r="24">
      <c r="A24" s="324" t="s">
        <v>247</v>
      </c>
      <c r="B24" s="325" t="s">
        <v>233</v>
      </c>
      <c r="C24" s="326" t="s">
        <v>225</v>
      </c>
      <c r="D24" s="326">
        <f t="shared" ref="D24:D27" si="134">E24+G24+F24</f>
      </c>
      <c r="E24" s="327">
        <v>290.47</v>
      </c>
      <c r="F24" s="327">
        <v>661.15</v>
      </c>
      <c r="G24" s="327">
        <v>508.79</v>
      </c>
      <c r="H24" s="328">
        <v>4</v>
      </c>
      <c r="I24" s="326">
        <v>1322.88</v>
      </c>
      <c r="J24" s="329">
        <f t="shared" ref="J24:J36" si="240">I24/D24</f>
      </c>
      <c r="K24" s="330">
        <f t="shared" ref="K24:K36" si="278">D24/H24</f>
      </c>
      <c r="L24" s="329">
        <f t="shared" ref="L24:L36" si="313">I24/H24</f>
      </c>
      <c r="M24" s="331">
        <f t="shared" ref="M24:M36" si="6">T24/S24</f>
      </c>
      <c r="N24" s="332">
        <f t="shared" ref="N24:N36" si="72">H24/X24</f>
      </c>
      <c r="O24" s="333">
        <f t="shared" ref="O24:O36" si="102">(Y24*1000)/D24</f>
      </c>
      <c r="P24" s="332">
        <f t="shared" ref="P24:P36" si="38">W24/V24</f>
      </c>
      <c r="Q24" s="334" t="s">
        <v>226</v>
      </c>
      <c r="R24" s="335" t="s">
        <v>227</v>
      </c>
      <c r="S24" s="336">
        <v>20804</v>
      </c>
      <c r="T24" s="336">
        <v>1633</v>
      </c>
      <c r="U24" s="337">
        <v>100</v>
      </c>
      <c r="V24" s="337">
        <v>1732</v>
      </c>
      <c r="W24" s="337">
        <v>100</v>
      </c>
      <c r="X24" s="337">
        <v>12</v>
      </c>
      <c r="Y24" s="337">
        <v>31</v>
      </c>
    </row>
    <row r="25">
      <c r="A25" s="324"/>
      <c r="B25" s="325" t="s">
        <v>233</v>
      </c>
      <c r="C25" s="326" t="s">
        <v>228</v>
      </c>
      <c r="D25" s="326">
        <f t="shared" si="134"/>
      </c>
      <c r="E25" s="327">
        <v>369.27</v>
      </c>
      <c r="F25" s="327">
        <v>481.15</v>
      </c>
      <c r="G25" s="327">
        <v>1172.19</v>
      </c>
      <c r="H25" s="338">
        <v>4</v>
      </c>
      <c r="I25" s="326">
        <v>1322.88</v>
      </c>
      <c r="J25" s="329">
        <f t="shared" si="240"/>
      </c>
      <c r="K25" s="329">
        <f t="shared" si="278"/>
      </c>
      <c r="L25" s="330">
        <f t="shared" si="313"/>
      </c>
      <c r="M25" s="331">
        <f t="shared" si="6"/>
      </c>
      <c r="N25" s="332">
        <f t="shared" si="72"/>
      </c>
      <c r="O25" s="333">
        <f t="shared" si="102"/>
      </c>
      <c r="P25" s="332">
        <f t="shared" si="38"/>
      </c>
      <c r="Q25" s="334" t="s">
        <v>226</v>
      </c>
      <c r="R25" s="335" t="s">
        <v>227</v>
      </c>
      <c r="S25" s="336">
        <v>30682</v>
      </c>
      <c r="T25" s="336">
        <v>4378</v>
      </c>
      <c r="U25" s="337">
        <v>164</v>
      </c>
      <c r="V25" s="337">
        <v>4842</v>
      </c>
      <c r="W25" s="337">
        <v>197</v>
      </c>
      <c r="X25" s="337">
        <v>19</v>
      </c>
      <c r="Y25" s="337">
        <v>49</v>
      </c>
    </row>
    <row r="26">
      <c r="A26" s="324"/>
      <c r="B26" s="325" t="s">
        <v>233</v>
      </c>
      <c r="C26" s="326" t="s">
        <v>229</v>
      </c>
      <c r="D26" s="326">
        <f t="shared" si="134"/>
      </c>
      <c r="E26" s="327">
        <v>665.99</v>
      </c>
      <c r="F26" s="327">
        <v>249.37</v>
      </c>
      <c r="G26" s="327">
        <v>736.78</v>
      </c>
      <c r="H26" s="338">
        <v>6</v>
      </c>
      <c r="I26" s="326">
        <v>3564.7199999999993</v>
      </c>
      <c r="J26" s="329">
        <f t="shared" si="240"/>
      </c>
      <c r="K26" s="329">
        <f t="shared" si="278"/>
      </c>
      <c r="L26" s="329">
        <f t="shared" si="313"/>
      </c>
      <c r="M26" s="331">
        <f t="shared" si="6"/>
      </c>
      <c r="N26" s="332">
        <f t="shared" si="72"/>
      </c>
      <c r="O26" s="333">
        <f t="shared" si="102"/>
      </c>
      <c r="P26" s="332">
        <f t="shared" si="38"/>
      </c>
      <c r="Q26" s="334" t="s">
        <v>226</v>
      </c>
      <c r="R26" s="335" t="s">
        <v>227</v>
      </c>
      <c r="S26" s="336">
        <v>29672</v>
      </c>
      <c r="T26" s="336">
        <v>2357</v>
      </c>
      <c r="U26" s="337">
        <v>108</v>
      </c>
      <c r="V26" s="337">
        <v>2746</v>
      </c>
      <c r="W26" s="337">
        <v>189</v>
      </c>
      <c r="X26" s="337">
        <v>12</v>
      </c>
      <c r="Y26" s="337">
        <v>36</v>
      </c>
    </row>
    <row r="27">
      <c r="A27" s="324"/>
      <c r="B27" s="325" t="s">
        <v>233</v>
      </c>
      <c r="C27" s="326" t="s">
        <v>230</v>
      </c>
      <c r="D27" s="326">
        <f t="shared" si="134"/>
      </c>
      <c r="E27" s="327">
        <v>818.77</v>
      </c>
      <c r="F27" s="327">
        <v>173.09</v>
      </c>
      <c r="G27" s="327">
        <v>395.23</v>
      </c>
      <c r="H27" s="338">
        <v>5</v>
      </c>
      <c r="I27" s="326">
        <v>3349.6800000000003</v>
      </c>
      <c r="J27" s="329">
        <f t="shared" si="240"/>
      </c>
      <c r="K27" s="329">
        <f t="shared" si="278"/>
      </c>
      <c r="L27" s="329">
        <f t="shared" si="313"/>
      </c>
      <c r="M27" s="331">
        <f t="shared" si="6"/>
      </c>
      <c r="N27" s="332">
        <f t="shared" si="72"/>
      </c>
      <c r="O27" s="333">
        <f t="shared" si="102"/>
      </c>
      <c r="P27" s="332">
        <f t="shared" si="38"/>
      </c>
      <c r="Q27" s="334" t="s">
        <v>226</v>
      </c>
      <c r="R27" s="335" t="s">
        <v>227</v>
      </c>
      <c r="S27" s="336">
        <v>23222</v>
      </c>
      <c r="T27" s="336">
        <v>1815</v>
      </c>
      <c r="U27" s="337">
        <v>97</v>
      </c>
      <c r="V27" s="337">
        <v>2225</v>
      </c>
      <c r="W27" s="337">
        <v>192</v>
      </c>
      <c r="X27" s="337">
        <v>7</v>
      </c>
      <c r="Y27" s="337">
        <v>24</v>
      </c>
    </row>
    <row r="28">
      <c r="A28" s="324"/>
      <c r="B28" s="339" t="s">
        <v>232</v>
      </c>
      <c r="C28" s="339"/>
      <c r="D28" s="340">
        <f>SUM(D24:D27)</f>
      </c>
      <c r="E28" s="340">
        <f>SUM(E24:E27)</f>
      </c>
      <c r="F28" s="340">
        <f>F24+G24+F25+G25+F26+G26+F27+G27</f>
      </c>
      <c r="G28" s="340"/>
      <c r="H28" s="341">
        <f>SUM(H24:H27)</f>
      </c>
      <c r="I28" s="340">
        <f>SUM(I24:I27)</f>
      </c>
      <c r="J28" s="342">
        <f t="shared" si="240"/>
      </c>
      <c r="K28" s="343">
        <f t="shared" si="278"/>
      </c>
      <c r="L28" s="344">
        <f t="shared" si="313"/>
      </c>
      <c r="M28" s="345">
        <f t="shared" si="6"/>
      </c>
      <c r="N28" s="345">
        <f t="shared" si="72"/>
      </c>
      <c r="O28" s="346">
        <f t="shared" si="102"/>
      </c>
      <c r="P28" s="345">
        <f t="shared" si="38"/>
      </c>
      <c r="Q28" s="346"/>
      <c r="R28" s="346"/>
      <c r="S28" s="341">
        <f>SUM(S24:S27)</f>
      </c>
      <c r="T28" s="341">
        <f>SUM(T24:T27)</f>
      </c>
      <c r="U28" s="341">
        <f>SUM(U24:U27)</f>
      </c>
      <c r="V28" s="341">
        <f>SUM(V24:V27)</f>
      </c>
      <c r="W28" s="341">
        <f>SUM(W24:W27)</f>
      </c>
      <c r="X28" s="341">
        <f>SUM(X24:X27)</f>
      </c>
      <c r="Y28" s="341">
        <f>SUM(Y24:Y27)</f>
      </c>
    </row>
    <row r="29">
      <c r="A29" s="324"/>
      <c r="B29" s="325" t="s">
        <v>248</v>
      </c>
      <c r="C29" s="327" t="s">
        <v>231</v>
      </c>
      <c r="D29" s="326">
        <f t="shared" ref="D29:D31" si="135">E29+G29+F29</f>
      </c>
      <c r="E29" s="327">
        <v>541.74</v>
      </c>
      <c r="F29" s="327">
        <v>285.97</v>
      </c>
      <c r="G29" s="327">
        <v>273.77</v>
      </c>
      <c r="H29" s="338">
        <v>0</v>
      </c>
      <c r="I29" s="326">
        <v>0</v>
      </c>
      <c r="J29" s="329">
        <f t="shared" si="240"/>
      </c>
      <c r="K29" s="329">
        <f t="shared" si="278"/>
      </c>
      <c r="L29" s="329">
        <f t="shared" si="313"/>
      </c>
      <c r="M29" s="331">
        <f t="shared" si="6"/>
      </c>
      <c r="N29" s="332">
        <f t="shared" si="72"/>
      </c>
      <c r="O29" s="333">
        <f t="shared" si="102"/>
      </c>
      <c r="P29" s="332">
        <f t="shared" si="38"/>
      </c>
      <c r="Q29" s="334" t="s">
        <v>226</v>
      </c>
      <c r="R29" s="335" t="s">
        <v>227</v>
      </c>
      <c r="S29" s="347">
        <v>29174</v>
      </c>
      <c r="T29" s="347">
        <v>1847</v>
      </c>
      <c r="U29" s="348">
        <v>107</v>
      </c>
      <c r="V29" s="348">
        <v>2427</v>
      </c>
      <c r="W29" s="348">
        <v>224</v>
      </c>
      <c r="X29" s="348">
        <v>3</v>
      </c>
      <c r="Y29" s="348">
        <v>14</v>
      </c>
    </row>
    <row r="30">
      <c r="A30" s="324"/>
      <c r="B30" s="325" t="s">
        <v>248</v>
      </c>
      <c r="C30" s="326" t="s">
        <v>234</v>
      </c>
      <c r="D30" s="326">
        <f t="shared" si="135"/>
      </c>
      <c r="E30" s="349">
        <v>662.33</v>
      </c>
      <c r="F30" s="326">
        <v>179.92</v>
      </c>
      <c r="G30" s="326">
        <v>142.93</v>
      </c>
      <c r="H30" s="338">
        <v>3</v>
      </c>
      <c r="I30" s="326">
        <v>645.1200000000008</v>
      </c>
      <c r="J30" s="329">
        <f t="shared" si="240"/>
      </c>
      <c r="K30" s="329">
        <f t="shared" si="278"/>
      </c>
      <c r="L30" s="329">
        <f t="shared" si="313"/>
      </c>
      <c r="M30" s="331">
        <f t="shared" si="6"/>
      </c>
      <c r="N30" s="332">
        <f t="shared" si="72"/>
      </c>
      <c r="O30" s="333">
        <f t="shared" si="102"/>
      </c>
      <c r="P30" s="332">
        <f t="shared" si="38"/>
      </c>
      <c r="Q30" s="334" t="s">
        <v>226</v>
      </c>
      <c r="R30" s="335" t="s">
        <v>227</v>
      </c>
      <c r="S30" s="347">
        <v>15915</v>
      </c>
      <c r="T30" s="347">
        <v>1365</v>
      </c>
      <c r="U30" s="348">
        <v>47</v>
      </c>
      <c r="V30" s="348">
        <v>1726</v>
      </c>
      <c r="W30" s="348">
        <v>152</v>
      </c>
      <c r="X30" s="348">
        <v>8</v>
      </c>
      <c r="Y30" s="348">
        <v>23</v>
      </c>
    </row>
    <row r="31">
      <c r="A31" s="324"/>
      <c r="B31" s="325" t="s">
        <v>248</v>
      </c>
      <c r="C31" s="326" t="s">
        <v>235</v>
      </c>
      <c r="D31" s="326">
        <f t="shared" si="135"/>
      </c>
      <c r="E31" s="327">
        <v>497.64</v>
      </c>
      <c r="F31" s="327">
        <v>141.61</v>
      </c>
      <c r="G31" s="327">
        <v>66.8</v>
      </c>
      <c r="H31" s="338">
        <v>5</v>
      </c>
      <c r="I31" s="326">
        <v>4305.119999999999</v>
      </c>
      <c r="J31" s="329">
        <f t="shared" si="240"/>
      </c>
      <c r="K31" s="329">
        <f t="shared" si="278"/>
      </c>
      <c r="L31" s="329">
        <f t="shared" si="313"/>
      </c>
      <c r="M31" s="331">
        <f t="shared" si="6"/>
      </c>
      <c r="N31" s="332">
        <f t="shared" si="72"/>
      </c>
      <c r="O31" s="333">
        <f t="shared" si="102"/>
      </c>
      <c r="P31" s="332">
        <f t="shared" si="38"/>
      </c>
      <c r="Q31" s="334" t="s">
        <v>226</v>
      </c>
      <c r="R31" s="335" t="s">
        <v>227</v>
      </c>
      <c r="S31" s="347">
        <v>12712</v>
      </c>
      <c r="T31" s="347">
        <v>1036</v>
      </c>
      <c r="U31" s="348">
        <v>43</v>
      </c>
      <c r="V31" s="348">
        <v>1291</v>
      </c>
      <c r="W31" s="348">
        <v>117</v>
      </c>
      <c r="X31" s="348">
        <v>8</v>
      </c>
      <c r="Y31" s="348">
        <v>11</v>
      </c>
    </row>
    <row r="32">
      <c r="A32" s="324"/>
      <c r="B32" s="339" t="s">
        <v>232</v>
      </c>
      <c r="C32" s="339"/>
      <c r="D32" s="340">
        <f>SUM(D29:D31)</f>
      </c>
      <c r="E32" s="340">
        <f>SUM(E28:E31)</f>
      </c>
      <c r="F32" s="340">
        <f>F29+F30+F31+G29+G30+G31</f>
      </c>
      <c r="G32" s="340"/>
      <c r="H32" s="341">
        <f>SUM(H29:H31)</f>
      </c>
      <c r="I32" s="340">
        <f>SUM(I29:I31)</f>
      </c>
      <c r="J32" s="342">
        <f t="shared" si="240"/>
      </c>
      <c r="K32" s="343">
        <f t="shared" si="278"/>
      </c>
      <c r="L32" s="344">
        <f t="shared" si="313"/>
      </c>
      <c r="M32" s="345">
        <f t="shared" si="6"/>
      </c>
      <c r="N32" s="345">
        <f t="shared" si="72"/>
      </c>
      <c r="O32" s="346">
        <f t="shared" si="102"/>
      </c>
      <c r="P32" s="345">
        <f t="shared" si="38"/>
      </c>
      <c r="Q32" s="346"/>
      <c r="R32" s="346"/>
      <c r="S32" s="341">
        <f>SUM(S29:S31)</f>
      </c>
      <c r="T32" s="341">
        <f>SUM(T29:T31)</f>
      </c>
      <c r="U32" s="341">
        <f>SUM(U29:U31)</f>
      </c>
      <c r="V32" s="341">
        <f>SUM(V29:V31)</f>
      </c>
      <c r="W32" s="341">
        <f>SUM(W29:W31)</f>
      </c>
      <c r="X32" s="341">
        <f>SUM(X29:X31)</f>
      </c>
      <c r="Y32" s="341">
        <f>SUM(Y29:Y31)</f>
      </c>
    </row>
    <row r="33">
      <c r="A33" s="324"/>
      <c r="B33" s="325" t="s">
        <v>243</v>
      </c>
      <c r="C33" s="327" t="s">
        <v>244</v>
      </c>
      <c r="D33" s="326">
        <f t="shared" ref="D33:D34" si="136">E33+G33+F33</f>
      </c>
      <c r="E33" s="326">
        <v>450.5</v>
      </c>
      <c r="F33" s="326">
        <v>261.74</v>
      </c>
      <c r="G33" s="326">
        <v>72.73</v>
      </c>
      <c r="H33" s="328">
        <v>1</v>
      </c>
      <c r="I33" s="327">
        <v>215.04000000000087</v>
      </c>
      <c r="J33" s="329">
        <f t="shared" si="240"/>
      </c>
      <c r="K33" s="329">
        <f t="shared" si="278"/>
      </c>
      <c r="L33" s="329">
        <f t="shared" si="313"/>
      </c>
      <c r="M33" s="331">
        <f t="shared" si="6"/>
      </c>
      <c r="N33" s="332">
        <f t="shared" si="72"/>
      </c>
      <c r="O33" s="333">
        <f t="shared" si="102"/>
      </c>
      <c r="P33" s="332">
        <f t="shared" si="38"/>
      </c>
      <c r="Q33" s="334" t="s">
        <v>226</v>
      </c>
      <c r="R33" s="350" t="s">
        <v>240</v>
      </c>
      <c r="S33" s="348">
        <v>12473</v>
      </c>
      <c r="T33" s="348">
        <v>891</v>
      </c>
      <c r="U33" s="348">
        <v>43</v>
      </c>
      <c r="V33" s="348">
        <v>1169</v>
      </c>
      <c r="W33" s="348">
        <v>111</v>
      </c>
      <c r="X33" s="348">
        <v>6</v>
      </c>
      <c r="Y33" s="348">
        <v>16</v>
      </c>
    </row>
    <row r="34">
      <c r="A34" s="324"/>
      <c r="B34" s="325" t="s">
        <v>243</v>
      </c>
      <c r="C34" s="326" t="s">
        <v>245</v>
      </c>
      <c r="D34" s="326">
        <f t="shared" si="136"/>
      </c>
      <c r="E34" s="326">
        <v>579.4</v>
      </c>
      <c r="F34" s="327">
        <v>329.8</v>
      </c>
      <c r="G34" s="327">
        <v>38.73</v>
      </c>
      <c r="H34" s="328">
        <v>4</v>
      </c>
      <c r="I34" s="327">
        <v>1322.8799999999992</v>
      </c>
      <c r="J34" s="329">
        <f t="shared" si="240"/>
      </c>
      <c r="K34" s="329">
        <f t="shared" si="278"/>
      </c>
      <c r="L34" s="329">
        <f t="shared" si="313"/>
      </c>
      <c r="M34" s="331">
        <f t="shared" si="6"/>
      </c>
      <c r="N34" s="332">
        <f t="shared" si="72"/>
      </c>
      <c r="O34" s="333">
        <f t="shared" si="102"/>
      </c>
      <c r="P34" s="332">
        <f t="shared" si="38"/>
      </c>
      <c r="Q34" s="334" t="s">
        <v>226</v>
      </c>
      <c r="R34" s="350" t="s">
        <v>240</v>
      </c>
      <c r="S34" s="361">
        <v>21367</v>
      </c>
      <c r="T34" s="361">
        <v>1234</v>
      </c>
      <c r="U34" s="362">
        <v>58</v>
      </c>
      <c r="V34" s="362">
        <v>1551</v>
      </c>
      <c r="W34" s="362">
        <v>105</v>
      </c>
      <c r="X34" s="348">
        <v>7</v>
      </c>
      <c r="Y34" s="348">
        <v>22</v>
      </c>
    </row>
    <row r="35">
      <c r="A35" s="324"/>
      <c r="B35" s="339" t="s">
        <v>232</v>
      </c>
      <c r="C35" s="339"/>
      <c r="D35" s="340">
        <f>SUM(D33:D34)</f>
      </c>
      <c r="E35" s="340">
        <f>SUM(E33:E34)</f>
      </c>
      <c r="F35" s="340">
        <f>F33+F34+G33+G34</f>
      </c>
      <c r="G35" s="340"/>
      <c r="H35" s="341">
        <f>SUM(H33:H34)</f>
      </c>
      <c r="I35" s="340">
        <f>SUM(I33:I34)</f>
      </c>
      <c r="J35" s="342">
        <f t="shared" si="240"/>
      </c>
      <c r="K35" s="343">
        <f t="shared" si="278"/>
      </c>
      <c r="L35" s="344">
        <f t="shared" si="313"/>
      </c>
      <c r="M35" s="345">
        <f t="shared" si="6"/>
      </c>
      <c r="N35" s="345">
        <f t="shared" si="72"/>
      </c>
      <c r="O35" s="346">
        <f t="shared" si="102"/>
      </c>
      <c r="P35" s="345">
        <f t="shared" si="38"/>
      </c>
      <c r="Q35" s="346"/>
      <c r="R35" s="351"/>
      <c r="S35" s="341">
        <f>SUM(S33:S34)</f>
      </c>
      <c r="T35" s="341">
        <f>SUM(T33:T34)</f>
      </c>
      <c r="U35" s="341">
        <f>SUM(U33:U34)</f>
      </c>
      <c r="V35" s="341">
        <f>SUM(V33:V34)</f>
      </c>
      <c r="W35" s="341">
        <f>SUM(W33:W34)</f>
      </c>
      <c r="X35" s="352">
        <f>SUM(X33:X34)</f>
      </c>
      <c r="Y35" s="341">
        <f>SUM(Y33:Y34)</f>
      </c>
    </row>
    <row r="36">
      <c r="A36" s="324"/>
      <c r="B36" s="353" t="s">
        <v>246</v>
      </c>
      <c r="C36" s="353"/>
      <c r="D36" s="354">
        <f>D35+D32+D28</f>
      </c>
      <c r="E36" s="354">
        <f>E35+E32+E28</f>
      </c>
      <c r="F36" s="354">
        <f>F35+F32+F28</f>
      </c>
      <c r="G36" s="354"/>
      <c r="H36" s="354">
        <f>H35+H32+H28</f>
      </c>
      <c r="I36" s="354">
        <f>I35+I32+I28</f>
      </c>
      <c r="J36" s="356">
        <f t="shared" si="240"/>
      </c>
      <c r="K36" s="356">
        <f t="shared" si="278"/>
      </c>
      <c r="L36" s="356">
        <f t="shared" si="313"/>
      </c>
      <c r="M36" s="357">
        <f t="shared" si="6"/>
      </c>
      <c r="N36" s="357">
        <f t="shared" si="72"/>
      </c>
      <c r="O36" s="356">
        <f t="shared" si="102"/>
      </c>
      <c r="P36" s="357">
        <f t="shared" si="38"/>
      </c>
      <c r="Q36" s="358"/>
      <c r="R36" s="359"/>
      <c r="S36" s="354">
        <f>S35+S32+S28</f>
      </c>
      <c r="T36" s="354">
        <f>T35+T32+T28</f>
      </c>
      <c r="U36" s="354">
        <f>U35+U32+U28</f>
      </c>
      <c r="V36" s="354">
        <f>V35+V32+V28</f>
      </c>
      <c r="W36" s="354">
        <f>W35+W32+W28</f>
      </c>
      <c r="X36" s="354">
        <f>X35+X32+X28</f>
      </c>
      <c r="Y36" s="354">
        <f>Y35+Y32+Y28</f>
      </c>
    </row>
    <row r="37">
      <c r="A37" s="311" t="s">
        <v>195</v>
      </c>
      <c r="B37" s="311"/>
      <c r="C37" s="311"/>
      <c r="D37" s="312" t="s">
        <v>196</v>
      </c>
      <c r="E37" s="312"/>
      <c r="F37" s="312"/>
      <c r="G37" s="312"/>
      <c r="H37" s="312"/>
      <c r="I37" s="312"/>
      <c r="J37" s="312"/>
      <c r="K37" s="312"/>
      <c r="L37" s="312"/>
      <c r="M37" s="313" t="s">
        <v>197</v>
      </c>
      <c r="N37" s="313"/>
      <c r="O37" s="313"/>
      <c r="P37" s="313"/>
      <c r="Q37" s="313"/>
      <c r="R37" s="313"/>
      <c r="S37" s="314" t="s">
        <v>198</v>
      </c>
      <c r="T37" s="314"/>
      <c r="U37" s="314"/>
      <c r="V37" s="314"/>
      <c r="W37" s="314"/>
      <c r="X37" s="314"/>
      <c r="Y37" s="314"/>
    </row>
    <row r="38">
      <c r="A38" s="315" t="s">
        <v>199</v>
      </c>
      <c r="B38" s="311" t="s">
        <v>200</v>
      </c>
      <c r="C38" s="311" t="s">
        <v>201</v>
      </c>
      <c r="D38" s="312" t="s">
        <v>202</v>
      </c>
      <c r="E38" s="316" t="s">
        <v>203</v>
      </c>
      <c r="F38" s="312" t="s">
        <v>204</v>
      </c>
      <c r="G38" s="312"/>
      <c r="H38" s="317" t="s">
        <v>205</v>
      </c>
      <c r="I38" s="312" t="s">
        <v>206</v>
      </c>
      <c r="J38" s="318" t="s">
        <v>207</v>
      </c>
      <c r="K38" s="319" t="s">
        <v>208</v>
      </c>
      <c r="L38" s="312" t="s">
        <v>209</v>
      </c>
      <c r="M38" s="313" t="s">
        <v>210</v>
      </c>
      <c r="N38" s="313" t="s">
        <v>211</v>
      </c>
      <c r="O38" s="313" t="s">
        <v>212</v>
      </c>
      <c r="P38" s="320" t="s">
        <v>213</v>
      </c>
      <c r="Q38" s="321" t="s">
        <v>214</v>
      </c>
      <c r="R38" s="321" t="s">
        <v>215</v>
      </c>
      <c r="S38" s="322" t="s">
        <v>216</v>
      </c>
      <c r="T38" s="322" t="s">
        <v>217</v>
      </c>
      <c r="U38" s="323" t="s">
        <v>218</v>
      </c>
      <c r="V38" s="323" t="s">
        <v>219</v>
      </c>
      <c r="W38" s="323" t="s">
        <v>220</v>
      </c>
      <c r="X38" s="322" t="s">
        <v>221</v>
      </c>
      <c r="Y38" s="322" t="s">
        <v>222</v>
      </c>
    </row>
    <row r="39">
      <c r="A39" s="363" t="s">
        <v>249</v>
      </c>
      <c r="B39" s="325" t="s">
        <v>224</v>
      </c>
      <c r="C39" s="326" t="s">
        <v>225</v>
      </c>
      <c r="D39" s="326">
        <f t="shared" ref="D39:D42" si="137">E39+G39+F39</f>
      </c>
      <c r="E39" s="327">
        <v>287.76</v>
      </c>
      <c r="F39" s="327">
        <v>284.75</v>
      </c>
      <c r="G39" s="327">
        <v>209.05</v>
      </c>
      <c r="H39" s="328">
        <v>3</v>
      </c>
      <c r="I39" s="326">
        <v>645.12</v>
      </c>
      <c r="J39" s="329">
        <f t="shared" ref="J39:J58" si="241">I39/D39</f>
      </c>
      <c r="K39" s="330">
        <f t="shared" ref="K39:K58" si="279">D39/H39</f>
      </c>
      <c r="L39" s="329">
        <f t="shared" ref="L39:L58" si="314">I39/H39</f>
      </c>
      <c r="M39" s="331">
        <f t="shared" ref="M39:M58" si="7">T39/S39</f>
      </c>
      <c r="N39" s="332">
        <f t="shared" ref="N39:N58" si="73">H39/X39</f>
      </c>
      <c r="O39" s="333">
        <f t="shared" ref="O39:O58" si="103">(Y39*1000)/D39</f>
      </c>
      <c r="P39" s="332">
        <f t="shared" ref="P39:P58" si="39">W39/V39</f>
      </c>
      <c r="Q39" s="334" t="s">
        <v>226</v>
      </c>
      <c r="R39" s="335" t="s">
        <v>227</v>
      </c>
      <c r="S39" s="336">
        <v>12927</v>
      </c>
      <c r="T39" s="336">
        <v>1494</v>
      </c>
      <c r="U39" s="337">
        <v>70</v>
      </c>
      <c r="V39" s="337">
        <v>1757</v>
      </c>
      <c r="W39" s="337">
        <v>97</v>
      </c>
      <c r="X39" s="337">
        <v>9</v>
      </c>
      <c r="Y39" s="337">
        <v>16</v>
      </c>
    </row>
    <row r="40">
      <c r="A40" s="363"/>
      <c r="B40" s="325" t="s">
        <v>224</v>
      </c>
      <c r="C40" s="326" t="s">
        <v>228</v>
      </c>
      <c r="D40" s="326">
        <f t="shared" si="137"/>
      </c>
      <c r="E40" s="327">
        <v>291.13</v>
      </c>
      <c r="F40" s="327">
        <v>238.41</v>
      </c>
      <c r="G40" s="327">
        <v>257.36</v>
      </c>
      <c r="H40" s="338">
        <v>5</v>
      </c>
      <c r="I40" s="326">
        <v>3773.2799999999997</v>
      </c>
      <c r="J40" s="329">
        <f t="shared" si="241"/>
      </c>
      <c r="K40" s="329">
        <f t="shared" si="279"/>
      </c>
      <c r="L40" s="330">
        <f t="shared" si="314"/>
      </c>
      <c r="M40" s="331">
        <f t="shared" si="7"/>
      </c>
      <c r="N40" s="332">
        <f t="shared" si="73"/>
      </c>
      <c r="O40" s="333">
        <f t="shared" si="103"/>
      </c>
      <c r="P40" s="332">
        <f t="shared" si="39"/>
      </c>
      <c r="Q40" s="334" t="s">
        <v>226</v>
      </c>
      <c r="R40" s="335" t="s">
        <v>227</v>
      </c>
      <c r="S40" s="336">
        <v>1590</v>
      </c>
      <c r="T40" s="336">
        <v>49</v>
      </c>
      <c r="U40" s="337">
        <v>1825</v>
      </c>
      <c r="V40" s="337">
        <v>131</v>
      </c>
      <c r="W40" s="337">
        <v>3</v>
      </c>
      <c r="X40" s="337">
        <v>10</v>
      </c>
      <c r="Y40" s="337">
        <v>20</v>
      </c>
    </row>
    <row r="41">
      <c r="A41" s="363"/>
      <c r="B41" s="325" t="s">
        <v>224</v>
      </c>
      <c r="C41" s="326" t="s">
        <v>229</v>
      </c>
      <c r="D41" s="326">
        <f t="shared" si="137"/>
      </c>
      <c r="E41" s="327">
        <v>281.1</v>
      </c>
      <c r="F41" s="327">
        <v>510.79</v>
      </c>
      <c r="G41" s="327">
        <v>1488.56</v>
      </c>
      <c r="H41" s="338">
        <v>8</v>
      </c>
      <c r="I41" s="326">
        <v>6685.32</v>
      </c>
      <c r="J41" s="329">
        <f t="shared" si="241"/>
      </c>
      <c r="K41" s="329">
        <f t="shared" si="279"/>
      </c>
      <c r="L41" s="329">
        <f t="shared" si="314"/>
      </c>
      <c r="M41" s="331">
        <f t="shared" si="7"/>
      </c>
      <c r="N41" s="332">
        <f t="shared" si="73"/>
      </c>
      <c r="O41" s="333">
        <f t="shared" si="103"/>
      </c>
      <c r="P41" s="332">
        <f t="shared" si="39"/>
      </c>
      <c r="Q41" s="334" t="s">
        <v>226</v>
      </c>
      <c r="R41" s="335" t="s">
        <v>227</v>
      </c>
      <c r="S41" s="336">
        <v>1631</v>
      </c>
      <c r="T41" s="336">
        <v>125</v>
      </c>
      <c r="U41" s="337">
        <v>1941</v>
      </c>
      <c r="V41" s="337">
        <v>210</v>
      </c>
      <c r="W41" s="337">
        <v>6</v>
      </c>
      <c r="X41" s="337">
        <v>14</v>
      </c>
      <c r="Y41" s="337">
        <v>34</v>
      </c>
    </row>
    <row r="42">
      <c r="A42" s="363"/>
      <c r="B42" s="325" t="s">
        <v>224</v>
      </c>
      <c r="C42" s="326" t="s">
        <v>230</v>
      </c>
      <c r="D42" s="326">
        <f t="shared" si="137"/>
      </c>
      <c r="E42" s="327">
        <v>279.37</v>
      </c>
      <c r="F42" s="327">
        <v>558.97</v>
      </c>
      <c r="G42" s="327">
        <v>970.52</v>
      </c>
      <c r="H42" s="338">
        <v>2</v>
      </c>
      <c r="I42" s="326">
        <v>1779.1200000000008</v>
      </c>
      <c r="J42" s="329">
        <f t="shared" si="241"/>
      </c>
      <c r="K42" s="329">
        <f t="shared" si="279"/>
      </c>
      <c r="L42" s="329">
        <f t="shared" si="314"/>
      </c>
      <c r="M42" s="331">
        <f t="shared" si="7"/>
      </c>
      <c r="N42" s="332">
        <f t="shared" si="73"/>
      </c>
      <c r="O42" s="333">
        <f t="shared" si="103"/>
      </c>
      <c r="P42" s="332">
        <f t="shared" si="39"/>
      </c>
      <c r="Q42" s="334" t="s">
        <v>226</v>
      </c>
      <c r="R42" s="335" t="s">
        <v>227</v>
      </c>
      <c r="S42" s="336">
        <v>51992</v>
      </c>
      <c r="T42" s="336">
        <v>1677</v>
      </c>
      <c r="U42" s="337">
        <v>104</v>
      </c>
      <c r="V42" s="337">
        <v>2002</v>
      </c>
      <c r="W42" s="337">
        <v>202</v>
      </c>
      <c r="X42" s="337">
        <v>7</v>
      </c>
      <c r="Y42" s="337">
        <v>32</v>
      </c>
    </row>
    <row r="43">
      <c r="A43" s="363"/>
      <c r="B43" s="339" t="s">
        <v>232</v>
      </c>
      <c r="C43" s="339"/>
      <c r="D43" s="340">
        <f>SUM(D39:D42)</f>
      </c>
      <c r="E43" s="340">
        <f>SUM(E39:E42)</f>
      </c>
      <c r="F43" s="340">
        <f>SUM(F39:F42)</f>
      </c>
      <c r="G43" s="340">
        <f>SUM(G39:G42)</f>
      </c>
      <c r="H43" s="341">
        <f>SUM(H39:H42)</f>
      </c>
      <c r="I43" s="340">
        <f>SUM(I39:I42)</f>
      </c>
      <c r="J43" s="342">
        <f t="shared" si="241"/>
      </c>
      <c r="K43" s="343">
        <f t="shared" si="279"/>
      </c>
      <c r="L43" s="344">
        <f t="shared" si="314"/>
      </c>
      <c r="M43" s="345">
        <f t="shared" si="7"/>
      </c>
      <c r="N43" s="345">
        <f t="shared" si="73"/>
      </c>
      <c r="O43" s="346">
        <f t="shared" si="103"/>
      </c>
      <c r="P43" s="345">
        <f t="shared" si="39"/>
      </c>
      <c r="Q43" s="346"/>
      <c r="R43" s="346"/>
      <c r="S43" s="341">
        <f>SUM(S39:S42)</f>
      </c>
      <c r="T43" s="341">
        <f>SUM(T39:T42)</f>
      </c>
      <c r="U43" s="341">
        <f>SUM(U39:U42)</f>
      </c>
      <c r="V43" s="341">
        <f>SUM(V39:V42)</f>
      </c>
      <c r="W43" s="341">
        <f>SUM(W39:W42)</f>
      </c>
      <c r="X43" s="341">
        <f>SUM(X39:X42)</f>
      </c>
      <c r="Y43" s="341">
        <f>SUM(Y39:Y42)</f>
      </c>
    </row>
    <row r="44">
      <c r="A44" s="363"/>
      <c r="B44" s="325" t="s">
        <v>248</v>
      </c>
      <c r="C44" s="327" t="s">
        <v>231</v>
      </c>
      <c r="D44" s="326">
        <f t="shared" ref="D44:D47" si="138">E44+G44+F44</f>
      </c>
      <c r="E44" s="327">
        <v>764.59</v>
      </c>
      <c r="F44" s="327">
        <v>516.96</v>
      </c>
      <c r="G44" s="327">
        <v>918.03</v>
      </c>
      <c r="H44" s="338">
        <v>7</v>
      </c>
      <c r="I44" s="326">
        <v>2426.0599999999995</v>
      </c>
      <c r="J44" s="329">
        <f t="shared" si="241"/>
      </c>
      <c r="K44" s="329">
        <f t="shared" si="279"/>
      </c>
      <c r="L44" s="329">
        <f t="shared" si="314"/>
      </c>
      <c r="M44" s="331">
        <f t="shared" si="7"/>
      </c>
      <c r="N44" s="332">
        <f t="shared" si="73"/>
      </c>
      <c r="O44" s="333">
        <f t="shared" si="103"/>
      </c>
      <c r="P44" s="332">
        <f t="shared" si="39"/>
      </c>
      <c r="Q44" s="334" t="s">
        <v>226</v>
      </c>
      <c r="R44" s="335" t="s">
        <v>227</v>
      </c>
      <c r="S44" s="347">
        <v>41986</v>
      </c>
      <c r="T44" s="347">
        <v>2081</v>
      </c>
      <c r="U44" s="348">
        <v>172</v>
      </c>
      <c r="V44" s="348">
        <v>2657</v>
      </c>
      <c r="W44" s="348">
        <v>320</v>
      </c>
      <c r="X44" s="348">
        <v>19</v>
      </c>
      <c r="Y44" s="348">
        <v>48</v>
      </c>
    </row>
    <row customHeight="true" ht="16.666666666666668" r="45">
      <c r="A45" s="363"/>
      <c r="B45" s="325" t="s">
        <v>248</v>
      </c>
      <c r="C45" s="326" t="s">
        <v>234</v>
      </c>
      <c r="D45" s="326">
        <f t="shared" si="138"/>
      </c>
      <c r="E45" s="349">
        <v>673.83</v>
      </c>
      <c r="F45" s="327">
        <v>491.02</v>
      </c>
      <c r="G45" s="327">
        <v>851.79</v>
      </c>
      <c r="H45" s="338">
        <v>8</v>
      </c>
      <c r="I45" s="326">
        <v>3492.76</v>
      </c>
      <c r="J45" s="329">
        <f t="shared" si="241"/>
      </c>
      <c r="K45" s="329">
        <f t="shared" si="279"/>
      </c>
      <c r="L45" s="329">
        <f t="shared" si="314"/>
      </c>
      <c r="M45" s="331">
        <f t="shared" si="7"/>
      </c>
      <c r="N45" s="332">
        <f t="shared" si="73"/>
      </c>
      <c r="O45" s="333">
        <f t="shared" si="103"/>
      </c>
      <c r="P45" s="332">
        <f t="shared" si="39"/>
      </c>
      <c r="Q45" s="334" t="s">
        <v>226</v>
      </c>
      <c r="R45" s="335" t="s">
        <v>227</v>
      </c>
      <c r="S45" s="347">
        <v>27228</v>
      </c>
      <c r="T45" s="347">
        <v>2034</v>
      </c>
      <c r="U45" s="348">
        <v>136</v>
      </c>
      <c r="V45" s="348">
        <v>2589</v>
      </c>
      <c r="W45" s="348">
        <v>264</v>
      </c>
      <c r="X45" s="348">
        <v>19</v>
      </c>
      <c r="Y45" s="348">
        <v>39</v>
      </c>
    </row>
    <row r="46">
      <c r="A46" s="363"/>
      <c r="B46" s="325" t="s">
        <v>248</v>
      </c>
      <c r="C46" s="326" t="s">
        <v>235</v>
      </c>
      <c r="D46" s="326">
        <f t="shared" si="138"/>
      </c>
      <c r="E46" s="327">
        <v>780.47</v>
      </c>
      <c r="F46" s="327">
        <v>448.26</v>
      </c>
      <c r="G46" s="327">
        <v>741.29</v>
      </c>
      <c r="H46" s="338">
        <v>5</v>
      </c>
      <c r="I46" s="326">
        <v>2941.0800000000017</v>
      </c>
      <c r="J46" s="329">
        <f t="shared" si="241"/>
      </c>
      <c r="K46" s="329">
        <f t="shared" si="279"/>
      </c>
      <c r="L46" s="329">
        <f t="shared" si="314"/>
      </c>
      <c r="M46" s="331">
        <f t="shared" si="7"/>
      </c>
      <c r="N46" s="332">
        <f t="shared" si="73"/>
      </c>
      <c r="O46" s="333">
        <f t="shared" si="103"/>
      </c>
      <c r="P46" s="332">
        <f t="shared" si="39"/>
      </c>
      <c r="Q46" s="334" t="s">
        <v>226</v>
      </c>
      <c r="R46" s="335" t="s">
        <v>227</v>
      </c>
      <c r="S46" s="347">
        <v>25546</v>
      </c>
      <c r="T46" s="347">
        <v>2309</v>
      </c>
      <c r="U46" s="348">
        <v>152</v>
      </c>
      <c r="V46" s="348">
        <v>2848</v>
      </c>
      <c r="W46" s="348">
        <v>229</v>
      </c>
      <c r="X46" s="348">
        <v>12</v>
      </c>
      <c r="Y46" s="348">
        <v>33</v>
      </c>
    </row>
    <row r="47">
      <c r="A47" s="363"/>
      <c r="B47" s="325" t="s">
        <v>248</v>
      </c>
      <c r="C47" s="327" t="s">
        <v>236</v>
      </c>
      <c r="D47" s="326">
        <f t="shared" si="138"/>
      </c>
      <c r="E47" s="327">
        <v>776.14</v>
      </c>
      <c r="F47" s="327">
        <v>363.83</v>
      </c>
      <c r="G47" s="327">
        <v>909.73</v>
      </c>
      <c r="H47" s="338">
        <v>7</v>
      </c>
      <c r="I47" s="326">
        <v>4257.48</v>
      </c>
      <c r="J47" s="329">
        <f t="shared" si="241"/>
      </c>
      <c r="K47" s="329">
        <f t="shared" si="279"/>
      </c>
      <c r="L47" s="329">
        <f t="shared" si="314"/>
      </c>
      <c r="M47" s="331">
        <f t="shared" si="7"/>
      </c>
      <c r="N47" s="332">
        <f t="shared" si="73"/>
      </c>
      <c r="O47" s="333">
        <f t="shared" si="103"/>
      </c>
      <c r="P47" s="332">
        <f t="shared" si="39"/>
      </c>
      <c r="Q47" s="334" t="s">
        <v>226</v>
      </c>
      <c r="R47" s="335" t="s">
        <v>227</v>
      </c>
      <c r="S47" s="347">
        <v>29287</v>
      </c>
      <c r="T47" s="347">
        <v>2740</v>
      </c>
      <c r="U47" s="348">
        <v>151</v>
      </c>
      <c r="V47" s="348">
        <v>3252</v>
      </c>
      <c r="W47" s="348">
        <v>270</v>
      </c>
      <c r="X47" s="348">
        <v>15</v>
      </c>
      <c r="Y47" s="348">
        <v>37</v>
      </c>
    </row>
    <row r="48">
      <c r="A48" s="363"/>
      <c r="B48" s="339" t="s">
        <v>232</v>
      </c>
      <c r="C48" s="339"/>
      <c r="D48" s="340">
        <f>SUM(D44:D47)</f>
      </c>
      <c r="E48" s="340">
        <f>SUM(E44:E47)</f>
      </c>
      <c r="F48" s="340">
        <f>SUM(F44:F47)</f>
      </c>
      <c r="G48" s="340">
        <f>SUM(G44:G47)</f>
      </c>
      <c r="H48" s="341">
        <f>SUM(H44:H47)</f>
      </c>
      <c r="I48" s="340">
        <f>SUM(I44:I47)</f>
      </c>
      <c r="J48" s="342">
        <f t="shared" si="241"/>
      </c>
      <c r="K48" s="343">
        <f t="shared" si="279"/>
      </c>
      <c r="L48" s="344">
        <f t="shared" si="314"/>
      </c>
      <c r="M48" s="345">
        <f t="shared" si="7"/>
      </c>
      <c r="N48" s="345">
        <f t="shared" si="73"/>
      </c>
      <c r="O48" s="346">
        <f t="shared" si="103"/>
      </c>
      <c r="P48" s="345">
        <f t="shared" si="39"/>
      </c>
      <c r="Q48" s="346"/>
      <c r="R48" s="346"/>
      <c r="S48" s="341">
        <f>SUM(S44:S47)</f>
      </c>
      <c r="T48" s="341">
        <f>SUM(T44:T47)</f>
      </c>
      <c r="U48" s="341">
        <f>SUM(U44:U47)</f>
      </c>
      <c r="V48" s="341">
        <f>SUM(V44:V47)</f>
      </c>
      <c r="W48" s="341">
        <f>SUM(W44:W47)</f>
      </c>
      <c r="X48" s="341">
        <f>SUM(X44:X47)</f>
      </c>
      <c r="Y48" s="341">
        <f>SUM(Y44:Y47)</f>
      </c>
    </row>
    <row r="49">
      <c r="A49" s="363"/>
      <c r="B49" s="325" t="s">
        <v>238</v>
      </c>
      <c r="C49" s="326" t="s">
        <v>237</v>
      </c>
      <c r="D49" s="326">
        <f t="shared" ref="D49:D52" si="139">E49+G49+F49</f>
      </c>
      <c r="E49" s="326">
        <v>427.5</v>
      </c>
      <c r="F49" s="327">
        <v>388.94</v>
      </c>
      <c r="G49" s="327">
        <v>2111.69</v>
      </c>
      <c r="H49" s="338">
        <v>7</v>
      </c>
      <c r="I49" s="326">
        <v>5128.799999999999</v>
      </c>
      <c r="J49" s="329">
        <f t="shared" si="241"/>
      </c>
      <c r="K49" s="329">
        <f t="shared" si="279"/>
      </c>
      <c r="L49" s="329">
        <f t="shared" si="314"/>
      </c>
      <c r="M49" s="331">
        <f t="shared" si="7"/>
      </c>
      <c r="N49" s="332">
        <f t="shared" si="73"/>
      </c>
      <c r="O49" s="333">
        <f t="shared" si="103"/>
      </c>
      <c r="P49" s="332">
        <f t="shared" si="39"/>
      </c>
      <c r="Q49" s="334" t="s">
        <v>226</v>
      </c>
      <c r="R49" s="335" t="s">
        <v>227</v>
      </c>
      <c r="S49" s="347">
        <v>57504</v>
      </c>
      <c r="T49" s="347">
        <v>3821</v>
      </c>
      <c r="U49" s="348">
        <v>202</v>
      </c>
      <c r="V49" s="348">
        <v>4166</v>
      </c>
      <c r="W49" s="348">
        <v>227</v>
      </c>
      <c r="X49" s="348">
        <v>16</v>
      </c>
      <c r="Y49" s="348">
        <v>47</v>
      </c>
    </row>
    <row r="50">
      <c r="A50" s="363"/>
      <c r="B50" s="325" t="s">
        <v>238</v>
      </c>
      <c r="C50" s="326" t="s">
        <v>239</v>
      </c>
      <c r="D50" s="326">
        <f t="shared" si="139"/>
      </c>
      <c r="E50" s="326">
        <v>400.11</v>
      </c>
      <c r="F50" s="327">
        <v>570.01</v>
      </c>
      <c r="G50" s="327">
        <v>729.49</v>
      </c>
      <c r="H50" s="338">
        <v>6</v>
      </c>
      <c r="I50" s="326">
        <v>3171.119999999999</v>
      </c>
      <c r="J50" s="329">
        <f t="shared" si="241"/>
      </c>
      <c r="K50" s="329">
        <f t="shared" si="279"/>
      </c>
      <c r="L50" s="329">
        <f t="shared" si="314"/>
      </c>
      <c r="M50" s="331">
        <f t="shared" si="7"/>
      </c>
      <c r="N50" s="332">
        <f t="shared" si="73"/>
      </c>
      <c r="O50" s="333">
        <f t="shared" si="103"/>
      </c>
      <c r="P50" s="332">
        <f t="shared" si="39"/>
      </c>
      <c r="Q50" s="334" t="s">
        <v>226</v>
      </c>
      <c r="R50" s="350" t="s">
        <v>240</v>
      </c>
      <c r="S50" s="347">
        <v>25841</v>
      </c>
      <c r="T50" s="347">
        <v>1857</v>
      </c>
      <c r="U50" s="348">
        <v>95</v>
      </c>
      <c r="V50" s="348">
        <v>2043</v>
      </c>
      <c r="W50" s="348">
        <v>103</v>
      </c>
      <c r="X50" s="348">
        <v>10</v>
      </c>
      <c r="Y50" s="348">
        <v>24</v>
      </c>
    </row>
    <row r="51">
      <c r="A51" s="363"/>
      <c r="B51" s="325" t="s">
        <v>238</v>
      </c>
      <c r="C51" s="326" t="s">
        <v>241</v>
      </c>
      <c r="D51" s="326">
        <f t="shared" si="139"/>
      </c>
      <c r="E51" s="327">
        <v>448.01</v>
      </c>
      <c r="F51" s="327">
        <v>245.83</v>
      </c>
      <c r="G51" s="327">
        <v>1204.96</v>
      </c>
      <c r="H51" s="328">
        <v>5</v>
      </c>
      <c r="I51" s="327">
        <v>1075.2000000000044</v>
      </c>
      <c r="J51" s="329">
        <f t="shared" si="241"/>
      </c>
      <c r="K51" s="329">
        <f t="shared" si="279"/>
      </c>
      <c r="L51" s="329">
        <f t="shared" si="314"/>
      </c>
      <c r="M51" s="331">
        <f t="shared" si="7"/>
      </c>
      <c r="N51" s="332">
        <f t="shared" si="73"/>
      </c>
      <c r="O51" s="333">
        <f t="shared" si="103"/>
      </c>
      <c r="P51" s="332">
        <f t="shared" si="39"/>
      </c>
      <c r="Q51" s="334" t="s">
        <v>226</v>
      </c>
      <c r="R51" s="350" t="s">
        <v>240</v>
      </c>
      <c r="S51" s="348">
        <v>29981</v>
      </c>
      <c r="T51" s="348">
        <v>2538</v>
      </c>
      <c r="U51" s="348">
        <v>117</v>
      </c>
      <c r="V51" s="348">
        <v>2762</v>
      </c>
      <c r="W51" s="348">
        <v>156</v>
      </c>
      <c r="X51" s="348">
        <v>13</v>
      </c>
      <c r="Y51" s="348">
        <v>42</v>
      </c>
    </row>
    <row r="52">
      <c r="A52" s="363"/>
      <c r="B52" s="325" t="s">
        <v>238</v>
      </c>
      <c r="C52" s="327" t="s">
        <v>242</v>
      </c>
      <c r="D52" s="326">
        <f t="shared" si="139"/>
      </c>
      <c r="E52" s="327">
        <v>264.67</v>
      </c>
      <c r="F52" s="327">
        <v>335.36</v>
      </c>
      <c r="G52" s="327">
        <v>1945.38</v>
      </c>
      <c r="H52" s="328">
        <v>8</v>
      </c>
      <c r="I52" s="327">
        <v>4029.2599999999948</v>
      </c>
      <c r="J52" s="329">
        <f t="shared" si="241"/>
      </c>
      <c r="K52" s="329">
        <f t="shared" si="279"/>
      </c>
      <c r="L52" s="329">
        <f t="shared" si="314"/>
      </c>
      <c r="M52" s="331">
        <f t="shared" si="7"/>
      </c>
      <c r="N52" s="332">
        <f t="shared" si="73"/>
      </c>
      <c r="O52" s="333">
        <f t="shared" si="103"/>
      </c>
      <c r="P52" s="332">
        <f t="shared" si="39"/>
      </c>
      <c r="Q52" s="334" t="s">
        <v>226</v>
      </c>
      <c r="R52" s="350" t="s">
        <v>240</v>
      </c>
      <c r="S52" s="348">
        <v>57607</v>
      </c>
      <c r="T52" s="348">
        <v>1987</v>
      </c>
      <c r="U52" s="348">
        <v>114</v>
      </c>
      <c r="V52" s="348">
        <v>2126</v>
      </c>
      <c r="W52" s="348">
        <v>117</v>
      </c>
      <c r="X52" s="348">
        <v>18</v>
      </c>
      <c r="Y52" s="348">
        <v>34</v>
      </c>
    </row>
    <row r="53">
      <c r="A53" s="363"/>
      <c r="B53" s="339" t="s">
        <v>232</v>
      </c>
      <c r="C53" s="339"/>
      <c r="D53" s="340">
        <f>SUM(D49:D52)</f>
      </c>
      <c r="E53" s="340">
        <f>SUM(E49:E52)</f>
      </c>
      <c r="F53" s="340">
        <f>SUM(F49:F52)</f>
      </c>
      <c r="G53" s="340">
        <f>SUM(G49:G52)</f>
      </c>
      <c r="H53" s="341">
        <f>SUM(H49:H52)</f>
      </c>
      <c r="I53" s="340">
        <f>SUM(I49:I52)</f>
      </c>
      <c r="J53" s="342">
        <f t="shared" si="241"/>
      </c>
      <c r="K53" s="343">
        <f t="shared" si="279"/>
      </c>
      <c r="L53" s="344">
        <f t="shared" si="314"/>
      </c>
      <c r="M53" s="345">
        <f t="shared" si="7"/>
      </c>
      <c r="N53" s="345">
        <f t="shared" si="73"/>
      </c>
      <c r="O53" s="346">
        <f t="shared" si="103"/>
      </c>
      <c r="P53" s="345">
        <f t="shared" si="39"/>
      </c>
      <c r="Q53" s="346"/>
      <c r="R53" s="346"/>
      <c r="S53" s="341">
        <f>SUM(S49:S52)</f>
      </c>
      <c r="T53" s="341">
        <f>SUM(T49:T52)</f>
      </c>
      <c r="U53" s="341">
        <f>SUM(U49:U52)</f>
      </c>
      <c r="V53" s="341">
        <f>SUM(V49:V52)</f>
      </c>
      <c r="W53" s="341">
        <f>SUM(W49:W52)</f>
      </c>
      <c r="X53" s="341">
        <f>SUM(X49:X52)</f>
      </c>
      <c r="Y53" s="341">
        <f>SUM(Y49:Y52)</f>
      </c>
    </row>
    <row r="54">
      <c r="A54" s="363"/>
      <c r="B54" s="325" t="s">
        <v>243</v>
      </c>
      <c r="C54" s="327" t="s">
        <v>244</v>
      </c>
      <c r="D54" s="364">
        <f t="shared" ref="D54:D56" si="140">E54+G54+F54</f>
      </c>
      <c r="E54" s="326">
        <v>286.73</v>
      </c>
      <c r="F54" s="327">
        <v>493.43</v>
      </c>
      <c r="G54" s="327">
        <v>2590.15</v>
      </c>
      <c r="H54" s="328">
        <v>8</v>
      </c>
      <c r="I54" s="327">
        <v>4472.520000000004</v>
      </c>
      <c r="J54" s="329">
        <f t="shared" si="241"/>
      </c>
      <c r="K54" s="329">
        <f t="shared" si="279"/>
      </c>
      <c r="L54" s="329">
        <f t="shared" si="314"/>
      </c>
      <c r="M54" s="331">
        <f t="shared" si="7"/>
      </c>
      <c r="N54" s="332">
        <f t="shared" si="73"/>
      </c>
      <c r="O54" s="333">
        <f t="shared" si="103"/>
      </c>
      <c r="P54" s="332">
        <f t="shared" si="39"/>
      </c>
      <c r="Q54" s="334" t="s">
        <v>226</v>
      </c>
      <c r="R54" s="350" t="s">
        <v>240</v>
      </c>
      <c r="S54" s="348">
        <v>64217</v>
      </c>
      <c r="T54" s="348">
        <v>2551</v>
      </c>
      <c r="U54" s="348">
        <v>124</v>
      </c>
      <c r="V54" s="348">
        <v>2723</v>
      </c>
      <c r="W54" s="348">
        <v>138</v>
      </c>
      <c r="X54" s="348">
        <v>14</v>
      </c>
      <c r="Y54" s="348">
        <v>37</v>
      </c>
    </row>
    <row r="55">
      <c r="A55" s="363"/>
      <c r="B55" s="325" t="s">
        <v>243</v>
      </c>
      <c r="C55" s="326" t="s">
        <v>245</v>
      </c>
      <c r="D55" s="326">
        <f t="shared" si="140"/>
      </c>
      <c r="E55" s="326">
        <v>375.4</v>
      </c>
      <c r="F55" s="327">
        <v>473.14</v>
      </c>
      <c r="G55" s="327">
        <v>2078.45</v>
      </c>
      <c r="H55" s="328">
        <v>11</v>
      </c>
      <c r="I55" s="327">
        <v>6544.919999999998</v>
      </c>
      <c r="J55" s="329">
        <f t="shared" si="241"/>
      </c>
      <c r="K55" s="329">
        <f t="shared" si="279"/>
      </c>
      <c r="L55" s="329">
        <f t="shared" si="314"/>
      </c>
      <c r="M55" s="331">
        <f t="shared" si="7"/>
      </c>
      <c r="N55" s="332">
        <f t="shared" si="73"/>
      </c>
      <c r="O55" s="333">
        <f t="shared" si="103"/>
      </c>
      <c r="P55" s="332">
        <f t="shared" si="39"/>
      </c>
      <c r="Q55" s="334" t="s">
        <v>226</v>
      </c>
      <c r="R55" s="350" t="s">
        <v>240</v>
      </c>
      <c r="S55" s="361">
        <v>63298</v>
      </c>
      <c r="T55" s="361">
        <v>3026</v>
      </c>
      <c r="U55" s="362">
        <v>198</v>
      </c>
      <c r="V55" s="362">
        <v>3249</v>
      </c>
      <c r="W55" s="362">
        <v>181</v>
      </c>
      <c r="X55" s="348">
        <v>26</v>
      </c>
      <c r="Y55" s="348">
        <v>43</v>
      </c>
    </row>
    <row customHeight="true" ht="16.666666666666668" r="56">
      <c r="A56" s="363"/>
      <c r="B56" s="325" t="s">
        <v>243</v>
      </c>
      <c r="C56" s="327" t="s">
        <v>250</v>
      </c>
      <c r="D56" s="326">
        <f t="shared" si="140"/>
      </c>
      <c r="E56" s="326">
        <v>632.0300000000001</v>
      </c>
      <c r="F56" s="327">
        <v>1474.34</v>
      </c>
      <c r="G56" s="327">
        <v>2411.76</v>
      </c>
      <c r="H56" s="328">
        <v>13</v>
      </c>
      <c r="I56" s="327">
        <v>5532.720000000008</v>
      </c>
      <c r="J56" s="329">
        <f t="shared" si="241"/>
      </c>
      <c r="K56" s="329">
        <f t="shared" si="279"/>
      </c>
      <c r="L56" s="329">
        <f t="shared" si="314"/>
      </c>
      <c r="M56" s="331">
        <f t="shared" si="7"/>
      </c>
      <c r="N56" s="332">
        <f t="shared" si="73"/>
      </c>
      <c r="O56" s="333">
        <f t="shared" si="103"/>
      </c>
      <c r="P56" s="332">
        <f t="shared" si="39"/>
      </c>
      <c r="Q56" s="334" t="s">
        <v>226</v>
      </c>
      <c r="R56" s="350" t="s">
        <v>240</v>
      </c>
      <c r="S56" s="361">
        <v>114225</v>
      </c>
      <c r="T56" s="361">
        <v>4350</v>
      </c>
      <c r="U56" s="362">
        <v>218</v>
      </c>
      <c r="V56" s="362">
        <v>4939</v>
      </c>
      <c r="W56" s="362">
        <v>324</v>
      </c>
      <c r="X56" s="348">
        <v>18</v>
      </c>
      <c r="Y56" s="348">
        <v>47</v>
      </c>
    </row>
    <row r="57">
      <c r="A57" s="363"/>
      <c r="B57" s="339" t="s">
        <v>232</v>
      </c>
      <c r="C57" s="339"/>
      <c r="D57" s="340">
        <f>SUM(D54:D56)</f>
      </c>
      <c r="E57" s="340">
        <f>SUM(E54:E56)</f>
      </c>
      <c r="F57" s="340">
        <f>SUM(F54:F56)</f>
      </c>
      <c r="G57" s="341">
        <f>SUM(G54:G56)</f>
      </c>
      <c r="H57" s="341">
        <f>SUM(H54:H56)</f>
      </c>
      <c r="I57" s="341">
        <f>SUM(I54:I56)</f>
      </c>
      <c r="J57" s="342">
        <f t="shared" si="241"/>
      </c>
      <c r="K57" s="343">
        <f t="shared" si="279"/>
      </c>
      <c r="L57" s="344">
        <f t="shared" si="314"/>
      </c>
      <c r="M57" s="345">
        <f t="shared" si="7"/>
      </c>
      <c r="N57" s="345">
        <f t="shared" si="73"/>
      </c>
      <c r="O57" s="346">
        <f t="shared" si="103"/>
      </c>
      <c r="P57" s="345">
        <f t="shared" si="39"/>
      </c>
      <c r="Q57" s="346"/>
      <c r="R57" s="351"/>
      <c r="S57" s="341">
        <f>SUM(S54:S56)</f>
      </c>
      <c r="T57" s="341">
        <f>SUM(T54:T56)</f>
      </c>
      <c r="U57" s="341">
        <f>SUM(U54:U56)</f>
      </c>
      <c r="V57" s="341">
        <f>SUM(V54:V56)</f>
      </c>
      <c r="W57" s="341">
        <f>SUM(W54:W56)</f>
      </c>
      <c r="X57" s="341">
        <f>SUM(X54:X56)</f>
      </c>
      <c r="Y57" s="341">
        <f>SUM(Y54:Y56)</f>
      </c>
    </row>
    <row r="58">
      <c r="A58" s="363"/>
      <c r="B58" s="353" t="s">
        <v>246</v>
      </c>
      <c r="C58" s="353"/>
      <c r="D58" s="365">
        <f>D57+D53+D48+D43</f>
      </c>
      <c r="E58" s="354">
        <f>E57+E53+E48+E43</f>
      </c>
      <c r="F58" s="354">
        <f>F57+F53+F48+F43</f>
      </c>
      <c r="G58" s="354">
        <f>G57+G53+G48+G43</f>
      </c>
      <c r="H58" s="355">
        <f>H57+H53+H48+H43</f>
      </c>
      <c r="I58" s="354">
        <f>I57+I53+I48+I43</f>
      </c>
      <c r="J58" s="356">
        <f t="shared" si="241"/>
      </c>
      <c r="K58" s="356">
        <f t="shared" si="279"/>
      </c>
      <c r="L58" s="356">
        <f t="shared" si="314"/>
      </c>
      <c r="M58" s="357">
        <f t="shared" si="7"/>
      </c>
      <c r="N58" s="357">
        <f t="shared" si="73"/>
      </c>
      <c r="O58" s="356">
        <f t="shared" si="103"/>
      </c>
      <c r="P58" s="357">
        <f t="shared" si="39"/>
      </c>
      <c r="Q58" s="358"/>
      <c r="R58" s="359"/>
      <c r="S58" s="355">
        <f>S57+S53+S48+S43</f>
      </c>
      <c r="T58" s="355">
        <f>T57+T53+T48+T43</f>
      </c>
      <c r="U58" s="355">
        <f>U57+U53+U48+U43</f>
      </c>
      <c r="V58" s="355">
        <f>V57+V53+V48+V43</f>
      </c>
      <c r="W58" s="355">
        <f>W57+W53+W48+W43</f>
      </c>
      <c r="X58" s="360">
        <f>X57+X53+X48+X43</f>
      </c>
      <c r="Y58" s="355">
        <f>Y57+Y53+Y48+Y43</f>
      </c>
    </row>
    <row r="59">
      <c r="A59" s="311" t="s">
        <v>195</v>
      </c>
      <c r="B59" s="311"/>
      <c r="C59" s="311"/>
      <c r="D59" s="312" t="s">
        <v>196</v>
      </c>
      <c r="E59" s="312"/>
      <c r="F59" s="312"/>
      <c r="G59" s="312"/>
      <c r="H59" s="312"/>
      <c r="I59" s="312"/>
      <c r="J59" s="312"/>
      <c r="K59" s="312"/>
      <c r="L59" s="312"/>
      <c r="M59" s="313" t="s">
        <v>197</v>
      </c>
      <c r="N59" s="313"/>
      <c r="O59" s="313"/>
      <c r="P59" s="313"/>
      <c r="Q59" s="313"/>
      <c r="R59" s="313"/>
      <c r="S59" s="314" t="s">
        <v>198</v>
      </c>
      <c r="T59" s="314"/>
      <c r="U59" s="314"/>
      <c r="V59" s="314"/>
      <c r="W59" s="314"/>
      <c r="X59" s="314"/>
      <c r="Y59" s="314"/>
    </row>
    <row r="60">
      <c r="A60" s="315" t="s">
        <v>199</v>
      </c>
      <c r="B60" s="311" t="s">
        <v>200</v>
      </c>
      <c r="C60" s="311" t="s">
        <v>201</v>
      </c>
      <c r="D60" s="312" t="s">
        <v>202</v>
      </c>
      <c r="E60" s="316" t="s">
        <v>203</v>
      </c>
      <c r="F60" s="312" t="s">
        <v>204</v>
      </c>
      <c r="G60" s="312"/>
      <c r="H60" s="317" t="s">
        <v>205</v>
      </c>
      <c r="I60" s="312" t="s">
        <v>206</v>
      </c>
      <c r="J60" s="318" t="s">
        <v>207</v>
      </c>
      <c r="K60" s="319" t="s">
        <v>208</v>
      </c>
      <c r="L60" s="312" t="s">
        <v>209</v>
      </c>
      <c r="M60" s="313" t="s">
        <v>210</v>
      </c>
      <c r="N60" s="313" t="s">
        <v>211</v>
      </c>
      <c r="O60" s="313" t="s">
        <v>212</v>
      </c>
      <c r="P60" s="320" t="s">
        <v>213</v>
      </c>
      <c r="Q60" s="321" t="s">
        <v>214</v>
      </c>
      <c r="R60" s="321" t="s">
        <v>215</v>
      </c>
      <c r="S60" s="322" t="s">
        <v>216</v>
      </c>
      <c r="T60" s="322" t="s">
        <v>217</v>
      </c>
      <c r="U60" s="323" t="s">
        <v>218</v>
      </c>
      <c r="V60" s="323" t="s">
        <v>219</v>
      </c>
      <c r="W60" s="323" t="s">
        <v>220</v>
      </c>
      <c r="X60" s="322" t="s">
        <v>221</v>
      </c>
      <c r="Y60" s="322" t="s">
        <v>222</v>
      </c>
    </row>
    <row r="61">
      <c r="A61" s="363" t="s">
        <v>251</v>
      </c>
      <c r="B61" s="325" t="s">
        <v>248</v>
      </c>
      <c r="C61" s="326" t="s">
        <v>225</v>
      </c>
      <c r="D61" s="326">
        <f t="shared" ref="D61:D64" si="141">E61+G61+F61</f>
      </c>
      <c r="E61" s="327">
        <v>681.45</v>
      </c>
      <c r="F61" s="327">
        <v>269.49</v>
      </c>
      <c r="G61" s="327">
        <v>1369.57</v>
      </c>
      <c r="H61" s="328">
        <v>9</v>
      </c>
      <c r="I61" s="326">
        <v>5840.13</v>
      </c>
      <c r="J61" s="329">
        <f t="shared" ref="J61:J73" si="242">I61/D61</f>
      </c>
      <c r="K61" s="330">
        <f t="shared" ref="K61:K73" si="280">D61/H61</f>
      </c>
      <c r="L61" s="329">
        <f t="shared" ref="L61:L73" si="315">I61/H61</f>
      </c>
      <c r="M61" s="331">
        <f t="shared" ref="M61:M73" si="8">T61/S61</f>
      </c>
      <c r="N61" s="332">
        <f t="shared" ref="N61:N73" si="74">H61/X61</f>
      </c>
      <c r="O61" s="333">
        <f t="shared" ref="O61:O73" si="104">(Y61*1000)/D61</f>
      </c>
      <c r="P61" s="332">
        <f t="shared" ref="P61:P73" si="40">W61/V61</f>
      </c>
      <c r="Q61" s="334" t="s">
        <v>226</v>
      </c>
      <c r="R61" s="335" t="s">
        <v>227</v>
      </c>
      <c r="S61" s="336">
        <v>3049</v>
      </c>
      <c r="T61" s="336">
        <v>292</v>
      </c>
      <c r="U61" s="337">
        <v>11</v>
      </c>
      <c r="V61" s="337">
        <v>335</v>
      </c>
      <c r="W61" s="337">
        <v>22</v>
      </c>
      <c r="X61" s="337">
        <v>21</v>
      </c>
      <c r="Y61" s="337">
        <v>42</v>
      </c>
    </row>
    <row r="62">
      <c r="A62" s="363"/>
      <c r="B62" s="325" t="s">
        <v>248</v>
      </c>
      <c r="C62" s="326" t="s">
        <v>228</v>
      </c>
      <c r="D62" s="326">
        <f t="shared" si="141"/>
      </c>
      <c r="E62" s="327">
        <v>1198.13</v>
      </c>
      <c r="F62" s="327">
        <v>585.21</v>
      </c>
      <c r="G62" s="327">
        <v>1870.63</v>
      </c>
      <c r="H62" s="338">
        <v>7</v>
      </c>
      <c r="I62" s="326">
        <v>3297.38</v>
      </c>
      <c r="J62" s="329">
        <f t="shared" si="242"/>
      </c>
      <c r="K62" s="329">
        <f t="shared" si="280"/>
      </c>
      <c r="L62" s="330">
        <f t="shared" si="315"/>
      </c>
      <c r="M62" s="331">
        <f t="shared" si="8"/>
      </c>
      <c r="N62" s="332">
        <f t="shared" si="74"/>
      </c>
      <c r="O62" s="333">
        <f t="shared" si="104"/>
      </c>
      <c r="P62" s="332">
        <f t="shared" si="40"/>
      </c>
      <c r="Q62" s="334" t="s">
        <v>226</v>
      </c>
      <c r="R62" s="335" t="s">
        <v>227</v>
      </c>
      <c r="S62" s="336">
        <v>66830</v>
      </c>
      <c r="T62" s="336">
        <v>4018</v>
      </c>
      <c r="U62" s="337">
        <v>170</v>
      </c>
      <c r="V62" s="337">
        <v>5296</v>
      </c>
      <c r="W62" s="337">
        <v>548</v>
      </c>
      <c r="X62" s="337">
        <v>15</v>
      </c>
      <c r="Y62" s="337">
        <v>53</v>
      </c>
    </row>
    <row r="63">
      <c r="A63" s="363"/>
      <c r="B63" s="325" t="s">
        <v>248</v>
      </c>
      <c r="C63" s="326" t="s">
        <v>229</v>
      </c>
      <c r="D63" s="326">
        <f t="shared" si="141"/>
      </c>
      <c r="E63" s="327">
        <v>608.08</v>
      </c>
      <c r="F63" s="327">
        <v>831.89</v>
      </c>
      <c r="G63" s="327">
        <v>348.89</v>
      </c>
      <c r="H63" s="338">
        <v>4</v>
      </c>
      <c r="I63" s="326">
        <v>2263.3199999999997</v>
      </c>
      <c r="J63" s="329">
        <f t="shared" si="242"/>
      </c>
      <c r="K63" s="329">
        <f t="shared" si="280"/>
      </c>
      <c r="L63" s="329">
        <f t="shared" si="315"/>
      </c>
      <c r="M63" s="331">
        <f t="shared" si="8"/>
      </c>
      <c r="N63" s="332">
        <f t="shared" si="74"/>
      </c>
      <c r="O63" s="333">
        <f t="shared" si="104"/>
      </c>
      <c r="P63" s="332">
        <f t="shared" si="40"/>
      </c>
      <c r="Q63" s="334" t="s">
        <v>226</v>
      </c>
      <c r="R63" s="335" t="s">
        <v>227</v>
      </c>
      <c r="S63" s="336">
        <v>49448</v>
      </c>
      <c r="T63" s="336">
        <v>1967</v>
      </c>
      <c r="U63" s="337">
        <v>91</v>
      </c>
      <c r="V63" s="337">
        <v>2513</v>
      </c>
      <c r="W63" s="337">
        <v>238</v>
      </c>
      <c r="X63" s="337">
        <v>8</v>
      </c>
      <c r="Y63" s="337">
        <v>22</v>
      </c>
    </row>
    <row r="64">
      <c r="A64" s="363"/>
      <c r="B64" s="325" t="s">
        <v>248</v>
      </c>
      <c r="C64" s="326" t="s">
        <v>230</v>
      </c>
      <c r="D64" s="326">
        <f t="shared" si="141"/>
      </c>
      <c r="E64" s="327">
        <v>411.77</v>
      </c>
      <c r="F64" s="327">
        <v>1577.99</v>
      </c>
      <c r="G64" s="327">
        <v>172.2</v>
      </c>
      <c r="H64" s="338">
        <v>5</v>
      </c>
      <c r="I64" s="326">
        <v>2015.6399999999994</v>
      </c>
      <c r="J64" s="329">
        <f t="shared" si="242"/>
      </c>
      <c r="K64" s="329">
        <f t="shared" si="280"/>
      </c>
      <c r="L64" s="329">
        <f t="shared" si="315"/>
      </c>
      <c r="M64" s="331">
        <f t="shared" si="8"/>
      </c>
      <c r="N64" s="332">
        <f t="shared" si="74"/>
      </c>
      <c r="O64" s="333">
        <f t="shared" si="104"/>
      </c>
      <c r="P64" s="332">
        <f t="shared" si="40"/>
      </c>
      <c r="Q64" s="334" t="s">
        <v>226</v>
      </c>
      <c r="R64" s="335" t="s">
        <v>227</v>
      </c>
      <c r="S64" s="336">
        <v>48029</v>
      </c>
      <c r="T64" s="336">
        <v>1894</v>
      </c>
      <c r="U64" s="337">
        <v>121</v>
      </c>
      <c r="V64" s="337">
        <v>2274</v>
      </c>
      <c r="W64" s="337">
        <v>182</v>
      </c>
      <c r="X64" s="337">
        <v>10</v>
      </c>
      <c r="Y64" s="337">
        <v>22</v>
      </c>
    </row>
    <row r="65">
      <c r="A65" s="363"/>
      <c r="B65" s="339" t="s">
        <v>232</v>
      </c>
      <c r="C65" s="339"/>
      <c r="D65" s="340">
        <f>SUM(D61:D64)</f>
      </c>
      <c r="E65" s="340">
        <f>SUM(E61:E64)</f>
      </c>
      <c r="F65" s="340">
        <f>SUM(F61:F64)</f>
      </c>
      <c r="G65" s="340">
        <f>SUM(G61:G64)</f>
      </c>
      <c r="H65" s="341">
        <f>SUM(H61:H64)</f>
      </c>
      <c r="I65" s="340">
        <f>SUM(I61:I64)</f>
      </c>
      <c r="J65" s="342">
        <f t="shared" si="242"/>
      </c>
      <c r="K65" s="343">
        <f t="shared" si="280"/>
      </c>
      <c r="L65" s="344">
        <f t="shared" si="315"/>
      </c>
      <c r="M65" s="345">
        <f t="shared" si="8"/>
      </c>
      <c r="N65" s="345">
        <f t="shared" si="74"/>
      </c>
      <c r="O65" s="346">
        <f t="shared" si="104"/>
      </c>
      <c r="P65" s="345">
        <f t="shared" si="40"/>
      </c>
      <c r="Q65" s="346"/>
      <c r="R65" s="346"/>
      <c r="S65" s="341">
        <f>SUM(S61:S64)</f>
      </c>
      <c r="T65" s="341">
        <f>SUM(T61:T64)</f>
      </c>
      <c r="U65" s="341">
        <f>SUM(U61:U64)</f>
      </c>
      <c r="V65" s="341">
        <f>SUM(V61:V64)</f>
      </c>
      <c r="W65" s="341">
        <f>SUM(W61:W64)</f>
      </c>
      <c r="X65" s="341">
        <f>SUM(X61:X64)</f>
      </c>
      <c r="Y65" s="341">
        <f>SUM(Y61:Y64)</f>
      </c>
    </row>
    <row r="66">
      <c r="A66" s="363"/>
      <c r="B66" s="325" t="s">
        <v>224</v>
      </c>
      <c r="C66" s="327" t="s">
        <v>231</v>
      </c>
      <c r="D66" s="326">
        <f t="shared" ref="D66:D69" si="142">E66+G66+F66</f>
      </c>
      <c r="E66" s="327">
        <v>512.77</v>
      </c>
      <c r="F66" s="327">
        <v>977.91</v>
      </c>
      <c r="G66" s="327">
        <v>244.04</v>
      </c>
      <c r="H66" s="338">
        <v>5</v>
      </c>
      <c r="I66" s="326">
        <v>2000.6400000000012</v>
      </c>
      <c r="J66" s="329">
        <f t="shared" si="242"/>
      </c>
      <c r="K66" s="329">
        <f t="shared" si="280"/>
      </c>
      <c r="L66" s="329">
        <f t="shared" si="315"/>
      </c>
      <c r="M66" s="331">
        <f t="shared" si="8"/>
      </c>
      <c r="N66" s="332">
        <f t="shared" si="74"/>
      </c>
      <c r="O66" s="333">
        <f t="shared" si="104"/>
      </c>
      <c r="P66" s="332">
        <f t="shared" si="40"/>
      </c>
      <c r="Q66" s="334" t="s">
        <v>226</v>
      </c>
      <c r="R66" s="335" t="s">
        <v>227</v>
      </c>
      <c r="S66" s="347">
        <v>30455</v>
      </c>
      <c r="T66" s="347">
        <v>1791</v>
      </c>
      <c r="U66" s="348">
        <v>105</v>
      </c>
      <c r="V66" s="348">
        <v>2313</v>
      </c>
      <c r="W66" s="348">
        <v>208</v>
      </c>
      <c r="X66" s="348">
        <v>12</v>
      </c>
      <c r="Y66" s="348">
        <v>30</v>
      </c>
    </row>
    <row r="67">
      <c r="A67" s="363"/>
      <c r="B67" s="325" t="s">
        <v>224</v>
      </c>
      <c r="C67" s="326" t="s">
        <v>234</v>
      </c>
      <c r="D67" s="326">
        <f t="shared" si="142"/>
      </c>
      <c r="E67" s="327">
        <v>524.13</v>
      </c>
      <c r="F67" s="327">
        <v>455.75</v>
      </c>
      <c r="G67" s="327">
        <v>355.13</v>
      </c>
      <c r="H67" s="328">
        <v>0</v>
      </c>
      <c r="I67" s="327">
        <v>0</v>
      </c>
      <c r="J67" s="329">
        <f t="shared" si="242"/>
      </c>
      <c r="K67" s="329">
        <f t="shared" si="280"/>
      </c>
      <c r="L67" s="329">
        <f t="shared" si="315"/>
      </c>
      <c r="M67" s="331">
        <f t="shared" si="8"/>
      </c>
      <c r="N67" s="332">
        <f t="shared" si="74"/>
      </c>
      <c r="O67" s="333">
        <f t="shared" si="104"/>
      </c>
      <c r="P67" s="332">
        <f t="shared" si="40"/>
      </c>
      <c r="Q67" s="334" t="s">
        <v>226</v>
      </c>
      <c r="R67" s="335" t="s">
        <v>227</v>
      </c>
      <c r="S67" s="347">
        <v>21456</v>
      </c>
      <c r="T67" s="347">
        <v>1878</v>
      </c>
      <c r="U67" s="348">
        <v>60</v>
      </c>
      <c r="V67" s="348">
        <v>2518</v>
      </c>
      <c r="W67" s="348">
        <v>223</v>
      </c>
      <c r="X67" s="348">
        <v>2</v>
      </c>
      <c r="Y67" s="348">
        <v>19</v>
      </c>
    </row>
    <row r="68">
      <c r="A68" s="363"/>
      <c r="B68" s="325" t="s">
        <v>224</v>
      </c>
      <c r="C68" s="326" t="s">
        <v>235</v>
      </c>
      <c r="D68" s="326">
        <f t="shared" si="142"/>
      </c>
      <c r="E68" s="327">
        <v>659.84</v>
      </c>
      <c r="F68" s="327">
        <v>161.7</v>
      </c>
      <c r="G68" s="327">
        <v>121.83</v>
      </c>
      <c r="H68" s="338">
        <v>5</v>
      </c>
      <c r="I68" s="326">
        <v>2015.6399999999994</v>
      </c>
      <c r="J68" s="329">
        <f t="shared" si="242"/>
      </c>
      <c r="K68" s="329">
        <f t="shared" si="280"/>
      </c>
      <c r="L68" s="329">
        <f t="shared" si="315"/>
      </c>
      <c r="M68" s="331">
        <f t="shared" si="8"/>
      </c>
      <c r="N68" s="332">
        <f t="shared" si="74"/>
      </c>
      <c r="O68" s="333">
        <f t="shared" si="104"/>
      </c>
      <c r="P68" s="332">
        <f t="shared" si="40"/>
      </c>
      <c r="Q68" s="334" t="s">
        <v>226</v>
      </c>
      <c r="R68" s="335" t="s">
        <v>227</v>
      </c>
      <c r="S68" s="347">
        <v>13938</v>
      </c>
      <c r="T68" s="347">
        <v>1050</v>
      </c>
      <c r="U68" s="348">
        <v>60</v>
      </c>
      <c r="V68" s="348">
        <v>1744</v>
      </c>
      <c r="W68" s="348">
        <v>209</v>
      </c>
      <c r="X68" s="348">
        <v>8</v>
      </c>
      <c r="Y68" s="348">
        <v>25</v>
      </c>
    </row>
    <row r="69">
      <c r="A69" s="363"/>
      <c r="B69" s="325" t="s">
        <v>224</v>
      </c>
      <c r="C69" s="327" t="s">
        <v>236</v>
      </c>
      <c r="D69" s="326">
        <f t="shared" si="142"/>
      </c>
      <c r="E69" s="327">
        <v>350.27</v>
      </c>
      <c r="F69" s="327">
        <v>271.26</v>
      </c>
      <c r="G69" s="327">
        <v>171.17</v>
      </c>
      <c r="H69" s="338">
        <v>3</v>
      </c>
      <c r="I69" s="326">
        <v>2934.5999999999985</v>
      </c>
      <c r="J69" s="329">
        <f t="shared" si="242"/>
      </c>
      <c r="K69" s="329">
        <f t="shared" si="280"/>
      </c>
      <c r="L69" s="329">
        <f t="shared" si="315"/>
      </c>
      <c r="M69" s="331">
        <f t="shared" si="8"/>
      </c>
      <c r="N69" s="332">
        <f t="shared" si="74"/>
      </c>
      <c r="O69" s="333">
        <f t="shared" si="104"/>
      </c>
      <c r="P69" s="332">
        <f t="shared" si="40"/>
      </c>
      <c r="Q69" s="334" t="s">
        <v>226</v>
      </c>
      <c r="R69" s="335" t="s">
        <v>227</v>
      </c>
      <c r="S69" s="347">
        <v>10600</v>
      </c>
      <c r="T69" s="347">
        <v>1039</v>
      </c>
      <c r="U69" s="348">
        <v>53</v>
      </c>
      <c r="V69" s="348">
        <v>1371</v>
      </c>
      <c r="W69" s="348">
        <v>123</v>
      </c>
      <c r="X69" s="348">
        <v>3</v>
      </c>
      <c r="Y69" s="348">
        <v>24</v>
      </c>
    </row>
    <row r="70">
      <c r="A70" s="363"/>
      <c r="B70" s="339" t="s">
        <v>232</v>
      </c>
      <c r="C70" s="339"/>
      <c r="D70" s="340">
        <f>SUM(D66:D69)</f>
      </c>
      <c r="E70" s="340">
        <f>SUM(E66:E69)</f>
      </c>
      <c r="F70" s="340">
        <f>SUM(F66:F69)</f>
      </c>
      <c r="G70" s="340">
        <f>SUM(G66:G69)</f>
      </c>
      <c r="H70" s="341">
        <f>SUM(H66:H69)</f>
      </c>
      <c r="I70" s="340">
        <f>SUM(I66:I69)</f>
      </c>
      <c r="J70" s="342">
        <f t="shared" si="242"/>
      </c>
      <c r="K70" s="343">
        <f t="shared" si="280"/>
      </c>
      <c r="L70" s="344">
        <f t="shared" si="315"/>
      </c>
      <c r="M70" s="345">
        <f t="shared" si="8"/>
      </c>
      <c r="N70" s="345">
        <f t="shared" si="74"/>
      </c>
      <c r="O70" s="346">
        <f t="shared" si="104"/>
      </c>
      <c r="P70" s="345">
        <f t="shared" si="40"/>
      </c>
      <c r="Q70" s="346"/>
      <c r="R70" s="346"/>
      <c r="S70" s="341">
        <f>SUM(S66:S69)</f>
      </c>
      <c r="T70" s="341">
        <f>SUM(T66:T69)</f>
      </c>
      <c r="U70" s="341">
        <f>SUM(U66:U69)</f>
      </c>
      <c r="V70" s="341">
        <f>SUM(V66:V69)</f>
      </c>
      <c r="W70" s="341">
        <f>SUM(W66:W69)</f>
      </c>
      <c r="X70" s="341">
        <f>SUM(X66:X69)</f>
      </c>
      <c r="Y70" s="341">
        <f>SUM(Y66:Y69)</f>
      </c>
    </row>
    <row r="71">
      <c r="A71" s="363"/>
      <c r="B71" s="325" t="s">
        <v>238</v>
      </c>
      <c r="C71" s="326" t="s">
        <v>237</v>
      </c>
      <c r="D71" s="326">
        <f>E71+G71+F71</f>
      </c>
      <c r="E71" s="327">
        <v>491.14</v>
      </c>
      <c r="F71" s="327">
        <v>994.5</v>
      </c>
      <c r="G71" s="327">
        <v>271.62</v>
      </c>
      <c r="H71" s="338">
        <v>3</v>
      </c>
      <c r="I71" s="326">
        <v>1994.1599999999999</v>
      </c>
      <c r="J71" s="329">
        <f t="shared" si="242"/>
      </c>
      <c r="K71" s="329">
        <f t="shared" si="280"/>
      </c>
      <c r="L71" s="329">
        <f t="shared" si="315"/>
      </c>
      <c r="M71" s="331">
        <f t="shared" si="8"/>
      </c>
      <c r="N71" s="332">
        <f t="shared" si="74"/>
      </c>
      <c r="O71" s="333">
        <f t="shared" si="104"/>
      </c>
      <c r="P71" s="332">
        <f t="shared" si="40"/>
      </c>
      <c r="Q71" s="334" t="s">
        <v>226</v>
      </c>
      <c r="R71" s="335" t="s">
        <v>227</v>
      </c>
      <c r="S71" s="347">
        <v>18926</v>
      </c>
      <c r="T71" s="347">
        <v>1986</v>
      </c>
      <c r="U71" s="348">
        <v>55</v>
      </c>
      <c r="V71" s="348">
        <v>2458</v>
      </c>
      <c r="W71" s="348">
        <v>178</v>
      </c>
      <c r="X71" s="348">
        <v>6</v>
      </c>
      <c r="Y71" s="348">
        <v>21</v>
      </c>
    </row>
    <row r="72">
      <c r="A72" s="363"/>
      <c r="B72" s="339" t="s">
        <v>232</v>
      </c>
      <c r="C72" s="339"/>
      <c r="D72" s="340">
        <f>SUM(D71)</f>
      </c>
      <c r="E72" s="340">
        <v>491.14</v>
      </c>
      <c r="F72" s="340">
        <f>SUM(F71)</f>
      </c>
      <c r="G72" s="340">
        <f>SUM(G71)</f>
      </c>
      <c r="H72" s="341">
        <f>SUM(H71)</f>
      </c>
      <c r="I72" s="340">
        <f>SUM(I71)</f>
      </c>
      <c r="J72" s="342">
        <f t="shared" si="242"/>
      </c>
      <c r="K72" s="343">
        <f t="shared" si="280"/>
      </c>
      <c r="L72" s="344">
        <f t="shared" si="315"/>
      </c>
      <c r="M72" s="345">
        <f t="shared" si="8"/>
      </c>
      <c r="N72" s="345">
        <f t="shared" si="74"/>
      </c>
      <c r="O72" s="346">
        <f t="shared" si="104"/>
      </c>
      <c r="P72" s="345">
        <f t="shared" si="40"/>
      </c>
      <c r="Q72" s="346"/>
      <c r="R72" s="346"/>
      <c r="S72" s="341">
        <f>SUM(S71)</f>
      </c>
      <c r="T72" s="341">
        <f>SUM(T71)</f>
      </c>
      <c r="U72" s="341">
        <f>SUM(U71)</f>
      </c>
      <c r="V72" s="341">
        <f>SUM(V71)</f>
      </c>
      <c r="W72" s="341">
        <f>SUM(W71)</f>
      </c>
      <c r="X72" s="341">
        <f>SUM(X71)</f>
      </c>
      <c r="Y72" s="341">
        <f>SUM(Y71)</f>
      </c>
    </row>
    <row r="73">
      <c r="A73" s="363"/>
      <c r="B73" s="353" t="s">
        <v>246</v>
      </c>
      <c r="C73" s="353"/>
      <c r="D73" s="354">
        <f>D72+D70+D65</f>
      </c>
      <c r="E73" s="354">
        <f>E72+E70+E65</f>
      </c>
      <c r="F73" s="354">
        <f>F72+F70+F65</f>
      </c>
      <c r="G73" s="354">
        <f>G72+G70+G65</f>
      </c>
      <c r="H73" s="354">
        <f>H72+H70+H65</f>
      </c>
      <c r="I73" s="354">
        <f>I72+I70+I65</f>
      </c>
      <c r="J73" s="356">
        <f t="shared" si="242"/>
      </c>
      <c r="K73" s="356">
        <f t="shared" si="280"/>
      </c>
      <c r="L73" s="356">
        <f t="shared" si="315"/>
      </c>
      <c r="M73" s="357">
        <f t="shared" si="8"/>
      </c>
      <c r="N73" s="357">
        <f t="shared" si="74"/>
      </c>
      <c r="O73" s="356">
        <f t="shared" si="104"/>
      </c>
      <c r="P73" s="357">
        <f t="shared" si="40"/>
      </c>
      <c r="Q73" s="358"/>
      <c r="R73" s="359"/>
      <c r="S73" s="354">
        <f>S72+S70+S65</f>
      </c>
      <c r="T73" s="354">
        <f>T72+T70+T65</f>
      </c>
      <c r="U73" s="354">
        <f>U72+U70+U65</f>
      </c>
      <c r="V73" s="354">
        <f>V72+V70+V65</f>
      </c>
      <c r="W73" s="354">
        <f>W72+W70+W65</f>
      </c>
      <c r="X73" s="354">
        <f>X72+X70+X65</f>
      </c>
      <c r="Y73" s="354">
        <f>Y72+Y70+Y65</f>
      </c>
    </row>
    <row r="74">
      <c r="A74" s="311" t="s">
        <v>195</v>
      </c>
      <c r="B74" s="311"/>
      <c r="C74" s="311"/>
      <c r="D74" s="312" t="s">
        <v>196</v>
      </c>
      <c r="E74" s="312"/>
      <c r="F74" s="312"/>
      <c r="G74" s="312"/>
      <c r="H74" s="312"/>
      <c r="I74" s="312"/>
      <c r="J74" s="312"/>
      <c r="K74" s="312"/>
      <c r="L74" s="312"/>
      <c r="M74" s="313" t="s">
        <v>197</v>
      </c>
      <c r="N74" s="313"/>
      <c r="O74" s="313"/>
      <c r="P74" s="313"/>
      <c r="Q74" s="313"/>
      <c r="R74" s="313"/>
      <c r="S74" s="314" t="s">
        <v>198</v>
      </c>
      <c r="T74" s="314"/>
      <c r="U74" s="314"/>
      <c r="V74" s="314"/>
      <c r="W74" s="314"/>
      <c r="X74" s="314"/>
      <c r="Y74" s="314"/>
    </row>
    <row r="75">
      <c r="A75" s="315" t="s">
        <v>199</v>
      </c>
      <c r="B75" s="311" t="s">
        <v>200</v>
      </c>
      <c r="C75" s="311" t="s">
        <v>201</v>
      </c>
      <c r="D75" s="312" t="s">
        <v>202</v>
      </c>
      <c r="E75" s="316" t="s">
        <v>203</v>
      </c>
      <c r="F75" s="312" t="s">
        <v>204</v>
      </c>
      <c r="G75" s="312"/>
      <c r="H75" s="317" t="s">
        <v>205</v>
      </c>
      <c r="I75" s="312" t="s">
        <v>206</v>
      </c>
      <c r="J75" s="318" t="s">
        <v>207</v>
      </c>
      <c r="K75" s="319" t="s">
        <v>208</v>
      </c>
      <c r="L75" s="312" t="s">
        <v>209</v>
      </c>
      <c r="M75" s="313" t="s">
        <v>210</v>
      </c>
      <c r="N75" s="313" t="s">
        <v>211</v>
      </c>
      <c r="O75" s="313" t="s">
        <v>212</v>
      </c>
      <c r="P75" s="320" t="s">
        <v>213</v>
      </c>
      <c r="Q75" s="321" t="s">
        <v>214</v>
      </c>
      <c r="R75" s="321" t="s">
        <v>215</v>
      </c>
      <c r="S75" s="322" t="s">
        <v>216</v>
      </c>
      <c r="T75" s="322" t="s">
        <v>217</v>
      </c>
      <c r="U75" s="323" t="s">
        <v>218</v>
      </c>
      <c r="V75" s="323" t="s">
        <v>219</v>
      </c>
      <c r="W75" s="323" t="s">
        <v>220</v>
      </c>
      <c r="X75" s="322" t="s">
        <v>221</v>
      </c>
      <c r="Y75" s="322" t="s">
        <v>222</v>
      </c>
    </row>
    <row r="76">
      <c r="A76" s="324" t="s">
        <v>252</v>
      </c>
      <c r="B76" s="325" t="s">
        <v>224</v>
      </c>
      <c r="C76" s="326" t="s">
        <v>225</v>
      </c>
      <c r="D76" s="326">
        <f t="shared" ref="D76:D79" si="143">E76+G76+F76</f>
      </c>
      <c r="E76" s="327">
        <v>371.43</v>
      </c>
      <c r="F76" s="327">
        <v>236.25</v>
      </c>
      <c r="G76" s="327">
        <v>644.74</v>
      </c>
      <c r="H76" s="328">
        <v>6</v>
      </c>
      <c r="I76" s="326">
        <v>1752.96</v>
      </c>
      <c r="J76" s="329">
        <f t="shared" ref="J76:J86" si="243">I76/D76</f>
      </c>
      <c r="K76" s="330">
        <f t="shared" ref="K76:K86" si="281">D76/H76</f>
      </c>
      <c r="L76" s="329">
        <f t="shared" ref="L76:L86" si="316">I76/H76</f>
      </c>
      <c r="M76" s="331">
        <f t="shared" ref="M76:M86" si="9">T76/S76</f>
      </c>
      <c r="N76" s="332">
        <f t="shared" ref="N76:N86" si="75">H76/X76</f>
      </c>
      <c r="O76" s="333">
        <f t="shared" ref="O76:O86" si="105">(Y76*1000)/D76</f>
      </c>
      <c r="P76" s="332">
        <f t="shared" ref="P76:P86" si="41">W76/V76</f>
      </c>
      <c r="Q76" s="334" t="s">
        <v>226</v>
      </c>
      <c r="R76" s="335" t="s">
        <v>227</v>
      </c>
      <c r="S76" s="336">
        <v>17228</v>
      </c>
      <c r="T76" s="336">
        <v>1515</v>
      </c>
      <c r="U76" s="337">
        <v>83</v>
      </c>
      <c r="V76" s="337">
        <v>1855</v>
      </c>
      <c r="W76" s="337">
        <v>158</v>
      </c>
      <c r="X76" s="337">
        <v>12</v>
      </c>
      <c r="Y76" s="337">
        <v>29</v>
      </c>
    </row>
    <row r="77">
      <c r="A77" s="324"/>
      <c r="B77" s="325" t="s">
        <v>224</v>
      </c>
      <c r="C77" s="326" t="s">
        <v>228</v>
      </c>
      <c r="D77" s="326">
        <f t="shared" si="143"/>
      </c>
      <c r="E77" s="327">
        <v>516.8</v>
      </c>
      <c r="F77" s="327">
        <v>130.98</v>
      </c>
      <c r="G77" s="327">
        <v>954.16</v>
      </c>
      <c r="H77" s="338">
        <v>7</v>
      </c>
      <c r="I77" s="326">
        <v>6477.839999999999</v>
      </c>
      <c r="J77" s="329">
        <f t="shared" si="243"/>
      </c>
      <c r="K77" s="329">
        <f t="shared" si="281"/>
      </c>
      <c r="L77" s="330">
        <f t="shared" si="316"/>
      </c>
      <c r="M77" s="331">
        <f t="shared" si="9"/>
      </c>
      <c r="N77" s="332">
        <f t="shared" si="75"/>
      </c>
      <c r="O77" s="333">
        <f t="shared" si="105"/>
      </c>
      <c r="P77" s="332">
        <f t="shared" si="41"/>
      </c>
      <c r="Q77" s="334" t="s">
        <v>226</v>
      </c>
      <c r="R77" s="335" t="s">
        <v>227</v>
      </c>
      <c r="S77" s="336">
        <v>34483</v>
      </c>
      <c r="T77" s="336">
        <v>1368</v>
      </c>
      <c r="U77" s="337">
        <v>81</v>
      </c>
      <c r="V77" s="337">
        <v>1817</v>
      </c>
      <c r="W77" s="337">
        <v>195</v>
      </c>
      <c r="X77" s="337">
        <v>12</v>
      </c>
      <c r="Y77" s="337">
        <v>29</v>
      </c>
    </row>
    <row r="78">
      <c r="A78" s="324"/>
      <c r="B78" s="325" t="s">
        <v>224</v>
      </c>
      <c r="C78" s="326" t="s">
        <v>229</v>
      </c>
      <c r="D78" s="326">
        <f t="shared" si="143"/>
      </c>
      <c r="E78" s="327">
        <v>227.65</v>
      </c>
      <c r="F78" s="327">
        <v>47.31</v>
      </c>
      <c r="G78" s="327">
        <v>653.02</v>
      </c>
      <c r="H78" s="338">
        <v>0</v>
      </c>
      <c r="I78" s="326">
        <v>0</v>
      </c>
      <c r="J78" s="329">
        <f t="shared" si="243"/>
      </c>
      <c r="K78" s="329">
        <f t="shared" si="281"/>
      </c>
      <c r="L78" s="329">
        <f t="shared" si="316"/>
      </c>
      <c r="M78" s="331">
        <f t="shared" si="9"/>
      </c>
      <c r="N78" s="332">
        <f t="shared" si="75"/>
      </c>
      <c r="O78" s="333">
        <f t="shared" si="105"/>
      </c>
      <c r="P78" s="332">
        <f t="shared" si="41"/>
      </c>
      <c r="Q78" s="334" t="s">
        <v>226</v>
      </c>
      <c r="R78" s="335" t="s">
        <v>227</v>
      </c>
      <c r="S78" s="336">
        <v>24571</v>
      </c>
      <c r="T78" s="336">
        <v>944</v>
      </c>
      <c r="U78" s="337">
        <v>42</v>
      </c>
      <c r="V78" s="337">
        <v>1196</v>
      </c>
      <c r="W78" s="337">
        <v>143</v>
      </c>
      <c r="X78" s="337">
        <v>1</v>
      </c>
      <c r="Y78" s="337">
        <v>19</v>
      </c>
    </row>
    <row r="79">
      <c r="A79" s="324"/>
      <c r="B79" s="325" t="s">
        <v>224</v>
      </c>
      <c r="C79" s="326" t="s">
        <v>230</v>
      </c>
      <c r="D79" s="326">
        <f t="shared" si="143"/>
      </c>
      <c r="E79" s="327">
        <v>239.37</v>
      </c>
      <c r="F79" s="327">
        <v>37.48</v>
      </c>
      <c r="G79" s="327">
        <v>631.34</v>
      </c>
      <c r="H79" s="338">
        <v>1</v>
      </c>
      <c r="I79" s="326">
        <v>677.7600000000002</v>
      </c>
      <c r="J79" s="329">
        <f t="shared" si="243"/>
      </c>
      <c r="K79" s="329">
        <f t="shared" si="281"/>
      </c>
      <c r="L79" s="329">
        <f t="shared" si="316"/>
      </c>
      <c r="M79" s="331">
        <f t="shared" si="9"/>
      </c>
      <c r="N79" s="332">
        <f t="shared" si="75"/>
      </c>
      <c r="O79" s="333">
        <f t="shared" si="105"/>
      </c>
      <c r="P79" s="332">
        <f t="shared" si="41"/>
      </c>
      <c r="Q79" s="334" t="s">
        <v>226</v>
      </c>
      <c r="R79" s="335" t="s">
        <v>227</v>
      </c>
      <c r="S79" s="336">
        <v>21530</v>
      </c>
      <c r="T79" s="336">
        <v>848</v>
      </c>
      <c r="U79" s="337">
        <v>37</v>
      </c>
      <c r="V79" s="337">
        <v>1060</v>
      </c>
      <c r="W79" s="337">
        <v>87</v>
      </c>
      <c r="X79" s="337">
        <v>2</v>
      </c>
      <c r="Y79" s="337">
        <v>16</v>
      </c>
    </row>
    <row r="80">
      <c r="A80" s="324"/>
      <c r="B80" s="339" t="s">
        <v>232</v>
      </c>
      <c r="C80" s="339"/>
      <c r="D80" s="340">
        <f>SUM(D76:D79)</f>
      </c>
      <c r="E80" s="340">
        <f>SUM(E76:E79)</f>
      </c>
      <c r="F80" s="340">
        <f>SUM(F76:F79)</f>
      </c>
      <c r="G80" s="340">
        <f>SUM(G76:G79)</f>
      </c>
      <c r="H80" s="341">
        <f>SUM(H76:H79)</f>
      </c>
      <c r="I80" s="340">
        <f>SUM(I76:I79)</f>
      </c>
      <c r="J80" s="342">
        <f t="shared" si="243"/>
      </c>
      <c r="K80" s="343">
        <f t="shared" si="281"/>
      </c>
      <c r="L80" s="344">
        <f t="shared" si="316"/>
      </c>
      <c r="M80" s="345">
        <f t="shared" si="9"/>
      </c>
      <c r="N80" s="345">
        <f t="shared" si="75"/>
      </c>
      <c r="O80" s="346">
        <f t="shared" si="105"/>
      </c>
      <c r="P80" s="345">
        <f t="shared" si="41"/>
      </c>
      <c r="Q80" s="346"/>
      <c r="R80" s="346"/>
      <c r="S80" s="341">
        <f>SUM(S76:S79)</f>
      </c>
      <c r="T80" s="341">
        <f>SUM(T76:T79)</f>
      </c>
      <c r="U80" s="341">
        <f>SUM(U76:U79)</f>
      </c>
      <c r="V80" s="341">
        <f>SUM(V76:V79)</f>
      </c>
      <c r="W80" s="341">
        <f>SUM(W76:W79)</f>
      </c>
      <c r="X80" s="341">
        <f>SUM(X76:X79)</f>
      </c>
      <c r="Y80" s="341">
        <f>SUM(Y76:Y79)</f>
      </c>
    </row>
    <row r="81">
      <c r="A81" s="324"/>
      <c r="B81" s="325" t="s">
        <v>253</v>
      </c>
      <c r="C81" s="327" t="s">
        <v>231</v>
      </c>
      <c r="D81" s="326">
        <f t="shared" ref="D81:D84" si="144">E81+G81+F81</f>
      </c>
      <c r="E81" s="327">
        <v>335.63</v>
      </c>
      <c r="F81" s="327">
        <v>3.92</v>
      </c>
      <c r="G81" s="327">
        <v>233.54</v>
      </c>
      <c r="H81" s="338">
        <v>0</v>
      </c>
      <c r="I81" s="326">
        <v>0</v>
      </c>
      <c r="J81" s="329">
        <f t="shared" si="243"/>
      </c>
      <c r="K81" s="329">
        <f t="shared" si="281"/>
      </c>
      <c r="L81" s="329">
        <f t="shared" si="316"/>
      </c>
      <c r="M81" s="331">
        <f t="shared" si="9"/>
      </c>
      <c r="N81" s="332">
        <f t="shared" si="75"/>
      </c>
      <c r="O81" s="333">
        <f t="shared" si="105"/>
      </c>
      <c r="P81" s="332">
        <f t="shared" si="41"/>
      </c>
      <c r="Q81" s="334" t="s">
        <v>226</v>
      </c>
      <c r="R81" s="335" t="s">
        <v>227</v>
      </c>
      <c r="S81" s="347">
        <v>11441</v>
      </c>
      <c r="T81" s="347">
        <v>531</v>
      </c>
      <c r="U81" s="348">
        <v>26</v>
      </c>
      <c r="V81" s="348">
        <v>772</v>
      </c>
      <c r="W81" s="348">
        <v>105</v>
      </c>
      <c r="X81" s="348">
        <v>1</v>
      </c>
      <c r="Y81" s="348">
        <v>4</v>
      </c>
    </row>
    <row r="82">
      <c r="A82" s="324"/>
      <c r="B82" s="325" t="s">
        <v>253</v>
      </c>
      <c r="C82" s="326" t="s">
        <v>234</v>
      </c>
      <c r="D82" s="326">
        <f t="shared" si="144"/>
      </c>
      <c r="E82" s="349">
        <v>462.69</v>
      </c>
      <c r="F82" s="326">
        <v>0</v>
      </c>
      <c r="G82" s="326">
        <v>228.71</v>
      </c>
      <c r="H82" s="328">
        <v>3</v>
      </c>
      <c r="I82" s="327">
        <v>625.460000000001</v>
      </c>
      <c r="J82" s="329">
        <f t="shared" si="243"/>
      </c>
      <c r="K82" s="329">
        <f t="shared" si="281"/>
      </c>
      <c r="L82" s="329">
        <f t="shared" si="316"/>
      </c>
      <c r="M82" s="331">
        <f t="shared" si="9"/>
      </c>
      <c r="N82" s="332">
        <f t="shared" si="75"/>
      </c>
      <c r="O82" s="333">
        <f t="shared" si="105"/>
      </c>
      <c r="P82" s="332">
        <f t="shared" si="41"/>
      </c>
      <c r="Q82" s="334" t="s">
        <v>226</v>
      </c>
      <c r="R82" s="335" t="s">
        <v>227</v>
      </c>
      <c r="S82" s="347">
        <v>11134</v>
      </c>
      <c r="T82" s="347">
        <v>615</v>
      </c>
      <c r="U82" s="348">
        <v>30</v>
      </c>
      <c r="V82" s="348">
        <v>959</v>
      </c>
      <c r="W82" s="348">
        <v>126</v>
      </c>
      <c r="X82" s="348">
        <v>4</v>
      </c>
      <c r="Y82" s="348">
        <v>15</v>
      </c>
    </row>
    <row r="83">
      <c r="A83" s="324"/>
      <c r="B83" s="325" t="s">
        <v>253</v>
      </c>
      <c r="C83" s="326" t="s">
        <v>235</v>
      </c>
      <c r="D83" s="326">
        <f t="shared" si="144"/>
      </c>
      <c r="E83" s="327">
        <v>307.87</v>
      </c>
      <c r="F83" s="327">
        <v>0</v>
      </c>
      <c r="G83" s="327">
        <v>271.17</v>
      </c>
      <c r="H83" s="338">
        <v>3</v>
      </c>
      <c r="I83" s="326">
        <v>1994.1599999999999</v>
      </c>
      <c r="J83" s="329">
        <f t="shared" si="243"/>
      </c>
      <c r="K83" s="329">
        <f t="shared" si="281"/>
      </c>
      <c r="L83" s="329">
        <f t="shared" si="316"/>
      </c>
      <c r="M83" s="331">
        <f t="shared" si="9"/>
      </c>
      <c r="N83" s="332">
        <f t="shared" si="75"/>
      </c>
      <c r="O83" s="333">
        <f t="shared" si="105"/>
      </c>
      <c r="P83" s="332">
        <f t="shared" si="41"/>
      </c>
      <c r="Q83" s="334" t="s">
        <v>226</v>
      </c>
      <c r="R83" s="335" t="s">
        <v>227</v>
      </c>
      <c r="S83" s="347">
        <v>4931</v>
      </c>
      <c r="T83" s="347">
        <v>367</v>
      </c>
      <c r="U83" s="348">
        <v>20</v>
      </c>
      <c r="V83" s="348">
        <v>534</v>
      </c>
      <c r="W83" s="348">
        <v>52</v>
      </c>
      <c r="X83" s="348">
        <v>3</v>
      </c>
      <c r="Y83" s="348">
        <v>17</v>
      </c>
    </row>
    <row r="84">
      <c r="A84" s="324"/>
      <c r="B84" s="325" t="s">
        <v>253</v>
      </c>
      <c r="C84" s="327" t="s">
        <v>236</v>
      </c>
      <c r="D84" s="326">
        <f t="shared" si="144"/>
      </c>
      <c r="E84" s="327">
        <v>409.28999999999996</v>
      </c>
      <c r="F84" s="327">
        <v>0</v>
      </c>
      <c r="G84" s="327">
        <v>462.79</v>
      </c>
      <c r="H84" s="338">
        <v>6</v>
      </c>
      <c r="I84" s="326">
        <v>3102</v>
      </c>
      <c r="J84" s="329">
        <f t="shared" si="243"/>
      </c>
      <c r="K84" s="329">
        <f t="shared" si="281"/>
      </c>
      <c r="L84" s="329">
        <f t="shared" si="316"/>
      </c>
      <c r="M84" s="331">
        <f t="shared" si="9"/>
      </c>
      <c r="N84" s="332">
        <f t="shared" si="75"/>
      </c>
      <c r="O84" s="333">
        <f t="shared" si="105"/>
      </c>
      <c r="P84" s="332">
        <f t="shared" si="41"/>
      </c>
      <c r="Q84" s="334" t="s">
        <v>226</v>
      </c>
      <c r="R84" s="335" t="s">
        <v>227</v>
      </c>
      <c r="S84" s="347">
        <v>11093</v>
      </c>
      <c r="T84" s="347">
        <v>847</v>
      </c>
      <c r="U84" s="348">
        <v>43</v>
      </c>
      <c r="V84" s="348">
        <v>997</v>
      </c>
      <c r="W84" s="348">
        <v>77</v>
      </c>
      <c r="X84" s="348">
        <v>7</v>
      </c>
      <c r="Y84" s="348">
        <v>18</v>
      </c>
    </row>
    <row r="85">
      <c r="A85" s="324"/>
      <c r="B85" s="339" t="s">
        <v>232</v>
      </c>
      <c r="C85" s="339"/>
      <c r="D85" s="340">
        <f>SUM(D81:D84)</f>
      </c>
      <c r="E85" s="340">
        <f>SUM(E81:E84)</f>
      </c>
      <c r="F85" s="340">
        <f>SUM(F81:F84)</f>
      </c>
      <c r="G85" s="340">
        <f>SUM(G81:G84)</f>
      </c>
      <c r="H85" s="341">
        <f>SUM(H81:H84)</f>
      </c>
      <c r="I85" s="340">
        <f>SUM(I81:I84)</f>
      </c>
      <c r="J85" s="342">
        <f t="shared" si="243"/>
      </c>
      <c r="K85" s="343">
        <f t="shared" si="281"/>
      </c>
      <c r="L85" s="344">
        <f t="shared" si="316"/>
      </c>
      <c r="M85" s="345">
        <f t="shared" si="9"/>
      </c>
      <c r="N85" s="345">
        <f t="shared" si="75"/>
      </c>
      <c r="O85" s="346">
        <f t="shared" si="105"/>
      </c>
      <c r="P85" s="345">
        <f t="shared" si="41"/>
      </c>
      <c r="Q85" s="346"/>
      <c r="R85" s="346"/>
      <c r="S85" s="341">
        <f>SUM(S81:S84)</f>
      </c>
      <c r="T85" s="341">
        <f>SUM(T81:T84)</f>
      </c>
      <c r="U85" s="341">
        <f>SUM(U81:U84)</f>
      </c>
      <c r="V85" s="341">
        <f>SUM(V81:V84)</f>
      </c>
      <c r="W85" s="341">
        <f>SUM(W81:W84)</f>
      </c>
      <c r="X85" s="341">
        <f>SUM(X81:X84)</f>
      </c>
      <c r="Y85" s="341">
        <f>SUM(Y81:Y84)</f>
      </c>
    </row>
    <row r="86">
      <c r="A86" s="324"/>
      <c r="B86" s="353" t="s">
        <v>246</v>
      </c>
      <c r="C86" s="353"/>
      <c r="D86" s="354">
        <f>D85+D80</f>
      </c>
      <c r="E86" s="354">
        <f>E85+E80</f>
      </c>
      <c r="F86" s="354">
        <f>F85+F80</f>
      </c>
      <c r="G86" s="354">
        <f>G85+G80</f>
      </c>
      <c r="H86" s="354">
        <f>H85+H80</f>
      </c>
      <c r="I86" s="354">
        <f>I85+I80</f>
      </c>
      <c r="J86" s="356">
        <f t="shared" si="243"/>
      </c>
      <c r="K86" s="356">
        <f t="shared" si="281"/>
      </c>
      <c r="L86" s="356">
        <f t="shared" si="316"/>
      </c>
      <c r="M86" s="357">
        <f t="shared" si="9"/>
      </c>
      <c r="N86" s="357">
        <f t="shared" si="75"/>
      </c>
      <c r="O86" s="356">
        <f t="shared" si="105"/>
      </c>
      <c r="P86" s="357">
        <f t="shared" si="41"/>
      </c>
      <c r="Q86" s="358"/>
      <c r="R86" s="359"/>
      <c r="S86" s="354">
        <f>S85+S80</f>
      </c>
      <c r="T86" s="354">
        <f>T85+T80</f>
      </c>
      <c r="U86" s="354">
        <f>U85+U80</f>
      </c>
      <c r="V86" s="354">
        <f>V85+V80</f>
      </c>
      <c r="W86" s="354">
        <f>W85+W80</f>
      </c>
      <c r="X86" s="354">
        <f>X85+X80</f>
      </c>
      <c r="Y86" s="354">
        <f>Y85+Y80</f>
      </c>
    </row>
    <row r="87">
      <c r="A87" s="311" t="s">
        <v>195</v>
      </c>
      <c r="B87" s="311"/>
      <c r="C87" s="311"/>
      <c r="D87" s="312" t="s">
        <v>196</v>
      </c>
      <c r="E87" s="312"/>
      <c r="F87" s="312"/>
      <c r="G87" s="312"/>
      <c r="H87" s="312"/>
      <c r="I87" s="312"/>
      <c r="J87" s="312"/>
      <c r="K87" s="312"/>
      <c r="L87" s="312"/>
      <c r="M87" s="313" t="s">
        <v>197</v>
      </c>
      <c r="N87" s="313"/>
      <c r="O87" s="313"/>
      <c r="P87" s="313"/>
      <c r="Q87" s="313"/>
      <c r="R87" s="313"/>
      <c r="S87" s="314" t="s">
        <v>198</v>
      </c>
      <c r="T87" s="314"/>
      <c r="U87" s="314"/>
      <c r="V87" s="314"/>
      <c r="W87" s="314"/>
      <c r="X87" s="314"/>
      <c r="Y87" s="314"/>
    </row>
    <row r="88">
      <c r="A88" s="315" t="s">
        <v>199</v>
      </c>
      <c r="B88" s="311" t="s">
        <v>200</v>
      </c>
      <c r="C88" s="311" t="s">
        <v>201</v>
      </c>
      <c r="D88" s="312" t="s">
        <v>202</v>
      </c>
      <c r="E88" s="316" t="s">
        <v>203</v>
      </c>
      <c r="F88" s="312" t="s">
        <v>204</v>
      </c>
      <c r="G88" s="312"/>
      <c r="H88" s="317" t="s">
        <v>205</v>
      </c>
      <c r="I88" s="312" t="s">
        <v>206</v>
      </c>
      <c r="J88" s="318" t="s">
        <v>207</v>
      </c>
      <c r="K88" s="319" t="s">
        <v>208</v>
      </c>
      <c r="L88" s="312" t="s">
        <v>209</v>
      </c>
      <c r="M88" s="313" t="s">
        <v>210</v>
      </c>
      <c r="N88" s="313" t="s">
        <v>211</v>
      </c>
      <c r="O88" s="313" t="s">
        <v>212</v>
      </c>
      <c r="P88" s="320" t="s">
        <v>213</v>
      </c>
      <c r="Q88" s="321" t="s">
        <v>214</v>
      </c>
      <c r="R88" s="321" t="s">
        <v>215</v>
      </c>
      <c r="S88" s="322" t="s">
        <v>216</v>
      </c>
      <c r="T88" s="322" t="s">
        <v>217</v>
      </c>
      <c r="U88" s="323" t="s">
        <v>218</v>
      </c>
      <c r="V88" s="323" t="s">
        <v>219</v>
      </c>
      <c r="W88" s="323" t="s">
        <v>220</v>
      </c>
      <c r="X88" s="322" t="s">
        <v>221</v>
      </c>
      <c r="Y88" s="322" t="s">
        <v>222</v>
      </c>
    </row>
    <row r="89">
      <c r="A89" s="324" t="s">
        <v>254</v>
      </c>
      <c r="B89" s="325" t="s">
        <v>224</v>
      </c>
      <c r="C89" s="326" t="s">
        <v>225</v>
      </c>
      <c r="D89" s="326">
        <f t="shared" ref="D89:D92" si="145">E89+G89+F89</f>
      </c>
      <c r="E89" s="327">
        <v>342.69</v>
      </c>
      <c r="F89" s="327">
        <v>3187.18</v>
      </c>
      <c r="G89" s="327"/>
      <c r="H89" s="328">
        <v>12</v>
      </c>
      <c r="I89" s="326">
        <v>4372.58</v>
      </c>
      <c r="J89" s="329">
        <f t="shared" ref="J89:J101" si="244">I89/D89</f>
      </c>
      <c r="K89" s="330">
        <f t="shared" ref="K89:K101" si="282">D89/H89</f>
      </c>
      <c r="L89" s="329">
        <f t="shared" ref="L89:L101" si="317">I89/H89</f>
      </c>
      <c r="M89" s="331">
        <f t="shared" ref="M89:M101" si="10">T89/S89</f>
      </c>
      <c r="N89" s="332">
        <f t="shared" ref="N89:N101" si="76">H89/X89</f>
      </c>
      <c r="O89" s="333">
        <f t="shared" ref="O89:O101" si="106">(Y89*1000)/D89</f>
      </c>
      <c r="P89" s="332">
        <f t="shared" ref="P89:P101" si="42">W89/V89</f>
      </c>
      <c r="Q89" s="334" t="s">
        <v>255</v>
      </c>
      <c r="R89" s="335" t="s">
        <v>227</v>
      </c>
      <c r="S89" s="336">
        <v>75658</v>
      </c>
      <c r="T89" s="336">
        <v>2218</v>
      </c>
      <c r="U89" s="337">
        <v>205</v>
      </c>
      <c r="V89" s="337">
        <v>2590</v>
      </c>
      <c r="W89" s="337">
        <v>291</v>
      </c>
      <c r="X89" s="337">
        <v>23</v>
      </c>
      <c r="Y89" s="337">
        <v>63</v>
      </c>
    </row>
    <row r="90">
      <c r="A90" s="324"/>
      <c r="B90" s="325" t="s">
        <v>224</v>
      </c>
      <c r="C90" s="326" t="s">
        <v>228</v>
      </c>
      <c r="D90" s="326">
        <f t="shared" si="145"/>
      </c>
      <c r="E90" s="327">
        <v>875.29</v>
      </c>
      <c r="F90" s="327">
        <v>9278.67</v>
      </c>
      <c r="G90" s="327"/>
      <c r="H90" s="338">
        <v>34</v>
      </c>
      <c r="I90" s="326">
        <v>16901.800000000003</v>
      </c>
      <c r="J90" s="329">
        <f t="shared" si="244"/>
      </c>
      <c r="K90" s="329">
        <f t="shared" si="282"/>
      </c>
      <c r="L90" s="330">
        <f t="shared" si="317"/>
      </c>
      <c r="M90" s="331">
        <f t="shared" si="10"/>
      </c>
      <c r="N90" s="332">
        <f t="shared" si="76"/>
      </c>
      <c r="O90" s="333">
        <f t="shared" si="106"/>
      </c>
      <c r="P90" s="332">
        <f t="shared" si="42"/>
      </c>
      <c r="Q90" s="334" t="s">
        <v>255</v>
      </c>
      <c r="R90" s="335" t="s">
        <v>227</v>
      </c>
      <c r="S90" s="336">
        <v>291633</v>
      </c>
      <c r="T90" s="336">
        <v>4800</v>
      </c>
      <c r="U90" s="337">
        <v>565</v>
      </c>
      <c r="V90" s="337">
        <v>5625</v>
      </c>
      <c r="W90" s="337">
        <v>707</v>
      </c>
      <c r="X90" s="337">
        <v>65</v>
      </c>
      <c r="Y90" s="337">
        <v>112</v>
      </c>
    </row>
    <row r="91">
      <c r="A91" s="324"/>
      <c r="B91" s="325" t="s">
        <v>224</v>
      </c>
      <c r="C91" s="326" t="s">
        <v>229</v>
      </c>
      <c r="D91" s="326">
        <f t="shared" si="145"/>
      </c>
      <c r="E91" s="327">
        <v>435.36</v>
      </c>
      <c r="F91" s="327">
        <v>6497.01</v>
      </c>
      <c r="G91" s="327"/>
      <c r="H91" s="338">
        <v>29</v>
      </c>
      <c r="I91" s="326">
        <v>15024.399999999994</v>
      </c>
      <c r="J91" s="329">
        <f t="shared" si="244"/>
      </c>
      <c r="K91" s="329">
        <f t="shared" si="282"/>
      </c>
      <c r="L91" s="329">
        <f t="shared" si="317"/>
      </c>
      <c r="M91" s="331">
        <f t="shared" si="10"/>
      </c>
      <c r="N91" s="332">
        <f t="shared" si="76"/>
      </c>
      <c r="O91" s="333">
        <f t="shared" si="106"/>
      </c>
      <c r="P91" s="332">
        <f t="shared" si="42"/>
      </c>
      <c r="Q91" s="334" t="s">
        <v>255</v>
      </c>
      <c r="R91" s="335" t="s">
        <v>227</v>
      </c>
      <c r="S91" s="336">
        <v>236342</v>
      </c>
      <c r="T91" s="336">
        <v>3251</v>
      </c>
      <c r="U91" s="337">
        <v>408</v>
      </c>
      <c r="V91" s="337">
        <v>3711</v>
      </c>
      <c r="W91" s="337">
        <v>496</v>
      </c>
      <c r="X91" s="337">
        <v>62</v>
      </c>
      <c r="Y91" s="337">
        <v>95</v>
      </c>
    </row>
    <row r="92">
      <c r="A92" s="324"/>
      <c r="B92" s="325" t="s">
        <v>224</v>
      </c>
      <c r="C92" s="326" t="s">
        <v>230</v>
      </c>
      <c r="D92" s="326">
        <f t="shared" si="145"/>
      </c>
      <c r="E92" s="327">
        <v>2116.19</v>
      </c>
      <c r="F92" s="327">
        <v>6766.04</v>
      </c>
      <c r="G92" s="327"/>
      <c r="H92" s="338">
        <v>21</v>
      </c>
      <c r="I92" s="326">
        <v>12270.400000000001</v>
      </c>
      <c r="J92" s="329">
        <f t="shared" si="244"/>
      </c>
      <c r="K92" s="329">
        <f t="shared" si="282"/>
      </c>
      <c r="L92" s="329">
        <f t="shared" si="317"/>
      </c>
      <c r="M92" s="331">
        <f t="shared" si="10"/>
      </c>
      <c r="N92" s="332">
        <f t="shared" si="76"/>
      </c>
      <c r="O92" s="333">
        <f t="shared" si="106"/>
      </c>
      <c r="P92" s="332">
        <f t="shared" si="42"/>
      </c>
      <c r="Q92" s="334" t="s">
        <v>255</v>
      </c>
      <c r="R92" s="335" t="s">
        <v>227</v>
      </c>
      <c r="S92" s="336">
        <v>195040</v>
      </c>
      <c r="T92" s="336">
        <v>4201</v>
      </c>
      <c r="U92" s="337">
        <v>374</v>
      </c>
      <c r="V92" s="337">
        <v>6389</v>
      </c>
      <c r="W92" s="337">
        <v>888</v>
      </c>
      <c r="X92" s="337">
        <v>40</v>
      </c>
      <c r="Y92" s="337">
        <v>94</v>
      </c>
    </row>
    <row r="93">
      <c r="A93" s="324"/>
      <c r="B93" s="339" t="s">
        <v>232</v>
      </c>
      <c r="C93" s="339"/>
      <c r="D93" s="340">
        <f>SUM(D89:D92)</f>
      </c>
      <c r="E93" s="340">
        <f>SUM(E89:E92)</f>
      </c>
      <c r="F93" s="340">
        <f>F89+F90+F91+F92+F92</f>
      </c>
      <c r="G93" s="340"/>
      <c r="H93" s="341">
        <f>SUM(H89:H92)</f>
      </c>
      <c r="I93" s="340">
        <f>SUM(I89:I92)</f>
      </c>
      <c r="J93" s="342">
        <f t="shared" si="244"/>
      </c>
      <c r="K93" s="343">
        <f t="shared" si="282"/>
      </c>
      <c r="L93" s="344">
        <f t="shared" si="317"/>
      </c>
      <c r="M93" s="345">
        <f t="shared" si="10"/>
      </c>
      <c r="N93" s="345">
        <f t="shared" si="76"/>
      </c>
      <c r="O93" s="346">
        <f t="shared" si="106"/>
      </c>
      <c r="P93" s="345">
        <f t="shared" si="42"/>
      </c>
      <c r="Q93" s="346"/>
      <c r="R93" s="346"/>
      <c r="S93" s="341">
        <f>SUM(S89:S92)</f>
      </c>
      <c r="T93" s="341">
        <f>SUM(T89:T92)</f>
      </c>
      <c r="U93" s="341">
        <f>SUM(U89:U92)</f>
      </c>
      <c r="V93" s="341">
        <f>SUM(V89:V92)</f>
      </c>
      <c r="W93" s="341">
        <f>SUM(W89:W92)</f>
      </c>
      <c r="X93" s="341">
        <f>SUM(X89:X92)</f>
      </c>
      <c r="Y93" s="341">
        <f>SUM(Y89:Y92)</f>
      </c>
    </row>
    <row r="94">
      <c r="A94" s="324"/>
      <c r="B94" s="325" t="s">
        <v>253</v>
      </c>
      <c r="C94" s="327" t="s">
        <v>231</v>
      </c>
      <c r="D94" s="326">
        <f t="shared" ref="D94:D97" si="146">E94+G94+F94</f>
      </c>
      <c r="E94" s="327">
        <v>491.68</v>
      </c>
      <c r="F94" s="327">
        <v>7838.7</v>
      </c>
      <c r="G94" s="327"/>
      <c r="H94" s="338">
        <v>25</v>
      </c>
      <c r="I94" s="326">
        <v>19046.769999999997</v>
      </c>
      <c r="J94" s="329">
        <f t="shared" si="244"/>
      </c>
      <c r="K94" s="329">
        <f t="shared" si="282"/>
      </c>
      <c r="L94" s="329">
        <f t="shared" si="317"/>
      </c>
      <c r="M94" s="331">
        <f t="shared" si="10"/>
      </c>
      <c r="N94" s="332">
        <f t="shared" si="76"/>
      </c>
      <c r="O94" s="333">
        <f t="shared" si="106"/>
      </c>
      <c r="P94" s="332">
        <f t="shared" si="42"/>
      </c>
      <c r="Q94" s="334" t="s">
        <v>255</v>
      </c>
      <c r="R94" s="335" t="s">
        <v>227</v>
      </c>
      <c r="S94" s="347">
        <v>216803</v>
      </c>
      <c r="T94" s="347">
        <v>2062</v>
      </c>
      <c r="U94" s="348">
        <v>403</v>
      </c>
      <c r="V94" s="348">
        <v>2349</v>
      </c>
      <c r="W94" s="348">
        <v>339</v>
      </c>
      <c r="X94" s="348">
        <v>45</v>
      </c>
      <c r="Y94" s="348">
        <v>89</v>
      </c>
    </row>
    <row r="95">
      <c r="A95" s="324"/>
      <c r="B95" s="325" t="s">
        <v>253</v>
      </c>
      <c r="C95" s="326" t="s">
        <v>234</v>
      </c>
      <c r="D95" s="326">
        <f t="shared" si="146"/>
      </c>
      <c r="E95" s="349">
        <v>309.2</v>
      </c>
      <c r="F95" s="326">
        <v>7402.43</v>
      </c>
      <c r="G95" s="326"/>
      <c r="H95" s="328">
        <v>27</v>
      </c>
      <c r="I95" s="327">
        <v>18817.460000000006</v>
      </c>
      <c r="J95" s="329">
        <f t="shared" si="244"/>
      </c>
      <c r="K95" s="329">
        <f t="shared" si="282"/>
      </c>
      <c r="L95" s="329">
        <f t="shared" si="317"/>
      </c>
      <c r="M95" s="331">
        <f t="shared" si="10"/>
      </c>
      <c r="N95" s="332">
        <f t="shared" si="76"/>
      </c>
      <c r="O95" s="333">
        <f t="shared" si="106"/>
      </c>
      <c r="P95" s="332">
        <f t="shared" si="42"/>
      </c>
      <c r="Q95" s="334" t="s">
        <v>255</v>
      </c>
      <c r="R95" s="335" t="s">
        <v>227</v>
      </c>
      <c r="S95" s="347">
        <v>122651</v>
      </c>
      <c r="T95" s="347">
        <v>2378</v>
      </c>
      <c r="U95" s="348">
        <v>309</v>
      </c>
      <c r="V95" s="348">
        <v>2653</v>
      </c>
      <c r="W95" s="348">
        <v>320</v>
      </c>
      <c r="X95" s="348">
        <v>43</v>
      </c>
      <c r="Y95" s="348">
        <v>59</v>
      </c>
    </row>
    <row r="96">
      <c r="A96" s="324"/>
      <c r="B96" s="325" t="s">
        <v>253</v>
      </c>
      <c r="C96" s="326" t="s">
        <v>235</v>
      </c>
      <c r="D96" s="326">
        <f t="shared" si="146"/>
      </c>
      <c r="E96" s="327">
        <v>315.26</v>
      </c>
      <c r="F96" s="327">
        <v>5570.5</v>
      </c>
      <c r="G96" s="327"/>
      <c r="H96" s="338">
        <v>14</v>
      </c>
      <c r="I96" s="326">
        <v>7554.860000000001</v>
      </c>
      <c r="J96" s="329">
        <f t="shared" si="244"/>
      </c>
      <c r="K96" s="329">
        <f t="shared" si="282"/>
      </c>
      <c r="L96" s="329">
        <f t="shared" si="317"/>
      </c>
      <c r="M96" s="331">
        <f t="shared" si="10"/>
      </c>
      <c r="N96" s="332">
        <f t="shared" si="76"/>
      </c>
      <c r="O96" s="333">
        <f t="shared" si="106"/>
      </c>
      <c r="P96" s="332">
        <f t="shared" si="42"/>
      </c>
      <c r="Q96" s="334" t="s">
        <v>255</v>
      </c>
      <c r="R96" s="335" t="s">
        <v>227</v>
      </c>
      <c r="S96" s="347">
        <v>125174</v>
      </c>
      <c r="T96" s="347">
        <v>2540</v>
      </c>
      <c r="U96" s="348">
        <v>280</v>
      </c>
      <c r="V96" s="348">
        <v>2840</v>
      </c>
      <c r="W96" s="348">
        <v>272</v>
      </c>
      <c r="X96" s="348">
        <v>26</v>
      </c>
      <c r="Y96" s="348">
        <v>55</v>
      </c>
    </row>
    <row r="97">
      <c r="A97" s="324"/>
      <c r="B97" s="325" t="s">
        <v>253</v>
      </c>
      <c r="C97" s="327" t="s">
        <v>236</v>
      </c>
      <c r="D97" s="326">
        <f t="shared" si="146"/>
      </c>
      <c r="E97" s="326">
        <v>281.55</v>
      </c>
      <c r="F97" s="326">
        <v>6114.4800000000005</v>
      </c>
      <c r="G97" s="326"/>
      <c r="H97" s="338">
        <v>16</v>
      </c>
      <c r="I97" s="326">
        <v>10402.319999999992</v>
      </c>
      <c r="J97" s="329">
        <f t="shared" si="244"/>
      </c>
      <c r="K97" s="329">
        <f t="shared" si="282"/>
      </c>
      <c r="L97" s="329">
        <f t="shared" si="317"/>
      </c>
      <c r="M97" s="331">
        <f t="shared" si="10"/>
      </c>
      <c r="N97" s="332">
        <f t="shared" si="76"/>
      </c>
      <c r="O97" s="333">
        <f t="shared" si="106"/>
      </c>
      <c r="P97" s="332">
        <f t="shared" si="42"/>
      </c>
      <c r="Q97" s="334" t="s">
        <v>255</v>
      </c>
      <c r="R97" s="335" t="s">
        <v>227</v>
      </c>
      <c r="S97" s="347">
        <v>142245</v>
      </c>
      <c r="T97" s="347">
        <v>3003</v>
      </c>
      <c r="U97" s="348">
        <v>381</v>
      </c>
      <c r="V97" s="348">
        <v>3365</v>
      </c>
      <c r="W97" s="348">
        <v>386</v>
      </c>
      <c r="X97" s="348">
        <v>45</v>
      </c>
      <c r="Y97" s="348">
        <v>83</v>
      </c>
    </row>
    <row r="98">
      <c r="A98" s="324"/>
      <c r="B98" s="339" t="s">
        <v>232</v>
      </c>
      <c r="C98" s="339"/>
      <c r="D98" s="340">
        <f>SUM(D94:D97)</f>
      </c>
      <c r="E98" s="340">
        <f>SUM(E94:E97)</f>
      </c>
      <c r="F98" s="340">
        <f>F94+F95+F96+F97+F97</f>
      </c>
      <c r="G98" s="340"/>
      <c r="H98" s="341">
        <f>SUM(H94:H97)</f>
      </c>
      <c r="I98" s="340">
        <f>SUM(I94:I97)</f>
      </c>
      <c r="J98" s="342">
        <f t="shared" si="244"/>
      </c>
      <c r="K98" s="343">
        <f t="shared" si="282"/>
      </c>
      <c r="L98" s="344">
        <f t="shared" si="317"/>
      </c>
      <c r="M98" s="345">
        <f t="shared" si="10"/>
      </c>
      <c r="N98" s="345">
        <f t="shared" si="76"/>
      </c>
      <c r="O98" s="346">
        <f t="shared" si="106"/>
      </c>
      <c r="P98" s="345">
        <f t="shared" si="42"/>
      </c>
      <c r="Q98" s="346"/>
      <c r="R98" s="346"/>
      <c r="S98" s="341">
        <f>SUM(S94:S97)</f>
      </c>
      <c r="T98" s="341">
        <f>SUM(T94:T97)</f>
      </c>
      <c r="U98" s="341">
        <f>SUM(U94:U97)</f>
      </c>
      <c r="V98" s="341">
        <f>SUM(V94:V97)</f>
      </c>
      <c r="W98" s="341">
        <f>SUM(W94:W97)</f>
      </c>
      <c r="X98" s="341">
        <f>SUM(X94:X97)</f>
      </c>
      <c r="Y98" s="341">
        <f>SUM(Y94:Y97)</f>
      </c>
    </row>
    <row r="99">
      <c r="A99" s="324"/>
      <c r="B99" s="325" t="s">
        <v>248</v>
      </c>
      <c r="C99" s="326" t="s">
        <v>237</v>
      </c>
      <c r="D99" s="326">
        <f>E99+G99+F99</f>
      </c>
      <c r="E99" s="327">
        <v>167.41</v>
      </c>
      <c r="F99" s="327">
        <v>3303.28</v>
      </c>
      <c r="G99" s="327"/>
      <c r="H99" s="338">
        <v>9</v>
      </c>
      <c r="I99" s="326">
        <v>4187.279999999999</v>
      </c>
      <c r="J99" s="329">
        <f t="shared" si="244"/>
      </c>
      <c r="K99" s="329">
        <f t="shared" si="282"/>
      </c>
      <c r="L99" s="329">
        <f t="shared" si="317"/>
      </c>
      <c r="M99" s="331">
        <f t="shared" si="10"/>
      </c>
      <c r="N99" s="332">
        <f t="shared" si="76"/>
      </c>
      <c r="O99" s="333">
        <f t="shared" si="106"/>
      </c>
      <c r="P99" s="332">
        <f t="shared" si="42"/>
      </c>
      <c r="Q99" s="334" t="s">
        <v>255</v>
      </c>
      <c r="R99" s="335" t="s">
        <v>227</v>
      </c>
      <c r="S99" s="347">
        <v>72513</v>
      </c>
      <c r="T99" s="347">
        <v>2558</v>
      </c>
      <c r="U99" s="348">
        <v>236</v>
      </c>
      <c r="V99" s="348">
        <v>2843</v>
      </c>
      <c r="W99" s="348">
        <v>238</v>
      </c>
      <c r="X99" s="348">
        <v>26</v>
      </c>
      <c r="Y99" s="348">
        <v>53</v>
      </c>
    </row>
    <row r="100">
      <c r="A100" s="324"/>
      <c r="B100" s="339" t="s">
        <v>232</v>
      </c>
      <c r="C100" s="339"/>
      <c r="D100" s="340">
        <f>SUM(D99)</f>
      </c>
      <c r="E100" s="340">
        <f>SUM(E99)</f>
      </c>
      <c r="F100" s="340">
        <f>F99</f>
      </c>
      <c r="G100" s="340"/>
      <c r="H100" s="341">
        <f>SUM(H99)</f>
      </c>
      <c r="I100" s="340">
        <f>SUM(I99)</f>
      </c>
      <c r="J100" s="342">
        <f t="shared" si="244"/>
      </c>
      <c r="K100" s="343">
        <f t="shared" si="282"/>
      </c>
      <c r="L100" s="344">
        <f t="shared" si="317"/>
      </c>
      <c r="M100" s="345">
        <f t="shared" si="10"/>
      </c>
      <c r="N100" s="345">
        <f t="shared" si="76"/>
      </c>
      <c r="O100" s="346">
        <f t="shared" si="106"/>
      </c>
      <c r="P100" s="345">
        <f t="shared" si="42"/>
      </c>
      <c r="Q100" s="346"/>
      <c r="R100" s="346"/>
      <c r="S100" s="341">
        <f>SUM(S99)</f>
      </c>
      <c r="T100" s="341">
        <f>SUM(T99)</f>
      </c>
      <c r="U100" s="341">
        <f>SUM(U99)</f>
      </c>
      <c r="V100" s="341">
        <f>SUM(V99)</f>
      </c>
      <c r="W100" s="341">
        <f>SUM(W99)</f>
      </c>
      <c r="X100" s="341">
        <f>SUM(X99)</f>
      </c>
      <c r="Y100" s="341">
        <f>SUM(Y99)</f>
      </c>
    </row>
    <row r="101">
      <c r="A101" s="324"/>
      <c r="B101" s="353" t="s">
        <v>246</v>
      </c>
      <c r="C101" s="353"/>
      <c r="D101" s="354">
        <f>D100+D98+D93</f>
      </c>
      <c r="E101" s="354">
        <f>E100+E98+E93</f>
      </c>
      <c r="F101" s="354">
        <f>F100+F98+F93</f>
      </c>
      <c r="G101" s="354"/>
      <c r="H101" s="354">
        <f>H100+H98+H93</f>
      </c>
      <c r="I101" s="354">
        <f>I100+I98+I93</f>
      </c>
      <c r="J101" s="356">
        <f t="shared" si="244"/>
      </c>
      <c r="K101" s="356">
        <f t="shared" si="282"/>
      </c>
      <c r="L101" s="356">
        <f t="shared" si="317"/>
      </c>
      <c r="M101" s="357">
        <f t="shared" si="10"/>
      </c>
      <c r="N101" s="357">
        <f t="shared" si="76"/>
      </c>
      <c r="O101" s="356">
        <f t="shared" si="106"/>
      </c>
      <c r="P101" s="357">
        <f t="shared" si="42"/>
      </c>
      <c r="Q101" s="358"/>
      <c r="R101" s="359"/>
      <c r="S101" s="354">
        <f>S100+S98+S93</f>
      </c>
      <c r="T101" s="354">
        <f>T100+T98+T93</f>
      </c>
      <c r="U101" s="354">
        <f>U100+U98+U93</f>
      </c>
      <c r="V101" s="354">
        <f>V100+V98+V93</f>
      </c>
      <c r="W101" s="354">
        <f>W100+W98+W93</f>
      </c>
      <c r="X101" s="354">
        <f>X100+X98+X93</f>
      </c>
      <c r="Y101" s="354">
        <f>Y100+Y98+Y93</f>
      </c>
    </row>
    <row r="102">
      <c r="A102" s="311" t="s">
        <v>195</v>
      </c>
      <c r="B102" s="311"/>
      <c r="C102" s="311"/>
      <c r="D102" s="312" t="s">
        <v>196</v>
      </c>
      <c r="E102" s="312"/>
      <c r="F102" s="312"/>
      <c r="G102" s="312"/>
      <c r="H102" s="312"/>
      <c r="I102" s="312"/>
      <c r="J102" s="312"/>
      <c r="K102" s="312"/>
      <c r="L102" s="312"/>
      <c r="M102" s="313" t="s">
        <v>197</v>
      </c>
      <c r="N102" s="313"/>
      <c r="O102" s="313"/>
      <c r="P102" s="313"/>
      <c r="Q102" s="313"/>
      <c r="R102" s="313"/>
      <c r="S102" s="314" t="s">
        <v>198</v>
      </c>
      <c r="T102" s="314"/>
      <c r="U102" s="314"/>
      <c r="V102" s="314"/>
      <c r="W102" s="314"/>
      <c r="X102" s="314"/>
      <c r="Y102" s="314"/>
    </row>
    <row r="103">
      <c r="A103" s="315" t="s">
        <v>199</v>
      </c>
      <c r="B103" s="311" t="s">
        <v>200</v>
      </c>
      <c r="C103" s="311" t="s">
        <v>201</v>
      </c>
      <c r="D103" s="312" t="s">
        <v>202</v>
      </c>
      <c r="E103" s="316" t="s">
        <v>203</v>
      </c>
      <c r="F103" s="312" t="s">
        <v>204</v>
      </c>
      <c r="G103" s="312"/>
      <c r="H103" s="317" t="s">
        <v>205</v>
      </c>
      <c r="I103" s="312" t="s">
        <v>206</v>
      </c>
      <c r="J103" s="318" t="s">
        <v>207</v>
      </c>
      <c r="K103" s="319" t="s">
        <v>208</v>
      </c>
      <c r="L103" s="312" t="s">
        <v>209</v>
      </c>
      <c r="M103" s="313" t="s">
        <v>210</v>
      </c>
      <c r="N103" s="313" t="s">
        <v>211</v>
      </c>
      <c r="O103" s="313" t="s">
        <v>212</v>
      </c>
      <c r="P103" s="320" t="s">
        <v>213</v>
      </c>
      <c r="Q103" s="321" t="s">
        <v>214</v>
      </c>
      <c r="R103" s="321" t="s">
        <v>215</v>
      </c>
      <c r="S103" s="366" t="s">
        <v>216</v>
      </c>
      <c r="T103" s="366" t="s">
        <v>217</v>
      </c>
      <c r="U103" s="323" t="s">
        <v>218</v>
      </c>
      <c r="V103" s="323" t="s">
        <v>219</v>
      </c>
      <c r="W103" s="323" t="s">
        <v>220</v>
      </c>
      <c r="X103" s="322" t="s">
        <v>221</v>
      </c>
      <c r="Y103" s="322" t="s">
        <v>222</v>
      </c>
    </row>
    <row r="104">
      <c r="A104" s="324" t="s">
        <v>256</v>
      </c>
      <c r="B104" s="325" t="s">
        <v>248</v>
      </c>
      <c r="C104" s="326" t="s">
        <v>225</v>
      </c>
      <c r="D104" s="326">
        <f t="shared" ref="D104:D107" si="147">E104+G104+F104</f>
      </c>
      <c r="E104" s="327">
        <v>436.78</v>
      </c>
      <c r="F104" s="327">
        <v>1966.06</v>
      </c>
      <c r="G104" s="327">
        <v>1478.28</v>
      </c>
      <c r="H104" s="328">
        <v>8</v>
      </c>
      <c r="I104" s="326">
        <v>3601.2</v>
      </c>
      <c r="J104" s="329">
        <f t="shared" ref="J104:J122" si="245">I104/D104</f>
      </c>
      <c r="K104" s="330">
        <f t="shared" ref="K104:K122" si="283">D104/H104</f>
      </c>
      <c r="L104" s="329">
        <f t="shared" ref="L104:L122" si="318">I104/H104</f>
      </c>
      <c r="M104" s="331">
        <f t="shared" ref="M104:M122" si="11">T104/S104</f>
      </c>
      <c r="N104" s="332">
        <f t="shared" ref="N104:N122" si="77">H104/X104</f>
      </c>
      <c r="O104" s="333">
        <f t="shared" ref="O104:O122" si="107">(Y104*1000)/D104</f>
      </c>
      <c r="P104" s="332">
        <f t="shared" ref="P104:P122" si="43">W104/V104</f>
      </c>
      <c r="Q104" s="334" t="s">
        <v>255</v>
      </c>
      <c r="R104" s="367" t="s">
        <v>227</v>
      </c>
      <c r="S104" s="336">
        <v>66808</v>
      </c>
      <c r="T104" s="336">
        <v>3083</v>
      </c>
      <c r="U104" s="368">
        <v>187</v>
      </c>
      <c r="V104" s="337">
        <v>3516</v>
      </c>
      <c r="W104" s="337">
        <v>262</v>
      </c>
      <c r="X104" s="337">
        <v>19</v>
      </c>
      <c r="Y104" s="337">
        <v>48</v>
      </c>
    </row>
    <row r="105">
      <c r="A105" s="324"/>
      <c r="B105" s="325" t="s">
        <v>248</v>
      </c>
      <c r="C105" s="326" t="s">
        <v>228</v>
      </c>
      <c r="D105" s="326">
        <f t="shared" si="147"/>
      </c>
      <c r="E105" s="327">
        <v>651.61</v>
      </c>
      <c r="F105" s="327">
        <v>1742.93</v>
      </c>
      <c r="G105" s="327">
        <v>1533.68</v>
      </c>
      <c r="H105" s="338">
        <v>10</v>
      </c>
      <c r="I105" s="326">
        <v>6174.96</v>
      </c>
      <c r="J105" s="329">
        <f t="shared" si="245"/>
      </c>
      <c r="K105" s="329">
        <f t="shared" si="283"/>
      </c>
      <c r="L105" s="330">
        <f t="shared" si="318"/>
      </c>
      <c r="M105" s="331">
        <f t="shared" si="11"/>
      </c>
      <c r="N105" s="332">
        <f t="shared" si="77"/>
      </c>
      <c r="O105" s="333">
        <f t="shared" si="107"/>
      </c>
      <c r="P105" s="332">
        <f t="shared" si="43"/>
      </c>
      <c r="Q105" s="334" t="s">
        <v>255</v>
      </c>
      <c r="R105" s="335" t="s">
        <v>227</v>
      </c>
      <c r="S105" s="369">
        <v>79165</v>
      </c>
      <c r="T105" s="369">
        <v>3196</v>
      </c>
      <c r="U105" s="337">
        <v>251</v>
      </c>
      <c r="V105" s="337">
        <v>3634</v>
      </c>
      <c r="W105" s="337">
        <v>351</v>
      </c>
      <c r="X105" s="337">
        <v>21</v>
      </c>
      <c r="Y105" s="337">
        <v>55</v>
      </c>
    </row>
    <row r="106">
      <c r="A106" s="324"/>
      <c r="B106" s="325" t="s">
        <v>248</v>
      </c>
      <c r="C106" s="326" t="s">
        <v>229</v>
      </c>
      <c r="D106" s="326">
        <f t="shared" si="147"/>
      </c>
      <c r="E106" s="327">
        <v>881.36</v>
      </c>
      <c r="F106" s="327">
        <v>828.6</v>
      </c>
      <c r="G106" s="327">
        <v>1878.51</v>
      </c>
      <c r="H106" s="338">
        <v>8</v>
      </c>
      <c r="I106" s="326">
        <v>3933.120000000001</v>
      </c>
      <c r="J106" s="329">
        <f t="shared" si="245"/>
      </c>
      <c r="K106" s="329">
        <f t="shared" si="283"/>
      </c>
      <c r="L106" s="329">
        <f t="shared" si="318"/>
      </c>
      <c r="M106" s="331">
        <f t="shared" si="11"/>
      </c>
      <c r="N106" s="332">
        <f t="shared" si="77"/>
      </c>
      <c r="O106" s="333">
        <f t="shared" si="107"/>
      </c>
      <c r="P106" s="332">
        <f t="shared" si="43"/>
      </c>
      <c r="Q106" s="334" t="s">
        <v>255</v>
      </c>
      <c r="R106" s="335" t="s">
        <v>227</v>
      </c>
      <c r="S106" s="336">
        <v>72354</v>
      </c>
      <c r="T106" s="336">
        <v>3209</v>
      </c>
      <c r="U106" s="337">
        <v>178</v>
      </c>
      <c r="V106" s="337">
        <v>3679</v>
      </c>
      <c r="W106" s="337">
        <v>260</v>
      </c>
      <c r="X106" s="337">
        <v>19</v>
      </c>
      <c r="Y106" s="337">
        <v>47</v>
      </c>
    </row>
    <row r="107">
      <c r="A107" s="324"/>
      <c r="B107" s="325" t="s">
        <v>248</v>
      </c>
      <c r="C107" s="326" t="s">
        <v>230</v>
      </c>
      <c r="D107" s="326">
        <f t="shared" si="147"/>
      </c>
      <c r="E107" s="327">
        <v>582.89</v>
      </c>
      <c r="F107" s="327">
        <v>797.76</v>
      </c>
      <c r="G107" s="327">
        <v>815.25</v>
      </c>
      <c r="H107" s="338">
        <v>5</v>
      </c>
      <c r="I107" s="326">
        <v>1498.5999999999985</v>
      </c>
      <c r="J107" s="329">
        <f t="shared" si="245"/>
      </c>
      <c r="K107" s="329">
        <f t="shared" si="283"/>
      </c>
      <c r="L107" s="329">
        <f t="shared" si="318"/>
      </c>
      <c r="M107" s="331">
        <f t="shared" si="11"/>
      </c>
      <c r="N107" s="332">
        <f t="shared" si="77"/>
      </c>
      <c r="O107" s="333">
        <f t="shared" si="107"/>
      </c>
      <c r="P107" s="332">
        <f t="shared" si="43"/>
      </c>
      <c r="Q107" s="334" t="s">
        <v>255</v>
      </c>
      <c r="R107" s="335" t="s">
        <v>227</v>
      </c>
      <c r="S107" s="336">
        <v>47931</v>
      </c>
      <c r="T107" s="336">
        <v>1360</v>
      </c>
      <c r="U107" s="337">
        <v>114</v>
      </c>
      <c r="V107" s="337">
        <v>1655</v>
      </c>
      <c r="W107" s="337">
        <v>163</v>
      </c>
      <c r="X107" s="337">
        <v>11</v>
      </c>
      <c r="Y107" s="337">
        <v>35</v>
      </c>
    </row>
    <row r="108">
      <c r="A108" s="324"/>
      <c r="B108" s="339" t="s">
        <v>232</v>
      </c>
      <c r="C108" s="339"/>
      <c r="D108" s="340">
        <f>SUM(D104:D107)</f>
      </c>
      <c r="E108" s="340">
        <f>SUM(E104:E107)</f>
      </c>
      <c r="F108" s="340">
        <f>SUM(F104:F107)</f>
      </c>
      <c r="G108" s="340">
        <f>SUM(G104:G107)</f>
      </c>
      <c r="H108" s="341">
        <f>SUM(H104:H107)</f>
      </c>
      <c r="I108" s="340">
        <f>SUM(I104:I107)</f>
      </c>
      <c r="J108" s="342">
        <f t="shared" si="245"/>
      </c>
      <c r="K108" s="343">
        <f t="shared" si="283"/>
      </c>
      <c r="L108" s="344">
        <f t="shared" si="318"/>
      </c>
      <c r="M108" s="345">
        <f t="shared" si="11"/>
      </c>
      <c r="N108" s="345">
        <f t="shared" si="77"/>
      </c>
      <c r="O108" s="346">
        <f t="shared" si="107"/>
      </c>
      <c r="P108" s="345">
        <f t="shared" si="43"/>
      </c>
      <c r="Q108" s="346"/>
      <c r="R108" s="346"/>
      <c r="S108" s="341">
        <f>SUM(S104:S107)</f>
      </c>
      <c r="T108" s="341">
        <f>SUM(T104:T107)</f>
      </c>
      <c r="U108" s="341">
        <f>SUM(U104:U107)</f>
      </c>
      <c r="V108" s="341">
        <f>SUM(V104:V107)</f>
      </c>
      <c r="W108" s="341">
        <f>SUM(W104:W107)</f>
      </c>
      <c r="X108" s="341">
        <f>SUM(X104:X107)</f>
      </c>
      <c r="Y108" s="341">
        <f>SUM(Y104:Y107)</f>
      </c>
    </row>
    <row r="109">
      <c r="A109" s="324"/>
      <c r="B109" s="325" t="s">
        <v>253</v>
      </c>
      <c r="C109" s="327" t="s">
        <v>231</v>
      </c>
      <c r="D109" s="326">
        <f t="shared" ref="D109:D111" si="148">E109+G109+F109</f>
      </c>
      <c r="E109" s="327">
        <v>441.35</v>
      </c>
      <c r="F109" s="327">
        <v>407.64</v>
      </c>
      <c r="G109" s="327">
        <v>1380.68</v>
      </c>
      <c r="H109" s="338">
        <v>8</v>
      </c>
      <c r="I109" s="326">
        <v>4421.410000000002</v>
      </c>
      <c r="J109" s="329">
        <f t="shared" si="245"/>
      </c>
      <c r="K109" s="329">
        <f t="shared" si="283"/>
      </c>
      <c r="L109" s="329">
        <f t="shared" si="318"/>
      </c>
      <c r="M109" s="331">
        <f t="shared" si="11"/>
      </c>
      <c r="N109" s="332">
        <f t="shared" si="77"/>
      </c>
      <c r="O109" s="333">
        <f t="shared" si="107"/>
      </c>
      <c r="P109" s="332">
        <f t="shared" si="43"/>
      </c>
      <c r="Q109" s="334" t="s">
        <v>255</v>
      </c>
      <c r="R109" s="335" t="s">
        <v>227</v>
      </c>
      <c r="S109" s="347">
        <v>36544</v>
      </c>
      <c r="T109" s="347">
        <v>906</v>
      </c>
      <c r="U109" s="348">
        <v>121</v>
      </c>
      <c r="V109" s="348">
        <v>1085</v>
      </c>
      <c r="W109" s="348">
        <v>128</v>
      </c>
      <c r="X109" s="348">
        <v>13</v>
      </c>
      <c r="Y109" s="348">
        <v>23</v>
      </c>
    </row>
    <row r="110">
      <c r="A110" s="324"/>
      <c r="B110" s="325" t="s">
        <v>253</v>
      </c>
      <c r="C110" s="326" t="s">
        <v>234</v>
      </c>
      <c r="D110" s="326">
        <f t="shared" si="148"/>
      </c>
      <c r="E110" s="349">
        <v>347.88</v>
      </c>
      <c r="F110" s="326">
        <v>2735.25</v>
      </c>
      <c r="G110" s="326">
        <v>114.87</v>
      </c>
      <c r="H110" s="328">
        <v>9</v>
      </c>
      <c r="I110" s="327">
        <v>5130.619999999999</v>
      </c>
      <c r="J110" s="329">
        <f t="shared" si="245"/>
      </c>
      <c r="K110" s="329">
        <f t="shared" si="283"/>
      </c>
      <c r="L110" s="329">
        <f t="shared" si="318"/>
      </c>
      <c r="M110" s="331">
        <f t="shared" si="11"/>
      </c>
      <c r="N110" s="332">
        <f t="shared" si="77"/>
      </c>
      <c r="O110" s="333">
        <f t="shared" si="107"/>
      </c>
      <c r="P110" s="332">
        <f t="shared" si="43"/>
      </c>
      <c r="Q110" s="334" t="s">
        <v>255</v>
      </c>
      <c r="R110" s="335" t="s">
        <v>227</v>
      </c>
      <c r="S110" s="347">
        <v>50553</v>
      </c>
      <c r="T110" s="347">
        <v>1374</v>
      </c>
      <c r="U110" s="348">
        <v>157</v>
      </c>
      <c r="V110" s="348">
        <v>1520</v>
      </c>
      <c r="W110" s="348">
        <v>143</v>
      </c>
      <c r="X110" s="348">
        <v>30</v>
      </c>
      <c r="Y110" s="348">
        <v>34</v>
      </c>
    </row>
    <row r="111">
      <c r="A111" s="324"/>
      <c r="B111" s="325" t="s">
        <v>253</v>
      </c>
      <c r="C111" s="326" t="s">
        <v>235</v>
      </c>
      <c r="D111" s="326">
        <f t="shared" si="148"/>
      </c>
      <c r="E111" s="327">
        <v>1349.97</v>
      </c>
      <c r="F111" s="327">
        <v>3829.76</v>
      </c>
      <c r="G111" s="327">
        <v>207.3</v>
      </c>
      <c r="H111" s="338">
        <v>22</v>
      </c>
      <c r="I111" s="326">
        <v>14262.740000000002</v>
      </c>
      <c r="J111" s="329">
        <f t="shared" si="245"/>
      </c>
      <c r="K111" s="329">
        <f t="shared" si="283"/>
      </c>
      <c r="L111" s="329">
        <f t="shared" si="318"/>
      </c>
      <c r="M111" s="331">
        <f t="shared" si="11"/>
      </c>
      <c r="N111" s="332">
        <f t="shared" si="77"/>
      </c>
      <c r="O111" s="333">
        <f t="shared" si="107"/>
      </c>
      <c r="P111" s="332">
        <f t="shared" si="43"/>
      </c>
      <c r="Q111" s="334" t="s">
        <v>255</v>
      </c>
      <c r="R111" s="335" t="s">
        <v>227</v>
      </c>
      <c r="S111" s="347">
        <v>111904</v>
      </c>
      <c r="T111" s="347">
        <v>2806</v>
      </c>
      <c r="U111" s="348">
        <v>310</v>
      </c>
      <c r="V111" s="348">
        <v>3159</v>
      </c>
      <c r="W111" s="348">
        <v>302</v>
      </c>
      <c r="X111" s="348">
        <v>38</v>
      </c>
      <c r="Y111" s="348">
        <v>51</v>
      </c>
    </row>
    <row r="112">
      <c r="A112" s="324"/>
      <c r="B112" s="339" t="s">
        <v>232</v>
      </c>
      <c r="C112" s="339"/>
      <c r="D112" s="340">
        <f>SUM(D109:D111)</f>
      </c>
      <c r="E112" s="340">
        <f>SUM(E109:E111)</f>
      </c>
      <c r="F112" s="340">
        <f>SUM(F108:F111)</f>
      </c>
      <c r="G112" s="340">
        <f>SUM(G109:G111)</f>
      </c>
      <c r="H112" s="341">
        <f>SUM(H109:H111)</f>
      </c>
      <c r="I112" s="340">
        <f>SUM(I109:I111)</f>
      </c>
      <c r="J112" s="342">
        <f t="shared" si="245"/>
      </c>
      <c r="K112" s="343">
        <f t="shared" si="283"/>
      </c>
      <c r="L112" s="344">
        <f t="shared" si="318"/>
      </c>
      <c r="M112" s="345">
        <f t="shared" si="11"/>
      </c>
      <c r="N112" s="345">
        <f t="shared" si="77"/>
      </c>
      <c r="O112" s="346">
        <f t="shared" si="107"/>
      </c>
      <c r="P112" s="345">
        <f t="shared" si="43"/>
      </c>
      <c r="Q112" s="346"/>
      <c r="R112" s="346"/>
      <c r="S112" s="341">
        <f>SUM(S109:S111)</f>
      </c>
      <c r="T112" s="341">
        <f>SUM(T109:T111)</f>
      </c>
      <c r="U112" s="341">
        <f>SUM(U109:U111)</f>
      </c>
      <c r="V112" s="341">
        <f>SUM(V109:V111)</f>
      </c>
      <c r="W112" s="341">
        <f>SUM(W109:W111)</f>
      </c>
      <c r="X112" s="341">
        <f>SUM(X109:X111)</f>
      </c>
      <c r="Y112" s="341">
        <f>SUM(Y109:Y111)</f>
      </c>
    </row>
    <row customHeight="true" ht="16.666666666666668" r="113">
      <c r="A113" s="324"/>
      <c r="B113" s="325" t="s">
        <v>257</v>
      </c>
      <c r="C113" s="327" t="s">
        <v>236</v>
      </c>
      <c r="D113" s="326">
        <f t="shared" ref="D113:D115" si="149">E113+G113+F113</f>
      </c>
      <c r="E113" s="326">
        <v>3302.29</v>
      </c>
      <c r="F113" s="326">
        <v>4689.01</v>
      </c>
      <c r="G113" s="326">
        <v>337.09</v>
      </c>
      <c r="H113" s="338">
        <v>24</v>
      </c>
      <c r="I113" s="326">
        <v>10143.659999999996</v>
      </c>
      <c r="J113" s="329">
        <f t="shared" si="245"/>
      </c>
      <c r="K113" s="329">
        <f t="shared" si="283"/>
      </c>
      <c r="L113" s="329">
        <f t="shared" si="318"/>
      </c>
      <c r="M113" s="331">
        <f t="shared" si="11"/>
      </c>
      <c r="N113" s="332">
        <f t="shared" si="77"/>
      </c>
      <c r="O113" s="333">
        <f t="shared" si="107"/>
      </c>
      <c r="P113" s="332">
        <f t="shared" si="43"/>
      </c>
      <c r="Q113" s="334" t="s">
        <v>255</v>
      </c>
      <c r="R113" s="335" t="s">
        <v>227</v>
      </c>
      <c r="S113" s="347">
        <v>193983</v>
      </c>
      <c r="T113" s="347">
        <v>4797</v>
      </c>
      <c r="U113" s="348">
        <v>467</v>
      </c>
      <c r="V113" s="348">
        <v>6128</v>
      </c>
      <c r="W113" s="348">
        <v>714</v>
      </c>
      <c r="X113" s="348">
        <v>43</v>
      </c>
      <c r="Y113" s="348">
        <v>79</v>
      </c>
    </row>
    <row r="114">
      <c r="A114" s="324"/>
      <c r="B114" s="325" t="s">
        <v>257</v>
      </c>
      <c r="C114" s="326" t="s">
        <v>237</v>
      </c>
      <c r="D114" s="326">
        <f t="shared" si="149"/>
      </c>
      <c r="E114" s="326">
        <v>1359.8</v>
      </c>
      <c r="F114" s="326">
        <v>3159.33</v>
      </c>
      <c r="G114" s="326">
        <v>304</v>
      </c>
      <c r="H114" s="338">
        <v>9</v>
      </c>
      <c r="I114" s="326">
        <v>1935.3600000000006</v>
      </c>
      <c r="J114" s="329">
        <f t="shared" si="245"/>
      </c>
      <c r="K114" s="329">
        <f t="shared" si="283"/>
      </c>
      <c r="L114" s="329">
        <f t="shared" si="318"/>
      </c>
      <c r="M114" s="331">
        <f t="shared" si="11"/>
      </c>
      <c r="N114" s="332">
        <f t="shared" si="77"/>
      </c>
      <c r="O114" s="333">
        <f t="shared" si="107"/>
      </c>
      <c r="P114" s="332">
        <f t="shared" si="43"/>
      </c>
      <c r="Q114" s="334" t="s">
        <v>258</v>
      </c>
      <c r="R114" s="335" t="s">
        <v>227</v>
      </c>
      <c r="S114" s="347">
        <v>144688</v>
      </c>
      <c r="T114" s="347">
        <v>2845</v>
      </c>
      <c r="U114" s="348">
        <v>265</v>
      </c>
      <c r="V114" s="348">
        <v>3603</v>
      </c>
      <c r="W114" s="348">
        <v>367</v>
      </c>
      <c r="X114" s="348">
        <v>21</v>
      </c>
      <c r="Y114" s="348">
        <v>42</v>
      </c>
    </row>
    <row r="115">
      <c r="A115" s="324"/>
      <c r="B115" s="325" t="s">
        <v>257</v>
      </c>
      <c r="C115" s="326" t="s">
        <v>239</v>
      </c>
      <c r="D115" s="326">
        <f t="shared" si="149"/>
      </c>
      <c r="E115" s="327">
        <v>2030.98</v>
      </c>
      <c r="F115" s="326">
        <v>2233.5699999999997</v>
      </c>
      <c r="G115" s="326">
        <v>343.18</v>
      </c>
      <c r="H115" s="328">
        <v>17</v>
      </c>
      <c r="I115" s="327">
        <v>6855.600000000006</v>
      </c>
      <c r="J115" s="329">
        <f t="shared" si="245"/>
      </c>
      <c r="K115" s="329">
        <f t="shared" si="283"/>
      </c>
      <c r="L115" s="329">
        <f t="shared" si="318"/>
      </c>
      <c r="M115" s="331">
        <f t="shared" si="11"/>
      </c>
      <c r="N115" s="332">
        <f t="shared" si="77"/>
      </c>
      <c r="O115" s="333">
        <f t="shared" si="107"/>
      </c>
      <c r="P115" s="332">
        <f t="shared" si="43"/>
      </c>
      <c r="Q115" s="334" t="s">
        <v>258</v>
      </c>
      <c r="R115" s="350" t="s">
        <v>259</v>
      </c>
      <c r="S115" s="348">
        <v>98189</v>
      </c>
      <c r="T115" s="348">
        <v>3343</v>
      </c>
      <c r="U115" s="348">
        <v>200</v>
      </c>
      <c r="V115" s="348">
        <v>4464</v>
      </c>
      <c r="W115" s="348">
        <v>437</v>
      </c>
      <c r="X115" s="348">
        <v>29</v>
      </c>
      <c r="Y115" s="348">
        <v>55</v>
      </c>
    </row>
    <row r="116">
      <c r="A116" s="324"/>
      <c r="B116" s="339" t="s">
        <v>232</v>
      </c>
      <c r="C116" s="339"/>
      <c r="D116" s="340">
        <f>SUM(D113:D115)</f>
      </c>
      <c r="E116" s="340">
        <f>SUM(E113:E115)</f>
      </c>
      <c r="F116" s="340">
        <f>SUM(F113:F115)</f>
      </c>
      <c r="G116" s="340">
        <f>SUM(G113:G115)</f>
      </c>
      <c r="H116" s="341">
        <f>SUM(H113:H115)</f>
      </c>
      <c r="I116" s="341">
        <f>SUM(I113:I115)</f>
      </c>
      <c r="J116" s="342">
        <f t="shared" si="245"/>
      </c>
      <c r="K116" s="343">
        <f t="shared" si="283"/>
      </c>
      <c r="L116" s="344">
        <f t="shared" si="318"/>
      </c>
      <c r="M116" s="345">
        <f t="shared" si="11"/>
      </c>
      <c r="N116" s="345">
        <f t="shared" si="77"/>
      </c>
      <c r="O116" s="346">
        <f t="shared" si="107"/>
      </c>
      <c r="P116" s="345">
        <f t="shared" si="43"/>
      </c>
      <c r="Q116" s="346"/>
      <c r="R116" s="346"/>
      <c r="S116" s="341">
        <f>SUM(S113:S115)</f>
      </c>
      <c r="T116" s="341">
        <f>SUM(T113:T115)</f>
      </c>
      <c r="U116" s="341">
        <f>SUM(U113:U115)</f>
      </c>
      <c r="V116" s="341">
        <f>SUM(V113:V115)</f>
      </c>
      <c r="W116" s="341">
        <f>SUM(W113:W115)</f>
      </c>
      <c r="X116" s="341">
        <f>SUM(X113:X115)</f>
      </c>
      <c r="Y116" s="341">
        <f>SUM(Y113:Y115)</f>
      </c>
    </row>
    <row r="117">
      <c r="A117" s="324"/>
      <c r="B117" s="325" t="s">
        <v>260</v>
      </c>
      <c r="C117" s="327" t="s">
        <v>242</v>
      </c>
      <c r="D117" s="326">
        <f t="shared" ref="D117:D120" si="150">E117+G117+F117</f>
      </c>
      <c r="E117" s="326">
        <v>2455.46</v>
      </c>
      <c r="F117" s="326">
        <v>155.32</v>
      </c>
      <c r="G117" s="326">
        <v>1945.46</v>
      </c>
      <c r="H117" s="328">
        <v>26</v>
      </c>
      <c r="I117" s="327">
        <v>14525.179999999993</v>
      </c>
      <c r="J117" s="329">
        <f t="shared" si="245"/>
      </c>
      <c r="K117" s="329">
        <f t="shared" si="283"/>
      </c>
      <c r="L117" s="329">
        <f t="shared" si="318"/>
      </c>
      <c r="M117" s="331">
        <f t="shared" si="11"/>
      </c>
      <c r="N117" s="332">
        <f t="shared" si="77"/>
      </c>
      <c r="O117" s="333">
        <f t="shared" si="107"/>
      </c>
      <c r="P117" s="332">
        <f t="shared" si="43"/>
      </c>
      <c r="Q117" s="334" t="s">
        <v>258</v>
      </c>
      <c r="R117" s="350" t="s">
        <v>261</v>
      </c>
      <c r="S117" s="348">
        <v>135537</v>
      </c>
      <c r="T117" s="348">
        <v>3124</v>
      </c>
      <c r="U117" s="348">
        <v>228</v>
      </c>
      <c r="V117" s="348">
        <v>4378</v>
      </c>
      <c r="W117" s="348">
        <v>441</v>
      </c>
      <c r="X117" s="348">
        <v>37</v>
      </c>
      <c r="Y117" s="348">
        <v>69</v>
      </c>
    </row>
    <row customHeight="true" ht="16.666666666666668" r="118">
      <c r="A118" s="324"/>
      <c r="B118" s="325" t="s">
        <v>260</v>
      </c>
      <c r="C118" s="327" t="s">
        <v>244</v>
      </c>
      <c r="D118" s="326">
        <f t="shared" si="150"/>
      </c>
      <c r="E118" s="326">
        <v>4096.58</v>
      </c>
      <c r="F118" s="326">
        <v>9366.81</v>
      </c>
      <c r="G118" s="326">
        <v>109.66</v>
      </c>
      <c r="H118" s="328">
        <v>54</v>
      </c>
      <c r="I118" s="327">
        <v>27530.61</v>
      </c>
      <c r="J118" s="329">
        <f t="shared" si="245"/>
      </c>
      <c r="K118" s="329">
        <f t="shared" si="283"/>
      </c>
      <c r="L118" s="329">
        <f t="shared" si="318"/>
      </c>
      <c r="M118" s="331">
        <f t="shared" si="11"/>
      </c>
      <c r="N118" s="332">
        <f t="shared" si="77"/>
      </c>
      <c r="O118" s="333">
        <f t="shared" si="107"/>
      </c>
      <c r="P118" s="332">
        <f t="shared" si="43"/>
      </c>
      <c r="Q118" s="334" t="s">
        <v>258</v>
      </c>
      <c r="R118" s="350" t="s">
        <v>261</v>
      </c>
      <c r="S118" s="361">
        <v>573134</v>
      </c>
      <c r="T118" s="361">
        <v>8136</v>
      </c>
      <c r="U118" s="362">
        <v>713</v>
      </c>
      <c r="V118" s="362">
        <v>11268</v>
      </c>
      <c r="W118" s="362">
        <v>1203</v>
      </c>
      <c r="X118" s="348">
        <v>73</v>
      </c>
      <c r="Y118" s="348">
        <v>120</v>
      </c>
    </row>
    <row r="119">
      <c r="A119" s="324"/>
      <c r="B119" s="325" t="s">
        <v>260</v>
      </c>
      <c r="C119" s="326" t="s">
        <v>245</v>
      </c>
      <c r="D119" s="326">
        <f t="shared" si="150"/>
      </c>
      <c r="E119" s="326">
        <v>2562.85</v>
      </c>
      <c r="F119" s="326">
        <v>6073.27</v>
      </c>
      <c r="G119" s="326">
        <v>25.67</v>
      </c>
      <c r="H119" s="328">
        <v>35</v>
      </c>
      <c r="I119" s="327">
        <v>18009.959999999992</v>
      </c>
      <c r="J119" s="329">
        <f t="shared" si="245"/>
      </c>
      <c r="K119" s="329">
        <f t="shared" si="283"/>
      </c>
      <c r="L119" s="329">
        <f t="shared" si="318"/>
      </c>
      <c r="M119" s="331">
        <f t="shared" si="11"/>
      </c>
      <c r="N119" s="332">
        <f t="shared" si="77"/>
      </c>
      <c r="O119" s="333">
        <f t="shared" si="107"/>
      </c>
      <c r="P119" s="332">
        <f t="shared" si="43"/>
      </c>
      <c r="Q119" s="334" t="s">
        <v>258</v>
      </c>
      <c r="R119" s="350" t="s">
        <v>261</v>
      </c>
      <c r="S119" s="361">
        <v>472416</v>
      </c>
      <c r="T119" s="361">
        <v>6855</v>
      </c>
      <c r="U119" s="362">
        <v>607</v>
      </c>
      <c r="V119" s="362">
        <v>9975</v>
      </c>
      <c r="W119" s="362">
        <v>387</v>
      </c>
      <c r="X119" s="348">
        <v>63</v>
      </c>
      <c r="Y119" s="348">
        <v>81</v>
      </c>
    </row>
    <row r="120">
      <c r="A120" s="324"/>
      <c r="B120" s="325" t="s">
        <v>260</v>
      </c>
      <c r="C120" s="327" t="s">
        <v>250</v>
      </c>
      <c r="D120" s="326">
        <f t="shared" si="150"/>
      </c>
      <c r="E120" s="327">
        <v>1078.2</v>
      </c>
      <c r="F120" s="327">
        <v>53.12</v>
      </c>
      <c r="G120" s="327">
        <v>8573.58</v>
      </c>
      <c r="H120" s="328">
        <v>34</v>
      </c>
      <c r="I120" s="327">
        <v>14617.819999999992</v>
      </c>
      <c r="J120" s="329">
        <f t="shared" si="245"/>
      </c>
      <c r="K120" s="329">
        <f t="shared" si="283"/>
      </c>
      <c r="L120" s="329">
        <f t="shared" si="318"/>
      </c>
      <c r="M120" s="331">
        <f t="shared" si="11"/>
      </c>
      <c r="N120" s="332">
        <f t="shared" si="77"/>
      </c>
      <c r="O120" s="333">
        <f t="shared" si="107"/>
      </c>
      <c r="P120" s="332">
        <f t="shared" si="43"/>
      </c>
      <c r="Q120" s="334" t="s">
        <v>258</v>
      </c>
      <c r="R120" s="350" t="s">
        <v>261</v>
      </c>
      <c r="S120" s="361">
        <v>507476</v>
      </c>
      <c r="T120" s="361">
        <v>2042</v>
      </c>
      <c r="U120" s="362">
        <v>525</v>
      </c>
      <c r="V120" s="362">
        <v>2655</v>
      </c>
      <c r="W120" s="362">
        <v>409</v>
      </c>
      <c r="X120" s="348">
        <v>48</v>
      </c>
      <c r="Y120" s="348">
        <v>64</v>
      </c>
    </row>
    <row r="121">
      <c r="A121" s="324"/>
      <c r="B121" s="339" t="s">
        <v>232</v>
      </c>
      <c r="C121" s="339"/>
      <c r="D121" s="340">
        <f>SUM(D117:D120)</f>
      </c>
      <c r="E121" s="340">
        <f>SUM(E117:E120)</f>
      </c>
      <c r="F121" s="340">
        <f>SUM(F117:F120)</f>
      </c>
      <c r="G121" s="340">
        <f>SUM(G117:G120)</f>
      </c>
      <c r="H121" s="341">
        <f>SUM(H117:H120)</f>
      </c>
      <c r="I121" s="341">
        <f>SUM(I117:I120)</f>
      </c>
      <c r="J121" s="342">
        <f t="shared" si="245"/>
      </c>
      <c r="K121" s="343">
        <f t="shared" si="283"/>
      </c>
      <c r="L121" s="344">
        <f t="shared" si="318"/>
      </c>
      <c r="M121" s="345">
        <f t="shared" si="11"/>
      </c>
      <c r="N121" s="345">
        <f t="shared" si="77"/>
      </c>
      <c r="O121" s="346">
        <f t="shared" si="107"/>
      </c>
      <c r="P121" s="345">
        <f t="shared" si="43"/>
      </c>
      <c r="Q121" s="346"/>
      <c r="R121" s="351"/>
      <c r="S121" s="341">
        <f>SUM(S117:S120)</f>
      </c>
      <c r="T121" s="341">
        <f>SUM(T117:T120)</f>
      </c>
      <c r="U121" s="341">
        <f>SUM(U117:U120)</f>
      </c>
      <c r="V121" s="341">
        <f>SUM(V117:V120)</f>
      </c>
      <c r="W121" s="341">
        <f>SUM(W117:W120)</f>
      </c>
      <c r="X121" s="341">
        <f>SUM(X117:X120)</f>
      </c>
      <c r="Y121" s="341">
        <f>SUM(Y117:Y120)</f>
      </c>
    </row>
    <row r="122">
      <c r="A122" s="324"/>
      <c r="B122" s="353" t="s">
        <v>246</v>
      </c>
      <c r="C122" s="353"/>
      <c r="D122" s="354">
        <f>D121+D116+D112+D108</f>
      </c>
      <c r="E122" s="354">
        <f>E121+E116+E112+E108</f>
      </c>
      <c r="F122" s="354">
        <f>F121+F116+F112+F108</f>
      </c>
      <c r="G122" s="354">
        <f>G121+G116+G112+G108</f>
      </c>
      <c r="H122" s="355">
        <f>H121+H116+H112+H108</f>
      </c>
      <c r="I122" s="354">
        <f>I121+I116+I112+I108</f>
      </c>
      <c r="J122" s="356">
        <f t="shared" si="245"/>
      </c>
      <c r="K122" s="356">
        <f t="shared" si="283"/>
      </c>
      <c r="L122" s="356">
        <f t="shared" si="318"/>
      </c>
      <c r="M122" s="357">
        <f t="shared" si="11"/>
      </c>
      <c r="N122" s="357">
        <f t="shared" si="77"/>
      </c>
      <c r="O122" s="356">
        <f t="shared" si="107"/>
      </c>
      <c r="P122" s="357">
        <f t="shared" si="43"/>
      </c>
      <c r="Q122" s="358"/>
      <c r="R122" s="359"/>
      <c r="S122" s="355">
        <f>S121+S116+S112+S108</f>
      </c>
      <c r="T122" s="355">
        <f>T121+T116+T112+T108</f>
      </c>
      <c r="U122" s="355">
        <f>U121+U116+U112+U108</f>
      </c>
      <c r="V122" s="355">
        <f>V121+V116+V112+V108</f>
      </c>
      <c r="W122" s="355">
        <f>W121+W116+W112+W108</f>
      </c>
      <c r="X122" s="360">
        <f>X121+X116+X112+X108</f>
      </c>
      <c r="Y122" s="355">
        <f>Y121+Y116+Y112+Y108</f>
      </c>
    </row>
    <row r="123">
      <c r="A123" s="311" t="s">
        <v>195</v>
      </c>
      <c r="B123" s="311"/>
      <c r="C123" s="311"/>
      <c r="D123" s="312" t="s">
        <v>196</v>
      </c>
      <c r="E123" s="312"/>
      <c r="F123" s="312"/>
      <c r="G123" s="312"/>
      <c r="H123" s="312"/>
      <c r="I123" s="312"/>
      <c r="J123" s="312"/>
      <c r="K123" s="312"/>
      <c r="L123" s="312"/>
      <c r="M123" s="313" t="s">
        <v>197</v>
      </c>
      <c r="N123" s="313"/>
      <c r="O123" s="313"/>
      <c r="P123" s="313"/>
      <c r="Q123" s="313"/>
      <c r="R123" s="313"/>
      <c r="S123" s="314" t="s">
        <v>198</v>
      </c>
      <c r="T123" s="314"/>
      <c r="U123" s="314"/>
      <c r="V123" s="314"/>
      <c r="W123" s="314"/>
      <c r="X123" s="314"/>
      <c r="Y123" s="314"/>
    </row>
    <row r="124">
      <c r="A124" s="315" t="s">
        <v>199</v>
      </c>
      <c r="B124" s="311" t="s">
        <v>200</v>
      </c>
      <c r="C124" s="311" t="s">
        <v>201</v>
      </c>
      <c r="D124" s="312" t="s">
        <v>202</v>
      </c>
      <c r="E124" s="316" t="s">
        <v>203</v>
      </c>
      <c r="F124" s="312" t="s">
        <v>204</v>
      </c>
      <c r="G124" s="312"/>
      <c r="H124" s="317" t="s">
        <v>205</v>
      </c>
      <c r="I124" s="312" t="s">
        <v>206</v>
      </c>
      <c r="J124" s="318" t="s">
        <v>207</v>
      </c>
      <c r="K124" s="319" t="s">
        <v>208</v>
      </c>
      <c r="L124" s="312" t="s">
        <v>209</v>
      </c>
      <c r="M124" s="313" t="s">
        <v>210</v>
      </c>
      <c r="N124" s="313" t="s">
        <v>211</v>
      </c>
      <c r="O124" s="313" t="s">
        <v>212</v>
      </c>
      <c r="P124" s="320" t="s">
        <v>213</v>
      </c>
      <c r="Q124" s="321" t="s">
        <v>214</v>
      </c>
      <c r="R124" s="321" t="s">
        <v>215</v>
      </c>
      <c r="S124" s="366" t="s">
        <v>216</v>
      </c>
      <c r="T124" s="366" t="s">
        <v>217</v>
      </c>
      <c r="U124" s="323" t="s">
        <v>218</v>
      </c>
      <c r="V124" s="323" t="s">
        <v>219</v>
      </c>
      <c r="W124" s="323" t="s">
        <v>220</v>
      </c>
      <c r="X124" s="322" t="s">
        <v>221</v>
      </c>
      <c r="Y124" s="322" t="s">
        <v>222</v>
      </c>
    </row>
    <row r="125">
      <c r="A125" s="324" t="s">
        <v>262</v>
      </c>
      <c r="B125" s="325" t="s">
        <v>260</v>
      </c>
      <c r="C125" s="326" t="s">
        <v>225</v>
      </c>
      <c r="D125" s="326">
        <f t="shared" ref="D125:D128" si="151">E125+G125+F125</f>
      </c>
      <c r="E125" s="327">
        <v>1208.34</v>
      </c>
      <c r="F125" s="327">
        <v>4904.79</v>
      </c>
      <c r="G125" s="327"/>
      <c r="H125" s="328">
        <v>19</v>
      </c>
      <c r="I125" s="326">
        <v>11495.16</v>
      </c>
      <c r="J125" s="329">
        <f t="shared" ref="J125:J143" si="246">I125/D125</f>
      </c>
      <c r="K125" s="330">
        <f t="shared" ref="K125:K143" si="284">D125/H125</f>
      </c>
      <c r="L125" s="329">
        <f t="shared" ref="L125:L143" si="319">I125/H125</f>
      </c>
      <c r="M125" s="331">
        <f t="shared" ref="M125:M143" si="12">T125/S125</f>
      </c>
      <c r="N125" s="332">
        <f t="shared" ref="N125:N143" si="78">H125/X125</f>
      </c>
      <c r="O125" s="333">
        <f t="shared" ref="O125:O143" si="108">(Y125*1000)/D125</f>
      </c>
      <c r="P125" s="332">
        <f t="shared" ref="P125:P143" si="44">W125/V125</f>
      </c>
      <c r="Q125" s="334" t="s">
        <v>255</v>
      </c>
      <c r="R125" s="370" t="s">
        <v>263</v>
      </c>
      <c r="S125" s="336">
        <v>195418</v>
      </c>
      <c r="T125" s="336">
        <v>8652</v>
      </c>
      <c r="U125" s="368">
        <v>438</v>
      </c>
      <c r="V125" s="337">
        <v>10064</v>
      </c>
      <c r="W125" s="337">
        <v>645</v>
      </c>
      <c r="X125" s="337">
        <v>31</v>
      </c>
      <c r="Y125" s="337">
        <v>87</v>
      </c>
    </row>
    <row r="126">
      <c r="A126" s="324"/>
      <c r="B126" s="325" t="s">
        <v>260</v>
      </c>
      <c r="C126" s="326" t="s">
        <v>228</v>
      </c>
      <c r="D126" s="326">
        <f t="shared" si="151"/>
      </c>
      <c r="E126" s="327">
        <v>1155.05</v>
      </c>
      <c r="F126" s="327">
        <v>8460.72</v>
      </c>
      <c r="G126" s="327"/>
      <c r="H126" s="338">
        <v>40</v>
      </c>
      <c r="I126" s="326">
        <v>20822.3</v>
      </c>
      <c r="J126" s="329">
        <f t="shared" si="246"/>
      </c>
      <c r="K126" s="329">
        <f t="shared" si="284"/>
      </c>
      <c r="L126" s="330">
        <f t="shared" si="319"/>
      </c>
      <c r="M126" s="331">
        <f t="shared" si="12"/>
      </c>
      <c r="N126" s="332">
        <f t="shared" si="78"/>
      </c>
      <c r="O126" s="333">
        <f t="shared" si="108"/>
      </c>
      <c r="P126" s="332">
        <f t="shared" si="44"/>
      </c>
      <c r="Q126" s="334" t="s">
        <v>255</v>
      </c>
      <c r="R126" s="370" t="s">
        <v>263</v>
      </c>
      <c r="S126" s="369">
        <v>291077</v>
      </c>
      <c r="T126" s="369">
        <v>12254</v>
      </c>
      <c r="U126" s="337">
        <v>701</v>
      </c>
      <c r="V126" s="337">
        <v>13711</v>
      </c>
      <c r="W126" s="337">
        <v>857</v>
      </c>
      <c r="X126" s="337">
        <v>51</v>
      </c>
      <c r="Y126" s="337">
        <v>137</v>
      </c>
    </row>
    <row r="127">
      <c r="A127" s="324"/>
      <c r="B127" s="325" t="s">
        <v>260</v>
      </c>
      <c r="C127" s="326" t="s">
        <v>229</v>
      </c>
      <c r="D127" s="326">
        <f t="shared" si="151"/>
      </c>
      <c r="E127" s="327">
        <v>998.85</v>
      </c>
      <c r="F127" s="327">
        <v>16105.02</v>
      </c>
      <c r="G127" s="327"/>
      <c r="H127" s="338">
        <v>36</v>
      </c>
      <c r="I127" s="326">
        <v>16445.559999999998</v>
      </c>
      <c r="J127" s="329">
        <f t="shared" si="246"/>
      </c>
      <c r="K127" s="329">
        <f t="shared" si="284"/>
      </c>
      <c r="L127" s="329">
        <f t="shared" si="319"/>
      </c>
      <c r="M127" s="331">
        <f t="shared" si="12"/>
      </c>
      <c r="N127" s="332">
        <f t="shared" si="78"/>
      </c>
      <c r="O127" s="333">
        <f t="shared" si="108"/>
      </c>
      <c r="P127" s="332">
        <f t="shared" si="44"/>
      </c>
      <c r="Q127" s="334" t="s">
        <v>255</v>
      </c>
      <c r="R127" s="370" t="s">
        <v>263</v>
      </c>
      <c r="S127" s="336">
        <v>645401</v>
      </c>
      <c r="T127" s="336">
        <v>9678</v>
      </c>
      <c r="U127" s="337">
        <v>869</v>
      </c>
      <c r="V127" s="337">
        <v>10719</v>
      </c>
      <c r="W127" s="337">
        <v>871</v>
      </c>
      <c r="X127" s="337">
        <v>51</v>
      </c>
      <c r="Y127" s="337">
        <v>148</v>
      </c>
    </row>
    <row r="128">
      <c r="A128" s="324"/>
      <c r="B128" s="325" t="s">
        <v>260</v>
      </c>
      <c r="C128" s="326" t="s">
        <v>230</v>
      </c>
      <c r="D128" s="326">
        <f t="shared" si="151"/>
      </c>
      <c r="E128" s="327">
        <v>1231.77</v>
      </c>
      <c r="F128" s="327">
        <v>6055.589999999999</v>
      </c>
      <c r="G128" s="327"/>
      <c r="H128" s="338">
        <v>18</v>
      </c>
      <c r="I128" s="326">
        <v>7920.240000000005</v>
      </c>
      <c r="J128" s="329">
        <f t="shared" si="246"/>
      </c>
      <c r="K128" s="329">
        <f t="shared" si="284"/>
      </c>
      <c r="L128" s="329">
        <f t="shared" si="319"/>
      </c>
      <c r="M128" s="331">
        <f t="shared" si="12"/>
      </c>
      <c r="N128" s="332">
        <f t="shared" si="78"/>
      </c>
      <c r="O128" s="333">
        <f t="shared" si="108"/>
      </c>
      <c r="P128" s="332">
        <f t="shared" si="44"/>
      </c>
      <c r="Q128" s="334" t="s">
        <v>255</v>
      </c>
      <c r="R128" s="370" t="s">
        <v>263</v>
      </c>
      <c r="S128" s="336">
        <v>272271</v>
      </c>
      <c r="T128" s="336">
        <v>4561</v>
      </c>
      <c r="U128" s="337">
        <v>443</v>
      </c>
      <c r="V128" s="337">
        <v>5986</v>
      </c>
      <c r="W128" s="337">
        <v>648</v>
      </c>
      <c r="X128" s="337">
        <v>26</v>
      </c>
      <c r="Y128" s="337">
        <v>67</v>
      </c>
    </row>
    <row r="129">
      <c r="A129" s="324"/>
      <c r="B129" s="339" t="s">
        <v>232</v>
      </c>
      <c r="C129" s="339"/>
      <c r="D129" s="340">
        <f>SUM(D125:D128)</f>
      </c>
      <c r="E129" s="340">
        <f>SUM(E125:E128)</f>
      </c>
      <c r="F129" s="340">
        <f>F128+F128+F127+F127+F126+F126+F125+F125</f>
      </c>
      <c r="G129" s="340"/>
      <c r="H129" s="341">
        <f>SUM(H125:H128)</f>
      </c>
      <c r="I129" s="340">
        <f>SUM(I125:I128)</f>
      </c>
      <c r="J129" s="342">
        <f t="shared" si="246"/>
      </c>
      <c r="K129" s="343">
        <f t="shared" si="284"/>
      </c>
      <c r="L129" s="344">
        <f t="shared" si="319"/>
      </c>
      <c r="M129" s="345">
        <f t="shared" si="12"/>
      </c>
      <c r="N129" s="345">
        <f t="shared" si="78"/>
      </c>
      <c r="O129" s="346">
        <f t="shared" si="108"/>
      </c>
      <c r="P129" s="345">
        <f t="shared" si="44"/>
      </c>
      <c r="Q129" s="346"/>
      <c r="R129" s="346"/>
      <c r="S129" s="341">
        <f>SUM(S125:S128)</f>
      </c>
      <c r="T129" s="341">
        <f>SUM(T125:T128)</f>
      </c>
      <c r="U129" s="341">
        <f>SUM(U125:U128)</f>
      </c>
      <c r="V129" s="341">
        <f>SUM(V125:V128)</f>
      </c>
      <c r="W129" s="341">
        <f>SUM(W125:W128)</f>
      </c>
      <c r="X129" s="341">
        <f>SUM(X125:X128)</f>
      </c>
      <c r="Y129" s="341">
        <f>SUM(Y125:Y128)</f>
      </c>
    </row>
    <row r="130">
      <c r="A130" s="324"/>
      <c r="B130" s="325" t="s">
        <v>233</v>
      </c>
      <c r="C130" s="327" t="s">
        <v>231</v>
      </c>
      <c r="D130" s="326">
        <f t="shared" ref="D130:D133" si="152">E130+G130+F130</f>
      </c>
      <c r="E130" s="327">
        <v>677.05</v>
      </c>
      <c r="F130" s="327">
        <v>5405.179999999999</v>
      </c>
      <c r="G130" s="327"/>
      <c r="H130" s="338">
        <v>14</v>
      </c>
      <c r="I130" s="326">
        <v>6673.199999999997</v>
      </c>
      <c r="J130" s="329">
        <f t="shared" si="246"/>
      </c>
      <c r="K130" s="329">
        <f t="shared" si="284"/>
      </c>
      <c r="L130" s="329">
        <f t="shared" si="319"/>
      </c>
      <c r="M130" s="331">
        <f t="shared" si="12"/>
      </c>
      <c r="N130" s="332">
        <f t="shared" si="78"/>
      </c>
      <c r="O130" s="333">
        <f t="shared" si="108"/>
      </c>
      <c r="P130" s="332">
        <f t="shared" si="44"/>
      </c>
      <c r="Q130" s="334" t="s">
        <v>255</v>
      </c>
      <c r="R130" s="370" t="s">
        <v>263</v>
      </c>
      <c r="S130" s="347">
        <v>224628</v>
      </c>
      <c r="T130" s="347">
        <v>2698</v>
      </c>
      <c r="U130" s="348">
        <v>326</v>
      </c>
      <c r="V130" s="348">
        <v>3236</v>
      </c>
      <c r="W130" s="348">
        <v>375</v>
      </c>
      <c r="X130" s="348">
        <v>30</v>
      </c>
      <c r="Y130" s="348">
        <v>70</v>
      </c>
    </row>
    <row r="131">
      <c r="A131" s="324"/>
      <c r="B131" s="325" t="s">
        <v>233</v>
      </c>
      <c r="C131" s="326" t="s">
        <v>234</v>
      </c>
      <c r="D131" s="326">
        <f t="shared" si="152"/>
      </c>
      <c r="E131" s="326">
        <v>701.73</v>
      </c>
      <c r="F131" s="326">
        <v>4022.23</v>
      </c>
      <c r="G131" s="326"/>
      <c r="H131" s="328">
        <v>13</v>
      </c>
      <c r="I131" s="327">
        <v>3684.239999999998</v>
      </c>
      <c r="J131" s="329">
        <f t="shared" si="246"/>
      </c>
      <c r="K131" s="329">
        <f t="shared" si="284"/>
      </c>
      <c r="L131" s="329">
        <f t="shared" si="319"/>
      </c>
      <c r="M131" s="331">
        <f t="shared" si="12"/>
      </c>
      <c r="N131" s="332">
        <f t="shared" si="78"/>
      </c>
      <c r="O131" s="333">
        <f t="shared" si="108"/>
      </c>
      <c r="P131" s="332">
        <f t="shared" si="44"/>
      </c>
      <c r="Q131" s="334" t="s">
        <v>255</v>
      </c>
      <c r="R131" s="370" t="s">
        <v>263</v>
      </c>
      <c r="S131" s="347">
        <v>129268</v>
      </c>
      <c r="T131" s="347">
        <v>3140</v>
      </c>
      <c r="U131" s="348">
        <v>284</v>
      </c>
      <c r="V131" s="348">
        <v>3749</v>
      </c>
      <c r="W131" s="348">
        <v>350</v>
      </c>
      <c r="X131" s="348">
        <v>33</v>
      </c>
      <c r="Y131" s="348">
        <v>55</v>
      </c>
    </row>
    <row customHeight="true" ht="16.666666666666668" r="132">
      <c r="A132" s="324"/>
      <c r="B132" s="325" t="s">
        <v>233</v>
      </c>
      <c r="C132" s="326" t="s">
        <v>235</v>
      </c>
      <c r="D132" s="326">
        <f t="shared" si="152"/>
      </c>
      <c r="E132" s="349">
        <v>1812.71</v>
      </c>
      <c r="F132" s="327">
        <v>4711.450000000001</v>
      </c>
      <c r="G132" s="327"/>
      <c r="H132" s="328">
        <v>23</v>
      </c>
      <c r="I132" s="327">
        <v>8954.820000000007</v>
      </c>
      <c r="J132" s="329">
        <f t="shared" si="246"/>
      </c>
      <c r="K132" s="329">
        <f t="shared" si="284"/>
      </c>
      <c r="L132" s="329">
        <f t="shared" si="319"/>
      </c>
      <c r="M132" s="331">
        <f t="shared" si="12"/>
      </c>
      <c r="N132" s="332">
        <f t="shared" si="78"/>
      </c>
      <c r="O132" s="333">
        <f t="shared" si="108"/>
      </c>
      <c r="P132" s="332">
        <f t="shared" si="44"/>
      </c>
      <c r="Q132" s="334" t="s">
        <v>255</v>
      </c>
      <c r="R132" s="370" t="s">
        <v>263</v>
      </c>
      <c r="S132" s="347">
        <v>207750</v>
      </c>
      <c r="T132" s="347">
        <v>5776</v>
      </c>
      <c r="U132" s="348">
        <v>494</v>
      </c>
      <c r="V132" s="348">
        <v>7932</v>
      </c>
      <c r="W132" s="348">
        <v>821</v>
      </c>
      <c r="X132" s="348">
        <v>41</v>
      </c>
      <c r="Y132" s="348">
        <v>88</v>
      </c>
    </row>
    <row r="133">
      <c r="A133" s="324"/>
      <c r="B133" s="325" t="s">
        <v>233</v>
      </c>
      <c r="C133" s="327" t="s">
        <v>236</v>
      </c>
      <c r="D133" s="326">
        <f t="shared" si="152"/>
      </c>
      <c r="E133" s="327">
        <v>970.52</v>
      </c>
      <c r="F133" s="327">
        <v>2878.96</v>
      </c>
      <c r="G133" s="327"/>
      <c r="H133" s="338">
        <v>13</v>
      </c>
      <c r="I133" s="326">
        <v>6404.87999999999</v>
      </c>
      <c r="J133" s="329">
        <f t="shared" si="246"/>
      </c>
      <c r="K133" s="329">
        <f t="shared" si="284"/>
      </c>
      <c r="L133" s="329">
        <f t="shared" si="319"/>
      </c>
      <c r="M133" s="331">
        <f t="shared" si="12"/>
      </c>
      <c r="N133" s="332">
        <f t="shared" si="78"/>
      </c>
      <c r="O133" s="333">
        <f t="shared" si="108"/>
      </c>
      <c r="P133" s="332">
        <f t="shared" si="44"/>
      </c>
      <c r="Q133" s="334" t="s">
        <v>255</v>
      </c>
      <c r="R133" s="370" t="s">
        <v>263</v>
      </c>
      <c r="S133" s="347">
        <v>119662</v>
      </c>
      <c r="T133" s="347">
        <v>3117</v>
      </c>
      <c r="U133" s="348">
        <v>245</v>
      </c>
      <c r="V133" s="348">
        <v>4162</v>
      </c>
      <c r="W133" s="348">
        <v>414</v>
      </c>
      <c r="X133" s="348">
        <v>23</v>
      </c>
      <c r="Y133" s="348">
        <v>41</v>
      </c>
    </row>
    <row r="134">
      <c r="A134" s="324"/>
      <c r="B134" s="339" t="s">
        <v>232</v>
      </c>
      <c r="C134" s="339"/>
      <c r="D134" s="340">
        <f>SUM(D130:D133)</f>
      </c>
      <c r="E134" s="340">
        <f>SUM(E130:E133)</f>
      </c>
      <c r="F134" s="340">
        <f>F133+F133+F132+F132+F131+F131+F130+F130</f>
      </c>
      <c r="G134" s="340"/>
      <c r="H134" s="341">
        <f>SUM(H130:H133)</f>
      </c>
      <c r="I134" s="340">
        <f>SUM(I130:I133)</f>
      </c>
      <c r="J134" s="342">
        <f t="shared" si="246"/>
      </c>
      <c r="K134" s="343">
        <f t="shared" si="284"/>
      </c>
      <c r="L134" s="344">
        <f t="shared" si="319"/>
      </c>
      <c r="M134" s="345">
        <f t="shared" si="12"/>
      </c>
      <c r="N134" s="345">
        <f t="shared" si="78"/>
      </c>
      <c r="O134" s="346">
        <f t="shared" si="108"/>
      </c>
      <c r="P134" s="345">
        <f t="shared" si="44"/>
      </c>
      <c r="Q134" s="346"/>
      <c r="R134" s="346"/>
      <c r="S134" s="341">
        <f>SUM(S130:S133)</f>
      </c>
      <c r="T134" s="341">
        <f>SUM(T130:T133)</f>
      </c>
      <c r="U134" s="341">
        <f>SUM(U130:U133)</f>
      </c>
      <c r="V134" s="341">
        <f>SUM(V130:V133)</f>
      </c>
      <c r="W134" s="341">
        <f>SUM(W130:W133)</f>
      </c>
      <c r="X134" s="341">
        <f>SUM(X130:X133)</f>
      </c>
      <c r="Y134" s="341">
        <f>SUM(Y130:Y133)</f>
      </c>
    </row>
    <row r="135">
      <c r="A135" s="324"/>
      <c r="B135" s="325" t="s">
        <v>253</v>
      </c>
      <c r="C135" s="326" t="s">
        <v>237</v>
      </c>
      <c r="D135" s="326">
        <f t="shared" ref="D135:D136" si="153">E135+G135+F135</f>
      </c>
      <c r="E135" s="326">
        <v>245.09</v>
      </c>
      <c r="F135" s="326">
        <v>3161.2099999999996</v>
      </c>
      <c r="G135" s="326"/>
      <c r="H135" s="338">
        <v>10</v>
      </c>
      <c r="I135" s="326">
        <v>6763.820000000007</v>
      </c>
      <c r="J135" s="329">
        <f t="shared" si="246"/>
      </c>
      <c r="K135" s="329">
        <f t="shared" si="284"/>
      </c>
      <c r="L135" s="329">
        <f t="shared" si="319"/>
      </c>
      <c r="M135" s="331">
        <f t="shared" si="12"/>
      </c>
      <c r="N135" s="332">
        <f t="shared" si="78"/>
      </c>
      <c r="O135" s="333">
        <f t="shared" si="108"/>
      </c>
      <c r="P135" s="332">
        <f t="shared" si="44"/>
      </c>
      <c r="Q135" s="334" t="s">
        <v>258</v>
      </c>
      <c r="R135" s="370" t="s">
        <v>263</v>
      </c>
      <c r="S135" s="347">
        <v>125263</v>
      </c>
      <c r="T135" s="347">
        <v>2135</v>
      </c>
      <c r="U135" s="348">
        <v>283</v>
      </c>
      <c r="V135" s="348">
        <v>2309</v>
      </c>
      <c r="W135" s="348">
        <v>222</v>
      </c>
      <c r="X135" s="348">
        <v>19</v>
      </c>
      <c r="Y135" s="348">
        <v>45</v>
      </c>
    </row>
    <row r="136">
      <c r="A136" s="324"/>
      <c r="B136" s="325" t="s">
        <v>253</v>
      </c>
      <c r="C136" s="326" t="s">
        <v>239</v>
      </c>
      <c r="D136" s="326">
        <f t="shared" si="153"/>
      </c>
      <c r="E136" s="326">
        <v>294.5</v>
      </c>
      <c r="F136" s="326">
        <v>2819.6999999999994</v>
      </c>
      <c r="G136" s="326"/>
      <c r="H136" s="338">
        <v>10</v>
      </c>
      <c r="I136" s="326">
        <v>3516.8399999999965</v>
      </c>
      <c r="J136" s="329">
        <f t="shared" si="246"/>
      </c>
      <c r="K136" s="329">
        <f t="shared" si="284"/>
      </c>
      <c r="L136" s="329">
        <f t="shared" si="319"/>
      </c>
      <c r="M136" s="331">
        <f t="shared" si="12"/>
      </c>
      <c r="N136" s="332">
        <f t="shared" si="78"/>
      </c>
      <c r="O136" s="333">
        <f t="shared" si="108"/>
      </c>
      <c r="P136" s="332">
        <f t="shared" si="44"/>
      </c>
      <c r="Q136" s="334" t="s">
        <v>258</v>
      </c>
      <c r="R136" s="350" t="s">
        <v>261</v>
      </c>
      <c r="S136" s="347">
        <v>112154</v>
      </c>
      <c r="T136" s="347">
        <v>1973</v>
      </c>
      <c r="U136" s="348">
        <v>234</v>
      </c>
      <c r="V136" s="348">
        <v>2152</v>
      </c>
      <c r="W136" s="348">
        <v>229</v>
      </c>
      <c r="X136" s="348">
        <v>20</v>
      </c>
      <c r="Y136" s="348">
        <v>44</v>
      </c>
    </row>
    <row r="137">
      <c r="A137" s="324"/>
      <c r="B137" s="339" t="s">
        <v>232</v>
      </c>
      <c r="C137" s="339"/>
      <c r="D137" s="340">
        <f>SUM(D135:D136)</f>
      </c>
      <c r="E137" s="341">
        <f>SUM(E135:E136)</f>
      </c>
      <c r="F137" s="340">
        <f>F136+F136+F135+F135+F134+F134+F133+F133</f>
      </c>
      <c r="G137" s="340"/>
      <c r="H137" s="341">
        <f>SUM(H135:H136)</f>
      </c>
      <c r="I137" s="341">
        <f>SUM(I135:I136)</f>
      </c>
      <c r="J137" s="342">
        <f t="shared" si="246"/>
      </c>
      <c r="K137" s="343">
        <f t="shared" si="284"/>
      </c>
      <c r="L137" s="344">
        <f t="shared" si="319"/>
      </c>
      <c r="M137" s="345">
        <f t="shared" si="12"/>
      </c>
      <c r="N137" s="345">
        <f t="shared" si="78"/>
      </c>
      <c r="O137" s="346">
        <f t="shared" si="108"/>
      </c>
      <c r="P137" s="345">
        <f t="shared" si="44"/>
      </c>
      <c r="Q137" s="346"/>
      <c r="R137" s="346"/>
      <c r="S137" s="341">
        <f>SUM(S135:S136)</f>
      </c>
      <c r="T137" s="341">
        <f>SUM(T135:T136)</f>
      </c>
      <c r="U137" s="341">
        <f>SUM(U135:U136)</f>
      </c>
      <c r="V137" s="341">
        <f>SUM(V135:V136)</f>
      </c>
      <c r="W137" s="341">
        <f>SUM(W135:W136)</f>
      </c>
      <c r="X137" s="341">
        <f>SUM(X135:X136)</f>
      </c>
      <c r="Y137" s="341">
        <f>SUM(Y135:Y136)</f>
      </c>
    </row>
    <row r="138">
      <c r="A138" s="324"/>
      <c r="B138" s="325" t="s">
        <v>257</v>
      </c>
      <c r="C138" s="327" t="s">
        <v>244</v>
      </c>
      <c r="D138" s="326">
        <f t="shared" ref="D138:D141" si="154">E138+G138+F138</f>
      </c>
      <c r="E138" s="326">
        <v>490.66</v>
      </c>
      <c r="F138" s="326">
        <v>5476.639999999999</v>
      </c>
      <c r="G138" s="326"/>
      <c r="H138" s="328">
        <v>22</v>
      </c>
      <c r="I138" s="327">
        <v>9788.660000000003</v>
      </c>
      <c r="J138" s="329">
        <f t="shared" si="246"/>
      </c>
      <c r="K138" s="329">
        <f t="shared" si="284"/>
      </c>
      <c r="L138" s="329">
        <f t="shared" si="319"/>
      </c>
      <c r="M138" s="331">
        <f t="shared" si="12"/>
      </c>
      <c r="N138" s="332">
        <f t="shared" si="78"/>
      </c>
      <c r="O138" s="333">
        <f t="shared" si="108"/>
      </c>
      <c r="P138" s="332">
        <f t="shared" si="44"/>
      </c>
      <c r="Q138" s="334" t="s">
        <v>258</v>
      </c>
      <c r="R138" s="350" t="s">
        <v>261</v>
      </c>
      <c r="S138" s="348">
        <v>189002</v>
      </c>
      <c r="T138" s="348">
        <v>2247</v>
      </c>
      <c r="U138" s="348">
        <v>357</v>
      </c>
      <c r="V138" s="348">
        <v>2658</v>
      </c>
      <c r="W138" s="348">
        <v>303</v>
      </c>
      <c r="X138" s="348">
        <v>29</v>
      </c>
      <c r="Y138" s="348">
        <v>74</v>
      </c>
    </row>
    <row r="139">
      <c r="A139" s="324"/>
      <c r="B139" s="325" t="s">
        <v>257</v>
      </c>
      <c r="C139" s="326" t="s">
        <v>245</v>
      </c>
      <c r="D139" s="326">
        <f t="shared" si="154"/>
      </c>
      <c r="E139" s="326">
        <v>428.65</v>
      </c>
      <c r="F139" s="326">
        <v>4740.330000000001</v>
      </c>
      <c r="G139" s="326"/>
      <c r="H139" s="328">
        <v>19</v>
      </c>
      <c r="I139" s="327">
        <v>8649.520000000004</v>
      </c>
      <c r="J139" s="329">
        <f t="shared" si="246"/>
      </c>
      <c r="K139" s="329">
        <f t="shared" si="284"/>
      </c>
      <c r="L139" s="329">
        <f t="shared" si="319"/>
      </c>
      <c r="M139" s="331">
        <f t="shared" si="12"/>
      </c>
      <c r="N139" s="332">
        <f t="shared" si="78"/>
      </c>
      <c r="O139" s="333">
        <f t="shared" si="108"/>
      </c>
      <c r="P139" s="332">
        <f t="shared" si="44"/>
      </c>
      <c r="Q139" s="334" t="s">
        <v>258</v>
      </c>
      <c r="R139" s="350" t="s">
        <v>261</v>
      </c>
      <c r="S139" s="361">
        <v>286443</v>
      </c>
      <c r="T139" s="361">
        <v>2027</v>
      </c>
      <c r="U139" s="362">
        <v>425</v>
      </c>
      <c r="V139" s="362">
        <v>2532</v>
      </c>
      <c r="W139" s="362">
        <v>387</v>
      </c>
      <c r="X139" s="348">
        <v>38</v>
      </c>
      <c r="Y139" s="348">
        <v>73</v>
      </c>
    </row>
    <row r="140">
      <c r="A140" s="324"/>
      <c r="B140" s="325" t="s">
        <v>257</v>
      </c>
      <c r="C140" s="327" t="s">
        <v>250</v>
      </c>
      <c r="D140" s="326">
        <f t="shared" si="154"/>
      </c>
      <c r="E140" s="326">
        <v>1282.67</v>
      </c>
      <c r="F140" s="326">
        <v>11239.230000000001</v>
      </c>
      <c r="G140" s="326"/>
      <c r="H140" s="328">
        <v>36</v>
      </c>
      <c r="I140" s="327">
        <v>20386.58</v>
      </c>
      <c r="J140" s="329">
        <f t="shared" si="246"/>
      </c>
      <c r="K140" s="329">
        <f t="shared" si="284"/>
      </c>
      <c r="L140" s="329">
        <f t="shared" si="319"/>
      </c>
      <c r="M140" s="331">
        <f t="shared" si="12"/>
      </c>
      <c r="N140" s="332">
        <f t="shared" si="78"/>
      </c>
      <c r="O140" s="333">
        <f t="shared" si="108"/>
      </c>
      <c r="P140" s="332">
        <f t="shared" si="44"/>
      </c>
      <c r="Q140" s="334" t="s">
        <v>258</v>
      </c>
      <c r="R140" s="350" t="s">
        <v>261</v>
      </c>
      <c r="S140" s="361">
        <v>523511</v>
      </c>
      <c r="T140" s="361">
        <v>4991</v>
      </c>
      <c r="U140" s="362">
        <v>744</v>
      </c>
      <c r="V140" s="362">
        <v>6844</v>
      </c>
      <c r="W140" s="362">
        <v>743</v>
      </c>
      <c r="X140" s="348">
        <v>64</v>
      </c>
      <c r="Y140" s="348">
        <v>133</v>
      </c>
    </row>
    <row r="141">
      <c r="A141" s="324"/>
      <c r="B141" s="325" t="s">
        <v>257</v>
      </c>
      <c r="C141" s="327" t="s">
        <v>264</v>
      </c>
      <c r="D141" s="326">
        <f t="shared" si="154"/>
      </c>
      <c r="E141" s="327">
        <v>1289.95</v>
      </c>
      <c r="F141" s="327">
        <v>8126.1</v>
      </c>
      <c r="G141" s="327"/>
      <c r="H141" s="328">
        <v>43</v>
      </c>
      <c r="I141" s="327">
        <v>24149.72</v>
      </c>
      <c r="J141" s="329">
        <f t="shared" si="246"/>
      </c>
      <c r="K141" s="329">
        <f t="shared" si="284"/>
      </c>
      <c r="L141" s="329">
        <f t="shared" si="319"/>
      </c>
      <c r="M141" s="331">
        <f t="shared" si="12"/>
      </c>
      <c r="N141" s="332">
        <f t="shared" si="78"/>
      </c>
      <c r="O141" s="333">
        <f t="shared" si="108"/>
      </c>
      <c r="P141" s="332">
        <f t="shared" si="44"/>
      </c>
      <c r="Q141" s="334" t="s">
        <v>258</v>
      </c>
      <c r="R141" s="350" t="s">
        <v>261</v>
      </c>
      <c r="S141" s="361">
        <v>379478</v>
      </c>
      <c r="T141" s="361">
        <v>5069</v>
      </c>
      <c r="U141" s="362">
        <v>730</v>
      </c>
      <c r="V141" s="362">
        <v>8158</v>
      </c>
      <c r="W141" s="362">
        <v>1051</v>
      </c>
      <c r="X141" s="348">
        <v>72</v>
      </c>
      <c r="Y141" s="348">
        <v>134</v>
      </c>
    </row>
    <row r="142">
      <c r="A142" s="324"/>
      <c r="B142" s="339" t="s">
        <v>232</v>
      </c>
      <c r="C142" s="339"/>
      <c r="D142" s="340">
        <f>SUM(D138:D141)</f>
      </c>
      <c r="E142" s="341">
        <f>SUM(E138:E141)</f>
      </c>
      <c r="F142" s="340">
        <f t="shared" ref="F142:F143" si="306">F141+F141+F140+F140+F139+F139+F138+F138</f>
      </c>
      <c r="G142" s="340"/>
      <c r="H142" s="341">
        <f>SUM(H138:H141)</f>
      </c>
      <c r="I142" s="341">
        <f>SUM(I138:I141)</f>
      </c>
      <c r="J142" s="342">
        <f t="shared" si="246"/>
      </c>
      <c r="K142" s="343">
        <f t="shared" si="284"/>
      </c>
      <c r="L142" s="344">
        <f t="shared" si="319"/>
      </c>
      <c r="M142" s="345">
        <f t="shared" si="12"/>
      </c>
      <c r="N142" s="345">
        <f t="shared" si="78"/>
      </c>
      <c r="O142" s="346">
        <f t="shared" si="108"/>
      </c>
      <c r="P142" s="345">
        <f t="shared" si="44"/>
      </c>
      <c r="Q142" s="346"/>
      <c r="R142" s="351"/>
      <c r="S142" s="341">
        <f>SUM(S138:S141)</f>
      </c>
      <c r="T142" s="341">
        <f>SUM(T138:T141)</f>
      </c>
      <c r="U142" s="341">
        <f>SUM(U138:U141)</f>
      </c>
      <c r="V142" s="341">
        <f>SUM(V138:V141)</f>
      </c>
      <c r="W142" s="341">
        <f>SUM(W138:W141)</f>
      </c>
      <c r="X142" s="341">
        <f>SUM(X138:X141)</f>
      </c>
      <c r="Y142" s="341">
        <f>SUM(Y138:Y141)</f>
      </c>
    </row>
    <row r="143">
      <c r="A143" s="324"/>
      <c r="B143" s="353" t="s">
        <v>246</v>
      </c>
      <c r="C143" s="353"/>
      <c r="D143" s="354">
        <f>D142+D137+D134+D129</f>
      </c>
      <c r="E143" s="354">
        <f>E142+E137+E134+E129</f>
      </c>
      <c r="F143" s="354">
        <f t="shared" si="306"/>
      </c>
      <c r="G143" s="354"/>
      <c r="H143" s="355">
        <f>H142+H137+H134+H129</f>
      </c>
      <c r="I143" s="354">
        <f>I142+I137+I134+I129</f>
      </c>
      <c r="J143" s="356">
        <f t="shared" si="246"/>
      </c>
      <c r="K143" s="356">
        <f t="shared" si="284"/>
      </c>
      <c r="L143" s="356">
        <f t="shared" si="319"/>
      </c>
      <c r="M143" s="357">
        <f t="shared" si="12"/>
      </c>
      <c r="N143" s="357">
        <f t="shared" si="78"/>
      </c>
      <c r="O143" s="356">
        <f t="shared" si="108"/>
      </c>
      <c r="P143" s="357">
        <f t="shared" si="44"/>
      </c>
      <c r="Q143" s="358"/>
      <c r="R143" s="359"/>
      <c r="S143" s="355">
        <f>S142+S137+S134+S129</f>
      </c>
      <c r="T143" s="355">
        <f>T142+T137+T134+T129</f>
      </c>
      <c r="U143" s="355">
        <f>U142+U137+U134+U129</f>
      </c>
      <c r="V143" s="355">
        <f>V142+V137+V134+V129</f>
      </c>
      <c r="W143" s="355">
        <f>W142+W137+W134+W129</f>
      </c>
      <c r="X143" s="360">
        <f>X142+X137+X134+X129</f>
      </c>
      <c r="Y143" s="355">
        <f>Y142+Y137+Y134+Y129</f>
      </c>
    </row>
    <row r="144">
      <c r="A144" s="311" t="s">
        <v>195</v>
      </c>
      <c r="B144" s="311"/>
      <c r="C144" s="311"/>
      <c r="D144" s="312" t="s">
        <v>196</v>
      </c>
      <c r="E144" s="312"/>
      <c r="F144" s="312"/>
      <c r="G144" s="312"/>
      <c r="H144" s="312"/>
      <c r="I144" s="312"/>
      <c r="J144" s="312"/>
      <c r="K144" s="312"/>
      <c r="L144" s="312"/>
      <c r="M144" s="313" t="s">
        <v>197</v>
      </c>
      <c r="N144" s="313"/>
      <c r="O144" s="313"/>
      <c r="P144" s="313"/>
      <c r="Q144" s="313"/>
      <c r="R144" s="313"/>
      <c r="S144" s="314" t="s">
        <v>198</v>
      </c>
      <c r="T144" s="314"/>
      <c r="U144" s="314"/>
      <c r="V144" s="314"/>
      <c r="W144" s="314"/>
      <c r="X144" s="314"/>
      <c r="Y144" s="314"/>
    </row>
    <row r="145">
      <c r="A145" s="315" t="s">
        <v>199</v>
      </c>
      <c r="B145" s="311" t="s">
        <v>200</v>
      </c>
      <c r="C145" s="311" t="s">
        <v>201</v>
      </c>
      <c r="D145" s="312" t="s">
        <v>202</v>
      </c>
      <c r="E145" s="316" t="s">
        <v>203</v>
      </c>
      <c r="F145" s="312" t="s">
        <v>204</v>
      </c>
      <c r="G145" s="312"/>
      <c r="H145" s="317" t="s">
        <v>205</v>
      </c>
      <c r="I145" s="312" t="s">
        <v>206</v>
      </c>
      <c r="J145" s="318" t="s">
        <v>207</v>
      </c>
      <c r="K145" s="319" t="s">
        <v>208</v>
      </c>
      <c r="L145" s="312" t="s">
        <v>209</v>
      </c>
      <c r="M145" s="313" t="s">
        <v>210</v>
      </c>
      <c r="N145" s="313" t="s">
        <v>211</v>
      </c>
      <c r="O145" s="313" t="s">
        <v>212</v>
      </c>
      <c r="P145" s="320" t="s">
        <v>213</v>
      </c>
      <c r="Q145" s="321" t="s">
        <v>214</v>
      </c>
      <c r="R145" s="321" t="s">
        <v>215</v>
      </c>
      <c r="S145" s="366" t="s">
        <v>216</v>
      </c>
      <c r="T145" s="366" t="s">
        <v>217</v>
      </c>
      <c r="U145" s="323" t="s">
        <v>218</v>
      </c>
      <c r="V145" s="323" t="s">
        <v>219</v>
      </c>
      <c r="W145" s="323" t="s">
        <v>220</v>
      </c>
      <c r="X145" s="322" t="s">
        <v>221</v>
      </c>
      <c r="Y145" s="322" t="s">
        <v>222</v>
      </c>
    </row>
    <row r="146">
      <c r="A146" s="324" t="s">
        <v>265</v>
      </c>
      <c r="B146" s="325" t="s">
        <v>260</v>
      </c>
      <c r="C146" s="326" t="s">
        <v>225</v>
      </c>
      <c r="D146" s="326">
        <f t="shared" ref="D146:D150" si="155">E146+G146+F146</f>
      </c>
      <c r="E146" s="327">
        <v>729.86</v>
      </c>
      <c r="F146" s="327">
        <v>1914.1</v>
      </c>
      <c r="G146" s="327">
        <v>3969.44</v>
      </c>
      <c r="H146" s="328">
        <v>25</v>
      </c>
      <c r="I146" s="326">
        <v>18646.88</v>
      </c>
      <c r="J146" s="329">
        <f t="shared" ref="J146:J168" si="247">I146/D146</f>
      </c>
      <c r="K146" s="330">
        <f t="shared" ref="K146:K168" si="285">D146/H146</f>
      </c>
      <c r="L146" s="329">
        <f t="shared" ref="L146:L168" si="320">I146/H146</f>
      </c>
      <c r="M146" s="331">
        <f t="shared" ref="M146:M168" si="13">T146/S146</f>
      </c>
      <c r="N146" s="332">
        <f t="shared" ref="N146:N168" si="79">H146/X146</f>
      </c>
      <c r="O146" s="333">
        <f t="shared" ref="O146:O168" si="109">(Y146*1000)/D146</f>
      </c>
      <c r="P146" s="332">
        <f t="shared" ref="P146:P168" si="45">W146/V146</f>
      </c>
      <c r="Q146" s="334" t="s">
        <v>255</v>
      </c>
      <c r="R146" s="370" t="s">
        <v>263</v>
      </c>
      <c r="S146" s="336">
        <v>152073</v>
      </c>
      <c r="T146" s="336">
        <v>3810</v>
      </c>
      <c r="U146" s="368">
        <v>408</v>
      </c>
      <c r="V146" s="337">
        <v>4762</v>
      </c>
      <c r="W146" s="337">
        <v>526</v>
      </c>
      <c r="X146" s="337">
        <v>46</v>
      </c>
      <c r="Y146" s="337">
        <v>85</v>
      </c>
    </row>
    <row r="147">
      <c r="A147" s="324"/>
      <c r="B147" s="325" t="s">
        <v>260</v>
      </c>
      <c r="C147" s="326" t="s">
        <v>228</v>
      </c>
      <c r="D147" s="326">
        <f t="shared" si="155"/>
      </c>
      <c r="E147" s="327">
        <v>719.22</v>
      </c>
      <c r="F147" s="327">
        <v>1519.96</v>
      </c>
      <c r="G147" s="327">
        <v>3595.7</v>
      </c>
      <c r="H147" s="338">
        <v>16</v>
      </c>
      <c r="I147" s="326">
        <v>10227.849999999999</v>
      </c>
      <c r="J147" s="329">
        <f t="shared" si="247"/>
      </c>
      <c r="K147" s="329">
        <f t="shared" si="285"/>
      </c>
      <c r="L147" s="330">
        <f t="shared" si="320"/>
      </c>
      <c r="M147" s="331">
        <f t="shared" si="13"/>
      </c>
      <c r="N147" s="332">
        <f t="shared" si="79"/>
      </c>
      <c r="O147" s="333">
        <f t="shared" si="109"/>
      </c>
      <c r="P147" s="332">
        <f t="shared" si="45"/>
      </c>
      <c r="Q147" s="334" t="s">
        <v>255</v>
      </c>
      <c r="R147" s="370" t="s">
        <v>263</v>
      </c>
      <c r="S147" s="369">
        <v>153208</v>
      </c>
      <c r="T147" s="369">
        <v>2999</v>
      </c>
      <c r="U147" s="337">
        <v>399</v>
      </c>
      <c r="V147" s="337">
        <v>3738</v>
      </c>
      <c r="W147" s="337">
        <v>489</v>
      </c>
      <c r="X147" s="337">
        <v>42</v>
      </c>
      <c r="Y147" s="337">
        <v>90</v>
      </c>
    </row>
    <row r="148">
      <c r="A148" s="324"/>
      <c r="B148" s="325" t="s">
        <v>260</v>
      </c>
      <c r="C148" s="326" t="s">
        <v>229</v>
      </c>
      <c r="D148" s="326">
        <f t="shared" si="155"/>
      </c>
      <c r="E148" s="327">
        <v>552.8</v>
      </c>
      <c r="F148" s="327">
        <v>3457.71</v>
      </c>
      <c r="G148" s="327">
        <v>4203.85</v>
      </c>
      <c r="H148" s="338">
        <v>36</v>
      </c>
      <c r="I148" s="326">
        <v>22290.48</v>
      </c>
      <c r="J148" s="329">
        <f t="shared" si="247"/>
      </c>
      <c r="K148" s="329">
        <f t="shared" si="285"/>
      </c>
      <c r="L148" s="329">
        <f t="shared" si="320"/>
      </c>
      <c r="M148" s="331">
        <f t="shared" si="13"/>
      </c>
      <c r="N148" s="332">
        <f t="shared" si="79"/>
      </c>
      <c r="O148" s="333">
        <f t="shared" si="109"/>
      </c>
      <c r="P148" s="332">
        <f t="shared" si="45"/>
      </c>
      <c r="Q148" s="334" t="s">
        <v>255</v>
      </c>
      <c r="R148" s="370" t="s">
        <v>263</v>
      </c>
      <c r="S148" s="336">
        <v>197814</v>
      </c>
      <c r="T148" s="336">
        <v>3088</v>
      </c>
      <c r="U148" s="337">
        <v>475</v>
      </c>
      <c r="V148" s="337">
        <v>3562</v>
      </c>
      <c r="W148" s="337">
        <v>437</v>
      </c>
      <c r="X148" s="337">
        <v>46</v>
      </c>
      <c r="Y148" s="337">
        <v>90</v>
      </c>
    </row>
    <row customHeight="true" ht="16.666666666666668" r="149">
      <c r="A149" s="324"/>
      <c r="B149" s="325" t="s">
        <v>260</v>
      </c>
      <c r="C149" s="326" t="s">
        <v>230</v>
      </c>
      <c r="D149" s="326">
        <f t="shared" si="155"/>
      </c>
      <c r="E149" s="327">
        <v>843.12</v>
      </c>
      <c r="F149" s="327">
        <v>5996.38</v>
      </c>
      <c r="G149" s="327">
        <v>4177.84</v>
      </c>
      <c r="H149" s="338">
        <v>46</v>
      </c>
      <c r="I149" s="326">
        <v>20877.879999999997</v>
      </c>
      <c r="J149" s="329">
        <f t="shared" si="247"/>
      </c>
      <c r="K149" s="329">
        <f t="shared" si="285"/>
      </c>
      <c r="L149" s="329">
        <f t="shared" si="320"/>
      </c>
      <c r="M149" s="331">
        <f t="shared" si="13"/>
      </c>
      <c r="N149" s="332">
        <f t="shared" si="79"/>
      </c>
      <c r="O149" s="333">
        <f t="shared" si="109"/>
      </c>
      <c r="P149" s="332">
        <f t="shared" si="45"/>
      </c>
      <c r="Q149" s="334" t="s">
        <v>255</v>
      </c>
      <c r="R149" s="370" t="s">
        <v>263</v>
      </c>
      <c r="S149" s="336">
        <v>250600</v>
      </c>
      <c r="T149" s="336">
        <v>3428</v>
      </c>
      <c r="U149" s="337">
        <v>716</v>
      </c>
      <c r="V149" s="337">
        <v>4269</v>
      </c>
      <c r="W149" s="337">
        <v>623</v>
      </c>
      <c r="X149" s="337">
        <v>74</v>
      </c>
      <c r="Y149" s="337">
        <v>99</v>
      </c>
    </row>
    <row r="150">
      <c r="A150" s="324"/>
      <c r="B150" s="325" t="s">
        <v>260</v>
      </c>
      <c r="C150" s="327" t="s">
        <v>231</v>
      </c>
      <c r="D150" s="326">
        <f t="shared" si="155"/>
      </c>
      <c r="E150" s="327">
        <v>965.11</v>
      </c>
      <c r="F150" s="327">
        <v>1309.05</v>
      </c>
      <c r="G150" s="327">
        <v>4856.94</v>
      </c>
      <c r="H150" s="338">
        <v>30</v>
      </c>
      <c r="I150" s="326">
        <v>18895.559999999998</v>
      </c>
      <c r="J150" s="329">
        <f t="shared" si="247"/>
      </c>
      <c r="K150" s="329">
        <f t="shared" si="285"/>
      </c>
      <c r="L150" s="329">
        <f t="shared" si="320"/>
      </c>
      <c r="M150" s="331">
        <f t="shared" si="13"/>
      </c>
      <c r="N150" s="332">
        <f t="shared" si="79"/>
      </c>
      <c r="O150" s="333">
        <f t="shared" si="109"/>
      </c>
      <c r="P150" s="332">
        <f t="shared" si="45"/>
      </c>
      <c r="Q150" s="334" t="s">
        <v>255</v>
      </c>
      <c r="R150" s="370" t="s">
        <v>263</v>
      </c>
      <c r="S150" s="336">
        <v>207647</v>
      </c>
      <c r="T150" s="336">
        <v>2665</v>
      </c>
      <c r="U150" s="337">
        <v>466</v>
      </c>
      <c r="V150" s="337">
        <v>3406</v>
      </c>
      <c r="W150" s="337">
        <v>461</v>
      </c>
      <c r="X150" s="337">
        <v>38</v>
      </c>
      <c r="Y150" s="337">
        <v>72</v>
      </c>
    </row>
    <row r="151">
      <c r="A151" s="324"/>
      <c r="B151" s="339" t="s">
        <v>232</v>
      </c>
      <c r="C151" s="339"/>
      <c r="D151" s="340">
        <f>SUM(D146:D150)</f>
      </c>
      <c r="E151" s="340">
        <f>SUM(E146:E150)</f>
      </c>
      <c r="F151" s="340">
        <f>F146+F147+F148+F149+F150+G150+G149+G148+G147+G146</f>
      </c>
      <c r="G151" s="340"/>
      <c r="H151" s="341">
        <f>SUM(H146:H150)</f>
      </c>
      <c r="I151" s="340">
        <f>SUM(I146:I150)</f>
      </c>
      <c r="J151" s="342">
        <f t="shared" si="247"/>
      </c>
      <c r="K151" s="343">
        <f t="shared" si="285"/>
      </c>
      <c r="L151" s="344">
        <f t="shared" si="320"/>
      </c>
      <c r="M151" s="345">
        <f t="shared" si="13"/>
      </c>
      <c r="N151" s="345">
        <f t="shared" si="79"/>
      </c>
      <c r="O151" s="346">
        <f t="shared" si="109"/>
      </c>
      <c r="P151" s="345">
        <f t="shared" si="45"/>
      </c>
      <c r="Q151" s="346"/>
      <c r="R151" s="346"/>
      <c r="S151" s="341">
        <f>SUM(S146:S150)</f>
      </c>
      <c r="T151" s="341">
        <f>SUM(T146:T150)</f>
      </c>
      <c r="U151" s="341">
        <f>SUM(U146:U150)</f>
      </c>
      <c r="V151" s="341">
        <f>SUM(V146:V150)</f>
      </c>
      <c r="W151" s="341">
        <f>SUM(W146:W150)</f>
      </c>
      <c r="X151" s="341">
        <f>SUM(X146:X150)</f>
      </c>
      <c r="Y151" s="341">
        <f>SUM(Y146:Y150)</f>
      </c>
    </row>
    <row r="152">
      <c r="A152" s="324"/>
      <c r="B152" s="325" t="s">
        <v>233</v>
      </c>
      <c r="C152" s="326" t="s">
        <v>234</v>
      </c>
      <c r="D152" s="326">
        <f t="shared" ref="D152:D155" si="156">E152+G152+F152</f>
      </c>
      <c r="E152" s="327">
        <v>692.32</v>
      </c>
      <c r="F152" s="327">
        <v>1993.22</v>
      </c>
      <c r="G152" s="327">
        <v>1125.38</v>
      </c>
      <c r="H152" s="338">
        <v>6</v>
      </c>
      <c r="I152" s="326">
        <v>3082.340000000011</v>
      </c>
      <c r="J152" s="329">
        <f t="shared" si="247"/>
      </c>
      <c r="K152" s="329">
        <f t="shared" si="285"/>
      </c>
      <c r="L152" s="329">
        <f t="shared" si="320"/>
      </c>
      <c r="M152" s="331">
        <f t="shared" si="13"/>
      </c>
      <c r="N152" s="332">
        <f t="shared" si="79"/>
      </c>
      <c r="O152" s="333">
        <f t="shared" si="109"/>
      </c>
      <c r="P152" s="332">
        <f t="shared" si="45"/>
      </c>
      <c r="Q152" s="334" t="s">
        <v>255</v>
      </c>
      <c r="R152" s="370" t="s">
        <v>263</v>
      </c>
      <c r="S152" s="347">
        <v>81468</v>
      </c>
      <c r="T152" s="347">
        <v>2006</v>
      </c>
      <c r="U152" s="348">
        <v>250</v>
      </c>
      <c r="V152" s="348">
        <v>2496</v>
      </c>
      <c r="W152" s="348">
        <v>267</v>
      </c>
      <c r="X152" s="348">
        <v>25</v>
      </c>
      <c r="Y152" s="348">
        <v>32</v>
      </c>
    </row>
    <row r="153">
      <c r="A153" s="324"/>
      <c r="B153" s="325" t="s">
        <v>233</v>
      </c>
      <c r="C153" s="326" t="s">
        <v>235</v>
      </c>
      <c r="D153" s="326">
        <f t="shared" si="156"/>
      </c>
      <c r="E153" s="349">
        <v>588.6</v>
      </c>
      <c r="F153" s="327">
        <v>2212.1</v>
      </c>
      <c r="G153" s="327">
        <v>1404.47</v>
      </c>
      <c r="H153" s="328">
        <v>21</v>
      </c>
      <c r="I153" s="327">
        <v>10084.399999999994</v>
      </c>
      <c r="J153" s="329">
        <f t="shared" si="247"/>
      </c>
      <c r="K153" s="329">
        <f t="shared" si="285"/>
      </c>
      <c r="L153" s="329">
        <f t="shared" si="320"/>
      </c>
      <c r="M153" s="331">
        <f t="shared" si="13"/>
      </c>
      <c r="N153" s="332">
        <f t="shared" si="79"/>
      </c>
      <c r="O153" s="333">
        <f t="shared" si="109"/>
      </c>
      <c r="P153" s="332">
        <f t="shared" si="45"/>
      </c>
      <c r="Q153" s="334" t="s">
        <v>255</v>
      </c>
      <c r="R153" s="370" t="s">
        <v>263</v>
      </c>
      <c r="S153" s="347">
        <v>97104</v>
      </c>
      <c r="T153" s="347">
        <v>2440</v>
      </c>
      <c r="U153" s="348">
        <v>292</v>
      </c>
      <c r="V153" s="348">
        <v>3010</v>
      </c>
      <c r="W153" s="348">
        <v>319</v>
      </c>
      <c r="X153" s="348">
        <v>31</v>
      </c>
      <c r="Y153" s="348">
        <v>64</v>
      </c>
    </row>
    <row customHeight="true" ht="16.666666666666668" r="154">
      <c r="A154" s="324"/>
      <c r="B154" s="325" t="s">
        <v>233</v>
      </c>
      <c r="C154" s="327" t="s">
        <v>236</v>
      </c>
      <c r="D154" s="326">
        <f t="shared" si="156"/>
      </c>
      <c r="E154" s="349">
        <v>1040.83</v>
      </c>
      <c r="F154" s="327">
        <v>2256.46</v>
      </c>
      <c r="G154" s="327">
        <v>1189.68</v>
      </c>
      <c r="H154" s="328">
        <v>16</v>
      </c>
      <c r="I154" s="327">
        <v>7070.759999999995</v>
      </c>
      <c r="J154" s="329">
        <f t="shared" si="247"/>
      </c>
      <c r="K154" s="329">
        <f t="shared" si="285"/>
      </c>
      <c r="L154" s="329">
        <f t="shared" si="320"/>
      </c>
      <c r="M154" s="331">
        <f t="shared" si="13"/>
      </c>
      <c r="N154" s="332">
        <f t="shared" si="79"/>
      </c>
      <c r="O154" s="333">
        <f t="shared" si="109"/>
      </c>
      <c r="P154" s="332">
        <f t="shared" si="45"/>
      </c>
      <c r="Q154" s="334" t="s">
        <v>255</v>
      </c>
      <c r="R154" s="370" t="s">
        <v>263</v>
      </c>
      <c r="S154" s="347">
        <v>109111</v>
      </c>
      <c r="T154" s="347">
        <v>3531</v>
      </c>
      <c r="U154" s="348">
        <v>360</v>
      </c>
      <c r="V154" s="348">
        <v>5203</v>
      </c>
      <c r="W154" s="348">
        <v>552</v>
      </c>
      <c r="X154" s="348">
        <v>40</v>
      </c>
      <c r="Y154" s="348">
        <v>55</v>
      </c>
    </row>
    <row r="155">
      <c r="A155" s="324"/>
      <c r="B155" s="325" t="s">
        <v>233</v>
      </c>
      <c r="C155" s="326" t="s">
        <v>237</v>
      </c>
      <c r="D155" s="326">
        <f t="shared" si="156"/>
      </c>
      <c r="E155" s="327">
        <v>485.62</v>
      </c>
      <c r="F155" s="327">
        <v>2875.52</v>
      </c>
      <c r="G155" s="327">
        <v>1210.71</v>
      </c>
      <c r="H155" s="338">
        <v>16</v>
      </c>
      <c r="I155" s="326">
        <v>7085.460000000006</v>
      </c>
      <c r="J155" s="329">
        <f t="shared" si="247"/>
      </c>
      <c r="K155" s="329">
        <f t="shared" si="285"/>
      </c>
      <c r="L155" s="329">
        <f t="shared" si="320"/>
      </c>
      <c r="M155" s="331">
        <f t="shared" si="13"/>
      </c>
      <c r="N155" s="332">
        <f t="shared" si="79"/>
      </c>
      <c r="O155" s="333">
        <f t="shared" si="109"/>
      </c>
      <c r="P155" s="332">
        <f t="shared" si="45"/>
      </c>
      <c r="Q155" s="334" t="s">
        <v>258</v>
      </c>
      <c r="R155" s="370" t="s">
        <v>263</v>
      </c>
      <c r="S155" s="347">
        <v>114686</v>
      </c>
      <c r="T155" s="347">
        <v>2787</v>
      </c>
      <c r="U155" s="348">
        <v>377</v>
      </c>
      <c r="V155" s="348">
        <v>3356</v>
      </c>
      <c r="W155" s="348">
        <v>358</v>
      </c>
      <c r="X155" s="348">
        <v>117</v>
      </c>
      <c r="Y155" s="348">
        <v>69</v>
      </c>
    </row>
    <row r="156">
      <c r="A156" s="324"/>
      <c r="B156" s="339" t="s">
        <v>232</v>
      </c>
      <c r="C156" s="339"/>
      <c r="D156" s="340">
        <f>SUM(D152:D155)</f>
      </c>
      <c r="E156" s="340">
        <f>SUM(E152:E155)</f>
      </c>
      <c r="F156" s="340">
        <f>F152+F153+F154+F155+G155+G154+G153+G152</f>
      </c>
      <c r="G156" s="340"/>
      <c r="H156" s="341">
        <f>SUM(H152:H155)</f>
      </c>
      <c r="I156" s="340">
        <f>SUM(I152:I155)</f>
      </c>
      <c r="J156" s="342">
        <f t="shared" si="247"/>
      </c>
      <c r="K156" s="343">
        <f t="shared" si="285"/>
      </c>
      <c r="L156" s="344">
        <f t="shared" si="320"/>
      </c>
      <c r="M156" s="345">
        <f t="shared" si="13"/>
      </c>
      <c r="N156" s="345">
        <f t="shared" si="79"/>
      </c>
      <c r="O156" s="346">
        <f t="shared" si="109"/>
      </c>
      <c r="P156" s="345">
        <f t="shared" si="45"/>
      </c>
      <c r="Q156" s="346"/>
      <c r="R156" s="346"/>
      <c r="S156" s="341">
        <f>SUM(S152:S155)</f>
      </c>
      <c r="T156" s="341">
        <f>SUM(T152:T155)</f>
      </c>
      <c r="U156" s="341">
        <f>SUM(U152:U155)</f>
      </c>
      <c r="V156" s="341">
        <f>SUM(V152:V155)</f>
      </c>
      <c r="W156" s="341">
        <f>SUM(W152:W155)</f>
      </c>
      <c r="X156" s="341">
        <f>SUM(X152:X155)</f>
      </c>
      <c r="Y156" s="341">
        <f>SUM(Y152:Y155)</f>
      </c>
    </row>
    <row r="157">
      <c r="A157" s="324"/>
      <c r="B157" s="325" t="s">
        <v>253</v>
      </c>
      <c r="C157" s="326" t="s">
        <v>239</v>
      </c>
      <c r="D157" s="326">
        <f t="shared" ref="D157:D160" si="157">E157+G157+F157</f>
      </c>
      <c r="E157" s="326">
        <v>341.99</v>
      </c>
      <c r="F157" s="326">
        <v>1048.19</v>
      </c>
      <c r="G157" s="326">
        <v>3460.97</v>
      </c>
      <c r="H157" s="338">
        <v>10</v>
      </c>
      <c r="I157" s="326">
        <v>10450.619999999995</v>
      </c>
      <c r="J157" s="329">
        <f t="shared" si="247"/>
      </c>
      <c r="K157" s="329">
        <f t="shared" si="285"/>
      </c>
      <c r="L157" s="329">
        <f t="shared" si="320"/>
      </c>
      <c r="M157" s="331">
        <f t="shared" si="13"/>
      </c>
      <c r="N157" s="332">
        <f t="shared" si="79"/>
      </c>
      <c r="O157" s="333">
        <f t="shared" si="109"/>
      </c>
      <c r="P157" s="332">
        <f t="shared" si="45"/>
      </c>
      <c r="Q157" s="334" t="s">
        <v>258</v>
      </c>
      <c r="R157" s="350" t="s">
        <v>227</v>
      </c>
      <c r="S157" s="347">
        <v>121869</v>
      </c>
      <c r="T157" s="347">
        <v>2486</v>
      </c>
      <c r="U157" s="348">
        <v>357</v>
      </c>
      <c r="V157" s="348">
        <v>2991</v>
      </c>
      <c r="W157" s="348">
        <v>349</v>
      </c>
      <c r="X157" s="348">
        <v>22</v>
      </c>
      <c r="Y157" s="348">
        <v>53</v>
      </c>
    </row>
    <row customHeight="true" ht="16.666666666666668" r="158">
      <c r="A158" s="324"/>
      <c r="B158" s="325" t="s">
        <v>253</v>
      </c>
      <c r="C158" s="327" t="s">
        <v>241</v>
      </c>
      <c r="D158" s="326">
        <f t="shared" si="157"/>
      </c>
      <c r="E158" s="326">
        <v>307.23</v>
      </c>
      <c r="F158" s="326">
        <v>2369.04</v>
      </c>
      <c r="G158" s="326">
        <v>1425.64</v>
      </c>
      <c r="H158" s="338">
        <v>19</v>
      </c>
      <c r="I158" s="326">
        <v>11763.199999999997</v>
      </c>
      <c r="J158" s="329">
        <f t="shared" si="247"/>
      </c>
      <c r="K158" s="329">
        <f t="shared" si="285"/>
      </c>
      <c r="L158" s="329">
        <f t="shared" si="320"/>
      </c>
      <c r="M158" s="331">
        <f t="shared" si="13"/>
      </c>
      <c r="N158" s="332">
        <f t="shared" si="79"/>
      </c>
      <c r="O158" s="333">
        <f t="shared" si="109"/>
      </c>
      <c r="P158" s="332">
        <f t="shared" si="45"/>
      </c>
      <c r="Q158" s="334" t="s">
        <v>258</v>
      </c>
      <c r="R158" s="350" t="s">
        <v>227</v>
      </c>
      <c r="S158" s="347">
        <v>96238</v>
      </c>
      <c r="T158" s="347">
        <v>2095</v>
      </c>
      <c r="U158" s="348">
        <v>297</v>
      </c>
      <c r="V158" s="348">
        <v>2388</v>
      </c>
      <c r="W158" s="348">
        <v>250</v>
      </c>
      <c r="X158" s="348">
        <v>41</v>
      </c>
      <c r="Y158" s="348">
        <v>39</v>
      </c>
    </row>
    <row customHeight="true" ht="16.666666666666668" r="159">
      <c r="A159" s="324"/>
      <c r="B159" s="325" t="s">
        <v>253</v>
      </c>
      <c r="C159" s="327" t="s">
        <v>242</v>
      </c>
      <c r="D159" s="326">
        <f t="shared" si="157"/>
      </c>
      <c r="E159" s="326">
        <v>831.81</v>
      </c>
      <c r="F159" s="326">
        <v>2672.92</v>
      </c>
      <c r="G159" s="326">
        <v>1642.91</v>
      </c>
      <c r="H159" s="338">
        <v>13</v>
      </c>
      <c r="I159" s="326">
        <v>4131.5</v>
      </c>
      <c r="J159" s="329">
        <f t="shared" si="247"/>
      </c>
      <c r="K159" s="329">
        <f t="shared" si="285"/>
      </c>
      <c r="L159" s="329">
        <f t="shared" si="320"/>
      </c>
      <c r="M159" s="331">
        <f t="shared" si="13"/>
      </c>
      <c r="N159" s="332">
        <f t="shared" si="79"/>
      </c>
      <c r="O159" s="333">
        <f t="shared" si="109"/>
      </c>
      <c r="P159" s="332">
        <f t="shared" si="45"/>
      </c>
      <c r="Q159" s="334" t="s">
        <v>258</v>
      </c>
      <c r="R159" s="350" t="s">
        <v>227</v>
      </c>
      <c r="S159" s="347">
        <v>160624</v>
      </c>
      <c r="T159" s="347">
        <v>4080</v>
      </c>
      <c r="U159" s="348">
        <v>431</v>
      </c>
      <c r="V159" s="348">
        <v>5026</v>
      </c>
      <c r="W159" s="348">
        <v>483</v>
      </c>
      <c r="X159" s="348">
        <v>30</v>
      </c>
      <c r="Y159" s="348">
        <v>58</v>
      </c>
    </row>
    <row r="160">
      <c r="A160" s="324"/>
      <c r="B160" s="325" t="s">
        <v>253</v>
      </c>
      <c r="C160" s="327" t="s">
        <v>244</v>
      </c>
      <c r="D160" s="326">
        <f t="shared" si="157"/>
      </c>
      <c r="E160" s="326">
        <v>816.31</v>
      </c>
      <c r="F160" s="326">
        <v>1088.05</v>
      </c>
      <c r="G160" s="326">
        <v>1517.73</v>
      </c>
      <c r="H160" s="338">
        <v>13</v>
      </c>
      <c r="I160" s="326">
        <v>4512.880000000005</v>
      </c>
      <c r="J160" s="329">
        <f t="shared" si="247"/>
      </c>
      <c r="K160" s="329">
        <f t="shared" si="285"/>
      </c>
      <c r="L160" s="329">
        <f t="shared" si="320"/>
      </c>
      <c r="M160" s="331">
        <f t="shared" si="13"/>
      </c>
      <c r="N160" s="332">
        <f t="shared" si="79"/>
      </c>
      <c r="O160" s="333">
        <f t="shared" si="109"/>
      </c>
      <c r="P160" s="332">
        <f t="shared" si="45"/>
      </c>
      <c r="Q160" s="334" t="s">
        <v>258</v>
      </c>
      <c r="R160" s="350" t="s">
        <v>227</v>
      </c>
      <c r="S160" s="347">
        <v>133527</v>
      </c>
      <c r="T160" s="347">
        <v>3782</v>
      </c>
      <c r="U160" s="348">
        <v>318</v>
      </c>
      <c r="V160" s="348">
        <v>5371</v>
      </c>
      <c r="W160" s="348">
        <v>592</v>
      </c>
      <c r="X160" s="348">
        <v>26</v>
      </c>
      <c r="Y160" s="348">
        <v>38</v>
      </c>
    </row>
    <row r="161">
      <c r="A161" s="324"/>
      <c r="B161" s="339" t="s">
        <v>232</v>
      </c>
      <c r="C161" s="339"/>
      <c r="D161" s="340">
        <f>SUM(D157:D160)</f>
      </c>
      <c r="E161" s="341">
        <f>SUM(E157:E160)</f>
      </c>
      <c r="F161" s="340">
        <f>F157+F158+F159+F160+G160+G159+G158+G157</f>
      </c>
      <c r="G161" s="340"/>
      <c r="H161" s="341">
        <f>SUM(H157:H160)</f>
      </c>
      <c r="I161" s="341">
        <f>SUM(I157:I160)</f>
      </c>
      <c r="J161" s="342">
        <f t="shared" si="247"/>
      </c>
      <c r="K161" s="343">
        <f t="shared" si="285"/>
      </c>
      <c r="L161" s="344">
        <f t="shared" si="320"/>
      </c>
      <c r="M161" s="345">
        <f t="shared" si="13"/>
      </c>
      <c r="N161" s="345">
        <f t="shared" si="79"/>
      </c>
      <c r="O161" s="346">
        <f t="shared" si="109"/>
      </c>
      <c r="P161" s="345">
        <f t="shared" si="45"/>
      </c>
      <c r="Q161" s="346"/>
      <c r="R161" s="346"/>
      <c r="S161" s="341">
        <f>SUM(S157:S160)</f>
      </c>
      <c r="T161" s="341">
        <f>SUM(T157:T160)</f>
      </c>
      <c r="U161" s="341">
        <f>SUM(U157:U160)</f>
      </c>
      <c r="V161" s="341">
        <f>SUM(V157:V160)</f>
      </c>
      <c r="W161" s="341">
        <f>SUM(W157:W160)</f>
      </c>
      <c r="X161" s="341">
        <f>SUM(X157:X160)</f>
      </c>
      <c r="Y161" s="341">
        <f>SUM(Y157:Y160)</f>
      </c>
    </row>
    <row r="162">
      <c r="A162" s="324"/>
      <c r="B162" s="325" t="s">
        <v>257</v>
      </c>
      <c r="C162" s="326" t="s">
        <v>245</v>
      </c>
      <c r="D162" s="326">
        <f t="shared" ref="D162:D166" si="158">E162+G162+F162</f>
      </c>
      <c r="E162" s="326">
        <v>1446.27</v>
      </c>
      <c r="F162" s="326">
        <v>502.73</v>
      </c>
      <c r="G162" s="326">
        <v>1790.43</v>
      </c>
      <c r="H162" s="328">
        <v>5</v>
      </c>
      <c r="I162" s="327">
        <v>3807.7399999999907</v>
      </c>
      <c r="J162" s="329">
        <f t="shared" si="247"/>
      </c>
      <c r="K162" s="329">
        <f t="shared" si="285"/>
      </c>
      <c r="L162" s="329">
        <f t="shared" si="320"/>
      </c>
      <c r="M162" s="331">
        <f t="shared" si="13"/>
      </c>
      <c r="N162" s="332">
        <f t="shared" si="79"/>
      </c>
      <c r="O162" s="333">
        <f t="shared" si="109"/>
      </c>
      <c r="P162" s="332">
        <f t="shared" si="45"/>
      </c>
      <c r="Q162" s="334" t="s">
        <v>258</v>
      </c>
      <c r="R162" s="350" t="s">
        <v>227</v>
      </c>
      <c r="S162" s="348">
        <v>122943</v>
      </c>
      <c r="T162" s="348">
        <v>5949</v>
      </c>
      <c r="U162" s="348">
        <v>344</v>
      </c>
      <c r="V162" s="348">
        <v>9858</v>
      </c>
      <c r="W162" s="348">
        <v>1091</v>
      </c>
      <c r="X162" s="348">
        <v>15</v>
      </c>
      <c r="Y162" s="348">
        <v>47</v>
      </c>
    </row>
    <row r="163">
      <c r="A163" s="324"/>
      <c r="B163" s="325" t="s">
        <v>257</v>
      </c>
      <c r="C163" s="327" t="s">
        <v>250</v>
      </c>
      <c r="D163" s="326">
        <f t="shared" si="158"/>
      </c>
      <c r="E163" s="326">
        <v>276.57</v>
      </c>
      <c r="F163" s="326">
        <v>1293.03</v>
      </c>
      <c r="G163" s="326">
        <v>2665.86</v>
      </c>
      <c r="H163" s="328">
        <v>14</v>
      </c>
      <c r="I163" s="327">
        <v>7996.470000000001</v>
      </c>
      <c r="J163" s="329">
        <f t="shared" si="247"/>
      </c>
      <c r="K163" s="329">
        <f t="shared" si="285"/>
      </c>
      <c r="L163" s="329">
        <f t="shared" si="320"/>
      </c>
      <c r="M163" s="331">
        <f t="shared" si="13"/>
      </c>
      <c r="N163" s="332">
        <f t="shared" si="79"/>
      </c>
      <c r="O163" s="333">
        <f t="shared" si="109"/>
      </c>
      <c r="P163" s="332">
        <f t="shared" si="45"/>
      </c>
      <c r="Q163" s="334" t="s">
        <v>258</v>
      </c>
      <c r="R163" s="350" t="s">
        <v>227</v>
      </c>
      <c r="S163" s="361">
        <v>60893</v>
      </c>
      <c r="T163" s="361">
        <v>1818</v>
      </c>
      <c r="U163" s="362">
        <v>273</v>
      </c>
      <c r="V163" s="362">
        <v>2257</v>
      </c>
      <c r="W163" s="362">
        <v>233</v>
      </c>
      <c r="X163" s="348">
        <v>30</v>
      </c>
      <c r="Y163" s="348">
        <v>21</v>
      </c>
    </row>
    <row r="164">
      <c r="A164" s="324"/>
      <c r="B164" s="325" t="s">
        <v>257</v>
      </c>
      <c r="C164" s="327" t="s">
        <v>264</v>
      </c>
      <c r="D164" s="326">
        <f t="shared" si="158"/>
      </c>
      <c r="E164" s="326">
        <v>645.92</v>
      </c>
      <c r="F164" s="326">
        <v>853.72</v>
      </c>
      <c r="G164" s="326">
        <v>3297.29</v>
      </c>
      <c r="H164" s="328">
        <v>27</v>
      </c>
      <c r="I164" s="327">
        <v>12896.050000000017</v>
      </c>
      <c r="J164" s="329">
        <f t="shared" si="247"/>
      </c>
      <c r="K164" s="329">
        <f t="shared" si="285"/>
      </c>
      <c r="L164" s="329">
        <f t="shared" si="320"/>
      </c>
      <c r="M164" s="331">
        <f t="shared" si="13"/>
      </c>
      <c r="N164" s="332">
        <f t="shared" si="79"/>
      </c>
      <c r="O164" s="333">
        <f t="shared" si="109"/>
      </c>
      <c r="P164" s="332">
        <f t="shared" si="45"/>
      </c>
      <c r="Q164" s="334" t="s">
        <v>258</v>
      </c>
      <c r="R164" s="350" t="s">
        <v>227</v>
      </c>
      <c r="S164" s="361">
        <v>77186</v>
      </c>
      <c r="T164" s="361">
        <v>2410</v>
      </c>
      <c r="U164" s="362">
        <v>387</v>
      </c>
      <c r="V164" s="362">
        <v>3343</v>
      </c>
      <c r="W164" s="362">
        <v>391</v>
      </c>
      <c r="X164" s="348">
        <v>50</v>
      </c>
      <c r="Y164" s="348">
        <v>68</v>
      </c>
    </row>
    <row r="165">
      <c r="A165" s="324"/>
      <c r="B165" s="325" t="s">
        <v>257</v>
      </c>
      <c r="C165" s="327" t="s">
        <v>266</v>
      </c>
      <c r="D165" s="326">
        <f t="shared" si="158"/>
      </c>
      <c r="E165" s="327">
        <v>806.46</v>
      </c>
      <c r="F165" s="327">
        <v>883.51</v>
      </c>
      <c r="G165" s="327">
        <v>3565.82</v>
      </c>
      <c r="H165" s="328">
        <v>16</v>
      </c>
      <c r="I165" s="327">
        <v>11165.399999999994</v>
      </c>
      <c r="J165" s="329">
        <f t="shared" si="247"/>
      </c>
      <c r="K165" s="329">
        <f t="shared" si="285"/>
      </c>
      <c r="L165" s="329">
        <f t="shared" si="320"/>
      </c>
      <c r="M165" s="331">
        <f t="shared" si="13"/>
      </c>
      <c r="N165" s="332">
        <f t="shared" si="79"/>
      </c>
      <c r="O165" s="333">
        <f t="shared" si="109"/>
      </c>
      <c r="P165" s="332">
        <f t="shared" si="45"/>
      </c>
      <c r="Q165" s="334" t="s">
        <v>258</v>
      </c>
      <c r="R165" s="350" t="s">
        <v>227</v>
      </c>
      <c r="S165" s="361">
        <v>76251</v>
      </c>
      <c r="T165" s="361">
        <v>2164</v>
      </c>
      <c r="U165" s="362">
        <v>319</v>
      </c>
      <c r="V165" s="362">
        <v>3137</v>
      </c>
      <c r="W165" s="362">
        <v>382</v>
      </c>
      <c r="X165" s="348">
        <v>44</v>
      </c>
      <c r="Y165" s="348">
        <v>67</v>
      </c>
    </row>
    <row customHeight="true" ht="16.666666666666668" r="166">
      <c r="A166" s="324"/>
      <c r="B166" s="325" t="s">
        <v>257</v>
      </c>
      <c r="C166" s="327" t="s">
        <v>267</v>
      </c>
      <c r="D166" s="326">
        <f t="shared" si="158"/>
      </c>
      <c r="E166" s="327">
        <v>1404.67</v>
      </c>
      <c r="F166" s="327">
        <v>462.06</v>
      </c>
      <c r="G166" s="327">
        <v>2982.88</v>
      </c>
      <c r="H166" s="328">
        <v>38</v>
      </c>
      <c r="I166" s="327">
        <v>21258.959999999992</v>
      </c>
      <c r="J166" s="329">
        <f t="shared" si="247"/>
      </c>
      <c r="K166" s="329">
        <f t="shared" si="285"/>
      </c>
      <c r="L166" s="329">
        <f t="shared" si="320"/>
      </c>
      <c r="M166" s="331">
        <f t="shared" si="13"/>
      </c>
      <c r="N166" s="332">
        <f t="shared" si="79"/>
      </c>
      <c r="O166" s="333">
        <f t="shared" si="109"/>
      </c>
      <c r="P166" s="332">
        <f t="shared" si="45"/>
      </c>
      <c r="Q166" s="334" t="s">
        <v>258</v>
      </c>
      <c r="R166" s="350" t="s">
        <v>227</v>
      </c>
      <c r="S166" s="361">
        <v>96253</v>
      </c>
      <c r="T166" s="361">
        <v>4658</v>
      </c>
      <c r="U166" s="362">
        <v>467</v>
      </c>
      <c r="V166" s="362">
        <v>7016</v>
      </c>
      <c r="W166" s="362">
        <v>816</v>
      </c>
      <c r="X166" s="348">
        <v>54</v>
      </c>
      <c r="Y166" s="348">
        <v>67</v>
      </c>
    </row>
    <row r="167">
      <c r="A167" s="324"/>
      <c r="B167" s="339" t="s">
        <v>232</v>
      </c>
      <c r="C167" s="339"/>
      <c r="D167" s="340">
        <f>SUM(D162:D166)</f>
      </c>
      <c r="E167" s="341">
        <f>SUM(E162:E166)</f>
      </c>
      <c r="F167" s="340">
        <f>F162+F163+F164+F165+F166+G166+G165+G164+G163+G162</f>
      </c>
      <c r="G167" s="340"/>
      <c r="H167" s="341">
        <f>SUM(H162:H166)</f>
      </c>
      <c r="I167" s="341">
        <f>SUM(I162:I166)</f>
      </c>
      <c r="J167" s="342">
        <f t="shared" si="247"/>
      </c>
      <c r="K167" s="343">
        <f t="shared" si="285"/>
      </c>
      <c r="L167" s="344">
        <f t="shared" si="320"/>
      </c>
      <c r="M167" s="345">
        <f t="shared" si="13"/>
      </c>
      <c r="N167" s="345">
        <f t="shared" si="79"/>
      </c>
      <c r="O167" s="346">
        <f t="shared" si="109"/>
      </c>
      <c r="P167" s="345">
        <f t="shared" si="45"/>
      </c>
      <c r="Q167" s="346"/>
      <c r="R167" s="351"/>
      <c r="S167" s="341">
        <f>SUM(S162:S166)</f>
      </c>
      <c r="T167" s="341">
        <f>SUM(T162:T166)</f>
      </c>
      <c r="U167" s="341">
        <f>SUM(U162:U166)</f>
      </c>
      <c r="V167" s="341">
        <f>SUM(V162:V166)</f>
      </c>
      <c r="W167" s="341">
        <f>SUM(W162:W166)</f>
      </c>
      <c r="X167" s="341">
        <f>SUM(X162:X166)</f>
      </c>
      <c r="Y167" s="341">
        <f>SUM(Y162:Y166)</f>
      </c>
    </row>
    <row r="168">
      <c r="A168" s="324"/>
      <c r="B168" s="353" t="s">
        <v>246</v>
      </c>
      <c r="C168" s="353"/>
      <c r="D168" s="354">
        <f>D167+D161+D156+D151</f>
      </c>
      <c r="E168" s="354">
        <f>E167+E161+E156+E151</f>
      </c>
      <c r="F168" s="354">
        <f>F167+F161+F156+F151</f>
      </c>
      <c r="G168" s="354"/>
      <c r="H168" s="355">
        <f>H167+H161+H156+H151</f>
      </c>
      <c r="I168" s="354">
        <f>I167+I161+I156+I151</f>
      </c>
      <c r="J168" s="356">
        <f t="shared" si="247"/>
      </c>
      <c r="K168" s="356">
        <f t="shared" si="285"/>
      </c>
      <c r="L168" s="356">
        <f t="shared" si="320"/>
      </c>
      <c r="M168" s="357">
        <f t="shared" si="13"/>
      </c>
      <c r="N168" s="357">
        <f t="shared" si="79"/>
      </c>
      <c r="O168" s="356">
        <f t="shared" si="109"/>
      </c>
      <c r="P168" s="357">
        <f t="shared" si="45"/>
      </c>
      <c r="Q168" s="358"/>
      <c r="R168" s="359"/>
      <c r="S168" s="355">
        <f>S167+S161+S156+S151</f>
      </c>
      <c r="T168" s="355">
        <f>T167+T161+T156+T151</f>
      </c>
      <c r="U168" s="355">
        <f>U167+U161+U156+U151</f>
      </c>
      <c r="V168" s="355">
        <f>V167+V161+V156+V151</f>
      </c>
      <c r="W168" s="355">
        <f>W167+W161+W156+W151</f>
      </c>
      <c r="X168" s="360">
        <f>X167+X161+X156+X151</f>
      </c>
      <c r="Y168" s="355">
        <f>Y167+Y161+Y156+Y151</f>
      </c>
    </row>
    <row r="169">
      <c r="A169" s="311" t="s">
        <v>195</v>
      </c>
      <c r="B169" s="311"/>
      <c r="C169" s="311"/>
      <c r="D169" s="312" t="s">
        <v>196</v>
      </c>
      <c r="E169" s="312"/>
      <c r="F169" s="312"/>
      <c r="G169" s="312"/>
      <c r="H169" s="312"/>
      <c r="I169" s="312"/>
      <c r="J169" s="312"/>
      <c r="K169" s="312"/>
      <c r="L169" s="312"/>
      <c r="M169" s="313" t="s">
        <v>197</v>
      </c>
      <c r="N169" s="313"/>
      <c r="O169" s="313"/>
      <c r="P169" s="313"/>
      <c r="Q169" s="313"/>
      <c r="R169" s="313"/>
      <c r="S169" s="314" t="s">
        <v>198</v>
      </c>
      <c r="T169" s="314"/>
      <c r="U169" s="314"/>
      <c r="V169" s="314"/>
      <c r="W169" s="314"/>
      <c r="X169" s="314"/>
      <c r="Y169" s="314"/>
    </row>
    <row r="170">
      <c r="A170" s="315" t="s">
        <v>199</v>
      </c>
      <c r="B170" s="311" t="s">
        <v>200</v>
      </c>
      <c r="C170" s="311" t="s">
        <v>201</v>
      </c>
      <c r="D170" s="312" t="s">
        <v>202</v>
      </c>
      <c r="E170" s="316" t="s">
        <v>203</v>
      </c>
      <c r="F170" s="312" t="s">
        <v>204</v>
      </c>
      <c r="G170" s="312"/>
      <c r="H170" s="317" t="s">
        <v>205</v>
      </c>
      <c r="I170" s="312" t="s">
        <v>206</v>
      </c>
      <c r="J170" s="318" t="s">
        <v>207</v>
      </c>
      <c r="K170" s="319" t="s">
        <v>208</v>
      </c>
      <c r="L170" s="312" t="s">
        <v>209</v>
      </c>
      <c r="M170" s="313" t="s">
        <v>210</v>
      </c>
      <c r="N170" s="313" t="s">
        <v>211</v>
      </c>
      <c r="O170" s="313" t="s">
        <v>212</v>
      </c>
      <c r="P170" s="320" t="s">
        <v>213</v>
      </c>
      <c r="Q170" s="321" t="s">
        <v>214</v>
      </c>
      <c r="R170" s="321" t="s">
        <v>215</v>
      </c>
      <c r="S170" s="366" t="s">
        <v>216</v>
      </c>
      <c r="T170" s="366" t="s">
        <v>217</v>
      </c>
      <c r="U170" s="323" t="s">
        <v>218</v>
      </c>
      <c r="V170" s="323" t="s">
        <v>219</v>
      </c>
      <c r="W170" s="323" t="s">
        <v>220</v>
      </c>
      <c r="X170" s="322" t="s">
        <v>221</v>
      </c>
      <c r="Y170" s="322" t="s">
        <v>222</v>
      </c>
    </row>
    <row r="171">
      <c r="A171" s="324" t="s">
        <v>268</v>
      </c>
      <c r="B171" s="325" t="s">
        <v>260</v>
      </c>
      <c r="C171" s="326" t="s">
        <v>225</v>
      </c>
      <c r="D171" s="326">
        <f t="shared" ref="D171:D175" si="159">E171+G171+F171</f>
      </c>
      <c r="E171" s="327">
        <v>1205.22</v>
      </c>
      <c r="F171" s="327">
        <v>3818.81</v>
      </c>
      <c r="G171" s="327">
        <v>1201.69</v>
      </c>
      <c r="H171" s="328">
        <v>30</v>
      </c>
      <c r="I171" s="326">
        <v>20971.92</v>
      </c>
      <c r="J171" s="329">
        <f t="shared" ref="J171:J192" si="248">I171/D171</f>
      </c>
      <c r="K171" s="330">
        <f t="shared" ref="K171:K192" si="286">D171/H171</f>
      </c>
      <c r="L171" s="329">
        <f t="shared" ref="L171:L192" si="321">I171/H171</f>
      </c>
      <c r="M171" s="331">
        <f t="shared" ref="M171:M192" si="14">T171/S171</f>
      </c>
      <c r="N171" s="332">
        <f t="shared" ref="N171:N192" si="80">H171/X171</f>
      </c>
      <c r="O171" s="333">
        <f t="shared" ref="O171:O192" si="110">(Y171*1000)/D171</f>
      </c>
      <c r="P171" s="332">
        <f t="shared" ref="P171:P192" si="46">W171/V171</f>
      </c>
      <c r="Q171" s="334" t="s">
        <v>255</v>
      </c>
      <c r="R171" s="370" t="s">
        <v>269</v>
      </c>
      <c r="S171" s="336">
        <v>157221</v>
      </c>
      <c r="T171" s="336">
        <v>6876</v>
      </c>
      <c r="U171" s="368">
        <v>492</v>
      </c>
      <c r="V171" s="337">
        <v>9451</v>
      </c>
      <c r="W171" s="337">
        <v>1073</v>
      </c>
      <c r="X171" s="337">
        <v>99</v>
      </c>
      <c r="Y171" s="337">
        <v>143</v>
      </c>
    </row>
    <row r="172">
      <c r="A172" s="324"/>
      <c r="B172" s="325" t="s">
        <v>260</v>
      </c>
      <c r="C172" s="326" t="s">
        <v>228</v>
      </c>
      <c r="D172" s="326">
        <f t="shared" si="159"/>
      </c>
      <c r="E172" s="327">
        <v>1265.91</v>
      </c>
      <c r="F172" s="327">
        <v>8802.1</v>
      </c>
      <c r="G172" s="327">
        <v>3603</v>
      </c>
      <c r="H172" s="328">
        <v>52</v>
      </c>
      <c r="I172" s="326">
        <v>32931.16</v>
      </c>
      <c r="J172" s="329">
        <f t="shared" si="248"/>
      </c>
      <c r="K172" s="329">
        <f t="shared" si="286"/>
      </c>
      <c r="L172" s="330">
        <f t="shared" si="321"/>
      </c>
      <c r="M172" s="331">
        <f t="shared" si="14"/>
      </c>
      <c r="N172" s="332">
        <f t="shared" si="80"/>
      </c>
      <c r="O172" s="333">
        <f t="shared" si="110"/>
      </c>
      <c r="P172" s="332">
        <f t="shared" si="46"/>
      </c>
      <c r="Q172" s="334" t="s">
        <v>255</v>
      </c>
      <c r="R172" s="370" t="s">
        <v>269</v>
      </c>
      <c r="S172" s="369">
        <v>424101</v>
      </c>
      <c r="T172" s="369">
        <v>10706</v>
      </c>
      <c r="U172" s="337">
        <v>985</v>
      </c>
      <c r="V172" s="337">
        <v>14266</v>
      </c>
      <c r="W172" s="337">
        <v>1708</v>
      </c>
      <c r="X172" s="337">
        <v>86</v>
      </c>
      <c r="Y172" s="337">
        <v>123</v>
      </c>
    </row>
    <row r="173">
      <c r="A173" s="324"/>
      <c r="B173" s="325" t="s">
        <v>260</v>
      </c>
      <c r="C173" s="326" t="s">
        <v>229</v>
      </c>
      <c r="D173" s="326">
        <f t="shared" si="159"/>
      </c>
      <c r="E173" s="327">
        <v>500.59</v>
      </c>
      <c r="F173" s="327">
        <v>7118.49</v>
      </c>
      <c r="G173" s="327">
        <v>3843.13</v>
      </c>
      <c r="H173" s="338">
        <v>33</v>
      </c>
      <c r="I173" s="326">
        <v>17925.880000000005</v>
      </c>
      <c r="J173" s="329">
        <f t="shared" si="248"/>
      </c>
      <c r="K173" s="329">
        <f t="shared" si="286"/>
      </c>
      <c r="L173" s="329">
        <f t="shared" si="321"/>
      </c>
      <c r="M173" s="331">
        <f t="shared" si="14"/>
      </c>
      <c r="N173" s="332">
        <f t="shared" si="80"/>
      </c>
      <c r="O173" s="333">
        <f t="shared" si="110"/>
      </c>
      <c r="P173" s="332">
        <f t="shared" si="46"/>
      </c>
      <c r="Q173" s="334" t="s">
        <v>255</v>
      </c>
      <c r="R173" s="370" t="s">
        <v>269</v>
      </c>
      <c r="S173" s="336">
        <v>329455</v>
      </c>
      <c r="T173" s="336">
        <v>4943</v>
      </c>
      <c r="U173" s="337">
        <v>648</v>
      </c>
      <c r="V173" s="337">
        <v>5816</v>
      </c>
      <c r="W173" s="337">
        <v>690</v>
      </c>
      <c r="X173" s="337">
        <v>57</v>
      </c>
      <c r="Y173" s="337">
        <v>103</v>
      </c>
    </row>
    <row customHeight="true" ht="16.666666666666668" r="174">
      <c r="A174" s="324"/>
      <c r="B174" s="371" t="s">
        <v>260</v>
      </c>
      <c r="C174" s="364" t="s">
        <v>230</v>
      </c>
      <c r="D174" s="326">
        <f t="shared" si="159"/>
      </c>
      <c r="E174" s="364">
        <v>652.72</v>
      </c>
      <c r="F174" s="364">
        <v>3462.99</v>
      </c>
      <c r="G174" s="364">
        <v>1179.2</v>
      </c>
      <c r="H174" s="372">
        <v>17</v>
      </c>
      <c r="I174" s="364">
        <v>9434.289999999994</v>
      </c>
      <c r="J174" s="373">
        <f t="shared" si="248"/>
      </c>
      <c r="K174" s="373">
        <f t="shared" si="286"/>
      </c>
      <c r="L174" s="373">
        <f t="shared" si="321"/>
      </c>
      <c r="M174" s="374">
        <f t="shared" si="14"/>
      </c>
      <c r="N174" s="375">
        <f t="shared" si="80"/>
      </c>
      <c r="O174" s="376">
        <f t="shared" si="110"/>
      </c>
      <c r="P174" s="375">
        <f t="shared" si="46"/>
      </c>
      <c r="Q174" s="377" t="s">
        <v>255</v>
      </c>
      <c r="R174" s="378" t="s">
        <v>269</v>
      </c>
      <c r="S174" s="379">
        <v>98570</v>
      </c>
      <c r="T174" s="379">
        <v>2041</v>
      </c>
      <c r="U174" s="379">
        <v>318</v>
      </c>
      <c r="V174" s="379">
        <v>2588</v>
      </c>
      <c r="W174" s="379">
        <v>331</v>
      </c>
      <c r="X174" s="380">
        <v>33</v>
      </c>
      <c r="Y174" s="380">
        <v>74</v>
      </c>
    </row>
    <row r="175">
      <c r="A175" s="324"/>
      <c r="B175" s="325" t="s">
        <v>260</v>
      </c>
      <c r="C175" s="326" t="s">
        <v>231</v>
      </c>
      <c r="D175" s="326">
        <f t="shared" si="159"/>
      </c>
      <c r="E175" s="327">
        <v>884.21</v>
      </c>
      <c r="F175" s="327">
        <v>4855.23</v>
      </c>
      <c r="G175" s="327">
        <v>993.59</v>
      </c>
      <c r="H175" s="338">
        <v>31</v>
      </c>
      <c r="I175" s="326">
        <v>19310.539999999994</v>
      </c>
      <c r="J175" s="329">
        <f t="shared" si="248"/>
      </c>
      <c r="K175" s="329">
        <f t="shared" si="286"/>
      </c>
      <c r="L175" s="329">
        <f t="shared" si="321"/>
      </c>
      <c r="M175" s="331">
        <f t="shared" si="14"/>
      </c>
      <c r="N175" s="332">
        <f t="shared" si="80"/>
      </c>
      <c r="O175" s="333">
        <f t="shared" si="110"/>
      </c>
      <c r="P175" s="332">
        <f t="shared" si="46"/>
      </c>
      <c r="Q175" s="334" t="s">
        <v>255</v>
      </c>
      <c r="R175" s="370" t="s">
        <v>269</v>
      </c>
      <c r="S175" s="336">
        <v>136658</v>
      </c>
      <c r="T175" s="336">
        <v>2676</v>
      </c>
      <c r="U175" s="337">
        <v>374</v>
      </c>
      <c r="V175" s="337">
        <v>3477</v>
      </c>
      <c r="W175" s="337">
        <v>439</v>
      </c>
      <c r="X175" s="337">
        <v>55</v>
      </c>
      <c r="Y175" s="337">
        <v>74</v>
      </c>
    </row>
    <row r="176">
      <c r="A176" s="324"/>
      <c r="B176" s="339" t="s">
        <v>232</v>
      </c>
      <c r="C176" s="339"/>
      <c r="D176" s="340">
        <f>SUM(D171:D175)</f>
      </c>
      <c r="E176" s="340">
        <f>SUM(E171:E175)</f>
      </c>
      <c r="F176" s="340">
        <f>F172+F173+F174+F175+G175+G174+G173+G172+F171+G171</f>
      </c>
      <c r="G176" s="340"/>
      <c r="H176" s="341">
        <f>SUM(H171:H175)</f>
      </c>
      <c r="I176" s="340">
        <f>SUM(I171:I175)</f>
      </c>
      <c r="J176" s="342">
        <f t="shared" si="248"/>
      </c>
      <c r="K176" s="343">
        <f t="shared" si="286"/>
      </c>
      <c r="L176" s="344">
        <f t="shared" si="321"/>
      </c>
      <c r="M176" s="345">
        <f t="shared" si="14"/>
      </c>
      <c r="N176" s="345">
        <f t="shared" si="80"/>
      </c>
      <c r="O176" s="346">
        <f t="shared" si="110"/>
      </c>
      <c r="P176" s="345">
        <f t="shared" si="46"/>
      </c>
      <c r="Q176" s="346"/>
      <c r="R176" s="346"/>
      <c r="S176" s="341">
        <f>SUM(S171:S175)</f>
      </c>
      <c r="T176" s="341">
        <f>SUM(T171:T175)</f>
      </c>
      <c r="U176" s="341">
        <f>SUM(U171:U175)</f>
      </c>
      <c r="V176" s="341">
        <f>SUM(V171:V175)</f>
      </c>
      <c r="W176" s="341">
        <f>SUM(W171:W175)</f>
      </c>
      <c r="X176" s="341">
        <f>SUM(X171:X175)</f>
      </c>
      <c r="Y176" s="341">
        <f>SUM(Y171:Y175)</f>
      </c>
    </row>
    <row r="177">
      <c r="A177" s="324"/>
      <c r="B177" s="371" t="s">
        <v>257</v>
      </c>
      <c r="C177" s="326" t="s">
        <v>234</v>
      </c>
      <c r="D177" s="326">
        <f t="shared" ref="D177:D180" si="160">E177+G177+F177</f>
      </c>
      <c r="E177" s="327">
        <v>1011.84</v>
      </c>
      <c r="F177" s="327">
        <v>991.46</v>
      </c>
      <c r="G177" s="327">
        <v>4165.67</v>
      </c>
      <c r="H177" s="338">
        <v>19</v>
      </c>
      <c r="I177" s="326">
        <v>9019</v>
      </c>
      <c r="J177" s="329">
        <f t="shared" si="248"/>
      </c>
      <c r="K177" s="329">
        <f t="shared" si="286"/>
      </c>
      <c r="L177" s="329">
        <f t="shared" si="321"/>
      </c>
      <c r="M177" s="331">
        <f t="shared" si="14"/>
      </c>
      <c r="N177" s="332">
        <f t="shared" si="80"/>
      </c>
      <c r="O177" s="333">
        <f t="shared" si="110"/>
      </c>
      <c r="P177" s="332">
        <f t="shared" si="46"/>
      </c>
      <c r="Q177" s="334" t="s">
        <v>255</v>
      </c>
      <c r="R177" s="370" t="s">
        <v>269</v>
      </c>
      <c r="S177" s="347">
        <v>132696</v>
      </c>
      <c r="T177" s="347">
        <v>2855</v>
      </c>
      <c r="U177" s="348">
        <v>325</v>
      </c>
      <c r="V177" s="348">
        <v>3603</v>
      </c>
      <c r="W177" s="348">
        <v>450</v>
      </c>
      <c r="X177" s="348">
        <v>29</v>
      </c>
      <c r="Y177" s="348">
        <v>65</v>
      </c>
    </row>
    <row r="178">
      <c r="A178" s="324"/>
      <c r="B178" s="325" t="s">
        <v>257</v>
      </c>
      <c r="C178" s="327" t="s">
        <v>235</v>
      </c>
      <c r="D178" s="326">
        <f t="shared" si="160"/>
      </c>
      <c r="E178" s="349">
        <v>1282.65</v>
      </c>
      <c r="F178" s="327">
        <v>3428.45</v>
      </c>
      <c r="G178" s="327">
        <v>1831.55</v>
      </c>
      <c r="H178" s="328">
        <v>21</v>
      </c>
      <c r="I178" s="327">
        <v>10537.080000000002</v>
      </c>
      <c r="J178" s="329">
        <f t="shared" si="248"/>
      </c>
      <c r="K178" s="329">
        <f t="shared" si="286"/>
      </c>
      <c r="L178" s="329">
        <f t="shared" si="321"/>
      </c>
      <c r="M178" s="331">
        <f t="shared" si="14"/>
      </c>
      <c r="N178" s="332">
        <f t="shared" si="80"/>
      </c>
      <c r="O178" s="333">
        <f t="shared" si="110"/>
      </c>
      <c r="P178" s="332">
        <f t="shared" si="46"/>
      </c>
      <c r="Q178" s="334" t="s">
        <v>255</v>
      </c>
      <c r="R178" s="350" t="s">
        <v>227</v>
      </c>
      <c r="S178" s="347">
        <v>120495</v>
      </c>
      <c r="T178" s="347">
        <v>4064</v>
      </c>
      <c r="U178" s="348">
        <v>402</v>
      </c>
      <c r="V178" s="348">
        <v>4908</v>
      </c>
      <c r="W178" s="348">
        <v>507</v>
      </c>
      <c r="X178" s="348">
        <v>34</v>
      </c>
      <c r="Y178" s="348">
        <v>90</v>
      </c>
    </row>
    <row r="179">
      <c r="A179" s="324"/>
      <c r="B179" s="371" t="s">
        <v>257</v>
      </c>
      <c r="C179" s="326" t="s">
        <v>236</v>
      </c>
      <c r="D179" s="326">
        <f t="shared" si="160"/>
      </c>
      <c r="E179" s="349">
        <v>638.3</v>
      </c>
      <c r="F179" s="327">
        <v>4318.02</v>
      </c>
      <c r="G179" s="327">
        <v>730.74</v>
      </c>
      <c r="H179" s="328">
        <v>27</v>
      </c>
      <c r="I179" s="327">
        <v>12094.959999999992</v>
      </c>
      <c r="J179" s="329">
        <f t="shared" si="248"/>
      </c>
      <c r="K179" s="329">
        <f t="shared" si="286"/>
      </c>
      <c r="L179" s="329">
        <f t="shared" si="321"/>
      </c>
      <c r="M179" s="331">
        <f t="shared" si="14"/>
      </c>
      <c r="N179" s="332">
        <f t="shared" si="80"/>
      </c>
      <c r="O179" s="333">
        <f t="shared" si="110"/>
      </c>
      <c r="P179" s="332">
        <f t="shared" si="46"/>
      </c>
      <c r="Q179" s="334" t="s">
        <v>255</v>
      </c>
      <c r="R179" s="350" t="s">
        <v>227</v>
      </c>
      <c r="S179" s="347">
        <v>119933</v>
      </c>
      <c r="T179" s="347">
        <v>4026</v>
      </c>
      <c r="U179" s="348">
        <v>355</v>
      </c>
      <c r="V179" s="348">
        <v>4548</v>
      </c>
      <c r="W179" s="348">
        <v>398</v>
      </c>
      <c r="X179" s="348">
        <v>49</v>
      </c>
      <c r="Y179" s="348">
        <v>75</v>
      </c>
    </row>
    <row r="180">
      <c r="A180" s="324"/>
      <c r="B180" s="371" t="s">
        <v>257</v>
      </c>
      <c r="C180" s="326" t="s">
        <v>237</v>
      </c>
      <c r="D180" s="326">
        <f t="shared" si="160"/>
      </c>
      <c r="E180" s="327">
        <v>389.72</v>
      </c>
      <c r="F180" s="327">
        <v>739.2</v>
      </c>
      <c r="G180" s="327">
        <v>2990.25</v>
      </c>
      <c r="H180" s="338">
        <v>14</v>
      </c>
      <c r="I180" s="326">
        <v>11158.920000000013</v>
      </c>
      <c r="J180" s="329">
        <f t="shared" si="248"/>
      </c>
      <c r="K180" s="329">
        <f t="shared" si="286"/>
      </c>
      <c r="L180" s="329">
        <f t="shared" si="321"/>
      </c>
      <c r="M180" s="331">
        <f t="shared" si="14"/>
      </c>
      <c r="N180" s="332">
        <f t="shared" si="80"/>
      </c>
      <c r="O180" s="333">
        <f t="shared" si="110"/>
      </c>
      <c r="P180" s="332">
        <f t="shared" si="46"/>
      </c>
      <c r="Q180" s="334" t="s">
        <v>258</v>
      </c>
      <c r="R180" s="350" t="s">
        <v>227</v>
      </c>
      <c r="S180" s="347">
        <v>83141</v>
      </c>
      <c r="T180" s="347">
        <v>2725</v>
      </c>
      <c r="U180" s="348">
        <v>263</v>
      </c>
      <c r="V180" s="348">
        <v>3047</v>
      </c>
      <c r="W180" s="348">
        <v>281</v>
      </c>
      <c r="X180" s="348">
        <v>29</v>
      </c>
      <c r="Y180" s="348">
        <v>35</v>
      </c>
    </row>
    <row r="181">
      <c r="A181" s="324"/>
      <c r="B181" s="339" t="s">
        <v>232</v>
      </c>
      <c r="C181" s="339"/>
      <c r="D181" s="340">
        <f>SUM(D177:D180)</f>
      </c>
      <c r="E181" s="340">
        <f>SUM(E177:E180)</f>
      </c>
      <c r="F181" s="340">
        <f>F177+F178+F179+F180+G180+G179+G178+G177</f>
      </c>
      <c r="G181" s="340"/>
      <c r="H181" s="341">
        <f>SUM(H177:H180)</f>
      </c>
      <c r="I181" s="340">
        <f>SUM(I177:I180)</f>
      </c>
      <c r="J181" s="342">
        <f t="shared" si="248"/>
      </c>
      <c r="K181" s="343">
        <f t="shared" si="286"/>
      </c>
      <c r="L181" s="344">
        <f t="shared" si="321"/>
      </c>
      <c r="M181" s="345">
        <f t="shared" si="14"/>
      </c>
      <c r="N181" s="345">
        <f t="shared" si="80"/>
      </c>
      <c r="O181" s="346">
        <f t="shared" si="110"/>
      </c>
      <c r="P181" s="345">
        <f t="shared" si="46"/>
      </c>
      <c r="Q181" s="346"/>
      <c r="R181" s="346"/>
      <c r="S181" s="341">
        <f>SUM(S177:S180)</f>
      </c>
      <c r="T181" s="341">
        <f>SUM(T177:T180)</f>
      </c>
      <c r="U181" s="341">
        <f>SUM(U177:U180)</f>
      </c>
      <c r="V181" s="341">
        <f>SUM(V177:V180)</f>
      </c>
      <c r="W181" s="341">
        <f>SUM(W177:W180)</f>
      </c>
      <c r="X181" s="341">
        <f>SUM(X177:X180)</f>
      </c>
      <c r="Y181" s="341">
        <f>SUM(Y177:Y180)</f>
      </c>
    </row>
    <row r="182">
      <c r="A182" s="324"/>
      <c r="B182" s="325" t="s">
        <v>253</v>
      </c>
      <c r="C182" s="327" t="s">
        <v>239</v>
      </c>
      <c r="D182" s="326">
        <f t="shared" ref="D182:D185" si="161">E182+G182+F182</f>
      </c>
      <c r="E182" s="326">
        <v>342.41</v>
      </c>
      <c r="F182" s="326">
        <v>3049.29</v>
      </c>
      <c r="G182" s="326">
        <v>711.99</v>
      </c>
      <c r="H182" s="338">
        <v>5</v>
      </c>
      <c r="I182" s="326">
        <v>3330.0199999999895</v>
      </c>
      <c r="J182" s="329">
        <f t="shared" si="248"/>
      </c>
      <c r="K182" s="329">
        <f t="shared" si="286"/>
      </c>
      <c r="L182" s="329">
        <f t="shared" si="321"/>
      </c>
      <c r="M182" s="331">
        <f t="shared" si="14"/>
      </c>
      <c r="N182" s="332">
        <f t="shared" si="80"/>
      </c>
      <c r="O182" s="333">
        <f t="shared" si="110"/>
      </c>
      <c r="P182" s="332">
        <f t="shared" si="46"/>
      </c>
      <c r="Q182" s="334" t="s">
        <v>258</v>
      </c>
      <c r="R182" s="350" t="s">
        <v>227</v>
      </c>
      <c r="S182" s="347">
        <v>73149</v>
      </c>
      <c r="T182" s="347">
        <v>2907</v>
      </c>
      <c r="U182" s="348">
        <v>236</v>
      </c>
      <c r="V182" s="348">
        <v>3207</v>
      </c>
      <c r="W182" s="348">
        <v>242</v>
      </c>
      <c r="X182" s="348">
        <v>18</v>
      </c>
      <c r="Y182" s="348">
        <v>43</v>
      </c>
    </row>
    <row r="183">
      <c r="A183" s="324"/>
      <c r="B183" s="325" t="s">
        <v>253</v>
      </c>
      <c r="C183" s="327" t="s">
        <v>241</v>
      </c>
      <c r="D183" s="326">
        <f t="shared" si="161"/>
      </c>
      <c r="E183" s="326">
        <v>203.22</v>
      </c>
      <c r="F183" s="326">
        <v>2458.29</v>
      </c>
      <c r="G183" s="326">
        <v>1437.77</v>
      </c>
      <c r="H183" s="338">
        <v>18</v>
      </c>
      <c r="I183" s="326">
        <v>7105.100000000006</v>
      </c>
      <c r="J183" s="329">
        <f t="shared" si="248"/>
      </c>
      <c r="K183" s="329">
        <f t="shared" si="286"/>
      </c>
      <c r="L183" s="329">
        <f t="shared" si="321"/>
      </c>
      <c r="M183" s="331">
        <f t="shared" si="14"/>
      </c>
      <c r="N183" s="332">
        <f t="shared" si="80"/>
      </c>
      <c r="O183" s="333">
        <f t="shared" si="110"/>
      </c>
      <c r="P183" s="332">
        <f t="shared" si="46"/>
      </c>
      <c r="Q183" s="334" t="s">
        <v>258</v>
      </c>
      <c r="R183" s="350" t="s">
        <v>227</v>
      </c>
      <c r="S183" s="347">
        <v>86164</v>
      </c>
      <c r="T183" s="347">
        <v>3669</v>
      </c>
      <c r="U183" s="348">
        <v>233</v>
      </c>
      <c r="V183" s="348">
        <v>4000</v>
      </c>
      <c r="W183" s="348">
        <v>231</v>
      </c>
      <c r="X183" s="348">
        <v>40</v>
      </c>
      <c r="Y183" s="348">
        <v>61</v>
      </c>
    </row>
    <row r="184">
      <c r="A184" s="324"/>
      <c r="B184" s="325" t="s">
        <v>253</v>
      </c>
      <c r="C184" s="327" t="s">
        <v>242</v>
      </c>
      <c r="D184" s="326">
        <f t="shared" si="161"/>
      </c>
      <c r="E184" s="326">
        <v>234.62</v>
      </c>
      <c r="F184" s="326">
        <v>3011.44</v>
      </c>
      <c r="G184" s="326">
        <v>2685.5</v>
      </c>
      <c r="H184" s="338">
        <v>29</v>
      </c>
      <c r="I184" s="326">
        <v>17778.559999999998</v>
      </c>
      <c r="J184" s="329">
        <f t="shared" si="248"/>
      </c>
      <c r="K184" s="329">
        <f t="shared" si="286"/>
      </c>
      <c r="L184" s="329">
        <f t="shared" si="321"/>
      </c>
      <c r="M184" s="331">
        <f t="shared" si="14"/>
      </c>
      <c r="N184" s="332">
        <f t="shared" si="80"/>
      </c>
      <c r="O184" s="333">
        <f t="shared" si="110"/>
      </c>
      <c r="P184" s="332">
        <f t="shared" si="46"/>
      </c>
      <c r="Q184" s="334" t="s">
        <v>258</v>
      </c>
      <c r="R184" s="350" t="s">
        <v>227</v>
      </c>
      <c r="S184" s="347">
        <v>159083</v>
      </c>
      <c r="T184" s="347">
        <v>4699</v>
      </c>
      <c r="U184" s="348">
        <v>389</v>
      </c>
      <c r="V184" s="348">
        <v>5121</v>
      </c>
      <c r="W184" s="348">
        <v>358</v>
      </c>
      <c r="X184" s="348">
        <v>46</v>
      </c>
      <c r="Y184" s="348">
        <v>73</v>
      </c>
    </row>
    <row r="185">
      <c r="A185" s="324"/>
      <c r="B185" s="325" t="s">
        <v>253</v>
      </c>
      <c r="C185" s="326" t="s">
        <v>244</v>
      </c>
      <c r="D185" s="326">
        <f t="shared" si="161"/>
      </c>
      <c r="E185" s="326">
        <v>140.29</v>
      </c>
      <c r="F185" s="326">
        <v>2854.32</v>
      </c>
      <c r="G185" s="326">
        <v>3239.84</v>
      </c>
      <c r="H185" s="338">
        <v>20</v>
      </c>
      <c r="I185" s="326">
        <v>12453.619999999995</v>
      </c>
      <c r="J185" s="329">
        <f t="shared" si="248"/>
      </c>
      <c r="K185" s="329">
        <f t="shared" si="286"/>
      </c>
      <c r="L185" s="329">
        <f t="shared" si="321"/>
      </c>
      <c r="M185" s="331">
        <f t="shared" si="14"/>
      </c>
      <c r="N185" s="332">
        <f t="shared" si="80"/>
      </c>
      <c r="O185" s="333">
        <f t="shared" si="110"/>
      </c>
      <c r="P185" s="332">
        <f t="shared" si="46"/>
      </c>
      <c r="Q185" s="334" t="s">
        <v>258</v>
      </c>
      <c r="R185" s="350" t="s">
        <v>227</v>
      </c>
      <c r="S185" s="347">
        <v>144351</v>
      </c>
      <c r="T185" s="347">
        <v>4464</v>
      </c>
      <c r="U185" s="348">
        <v>345</v>
      </c>
      <c r="V185" s="348">
        <v>4794</v>
      </c>
      <c r="W185" s="348">
        <v>323</v>
      </c>
      <c r="X185" s="348">
        <v>39</v>
      </c>
      <c r="Y185" s="348">
        <v>64</v>
      </c>
    </row>
    <row r="186">
      <c r="A186" s="324"/>
      <c r="B186" s="339" t="s">
        <v>232</v>
      </c>
      <c r="C186" s="339"/>
      <c r="D186" s="340">
        <f>SUM(D182:D185)</f>
      </c>
      <c r="E186" s="340">
        <f>SUM(E182:E185)</f>
      </c>
      <c r="F186" s="340">
        <f>F182+F183+F184+F185+G185+G184+G183+G182</f>
      </c>
      <c r="G186" s="340"/>
      <c r="H186" s="341">
        <f>SUM(H182:H185)</f>
      </c>
      <c r="I186" s="340">
        <f>SUM(I182:I185)</f>
      </c>
      <c r="J186" s="342">
        <f t="shared" si="248"/>
      </c>
      <c r="K186" s="343">
        <f t="shared" si="286"/>
      </c>
      <c r="L186" s="344">
        <f t="shared" si="321"/>
      </c>
      <c r="M186" s="345">
        <f t="shared" si="14"/>
      </c>
      <c r="N186" s="345">
        <f t="shared" si="80"/>
      </c>
      <c r="O186" s="346">
        <f t="shared" si="110"/>
      </c>
      <c r="P186" s="345">
        <f t="shared" si="46"/>
      </c>
      <c r="Q186" s="346"/>
      <c r="R186" s="346"/>
      <c r="S186" s="341">
        <f>SUM(S182:S185)</f>
      </c>
      <c r="T186" s="341">
        <f>SUM(T182:T185)</f>
      </c>
      <c r="U186" s="341">
        <f>SUM(U182:U185)</f>
      </c>
      <c r="V186" s="341">
        <f>SUM(V182:V185)</f>
      </c>
      <c r="W186" s="341">
        <f>SUM(W182:W185)</f>
      </c>
      <c r="X186" s="341">
        <f>SUM(X182:X185)</f>
      </c>
      <c r="Y186" s="341">
        <f>SUM(Y182:Y185)</f>
      </c>
    </row>
    <row r="187">
      <c r="A187" s="324"/>
      <c r="B187" s="325" t="s">
        <v>248</v>
      </c>
      <c r="C187" s="327" t="s">
        <v>245</v>
      </c>
      <c r="D187" s="326">
        <f t="shared" ref="D187:D190" si="162">E187+G187+F187</f>
      </c>
      <c r="E187" s="326">
        <v>129.06</v>
      </c>
      <c r="F187" s="326">
        <v>3526.4</v>
      </c>
      <c r="G187" s="327">
        <v>2598.45</v>
      </c>
      <c r="H187" s="328">
        <v>22</v>
      </c>
      <c r="I187" s="327">
        <v>11908.680000000022</v>
      </c>
      <c r="J187" s="329">
        <f t="shared" si="248"/>
      </c>
      <c r="K187" s="329">
        <f t="shared" si="286"/>
      </c>
      <c r="L187" s="329">
        <f t="shared" si="321"/>
      </c>
      <c r="M187" s="331">
        <f t="shared" si="14"/>
      </c>
      <c r="N187" s="332">
        <f t="shared" si="80"/>
      </c>
      <c r="O187" s="333">
        <f t="shared" si="110"/>
      </c>
      <c r="P187" s="332">
        <f t="shared" si="46"/>
      </c>
      <c r="Q187" s="334" t="s">
        <v>258</v>
      </c>
      <c r="R187" s="350" t="s">
        <v>227</v>
      </c>
      <c r="S187" s="348">
        <v>147442</v>
      </c>
      <c r="T187" s="348">
        <v>4155</v>
      </c>
      <c r="U187" s="348">
        <v>444</v>
      </c>
      <c r="V187" s="348">
        <v>4537</v>
      </c>
      <c r="W187" s="348">
        <v>357</v>
      </c>
      <c r="X187" s="348">
        <v>47</v>
      </c>
      <c r="Y187" s="348">
        <v>78</v>
      </c>
    </row>
    <row r="188">
      <c r="A188" s="324"/>
      <c r="B188" s="325" t="s">
        <v>248</v>
      </c>
      <c r="C188" s="327" t="s">
        <v>250</v>
      </c>
      <c r="D188" s="326">
        <f t="shared" si="162"/>
      </c>
      <c r="E188" s="326">
        <v>50.67</v>
      </c>
      <c r="F188" s="326">
        <v>3824.37</v>
      </c>
      <c r="G188" s="326">
        <v>2551.27</v>
      </c>
      <c r="H188" s="328">
        <v>20</v>
      </c>
      <c r="I188" s="327">
        <v>11560.579999999987</v>
      </c>
      <c r="J188" s="329">
        <f t="shared" si="248"/>
      </c>
      <c r="K188" s="329">
        <f t="shared" si="286"/>
      </c>
      <c r="L188" s="329">
        <f t="shared" si="321"/>
      </c>
      <c r="M188" s="331">
        <f t="shared" si="14"/>
      </c>
      <c r="N188" s="332">
        <f t="shared" si="80"/>
      </c>
      <c r="O188" s="333">
        <f t="shared" si="110"/>
      </c>
      <c r="P188" s="332">
        <f t="shared" si="46"/>
      </c>
      <c r="Q188" s="334" t="s">
        <v>258</v>
      </c>
      <c r="R188" s="350" t="s">
        <v>227</v>
      </c>
      <c r="S188" s="361">
        <v>170491</v>
      </c>
      <c r="T188" s="361">
        <v>2890</v>
      </c>
      <c r="U188" s="362">
        <v>375</v>
      </c>
      <c r="V188" s="362">
        <v>3046</v>
      </c>
      <c r="W188" s="362">
        <v>254</v>
      </c>
      <c r="X188" s="348">
        <v>39</v>
      </c>
      <c r="Y188" s="348">
        <v>77</v>
      </c>
    </row>
    <row r="189">
      <c r="A189" s="324"/>
      <c r="B189" s="325" t="s">
        <v>248</v>
      </c>
      <c r="C189" s="327" t="s">
        <v>264</v>
      </c>
      <c r="D189" s="326">
        <f t="shared" si="162"/>
      </c>
      <c r="E189" s="326">
        <v>38.91</v>
      </c>
      <c r="F189" s="326">
        <v>3834.25</v>
      </c>
      <c r="G189" s="326">
        <v>1467.99</v>
      </c>
      <c r="H189" s="328">
        <v>23</v>
      </c>
      <c r="I189" s="327">
        <v>6709.959999999992</v>
      </c>
      <c r="J189" s="329">
        <f t="shared" si="248"/>
      </c>
      <c r="K189" s="329">
        <f t="shared" si="286"/>
      </c>
      <c r="L189" s="329">
        <f t="shared" si="321"/>
      </c>
      <c r="M189" s="331">
        <f t="shared" si="14"/>
      </c>
      <c r="N189" s="332">
        <f t="shared" si="80"/>
      </c>
      <c r="O189" s="333">
        <f t="shared" si="110"/>
      </c>
      <c r="P189" s="332">
        <f t="shared" si="46"/>
      </c>
      <c r="Q189" s="334" t="s">
        <v>258</v>
      </c>
      <c r="R189" s="350" t="s">
        <v>227</v>
      </c>
      <c r="S189" s="361">
        <v>174938</v>
      </c>
      <c r="T189" s="361">
        <v>1896</v>
      </c>
      <c r="U189" s="362">
        <v>358</v>
      </c>
      <c r="V189" s="362">
        <v>2021</v>
      </c>
      <c r="W189" s="362">
        <v>214</v>
      </c>
      <c r="X189" s="348">
        <v>43</v>
      </c>
      <c r="Y189" s="348">
        <v>61</v>
      </c>
    </row>
    <row r="190">
      <c r="A190" s="324"/>
      <c r="B190" s="325" t="s">
        <v>248</v>
      </c>
      <c r="C190" s="327" t="s">
        <v>266</v>
      </c>
      <c r="D190" s="326">
        <f t="shared" si="162"/>
      </c>
      <c r="E190" s="327">
        <v>43.81</v>
      </c>
      <c r="F190" s="327">
        <v>3859.18</v>
      </c>
      <c r="G190" s="327">
        <v>1216.95</v>
      </c>
      <c r="H190" s="328">
        <v>13</v>
      </c>
      <c r="I190" s="327">
        <v>4179.020000000019</v>
      </c>
      <c r="J190" s="329">
        <f t="shared" si="248"/>
      </c>
      <c r="K190" s="329">
        <f t="shared" si="286"/>
      </c>
      <c r="L190" s="329">
        <f t="shared" si="321"/>
      </c>
      <c r="M190" s="331">
        <f t="shared" si="14"/>
      </c>
      <c r="N190" s="332">
        <f t="shared" si="80"/>
      </c>
      <c r="O190" s="333">
        <f t="shared" si="110"/>
      </c>
      <c r="P190" s="332">
        <f t="shared" si="46"/>
      </c>
      <c r="Q190" s="334" t="s">
        <v>258</v>
      </c>
      <c r="R190" s="350" t="s">
        <v>227</v>
      </c>
      <c r="S190" s="361">
        <v>139529</v>
      </c>
      <c r="T190" s="361">
        <v>1934</v>
      </c>
      <c r="U190" s="362">
        <v>287</v>
      </c>
      <c r="V190" s="362">
        <v>2019</v>
      </c>
      <c r="W190" s="362">
        <v>178</v>
      </c>
      <c r="X190" s="348">
        <v>35</v>
      </c>
      <c r="Y190" s="348">
        <v>51</v>
      </c>
    </row>
    <row r="191">
      <c r="A191" s="324"/>
      <c r="B191" s="339" t="s">
        <v>232</v>
      </c>
      <c r="C191" s="339"/>
      <c r="D191" s="341">
        <f>SUM(D187:D190)</f>
      </c>
      <c r="E191" s="341">
        <f>SUM(E187:E190)</f>
      </c>
      <c r="F191" s="340">
        <f>F187+F188+F189+F190+G190+G189+G188+G187</f>
      </c>
      <c r="G191" s="340"/>
      <c r="H191" s="341">
        <f>SUM(H187:H190)</f>
      </c>
      <c r="I191" s="340">
        <f>SUM(I187:I190)</f>
      </c>
      <c r="J191" s="342">
        <f t="shared" si="248"/>
      </c>
      <c r="K191" s="343">
        <f t="shared" si="286"/>
      </c>
      <c r="L191" s="344">
        <f t="shared" si="321"/>
      </c>
      <c r="M191" s="345">
        <f t="shared" si="14"/>
      </c>
      <c r="N191" s="345">
        <f t="shared" si="80"/>
      </c>
      <c r="O191" s="346">
        <f t="shared" si="110"/>
      </c>
      <c r="P191" s="345">
        <f t="shared" si="46"/>
      </c>
      <c r="Q191" s="346"/>
      <c r="R191" s="351"/>
      <c r="S191" s="341">
        <f>SUM(S187:S190)</f>
      </c>
      <c r="T191" s="341">
        <f>SUM(T187:T190)</f>
      </c>
      <c r="U191" s="341">
        <f>SUM(U187:U190)</f>
      </c>
      <c r="V191" s="341">
        <f>SUM(V187:V190)</f>
      </c>
      <c r="W191" s="341">
        <f>SUM(W187:W190)</f>
      </c>
      <c r="X191" s="341">
        <f>SUM(X187:X190)</f>
      </c>
      <c r="Y191" s="341">
        <f>SUM(Y187:Y190)</f>
      </c>
    </row>
    <row r="192">
      <c r="A192" s="324"/>
      <c r="B192" s="353" t="s">
        <v>246</v>
      </c>
      <c r="C192" s="353"/>
      <c r="D192" s="354">
        <f>D191+D186+D181+D176</f>
      </c>
      <c r="E192" s="354">
        <f>E191+E186+E181+E176</f>
      </c>
      <c r="F192" s="354">
        <f>F191+F186+F181+F176</f>
      </c>
      <c r="G192" s="354"/>
      <c r="H192" s="355">
        <f>H191+H186+H181+H176</f>
      </c>
      <c r="I192" s="354">
        <f>I191+I186+I181+I176</f>
      </c>
      <c r="J192" s="356">
        <f t="shared" si="248"/>
      </c>
      <c r="K192" s="356">
        <f t="shared" si="286"/>
      </c>
      <c r="L192" s="356">
        <f t="shared" si="321"/>
      </c>
      <c r="M192" s="357">
        <f t="shared" si="14"/>
      </c>
      <c r="N192" s="357">
        <f t="shared" si="80"/>
      </c>
      <c r="O192" s="356">
        <f t="shared" si="110"/>
      </c>
      <c r="P192" s="357">
        <f t="shared" si="46"/>
      </c>
      <c r="Q192" s="358"/>
      <c r="R192" s="359"/>
      <c r="S192" s="355">
        <f>S191+S186+S181+S176</f>
      </c>
      <c r="T192" s="355">
        <f>T191+T186+T181+T176</f>
      </c>
      <c r="U192" s="355">
        <f>U191+U186+U181+U176</f>
      </c>
      <c r="V192" s="355">
        <f>V191+V186+V181+V176</f>
      </c>
      <c r="W192" s="355">
        <f>W191+W186+W181+W176</f>
      </c>
      <c r="X192" s="360">
        <f>X191+X186+X181+X176</f>
      </c>
      <c r="Y192" s="355">
        <f>Y191+Y186+Y181+Y176</f>
      </c>
    </row>
    <row r="193">
      <c r="A193" s="311" t="s">
        <v>195</v>
      </c>
      <c r="B193" s="311"/>
      <c r="C193" s="311"/>
      <c r="D193" s="312" t="s">
        <v>196</v>
      </c>
      <c r="E193" s="312"/>
      <c r="F193" s="312"/>
      <c r="G193" s="312"/>
      <c r="H193" s="312"/>
      <c r="I193" s="312"/>
      <c r="J193" s="312"/>
      <c r="K193" s="312"/>
      <c r="L193" s="312"/>
      <c r="M193" s="313" t="s">
        <v>197</v>
      </c>
      <c r="N193" s="313"/>
      <c r="O193" s="313"/>
      <c r="P193" s="313"/>
      <c r="Q193" s="313"/>
      <c r="R193" s="313"/>
      <c r="S193" s="314" t="s">
        <v>198</v>
      </c>
      <c r="T193" s="314"/>
      <c r="U193" s="314"/>
      <c r="V193" s="314"/>
      <c r="W193" s="314"/>
      <c r="X193" s="314"/>
      <c r="Y193" s="314"/>
    </row>
    <row r="194">
      <c r="A194" s="315" t="s">
        <v>199</v>
      </c>
      <c r="B194" s="311" t="s">
        <v>200</v>
      </c>
      <c r="C194" s="311" t="s">
        <v>201</v>
      </c>
      <c r="D194" s="312" t="s">
        <v>202</v>
      </c>
      <c r="E194" s="316" t="s">
        <v>203</v>
      </c>
      <c r="F194" s="312" t="s">
        <v>204</v>
      </c>
      <c r="G194" s="312"/>
      <c r="H194" s="317" t="s">
        <v>205</v>
      </c>
      <c r="I194" s="312" t="s">
        <v>206</v>
      </c>
      <c r="J194" s="318" t="s">
        <v>207</v>
      </c>
      <c r="K194" s="319" t="s">
        <v>208</v>
      </c>
      <c r="L194" s="312" t="s">
        <v>209</v>
      </c>
      <c r="M194" s="313" t="s">
        <v>210</v>
      </c>
      <c r="N194" s="313" t="s">
        <v>211</v>
      </c>
      <c r="O194" s="313" t="s">
        <v>212</v>
      </c>
      <c r="P194" s="320" t="s">
        <v>213</v>
      </c>
      <c r="Q194" s="321" t="s">
        <v>214</v>
      </c>
      <c r="R194" s="321" t="s">
        <v>215</v>
      </c>
      <c r="S194" s="366" t="s">
        <v>216</v>
      </c>
      <c r="T194" s="366" t="s">
        <v>217</v>
      </c>
      <c r="U194" s="323" t="s">
        <v>218</v>
      </c>
      <c r="V194" s="323" t="s">
        <v>219</v>
      </c>
      <c r="W194" s="323" t="s">
        <v>220</v>
      </c>
      <c r="X194" s="322" t="s">
        <v>221</v>
      </c>
      <c r="Y194" s="322" t="s">
        <v>222</v>
      </c>
    </row>
    <row r="195">
      <c r="A195" s="324" t="s">
        <v>270</v>
      </c>
      <c r="B195" s="325" t="s">
        <v>260</v>
      </c>
      <c r="C195" s="326" t="s">
        <v>225</v>
      </c>
      <c r="D195" s="326">
        <f t="shared" ref="D195:D198" si="163">E195+G195+F195</f>
      </c>
      <c r="E195" s="327">
        <v>43.15</v>
      </c>
      <c r="F195" s="327">
        <v>1946.4</v>
      </c>
      <c r="G195" s="327">
        <v>1258.43</v>
      </c>
      <c r="H195" s="328">
        <v>4</v>
      </c>
      <c r="I195" s="326">
        <v>2671.92</v>
      </c>
      <c r="J195" s="329">
        <f t="shared" ref="J195:J216" si="249">I195/D195</f>
      </c>
      <c r="K195" s="330">
        <f t="shared" ref="K195:K216" si="287">D195/H195</f>
      </c>
      <c r="L195" s="329">
        <f t="shared" ref="L195:L216" si="322">I195/H195</f>
      </c>
      <c r="M195" s="331">
        <f t="shared" ref="M195:M216" si="15">T195/S195</f>
      </c>
      <c r="N195" s="332">
        <f t="shared" ref="N195:N216" si="81">H195/X195</f>
      </c>
      <c r="O195" s="333">
        <f t="shared" ref="O195:O216" si="111">(Y195*1000)/D195</f>
      </c>
      <c r="P195" s="332">
        <f t="shared" ref="P195:P216" si="47">W195/V195</f>
      </c>
      <c r="Q195" s="334" t="s">
        <v>255</v>
      </c>
      <c r="R195" s="370" t="s">
        <v>263</v>
      </c>
      <c r="S195" s="336">
        <v>57422</v>
      </c>
      <c r="T195" s="336">
        <v>2610</v>
      </c>
      <c r="U195" s="368">
        <v>166</v>
      </c>
      <c r="V195" s="337">
        <v>2736</v>
      </c>
      <c r="W195" s="337">
        <v>183</v>
      </c>
      <c r="X195" s="337">
        <v>14</v>
      </c>
      <c r="Y195" s="337">
        <v>36</v>
      </c>
    </row>
    <row r="196">
      <c r="A196" s="324"/>
      <c r="B196" s="325" t="s">
        <v>260</v>
      </c>
      <c r="C196" s="326" t="s">
        <v>228</v>
      </c>
      <c r="D196" s="326">
        <f t="shared" si="163"/>
      </c>
      <c r="E196" s="327">
        <v>302.32</v>
      </c>
      <c r="F196" s="327">
        <v>1812.41</v>
      </c>
      <c r="G196" s="327">
        <v>1331.15</v>
      </c>
      <c r="H196" s="328">
        <v>12</v>
      </c>
      <c r="I196" s="326">
        <v>9159.18</v>
      </c>
      <c r="J196" s="329">
        <f t="shared" si="249"/>
      </c>
      <c r="K196" s="329">
        <f t="shared" si="287"/>
      </c>
      <c r="L196" s="330">
        <f t="shared" si="322"/>
      </c>
      <c r="M196" s="331">
        <f t="shared" si="15"/>
      </c>
      <c r="N196" s="332">
        <f t="shared" si="81"/>
      </c>
      <c r="O196" s="333">
        <f t="shared" si="111"/>
      </c>
      <c r="P196" s="332">
        <f t="shared" si="47"/>
      </c>
      <c r="Q196" s="334" t="s">
        <v>255</v>
      </c>
      <c r="R196" s="370" t="s">
        <v>263</v>
      </c>
      <c r="S196" s="369">
        <v>69766</v>
      </c>
      <c r="T196" s="369">
        <v>2482</v>
      </c>
      <c r="U196" s="337">
        <v>248</v>
      </c>
      <c r="V196" s="337">
        <v>2955</v>
      </c>
      <c r="W196" s="337">
        <v>255</v>
      </c>
      <c r="X196" s="337">
        <v>34</v>
      </c>
      <c r="Y196" s="337">
        <v>40</v>
      </c>
    </row>
    <row r="197">
      <c r="A197" s="324"/>
      <c r="B197" s="325" t="s">
        <v>260</v>
      </c>
      <c r="C197" s="326" t="s">
        <v>229</v>
      </c>
      <c r="D197" s="326">
        <f t="shared" si="163"/>
      </c>
      <c r="E197" s="327">
        <v>444.48</v>
      </c>
      <c r="F197" s="327">
        <v>1137.52</v>
      </c>
      <c r="G197" s="327">
        <v>789.8</v>
      </c>
      <c r="H197" s="338">
        <v>4</v>
      </c>
      <c r="I197" s="326">
        <v>2209.199999999999</v>
      </c>
      <c r="J197" s="329">
        <f t="shared" si="249"/>
      </c>
      <c r="K197" s="329">
        <f t="shared" si="287"/>
      </c>
      <c r="L197" s="329">
        <f t="shared" si="322"/>
      </c>
      <c r="M197" s="331">
        <f t="shared" si="15"/>
      </c>
      <c r="N197" s="332">
        <f t="shared" si="81"/>
      </c>
      <c r="O197" s="333">
        <f t="shared" si="111"/>
      </c>
      <c r="P197" s="332">
        <f t="shared" si="47"/>
      </c>
      <c r="Q197" s="334" t="s">
        <v>255</v>
      </c>
      <c r="R197" s="370" t="s">
        <v>263</v>
      </c>
      <c r="S197" s="336">
        <v>52689</v>
      </c>
      <c r="T197" s="336">
        <v>1763</v>
      </c>
      <c r="U197" s="337">
        <v>162</v>
      </c>
      <c r="V197" s="337">
        <v>2309</v>
      </c>
      <c r="W197" s="337">
        <v>214</v>
      </c>
      <c r="X197" s="337">
        <v>5</v>
      </c>
      <c r="Y197" s="337">
        <v>24</v>
      </c>
    </row>
    <row r="198">
      <c r="A198" s="324"/>
      <c r="B198" s="325" t="s">
        <v>260</v>
      </c>
      <c r="C198" s="364" t="s">
        <v>230</v>
      </c>
      <c r="D198" s="326">
        <f t="shared" si="163"/>
      </c>
      <c r="E198" s="327">
        <v>1178.62</v>
      </c>
      <c r="F198" s="327">
        <v>1182.45</v>
      </c>
      <c r="G198" s="327">
        <v>458.13</v>
      </c>
      <c r="H198" s="338">
        <v>9</v>
      </c>
      <c r="I198" s="326">
        <v>3724.5600000000013</v>
      </c>
      <c r="J198" s="329">
        <f t="shared" si="249"/>
      </c>
      <c r="K198" s="329">
        <f t="shared" si="287"/>
      </c>
      <c r="L198" s="329">
        <f t="shared" si="322"/>
      </c>
      <c r="M198" s="331">
        <f t="shared" si="15"/>
      </c>
      <c r="N198" s="332">
        <f t="shared" si="81"/>
      </c>
      <c r="O198" s="333">
        <f t="shared" si="111"/>
      </c>
      <c r="P198" s="332">
        <f t="shared" si="47"/>
      </c>
      <c r="Q198" s="334" t="s">
        <v>255</v>
      </c>
      <c r="R198" s="370" t="s">
        <v>263</v>
      </c>
      <c r="S198" s="336">
        <v>64873</v>
      </c>
      <c r="T198" s="336">
        <v>2741</v>
      </c>
      <c r="U198" s="337">
        <v>175</v>
      </c>
      <c r="V198" s="337">
        <v>4224</v>
      </c>
      <c r="W198" s="337">
        <v>476</v>
      </c>
      <c r="X198" s="337">
        <v>12</v>
      </c>
      <c r="Y198" s="337">
        <v>48</v>
      </c>
    </row>
    <row r="199">
      <c r="A199" s="324"/>
      <c r="B199" s="339" t="s">
        <v>232</v>
      </c>
      <c r="C199" s="339"/>
      <c r="D199" s="340">
        <f>SUM(D195:D198)</f>
      </c>
      <c r="E199" s="340">
        <f>SUM(E195:E198)</f>
      </c>
      <c r="F199" s="340">
        <f>SUM(F195:G198)</f>
      </c>
      <c r="G199" s="340"/>
      <c r="H199" s="341">
        <f>SUM(H195:H198)</f>
      </c>
      <c r="I199" s="340">
        <f>SUM(I195:I198)</f>
      </c>
      <c r="J199" s="342">
        <f t="shared" si="249"/>
      </c>
      <c r="K199" s="343">
        <f t="shared" si="287"/>
      </c>
      <c r="L199" s="344">
        <f t="shared" si="322"/>
      </c>
      <c r="M199" s="345">
        <f t="shared" si="15"/>
      </c>
      <c r="N199" s="345">
        <f t="shared" si="81"/>
      </c>
      <c r="O199" s="346">
        <f t="shared" si="111"/>
      </c>
      <c r="P199" s="345">
        <f t="shared" si="47"/>
      </c>
      <c r="Q199" s="346"/>
      <c r="R199" s="346"/>
      <c r="S199" s="341">
        <f>SUM(S195:S198)</f>
      </c>
      <c r="T199" s="341">
        <f>SUM(T195:T198)</f>
      </c>
      <c r="U199" s="341">
        <f>SUM(U195:U198)</f>
      </c>
      <c r="V199" s="341">
        <f>SUM(V195:V198)</f>
      </c>
      <c r="W199" s="341">
        <f>SUM(W195:W198)</f>
      </c>
      <c r="X199" s="341">
        <f>SUM(X195:X198)</f>
      </c>
      <c r="Y199" s="341">
        <f>SUM(Y195:Y198)</f>
      </c>
    </row>
    <row r="200">
      <c r="A200" s="324"/>
      <c r="B200" s="371" t="s">
        <v>257</v>
      </c>
      <c r="C200" s="326" t="s">
        <v>231</v>
      </c>
      <c r="D200" s="326">
        <f t="shared" ref="D200:D203" si="164">E200+G200+F200</f>
      </c>
      <c r="E200" s="327">
        <v>743.8</v>
      </c>
      <c r="F200" s="327">
        <v>2033.66</v>
      </c>
      <c r="G200" s="327">
        <v>231.22</v>
      </c>
      <c r="H200" s="338">
        <v>7</v>
      </c>
      <c r="I200" s="326">
        <v>2445.720000000001</v>
      </c>
      <c r="J200" s="329">
        <f t="shared" si="249"/>
      </c>
      <c r="K200" s="329">
        <f t="shared" si="287"/>
      </c>
      <c r="L200" s="329">
        <f t="shared" si="322"/>
      </c>
      <c r="M200" s="331">
        <f t="shared" si="15"/>
      </c>
      <c r="N200" s="332">
        <f t="shared" si="81"/>
      </c>
      <c r="O200" s="333">
        <f t="shared" si="111"/>
      </c>
      <c r="P200" s="332">
        <f t="shared" si="47"/>
      </c>
      <c r="Q200" s="334" t="s">
        <v>255</v>
      </c>
      <c r="R200" s="370" t="s">
        <v>263</v>
      </c>
      <c r="S200" s="347">
        <v>55730</v>
      </c>
      <c r="T200" s="347">
        <v>2105</v>
      </c>
      <c r="U200" s="348">
        <v>205</v>
      </c>
      <c r="V200" s="348">
        <v>2859</v>
      </c>
      <c r="W200" s="348">
        <v>303</v>
      </c>
      <c r="X200" s="348">
        <v>12</v>
      </c>
      <c r="Y200" s="348">
        <v>43</v>
      </c>
    </row>
    <row r="201">
      <c r="A201" s="324"/>
      <c r="B201" s="325" t="s">
        <v>257</v>
      </c>
      <c r="C201" s="326" t="s">
        <v>234</v>
      </c>
      <c r="D201" s="326">
        <f t="shared" si="164"/>
      </c>
      <c r="E201" s="349">
        <v>1203.55</v>
      </c>
      <c r="F201" s="327">
        <v>947.38</v>
      </c>
      <c r="G201" s="327">
        <v>375.98</v>
      </c>
      <c r="H201" s="328">
        <v>5</v>
      </c>
      <c r="I201" s="327">
        <v>2404.579999999998</v>
      </c>
      <c r="J201" s="329">
        <f t="shared" si="249"/>
      </c>
      <c r="K201" s="329">
        <f t="shared" si="287"/>
      </c>
      <c r="L201" s="329">
        <f t="shared" si="322"/>
      </c>
      <c r="M201" s="331">
        <f t="shared" si="15"/>
      </c>
      <c r="N201" s="332">
        <f t="shared" si="81"/>
      </c>
      <c r="O201" s="333">
        <f t="shared" si="111"/>
      </c>
      <c r="P201" s="332">
        <f t="shared" si="47"/>
      </c>
      <c r="Q201" s="334" t="s">
        <v>255</v>
      </c>
      <c r="R201" s="370" t="s">
        <v>263</v>
      </c>
      <c r="S201" s="347">
        <v>51068</v>
      </c>
      <c r="T201" s="347">
        <v>2729</v>
      </c>
      <c r="U201" s="348">
        <v>149</v>
      </c>
      <c r="V201" s="348">
        <v>4776</v>
      </c>
      <c r="W201" s="348">
        <v>540</v>
      </c>
      <c r="X201" s="348">
        <v>11</v>
      </c>
      <c r="Y201" s="348">
        <v>33</v>
      </c>
    </row>
    <row r="202">
      <c r="A202" s="324"/>
      <c r="B202" s="371" t="s">
        <v>257</v>
      </c>
      <c r="C202" s="327" t="s">
        <v>235</v>
      </c>
      <c r="D202" s="326">
        <f t="shared" si="164"/>
      </c>
      <c r="E202" s="326">
        <v>1088.83</v>
      </c>
      <c r="F202" s="327">
        <v>151.17</v>
      </c>
      <c r="G202" s="327">
        <v>281.17</v>
      </c>
      <c r="H202" s="328">
        <v>5</v>
      </c>
      <c r="I202" s="327">
        <v>4679.060000000001</v>
      </c>
      <c r="J202" s="329">
        <f t="shared" si="249"/>
      </c>
      <c r="K202" s="329">
        <f t="shared" si="287"/>
      </c>
      <c r="L202" s="329">
        <f t="shared" si="322"/>
      </c>
      <c r="M202" s="331">
        <f t="shared" si="15"/>
      </c>
      <c r="N202" s="332">
        <f t="shared" si="81"/>
      </c>
      <c r="O202" s="333">
        <f t="shared" si="111"/>
      </c>
      <c r="P202" s="332">
        <f t="shared" si="47"/>
      </c>
      <c r="Q202" s="334" t="s">
        <v>255</v>
      </c>
      <c r="R202" s="370" t="s">
        <v>263</v>
      </c>
      <c r="S202" s="347">
        <v>32662</v>
      </c>
      <c r="T202" s="347">
        <v>1609</v>
      </c>
      <c r="U202" s="348">
        <v>97</v>
      </c>
      <c r="V202" s="348">
        <v>2537</v>
      </c>
      <c r="W202" s="348">
        <v>262</v>
      </c>
      <c r="X202" s="348">
        <v>9</v>
      </c>
      <c r="Y202" s="348">
        <v>38</v>
      </c>
    </row>
    <row r="203">
      <c r="A203" s="324"/>
      <c r="B203" s="371" t="s">
        <v>257</v>
      </c>
      <c r="C203" s="326" t="s">
        <v>236</v>
      </c>
      <c r="D203" s="326">
        <f t="shared" si="164"/>
      </c>
      <c r="E203" s="327">
        <v>654.97</v>
      </c>
      <c r="F203" s="327">
        <v>1471.02</v>
      </c>
      <c r="G203" s="327">
        <v>997.01</v>
      </c>
      <c r="H203" s="338">
        <v>9</v>
      </c>
      <c r="I203" s="326">
        <v>2821.479999999996</v>
      </c>
      <c r="J203" s="329">
        <f t="shared" si="249"/>
      </c>
      <c r="K203" s="329">
        <f t="shared" si="287"/>
      </c>
      <c r="L203" s="329">
        <f t="shared" si="322"/>
      </c>
      <c r="M203" s="331">
        <f t="shared" si="15"/>
      </c>
      <c r="N203" s="332">
        <f t="shared" si="81"/>
      </c>
      <c r="O203" s="333">
        <f t="shared" si="111"/>
      </c>
      <c r="P203" s="332">
        <f t="shared" si="47"/>
      </c>
      <c r="Q203" s="334" t="s">
        <v>258</v>
      </c>
      <c r="R203" s="370" t="s">
        <v>263</v>
      </c>
      <c r="S203" s="347">
        <v>55648</v>
      </c>
      <c r="T203" s="347">
        <v>1911</v>
      </c>
      <c r="U203" s="348">
        <v>223</v>
      </c>
      <c r="V203" s="348">
        <v>2770</v>
      </c>
      <c r="W203" s="348">
        <v>296</v>
      </c>
      <c r="X203" s="348">
        <v>18</v>
      </c>
      <c r="Y203" s="348">
        <v>52</v>
      </c>
    </row>
    <row r="204">
      <c r="A204" s="324"/>
      <c r="B204" s="339" t="s">
        <v>232</v>
      </c>
      <c r="C204" s="339"/>
      <c r="D204" s="340">
        <f>SUM(D200:D203)</f>
      </c>
      <c r="E204" s="340">
        <f>SUM(E200:E203)</f>
      </c>
      <c r="F204" s="340">
        <f>SUM(F200:G203)</f>
      </c>
      <c r="G204" s="340"/>
      <c r="H204" s="341">
        <f>SUM(H200:H203)</f>
      </c>
      <c r="I204" s="340">
        <f>SUM(I200:I203)</f>
      </c>
      <c r="J204" s="342">
        <f t="shared" si="249"/>
      </c>
      <c r="K204" s="343">
        <f t="shared" si="287"/>
      </c>
      <c r="L204" s="344">
        <f t="shared" si="322"/>
      </c>
      <c r="M204" s="345">
        <f t="shared" si="15"/>
      </c>
      <c r="N204" s="345">
        <f t="shared" si="81"/>
      </c>
      <c r="O204" s="346">
        <f t="shared" si="111"/>
      </c>
      <c r="P204" s="345">
        <f t="shared" si="47"/>
      </c>
      <c r="Q204" s="346"/>
      <c r="R204" s="346"/>
      <c r="S204" s="341">
        <f>SUM(S200:S203)</f>
      </c>
      <c r="T204" s="341">
        <f>SUM(T200:T203)</f>
      </c>
      <c r="U204" s="341">
        <f>SUM(U200:U203)</f>
      </c>
      <c r="V204" s="341">
        <f>SUM(V200:V203)</f>
      </c>
      <c r="W204" s="341">
        <f>SUM(W200:W203)</f>
      </c>
      <c r="X204" s="341">
        <f>SUM(X200:X203)</f>
      </c>
      <c r="Y204" s="341">
        <f>SUM(Y200:Y203)</f>
      </c>
    </row>
    <row r="205">
      <c r="A205" s="324"/>
      <c r="B205" s="325" t="s">
        <v>253</v>
      </c>
      <c r="C205" s="326" t="s">
        <v>237</v>
      </c>
      <c r="D205" s="326">
        <f t="shared" ref="D205:D209" si="165">E205+G205+F205</f>
      </c>
      <c r="E205" s="326">
        <v>823.15</v>
      </c>
      <c r="F205" s="326">
        <v>2961.47</v>
      </c>
      <c r="G205" s="326">
        <v>598.65</v>
      </c>
      <c r="H205" s="338">
        <v>24</v>
      </c>
      <c r="I205" s="326">
        <v>14601.980000000003</v>
      </c>
      <c r="J205" s="329">
        <f t="shared" si="249"/>
      </c>
      <c r="K205" s="329">
        <f t="shared" si="287"/>
      </c>
      <c r="L205" s="329">
        <f t="shared" si="322"/>
      </c>
      <c r="M205" s="331">
        <f t="shared" si="15"/>
      </c>
      <c r="N205" s="332">
        <f t="shared" si="81"/>
      </c>
      <c r="O205" s="333">
        <f t="shared" si="111"/>
      </c>
      <c r="P205" s="332">
        <f t="shared" si="47"/>
      </c>
      <c r="Q205" s="334" t="s">
        <v>258</v>
      </c>
      <c r="R205" s="370" t="s">
        <v>263</v>
      </c>
      <c r="S205" s="347">
        <v>79235</v>
      </c>
      <c r="T205" s="347">
        <v>2425</v>
      </c>
      <c r="U205" s="348">
        <v>319</v>
      </c>
      <c r="V205" s="348">
        <v>3222</v>
      </c>
      <c r="W205" s="348">
        <v>357</v>
      </c>
      <c r="X205" s="348">
        <v>38</v>
      </c>
      <c r="Y205" s="348">
        <v>68</v>
      </c>
    </row>
    <row r="206">
      <c r="A206" s="324"/>
      <c r="B206" s="325" t="s">
        <v>253</v>
      </c>
      <c r="C206" s="327" t="s">
        <v>239</v>
      </c>
      <c r="D206" s="326">
        <f t="shared" si="165"/>
      </c>
      <c r="E206" s="326">
        <v>1562.29</v>
      </c>
      <c r="F206" s="326">
        <v>7575.75</v>
      </c>
      <c r="G206" s="326">
        <v>1501.43</v>
      </c>
      <c r="H206" s="338">
        <v>42</v>
      </c>
      <c r="I206" s="326">
        <v>24448.739999999998</v>
      </c>
      <c r="J206" s="329">
        <f t="shared" si="249"/>
      </c>
      <c r="K206" s="329">
        <f t="shared" si="287"/>
      </c>
      <c r="L206" s="329">
        <f t="shared" si="322"/>
      </c>
      <c r="M206" s="331">
        <f t="shared" si="15"/>
      </c>
      <c r="N206" s="332">
        <f t="shared" si="81"/>
      </c>
      <c r="O206" s="333">
        <f t="shared" si="111"/>
      </c>
      <c r="P206" s="332">
        <f t="shared" si="47"/>
      </c>
      <c r="Q206" s="334" t="s">
        <v>258</v>
      </c>
      <c r="R206" s="350" t="s">
        <v>227</v>
      </c>
      <c r="S206" s="347">
        <v>240793</v>
      </c>
      <c r="T206" s="347">
        <v>6786</v>
      </c>
      <c r="U206" s="348">
        <v>659</v>
      </c>
      <c r="V206" s="348">
        <v>8688</v>
      </c>
      <c r="W206" s="348">
        <v>778</v>
      </c>
      <c r="X206" s="348">
        <v>74</v>
      </c>
      <c r="Y206" s="348">
        <v>134</v>
      </c>
    </row>
    <row r="207">
      <c r="A207" s="324"/>
      <c r="B207" s="325" t="s">
        <v>253</v>
      </c>
      <c r="C207" s="327" t="s">
        <v>241</v>
      </c>
      <c r="D207" s="326">
        <f t="shared" si="165"/>
      </c>
      <c r="E207" s="326">
        <v>2992.34</v>
      </c>
      <c r="F207" s="326">
        <v>1685.04</v>
      </c>
      <c r="G207" s="326">
        <v>1176.62</v>
      </c>
      <c r="H207" s="338">
        <v>22</v>
      </c>
      <c r="I207" s="326">
        <v>11036.520000000004</v>
      </c>
      <c r="J207" s="329">
        <f t="shared" si="249"/>
      </c>
      <c r="K207" s="329">
        <f t="shared" si="287"/>
      </c>
      <c r="L207" s="329">
        <f t="shared" si="322"/>
      </c>
      <c r="M207" s="331">
        <f t="shared" si="15"/>
      </c>
      <c r="N207" s="332">
        <f t="shared" si="81"/>
      </c>
      <c r="O207" s="333">
        <f t="shared" si="111"/>
      </c>
      <c r="P207" s="332">
        <f t="shared" si="47"/>
      </c>
      <c r="Q207" s="334" t="s">
        <v>258</v>
      </c>
      <c r="R207" s="350" t="s">
        <v>227</v>
      </c>
      <c r="S207" s="347">
        <v>179236</v>
      </c>
      <c r="T207" s="347">
        <v>8037</v>
      </c>
      <c r="U207" s="348">
        <v>515</v>
      </c>
      <c r="V207" s="348">
        <v>12017</v>
      </c>
      <c r="W207" s="348">
        <v>1100</v>
      </c>
      <c r="X207" s="348">
        <v>36</v>
      </c>
      <c r="Y207" s="348">
        <v>94</v>
      </c>
    </row>
    <row customHeight="true" ht="16.666666666666668" r="208">
      <c r="A208" s="324"/>
      <c r="B208" s="325" t="s">
        <v>253</v>
      </c>
      <c r="C208" s="327" t="s">
        <v>242</v>
      </c>
      <c r="D208" s="326">
        <f t="shared" si="165"/>
      </c>
      <c r="E208" s="326">
        <v>3762.08</v>
      </c>
      <c r="F208" s="326">
        <v>733.87</v>
      </c>
      <c r="G208" s="326">
        <v>591.44</v>
      </c>
      <c r="H208" s="338">
        <v>25</v>
      </c>
      <c r="I208" s="326">
        <v>9228.050000000003</v>
      </c>
      <c r="J208" s="329">
        <f t="shared" si="249"/>
      </c>
      <c r="K208" s="329">
        <f t="shared" si="287"/>
      </c>
      <c r="L208" s="329">
        <f t="shared" si="322"/>
      </c>
      <c r="M208" s="331">
        <f t="shared" si="15"/>
      </c>
      <c r="N208" s="332">
        <f t="shared" si="81"/>
      </c>
      <c r="O208" s="333">
        <f t="shared" si="111"/>
      </c>
      <c r="P208" s="332">
        <f t="shared" si="47"/>
      </c>
      <c r="Q208" s="334" t="s">
        <v>258</v>
      </c>
      <c r="R208" s="350" t="s">
        <v>227</v>
      </c>
      <c r="S208" s="347">
        <v>164820</v>
      </c>
      <c r="T208" s="347">
        <v>7140</v>
      </c>
      <c r="U208" s="348">
        <v>378</v>
      </c>
      <c r="V208" s="348">
        <v>13939</v>
      </c>
      <c r="W208" s="348">
        <v>1491</v>
      </c>
      <c r="X208" s="348">
        <v>41</v>
      </c>
      <c r="Y208" s="348">
        <v>87</v>
      </c>
    </row>
    <row r="209">
      <c r="A209" s="324"/>
      <c r="B209" s="325" t="s">
        <v>253</v>
      </c>
      <c r="C209" s="326" t="s">
        <v>244</v>
      </c>
      <c r="D209" s="326">
        <f t="shared" si="165"/>
      </c>
      <c r="E209" s="326">
        <v>3427.35</v>
      </c>
      <c r="F209" s="326">
        <v>3597.61</v>
      </c>
      <c r="G209" s="326">
        <v>776.12</v>
      </c>
      <c r="H209" s="338">
        <v>22</v>
      </c>
      <c r="I209" s="326">
        <v>14265.75</v>
      </c>
      <c r="J209" s="329">
        <f t="shared" si="249"/>
      </c>
      <c r="K209" s="329">
        <f t="shared" si="287"/>
      </c>
      <c r="L209" s="329">
        <f t="shared" si="322"/>
      </c>
      <c r="M209" s="331">
        <f t="shared" si="15"/>
      </c>
      <c r="N209" s="332">
        <f t="shared" si="81"/>
      </c>
      <c r="O209" s="333">
        <f t="shared" si="111"/>
      </c>
      <c r="P209" s="332">
        <f t="shared" si="47"/>
      </c>
      <c r="Q209" s="334" t="s">
        <v>258</v>
      </c>
      <c r="R209" s="350" t="s">
        <v>227</v>
      </c>
      <c r="S209" s="347">
        <v>212175</v>
      </c>
      <c r="T209" s="347">
        <v>6986</v>
      </c>
      <c r="U209" s="348">
        <v>433</v>
      </c>
      <c r="V209" s="348">
        <v>12340</v>
      </c>
      <c r="W209" s="348">
        <v>1379</v>
      </c>
      <c r="X209" s="348">
        <v>39</v>
      </c>
      <c r="Y209" s="348">
        <v>78</v>
      </c>
    </row>
    <row r="210">
      <c r="A210" s="324"/>
      <c r="B210" s="339" t="s">
        <v>232</v>
      </c>
      <c r="C210" s="339"/>
      <c r="D210" s="340">
        <f>SUM(D205:D209)</f>
      </c>
      <c r="E210" s="340">
        <f>SUM(E205:E209)</f>
      </c>
      <c r="F210" s="340">
        <f>SUM(F205:G209)</f>
      </c>
      <c r="G210" s="340"/>
      <c r="H210" s="341">
        <f>SUM(H205:H209)</f>
      </c>
      <c r="I210" s="340">
        <f>SUM(I205:I209)</f>
      </c>
      <c r="J210" s="342">
        <f t="shared" si="249"/>
      </c>
      <c r="K210" s="343">
        <f t="shared" si="287"/>
      </c>
      <c r="L210" s="344">
        <f t="shared" si="322"/>
      </c>
      <c r="M210" s="345">
        <f t="shared" si="15"/>
      </c>
      <c r="N210" s="345">
        <f t="shared" si="81"/>
      </c>
      <c r="O210" s="346">
        <f t="shared" si="111"/>
      </c>
      <c r="P210" s="345">
        <f t="shared" si="47"/>
      </c>
      <c r="Q210" s="346"/>
      <c r="R210" s="346"/>
      <c r="S210" s="341">
        <f>SUM(S205:S209)</f>
      </c>
      <c r="T210" s="341">
        <f>SUM(T205:T209)</f>
      </c>
      <c r="U210" s="341">
        <f>SUM(U205:U209)</f>
      </c>
      <c r="V210" s="341">
        <f>SUM(V205:V209)</f>
      </c>
      <c r="W210" s="341">
        <f>SUM(W205:W209)</f>
      </c>
      <c r="X210" s="341">
        <f>SUM(X205:X209)</f>
      </c>
      <c r="Y210" s="341">
        <f>SUM(Y205:Y209)</f>
      </c>
    </row>
    <row r="211">
      <c r="A211" s="324"/>
      <c r="B211" s="325" t="s">
        <v>248</v>
      </c>
      <c r="C211" s="327" t="s">
        <v>245</v>
      </c>
      <c r="D211" s="326">
        <f t="shared" ref="D211:D214" si="166">E211+G211+F211</f>
      </c>
      <c r="E211" s="326">
        <v>2096.54</v>
      </c>
      <c r="F211" s="326">
        <v>445.72</v>
      </c>
      <c r="G211" s="327">
        <v>2040.42</v>
      </c>
      <c r="H211" s="328">
        <v>14</v>
      </c>
      <c r="I211" s="327">
        <v>10207.330000000002</v>
      </c>
      <c r="J211" s="329">
        <f t="shared" si="249"/>
      </c>
      <c r="K211" s="329">
        <f t="shared" si="287"/>
      </c>
      <c r="L211" s="329">
        <f t="shared" si="322"/>
      </c>
      <c r="M211" s="331">
        <f t="shared" si="15"/>
      </c>
      <c r="N211" s="332">
        <f t="shared" si="81"/>
      </c>
      <c r="O211" s="333">
        <f t="shared" si="111"/>
      </c>
      <c r="P211" s="332">
        <f t="shared" si="47"/>
      </c>
      <c r="Q211" s="334" t="s">
        <v>258</v>
      </c>
      <c r="R211" s="350" t="s">
        <v>227</v>
      </c>
      <c r="S211" s="348">
        <v>138247</v>
      </c>
      <c r="T211" s="348">
        <v>4886</v>
      </c>
      <c r="U211" s="348">
        <v>328</v>
      </c>
      <c r="V211" s="348">
        <v>12172</v>
      </c>
      <c r="W211" s="348">
        <v>1494</v>
      </c>
      <c r="X211" s="348">
        <v>26</v>
      </c>
      <c r="Y211" s="348">
        <v>63</v>
      </c>
    </row>
    <row r="212">
      <c r="A212" s="324"/>
      <c r="B212" s="325" t="s">
        <v>248</v>
      </c>
      <c r="C212" s="327" t="s">
        <v>250</v>
      </c>
      <c r="D212" s="326">
        <f t="shared" si="166"/>
      </c>
      <c r="E212" s="326">
        <v>3984.12</v>
      </c>
      <c r="F212" s="326">
        <v>77.71</v>
      </c>
      <c r="G212" s="326">
        <v>1653.23</v>
      </c>
      <c r="H212" s="328">
        <v>18</v>
      </c>
      <c r="I212" s="327">
        <v>4681.289999999994</v>
      </c>
      <c r="J212" s="329">
        <f t="shared" si="249"/>
      </c>
      <c r="K212" s="329">
        <f t="shared" si="287"/>
      </c>
      <c r="L212" s="329">
        <f t="shared" si="322"/>
      </c>
      <c r="M212" s="331">
        <f t="shared" si="15"/>
      </c>
      <c r="N212" s="332">
        <f t="shared" si="81"/>
      </c>
      <c r="O212" s="333">
        <f t="shared" si="111"/>
      </c>
      <c r="P212" s="332">
        <f t="shared" si="47"/>
      </c>
      <c r="Q212" s="334" t="s">
        <v>258</v>
      </c>
      <c r="R212" s="350" t="s">
        <v>227</v>
      </c>
      <c r="S212" s="361">
        <v>145677</v>
      </c>
      <c r="T212" s="361">
        <v>7306</v>
      </c>
      <c r="U212" s="362">
        <v>502</v>
      </c>
      <c r="V212" s="362">
        <v>17331</v>
      </c>
      <c r="W212" s="362">
        <v>1994</v>
      </c>
      <c r="X212" s="348">
        <v>36</v>
      </c>
      <c r="Y212" s="348">
        <v>87</v>
      </c>
    </row>
    <row r="213">
      <c r="A213" s="324"/>
      <c r="B213" s="325" t="s">
        <v>248</v>
      </c>
      <c r="C213" s="327" t="s">
        <v>264</v>
      </c>
      <c r="D213" s="326">
        <f t="shared" si="166"/>
      </c>
      <c r="E213" s="326">
        <v>1068.77</v>
      </c>
      <c r="F213" s="326">
        <v>1425.63</v>
      </c>
      <c r="G213" s="326">
        <v>2227.43</v>
      </c>
      <c r="H213" s="328">
        <v>23</v>
      </c>
      <c r="I213" s="327">
        <v>8851.790000000008</v>
      </c>
      <c r="J213" s="329">
        <f t="shared" si="249"/>
      </c>
      <c r="K213" s="329">
        <f t="shared" si="287"/>
      </c>
      <c r="L213" s="329">
        <f t="shared" si="322"/>
      </c>
      <c r="M213" s="331">
        <f t="shared" si="15"/>
      </c>
      <c r="N213" s="332">
        <f t="shared" si="81"/>
      </c>
      <c r="O213" s="333">
        <f t="shared" si="111"/>
      </c>
      <c r="P213" s="332">
        <f t="shared" si="47"/>
      </c>
      <c r="Q213" s="334" t="s">
        <v>258</v>
      </c>
      <c r="R213" s="350" t="s">
        <v>227</v>
      </c>
      <c r="S213" s="361">
        <v>119588</v>
      </c>
      <c r="T213" s="361">
        <v>2656</v>
      </c>
      <c r="U213" s="362">
        <v>391</v>
      </c>
      <c r="V213" s="362">
        <v>4704</v>
      </c>
      <c r="W213" s="362">
        <v>568</v>
      </c>
      <c r="X213" s="348">
        <v>45</v>
      </c>
      <c r="Y213" s="348">
        <v>54</v>
      </c>
    </row>
    <row r="214">
      <c r="A214" s="324"/>
      <c r="B214" s="325" t="s">
        <v>248</v>
      </c>
      <c r="C214" s="327" t="s">
        <v>266</v>
      </c>
      <c r="D214" s="326">
        <f t="shared" si="166"/>
      </c>
      <c r="E214" s="327">
        <v>2450.5099999999998</v>
      </c>
      <c r="F214" s="327">
        <v>280.26</v>
      </c>
      <c r="G214" s="327">
        <v>1443.1000000000001</v>
      </c>
      <c r="H214" s="328">
        <v>10</v>
      </c>
      <c r="I214" s="327">
        <v>4787.89999999998</v>
      </c>
      <c r="J214" s="329">
        <f t="shared" si="249"/>
      </c>
      <c r="K214" s="329">
        <f t="shared" si="287"/>
      </c>
      <c r="L214" s="329">
        <f t="shared" si="322"/>
      </c>
      <c r="M214" s="331">
        <f t="shared" si="15"/>
      </c>
      <c r="N214" s="332">
        <f t="shared" si="81"/>
      </c>
      <c r="O214" s="333">
        <f t="shared" si="111"/>
      </c>
      <c r="P214" s="332">
        <f t="shared" si="47"/>
      </c>
      <c r="Q214" s="334" t="s">
        <v>258</v>
      </c>
      <c r="R214" s="350" t="s">
        <v>227</v>
      </c>
      <c r="S214" s="361">
        <v>74651</v>
      </c>
      <c r="T214" s="361">
        <v>3544</v>
      </c>
      <c r="U214" s="362">
        <v>259</v>
      </c>
      <c r="V214" s="362">
        <v>7036</v>
      </c>
      <c r="W214" s="362">
        <v>788</v>
      </c>
      <c r="X214" s="348">
        <v>31</v>
      </c>
      <c r="Y214" s="348">
        <v>42</v>
      </c>
    </row>
    <row r="215">
      <c r="A215" s="324"/>
      <c r="B215" s="339" t="s">
        <v>232</v>
      </c>
      <c r="C215" s="339"/>
      <c r="D215" s="340">
        <f>SUM(D211:D214)</f>
      </c>
      <c r="E215" s="340">
        <f>SUM(E211:E214)</f>
      </c>
      <c r="F215" s="340">
        <f>SUM(F211:G214)</f>
      </c>
      <c r="G215" s="340"/>
      <c r="H215" s="341">
        <f>SUM(H211:H214)</f>
      </c>
      <c r="I215" s="340">
        <f>SUM(I211:I214)</f>
      </c>
      <c r="J215" s="342">
        <f t="shared" si="249"/>
      </c>
      <c r="K215" s="343">
        <f t="shared" si="287"/>
      </c>
      <c r="L215" s="344">
        <f t="shared" si="322"/>
      </c>
      <c r="M215" s="345">
        <f t="shared" si="15"/>
      </c>
      <c r="N215" s="345">
        <f t="shared" si="81"/>
      </c>
      <c r="O215" s="346">
        <f t="shared" si="111"/>
      </c>
      <c r="P215" s="345">
        <f t="shared" si="47"/>
      </c>
      <c r="Q215" s="346"/>
      <c r="R215" s="351"/>
      <c r="S215" s="341">
        <f>SUM(S211:S214)</f>
      </c>
      <c r="T215" s="341">
        <f>SUM(T211:T214)</f>
      </c>
      <c r="U215" s="341">
        <f>SUM(U211:U214)</f>
      </c>
      <c r="V215" s="341">
        <f>SUM(V211:V214)</f>
      </c>
      <c r="W215" s="341">
        <f>SUM(W211:W214)</f>
      </c>
      <c r="X215" s="341">
        <f>SUM(X211:X214)</f>
      </c>
      <c r="Y215" s="341">
        <f>SUM(Y211:Y214)</f>
      </c>
    </row>
    <row r="216">
      <c r="A216" s="324"/>
      <c r="B216" s="353" t="s">
        <v>246</v>
      </c>
      <c r="C216" s="353"/>
      <c r="D216" s="354">
        <f>D215+D210+D204+D199</f>
      </c>
      <c r="E216" s="354">
        <f>E215+E210+E204+E199</f>
      </c>
      <c r="F216" s="354">
        <f>F215+F210+F204+F199</f>
      </c>
      <c r="G216" s="354"/>
      <c r="H216" s="355">
        <f>H215+H210+H204+H199</f>
      </c>
      <c r="I216" s="354">
        <f>I215+I210+I204+I199</f>
      </c>
      <c r="J216" s="356">
        <f t="shared" si="249"/>
      </c>
      <c r="K216" s="356">
        <f t="shared" si="287"/>
      </c>
      <c r="L216" s="356">
        <f t="shared" si="322"/>
      </c>
      <c r="M216" s="357">
        <f t="shared" si="15"/>
      </c>
      <c r="N216" s="357">
        <f t="shared" si="81"/>
      </c>
      <c r="O216" s="356">
        <f t="shared" si="111"/>
      </c>
      <c r="P216" s="357">
        <f t="shared" si="47"/>
      </c>
      <c r="Q216" s="358"/>
      <c r="R216" s="359"/>
      <c r="S216" s="355">
        <f>S215+S210+S204+S199</f>
      </c>
      <c r="T216" s="355">
        <f>T215+T210+T204+T199</f>
      </c>
      <c r="U216" s="355">
        <f>U215+U210+U204+U199</f>
      </c>
      <c r="V216" s="355">
        <f>V215+V210+V204+V199</f>
      </c>
      <c r="W216" s="355">
        <f>W215+W210+W204+W199</f>
      </c>
      <c r="X216" s="360">
        <f>X215+X210+X204+X199</f>
      </c>
      <c r="Y216" s="355">
        <f>Y215+Y210+Y204+Y199</f>
      </c>
    </row>
    <row r="217">
      <c r="A217" s="311" t="s">
        <v>195</v>
      </c>
      <c r="B217" s="311"/>
      <c r="C217" s="311"/>
      <c r="D217" s="312" t="s">
        <v>196</v>
      </c>
      <c r="E217" s="312"/>
      <c r="F217" s="312"/>
      <c r="G217" s="312"/>
      <c r="H217" s="312"/>
      <c r="I217" s="312"/>
      <c r="J217" s="312"/>
      <c r="K217" s="312"/>
      <c r="L217" s="312"/>
      <c r="M217" s="313" t="s">
        <v>197</v>
      </c>
      <c r="N217" s="313"/>
      <c r="O217" s="313"/>
      <c r="P217" s="313"/>
      <c r="Q217" s="313"/>
      <c r="R217" s="313"/>
      <c r="S217" s="314" t="s">
        <v>198</v>
      </c>
      <c r="T217" s="314"/>
      <c r="U217" s="314"/>
      <c r="V217" s="314"/>
      <c r="W217" s="314"/>
      <c r="X217" s="314"/>
      <c r="Y217" s="314"/>
    </row>
    <row r="218">
      <c r="A218" s="315" t="s">
        <v>199</v>
      </c>
      <c r="B218" s="311" t="s">
        <v>200</v>
      </c>
      <c r="C218" s="311" t="s">
        <v>201</v>
      </c>
      <c r="D218" s="312" t="s">
        <v>202</v>
      </c>
      <c r="E218" s="316" t="s">
        <v>203</v>
      </c>
      <c r="F218" s="312" t="s">
        <v>204</v>
      </c>
      <c r="G218" s="312"/>
      <c r="H218" s="317" t="s">
        <v>205</v>
      </c>
      <c r="I218" s="312" t="s">
        <v>206</v>
      </c>
      <c r="J218" s="318" t="s">
        <v>207</v>
      </c>
      <c r="K218" s="319" t="s">
        <v>208</v>
      </c>
      <c r="L218" s="312" t="s">
        <v>209</v>
      </c>
      <c r="M218" s="313" t="s">
        <v>210</v>
      </c>
      <c r="N218" s="313" t="s">
        <v>211</v>
      </c>
      <c r="O218" s="313" t="s">
        <v>212</v>
      </c>
      <c r="P218" s="320" t="s">
        <v>213</v>
      </c>
      <c r="Q218" s="321" t="s">
        <v>214</v>
      </c>
      <c r="R218" s="321" t="s">
        <v>215</v>
      </c>
      <c r="S218" s="366" t="s">
        <v>216</v>
      </c>
      <c r="T218" s="366" t="s">
        <v>217</v>
      </c>
      <c r="U218" s="323" t="s">
        <v>218</v>
      </c>
      <c r="V218" s="323" t="s">
        <v>219</v>
      </c>
      <c r="W218" s="323" t="s">
        <v>220</v>
      </c>
      <c r="X218" s="322" t="s">
        <v>221</v>
      </c>
      <c r="Y218" s="322" t="s">
        <v>222</v>
      </c>
    </row>
    <row r="219">
      <c r="A219" s="324" t="s">
        <v>271</v>
      </c>
      <c r="B219" s="325" t="s">
        <v>260</v>
      </c>
      <c r="C219" s="326" t="s">
        <v>225</v>
      </c>
      <c r="D219" s="326">
        <f t="shared" ref="D219:D222" si="167">E219+G219+F219</f>
      </c>
      <c r="E219" s="327">
        <v>838.85</v>
      </c>
      <c r="F219" s="327">
        <v>1445.29</v>
      </c>
      <c r="G219" s="327">
        <v>6988.56</v>
      </c>
      <c r="H219" s="328">
        <v>27</v>
      </c>
      <c r="I219" s="326">
        <v>16636.56</v>
      </c>
      <c r="J219" s="329">
        <f t="shared" ref="J219:J239" si="250">I219/D219</f>
      </c>
      <c r="K219" s="330">
        <f t="shared" ref="K219:K239" si="288">D219/H219</f>
      </c>
      <c r="L219" s="329">
        <f t="shared" ref="L219:L239" si="323">I219/H219</f>
      </c>
      <c r="M219" s="331">
        <f t="shared" ref="M219:M239" si="16">T219/S219</f>
      </c>
      <c r="N219" s="332">
        <f t="shared" ref="N219:N239" si="82">H219/X219</f>
      </c>
      <c r="O219" s="333">
        <f t="shared" ref="O219:O239" si="112">(Y219*1000)/D219</f>
      </c>
      <c r="P219" s="332">
        <f t="shared" ref="P219:P239" si="48">W219/V219</f>
      </c>
      <c r="Q219" s="334" t="s">
        <v>255</v>
      </c>
      <c r="R219" s="370" t="s">
        <v>240</v>
      </c>
      <c r="S219" s="336">
        <v>153478</v>
      </c>
      <c r="T219" s="336">
        <v>6914</v>
      </c>
      <c r="U219" s="368">
        <v>498</v>
      </c>
      <c r="V219" s="337">
        <v>8589</v>
      </c>
      <c r="W219" s="337">
        <v>733</v>
      </c>
      <c r="X219" s="337">
        <v>53</v>
      </c>
      <c r="Y219" s="337">
        <v>46</v>
      </c>
    </row>
    <row r="220">
      <c r="A220" s="324"/>
      <c r="B220" s="325" t="s">
        <v>260</v>
      </c>
      <c r="C220" s="326" t="s">
        <v>228</v>
      </c>
      <c r="D220" s="326">
        <f t="shared" si="167"/>
      </c>
      <c r="E220" s="327">
        <v>1504.17</v>
      </c>
      <c r="F220" s="327">
        <v>1774.32</v>
      </c>
      <c r="G220" s="327">
        <v>5336.25</v>
      </c>
      <c r="H220" s="328">
        <v>28</v>
      </c>
      <c r="I220" s="326">
        <v>13756.02</v>
      </c>
      <c r="J220" s="329">
        <f t="shared" si="250"/>
      </c>
      <c r="K220" s="329">
        <f t="shared" si="288"/>
      </c>
      <c r="L220" s="330">
        <f t="shared" si="323"/>
      </c>
      <c r="M220" s="331">
        <f t="shared" si="16"/>
      </c>
      <c r="N220" s="332">
        <f t="shared" si="82"/>
      </c>
      <c r="O220" s="333">
        <f t="shared" si="112"/>
      </c>
      <c r="P220" s="332">
        <f t="shared" si="48"/>
      </c>
      <c r="Q220" s="334" t="s">
        <v>255</v>
      </c>
      <c r="R220" s="370" t="s">
        <v>240</v>
      </c>
      <c r="S220" s="369">
        <v>182905</v>
      </c>
      <c r="T220" s="369">
        <v>6746</v>
      </c>
      <c r="U220" s="337">
        <v>583</v>
      </c>
      <c r="V220" s="337">
        <v>9171</v>
      </c>
      <c r="W220" s="337">
        <v>908</v>
      </c>
      <c r="X220" s="337">
        <v>68</v>
      </c>
      <c r="Y220" s="337">
        <v>143</v>
      </c>
    </row>
    <row r="221">
      <c r="A221" s="324"/>
      <c r="B221" s="325" t="s">
        <v>260</v>
      </c>
      <c r="C221" s="326" t="s">
        <v>229</v>
      </c>
      <c r="D221" s="326">
        <f t="shared" si="167"/>
      </c>
      <c r="E221" s="327">
        <v>1252.94</v>
      </c>
      <c r="F221" s="327">
        <v>1998.27</v>
      </c>
      <c r="G221" s="327">
        <v>5497.49</v>
      </c>
      <c r="H221" s="338">
        <v>32</v>
      </c>
      <c r="I221" s="326">
        <v>18138.809999999998</v>
      </c>
      <c r="J221" s="329">
        <f t="shared" si="250"/>
      </c>
      <c r="K221" s="329">
        <f t="shared" si="288"/>
      </c>
      <c r="L221" s="329">
        <f t="shared" si="323"/>
      </c>
      <c r="M221" s="331">
        <f t="shared" si="16"/>
      </c>
      <c r="N221" s="332">
        <f t="shared" si="82"/>
      </c>
      <c r="O221" s="333">
        <f t="shared" si="112"/>
      </c>
      <c r="P221" s="332">
        <f t="shared" si="48"/>
      </c>
      <c r="Q221" s="334" t="s">
        <v>255</v>
      </c>
      <c r="R221" s="370" t="s">
        <v>240</v>
      </c>
      <c r="S221" s="336">
        <v>191584</v>
      </c>
      <c r="T221" s="336">
        <v>4882</v>
      </c>
      <c r="U221" s="337">
        <v>477</v>
      </c>
      <c r="V221" s="337">
        <v>6832</v>
      </c>
      <c r="W221" s="337">
        <v>735</v>
      </c>
      <c r="X221" s="337">
        <v>54</v>
      </c>
      <c r="Y221" s="337">
        <v>102</v>
      </c>
    </row>
    <row r="222">
      <c r="A222" s="324"/>
      <c r="B222" s="325" t="s">
        <v>260</v>
      </c>
      <c r="C222" s="364" t="s">
        <v>230</v>
      </c>
      <c r="D222" s="326">
        <f t="shared" si="167"/>
      </c>
      <c r="E222" s="327">
        <v>1450.67</v>
      </c>
      <c r="F222" s="327">
        <v>2449.19</v>
      </c>
      <c r="G222" s="327">
        <v>4661.33</v>
      </c>
      <c r="H222" s="338">
        <v>40</v>
      </c>
      <c r="I222" s="326">
        <v>22048.339999999997</v>
      </c>
      <c r="J222" s="329">
        <f t="shared" si="250"/>
      </c>
      <c r="K222" s="329">
        <f t="shared" si="288"/>
      </c>
      <c r="L222" s="329">
        <f t="shared" si="323"/>
      </c>
      <c r="M222" s="331">
        <f t="shared" si="16"/>
      </c>
      <c r="N222" s="332">
        <f t="shared" si="82"/>
      </c>
      <c r="O222" s="333">
        <f t="shared" si="112"/>
      </c>
      <c r="P222" s="332">
        <f t="shared" si="48"/>
      </c>
      <c r="Q222" s="334" t="s">
        <v>255</v>
      </c>
      <c r="R222" s="370" t="s">
        <v>240</v>
      </c>
      <c r="S222" s="336">
        <v>227330</v>
      </c>
      <c r="T222" s="336">
        <v>4996</v>
      </c>
      <c r="U222" s="337">
        <v>590</v>
      </c>
      <c r="V222" s="337">
        <v>7776</v>
      </c>
      <c r="W222" s="337">
        <v>929</v>
      </c>
      <c r="X222" s="337">
        <v>63</v>
      </c>
      <c r="Y222" s="337">
        <v>106</v>
      </c>
    </row>
    <row r="223">
      <c r="A223" s="324"/>
      <c r="B223" s="339" t="s">
        <v>232</v>
      </c>
      <c r="C223" s="339"/>
      <c r="D223" s="340">
        <f>SUM(D219:D222)</f>
      </c>
      <c r="E223" s="340">
        <f>SUM(E219:E222)</f>
      </c>
      <c r="F223" s="340">
        <f>SUM(F219:G222)</f>
      </c>
      <c r="G223" s="340"/>
      <c r="H223" s="341">
        <f>SUM(H219:H222)</f>
      </c>
      <c r="I223" s="340">
        <f>SUM(I219:I222)</f>
      </c>
      <c r="J223" s="342">
        <f t="shared" si="250"/>
      </c>
      <c r="K223" s="343">
        <f t="shared" si="288"/>
      </c>
      <c r="L223" s="344">
        <f t="shared" si="323"/>
      </c>
      <c r="M223" s="345">
        <f t="shared" si="16"/>
      </c>
      <c r="N223" s="345">
        <f t="shared" si="82"/>
      </c>
      <c r="O223" s="346">
        <f t="shared" si="112"/>
      </c>
      <c r="P223" s="345">
        <f t="shared" si="48"/>
      </c>
      <c r="Q223" s="346"/>
      <c r="R223" s="346"/>
      <c r="S223" s="341">
        <f>SUM(S219:S222)</f>
      </c>
      <c r="T223" s="341">
        <f>SUM(T219:T222)</f>
      </c>
      <c r="U223" s="341">
        <f>SUM(U219:U222)</f>
      </c>
      <c r="V223" s="341">
        <f>SUM(V219:V222)</f>
      </c>
      <c r="W223" s="341">
        <f>SUM(W219:W222)</f>
      </c>
      <c r="X223" s="341">
        <f>SUM(X219:X222)</f>
      </c>
      <c r="Y223" s="341">
        <f>SUM(Y219:Y222)</f>
      </c>
    </row>
    <row r="224">
      <c r="A224" s="324"/>
      <c r="B224" s="325" t="s">
        <v>253</v>
      </c>
      <c r="C224" s="326" t="s">
        <v>231</v>
      </c>
      <c r="D224" s="326">
        <f t="shared" ref="D224:D227" si="168">E224+G224+F224</f>
      </c>
      <c r="E224" s="327">
        <v>1989.38</v>
      </c>
      <c r="F224" s="327">
        <v>1758.5</v>
      </c>
      <c r="G224" s="327">
        <v>5796.94</v>
      </c>
      <c r="H224" s="338">
        <v>30</v>
      </c>
      <c r="I224" s="326">
        <v>12881.48000000001</v>
      </c>
      <c r="J224" s="329">
        <f t="shared" si="250"/>
      </c>
      <c r="K224" s="329">
        <f t="shared" si="288"/>
      </c>
      <c r="L224" s="329">
        <f t="shared" si="323"/>
      </c>
      <c r="M224" s="331">
        <f t="shared" si="16"/>
      </c>
      <c r="N224" s="332">
        <f t="shared" si="82"/>
      </c>
      <c r="O224" s="333">
        <f t="shared" si="112"/>
      </c>
      <c r="P224" s="332">
        <f t="shared" si="48"/>
      </c>
      <c r="Q224" s="334" t="s">
        <v>255</v>
      </c>
      <c r="R224" s="370" t="s">
        <v>240</v>
      </c>
      <c r="S224" s="347">
        <v>255336</v>
      </c>
      <c r="T224" s="347">
        <v>5791</v>
      </c>
      <c r="U224" s="348">
        <v>632</v>
      </c>
      <c r="V224" s="348">
        <v>10450</v>
      </c>
      <c r="W224" s="348">
        <v>1313</v>
      </c>
      <c r="X224" s="348">
        <v>56</v>
      </c>
      <c r="Y224" s="348">
        <v>107</v>
      </c>
    </row>
    <row r="225">
      <c r="A225" s="324"/>
      <c r="B225" s="325" t="s">
        <v>253</v>
      </c>
      <c r="C225" s="326" t="s">
        <v>234</v>
      </c>
      <c r="D225" s="326">
        <f t="shared" si="168"/>
      </c>
      <c r="E225" s="349">
        <v>2681.7</v>
      </c>
      <c r="F225" s="327">
        <v>2651.97</v>
      </c>
      <c r="G225" s="327">
        <v>5078.19</v>
      </c>
      <c r="H225" s="328">
        <v>24</v>
      </c>
      <c r="I225" s="327">
        <v>16223.87999999999</v>
      </c>
      <c r="J225" s="329">
        <f t="shared" si="250"/>
      </c>
      <c r="K225" s="329">
        <f t="shared" si="288"/>
      </c>
      <c r="L225" s="329">
        <f t="shared" si="323"/>
      </c>
      <c r="M225" s="331">
        <f t="shared" si="16"/>
      </c>
      <c r="N225" s="332">
        <f t="shared" si="82"/>
      </c>
      <c r="O225" s="333">
        <f t="shared" si="112"/>
      </c>
      <c r="P225" s="332">
        <f t="shared" si="48"/>
      </c>
      <c r="Q225" s="334" t="s">
        <v>255</v>
      </c>
      <c r="R225" s="370" t="s">
        <v>240</v>
      </c>
      <c r="S225" s="347">
        <v>304895</v>
      </c>
      <c r="T225" s="347">
        <v>9725</v>
      </c>
      <c r="U225" s="348">
        <v>745</v>
      </c>
      <c r="V225" s="348">
        <v>20129</v>
      </c>
      <c r="W225" s="348">
        <v>2593</v>
      </c>
      <c r="X225" s="348">
        <v>56</v>
      </c>
      <c r="Y225" s="348">
        <v>113</v>
      </c>
    </row>
    <row r="226">
      <c r="A226" s="324"/>
      <c r="B226" s="325" t="s">
        <v>253</v>
      </c>
      <c r="C226" s="327" t="s">
        <v>235</v>
      </c>
      <c r="D226" s="326">
        <f t="shared" si="168"/>
      </c>
      <c r="E226" s="326">
        <v>1365.14</v>
      </c>
      <c r="F226" s="327">
        <v>3214.37</v>
      </c>
      <c r="G226" s="327">
        <v>3200.98</v>
      </c>
      <c r="H226" s="328">
        <v>27</v>
      </c>
      <c r="I226" s="327">
        <v>12798.14</v>
      </c>
      <c r="J226" s="329">
        <f t="shared" si="250"/>
      </c>
      <c r="K226" s="329">
        <f t="shared" si="288"/>
      </c>
      <c r="L226" s="329">
        <f t="shared" si="323"/>
      </c>
      <c r="M226" s="331">
        <f t="shared" si="16"/>
      </c>
      <c r="N226" s="332">
        <f t="shared" si="82"/>
      </c>
      <c r="O226" s="333">
        <f t="shared" si="112"/>
      </c>
      <c r="P226" s="332">
        <f t="shared" si="48"/>
      </c>
      <c r="Q226" s="334" t="s">
        <v>255</v>
      </c>
      <c r="R226" s="370" t="s">
        <v>240</v>
      </c>
      <c r="S226" s="347">
        <v>252290</v>
      </c>
      <c r="T226" s="347">
        <v>6413</v>
      </c>
      <c r="U226" s="348">
        <v>636</v>
      </c>
      <c r="V226" s="348">
        <v>10068</v>
      </c>
      <c r="W226" s="348">
        <v>1112</v>
      </c>
      <c r="X226" s="348">
        <v>56</v>
      </c>
      <c r="Y226" s="348">
        <v>116</v>
      </c>
    </row>
    <row r="227">
      <c r="A227" s="324"/>
      <c r="B227" s="325" t="s">
        <v>253</v>
      </c>
      <c r="C227" s="326" t="s">
        <v>236</v>
      </c>
      <c r="D227" s="326">
        <f t="shared" si="168"/>
      </c>
      <c r="E227" s="327">
        <v>1169.64</v>
      </c>
      <c r="F227" s="327">
        <v>1089.13</v>
      </c>
      <c r="G227" s="327">
        <v>2546.45</v>
      </c>
      <c r="H227" s="338">
        <v>12</v>
      </c>
      <c r="I227" s="326">
        <v>5775.740000000005</v>
      </c>
      <c r="J227" s="329">
        <f t="shared" si="250"/>
      </c>
      <c r="K227" s="329">
        <f t="shared" si="288"/>
      </c>
      <c r="L227" s="329">
        <f t="shared" si="323"/>
      </c>
      <c r="M227" s="331">
        <f t="shared" si="16"/>
      </c>
      <c r="N227" s="332">
        <f t="shared" si="82"/>
      </c>
      <c r="O227" s="333">
        <f t="shared" si="112"/>
      </c>
      <c r="P227" s="332">
        <f t="shared" si="48"/>
      </c>
      <c r="Q227" s="334" t="s">
        <v>255</v>
      </c>
      <c r="R227" s="370" t="s">
        <v>240</v>
      </c>
      <c r="S227" s="347">
        <v>110441</v>
      </c>
      <c r="T227" s="347">
        <v>3896</v>
      </c>
      <c r="U227" s="348">
        <v>351</v>
      </c>
      <c r="V227" s="348">
        <v>6125</v>
      </c>
      <c r="W227" s="348">
        <v>643</v>
      </c>
      <c r="X227" s="348">
        <v>43</v>
      </c>
      <c r="Y227" s="348">
        <v>58</v>
      </c>
    </row>
    <row r="228">
      <c r="A228" s="324"/>
      <c r="B228" s="339" t="s">
        <v>232</v>
      </c>
      <c r="C228" s="339"/>
      <c r="D228" s="340">
        <f>SUM(D224:D227)</f>
      </c>
      <c r="E228" s="340">
        <f>SUM(E224:E227)</f>
      </c>
      <c r="F228" s="340">
        <f>SUM(F224:G227)</f>
      </c>
      <c r="G228" s="340"/>
      <c r="H228" s="341">
        <f>SUM(H224:H227)</f>
      </c>
      <c r="I228" s="340">
        <f>SUM(I224:I227)</f>
      </c>
      <c r="J228" s="342">
        <f t="shared" si="250"/>
      </c>
      <c r="K228" s="343">
        <f t="shared" si="288"/>
      </c>
      <c r="L228" s="344">
        <f t="shared" si="323"/>
      </c>
      <c r="M228" s="345">
        <f t="shared" si="16"/>
      </c>
      <c r="N228" s="345">
        <f t="shared" si="82"/>
      </c>
      <c r="O228" s="346">
        <f t="shared" si="112"/>
      </c>
      <c r="P228" s="345">
        <f t="shared" si="48"/>
      </c>
      <c r="Q228" s="346"/>
      <c r="R228" s="346"/>
      <c r="S228" s="341">
        <f>SUM(S224:S227)</f>
      </c>
      <c r="T228" s="341">
        <f>SUM(T224:T227)</f>
      </c>
      <c r="U228" s="341">
        <f>SUM(U224:U227)</f>
      </c>
      <c r="V228" s="341">
        <f>SUM(V224:V227)</f>
      </c>
      <c r="W228" s="341">
        <f>SUM(W224:W227)</f>
      </c>
      <c r="X228" s="341">
        <f>SUM(X224:X227)</f>
      </c>
      <c r="Y228" s="341">
        <f>SUM(Y224:Y227)</f>
      </c>
    </row>
    <row r="229">
      <c r="A229" s="324"/>
      <c r="B229" s="325" t="s">
        <v>257</v>
      </c>
      <c r="C229" s="326" t="s">
        <v>237</v>
      </c>
      <c r="D229" s="326">
        <f t="shared" ref="D229:D232" si="169">E229+G229+F229</f>
      </c>
      <c r="E229" s="326">
        <v>1932.75</v>
      </c>
      <c r="F229" s="326">
        <v>3946.3</v>
      </c>
      <c r="G229" s="326">
        <v>2668.8</v>
      </c>
      <c r="H229" s="338">
        <v>31</v>
      </c>
      <c r="I229" s="326">
        <v>15311.399999999994</v>
      </c>
      <c r="J229" s="329">
        <f t="shared" si="250"/>
      </c>
      <c r="K229" s="329">
        <f t="shared" si="288"/>
      </c>
      <c r="L229" s="329">
        <f t="shared" si="323"/>
      </c>
      <c r="M229" s="331">
        <f t="shared" si="16"/>
      </c>
      <c r="N229" s="332">
        <f t="shared" si="82"/>
      </c>
      <c r="O229" s="333">
        <f t="shared" si="112"/>
      </c>
      <c r="P229" s="332">
        <f t="shared" si="48"/>
      </c>
      <c r="Q229" s="334" t="s">
        <v>258</v>
      </c>
      <c r="R229" s="370" t="s">
        <v>240</v>
      </c>
      <c r="S229" s="347">
        <v>181478</v>
      </c>
      <c r="T229" s="347">
        <v>5648</v>
      </c>
      <c r="U229" s="348">
        <v>581</v>
      </c>
      <c r="V229" s="348">
        <v>9536</v>
      </c>
      <c r="W229" s="348">
        <v>940</v>
      </c>
      <c r="X229" s="348">
        <v>70</v>
      </c>
      <c r="Y229" s="348">
        <v>127</v>
      </c>
    </row>
    <row r="230">
      <c r="A230" s="324"/>
      <c r="B230" s="325" t="s">
        <v>257</v>
      </c>
      <c r="C230" s="327" t="s">
        <v>239</v>
      </c>
      <c r="D230" s="326">
        <f t="shared" si="169"/>
      </c>
      <c r="E230" s="326">
        <v>849.85</v>
      </c>
      <c r="F230" s="326">
        <v>2048.79</v>
      </c>
      <c r="G230" s="326">
        <v>1212.49</v>
      </c>
      <c r="H230" s="338">
        <v>21</v>
      </c>
      <c r="I230" s="326">
        <v>5826.860000000015</v>
      </c>
      <c r="J230" s="329">
        <f t="shared" si="250"/>
      </c>
      <c r="K230" s="329">
        <f t="shared" si="288"/>
      </c>
      <c r="L230" s="329">
        <f t="shared" si="323"/>
      </c>
      <c r="M230" s="331">
        <f t="shared" si="16"/>
      </c>
      <c r="N230" s="332">
        <f t="shared" si="82"/>
      </c>
      <c r="O230" s="333">
        <f t="shared" si="112"/>
      </c>
      <c r="P230" s="332">
        <f t="shared" si="48"/>
      </c>
      <c r="Q230" s="334" t="s">
        <v>258</v>
      </c>
      <c r="R230" s="350" t="s">
        <v>227</v>
      </c>
      <c r="S230" s="347">
        <v>110377</v>
      </c>
      <c r="T230" s="347">
        <v>3732</v>
      </c>
      <c r="U230" s="348">
        <v>337</v>
      </c>
      <c r="V230" s="348">
        <v>6116</v>
      </c>
      <c r="W230" s="348">
        <v>628</v>
      </c>
      <c r="X230" s="348">
        <v>29</v>
      </c>
      <c r="Y230" s="348">
        <v>65</v>
      </c>
    </row>
    <row r="231">
      <c r="A231" s="324"/>
      <c r="B231" s="325" t="s">
        <v>257</v>
      </c>
      <c r="C231" s="327" t="s">
        <v>241</v>
      </c>
      <c r="D231" s="326">
        <f t="shared" si="169"/>
      </c>
      <c r="E231" s="326">
        <v>731.24</v>
      </c>
      <c r="F231" s="326">
        <v>2050.67</v>
      </c>
      <c r="G231" s="326">
        <v>2428.02</v>
      </c>
      <c r="H231" s="338">
        <v>26</v>
      </c>
      <c r="I231" s="326">
        <v>10062.439999999973</v>
      </c>
      <c r="J231" s="329">
        <f t="shared" si="250"/>
      </c>
      <c r="K231" s="329">
        <f t="shared" si="288"/>
      </c>
      <c r="L231" s="329">
        <f t="shared" si="323"/>
      </c>
      <c r="M231" s="331">
        <f t="shared" si="16"/>
      </c>
      <c r="N231" s="332">
        <f t="shared" si="82"/>
      </c>
      <c r="O231" s="333">
        <f t="shared" si="112"/>
      </c>
      <c r="P231" s="332">
        <f t="shared" si="48"/>
      </c>
      <c r="Q231" s="334" t="s">
        <v>258</v>
      </c>
      <c r="R231" s="350" t="s">
        <v>227</v>
      </c>
      <c r="S231" s="347">
        <v>182872</v>
      </c>
      <c r="T231" s="347">
        <v>3708</v>
      </c>
      <c r="U231" s="348">
        <v>432</v>
      </c>
      <c r="V231" s="348">
        <v>5046</v>
      </c>
      <c r="W231" s="348">
        <v>570</v>
      </c>
      <c r="X231" s="348">
        <v>50</v>
      </c>
      <c r="Y231" s="348">
        <v>100</v>
      </c>
    </row>
    <row r="232">
      <c r="A232" s="324"/>
      <c r="B232" s="325" t="s">
        <v>257</v>
      </c>
      <c r="C232" s="327" t="s">
        <v>242</v>
      </c>
      <c r="D232" s="326">
        <f t="shared" si="169"/>
      </c>
      <c r="E232" s="326">
        <v>1142.31</v>
      </c>
      <c r="F232" s="326">
        <v>1636.2</v>
      </c>
      <c r="G232" s="326">
        <v>2549.91</v>
      </c>
      <c r="H232" s="338">
        <v>27</v>
      </c>
      <c r="I232" s="326">
        <v>11686.360000000015</v>
      </c>
      <c r="J232" s="329">
        <f t="shared" si="250"/>
      </c>
      <c r="K232" s="329">
        <f t="shared" si="288"/>
      </c>
      <c r="L232" s="329">
        <f t="shared" si="323"/>
      </c>
      <c r="M232" s="331">
        <f t="shared" si="16"/>
      </c>
      <c r="N232" s="332">
        <f t="shared" si="82"/>
      </c>
      <c r="O232" s="333">
        <f t="shared" si="112"/>
      </c>
      <c r="P232" s="332">
        <f t="shared" si="48"/>
      </c>
      <c r="Q232" s="334" t="s">
        <v>258</v>
      </c>
      <c r="R232" s="350" t="s">
        <v>227</v>
      </c>
      <c r="S232" s="347">
        <v>212381</v>
      </c>
      <c r="T232" s="347">
        <v>4731</v>
      </c>
      <c r="U232" s="348">
        <v>421</v>
      </c>
      <c r="V232" s="348">
        <v>8806</v>
      </c>
      <c r="W232" s="348">
        <v>998</v>
      </c>
      <c r="X232" s="348">
        <v>50</v>
      </c>
      <c r="Y232" s="348">
        <v>107</v>
      </c>
    </row>
    <row r="233">
      <c r="A233" s="324"/>
      <c r="B233" s="339" t="s">
        <v>232</v>
      </c>
      <c r="C233" s="339"/>
      <c r="D233" s="340">
        <f>SUM(D229:D232)</f>
      </c>
      <c r="E233" s="340">
        <f>SUM(E229:E232)</f>
      </c>
      <c r="F233" s="340">
        <f>SUM(F229:G232)</f>
      </c>
      <c r="G233" s="340"/>
      <c r="H233" s="341">
        <f>SUM(H229:H232)</f>
      </c>
      <c r="I233" s="340">
        <f>SUM(I229:I232)</f>
      </c>
      <c r="J233" s="342">
        <f t="shared" si="250"/>
      </c>
      <c r="K233" s="343">
        <f t="shared" si="288"/>
      </c>
      <c r="L233" s="344">
        <f t="shared" si="323"/>
      </c>
      <c r="M233" s="345">
        <f t="shared" si="16"/>
      </c>
      <c r="N233" s="345">
        <f t="shared" si="82"/>
      </c>
      <c r="O233" s="346">
        <f t="shared" si="112"/>
      </c>
      <c r="P233" s="345">
        <f t="shared" si="48"/>
      </c>
      <c r="Q233" s="346"/>
      <c r="R233" s="346"/>
      <c r="S233" s="341">
        <f>SUM(S229:S232)</f>
      </c>
      <c r="T233" s="341">
        <f>SUM(T229:T232)</f>
      </c>
      <c r="U233" s="341">
        <f>SUM(U229:U232)</f>
      </c>
      <c r="V233" s="341">
        <f>SUM(V229:V232)</f>
      </c>
      <c r="W233" s="341">
        <f>SUM(W229:W232)</f>
      </c>
      <c r="X233" s="341">
        <f>SUM(X229:X232)</f>
      </c>
      <c r="Y233" s="341">
        <f>SUM(Y229:Y232)</f>
      </c>
    </row>
    <row r="234">
      <c r="A234" s="324"/>
      <c r="B234" s="325" t="s">
        <v>248</v>
      </c>
      <c r="C234" s="326" t="s">
        <v>244</v>
      </c>
      <c r="D234" s="326">
        <f t="shared" ref="D234:D237" si="170">E234+G234+F234</f>
      </c>
      <c r="E234" s="326">
        <v>732</v>
      </c>
      <c r="F234" s="326">
        <v>2375.17</v>
      </c>
      <c r="G234" s="327">
        <v>3726.05</v>
      </c>
      <c r="H234" s="328">
        <v>25</v>
      </c>
      <c r="I234" s="327">
        <v>14661.670000000013</v>
      </c>
      <c r="J234" s="329">
        <f t="shared" si="250"/>
      </c>
      <c r="K234" s="329">
        <f t="shared" si="288"/>
      </c>
      <c r="L234" s="329">
        <f t="shared" si="323"/>
      </c>
      <c r="M234" s="331">
        <f t="shared" si="16"/>
      </c>
      <c r="N234" s="332">
        <f t="shared" si="82"/>
      </c>
      <c r="O234" s="333">
        <f t="shared" si="112"/>
      </c>
      <c r="P234" s="332">
        <f t="shared" si="48"/>
      </c>
      <c r="Q234" s="334" t="s">
        <v>258</v>
      </c>
      <c r="R234" s="350" t="s">
        <v>227</v>
      </c>
      <c r="S234" s="348">
        <v>279290</v>
      </c>
      <c r="T234" s="348">
        <v>4174</v>
      </c>
      <c r="U234" s="348">
        <v>507</v>
      </c>
      <c r="V234" s="348">
        <v>6297</v>
      </c>
      <c r="W234" s="348">
        <v>802</v>
      </c>
      <c r="X234" s="348">
        <v>57</v>
      </c>
      <c r="Y234" s="348">
        <v>98</v>
      </c>
    </row>
    <row r="235">
      <c r="A235" s="324"/>
      <c r="B235" s="325" t="s">
        <v>248</v>
      </c>
      <c r="C235" s="327" t="s">
        <v>245</v>
      </c>
      <c r="D235" s="326">
        <f t="shared" si="170"/>
      </c>
      <c r="E235" s="326">
        <v>748.87</v>
      </c>
      <c r="F235" s="326">
        <v>3794.88</v>
      </c>
      <c r="G235" s="326">
        <v>1875.06</v>
      </c>
      <c r="H235" s="328">
        <v>25</v>
      </c>
      <c r="I235" s="327">
        <v>12129.189999999973</v>
      </c>
      <c r="J235" s="329">
        <f t="shared" si="250"/>
      </c>
      <c r="K235" s="329">
        <f t="shared" si="288"/>
      </c>
      <c r="L235" s="329">
        <f t="shared" si="323"/>
      </c>
      <c r="M235" s="331">
        <f t="shared" si="16"/>
      </c>
      <c r="N235" s="332">
        <f t="shared" si="82"/>
      </c>
      <c r="O235" s="333">
        <f t="shared" si="112"/>
      </c>
      <c r="P235" s="332">
        <f t="shared" si="48"/>
      </c>
      <c r="Q235" s="334" t="s">
        <v>258</v>
      </c>
      <c r="R235" s="350" t="s">
        <v>227</v>
      </c>
      <c r="S235" s="361">
        <v>260811</v>
      </c>
      <c r="T235" s="361">
        <v>2990</v>
      </c>
      <c r="U235" s="362">
        <v>454</v>
      </c>
      <c r="V235" s="362">
        <v>5304</v>
      </c>
      <c r="W235" s="362">
        <v>723</v>
      </c>
      <c r="X235" s="348">
        <v>47</v>
      </c>
      <c r="Y235" s="348">
        <v>101</v>
      </c>
    </row>
    <row r="236">
      <c r="A236" s="324"/>
      <c r="B236" s="325" t="s">
        <v>248</v>
      </c>
      <c r="C236" s="327" t="s">
        <v>250</v>
      </c>
      <c r="D236" s="326">
        <f t="shared" si="170"/>
      </c>
      <c r="E236" s="326">
        <v>1150.53</v>
      </c>
      <c r="F236" s="326">
        <v>5702.74</v>
      </c>
      <c r="G236" s="326">
        <v>631.21</v>
      </c>
      <c r="H236" s="328">
        <v>34</v>
      </c>
      <c r="I236" s="327">
        <v>19093.180000000022</v>
      </c>
      <c r="J236" s="329">
        <f t="shared" si="250"/>
      </c>
      <c r="K236" s="329">
        <f t="shared" si="288"/>
      </c>
      <c r="L236" s="329">
        <f t="shared" si="323"/>
      </c>
      <c r="M236" s="331">
        <f t="shared" si="16"/>
      </c>
      <c r="N236" s="332">
        <f t="shared" si="82"/>
      </c>
      <c r="O236" s="333">
        <f t="shared" si="112"/>
      </c>
      <c r="P236" s="332">
        <f t="shared" si="48"/>
      </c>
      <c r="Q236" s="334" t="s">
        <v>258</v>
      </c>
      <c r="R236" s="350" t="s">
        <v>227</v>
      </c>
      <c r="S236" s="361">
        <v>282177</v>
      </c>
      <c r="T236" s="361">
        <v>4684</v>
      </c>
      <c r="U236" s="362">
        <v>609</v>
      </c>
      <c r="V236" s="362">
        <v>7654</v>
      </c>
      <c r="W236" s="362">
        <v>946</v>
      </c>
      <c r="X236" s="348">
        <v>68</v>
      </c>
      <c r="Y236" s="348">
        <v>120</v>
      </c>
    </row>
    <row r="237">
      <c r="A237" s="324"/>
      <c r="B237" s="325" t="s">
        <v>248</v>
      </c>
      <c r="C237" s="327" t="s">
        <v>264</v>
      </c>
      <c r="D237" s="326">
        <f t="shared" si="170"/>
      </c>
      <c r="E237" s="327">
        <v>466.3</v>
      </c>
      <c r="F237" s="327">
        <v>418</v>
      </c>
      <c r="G237" s="327">
        <v>9043.85</v>
      </c>
      <c r="H237" s="328">
        <v>32</v>
      </c>
      <c r="I237" s="327">
        <v>13148.929999999993</v>
      </c>
      <c r="J237" s="329">
        <f t="shared" si="250"/>
      </c>
      <c r="K237" s="329">
        <f t="shared" si="288"/>
      </c>
      <c r="L237" s="329">
        <f t="shared" si="323"/>
      </c>
      <c r="M237" s="331">
        <f t="shared" si="16"/>
      </c>
      <c r="N237" s="332">
        <f t="shared" si="82"/>
      </c>
      <c r="O237" s="333">
        <f t="shared" si="112"/>
      </c>
      <c r="P237" s="332">
        <f t="shared" si="48"/>
      </c>
      <c r="Q237" s="334" t="s">
        <v>258</v>
      </c>
      <c r="R237" s="350" t="s">
        <v>227</v>
      </c>
      <c r="S237" s="361">
        <v>404028</v>
      </c>
      <c r="T237" s="361">
        <v>2154</v>
      </c>
      <c r="U237" s="362">
        <v>581</v>
      </c>
      <c r="V237" s="362">
        <v>2633</v>
      </c>
      <c r="W237" s="362">
        <v>470</v>
      </c>
      <c r="X237" s="348">
        <v>61</v>
      </c>
      <c r="Y237" s="348">
        <v>104</v>
      </c>
    </row>
    <row r="238">
      <c r="A238" s="324"/>
      <c r="B238" s="339" t="s">
        <v>232</v>
      </c>
      <c r="C238" s="339"/>
      <c r="D238" s="340">
        <f>SUM(D234:D237)</f>
      </c>
      <c r="E238" s="340">
        <f>SUM(E234:E237)</f>
      </c>
      <c r="F238" s="340">
        <f>SUM(F234:G237)</f>
      </c>
      <c r="G238" s="340"/>
      <c r="H238" s="341">
        <f>SUM(H234:H237)</f>
      </c>
      <c r="I238" s="340">
        <f>SUM(I234:I237)</f>
      </c>
      <c r="J238" s="342">
        <f t="shared" si="250"/>
      </c>
      <c r="K238" s="343">
        <f t="shared" si="288"/>
      </c>
      <c r="L238" s="344">
        <f t="shared" si="323"/>
      </c>
      <c r="M238" s="345">
        <f t="shared" si="16"/>
      </c>
      <c r="N238" s="345">
        <f t="shared" si="82"/>
      </c>
      <c r="O238" s="346">
        <f t="shared" si="112"/>
      </c>
      <c r="P238" s="345">
        <f t="shared" si="48"/>
      </c>
      <c r="Q238" s="346"/>
      <c r="R238" s="351"/>
      <c r="S238" s="341">
        <f>SUM(S234:S237)</f>
      </c>
      <c r="T238" s="341">
        <f>SUM(T234:T237)</f>
      </c>
      <c r="U238" s="341">
        <f>SUM(U234:U237)</f>
      </c>
      <c r="V238" s="341">
        <f>SUM(V234:V237)</f>
      </c>
      <c r="W238" s="341">
        <f>SUM(W234:W237)</f>
      </c>
      <c r="X238" s="341">
        <f>SUM(X234:X237)</f>
      </c>
      <c r="Y238" s="341">
        <f>SUM(Y234:Y237)</f>
      </c>
    </row>
    <row r="239">
      <c r="A239" s="324"/>
      <c r="B239" s="353" t="s">
        <v>246</v>
      </c>
      <c r="C239" s="353"/>
      <c r="D239" s="354">
        <f>D238+D233+D228+D223</f>
      </c>
      <c r="E239" s="354">
        <f>E238+E233+E228+E223</f>
      </c>
      <c r="F239" s="354">
        <f>F238+F233+F228+F223</f>
      </c>
      <c r="G239" s="354"/>
      <c r="H239" s="355">
        <f>H238+H233+H228+H223</f>
      </c>
      <c r="I239" s="354">
        <f>I238+I233+I228+I223</f>
      </c>
      <c r="J239" s="356">
        <f t="shared" si="250"/>
      </c>
      <c r="K239" s="356">
        <f t="shared" si="288"/>
      </c>
      <c r="L239" s="356">
        <f t="shared" si="323"/>
      </c>
      <c r="M239" s="357">
        <f t="shared" si="16"/>
      </c>
      <c r="N239" s="357">
        <f t="shared" si="82"/>
      </c>
      <c r="O239" s="356">
        <f t="shared" si="112"/>
      </c>
      <c r="P239" s="357">
        <f t="shared" si="48"/>
      </c>
      <c r="Q239" s="358"/>
      <c r="R239" s="359"/>
      <c r="S239" s="355">
        <f>S238+S233+S228+S223</f>
      </c>
      <c r="T239" s="355">
        <f>T238+T233+T228+T223</f>
      </c>
      <c r="U239" s="355">
        <f>U238+U233+U228+U223</f>
      </c>
      <c r="V239" s="355">
        <f>V238+V233+V228+V223</f>
      </c>
      <c r="W239" s="355">
        <f>W238+W233+W228+W223</f>
      </c>
      <c r="X239" s="360">
        <f>X238+X233+X228+X223</f>
      </c>
      <c r="Y239" s="355">
        <f>Y238+Y233+Y228+Y223</f>
      </c>
    </row>
    <row r="240">
      <c r="A240" s="311" t="s">
        <v>195</v>
      </c>
      <c r="B240" s="311"/>
      <c r="C240" s="311"/>
      <c r="D240" s="312" t="s">
        <v>196</v>
      </c>
      <c r="E240" s="312"/>
      <c r="F240" s="312"/>
      <c r="G240" s="312"/>
      <c r="H240" s="312"/>
      <c r="I240" s="312"/>
      <c r="J240" s="312"/>
      <c r="K240" s="312"/>
      <c r="L240" s="312"/>
      <c r="M240" s="313" t="s">
        <v>197</v>
      </c>
      <c r="N240" s="313"/>
      <c r="O240" s="313"/>
      <c r="P240" s="313"/>
      <c r="Q240" s="313"/>
      <c r="R240" s="313"/>
      <c r="S240" s="314" t="s">
        <v>198</v>
      </c>
      <c r="T240" s="314"/>
      <c r="U240" s="314"/>
      <c r="V240" s="314"/>
      <c r="W240" s="314"/>
      <c r="X240" s="314"/>
      <c r="Y240" s="314"/>
    </row>
    <row r="241">
      <c r="A241" s="315" t="s">
        <v>199</v>
      </c>
      <c r="B241" s="311" t="s">
        <v>200</v>
      </c>
      <c r="C241" s="311" t="s">
        <v>201</v>
      </c>
      <c r="D241" s="312" t="s">
        <v>202</v>
      </c>
      <c r="E241" s="316" t="s">
        <v>203</v>
      </c>
      <c r="F241" s="312" t="s">
        <v>204</v>
      </c>
      <c r="G241" s="312"/>
      <c r="H241" s="317" t="s">
        <v>205</v>
      </c>
      <c r="I241" s="312" t="s">
        <v>206</v>
      </c>
      <c r="J241" s="318" t="s">
        <v>207</v>
      </c>
      <c r="K241" s="319" t="s">
        <v>208</v>
      </c>
      <c r="L241" s="312" t="s">
        <v>209</v>
      </c>
      <c r="M241" s="313" t="s">
        <v>210</v>
      </c>
      <c r="N241" s="313" t="s">
        <v>211</v>
      </c>
      <c r="O241" s="313" t="s">
        <v>212</v>
      </c>
      <c r="P241" s="320" t="s">
        <v>213</v>
      </c>
      <c r="Q241" s="321" t="s">
        <v>214</v>
      </c>
      <c r="R241" s="321" t="s">
        <v>215</v>
      </c>
      <c r="S241" s="366" t="s">
        <v>216</v>
      </c>
      <c r="T241" s="366" t="s">
        <v>217</v>
      </c>
      <c r="U241" s="323" t="s">
        <v>218</v>
      </c>
      <c r="V241" s="323" t="s">
        <v>219</v>
      </c>
      <c r="W241" s="323" t="s">
        <v>220</v>
      </c>
      <c r="X241" s="322" t="s">
        <v>221</v>
      </c>
      <c r="Y241" s="322" t="s">
        <v>222</v>
      </c>
    </row>
    <row r="242">
      <c r="A242" s="324" t="s">
        <v>272</v>
      </c>
      <c r="B242" s="325" t="s">
        <v>260</v>
      </c>
      <c r="C242" s="326" t="s">
        <v>225</v>
      </c>
      <c r="D242" s="326">
        <f t="shared" ref="D242:D246" si="171">E242+G242+F242</f>
      </c>
      <c r="E242" s="327">
        <v>1369.7</v>
      </c>
      <c r="F242" s="327">
        <v>4081.11</v>
      </c>
      <c r="G242" s="327">
        <v>5237.3</v>
      </c>
      <c r="H242" s="328">
        <v>41</v>
      </c>
      <c r="I242" s="326">
        <v>17621.97</v>
      </c>
      <c r="J242" s="329">
        <f t="shared" ref="J242:J263" si="251">I242/D242</f>
      </c>
      <c r="K242" s="330">
        <f t="shared" ref="K242:K263" si="289">D242/H242</f>
      </c>
      <c r="L242" s="329">
        <f t="shared" ref="L242:L263" si="324">I242/H242</f>
      </c>
      <c r="M242" s="331">
        <f t="shared" ref="M242:M263" si="17">T242/S242</f>
      </c>
      <c r="N242" s="332">
        <f t="shared" ref="N242:N263" si="83">H242/X242</f>
      </c>
      <c r="O242" s="333">
        <f t="shared" ref="O242:O263" si="113">(Y242*1000)/D242</f>
      </c>
      <c r="P242" s="332">
        <f t="shared" ref="P242:P263" si="49">W242/V242</f>
      </c>
      <c r="Q242" s="334" t="s">
        <v>255</v>
      </c>
      <c r="R242" s="370" t="s">
        <v>273</v>
      </c>
      <c r="S242" s="336">
        <v>297311</v>
      </c>
      <c r="T242" s="336">
        <v>6710</v>
      </c>
      <c r="U242" s="368">
        <v>673</v>
      </c>
      <c r="V242" s="337">
        <v>9048</v>
      </c>
      <c r="W242" s="337">
        <v>1136</v>
      </c>
      <c r="X242" s="337">
        <v>93</v>
      </c>
      <c r="Y242" s="337">
        <v>160</v>
      </c>
    </row>
    <row r="243">
      <c r="A243" s="324"/>
      <c r="B243" s="325" t="s">
        <v>260</v>
      </c>
      <c r="C243" s="326" t="s">
        <v>228</v>
      </c>
      <c r="D243" s="326">
        <f t="shared" si="171"/>
      </c>
      <c r="E243" s="327">
        <v>2146.43</v>
      </c>
      <c r="F243" s="327">
        <v>5846.96</v>
      </c>
      <c r="G243" s="327">
        <v>5370</v>
      </c>
      <c r="H243" s="328">
        <v>53</v>
      </c>
      <c r="I243" s="326">
        <v>28379.440000000002</v>
      </c>
      <c r="J243" s="329">
        <f t="shared" si="251"/>
      </c>
      <c r="K243" s="329">
        <f t="shared" si="289"/>
      </c>
      <c r="L243" s="330">
        <f t="shared" si="324"/>
      </c>
      <c r="M243" s="331">
        <f t="shared" si="17"/>
      </c>
      <c r="N243" s="332">
        <f t="shared" si="83"/>
      </c>
      <c r="O243" s="333">
        <f t="shared" si="113"/>
      </c>
      <c r="P243" s="332">
        <f t="shared" si="49"/>
      </c>
      <c r="Q243" s="334" t="s">
        <v>255</v>
      </c>
      <c r="R243" s="370" t="s">
        <v>273</v>
      </c>
      <c r="S243" s="369">
        <v>360858</v>
      </c>
      <c r="T243" s="369">
        <v>8813</v>
      </c>
      <c r="U243" s="337">
        <v>924</v>
      </c>
      <c r="V243" s="337">
        <v>14332</v>
      </c>
      <c r="W243" s="337">
        <v>1862</v>
      </c>
      <c r="X243" s="337">
        <v>103</v>
      </c>
      <c r="Y243" s="337">
        <v>150</v>
      </c>
    </row>
    <row r="244">
      <c r="A244" s="324"/>
      <c r="B244" s="325" t="s">
        <v>260</v>
      </c>
      <c r="C244" s="326" t="s">
        <v>229</v>
      </c>
      <c r="D244" s="326">
        <f t="shared" si="171"/>
      </c>
      <c r="E244" s="327">
        <v>2576.11</v>
      </c>
      <c r="F244" s="327">
        <v>4123.56</v>
      </c>
      <c r="G244" s="327">
        <v>4660.14</v>
      </c>
      <c r="H244" s="338">
        <v>51</v>
      </c>
      <c r="I244" s="326">
        <v>28134.259999999995</v>
      </c>
      <c r="J244" s="329">
        <f t="shared" si="251"/>
      </c>
      <c r="K244" s="329">
        <f t="shared" si="289"/>
      </c>
      <c r="L244" s="329">
        <f t="shared" si="324"/>
      </c>
      <c r="M244" s="331">
        <f t="shared" si="17"/>
      </c>
      <c r="N244" s="332">
        <f t="shared" si="83"/>
      </c>
      <c r="O244" s="333">
        <f t="shared" si="113"/>
      </c>
      <c r="P244" s="332">
        <f t="shared" si="49"/>
      </c>
      <c r="Q244" s="334" t="s">
        <v>255</v>
      </c>
      <c r="R244" s="370" t="s">
        <v>273</v>
      </c>
      <c r="S244" s="336">
        <v>359472</v>
      </c>
      <c r="T244" s="336">
        <v>9315</v>
      </c>
      <c r="U244" s="337">
        <v>798</v>
      </c>
      <c r="V244" s="337">
        <v>14463</v>
      </c>
      <c r="W244" s="337">
        <v>1848</v>
      </c>
      <c r="X244" s="337">
        <v>98</v>
      </c>
      <c r="Y244" s="337">
        <v>137</v>
      </c>
    </row>
    <row r="245">
      <c r="A245" s="324"/>
      <c r="B245" s="325" t="s">
        <v>260</v>
      </c>
      <c r="C245" s="364" t="s">
        <v>230</v>
      </c>
      <c r="D245" s="326">
        <f t="shared" si="171"/>
      </c>
      <c r="E245" s="327">
        <v>3579.24</v>
      </c>
      <c r="F245" s="327">
        <v>3274.04</v>
      </c>
      <c r="G245" s="327">
        <v>4651.13</v>
      </c>
      <c r="H245" s="338">
        <v>42</v>
      </c>
      <c r="I245" s="326">
        <v>26706.39</v>
      </c>
      <c r="J245" s="329">
        <f t="shared" si="251"/>
      </c>
      <c r="K245" s="329">
        <f t="shared" si="289"/>
      </c>
      <c r="L245" s="329">
        <f t="shared" si="324"/>
      </c>
      <c r="M245" s="331">
        <f t="shared" si="17"/>
      </c>
      <c r="N245" s="332">
        <f t="shared" si="83"/>
      </c>
      <c r="O245" s="333">
        <f t="shared" si="113"/>
      </c>
      <c r="P245" s="332">
        <f t="shared" si="49"/>
      </c>
      <c r="Q245" s="334" t="s">
        <v>255</v>
      </c>
      <c r="R245" s="370" t="s">
        <v>273</v>
      </c>
      <c r="S245" s="336">
        <v>260964</v>
      </c>
      <c r="T245" s="336">
        <v>11454</v>
      </c>
      <c r="U245" s="337">
        <v>701</v>
      </c>
      <c r="V245" s="337">
        <v>18007</v>
      </c>
      <c r="W245" s="337">
        <v>1753</v>
      </c>
      <c r="X245" s="337">
        <v>85</v>
      </c>
      <c r="Y245" s="337">
        <v>105</v>
      </c>
    </row>
    <row customHeight="true" ht="16.666666666666668" r="246">
      <c r="A246" s="324"/>
      <c r="B246" s="325" t="s">
        <v>260</v>
      </c>
      <c r="C246" s="326" t="s">
        <v>231</v>
      </c>
      <c r="D246" s="326">
        <f t="shared" si="171"/>
      </c>
      <c r="E246" s="327">
        <v>3767.48</v>
      </c>
      <c r="F246" s="327">
        <v>4144.63</v>
      </c>
      <c r="G246" s="327">
        <v>1836.24</v>
      </c>
      <c r="H246" s="338">
        <v>32</v>
      </c>
      <c r="I246" s="326">
        <v>19231.59000000001</v>
      </c>
      <c r="J246" s="329">
        <f t="shared" si="251"/>
      </c>
      <c r="K246" s="329">
        <f t="shared" si="289"/>
      </c>
      <c r="L246" s="329">
        <f t="shared" si="324"/>
      </c>
      <c r="M246" s="331">
        <f t="shared" si="17"/>
      </c>
      <c r="N246" s="332">
        <f t="shared" si="83"/>
      </c>
      <c r="O246" s="333">
        <f t="shared" si="113"/>
      </c>
      <c r="P246" s="332">
        <f t="shared" si="49"/>
      </c>
      <c r="Q246" s="334" t="s">
        <v>255</v>
      </c>
      <c r="R246" s="370" t="s">
        <v>273</v>
      </c>
      <c r="S246" s="336">
        <v>228733</v>
      </c>
      <c r="T246" s="336">
        <v>7539</v>
      </c>
      <c r="U246" s="337">
        <v>700</v>
      </c>
      <c r="V246" s="337">
        <v>14405</v>
      </c>
      <c r="W246" s="337">
        <v>1771</v>
      </c>
      <c r="X246" s="337">
        <v>74</v>
      </c>
      <c r="Y246" s="337">
        <v>113</v>
      </c>
    </row>
    <row r="247">
      <c r="A247" s="324"/>
      <c r="B247" s="339" t="s">
        <v>232</v>
      </c>
      <c r="C247" s="339"/>
      <c r="D247" s="340">
        <f>SUM(D242:D246)</f>
      </c>
      <c r="E247" s="340">
        <f>SUM(E242:E246)</f>
      </c>
      <c r="F247" s="340">
        <f>SUM(F242:G246)</f>
      </c>
      <c r="G247" s="340"/>
      <c r="H247" s="341">
        <f>SUM(H242:H246)</f>
      </c>
      <c r="I247" s="340">
        <f>SUM(I242:I246)</f>
      </c>
      <c r="J247" s="342">
        <f t="shared" si="251"/>
      </c>
      <c r="K247" s="343">
        <f t="shared" si="289"/>
      </c>
      <c r="L247" s="344">
        <f t="shared" si="324"/>
      </c>
      <c r="M247" s="345">
        <f t="shared" si="17"/>
      </c>
      <c r="N247" s="345">
        <f t="shared" si="83"/>
      </c>
      <c r="O247" s="346">
        <f t="shared" si="113"/>
      </c>
      <c r="P247" s="345">
        <f t="shared" si="49"/>
      </c>
      <c r="Q247" s="346"/>
      <c r="R247" s="346"/>
      <c r="S247" s="341">
        <f>SUM(S242:S246)</f>
      </c>
      <c r="T247" s="341">
        <f>SUM(T242:T246)</f>
      </c>
      <c r="U247" s="341">
        <f>SUM(U242:U246)</f>
      </c>
      <c r="V247" s="341">
        <f>SUM(V242:V246)</f>
      </c>
      <c r="W247" s="341">
        <f>SUM(W242:W246)</f>
      </c>
      <c r="X247" s="341">
        <f>SUM(X242:X246)</f>
      </c>
      <c r="Y247" s="341">
        <f>SUM(Y242:Y246)</f>
      </c>
    </row>
    <row r="248">
      <c r="A248" s="324"/>
      <c r="B248" s="325" t="s">
        <v>257</v>
      </c>
      <c r="C248" s="326" t="s">
        <v>234</v>
      </c>
      <c r="D248" s="326">
        <f t="shared" ref="D248:D251" si="172">E248+G248+F248</f>
      </c>
      <c r="E248" s="327">
        <v>1970.18</v>
      </c>
      <c r="F248" s="327">
        <v>5889.06</v>
      </c>
      <c r="G248" s="327">
        <v>1576.47</v>
      </c>
      <c r="H248" s="338">
        <v>34</v>
      </c>
      <c r="I248" s="326">
        <v>21372.86</v>
      </c>
      <c r="J248" s="329">
        <f t="shared" si="251"/>
      </c>
      <c r="K248" s="329">
        <f t="shared" si="289"/>
      </c>
      <c r="L248" s="329">
        <f t="shared" si="324"/>
      </c>
      <c r="M248" s="331">
        <f t="shared" si="17"/>
      </c>
      <c r="N248" s="332">
        <f t="shared" si="83"/>
      </c>
      <c r="O248" s="333">
        <f t="shared" si="113"/>
      </c>
      <c r="P248" s="332">
        <f t="shared" si="49"/>
      </c>
      <c r="Q248" s="334" t="s">
        <v>255</v>
      </c>
      <c r="R248" s="370" t="s">
        <v>273</v>
      </c>
      <c r="S248" s="347">
        <v>234828</v>
      </c>
      <c r="T248" s="347">
        <v>4868</v>
      </c>
      <c r="U248" s="348">
        <v>554</v>
      </c>
      <c r="V248" s="348">
        <v>8068</v>
      </c>
      <c r="W248" s="348">
        <v>1079</v>
      </c>
      <c r="X248" s="348">
        <v>57</v>
      </c>
      <c r="Y248" s="348">
        <v>111</v>
      </c>
    </row>
    <row r="249">
      <c r="A249" s="324"/>
      <c r="B249" s="325" t="s">
        <v>257</v>
      </c>
      <c r="C249" s="327" t="s">
        <v>235</v>
      </c>
      <c r="D249" s="326">
        <f t="shared" si="172"/>
      </c>
      <c r="E249" s="327">
        <v>3464.46</v>
      </c>
      <c r="F249" s="327">
        <v>736.86</v>
      </c>
      <c r="G249" s="327">
        <v>6195.85</v>
      </c>
      <c r="H249" s="328">
        <v>32</v>
      </c>
      <c r="I249" s="327">
        <v>10811.359999999986</v>
      </c>
      <c r="J249" s="329">
        <f t="shared" si="251"/>
      </c>
      <c r="K249" s="329">
        <f t="shared" si="289"/>
      </c>
      <c r="L249" s="329">
        <f t="shared" si="324"/>
      </c>
      <c r="M249" s="331">
        <f t="shared" si="17"/>
      </c>
      <c r="N249" s="332">
        <f t="shared" si="83"/>
      </c>
      <c r="O249" s="333">
        <f t="shared" si="113"/>
      </c>
      <c r="P249" s="332">
        <f t="shared" si="49"/>
      </c>
      <c r="Q249" s="334" t="s">
        <v>255</v>
      </c>
      <c r="R249" s="370" t="s">
        <v>273</v>
      </c>
      <c r="S249" s="347">
        <v>243356</v>
      </c>
      <c r="T249" s="347">
        <v>7724</v>
      </c>
      <c r="U249" s="348">
        <v>682</v>
      </c>
      <c r="V249" s="348">
        <v>14115</v>
      </c>
      <c r="W249" s="348">
        <v>1677</v>
      </c>
      <c r="X249" s="348">
        <v>62</v>
      </c>
      <c r="Y249" s="348">
        <v>124</v>
      </c>
    </row>
    <row r="250">
      <c r="A250" s="324"/>
      <c r="B250" s="325" t="s">
        <v>257</v>
      </c>
      <c r="C250" s="326" t="s">
        <v>236</v>
      </c>
      <c r="D250" s="326">
        <f t="shared" si="172"/>
      </c>
      <c r="E250" s="327">
        <v>1726.9</v>
      </c>
      <c r="F250" s="327">
        <v>3651.63</v>
      </c>
      <c r="G250" s="327">
        <v>1034.38</v>
      </c>
      <c r="H250" s="328">
        <v>25</v>
      </c>
      <c r="I250" s="327">
        <v>12893.080000000016</v>
      </c>
      <c r="J250" s="329">
        <f t="shared" si="251"/>
      </c>
      <c r="K250" s="329">
        <f t="shared" si="289"/>
      </c>
      <c r="L250" s="329">
        <f t="shared" si="324"/>
      </c>
      <c r="M250" s="331">
        <f t="shared" si="17"/>
      </c>
      <c r="N250" s="332">
        <f t="shared" si="83"/>
      </c>
      <c r="O250" s="333">
        <f t="shared" si="113"/>
      </c>
      <c r="P250" s="332">
        <f t="shared" si="49"/>
      </c>
      <c r="Q250" s="334" t="s">
        <v>255</v>
      </c>
      <c r="R250" s="370" t="s">
        <v>273</v>
      </c>
      <c r="S250" s="347">
        <v>168788</v>
      </c>
      <c r="T250" s="347">
        <v>4222</v>
      </c>
      <c r="U250" s="348">
        <v>431</v>
      </c>
      <c r="V250" s="348">
        <v>7300</v>
      </c>
      <c r="W250" s="348">
        <v>862</v>
      </c>
      <c r="X250" s="348">
        <v>45</v>
      </c>
      <c r="Y250" s="348">
        <v>82</v>
      </c>
    </row>
    <row r="251">
      <c r="A251" s="324"/>
      <c r="B251" s="325" t="s">
        <v>257</v>
      </c>
      <c r="C251" s="326" t="s">
        <v>237</v>
      </c>
      <c r="D251" s="326">
        <f t="shared" si="172"/>
      </c>
      <c r="E251" s="327">
        <v>2306.25</v>
      </c>
      <c r="F251" s="327">
        <v>1068.37</v>
      </c>
      <c r="G251" s="327">
        <v>4362.71</v>
      </c>
      <c r="H251" s="338">
        <v>28</v>
      </c>
      <c r="I251" s="327">
        <v>14150.720000000001</v>
      </c>
      <c r="J251" s="329">
        <f t="shared" si="251"/>
      </c>
      <c r="K251" s="329">
        <f t="shared" si="289"/>
      </c>
      <c r="L251" s="329">
        <f t="shared" si="324"/>
      </c>
      <c r="M251" s="331">
        <f t="shared" si="17"/>
      </c>
      <c r="N251" s="332">
        <f t="shared" si="83"/>
      </c>
      <c r="O251" s="333">
        <f t="shared" si="113"/>
      </c>
      <c r="P251" s="332">
        <f t="shared" si="49"/>
      </c>
      <c r="Q251" s="334" t="s">
        <v>255</v>
      </c>
      <c r="R251" s="370" t="s">
        <v>273</v>
      </c>
      <c r="S251" s="347">
        <v>224454</v>
      </c>
      <c r="T251" s="347">
        <v>5670</v>
      </c>
      <c r="U251" s="348">
        <v>554</v>
      </c>
      <c r="V251" s="348">
        <v>9199</v>
      </c>
      <c r="W251" s="348">
        <v>943</v>
      </c>
      <c r="X251" s="348">
        <v>48</v>
      </c>
      <c r="Y251" s="348">
        <v>93</v>
      </c>
    </row>
    <row r="252">
      <c r="A252" s="324"/>
      <c r="B252" s="339" t="s">
        <v>232</v>
      </c>
      <c r="C252" s="339"/>
      <c r="D252" s="340">
        <f>SUM(D248:D251)</f>
      </c>
      <c r="E252" s="340">
        <f>SUM(E248:E251)</f>
      </c>
      <c r="F252" s="340">
        <f>SUM(F248:G251)</f>
      </c>
      <c r="G252" s="340"/>
      <c r="H252" s="341">
        <f>SUM(H248:H251)</f>
      </c>
      <c r="I252" s="340">
        <f>SUM(I248:I251)</f>
      </c>
      <c r="J252" s="342">
        <f t="shared" si="251"/>
      </c>
      <c r="K252" s="343">
        <f t="shared" si="289"/>
      </c>
      <c r="L252" s="344">
        <f t="shared" si="324"/>
      </c>
      <c r="M252" s="345">
        <f t="shared" si="17"/>
      </c>
      <c r="N252" s="345">
        <f t="shared" si="83"/>
      </c>
      <c r="O252" s="346">
        <f t="shared" si="113"/>
      </c>
      <c r="P252" s="345">
        <f t="shared" si="49"/>
      </c>
      <c r="Q252" s="346"/>
      <c r="R252" s="346"/>
      <c r="S252" s="341">
        <f>SUM(S248:S251)</f>
      </c>
      <c r="T252" s="341">
        <f>SUM(T248:T251)</f>
      </c>
      <c r="U252" s="341">
        <f>SUM(U248:U251)</f>
      </c>
      <c r="V252" s="341">
        <f>SUM(V248:V251)</f>
      </c>
      <c r="W252" s="341">
        <f>SUM(W248:W251)</f>
      </c>
      <c r="X252" s="341">
        <f>SUM(X248:X251)</f>
      </c>
      <c r="Y252" s="341">
        <f>SUM(Y248:Y251)</f>
      </c>
    </row>
    <row r="253">
      <c r="A253" s="324"/>
      <c r="B253" s="325" t="s">
        <v>253</v>
      </c>
      <c r="C253" s="327" t="s">
        <v>239</v>
      </c>
      <c r="D253" s="326">
        <f t="shared" ref="D253:D256" si="173">E253+G253+F253</f>
      </c>
      <c r="E253" s="326">
        <v>1802.11</v>
      </c>
      <c r="F253" s="326">
        <v>3368.13</v>
      </c>
      <c r="G253" s="326">
        <v>1315.99</v>
      </c>
      <c r="H253" s="338">
        <v>19</v>
      </c>
      <c r="I253" s="326">
        <v>9993.720000000001</v>
      </c>
      <c r="J253" s="329">
        <f t="shared" si="251"/>
      </c>
      <c r="K253" s="329">
        <f t="shared" si="289"/>
      </c>
      <c r="L253" s="329">
        <f t="shared" si="324"/>
      </c>
      <c r="M253" s="331">
        <f t="shared" si="17"/>
      </c>
      <c r="N253" s="332">
        <f t="shared" si="83"/>
      </c>
      <c r="O253" s="333">
        <f t="shared" si="113"/>
      </c>
      <c r="P253" s="332">
        <f t="shared" si="49"/>
      </c>
      <c r="Q253" s="334" t="s">
        <v>258</v>
      </c>
      <c r="R253" s="370" t="s">
        <v>273</v>
      </c>
      <c r="S253" s="347">
        <v>190646</v>
      </c>
      <c r="T253" s="347">
        <v>4709</v>
      </c>
      <c r="U253" s="348">
        <v>489</v>
      </c>
      <c r="V253" s="348">
        <v>7362</v>
      </c>
      <c r="W253" s="348">
        <v>792</v>
      </c>
      <c r="X253" s="348">
        <v>41</v>
      </c>
      <c r="Y253" s="348">
        <v>80</v>
      </c>
    </row>
    <row r="254">
      <c r="A254" s="324"/>
      <c r="B254" s="325" t="s">
        <v>253</v>
      </c>
      <c r="C254" s="327" t="s">
        <v>241</v>
      </c>
      <c r="D254" s="326">
        <f t="shared" si="173"/>
      </c>
      <c r="E254" s="326">
        <v>1135.8</v>
      </c>
      <c r="F254" s="326">
        <v>1830.8</v>
      </c>
      <c r="G254" s="326">
        <v>2054.13</v>
      </c>
      <c r="H254" s="338">
        <v>12</v>
      </c>
      <c r="I254" s="326">
        <v>3466.5999999999767</v>
      </c>
      <c r="J254" s="329">
        <f t="shared" si="251"/>
      </c>
      <c r="K254" s="329">
        <f t="shared" si="289"/>
      </c>
      <c r="L254" s="329">
        <f t="shared" si="324"/>
      </c>
      <c r="M254" s="331">
        <f t="shared" si="17"/>
      </c>
      <c r="N254" s="332">
        <f t="shared" si="83"/>
      </c>
      <c r="O254" s="333">
        <f t="shared" si="113"/>
      </c>
      <c r="P254" s="332">
        <f t="shared" si="49"/>
      </c>
      <c r="Q254" s="334" t="s">
        <v>258</v>
      </c>
      <c r="R254" s="350" t="s">
        <v>227</v>
      </c>
      <c r="S254" s="347">
        <v>126692</v>
      </c>
      <c r="T254" s="347">
        <v>4550</v>
      </c>
      <c r="U254" s="348">
        <v>286</v>
      </c>
      <c r="V254" s="348">
        <v>6669</v>
      </c>
      <c r="W254" s="348">
        <v>540</v>
      </c>
      <c r="X254" s="348">
        <v>27</v>
      </c>
      <c r="Y254" s="348">
        <v>54</v>
      </c>
    </row>
    <row r="255">
      <c r="A255" s="324"/>
      <c r="B255" s="325" t="s">
        <v>253</v>
      </c>
      <c r="C255" s="327" t="s">
        <v>242</v>
      </c>
      <c r="D255" s="326">
        <f t="shared" si="173"/>
      </c>
      <c r="E255" s="326">
        <v>1290.2</v>
      </c>
      <c r="F255" s="326">
        <v>4443.05</v>
      </c>
      <c r="G255" s="326">
        <v>768.42</v>
      </c>
      <c r="H255" s="338">
        <v>22</v>
      </c>
      <c r="I255" s="326">
        <v>8309.279999999999</v>
      </c>
      <c r="J255" s="329">
        <f t="shared" si="251"/>
      </c>
      <c r="K255" s="329">
        <f t="shared" si="289"/>
      </c>
      <c r="L255" s="329">
        <f t="shared" si="324"/>
      </c>
      <c r="M255" s="331">
        <f t="shared" si="17"/>
      </c>
      <c r="N255" s="332">
        <f t="shared" si="83"/>
      </c>
      <c r="O255" s="333">
        <f t="shared" si="113"/>
      </c>
      <c r="P255" s="332">
        <f t="shared" si="49"/>
      </c>
      <c r="Q255" s="334" t="s">
        <v>258</v>
      </c>
      <c r="R255" s="350" t="s">
        <v>227</v>
      </c>
      <c r="S255" s="347">
        <v>213436</v>
      </c>
      <c r="T255" s="347">
        <v>3590</v>
      </c>
      <c r="U255" s="348">
        <v>393</v>
      </c>
      <c r="V255" s="348">
        <v>6023</v>
      </c>
      <c r="W255" s="348">
        <v>711</v>
      </c>
      <c r="X255" s="348">
        <v>35</v>
      </c>
      <c r="Y255" s="348">
        <v>70</v>
      </c>
    </row>
    <row r="256">
      <c r="A256" s="324"/>
      <c r="B256" s="325" t="s">
        <v>253</v>
      </c>
      <c r="C256" s="326" t="s">
        <v>244</v>
      </c>
      <c r="D256" s="326">
        <f t="shared" si="173"/>
      </c>
      <c r="E256" s="326">
        <v>1735.89</v>
      </c>
      <c r="F256" s="326">
        <v>409.45</v>
      </c>
      <c r="G256" s="326">
        <v>5858.12</v>
      </c>
      <c r="H256" s="338">
        <v>47</v>
      </c>
      <c r="I256" s="326">
        <v>20346.160000000003</v>
      </c>
      <c r="J256" s="329">
        <f t="shared" si="251"/>
      </c>
      <c r="K256" s="329">
        <f t="shared" si="289"/>
      </c>
      <c r="L256" s="329">
        <f t="shared" si="324"/>
      </c>
      <c r="M256" s="331">
        <f t="shared" si="17"/>
      </c>
      <c r="N256" s="332">
        <f t="shared" si="83"/>
      </c>
      <c r="O256" s="333">
        <f t="shared" si="113"/>
      </c>
      <c r="P256" s="332">
        <f t="shared" si="49"/>
      </c>
      <c r="Q256" s="334" t="s">
        <v>258</v>
      </c>
      <c r="R256" s="350" t="s">
        <v>227</v>
      </c>
      <c r="S256" s="347">
        <v>330190</v>
      </c>
      <c r="T256" s="347">
        <v>6500</v>
      </c>
      <c r="U256" s="348">
        <v>617</v>
      </c>
      <c r="V256" s="348">
        <v>10312</v>
      </c>
      <c r="W256" s="348">
        <v>1172</v>
      </c>
      <c r="X256" s="348">
        <v>84</v>
      </c>
      <c r="Y256" s="348">
        <v>109</v>
      </c>
    </row>
    <row r="257">
      <c r="A257" s="324"/>
      <c r="B257" s="339" t="s">
        <v>232</v>
      </c>
      <c r="C257" s="339"/>
      <c r="D257" s="340">
        <f>SUM(D253:D256)</f>
      </c>
      <c r="E257" s="340">
        <f>SUM(E253:E256)</f>
      </c>
      <c r="F257" s="340">
        <f>SUM(F253:G256)</f>
      </c>
      <c r="G257" s="340"/>
      <c r="H257" s="341">
        <f>SUM(H253:H256)</f>
      </c>
      <c r="I257" s="340">
        <f>SUM(I253:I256)</f>
      </c>
      <c r="J257" s="342">
        <f t="shared" si="251"/>
      </c>
      <c r="K257" s="343">
        <f t="shared" si="289"/>
      </c>
      <c r="L257" s="344">
        <f t="shared" si="324"/>
      </c>
      <c r="M257" s="345">
        <f t="shared" si="17"/>
      </c>
      <c r="N257" s="345">
        <f t="shared" si="83"/>
      </c>
      <c r="O257" s="346">
        <f t="shared" si="113"/>
      </c>
      <c r="P257" s="345">
        <f t="shared" si="49"/>
      </c>
      <c r="Q257" s="346"/>
      <c r="R257" s="346"/>
      <c r="S257" s="341">
        <f>SUM(S253:S256)</f>
      </c>
      <c r="T257" s="341">
        <f>SUM(T253:T256)</f>
      </c>
      <c r="U257" s="341">
        <f>SUM(U253:U256)</f>
      </c>
      <c r="V257" s="341">
        <f>SUM(V253:V256)</f>
      </c>
      <c r="W257" s="341">
        <f>SUM(W253:W256)</f>
      </c>
      <c r="X257" s="341">
        <f>SUM(X253:X256)</f>
      </c>
      <c r="Y257" s="341">
        <f>SUM(Y253:Y256)</f>
      </c>
    </row>
    <row r="258">
      <c r="A258" s="324"/>
      <c r="B258" s="325" t="s">
        <v>248</v>
      </c>
      <c r="C258" s="327" t="s">
        <v>245</v>
      </c>
      <c r="D258" s="326">
        <f t="shared" ref="D258:D261" si="174">E258+G258+F258</f>
      </c>
      <c r="E258" s="326">
        <v>2168.96</v>
      </c>
      <c r="F258" s="326">
        <v>3731.61</v>
      </c>
      <c r="G258" s="327">
        <v>211.98</v>
      </c>
      <c r="H258" s="328">
        <v>28</v>
      </c>
      <c r="I258" s="327">
        <v>12866.160000000003</v>
      </c>
      <c r="J258" s="329">
        <f t="shared" si="251"/>
      </c>
      <c r="K258" s="329">
        <f t="shared" si="289"/>
      </c>
      <c r="L258" s="329">
        <f t="shared" si="324"/>
      </c>
      <c r="M258" s="331">
        <f t="shared" si="17"/>
      </c>
      <c r="N258" s="332">
        <f t="shared" si="83"/>
      </c>
      <c r="O258" s="333">
        <f t="shared" si="113"/>
      </c>
      <c r="P258" s="332">
        <f t="shared" si="49"/>
      </c>
      <c r="Q258" s="334" t="s">
        <v>258</v>
      </c>
      <c r="R258" s="350" t="s">
        <v>227</v>
      </c>
      <c r="S258" s="348">
        <v>203504</v>
      </c>
      <c r="T258" s="348">
        <v>5264</v>
      </c>
      <c r="U258" s="348">
        <v>467</v>
      </c>
      <c r="V258" s="348">
        <v>10142</v>
      </c>
      <c r="W258" s="348">
        <v>1213</v>
      </c>
      <c r="X258" s="348">
        <v>51</v>
      </c>
      <c r="Y258" s="348">
        <v>95</v>
      </c>
    </row>
    <row r="259">
      <c r="A259" s="324"/>
      <c r="B259" s="325" t="s">
        <v>248</v>
      </c>
      <c r="C259" s="327" t="s">
        <v>250</v>
      </c>
      <c r="D259" s="326">
        <f t="shared" si="174"/>
      </c>
      <c r="E259" s="326">
        <v>1059.43</v>
      </c>
      <c r="F259" s="326">
        <v>3531.85</v>
      </c>
      <c r="G259" s="326">
        <v>497.11</v>
      </c>
      <c r="H259" s="328">
        <v>23</v>
      </c>
      <c r="I259" s="327">
        <v>8998.339999999997</v>
      </c>
      <c r="J259" s="329">
        <f t="shared" si="251"/>
      </c>
      <c r="K259" s="329">
        <f t="shared" si="289"/>
      </c>
      <c r="L259" s="329">
        <f t="shared" si="324"/>
      </c>
      <c r="M259" s="331">
        <f t="shared" si="17"/>
      </c>
      <c r="N259" s="332">
        <f t="shared" si="83"/>
      </c>
      <c r="O259" s="333">
        <f t="shared" si="113"/>
      </c>
      <c r="P259" s="332">
        <f t="shared" si="49"/>
      </c>
      <c r="Q259" s="334" t="s">
        <v>258</v>
      </c>
      <c r="R259" s="350" t="s">
        <v>227</v>
      </c>
      <c r="S259" s="361">
        <v>201567</v>
      </c>
      <c r="T259" s="361">
        <v>3104</v>
      </c>
      <c r="U259" s="362">
        <v>389</v>
      </c>
      <c r="V259" s="362">
        <v>5534</v>
      </c>
      <c r="W259" s="362">
        <v>604</v>
      </c>
      <c r="X259" s="348">
        <v>41</v>
      </c>
      <c r="Y259" s="348">
        <v>74</v>
      </c>
    </row>
    <row r="260">
      <c r="A260" s="324"/>
      <c r="B260" s="325" t="s">
        <v>248</v>
      </c>
      <c r="C260" s="327" t="s">
        <v>264</v>
      </c>
      <c r="D260" s="326">
        <f t="shared" si="174"/>
      </c>
      <c r="E260" s="326">
        <v>1048.28</v>
      </c>
      <c r="F260" s="326">
        <v>1306.88</v>
      </c>
      <c r="G260" s="326">
        <v>5853.72</v>
      </c>
      <c r="H260" s="328">
        <v>20</v>
      </c>
      <c r="I260" s="327">
        <v>10665.400000000023</v>
      </c>
      <c r="J260" s="329">
        <f t="shared" si="251"/>
      </c>
      <c r="K260" s="329">
        <f t="shared" si="289"/>
      </c>
      <c r="L260" s="329">
        <f t="shared" si="324"/>
      </c>
      <c r="M260" s="331">
        <f t="shared" si="17"/>
      </c>
      <c r="N260" s="332">
        <f t="shared" si="83"/>
      </c>
      <c r="O260" s="333">
        <f t="shared" si="113"/>
      </c>
      <c r="P260" s="332">
        <f t="shared" si="49"/>
      </c>
      <c r="Q260" s="334" t="s">
        <v>258</v>
      </c>
      <c r="R260" s="350" t="s">
        <v>227</v>
      </c>
      <c r="S260" s="361">
        <v>290550</v>
      </c>
      <c r="T260" s="361">
        <v>4745</v>
      </c>
      <c r="U260" s="362">
        <v>535</v>
      </c>
      <c r="V260" s="362">
        <v>6544</v>
      </c>
      <c r="W260" s="362">
        <v>659</v>
      </c>
      <c r="X260" s="348">
        <v>37</v>
      </c>
      <c r="Y260" s="348">
        <v>111</v>
      </c>
    </row>
    <row r="261">
      <c r="A261" s="324"/>
      <c r="B261" s="325" t="s">
        <v>248</v>
      </c>
      <c r="C261" s="327" t="s">
        <v>266</v>
      </c>
      <c r="D261" s="326">
        <f t="shared" si="174"/>
      </c>
      <c r="E261" s="327">
        <v>2893.97</v>
      </c>
      <c r="F261" s="327">
        <v>4893.8</v>
      </c>
      <c r="G261" s="327">
        <v>59.7</v>
      </c>
      <c r="H261" s="328">
        <v>17</v>
      </c>
      <c r="I261" s="327">
        <v>6868.829999999987</v>
      </c>
      <c r="J261" s="329">
        <f t="shared" si="251"/>
      </c>
      <c r="K261" s="329">
        <f t="shared" si="289"/>
      </c>
      <c r="L261" s="329">
        <f t="shared" si="324"/>
      </c>
      <c r="M261" s="331">
        <f t="shared" si="17"/>
      </c>
      <c r="N261" s="332">
        <f t="shared" si="83"/>
      </c>
      <c r="O261" s="333">
        <f t="shared" si="113"/>
      </c>
      <c r="P261" s="332">
        <f t="shared" si="49"/>
      </c>
      <c r="Q261" s="334" t="s">
        <v>258</v>
      </c>
      <c r="R261" s="350" t="s">
        <v>227</v>
      </c>
      <c r="S261" s="361">
        <v>239080</v>
      </c>
      <c r="T261" s="361">
        <v>7509</v>
      </c>
      <c r="U261" s="362">
        <v>506</v>
      </c>
      <c r="V261" s="362">
        <v>13783</v>
      </c>
      <c r="W261" s="362">
        <v>1425</v>
      </c>
      <c r="X261" s="348">
        <v>41</v>
      </c>
      <c r="Y261" s="348">
        <v>85</v>
      </c>
    </row>
    <row r="262">
      <c r="A262" s="324"/>
      <c r="B262" s="339" t="s">
        <v>232</v>
      </c>
      <c r="C262" s="339"/>
      <c r="D262" s="340">
        <f>SUM(D258:D261)</f>
      </c>
      <c r="E262" s="340">
        <f>SUM(E258:E261)</f>
      </c>
      <c r="F262" s="340">
        <f>SUM(F258:G261)</f>
      </c>
      <c r="G262" s="340"/>
      <c r="H262" s="341">
        <f>SUM(H258:H261)</f>
      </c>
      <c r="I262" s="340">
        <f>SUM(I258:I261)</f>
      </c>
      <c r="J262" s="342">
        <f t="shared" si="251"/>
      </c>
      <c r="K262" s="343">
        <f t="shared" si="289"/>
      </c>
      <c r="L262" s="344">
        <f t="shared" si="324"/>
      </c>
      <c r="M262" s="345">
        <f t="shared" si="17"/>
      </c>
      <c r="N262" s="345">
        <f t="shared" si="83"/>
      </c>
      <c r="O262" s="346">
        <f t="shared" si="113"/>
      </c>
      <c r="P262" s="345">
        <f t="shared" si="49"/>
      </c>
      <c r="Q262" s="346"/>
      <c r="R262" s="351"/>
      <c r="S262" s="341">
        <f>SUM(S258:S261)</f>
      </c>
      <c r="T262" s="341">
        <f>SUM(T258:T261)</f>
      </c>
      <c r="U262" s="341">
        <f>SUM(U258:U261)</f>
      </c>
      <c r="V262" s="341">
        <f>SUM(V258:V261)</f>
      </c>
      <c r="W262" s="341">
        <f>SUM(W258:W261)</f>
      </c>
      <c r="X262" s="341">
        <f>SUM(X258:X261)</f>
      </c>
      <c r="Y262" s="341">
        <f>SUM(Y258:Y261)</f>
      </c>
    </row>
    <row r="263">
      <c r="A263" s="324"/>
      <c r="B263" s="353" t="s">
        <v>246</v>
      </c>
      <c r="C263" s="353"/>
      <c r="D263" s="354">
        <f>D262+D257+D252+D247</f>
      </c>
      <c r="E263" s="354">
        <f>E262+E257+E252+E247</f>
      </c>
      <c r="F263" s="354">
        <f>F262+F257+F252+F247</f>
      </c>
      <c r="G263" s="354"/>
      <c r="H263" s="355">
        <f>H262+H257+H252+H247</f>
      </c>
      <c r="I263" s="354">
        <f>I262+I257+I252+I247</f>
      </c>
      <c r="J263" s="356">
        <f t="shared" si="251"/>
      </c>
      <c r="K263" s="356">
        <f t="shared" si="289"/>
      </c>
      <c r="L263" s="356">
        <f t="shared" si="324"/>
      </c>
      <c r="M263" s="357">
        <f t="shared" si="17"/>
      </c>
      <c r="N263" s="357">
        <f t="shared" si="83"/>
      </c>
      <c r="O263" s="356">
        <f t="shared" si="113"/>
      </c>
      <c r="P263" s="357">
        <f t="shared" si="49"/>
      </c>
      <c r="Q263" s="358"/>
      <c r="R263" s="359"/>
      <c r="S263" s="355">
        <f>S262+S257+S252+S247</f>
      </c>
      <c r="T263" s="355">
        <f>T262+T257+T252+T247</f>
      </c>
      <c r="U263" s="355">
        <f>U262+U257+U252+U247</f>
      </c>
      <c r="V263" s="355">
        <f>V262+V257+V252+V247</f>
      </c>
      <c r="W263" s="355">
        <f>W262+W257+W252+W247</f>
      </c>
      <c r="X263" s="360">
        <f>X262+X257+X252+X247</f>
      </c>
      <c r="Y263" s="355">
        <f>Y262+Y257+Y252+Y247</f>
      </c>
    </row>
    <row r="264">
      <c r="A264" s="311" t="s">
        <v>195</v>
      </c>
      <c r="B264" s="311"/>
      <c r="C264" s="311"/>
      <c r="D264" s="312" t="s">
        <v>196</v>
      </c>
      <c r="E264" s="312"/>
      <c r="F264" s="312"/>
      <c r="G264" s="312"/>
      <c r="H264" s="312"/>
      <c r="I264" s="312"/>
      <c r="J264" s="312"/>
      <c r="K264" s="312"/>
      <c r="L264" s="312"/>
      <c r="M264" s="313" t="s">
        <v>197</v>
      </c>
      <c r="N264" s="313"/>
      <c r="O264" s="313"/>
      <c r="P264" s="313"/>
      <c r="Q264" s="313"/>
      <c r="R264" s="313"/>
      <c r="S264" s="314" t="s">
        <v>198</v>
      </c>
      <c r="T264" s="314"/>
      <c r="U264" s="314"/>
      <c r="V264" s="314"/>
      <c r="W264" s="314"/>
      <c r="X264" s="314"/>
      <c r="Y264" s="314"/>
    </row>
    <row r="265">
      <c r="A265" s="315" t="s">
        <v>199</v>
      </c>
      <c r="B265" s="311" t="s">
        <v>200</v>
      </c>
      <c r="C265" s="311" t="s">
        <v>201</v>
      </c>
      <c r="D265" s="312" t="s">
        <v>202</v>
      </c>
      <c r="E265" s="316" t="s">
        <v>203</v>
      </c>
      <c r="F265" s="312" t="s">
        <v>204</v>
      </c>
      <c r="G265" s="312"/>
      <c r="H265" s="317" t="s">
        <v>205</v>
      </c>
      <c r="I265" s="312" t="s">
        <v>206</v>
      </c>
      <c r="J265" s="318" t="s">
        <v>207</v>
      </c>
      <c r="K265" s="319" t="s">
        <v>208</v>
      </c>
      <c r="L265" s="312" t="s">
        <v>209</v>
      </c>
      <c r="M265" s="313" t="s">
        <v>210</v>
      </c>
      <c r="N265" s="313" t="s">
        <v>211</v>
      </c>
      <c r="O265" s="313" t="s">
        <v>212</v>
      </c>
      <c r="P265" s="320" t="s">
        <v>213</v>
      </c>
      <c r="Q265" s="321" t="s">
        <v>214</v>
      </c>
      <c r="R265" s="321" t="s">
        <v>215</v>
      </c>
      <c r="S265" s="366" t="s">
        <v>216</v>
      </c>
      <c r="T265" s="366" t="s">
        <v>217</v>
      </c>
      <c r="U265" s="323" t="s">
        <v>218</v>
      </c>
      <c r="V265" s="323" t="s">
        <v>219</v>
      </c>
      <c r="W265" s="323" t="s">
        <v>220</v>
      </c>
      <c r="X265" s="322" t="s">
        <v>221</v>
      </c>
      <c r="Y265" s="322" t="s">
        <v>222</v>
      </c>
    </row>
    <row r="266">
      <c r="A266" s="324" t="s">
        <v>274</v>
      </c>
      <c r="B266" s="325" t="s">
        <v>260</v>
      </c>
      <c r="C266" s="326" t="s">
        <v>225</v>
      </c>
      <c r="D266" s="326">
        <f t="shared" ref="D266:D270" si="175">E266+G266+F266</f>
      </c>
      <c r="E266" s="327">
        <v>1082.8</v>
      </c>
      <c r="F266" s="327">
        <v>2076.05</v>
      </c>
      <c r="G266" s="327">
        <v>5278.22</v>
      </c>
      <c r="H266" s="328">
        <v>24</v>
      </c>
      <c r="I266" s="326">
        <v>14208.47</v>
      </c>
      <c r="J266" s="329">
        <f t="shared" ref="J266:J287" si="252">I266/D266</f>
      </c>
      <c r="K266" s="330">
        <f t="shared" ref="K266:K287" si="290">D266/H266</f>
      </c>
      <c r="L266" s="329">
        <f t="shared" ref="L266:L287" si="325">I266/H266</f>
      </c>
      <c r="M266" s="331">
        <f t="shared" ref="M266:M287" si="18">T266/S266</f>
      </c>
      <c r="N266" s="332">
        <f t="shared" ref="N266:N287" si="84">H266/X266</f>
      </c>
      <c r="O266" s="333">
        <f t="shared" ref="O266:O287" si="114">(Y266*1000)/D266</f>
      </c>
      <c r="P266" s="332">
        <f t="shared" ref="P266:P287" si="50">W266/V266</f>
      </c>
      <c r="Q266" s="334" t="s">
        <v>255</v>
      </c>
      <c r="R266" s="370" t="s">
        <v>261</v>
      </c>
      <c r="S266" s="336">
        <v>241654</v>
      </c>
      <c r="T266" s="336">
        <v>8316</v>
      </c>
      <c r="U266" s="368">
        <v>571</v>
      </c>
      <c r="V266" s="337">
        <v>10370</v>
      </c>
      <c r="W266" s="337">
        <v>1028</v>
      </c>
      <c r="X266" s="337">
        <v>49</v>
      </c>
      <c r="Y266" s="337">
        <v>96</v>
      </c>
    </row>
    <row r="267">
      <c r="A267" s="324"/>
      <c r="B267" s="325" t="s">
        <v>260</v>
      </c>
      <c r="C267" s="326" t="s">
        <v>228</v>
      </c>
      <c r="D267" s="326">
        <f t="shared" si="175"/>
      </c>
      <c r="E267" s="327">
        <v>1453.77</v>
      </c>
      <c r="F267" s="327">
        <v>5501.83</v>
      </c>
      <c r="G267" s="327">
        <v>1393.3</v>
      </c>
      <c r="H267" s="328">
        <v>30</v>
      </c>
      <c r="I267" s="326">
        <v>21241.22</v>
      </c>
      <c r="J267" s="329">
        <f t="shared" si="252"/>
      </c>
      <c r="K267" s="329">
        <f t="shared" si="290"/>
      </c>
      <c r="L267" s="330">
        <f t="shared" si="325"/>
      </c>
      <c r="M267" s="331">
        <f t="shared" si="18"/>
      </c>
      <c r="N267" s="332">
        <f t="shared" si="84"/>
      </c>
      <c r="O267" s="333">
        <f t="shared" si="114"/>
      </c>
      <c r="P267" s="332">
        <f t="shared" si="50"/>
      </c>
      <c r="Q267" s="334" t="s">
        <v>255</v>
      </c>
      <c r="R267" s="370" t="s">
        <v>261</v>
      </c>
      <c r="S267" s="369">
        <v>285396</v>
      </c>
      <c r="T267" s="369">
        <v>6685</v>
      </c>
      <c r="U267" s="337">
        <v>511</v>
      </c>
      <c r="V267" s="337">
        <v>9264</v>
      </c>
      <c r="W267" s="337">
        <v>1069</v>
      </c>
      <c r="X267" s="337">
        <v>51</v>
      </c>
      <c r="Y267" s="337">
        <v>103</v>
      </c>
    </row>
    <row r="268">
      <c r="A268" s="324"/>
      <c r="B268" s="325" t="s">
        <v>260</v>
      </c>
      <c r="C268" s="326" t="s">
        <v>229</v>
      </c>
      <c r="D268" s="326">
        <f t="shared" si="175"/>
      </c>
      <c r="E268" s="327">
        <v>2115.83</v>
      </c>
      <c r="F268" s="327">
        <v>3812.43</v>
      </c>
      <c r="G268" s="327">
        <v>1039.97</v>
      </c>
      <c r="H268" s="338">
        <v>36</v>
      </c>
      <c r="I268" s="326">
        <v>23461.839999999997</v>
      </c>
      <c r="J268" s="329">
        <f t="shared" si="252"/>
      </c>
      <c r="K268" s="329">
        <f t="shared" si="290"/>
      </c>
      <c r="L268" s="329">
        <f t="shared" si="325"/>
      </c>
      <c r="M268" s="331">
        <f t="shared" si="18"/>
      </c>
      <c r="N268" s="332">
        <f t="shared" si="84"/>
      </c>
      <c r="O268" s="333">
        <f t="shared" si="114"/>
      </c>
      <c r="P268" s="332">
        <f t="shared" si="50"/>
      </c>
      <c r="Q268" s="334" t="s">
        <v>255</v>
      </c>
      <c r="R268" s="370" t="s">
        <v>261</v>
      </c>
      <c r="S268" s="336">
        <v>242537</v>
      </c>
      <c r="T268" s="336">
        <v>7424</v>
      </c>
      <c r="U268" s="337">
        <v>495</v>
      </c>
      <c r="V268" s="337">
        <v>13057</v>
      </c>
      <c r="W268" s="337">
        <v>1711</v>
      </c>
      <c r="X268" s="337">
        <v>52</v>
      </c>
      <c r="Y268" s="337">
        <v>90</v>
      </c>
    </row>
    <row r="269">
      <c r="A269" s="324"/>
      <c r="B269" s="325" t="s">
        <v>260</v>
      </c>
      <c r="C269" s="364" t="s">
        <v>230</v>
      </c>
      <c r="D269" s="326">
        <f t="shared" si="175"/>
      </c>
      <c r="E269" s="327">
        <v>1617.75</v>
      </c>
      <c r="F269" s="327">
        <v>817.77</v>
      </c>
      <c r="G269" s="327">
        <v>4336.65</v>
      </c>
      <c r="H269" s="338">
        <v>27</v>
      </c>
      <c r="I269" s="326">
        <v>12514.36</v>
      </c>
      <c r="J269" s="329">
        <f t="shared" si="252"/>
      </c>
      <c r="K269" s="329">
        <f t="shared" si="290"/>
      </c>
      <c r="L269" s="329">
        <f t="shared" si="325"/>
      </c>
      <c r="M269" s="331">
        <f t="shared" si="18"/>
      </c>
      <c r="N269" s="332">
        <f t="shared" si="84"/>
      </c>
      <c r="O269" s="333">
        <f t="shared" si="114"/>
      </c>
      <c r="P269" s="332">
        <f t="shared" si="50"/>
      </c>
      <c r="Q269" s="334" t="s">
        <v>255</v>
      </c>
      <c r="R269" s="370" t="s">
        <v>261</v>
      </c>
      <c r="S269" s="336">
        <v>248307</v>
      </c>
      <c r="T269" s="336">
        <v>5331</v>
      </c>
      <c r="U269" s="337">
        <v>477</v>
      </c>
      <c r="V269" s="337">
        <v>8187</v>
      </c>
      <c r="W269" s="337">
        <v>1020</v>
      </c>
      <c r="X269" s="337">
        <v>46</v>
      </c>
      <c r="Y269" s="337">
        <v>76</v>
      </c>
    </row>
    <row r="270">
      <c r="A270" s="324"/>
      <c r="B270" s="325" t="s">
        <v>260</v>
      </c>
      <c r="C270" s="326" t="s">
        <v>231</v>
      </c>
      <c r="D270" s="326">
        <f t="shared" si="175"/>
      </c>
      <c r="E270" s="327">
        <v>1649.93</v>
      </c>
      <c r="F270" s="327">
        <v>3524.27</v>
      </c>
      <c r="G270" s="327">
        <v>818.81</v>
      </c>
      <c r="H270" s="338">
        <v>17</v>
      </c>
      <c r="I270" s="326">
        <v>9622.800000000003</v>
      </c>
      <c r="J270" s="329">
        <f t="shared" si="252"/>
      </c>
      <c r="K270" s="329">
        <f t="shared" si="290"/>
      </c>
      <c r="L270" s="329">
        <f t="shared" si="325"/>
      </c>
      <c r="M270" s="331">
        <f t="shared" si="18"/>
      </c>
      <c r="N270" s="332">
        <f t="shared" si="84"/>
      </c>
      <c r="O270" s="333">
        <f t="shared" si="114"/>
      </c>
      <c r="P270" s="332">
        <f t="shared" si="50"/>
      </c>
      <c r="Q270" s="334" t="s">
        <v>255</v>
      </c>
      <c r="R270" s="370" t="s">
        <v>261</v>
      </c>
      <c r="S270" s="336">
        <v>213644</v>
      </c>
      <c r="T270" s="336">
        <v>4399</v>
      </c>
      <c r="U270" s="337">
        <v>349</v>
      </c>
      <c r="V270" s="337">
        <v>6711</v>
      </c>
      <c r="W270" s="337">
        <v>805</v>
      </c>
      <c r="X270" s="337">
        <v>25</v>
      </c>
      <c r="Y270" s="337">
        <v>65</v>
      </c>
    </row>
    <row r="271">
      <c r="A271" s="324"/>
      <c r="B271" s="339" t="s">
        <v>232</v>
      </c>
      <c r="C271" s="339"/>
      <c r="D271" s="340">
        <f>SUM(D266:D270)</f>
      </c>
      <c r="E271" s="340">
        <f>SUM(E266:E270)</f>
      </c>
      <c r="F271" s="340">
        <f>SUM(F266:G270)</f>
      </c>
      <c r="G271" s="340"/>
      <c r="H271" s="341">
        <f>SUM(H266:H270)</f>
      </c>
      <c r="I271" s="340">
        <f>SUM(I266:I270)</f>
      </c>
      <c r="J271" s="342">
        <f t="shared" si="252"/>
      </c>
      <c r="K271" s="343">
        <f t="shared" si="290"/>
      </c>
      <c r="L271" s="344">
        <f t="shared" si="325"/>
      </c>
      <c r="M271" s="345">
        <f t="shared" si="18"/>
      </c>
      <c r="N271" s="345">
        <f t="shared" si="84"/>
      </c>
      <c r="O271" s="346">
        <f t="shared" si="114"/>
      </c>
      <c r="P271" s="345">
        <f t="shared" si="50"/>
      </c>
      <c r="Q271" s="346"/>
      <c r="R271" s="346"/>
      <c r="S271" s="341">
        <f>SUM(S266:S270)</f>
      </c>
      <c r="T271" s="341">
        <f>SUM(T266:T270)</f>
      </c>
      <c r="U271" s="341">
        <f>SUM(U266:U270)</f>
      </c>
      <c r="V271" s="341">
        <f>SUM(V266:V270)</f>
      </c>
      <c r="W271" s="341">
        <f>SUM(W266:W270)</f>
      </c>
      <c r="X271" s="341">
        <f>SUM(X266:X270)</f>
      </c>
      <c r="Y271" s="341">
        <f>SUM(Y266:Y270)</f>
      </c>
    </row>
    <row r="272">
      <c r="A272" s="324"/>
      <c r="B272" s="325" t="s">
        <v>224</v>
      </c>
      <c r="C272" s="326" t="s">
        <v>234</v>
      </c>
      <c r="D272" s="326">
        <f t="shared" ref="D272:D275" si="176">E272+G272+F272</f>
      </c>
      <c r="E272" s="327">
        <v>2026.21</v>
      </c>
      <c r="F272" s="327">
        <v>2654.41</v>
      </c>
      <c r="G272" s="327">
        <v>772.37</v>
      </c>
      <c r="H272" s="338">
        <v>23</v>
      </c>
      <c r="I272" s="326">
        <v>11292.660000000003</v>
      </c>
      <c r="J272" s="329">
        <f t="shared" si="252"/>
      </c>
      <c r="K272" s="329">
        <f t="shared" si="290"/>
      </c>
      <c r="L272" s="329">
        <f t="shared" si="325"/>
      </c>
      <c r="M272" s="331">
        <f t="shared" si="18"/>
      </c>
      <c r="N272" s="332">
        <f t="shared" si="84"/>
      </c>
      <c r="O272" s="333">
        <f t="shared" si="114"/>
      </c>
      <c r="P272" s="332">
        <f t="shared" si="50"/>
      </c>
      <c r="Q272" s="334" t="s">
        <v>255</v>
      </c>
      <c r="R272" s="370" t="s">
        <v>261</v>
      </c>
      <c r="S272" s="347">
        <v>179100</v>
      </c>
      <c r="T272" s="347">
        <v>5010</v>
      </c>
      <c r="U272" s="348">
        <v>373</v>
      </c>
      <c r="V272" s="348">
        <v>8103</v>
      </c>
      <c r="W272" s="348">
        <v>985</v>
      </c>
      <c r="X272" s="348">
        <v>33</v>
      </c>
      <c r="Y272" s="348">
        <v>76</v>
      </c>
    </row>
    <row r="273">
      <c r="A273" s="324"/>
      <c r="B273" s="325" t="s">
        <v>224</v>
      </c>
      <c r="C273" s="327" t="s">
        <v>235</v>
      </c>
      <c r="D273" s="326">
        <f t="shared" si="176"/>
      </c>
      <c r="E273" s="327">
        <v>3153.89</v>
      </c>
      <c r="F273" s="327">
        <v>2859.89</v>
      </c>
      <c r="G273" s="327">
        <v>661.93</v>
      </c>
      <c r="H273" s="328">
        <v>20</v>
      </c>
      <c r="I273" s="327">
        <v>17023.92</v>
      </c>
      <c r="J273" s="329">
        <f t="shared" si="252"/>
      </c>
      <c r="K273" s="329">
        <f t="shared" si="290"/>
      </c>
      <c r="L273" s="329">
        <f t="shared" si="325"/>
      </c>
      <c r="M273" s="331">
        <f t="shared" si="18"/>
      </c>
      <c r="N273" s="332">
        <f t="shared" si="84"/>
      </c>
      <c r="O273" s="333">
        <f t="shared" si="114"/>
      </c>
      <c r="P273" s="332">
        <f t="shared" si="50"/>
      </c>
      <c r="Q273" s="334" t="s">
        <v>255</v>
      </c>
      <c r="R273" s="370" t="s">
        <v>261</v>
      </c>
      <c r="S273" s="347">
        <v>174991</v>
      </c>
      <c r="T273" s="347">
        <v>7526</v>
      </c>
      <c r="U273" s="348">
        <v>509</v>
      </c>
      <c r="V273" s="348">
        <v>12757</v>
      </c>
      <c r="W273" s="348">
        <v>1440</v>
      </c>
      <c r="X273" s="348">
        <v>36</v>
      </c>
      <c r="Y273" s="348">
        <v>93</v>
      </c>
    </row>
    <row r="274">
      <c r="A274" s="324"/>
      <c r="B274" s="325" t="s">
        <v>224</v>
      </c>
      <c r="C274" s="326" t="s">
        <v>236</v>
      </c>
      <c r="D274" s="326">
        <f t="shared" si="176"/>
      </c>
      <c r="E274" s="327">
        <v>2693.64</v>
      </c>
      <c r="F274" s="327">
        <v>3632.77</v>
      </c>
      <c r="G274" s="327">
        <v>471.17</v>
      </c>
      <c r="H274" s="328">
        <v>29</v>
      </c>
      <c r="I274" s="327">
        <v>20884.119999999995</v>
      </c>
      <c r="J274" s="329">
        <f t="shared" si="252"/>
      </c>
      <c r="K274" s="329">
        <f t="shared" si="290"/>
      </c>
      <c r="L274" s="329">
        <f t="shared" si="325"/>
      </c>
      <c r="M274" s="331">
        <f t="shared" si="18"/>
      </c>
      <c r="N274" s="332">
        <f t="shared" si="84"/>
      </c>
      <c r="O274" s="333">
        <f t="shared" si="114"/>
      </c>
      <c r="P274" s="332">
        <f t="shared" si="50"/>
      </c>
      <c r="Q274" s="334" t="s">
        <v>255</v>
      </c>
      <c r="R274" s="370" t="s">
        <v>261</v>
      </c>
      <c r="S274" s="347">
        <v>150321</v>
      </c>
      <c r="T274" s="347">
        <v>6606</v>
      </c>
      <c r="U274" s="348">
        <v>515</v>
      </c>
      <c r="V274" s="348">
        <v>10467</v>
      </c>
      <c r="W274" s="348">
        <v>1068</v>
      </c>
      <c r="X274" s="348">
        <v>46</v>
      </c>
      <c r="Y274" s="348">
        <v>102</v>
      </c>
    </row>
    <row r="275">
      <c r="A275" s="324"/>
      <c r="B275" s="325" t="s">
        <v>224</v>
      </c>
      <c r="C275" s="326" t="s">
        <v>237</v>
      </c>
      <c r="D275" s="326">
        <f t="shared" si="176"/>
      </c>
      <c r="E275" s="327">
        <v>2209.28</v>
      </c>
      <c r="F275" s="327">
        <v>5493.2</v>
      </c>
      <c r="G275" s="327">
        <v>429.21</v>
      </c>
      <c r="H275" s="338">
        <v>42</v>
      </c>
      <c r="I275" s="327">
        <v>29895.199999999997</v>
      </c>
      <c r="J275" s="329">
        <f t="shared" si="252"/>
      </c>
      <c r="K275" s="329">
        <f t="shared" si="290"/>
      </c>
      <c r="L275" s="329">
        <f t="shared" si="325"/>
      </c>
      <c r="M275" s="331">
        <f t="shared" si="18"/>
      </c>
      <c r="N275" s="332">
        <f t="shared" si="84"/>
      </c>
      <c r="O275" s="333">
        <f t="shared" si="114"/>
      </c>
      <c r="P275" s="332">
        <f t="shared" si="50"/>
      </c>
      <c r="Q275" s="334" t="s">
        <v>255</v>
      </c>
      <c r="R275" s="370" t="s">
        <v>261</v>
      </c>
      <c r="S275" s="347">
        <v>190865</v>
      </c>
      <c r="T275" s="347">
        <v>6072</v>
      </c>
      <c r="U275" s="348">
        <v>590</v>
      </c>
      <c r="V275" s="348">
        <v>8948</v>
      </c>
      <c r="W275" s="348">
        <v>968</v>
      </c>
      <c r="X275" s="348">
        <v>122</v>
      </c>
      <c r="Y275" s="348">
        <v>116</v>
      </c>
    </row>
    <row r="276">
      <c r="A276" s="324"/>
      <c r="B276" s="339" t="s">
        <v>232</v>
      </c>
      <c r="C276" s="339"/>
      <c r="D276" s="340">
        <f>SUM(D272:D275)</f>
      </c>
      <c r="E276" s="340">
        <f>SUM(E272:E275)</f>
      </c>
      <c r="F276" s="340">
        <f>SUM(F272:G275)</f>
      </c>
      <c r="G276" s="340"/>
      <c r="H276" s="341">
        <f>SUM(H272:H275)</f>
      </c>
      <c r="I276" s="340">
        <f>SUM(I272:I275)</f>
      </c>
      <c r="J276" s="342">
        <f t="shared" si="252"/>
      </c>
      <c r="K276" s="343">
        <f t="shared" si="290"/>
      </c>
      <c r="L276" s="344">
        <f t="shared" si="325"/>
      </c>
      <c r="M276" s="345">
        <f t="shared" si="18"/>
      </c>
      <c r="N276" s="345">
        <f t="shared" si="84"/>
      </c>
      <c r="O276" s="346">
        <f t="shared" si="114"/>
      </c>
      <c r="P276" s="345">
        <f t="shared" si="50"/>
      </c>
      <c r="Q276" s="346"/>
      <c r="R276" s="346"/>
      <c r="S276" s="341">
        <f>SUM(S272:S275)</f>
      </c>
      <c r="T276" s="341">
        <f>SUM(T272:T275)</f>
      </c>
      <c r="U276" s="341">
        <f>SUM(U272:U275)</f>
      </c>
      <c r="V276" s="341">
        <f>SUM(V272:V275)</f>
      </c>
      <c r="W276" s="341">
        <f>SUM(W272:W275)</f>
      </c>
      <c r="X276" s="341">
        <f>SUM(X272:X275)</f>
      </c>
      <c r="Y276" s="341">
        <f>SUM(Y272:Y275)</f>
      </c>
    </row>
    <row r="277">
      <c r="A277" s="324"/>
      <c r="B277" s="325" t="s">
        <v>248</v>
      </c>
      <c r="C277" s="327" t="s">
        <v>239</v>
      </c>
      <c r="D277" s="326">
        <f t="shared" ref="D277:D280" si="177">E277+G277+F277</f>
      </c>
      <c r="E277" s="326">
        <v>3139.96</v>
      </c>
      <c r="F277" s="326">
        <v>4394.9</v>
      </c>
      <c r="G277" s="326">
        <v>562.06</v>
      </c>
      <c r="H277" s="338">
        <v>27</v>
      </c>
      <c r="I277" s="326">
        <v>13075.590000000026</v>
      </c>
      <c r="J277" s="329">
        <f t="shared" si="252"/>
      </c>
      <c r="K277" s="329">
        <f t="shared" si="290"/>
      </c>
      <c r="L277" s="329">
        <f t="shared" si="325"/>
      </c>
      <c r="M277" s="331">
        <f t="shared" si="18"/>
      </c>
      <c r="N277" s="332">
        <f t="shared" si="84"/>
      </c>
      <c r="O277" s="333">
        <f t="shared" si="114"/>
      </c>
      <c r="P277" s="332">
        <f t="shared" si="50"/>
      </c>
      <c r="Q277" s="334" t="s">
        <v>258</v>
      </c>
      <c r="R277" s="370" t="s">
        <v>227</v>
      </c>
      <c r="S277" s="347">
        <v>201562</v>
      </c>
      <c r="T277" s="347">
        <v>7728</v>
      </c>
      <c r="U277" s="348">
        <v>607</v>
      </c>
      <c r="V277" s="348">
        <v>11742</v>
      </c>
      <c r="W277" s="348">
        <v>1276</v>
      </c>
      <c r="X277" s="348">
        <v>52</v>
      </c>
      <c r="Y277" s="348">
        <v>111</v>
      </c>
    </row>
    <row r="278">
      <c r="A278" s="324"/>
      <c r="B278" s="325" t="s">
        <v>248</v>
      </c>
      <c r="C278" s="327" t="s">
        <v>241</v>
      </c>
      <c r="D278" s="326">
        <f t="shared" si="177"/>
      </c>
      <c r="E278" s="326">
        <v>1741.78</v>
      </c>
      <c r="F278" s="326">
        <v>2839.5</v>
      </c>
      <c r="G278" s="326">
        <v>361.06</v>
      </c>
      <c r="H278" s="338">
        <v>23</v>
      </c>
      <c r="I278" s="326">
        <v>10905.909999999974</v>
      </c>
      <c r="J278" s="329">
        <f t="shared" si="252"/>
      </c>
      <c r="K278" s="329">
        <f t="shared" si="290"/>
      </c>
      <c r="L278" s="329">
        <f t="shared" si="325"/>
      </c>
      <c r="M278" s="331">
        <f t="shared" si="18"/>
      </c>
      <c r="N278" s="332">
        <f t="shared" si="84"/>
      </c>
      <c r="O278" s="333">
        <f t="shared" si="114"/>
      </c>
      <c r="P278" s="332">
        <f t="shared" si="50"/>
      </c>
      <c r="Q278" s="334" t="s">
        <v>258</v>
      </c>
      <c r="R278" s="350" t="s">
        <v>227</v>
      </c>
      <c r="S278" s="347">
        <v>124046</v>
      </c>
      <c r="T278" s="347">
        <v>4522</v>
      </c>
      <c r="U278" s="348">
        <v>370</v>
      </c>
      <c r="V278" s="348">
        <v>7070</v>
      </c>
      <c r="W278" s="348">
        <v>742</v>
      </c>
      <c r="X278" s="348">
        <v>42</v>
      </c>
      <c r="Y278" s="348">
        <v>75</v>
      </c>
    </row>
    <row r="279">
      <c r="A279" s="324"/>
      <c r="B279" s="325" t="s">
        <v>248</v>
      </c>
      <c r="C279" s="327" t="s">
        <v>242</v>
      </c>
      <c r="D279" s="326">
        <f t="shared" si="177"/>
      </c>
      <c r="E279" s="326">
        <v>1300.61</v>
      </c>
      <c r="F279" s="326">
        <v>299.14</v>
      </c>
      <c r="G279" s="326">
        <v>2575.04</v>
      </c>
      <c r="H279" s="338">
        <v>8</v>
      </c>
      <c r="I279" s="326">
        <v>5749.080000000016</v>
      </c>
      <c r="J279" s="329">
        <f t="shared" si="252"/>
      </c>
      <c r="K279" s="329">
        <f t="shared" si="290"/>
      </c>
      <c r="L279" s="329">
        <f t="shared" si="325"/>
      </c>
      <c r="M279" s="331">
        <f t="shared" si="18"/>
      </c>
      <c r="N279" s="332">
        <f t="shared" si="84"/>
      </c>
      <c r="O279" s="333">
        <f t="shared" si="114"/>
      </c>
      <c r="P279" s="332">
        <f t="shared" si="50"/>
      </c>
      <c r="Q279" s="334" t="s">
        <v>258</v>
      </c>
      <c r="R279" s="350" t="s">
        <v>227</v>
      </c>
      <c r="S279" s="347">
        <v>79606</v>
      </c>
      <c r="T279" s="347">
        <v>3870</v>
      </c>
      <c r="U279" s="348">
        <v>228</v>
      </c>
      <c r="V279" s="348">
        <v>5370</v>
      </c>
      <c r="W279" s="348">
        <v>466</v>
      </c>
      <c r="X279" s="348">
        <v>23</v>
      </c>
      <c r="Y279" s="348">
        <v>56</v>
      </c>
    </row>
    <row r="280">
      <c r="A280" s="324"/>
      <c r="B280" s="325" t="s">
        <v>248</v>
      </c>
      <c r="C280" s="326" t="s">
        <v>244</v>
      </c>
      <c r="D280" s="326">
        <f t="shared" si="177"/>
      </c>
      <c r="E280" s="326">
        <v>1114.91</v>
      </c>
      <c r="F280" s="326">
        <v>2003.74</v>
      </c>
      <c r="G280" s="326">
        <v>230.05</v>
      </c>
      <c r="H280" s="338">
        <v>13</v>
      </c>
      <c r="I280" s="326">
        <v>8165.599999999977</v>
      </c>
      <c r="J280" s="329">
        <f t="shared" si="252"/>
      </c>
      <c r="K280" s="329">
        <f t="shared" si="290"/>
      </c>
      <c r="L280" s="329">
        <f t="shared" si="325"/>
      </c>
      <c r="M280" s="331">
        <f t="shared" si="18"/>
      </c>
      <c r="N280" s="332">
        <f t="shared" si="84"/>
      </c>
      <c r="O280" s="333">
        <f t="shared" si="114"/>
      </c>
      <c r="P280" s="332">
        <f t="shared" si="50"/>
      </c>
      <c r="Q280" s="334" t="s">
        <v>258</v>
      </c>
      <c r="R280" s="350" t="s">
        <v>227</v>
      </c>
      <c r="S280" s="347">
        <v>78465</v>
      </c>
      <c r="T280" s="347">
        <v>3324</v>
      </c>
      <c r="U280" s="348">
        <v>237</v>
      </c>
      <c r="V280" s="348">
        <v>4262</v>
      </c>
      <c r="W280" s="348">
        <v>379</v>
      </c>
      <c r="X280" s="348">
        <v>27</v>
      </c>
      <c r="Y280" s="348">
        <v>53</v>
      </c>
    </row>
    <row r="281">
      <c r="A281" s="324"/>
      <c r="B281" s="339" t="s">
        <v>232</v>
      </c>
      <c r="C281" s="339"/>
      <c r="D281" s="340">
        <f>SUM(D277:D280)</f>
      </c>
      <c r="E281" s="340">
        <f>SUM(E277:E280)</f>
      </c>
      <c r="F281" s="340">
        <f>SUM(F277:G280)</f>
      </c>
      <c r="G281" s="340"/>
      <c r="H281" s="341">
        <f>SUM(H277:H280)</f>
      </c>
      <c r="I281" s="340">
        <f>SUM(I277:I280)</f>
      </c>
      <c r="J281" s="342">
        <f t="shared" si="252"/>
      </c>
      <c r="K281" s="343">
        <f t="shared" si="290"/>
      </c>
      <c r="L281" s="344">
        <f t="shared" si="325"/>
      </c>
      <c r="M281" s="345">
        <f t="shared" si="18"/>
      </c>
      <c r="N281" s="345">
        <f t="shared" si="84"/>
      </c>
      <c r="O281" s="346">
        <f t="shared" si="114"/>
      </c>
      <c r="P281" s="345">
        <f t="shared" si="50"/>
      </c>
      <c r="Q281" s="346"/>
      <c r="R281" s="346"/>
      <c r="S281" s="341">
        <f>SUM(S277:S280)</f>
      </c>
      <c r="T281" s="341">
        <f>SUM(T277:T280)</f>
      </c>
      <c r="U281" s="341">
        <f>SUM(U277:U280)</f>
      </c>
      <c r="V281" s="341">
        <f>SUM(V277:V280)</f>
      </c>
      <c r="W281" s="341">
        <f>SUM(W277:W280)</f>
      </c>
      <c r="X281" s="341">
        <f>SUM(X277:X280)</f>
      </c>
      <c r="Y281" s="341">
        <f>SUM(Y277:Y280)</f>
      </c>
    </row>
    <row r="282">
      <c r="A282" s="324"/>
      <c r="B282" s="325" t="s">
        <v>257</v>
      </c>
      <c r="C282" s="327" t="s">
        <v>245</v>
      </c>
      <c r="D282" s="326">
        <f t="shared" ref="D282:D285" si="178">E282+G282+F282</f>
      </c>
      <c r="E282" s="326">
        <v>1898.44</v>
      </c>
      <c r="F282" s="326">
        <v>2999.77</v>
      </c>
      <c r="G282" s="327">
        <v>329.19</v>
      </c>
      <c r="H282" s="328">
        <v>24</v>
      </c>
      <c r="I282" s="327">
        <v>14727.079999999987</v>
      </c>
      <c r="J282" s="329">
        <f t="shared" si="252"/>
      </c>
      <c r="K282" s="329">
        <f t="shared" si="290"/>
      </c>
      <c r="L282" s="329">
        <f t="shared" si="325"/>
      </c>
      <c r="M282" s="331">
        <f t="shared" si="18"/>
      </c>
      <c r="N282" s="332">
        <f t="shared" si="84"/>
      </c>
      <c r="O282" s="333">
        <f t="shared" si="114"/>
      </c>
      <c r="P282" s="332">
        <f t="shared" si="50"/>
      </c>
      <c r="Q282" s="334" t="s">
        <v>258</v>
      </c>
      <c r="R282" s="350" t="s">
        <v>227</v>
      </c>
      <c r="S282" s="348">
        <v>137154</v>
      </c>
      <c r="T282" s="348">
        <v>5770</v>
      </c>
      <c r="U282" s="348">
        <v>420</v>
      </c>
      <c r="V282" s="348">
        <v>7687</v>
      </c>
      <c r="W282" s="348">
        <v>611</v>
      </c>
      <c r="X282" s="348">
        <v>39</v>
      </c>
      <c r="Y282" s="348">
        <v>85</v>
      </c>
    </row>
    <row r="283">
      <c r="A283" s="324"/>
      <c r="B283" s="325" t="s">
        <v>257</v>
      </c>
      <c r="C283" s="327" t="s">
        <v>250</v>
      </c>
      <c r="D283" s="326">
        <f t="shared" si="178"/>
      </c>
      <c r="E283" s="326">
        <v>1877.31</v>
      </c>
      <c r="F283" s="326">
        <v>3699.5</v>
      </c>
      <c r="G283" s="326">
        <v>455.96</v>
      </c>
      <c r="H283" s="328">
        <v>13</v>
      </c>
      <c r="I283" s="327">
        <v>7378.940000000002</v>
      </c>
      <c r="J283" s="329">
        <f t="shared" si="252"/>
      </c>
      <c r="K283" s="329">
        <f t="shared" si="290"/>
      </c>
      <c r="L283" s="329">
        <f t="shared" si="325"/>
      </c>
      <c r="M283" s="331">
        <f t="shared" si="18"/>
      </c>
      <c r="N283" s="332">
        <f t="shared" si="84"/>
      </c>
      <c r="O283" s="333">
        <f t="shared" si="114"/>
      </c>
      <c r="P283" s="332">
        <f t="shared" si="50"/>
      </c>
      <c r="Q283" s="334" t="s">
        <v>258</v>
      </c>
      <c r="R283" s="350" t="s">
        <v>227</v>
      </c>
      <c r="S283" s="361">
        <v>176673</v>
      </c>
      <c r="T283" s="361">
        <v>7028</v>
      </c>
      <c r="U283" s="362">
        <v>389</v>
      </c>
      <c r="V283" s="362">
        <v>9624</v>
      </c>
      <c r="W283" s="362">
        <v>699</v>
      </c>
      <c r="X283" s="348">
        <v>25</v>
      </c>
      <c r="Y283" s="348">
        <v>62</v>
      </c>
    </row>
    <row r="284">
      <c r="A284" s="324"/>
      <c r="B284" s="325" t="s">
        <v>257</v>
      </c>
      <c r="C284" s="327" t="s">
        <v>264</v>
      </c>
      <c r="D284" s="326">
        <f t="shared" si="178"/>
      </c>
      <c r="E284" s="326">
        <v>2167.35</v>
      </c>
      <c r="F284" s="326">
        <v>552.05</v>
      </c>
      <c r="G284" s="326">
        <v>3048.99</v>
      </c>
      <c r="H284" s="328">
        <v>9</v>
      </c>
      <c r="I284" s="327">
        <v>3625.350000000006</v>
      </c>
      <c r="J284" s="329">
        <f t="shared" si="252"/>
      </c>
      <c r="K284" s="329">
        <f t="shared" si="290"/>
      </c>
      <c r="L284" s="329">
        <f t="shared" si="325"/>
      </c>
      <c r="M284" s="331">
        <f t="shared" si="18"/>
      </c>
      <c r="N284" s="332">
        <f t="shared" si="84"/>
      </c>
      <c r="O284" s="333">
        <f t="shared" si="114"/>
      </c>
      <c r="P284" s="332">
        <f t="shared" si="50"/>
      </c>
      <c r="Q284" s="334" t="s">
        <v>258</v>
      </c>
      <c r="R284" s="350" t="s">
        <v>227</v>
      </c>
      <c r="S284" s="361">
        <v>159058</v>
      </c>
      <c r="T284" s="361">
        <v>5222</v>
      </c>
      <c r="U284" s="362">
        <v>386</v>
      </c>
      <c r="V284" s="362">
        <v>7659</v>
      </c>
      <c r="W284" s="362">
        <v>677</v>
      </c>
      <c r="X284" s="348">
        <v>37</v>
      </c>
      <c r="Y284" s="348">
        <v>86</v>
      </c>
    </row>
    <row r="285">
      <c r="A285" s="324"/>
      <c r="B285" s="325" t="s">
        <v>257</v>
      </c>
      <c r="C285" s="327" t="s">
        <v>266</v>
      </c>
      <c r="D285" s="326">
        <f t="shared" si="178"/>
      </c>
      <c r="E285" s="327">
        <v>1524.8</v>
      </c>
      <c r="F285" s="327">
        <v>1346.24</v>
      </c>
      <c r="G285" s="327">
        <v>415.94</v>
      </c>
      <c r="H285" s="328">
        <v>27</v>
      </c>
      <c r="I285" s="327">
        <v>18363.820000000007</v>
      </c>
      <c r="J285" s="329">
        <f t="shared" si="252"/>
      </c>
      <c r="K285" s="329">
        <f t="shared" si="290"/>
      </c>
      <c r="L285" s="329">
        <f t="shared" si="325"/>
      </c>
      <c r="M285" s="331">
        <f t="shared" si="18"/>
      </c>
      <c r="N285" s="332">
        <f t="shared" si="84"/>
      </c>
      <c r="O285" s="333">
        <f t="shared" si="114"/>
      </c>
      <c r="P285" s="332">
        <f t="shared" si="50"/>
      </c>
      <c r="Q285" s="334" t="s">
        <v>258</v>
      </c>
      <c r="R285" s="350" t="s">
        <v>227</v>
      </c>
      <c r="S285" s="361">
        <v>71432</v>
      </c>
      <c r="T285" s="361">
        <v>2921</v>
      </c>
      <c r="U285" s="362">
        <v>311</v>
      </c>
      <c r="V285" s="362">
        <v>5581</v>
      </c>
      <c r="W285" s="362">
        <v>646</v>
      </c>
      <c r="X285" s="348">
        <v>36</v>
      </c>
      <c r="Y285" s="348">
        <v>56</v>
      </c>
    </row>
    <row r="286">
      <c r="A286" s="324"/>
      <c r="B286" s="339" t="s">
        <v>232</v>
      </c>
      <c r="C286" s="339"/>
      <c r="D286" s="340">
        <f>SUM(D282:D285)</f>
      </c>
      <c r="E286" s="340">
        <f>SUM(E282:E285)</f>
      </c>
      <c r="F286" s="340">
        <f>SUM(F282:G285)</f>
      </c>
      <c r="G286" s="340"/>
      <c r="H286" s="341">
        <f>SUM(H282:H285)</f>
      </c>
      <c r="I286" s="340">
        <f>SUM(I282:I285)</f>
      </c>
      <c r="J286" s="342">
        <f t="shared" si="252"/>
      </c>
      <c r="K286" s="343">
        <f t="shared" si="290"/>
      </c>
      <c r="L286" s="344">
        <f t="shared" si="325"/>
      </c>
      <c r="M286" s="345">
        <f t="shared" si="18"/>
      </c>
      <c r="N286" s="345">
        <f t="shared" si="84"/>
      </c>
      <c r="O286" s="346">
        <f t="shared" si="114"/>
      </c>
      <c r="P286" s="345">
        <f t="shared" si="50"/>
      </c>
      <c r="Q286" s="346"/>
      <c r="R286" s="351"/>
      <c r="S286" s="341">
        <f>SUM(S282:S285)</f>
      </c>
      <c r="T286" s="341">
        <f>SUM(T282:T285)</f>
      </c>
      <c r="U286" s="341">
        <f>SUM(U282:U285)</f>
      </c>
      <c r="V286" s="341">
        <f>SUM(V282:V285)</f>
      </c>
      <c r="W286" s="341">
        <f>SUM(W282:W285)</f>
      </c>
      <c r="X286" s="341">
        <f>SUM(X282:X285)</f>
      </c>
      <c r="Y286" s="341">
        <f>SUM(Y282:Y285)</f>
      </c>
    </row>
    <row r="287">
      <c r="A287" s="324"/>
      <c r="B287" s="353" t="s">
        <v>246</v>
      </c>
      <c r="C287" s="353"/>
      <c r="D287" s="354">
        <f>D286+D281+D276+D271</f>
      </c>
      <c r="E287" s="354">
        <f>E286+E281+E276+E271</f>
      </c>
      <c r="F287" s="354">
        <f>F286+F281+F276+F271</f>
      </c>
      <c r="G287" s="354"/>
      <c r="H287" s="355">
        <f>H286+H281+H276+H271</f>
      </c>
      <c r="I287" s="354">
        <f>I286+I281+I276+I271</f>
      </c>
      <c r="J287" s="356">
        <f t="shared" si="252"/>
      </c>
      <c r="K287" s="356">
        <f t="shared" si="290"/>
      </c>
      <c r="L287" s="356">
        <f t="shared" si="325"/>
      </c>
      <c r="M287" s="357">
        <f t="shared" si="18"/>
      </c>
      <c r="N287" s="357">
        <f t="shared" si="84"/>
      </c>
      <c r="O287" s="356">
        <f t="shared" si="114"/>
      </c>
      <c r="P287" s="357">
        <f t="shared" si="50"/>
      </c>
      <c r="Q287" s="358"/>
      <c r="R287" s="359"/>
      <c r="S287" s="355">
        <f>S286+S281+S276+S271</f>
      </c>
      <c r="T287" s="355">
        <f>T286+T281+T276+T271</f>
      </c>
      <c r="U287" s="355">
        <f>U286+U281+U276+U271</f>
      </c>
      <c r="V287" s="355">
        <f>V286+V281+V276+V271</f>
      </c>
      <c r="W287" s="355">
        <f>W286+W281+W276+W271</f>
      </c>
      <c r="X287" s="360">
        <f>X286+X281+X276+X271</f>
      </c>
      <c r="Y287" s="355">
        <f>Y286+Y281+Y276+Y271</f>
      </c>
    </row>
    <row r="288">
      <c r="A288" s="311" t="s">
        <v>195</v>
      </c>
      <c r="B288" s="311"/>
      <c r="C288" s="311"/>
      <c r="D288" s="312" t="s">
        <v>196</v>
      </c>
      <c r="E288" s="312"/>
      <c r="F288" s="312"/>
      <c r="G288" s="312"/>
      <c r="H288" s="312"/>
      <c r="I288" s="312"/>
      <c r="J288" s="312"/>
      <c r="K288" s="312"/>
      <c r="L288" s="312"/>
      <c r="M288" s="313" t="s">
        <v>197</v>
      </c>
      <c r="N288" s="313"/>
      <c r="O288" s="313"/>
      <c r="P288" s="313"/>
      <c r="Q288" s="313"/>
      <c r="R288" s="313"/>
      <c r="S288" s="314" t="s">
        <v>198</v>
      </c>
      <c r="T288" s="314"/>
      <c r="U288" s="314"/>
      <c r="V288" s="314"/>
      <c r="W288" s="314"/>
      <c r="X288" s="314"/>
      <c r="Y288" s="314"/>
    </row>
    <row r="289">
      <c r="A289" s="315" t="s">
        <v>199</v>
      </c>
      <c r="B289" s="311" t="s">
        <v>200</v>
      </c>
      <c r="C289" s="311" t="s">
        <v>201</v>
      </c>
      <c r="D289" s="312" t="s">
        <v>202</v>
      </c>
      <c r="E289" s="316" t="s">
        <v>203</v>
      </c>
      <c r="F289" s="312" t="s">
        <v>204</v>
      </c>
      <c r="G289" s="312"/>
      <c r="H289" s="317" t="s">
        <v>205</v>
      </c>
      <c r="I289" s="312" t="s">
        <v>206</v>
      </c>
      <c r="J289" s="318" t="s">
        <v>207</v>
      </c>
      <c r="K289" s="319" t="s">
        <v>208</v>
      </c>
      <c r="L289" s="312" t="s">
        <v>209</v>
      </c>
      <c r="M289" s="313" t="s">
        <v>210</v>
      </c>
      <c r="N289" s="313" t="s">
        <v>211</v>
      </c>
      <c r="O289" s="313" t="s">
        <v>212</v>
      </c>
      <c r="P289" s="320" t="s">
        <v>213</v>
      </c>
      <c r="Q289" s="321" t="s">
        <v>214</v>
      </c>
      <c r="R289" s="321" t="s">
        <v>215</v>
      </c>
      <c r="S289" s="366" t="s">
        <v>216</v>
      </c>
      <c r="T289" s="366" t="s">
        <v>217</v>
      </c>
      <c r="U289" s="323" t="s">
        <v>218</v>
      </c>
      <c r="V289" s="323" t="s">
        <v>219</v>
      </c>
      <c r="W289" s="323" t="s">
        <v>220</v>
      </c>
      <c r="X289" s="322" t="s">
        <v>221</v>
      </c>
      <c r="Y289" s="322" t="s">
        <v>222</v>
      </c>
    </row>
    <row r="290">
      <c r="A290" s="324" t="s">
        <v>275</v>
      </c>
      <c r="B290" s="325" t="s">
        <v>260</v>
      </c>
      <c r="C290" s="326" t="s">
        <v>225</v>
      </c>
      <c r="D290" s="326">
        <f t="shared" ref="D290:D294" si="179">E290+G290+F290</f>
      </c>
      <c r="E290" s="327">
        <v>3895.01</v>
      </c>
      <c r="F290" s="327">
        <v>3283.99</v>
      </c>
      <c r="G290" s="327">
        <v>1797.18</v>
      </c>
      <c r="H290" s="328">
        <v>35</v>
      </c>
      <c r="I290" s="326">
        <v>26762.64</v>
      </c>
      <c r="J290" s="329">
        <f t="shared" ref="J290:J312" si="253">I290/D290</f>
      </c>
      <c r="K290" s="330">
        <f t="shared" ref="K290:K312" si="291">D290/H290</f>
      </c>
      <c r="L290" s="329">
        <f t="shared" ref="L290:L312" si="326">I290/H290</f>
      </c>
      <c r="M290" s="331">
        <f t="shared" ref="M290:M312" si="19">T290/S290</f>
      </c>
      <c r="N290" s="332">
        <f t="shared" ref="N290:N312" si="85">H290/X290</f>
      </c>
      <c r="O290" s="333">
        <f t="shared" ref="O290:O312" si="115">(Y290*1000)/D290</f>
      </c>
      <c r="P290" s="332">
        <f t="shared" ref="P290:P312" si="51">W290/V290</f>
      </c>
      <c r="Q290" s="334" t="s">
        <v>255</v>
      </c>
      <c r="R290" s="370" t="s">
        <v>261</v>
      </c>
      <c r="S290" s="336">
        <v>185165</v>
      </c>
      <c r="T290" s="336">
        <v>12654</v>
      </c>
      <c r="U290" s="368">
        <v>685</v>
      </c>
      <c r="V290" s="337">
        <v>24777</v>
      </c>
      <c r="W290" s="337">
        <v>3148</v>
      </c>
      <c r="X290" s="337">
        <v>57</v>
      </c>
      <c r="Y290" s="337">
        <v>127</v>
      </c>
    </row>
    <row r="291">
      <c r="A291" s="324"/>
      <c r="B291" s="325" t="s">
        <v>260</v>
      </c>
      <c r="C291" s="326" t="s">
        <v>228</v>
      </c>
      <c r="D291" s="326">
        <f t="shared" si="179"/>
      </c>
      <c r="E291" s="327">
        <v>8816.67</v>
      </c>
      <c r="F291" s="327">
        <v>5307.99</v>
      </c>
      <c r="G291" s="327">
        <v>4090.21</v>
      </c>
      <c r="H291" s="328">
        <v>59</v>
      </c>
      <c r="I291" s="326">
        <v>39054.979999999996</v>
      </c>
      <c r="J291" s="329">
        <f t="shared" si="253"/>
      </c>
      <c r="K291" s="329">
        <f t="shared" si="291"/>
      </c>
      <c r="L291" s="330">
        <f t="shared" si="326"/>
      </c>
      <c r="M291" s="331">
        <f t="shared" si="19"/>
      </c>
      <c r="N291" s="332">
        <f t="shared" si="85"/>
      </c>
      <c r="O291" s="333">
        <f t="shared" si="115"/>
      </c>
      <c r="P291" s="332">
        <f t="shared" si="51"/>
      </c>
      <c r="Q291" s="334" t="s">
        <v>255</v>
      </c>
      <c r="R291" s="370" t="s">
        <v>261</v>
      </c>
      <c r="S291" s="369">
        <v>410668</v>
      </c>
      <c r="T291" s="369">
        <v>25945</v>
      </c>
      <c r="U291" s="337">
        <v>1302</v>
      </c>
      <c r="V291" s="337">
        <v>59385</v>
      </c>
      <c r="W291" s="337">
        <v>8640</v>
      </c>
      <c r="X291" s="337">
        <v>101</v>
      </c>
      <c r="Y291" s="337">
        <v>239</v>
      </c>
    </row>
    <row r="292">
      <c r="A292" s="324"/>
      <c r="B292" s="325" t="s">
        <v>260</v>
      </c>
      <c r="C292" s="326" t="s">
        <v>229</v>
      </c>
      <c r="D292" s="326">
        <f t="shared" si="179"/>
      </c>
      <c r="E292" s="327">
        <v>6793.66</v>
      </c>
      <c r="F292" s="327">
        <v>3799.05</v>
      </c>
      <c r="G292" s="327">
        <v>3702.29</v>
      </c>
      <c r="H292" s="338">
        <v>67</v>
      </c>
      <c r="I292" s="326">
        <v>46880.75</v>
      </c>
      <c r="J292" s="329">
        <f t="shared" si="253"/>
      </c>
      <c r="K292" s="329">
        <f t="shared" si="291"/>
      </c>
      <c r="L292" s="329">
        <f t="shared" si="326"/>
      </c>
      <c r="M292" s="331">
        <f t="shared" si="19"/>
      </c>
      <c r="N292" s="332">
        <f t="shared" si="85"/>
      </c>
      <c r="O292" s="333">
        <f t="shared" si="115"/>
      </c>
      <c r="P292" s="332">
        <f t="shared" si="51"/>
      </c>
      <c r="Q292" s="334" t="s">
        <v>255</v>
      </c>
      <c r="R292" s="370" t="s">
        <v>261</v>
      </c>
      <c r="S292" s="336">
        <v>323602</v>
      </c>
      <c r="T292" s="336">
        <v>16773</v>
      </c>
      <c r="U292" s="337">
        <v>978</v>
      </c>
      <c r="V292" s="337">
        <v>39576</v>
      </c>
      <c r="W292" s="337">
        <v>5982</v>
      </c>
      <c r="X292" s="337">
        <v>103</v>
      </c>
      <c r="Y292" s="337">
        <v>169</v>
      </c>
    </row>
    <row r="293">
      <c r="A293" s="324"/>
      <c r="B293" s="325" t="s">
        <v>260</v>
      </c>
      <c r="C293" s="364" t="s">
        <v>230</v>
      </c>
      <c r="D293" s="326">
        <f t="shared" si="179"/>
      </c>
      <c r="E293" s="327">
        <v>13923.91</v>
      </c>
      <c r="F293" s="327">
        <v>5826.43</v>
      </c>
      <c r="G293" s="327">
        <v>2145.73</v>
      </c>
      <c r="H293" s="338">
        <v>73</v>
      </c>
      <c r="I293" s="326">
        <v>44100.580000000016</v>
      </c>
      <c r="J293" s="329">
        <f t="shared" si="253"/>
      </c>
      <c r="K293" s="329">
        <f t="shared" si="291"/>
      </c>
      <c r="L293" s="329">
        <f t="shared" si="326"/>
      </c>
      <c r="M293" s="331">
        <f t="shared" si="19"/>
      </c>
      <c r="N293" s="332">
        <f t="shared" si="85"/>
      </c>
      <c r="O293" s="333">
        <f t="shared" si="115"/>
      </c>
      <c r="P293" s="332">
        <f t="shared" si="51"/>
      </c>
      <c r="Q293" s="334" t="s">
        <v>255</v>
      </c>
      <c r="R293" s="370" t="s">
        <v>261</v>
      </c>
      <c r="S293" s="336">
        <v>453906</v>
      </c>
      <c r="T293" s="336">
        <v>24200</v>
      </c>
      <c r="U293" s="337">
        <v>1235</v>
      </c>
      <c r="V293" s="337">
        <v>55118</v>
      </c>
      <c r="W293" s="337">
        <v>7644</v>
      </c>
      <c r="X293" s="337">
        <v>108</v>
      </c>
      <c r="Y293" s="337">
        <v>234</v>
      </c>
    </row>
    <row r="294">
      <c r="A294" s="324"/>
      <c r="B294" s="325" t="s">
        <v>260</v>
      </c>
      <c r="C294" s="326" t="s">
        <v>231</v>
      </c>
      <c r="D294" s="326">
        <f t="shared" si="179"/>
      </c>
      <c r="E294" s="327">
        <v>9709.14</v>
      </c>
      <c r="F294" s="327">
        <v>2078.6</v>
      </c>
      <c r="G294" s="327">
        <v>3762.19</v>
      </c>
      <c r="H294" s="338">
        <v>61</v>
      </c>
      <c r="I294" s="326">
        <v>40795.46999999997</v>
      </c>
      <c r="J294" s="329">
        <f t="shared" si="253"/>
      </c>
      <c r="K294" s="329">
        <f t="shared" si="291"/>
      </c>
      <c r="L294" s="329">
        <f t="shared" si="326"/>
      </c>
      <c r="M294" s="331">
        <f t="shared" si="19"/>
      </c>
      <c r="N294" s="332">
        <f t="shared" si="85"/>
      </c>
      <c r="O294" s="333">
        <f t="shared" si="115"/>
      </c>
      <c r="P294" s="332">
        <f t="shared" si="51"/>
      </c>
      <c r="Q294" s="334" t="s">
        <v>255</v>
      </c>
      <c r="R294" s="370" t="s">
        <v>261</v>
      </c>
      <c r="S294" s="336">
        <v>318115</v>
      </c>
      <c r="T294" s="336">
        <v>17629</v>
      </c>
      <c r="U294" s="337">
        <v>1025</v>
      </c>
      <c r="V294" s="337">
        <v>40579</v>
      </c>
      <c r="W294" s="337">
        <v>5756</v>
      </c>
      <c r="X294" s="337">
        <v>88</v>
      </c>
      <c r="Y294" s="337">
        <v>193</v>
      </c>
    </row>
    <row r="295">
      <c r="A295" s="324"/>
      <c r="B295" s="339" t="s">
        <v>232</v>
      </c>
      <c r="C295" s="339"/>
      <c r="D295" s="340">
        <f>SUM(D290:D294)</f>
      </c>
      <c r="E295" s="340">
        <f>SUM(E290:E294)</f>
      </c>
      <c r="F295" s="340">
        <f>SUM(F290:G294)</f>
      </c>
      <c r="G295" s="340"/>
      <c r="H295" s="341">
        <f>SUM(H290:H294)</f>
      </c>
      <c r="I295" s="340">
        <f>SUM(I290:I294)</f>
      </c>
      <c r="J295" s="342">
        <f t="shared" si="253"/>
      </c>
      <c r="K295" s="343">
        <f t="shared" si="291"/>
      </c>
      <c r="L295" s="344">
        <f t="shared" si="326"/>
      </c>
      <c r="M295" s="345">
        <f t="shared" si="19"/>
      </c>
      <c r="N295" s="345">
        <f t="shared" si="85"/>
      </c>
      <c r="O295" s="346">
        <f t="shared" si="115"/>
      </c>
      <c r="P295" s="345">
        <f t="shared" si="51"/>
      </c>
      <c r="Q295" s="346"/>
      <c r="R295" s="346"/>
      <c r="S295" s="341">
        <f>SUM(S290:S294)</f>
      </c>
      <c r="T295" s="341">
        <f>SUM(T290:T294)</f>
      </c>
      <c r="U295" s="341">
        <f>SUM(U290:U294)</f>
      </c>
      <c r="V295" s="341">
        <f>SUM(V290:V294)</f>
      </c>
      <c r="W295" s="341">
        <f>SUM(W290:W294)</f>
      </c>
      <c r="X295" s="341">
        <f>SUM(X290:X294)</f>
      </c>
      <c r="Y295" s="341">
        <f>SUM(Y290:Y294)</f>
      </c>
    </row>
    <row r="296">
      <c r="A296" s="324"/>
      <c r="B296" s="325" t="s">
        <v>224</v>
      </c>
      <c r="C296" s="326" t="s">
        <v>234</v>
      </c>
      <c r="D296" s="326">
        <f t="shared" ref="D296:D299" si="180">E296+G296+F296</f>
      </c>
      <c r="E296" s="327">
        <v>4981.62</v>
      </c>
      <c r="F296" s="327">
        <v>2995.08</v>
      </c>
      <c r="G296" s="327">
        <v>1143.07</v>
      </c>
      <c r="H296" s="338">
        <v>25</v>
      </c>
      <c r="I296" s="326">
        <v>13064.040000000008</v>
      </c>
      <c r="J296" s="329">
        <f t="shared" si="253"/>
      </c>
      <c r="K296" s="329">
        <f t="shared" si="291"/>
      </c>
      <c r="L296" s="329">
        <f t="shared" si="326"/>
      </c>
      <c r="M296" s="331">
        <f t="shared" si="19"/>
      </c>
      <c r="N296" s="332">
        <f t="shared" si="85"/>
      </c>
      <c r="O296" s="333">
        <f t="shared" si="115"/>
      </c>
      <c r="P296" s="332">
        <f t="shared" si="51"/>
      </c>
      <c r="Q296" s="334" t="s">
        <v>255</v>
      </c>
      <c r="R296" s="370" t="s">
        <v>261</v>
      </c>
      <c r="S296" s="347">
        <v>174250</v>
      </c>
      <c r="T296" s="347">
        <v>9144</v>
      </c>
      <c r="U296" s="348">
        <v>484</v>
      </c>
      <c r="V296" s="348">
        <v>19001</v>
      </c>
      <c r="W296" s="348">
        <v>2508</v>
      </c>
      <c r="X296" s="348">
        <v>37</v>
      </c>
      <c r="Y296" s="348">
        <v>84</v>
      </c>
    </row>
    <row r="297">
      <c r="A297" s="324"/>
      <c r="B297" s="325" t="s">
        <v>224</v>
      </c>
      <c r="C297" s="327" t="s">
        <v>235</v>
      </c>
      <c r="D297" s="326">
        <f t="shared" si="180"/>
      </c>
      <c r="E297" s="327">
        <v>6513.29</v>
      </c>
      <c r="F297" s="327">
        <v>1334.72</v>
      </c>
      <c r="G297" s="327">
        <v>1469.1</v>
      </c>
      <c r="H297" s="328">
        <v>31</v>
      </c>
      <c r="I297" s="327">
        <v>14297.700000000012</v>
      </c>
      <c r="J297" s="329">
        <f t="shared" si="253"/>
      </c>
      <c r="K297" s="329">
        <f t="shared" si="291"/>
      </c>
      <c r="L297" s="329">
        <f t="shared" si="326"/>
      </c>
      <c r="M297" s="331">
        <f t="shared" si="19"/>
      </c>
      <c r="N297" s="332">
        <f t="shared" si="85"/>
      </c>
      <c r="O297" s="333">
        <f t="shared" si="115"/>
      </c>
      <c r="P297" s="332">
        <f t="shared" si="51"/>
      </c>
      <c r="Q297" s="334" t="s">
        <v>255</v>
      </c>
      <c r="R297" s="370" t="s">
        <v>261</v>
      </c>
      <c r="S297" s="347">
        <v>180616</v>
      </c>
      <c r="T297" s="347">
        <v>11966</v>
      </c>
      <c r="U297" s="348">
        <v>583</v>
      </c>
      <c r="V297" s="348">
        <v>24106</v>
      </c>
      <c r="W297" s="348">
        <v>2852</v>
      </c>
      <c r="X297" s="348">
        <v>48</v>
      </c>
      <c r="Y297" s="348">
        <v>106</v>
      </c>
    </row>
    <row r="298">
      <c r="A298" s="324"/>
      <c r="B298" s="325" t="s">
        <v>224</v>
      </c>
      <c r="C298" s="326" t="s">
        <v>236</v>
      </c>
      <c r="D298" s="326">
        <f t="shared" si="180"/>
      </c>
      <c r="E298" s="327">
        <v>4378.96</v>
      </c>
      <c r="F298" s="327">
        <v>1683.39</v>
      </c>
      <c r="G298" s="327">
        <v>1156.7</v>
      </c>
      <c r="H298" s="328">
        <v>16</v>
      </c>
      <c r="I298" s="327">
        <v>8428</v>
      </c>
      <c r="J298" s="329">
        <f t="shared" si="253"/>
      </c>
      <c r="K298" s="329">
        <f t="shared" si="291"/>
      </c>
      <c r="L298" s="329">
        <f t="shared" si="326"/>
      </c>
      <c r="M298" s="331">
        <f t="shared" si="19"/>
      </c>
      <c r="N298" s="332">
        <f t="shared" si="85"/>
      </c>
      <c r="O298" s="333">
        <f t="shared" si="115"/>
      </c>
      <c r="P298" s="332">
        <f t="shared" si="51"/>
      </c>
      <c r="Q298" s="334" t="s">
        <v>255</v>
      </c>
      <c r="R298" s="370" t="s">
        <v>261</v>
      </c>
      <c r="S298" s="347">
        <v>146572</v>
      </c>
      <c r="T298" s="347">
        <v>9456</v>
      </c>
      <c r="U298" s="348">
        <v>488</v>
      </c>
      <c r="V298" s="348">
        <v>18720</v>
      </c>
      <c r="W298" s="348">
        <v>2111</v>
      </c>
      <c r="X298" s="348">
        <v>32</v>
      </c>
      <c r="Y298" s="348">
        <v>88</v>
      </c>
    </row>
    <row r="299">
      <c r="A299" s="324"/>
      <c r="B299" s="325" t="s">
        <v>224</v>
      </c>
      <c r="C299" s="326" t="s">
        <v>237</v>
      </c>
      <c r="D299" s="326">
        <f t="shared" si="180"/>
      </c>
      <c r="E299" s="327">
        <v>2831.91</v>
      </c>
      <c r="F299" s="327">
        <v>857.86</v>
      </c>
      <c r="G299" s="327">
        <v>1421.09</v>
      </c>
      <c r="H299" s="338">
        <v>22</v>
      </c>
      <c r="I299" s="327">
        <v>12441.279999999999</v>
      </c>
      <c r="J299" s="329">
        <f t="shared" si="253"/>
      </c>
      <c r="K299" s="329">
        <f t="shared" si="291"/>
      </c>
      <c r="L299" s="329">
        <f t="shared" si="326"/>
      </c>
      <c r="M299" s="331">
        <f t="shared" si="19"/>
      </c>
      <c r="N299" s="332">
        <f t="shared" si="85"/>
      </c>
      <c r="O299" s="333">
        <f t="shared" si="115"/>
      </c>
      <c r="P299" s="332">
        <f t="shared" si="51"/>
      </c>
      <c r="Q299" s="334" t="s">
        <v>255</v>
      </c>
      <c r="R299" s="370" t="s">
        <v>261</v>
      </c>
      <c r="S299" s="347">
        <v>97442</v>
      </c>
      <c r="T299" s="347">
        <v>5864</v>
      </c>
      <c r="U299" s="348">
        <v>372</v>
      </c>
      <c r="V299" s="348">
        <v>9522</v>
      </c>
      <c r="W299" s="348">
        <v>1044</v>
      </c>
      <c r="X299" s="348">
        <v>135</v>
      </c>
      <c r="Y299" s="348">
        <v>77</v>
      </c>
    </row>
    <row r="300">
      <c r="A300" s="324"/>
      <c r="B300" s="339" t="s">
        <v>232</v>
      </c>
      <c r="C300" s="339"/>
      <c r="D300" s="340">
        <f>SUM(D296:D299)</f>
      </c>
      <c r="E300" s="340">
        <f>SUM(E296:E299)</f>
      </c>
      <c r="F300" s="340">
        <f>SUM(F296:G299)</f>
      </c>
      <c r="G300" s="340"/>
      <c r="H300" s="341">
        <f>SUM(H296:H299)</f>
      </c>
      <c r="I300" s="340">
        <f>SUM(I296:I299)</f>
      </c>
      <c r="J300" s="342">
        <f t="shared" si="253"/>
      </c>
      <c r="K300" s="343">
        <f t="shared" si="291"/>
      </c>
      <c r="L300" s="344">
        <f t="shared" si="326"/>
      </c>
      <c r="M300" s="345">
        <f t="shared" si="19"/>
      </c>
      <c r="N300" s="345">
        <f t="shared" si="85"/>
      </c>
      <c r="O300" s="346">
        <f t="shared" si="115"/>
      </c>
      <c r="P300" s="345">
        <f t="shared" si="51"/>
      </c>
      <c r="Q300" s="346"/>
      <c r="R300" s="346"/>
      <c r="S300" s="341">
        <f>SUM(S296:S299)</f>
      </c>
      <c r="T300" s="341">
        <f>SUM(T296:T299)</f>
      </c>
      <c r="U300" s="341">
        <f>SUM(U296:U299)</f>
      </c>
      <c r="V300" s="341">
        <f>SUM(V296:V299)</f>
      </c>
      <c r="W300" s="341">
        <f>SUM(W296:W299)</f>
      </c>
      <c r="X300" s="341">
        <f>SUM(X296:X299)</f>
      </c>
      <c r="Y300" s="341">
        <f>SUM(Y296:Y299)</f>
      </c>
    </row>
    <row r="301">
      <c r="A301" s="324"/>
      <c r="B301" s="325" t="s">
        <v>257</v>
      </c>
      <c r="C301" s="327" t="s">
        <v>239</v>
      </c>
      <c r="D301" s="326">
        <f t="shared" ref="D301:D304" si="181">E301+G301+F301</f>
      </c>
      <c r="E301" s="326">
        <v>3471.99</v>
      </c>
      <c r="F301" s="326">
        <v>2533.93</v>
      </c>
      <c r="G301" s="326">
        <v>1058.33</v>
      </c>
      <c r="H301" s="338">
        <v>31</v>
      </c>
      <c r="I301" s="326">
        <v>19285.869999999995</v>
      </c>
      <c r="J301" s="329">
        <f t="shared" si="253"/>
      </c>
      <c r="K301" s="329">
        <f t="shared" si="291"/>
      </c>
      <c r="L301" s="329">
        <f t="shared" si="326"/>
      </c>
      <c r="M301" s="331">
        <f t="shared" si="19"/>
      </c>
      <c r="N301" s="332">
        <f t="shared" si="85"/>
      </c>
      <c r="O301" s="333">
        <f t="shared" si="115"/>
      </c>
      <c r="P301" s="332">
        <f t="shared" si="51"/>
      </c>
      <c r="Q301" s="334" t="s">
        <v>258</v>
      </c>
      <c r="R301" s="370" t="s">
        <v>227</v>
      </c>
      <c r="S301" s="347">
        <v>129344</v>
      </c>
      <c r="T301" s="347">
        <v>7790</v>
      </c>
      <c r="U301" s="348">
        <v>425</v>
      </c>
      <c r="V301" s="348">
        <v>14353</v>
      </c>
      <c r="W301" s="348">
        <v>1483</v>
      </c>
      <c r="X301" s="348">
        <v>60</v>
      </c>
      <c r="Y301" s="348">
        <v>95</v>
      </c>
    </row>
    <row r="302">
      <c r="A302" s="324"/>
      <c r="B302" s="325" t="s">
        <v>257</v>
      </c>
      <c r="C302" s="327" t="s">
        <v>241</v>
      </c>
      <c r="D302" s="326">
        <f t="shared" si="181"/>
      </c>
      <c r="E302" s="326">
        <v>5373.07</v>
      </c>
      <c r="F302" s="326">
        <v>1988.6</v>
      </c>
      <c r="G302" s="326">
        <v>3856.6</v>
      </c>
      <c r="H302" s="338">
        <v>32</v>
      </c>
      <c r="I302" s="326">
        <v>19318.46000000002</v>
      </c>
      <c r="J302" s="329">
        <f t="shared" si="253"/>
      </c>
      <c r="K302" s="329">
        <f t="shared" si="291"/>
      </c>
      <c r="L302" s="329">
        <f t="shared" si="326"/>
      </c>
      <c r="M302" s="331">
        <f t="shared" si="19"/>
      </c>
      <c r="N302" s="332">
        <f t="shared" si="85"/>
      </c>
      <c r="O302" s="333">
        <f t="shared" si="115"/>
      </c>
      <c r="P302" s="332">
        <f t="shared" si="51"/>
      </c>
      <c r="Q302" s="334" t="s">
        <v>258</v>
      </c>
      <c r="R302" s="350" t="s">
        <v>227</v>
      </c>
      <c r="S302" s="347">
        <v>261319</v>
      </c>
      <c r="T302" s="347">
        <v>12332</v>
      </c>
      <c r="U302" s="348">
        <v>717</v>
      </c>
      <c r="V302" s="348">
        <v>23637</v>
      </c>
      <c r="W302" s="348">
        <v>2518</v>
      </c>
      <c r="X302" s="348">
        <v>56</v>
      </c>
      <c r="Y302" s="348">
        <v>130</v>
      </c>
    </row>
    <row r="303">
      <c r="A303" s="324"/>
      <c r="B303" s="325" t="s">
        <v>257</v>
      </c>
      <c r="C303" s="327" t="s">
        <v>242</v>
      </c>
      <c r="D303" s="326">
        <f t="shared" si="181"/>
      </c>
      <c r="E303" s="326">
        <v>3186.44</v>
      </c>
      <c r="F303" s="326">
        <v>3240.41</v>
      </c>
      <c r="G303" s="326">
        <v>1928.3</v>
      </c>
      <c r="H303" s="338">
        <v>41</v>
      </c>
      <c r="I303" s="326">
        <v>20034.01000000001</v>
      </c>
      <c r="J303" s="329">
        <f t="shared" si="253"/>
      </c>
      <c r="K303" s="329">
        <f t="shared" si="291"/>
      </c>
      <c r="L303" s="329">
        <f t="shared" si="326"/>
      </c>
      <c r="M303" s="331">
        <f t="shared" si="19"/>
      </c>
      <c r="N303" s="332">
        <f t="shared" si="85"/>
      </c>
      <c r="O303" s="333">
        <f t="shared" si="115"/>
      </c>
      <c r="P303" s="332">
        <f t="shared" si="51"/>
      </c>
      <c r="Q303" s="334" t="s">
        <v>258</v>
      </c>
      <c r="R303" s="350" t="s">
        <v>227</v>
      </c>
      <c r="S303" s="347">
        <v>212329</v>
      </c>
      <c r="T303" s="347">
        <v>9254</v>
      </c>
      <c r="U303" s="348">
        <v>556</v>
      </c>
      <c r="V303" s="348">
        <v>17075</v>
      </c>
      <c r="W303" s="348">
        <v>1948</v>
      </c>
      <c r="X303" s="348">
        <v>69</v>
      </c>
      <c r="Y303" s="348">
        <v>116</v>
      </c>
    </row>
    <row r="304">
      <c r="A304" s="324"/>
      <c r="B304" s="325" t="s">
        <v>257</v>
      </c>
      <c r="C304" s="326" t="s">
        <v>244</v>
      </c>
      <c r="D304" s="326">
        <f t="shared" si="181"/>
      </c>
      <c r="E304" s="326">
        <v>2716.41</v>
      </c>
      <c r="F304" s="326">
        <v>2705.55</v>
      </c>
      <c r="G304" s="326">
        <v>4227.49</v>
      </c>
      <c r="H304" s="338">
        <v>38</v>
      </c>
      <c r="I304" s="326">
        <v>21561.089999999967</v>
      </c>
      <c r="J304" s="329">
        <f t="shared" si="253"/>
      </c>
      <c r="K304" s="329">
        <f t="shared" si="291"/>
      </c>
      <c r="L304" s="329">
        <f t="shared" si="326"/>
      </c>
      <c r="M304" s="331">
        <f t="shared" si="19"/>
      </c>
      <c r="N304" s="332">
        <f t="shared" si="85"/>
      </c>
      <c r="O304" s="333">
        <f t="shared" si="115"/>
      </c>
      <c r="P304" s="332">
        <f t="shared" si="51"/>
      </c>
      <c r="Q304" s="334" t="s">
        <v>258</v>
      </c>
      <c r="R304" s="350" t="s">
        <v>227</v>
      </c>
      <c r="S304" s="347">
        <v>248967</v>
      </c>
      <c r="T304" s="347">
        <v>8903</v>
      </c>
      <c r="U304" s="348">
        <v>651</v>
      </c>
      <c r="V304" s="348">
        <v>15022</v>
      </c>
      <c r="W304" s="348">
        <v>1708</v>
      </c>
      <c r="X304" s="348">
        <v>59</v>
      </c>
      <c r="Y304" s="348">
        <v>132</v>
      </c>
    </row>
    <row r="305">
      <c r="A305" s="324"/>
      <c r="B305" s="339" t="s">
        <v>232</v>
      </c>
      <c r="C305" s="339"/>
      <c r="D305" s="340">
        <f>SUM(D301:D304)</f>
      </c>
      <c r="E305" s="340">
        <f>SUM(E301:E304)</f>
      </c>
      <c r="F305" s="340">
        <f>SUM(F301:G304)</f>
      </c>
      <c r="G305" s="340"/>
      <c r="H305" s="341">
        <f>SUM(H301:H304)</f>
      </c>
      <c r="I305" s="340">
        <f>SUM(I301:I304)</f>
      </c>
      <c r="J305" s="342">
        <f t="shared" si="253"/>
      </c>
      <c r="K305" s="343">
        <f t="shared" si="291"/>
      </c>
      <c r="L305" s="344">
        <f t="shared" si="326"/>
      </c>
      <c r="M305" s="345">
        <f t="shared" si="19"/>
      </c>
      <c r="N305" s="345">
        <f t="shared" si="85"/>
      </c>
      <c r="O305" s="346">
        <f t="shared" si="115"/>
      </c>
      <c r="P305" s="345">
        <f t="shared" si="51"/>
      </c>
      <c r="Q305" s="346"/>
      <c r="R305" s="346"/>
      <c r="S305" s="341">
        <f>SUM(S301:S304)</f>
      </c>
      <c r="T305" s="341">
        <f>SUM(T301:T304)</f>
      </c>
      <c r="U305" s="341">
        <f>SUM(U301:U304)</f>
      </c>
      <c r="V305" s="341">
        <f>SUM(V301:V304)</f>
      </c>
      <c r="W305" s="341">
        <f>SUM(W301:W304)</f>
      </c>
      <c r="X305" s="341">
        <f>SUM(X301:X304)</f>
      </c>
      <c r="Y305" s="341">
        <f>SUM(Y301:Y304)</f>
      </c>
    </row>
    <row r="306">
      <c r="A306" s="324"/>
      <c r="B306" s="325" t="s">
        <v>248</v>
      </c>
      <c r="C306" s="327" t="s">
        <v>245</v>
      </c>
      <c r="D306" s="326">
        <f t="shared" ref="D306:D310" si="182">E306+G306+F306</f>
      </c>
      <c r="E306" s="326">
        <v>4053.12</v>
      </c>
      <c r="F306" s="326">
        <v>5580.27</v>
      </c>
      <c r="G306" s="327">
        <v>2102.24</v>
      </c>
      <c r="H306" s="328">
        <v>37</v>
      </c>
      <c r="I306" s="327">
        <v>19747.619999999995</v>
      </c>
      <c r="J306" s="329">
        <f t="shared" si="253"/>
      </c>
      <c r="K306" s="329">
        <f t="shared" si="291"/>
      </c>
      <c r="L306" s="329">
        <f t="shared" si="326"/>
      </c>
      <c r="M306" s="331">
        <f t="shared" si="19"/>
      </c>
      <c r="N306" s="332">
        <f t="shared" si="85"/>
      </c>
      <c r="O306" s="333">
        <f t="shared" si="115"/>
      </c>
      <c r="P306" s="332">
        <f t="shared" si="51"/>
      </c>
      <c r="Q306" s="334" t="s">
        <v>258</v>
      </c>
      <c r="R306" s="350" t="s">
        <v>227</v>
      </c>
      <c r="S306" s="348">
        <v>363474</v>
      </c>
      <c r="T306" s="348">
        <v>13173</v>
      </c>
      <c r="U306" s="348">
        <v>871</v>
      </c>
      <c r="V306" s="348">
        <v>26162</v>
      </c>
      <c r="W306" s="348">
        <v>2963</v>
      </c>
      <c r="X306" s="348">
        <v>76</v>
      </c>
      <c r="Y306" s="348">
        <v>182</v>
      </c>
    </row>
    <row r="307">
      <c r="A307" s="324"/>
      <c r="B307" s="325" t="s">
        <v>248</v>
      </c>
      <c r="C307" s="327" t="s">
        <v>250</v>
      </c>
      <c r="D307" s="326">
        <f t="shared" si="182"/>
      </c>
      <c r="E307" s="326">
        <v>5272.64</v>
      </c>
      <c r="F307" s="326">
        <v>1270.68</v>
      </c>
      <c r="G307" s="326">
        <v>6342.04</v>
      </c>
      <c r="H307" s="328">
        <v>57</v>
      </c>
      <c r="I307" s="327">
        <v>28697.97999999998</v>
      </c>
      <c r="J307" s="329">
        <f t="shared" si="253"/>
      </c>
      <c r="K307" s="329">
        <f t="shared" si="291"/>
      </c>
      <c r="L307" s="329">
        <f t="shared" si="326"/>
      </c>
      <c r="M307" s="331">
        <f t="shared" si="19"/>
      </c>
      <c r="N307" s="332">
        <f t="shared" si="85"/>
      </c>
      <c r="O307" s="333">
        <f t="shared" si="115"/>
      </c>
      <c r="P307" s="332">
        <f t="shared" si="51"/>
      </c>
      <c r="Q307" s="334" t="s">
        <v>258</v>
      </c>
      <c r="R307" s="350" t="s">
        <v>227</v>
      </c>
      <c r="S307" s="361">
        <v>396580</v>
      </c>
      <c r="T307" s="361">
        <v>14774</v>
      </c>
      <c r="U307" s="362">
        <v>1111</v>
      </c>
      <c r="V307" s="362">
        <v>30618</v>
      </c>
      <c r="W307" s="362">
        <v>3438</v>
      </c>
      <c r="X307" s="348">
        <v>98</v>
      </c>
      <c r="Y307" s="348">
        <v>200</v>
      </c>
    </row>
    <row r="308">
      <c r="A308" s="324"/>
      <c r="B308" s="325" t="s">
        <v>248</v>
      </c>
      <c r="C308" s="327" t="s">
        <v>264</v>
      </c>
      <c r="D308" s="326">
        <f t="shared" si="182"/>
      </c>
      <c r="E308" s="326">
        <v>466.61</v>
      </c>
      <c r="F308" s="326">
        <v>484.25</v>
      </c>
      <c r="G308" s="326">
        <v>6566.3</v>
      </c>
      <c r="H308" s="328">
        <v>49</v>
      </c>
      <c r="I308" s="327">
        <v>25273.119999999995</v>
      </c>
      <c r="J308" s="329">
        <f t="shared" si="253"/>
      </c>
      <c r="K308" s="329">
        <f t="shared" si="291"/>
      </c>
      <c r="L308" s="329">
        <f t="shared" si="326"/>
      </c>
      <c r="M308" s="331">
        <f t="shared" si="19"/>
      </c>
      <c r="N308" s="332">
        <f t="shared" si="85"/>
      </c>
      <c r="O308" s="333">
        <f t="shared" si="115"/>
      </c>
      <c r="P308" s="332">
        <f t="shared" si="51"/>
      </c>
      <c r="Q308" s="334" t="s">
        <v>258</v>
      </c>
      <c r="R308" s="350" t="s">
        <v>227</v>
      </c>
      <c r="S308" s="361">
        <v>273690</v>
      </c>
      <c r="T308" s="361">
        <v>4224</v>
      </c>
      <c r="U308" s="362">
        <v>648</v>
      </c>
      <c r="V308" s="362">
        <v>4439</v>
      </c>
      <c r="W308" s="362">
        <v>525</v>
      </c>
      <c r="X308" s="348">
        <v>89</v>
      </c>
      <c r="Y308" s="348">
        <v>101</v>
      </c>
    </row>
    <row r="309">
      <c r="A309" s="324"/>
      <c r="B309" s="325" t="s">
        <v>248</v>
      </c>
      <c r="C309" s="327" t="s">
        <v>266</v>
      </c>
      <c r="D309" s="326">
        <f t="shared" si="182"/>
      </c>
      <c r="E309" s="327">
        <v>833.35</v>
      </c>
      <c r="F309" s="327">
        <v>9855.87</v>
      </c>
      <c r="G309" s="327">
        <v>103.99</v>
      </c>
      <c r="H309" s="328">
        <v>41</v>
      </c>
      <c r="I309" s="327">
        <v>19156.309999999998</v>
      </c>
      <c r="J309" s="329">
        <f t="shared" si="253"/>
      </c>
      <c r="K309" s="329">
        <f t="shared" si="291"/>
      </c>
      <c r="L309" s="329">
        <f t="shared" si="326"/>
      </c>
      <c r="M309" s="331">
        <f t="shared" si="19"/>
      </c>
      <c r="N309" s="332">
        <f t="shared" si="85"/>
      </c>
      <c r="O309" s="333">
        <f t="shared" si="115"/>
      </c>
      <c r="P309" s="332">
        <f t="shared" si="51"/>
      </c>
      <c r="Q309" s="334" t="s">
        <v>258</v>
      </c>
      <c r="R309" s="350" t="s">
        <v>227</v>
      </c>
      <c r="S309" s="361">
        <v>397257</v>
      </c>
      <c r="T309" s="361">
        <v>3968</v>
      </c>
      <c r="U309" s="362">
        <v>591</v>
      </c>
      <c r="V309" s="362">
        <v>4172</v>
      </c>
      <c r="W309" s="362">
        <v>447</v>
      </c>
      <c r="X309" s="348">
        <v>76</v>
      </c>
      <c r="Y309" s="348">
        <v>91</v>
      </c>
    </row>
    <row customHeight="true" ht="16.666666666666668" r="310">
      <c r="A310" s="324"/>
      <c r="B310" s="325" t="s">
        <v>248</v>
      </c>
      <c r="C310" s="327" t="s">
        <v>267</v>
      </c>
      <c r="D310" s="326">
        <f t="shared" si="182"/>
      </c>
      <c r="E310" s="327">
        <v>3214.21</v>
      </c>
      <c r="F310" s="327">
        <v>115.3</v>
      </c>
      <c r="G310" s="327">
        <v>2774.85</v>
      </c>
      <c r="H310" s="328">
        <v>30</v>
      </c>
      <c r="I310" s="327">
        <v>13614.440000000002</v>
      </c>
      <c r="J310" s="329">
        <f t="shared" si="253"/>
      </c>
      <c r="K310" s="329">
        <f t="shared" si="291"/>
      </c>
      <c r="L310" s="329">
        <f t="shared" si="326"/>
      </c>
      <c r="M310" s="331">
        <f t="shared" si="19"/>
      </c>
      <c r="N310" s="332">
        <f t="shared" si="85"/>
      </c>
      <c r="O310" s="333">
        <f t="shared" si="115"/>
      </c>
      <c r="P310" s="332">
        <f t="shared" si="51"/>
      </c>
      <c r="Q310" s="334" t="s">
        <v>258</v>
      </c>
      <c r="R310" s="350" t="s">
        <v>227</v>
      </c>
      <c r="S310" s="361">
        <v>132589</v>
      </c>
      <c r="T310" s="361">
        <v>6349</v>
      </c>
      <c r="U310" s="362">
        <v>415</v>
      </c>
      <c r="V310" s="362">
        <v>11750</v>
      </c>
      <c r="W310" s="362">
        <v>1108</v>
      </c>
      <c r="X310" s="348">
        <v>51</v>
      </c>
      <c r="Y310" s="348">
        <v>62</v>
      </c>
    </row>
    <row r="311">
      <c r="A311" s="324"/>
      <c r="B311" s="339" t="s">
        <v>232</v>
      </c>
      <c r="C311" s="339"/>
      <c r="D311" s="340">
        <f>SUM(D306:D310)</f>
      </c>
      <c r="E311" s="340">
        <f>SUM(E306:E310)</f>
      </c>
      <c r="F311" s="340">
        <f>SUM(F306:G310)</f>
      </c>
      <c r="G311" s="340"/>
      <c r="H311" s="340">
        <f>SUM(H306:H310)</f>
      </c>
      <c r="I311" s="340">
        <f>SUM(I306:I310)</f>
      </c>
      <c r="J311" s="342">
        <f t="shared" si="253"/>
      </c>
      <c r="K311" s="343">
        <f t="shared" si="291"/>
      </c>
      <c r="L311" s="344">
        <f t="shared" si="326"/>
      </c>
      <c r="M311" s="345">
        <f t="shared" si="19"/>
      </c>
      <c r="N311" s="345">
        <f t="shared" si="85"/>
      </c>
      <c r="O311" s="346">
        <f t="shared" si="115"/>
      </c>
      <c r="P311" s="345">
        <f t="shared" si="51"/>
      </c>
      <c r="Q311" s="346"/>
      <c r="R311" s="351"/>
      <c r="S311" s="340">
        <f>SUM(S306:S310)</f>
      </c>
      <c r="T311" s="340">
        <f>SUM(T306:T310)</f>
      </c>
      <c r="U311" s="340">
        <f>SUM(U306:U310)</f>
      </c>
      <c r="V311" s="340">
        <f>SUM(V306:V310)</f>
      </c>
      <c r="W311" s="340">
        <f>SUM(W306:W310)</f>
      </c>
      <c r="X311" s="340">
        <f>SUM(X306:X310)</f>
      </c>
      <c r="Y311" s="340">
        <f>SUM(Y306:Y310)</f>
      </c>
    </row>
    <row r="312">
      <c r="A312" s="324"/>
      <c r="B312" s="353" t="s">
        <v>246</v>
      </c>
      <c r="C312" s="353"/>
      <c r="D312" s="354">
        <f>D311+D305+D300+D295</f>
      </c>
      <c r="E312" s="354">
        <f>E311+E305+E300+E295</f>
      </c>
      <c r="F312" s="354">
        <f>F311+F305+F300+F295</f>
      </c>
      <c r="G312" s="354"/>
      <c r="H312" s="355">
        <f>H311+H305+H300+H295</f>
      </c>
      <c r="I312" s="354">
        <f>I311+I305+I300+I295</f>
      </c>
      <c r="J312" s="356">
        <f t="shared" si="253"/>
      </c>
      <c r="K312" s="356">
        <f t="shared" si="291"/>
      </c>
      <c r="L312" s="356">
        <f t="shared" si="326"/>
      </c>
      <c r="M312" s="357">
        <f t="shared" si="19"/>
      </c>
      <c r="N312" s="357">
        <f t="shared" si="85"/>
      </c>
      <c r="O312" s="356">
        <f t="shared" si="115"/>
      </c>
      <c r="P312" s="357">
        <f t="shared" si="51"/>
      </c>
      <c r="Q312" s="358"/>
      <c r="R312" s="359"/>
      <c r="S312" s="381">
        <f>S311+S305+S300+S295</f>
      </c>
      <c r="T312" s="381">
        <f>T311+T305+T300+T295</f>
      </c>
      <c r="U312" s="381">
        <f>U311+U305+U300+U295</f>
      </c>
      <c r="V312" s="381">
        <f>V311+V305+V300+V295</f>
      </c>
      <c r="W312" s="381">
        <f>W311+W305+W300+W295</f>
      </c>
      <c r="X312" s="360">
        <f>X311+X305+X300+X295</f>
      </c>
      <c r="Y312" s="355">
        <f>Y311+Y305+Y300+Y295</f>
      </c>
    </row>
    <row r="313">
      <c r="A313" s="311" t="s">
        <v>195</v>
      </c>
      <c r="B313" s="311"/>
      <c r="C313" s="311"/>
      <c r="D313" s="312" t="s">
        <v>196</v>
      </c>
      <c r="E313" s="312"/>
      <c r="F313" s="312"/>
      <c r="G313" s="312"/>
      <c r="H313" s="312"/>
      <c r="I313" s="312"/>
      <c r="J313" s="312"/>
      <c r="K313" s="312"/>
      <c r="L313" s="312"/>
      <c r="M313" s="313" t="s">
        <v>197</v>
      </c>
      <c r="N313" s="313"/>
      <c r="O313" s="313"/>
      <c r="P313" s="313"/>
      <c r="Q313" s="313"/>
      <c r="R313" s="313"/>
      <c r="S313" s="314" t="s">
        <v>198</v>
      </c>
      <c r="T313" s="314"/>
      <c r="U313" s="314"/>
      <c r="V313" s="314"/>
      <c r="W313" s="314"/>
      <c r="X313" s="314"/>
      <c r="Y313" s="314"/>
    </row>
    <row r="314">
      <c r="A314" s="315" t="s">
        <v>199</v>
      </c>
      <c r="B314" s="311" t="s">
        <v>200</v>
      </c>
      <c r="C314" s="311" t="s">
        <v>201</v>
      </c>
      <c r="D314" s="312" t="s">
        <v>202</v>
      </c>
      <c r="E314" s="316" t="s">
        <v>203</v>
      </c>
      <c r="F314" s="312" t="s">
        <v>204</v>
      </c>
      <c r="G314" s="312"/>
      <c r="H314" s="317" t="s">
        <v>205</v>
      </c>
      <c r="I314" s="312" t="s">
        <v>206</v>
      </c>
      <c r="J314" s="318" t="s">
        <v>207</v>
      </c>
      <c r="K314" s="319" t="s">
        <v>208</v>
      </c>
      <c r="L314" s="312" t="s">
        <v>209</v>
      </c>
      <c r="M314" s="313" t="s">
        <v>210</v>
      </c>
      <c r="N314" s="313" t="s">
        <v>211</v>
      </c>
      <c r="O314" s="313" t="s">
        <v>212</v>
      </c>
      <c r="P314" s="320" t="s">
        <v>213</v>
      </c>
      <c r="Q314" s="321" t="s">
        <v>214</v>
      </c>
      <c r="R314" s="321" t="s">
        <v>215</v>
      </c>
      <c r="S314" s="366" t="s">
        <v>216</v>
      </c>
      <c r="T314" s="366" t="s">
        <v>217</v>
      </c>
      <c r="U314" s="323" t="s">
        <v>218</v>
      </c>
      <c r="V314" s="323" t="s">
        <v>219</v>
      </c>
      <c r="W314" s="323" t="s">
        <v>220</v>
      </c>
      <c r="X314" s="322" t="s">
        <v>221</v>
      </c>
      <c r="Y314" s="322" t="s">
        <v>222</v>
      </c>
    </row>
    <row r="315">
      <c r="A315" s="324" t="s">
        <v>276</v>
      </c>
      <c r="B315" s="325" t="s">
        <v>224</v>
      </c>
      <c r="C315" s="326" t="s">
        <v>225</v>
      </c>
      <c r="D315" s="326">
        <f t="shared" ref="D315:D318" si="183">E315+G315+F315</f>
      </c>
      <c r="E315" s="327">
        <v>2832.13</v>
      </c>
      <c r="F315" s="327">
        <v>4666.84</v>
      </c>
      <c r="G315" s="327">
        <v>1438.51</v>
      </c>
      <c r="H315" s="328">
        <v>12</v>
      </c>
      <c r="I315" s="326">
        <v>6666.72</v>
      </c>
      <c r="J315" s="329">
        <f t="shared" ref="J315:J333" si="254">I315/D315</f>
      </c>
      <c r="K315" s="330">
        <f t="shared" ref="K315:K333" si="292">D315/H315</f>
      </c>
      <c r="L315" s="329">
        <f t="shared" ref="L315:L333" si="327">I315/H315</f>
      </c>
      <c r="M315" s="331">
        <f t="shared" ref="M315:M333" si="20">T315/S315</f>
      </c>
      <c r="N315" s="332">
        <f t="shared" ref="N315:N333" si="86">H315/X315</f>
      </c>
      <c r="O315" s="333">
        <f t="shared" ref="O315:O333" si="116">(Y315*1000)/D315</f>
      </c>
      <c r="P315" s="332">
        <f t="shared" ref="P315:P333" si="52">W315/V315</f>
      </c>
      <c r="Q315" s="334" t="s">
        <v>255</v>
      </c>
      <c r="R315" s="370" t="s">
        <v>261</v>
      </c>
      <c r="S315" s="336">
        <v>201445</v>
      </c>
      <c r="T315" s="336">
        <v>11683</v>
      </c>
      <c r="U315" s="368">
        <v>471</v>
      </c>
      <c r="V315" s="337">
        <v>17469</v>
      </c>
      <c r="W315" s="337">
        <v>1791</v>
      </c>
      <c r="X315" s="337">
        <v>22</v>
      </c>
      <c r="Y315" s="337">
        <v>78</v>
      </c>
    </row>
    <row r="316">
      <c r="A316" s="324"/>
      <c r="B316" s="325" t="s">
        <v>224</v>
      </c>
      <c r="C316" s="326" t="s">
        <v>228</v>
      </c>
      <c r="D316" s="326">
        <f t="shared" si="183"/>
      </c>
      <c r="E316" s="327">
        <v>2619.09</v>
      </c>
      <c r="F316" s="327">
        <v>2075.34</v>
      </c>
      <c r="G316" s="327">
        <v>1449.29</v>
      </c>
      <c r="H316" s="328">
        <v>28</v>
      </c>
      <c r="I316" s="326">
        <v>15564.879999999997</v>
      </c>
      <c r="J316" s="329">
        <f t="shared" si="254"/>
      </c>
      <c r="K316" s="329">
        <f t="shared" si="292"/>
      </c>
      <c r="L316" s="330">
        <f t="shared" si="327"/>
      </c>
      <c r="M316" s="331">
        <f t="shared" si="20"/>
      </c>
      <c r="N316" s="332">
        <f t="shared" si="86"/>
      </c>
      <c r="O316" s="333">
        <f t="shared" si="116"/>
      </c>
      <c r="P316" s="332">
        <f t="shared" si="52"/>
      </c>
      <c r="Q316" s="334" t="s">
        <v>255</v>
      </c>
      <c r="R316" s="370" t="s">
        <v>261</v>
      </c>
      <c r="S316" s="369">
        <v>110820</v>
      </c>
      <c r="T316" s="369">
        <v>6577</v>
      </c>
      <c r="U316" s="337">
        <v>401</v>
      </c>
      <c r="V316" s="337">
        <v>11784</v>
      </c>
      <c r="W316" s="337">
        <v>1542</v>
      </c>
      <c r="X316" s="337">
        <v>51</v>
      </c>
      <c r="Y316" s="337">
        <v>89</v>
      </c>
    </row>
    <row r="317">
      <c r="A317" s="324"/>
      <c r="B317" s="325" t="s">
        <v>224</v>
      </c>
      <c r="C317" s="326" t="s">
        <v>229</v>
      </c>
      <c r="D317" s="326">
        <f t="shared" si="183"/>
      </c>
      <c r="E317" s="327">
        <v>2220.35</v>
      </c>
      <c r="F317" s="327">
        <v>2143.28</v>
      </c>
      <c r="G317" s="327">
        <v>931.78</v>
      </c>
      <c r="H317" s="338">
        <v>13</v>
      </c>
      <c r="I317" s="326">
        <v>7310.6600000000035</v>
      </c>
      <c r="J317" s="329">
        <f t="shared" si="254"/>
      </c>
      <c r="K317" s="329">
        <f t="shared" si="292"/>
      </c>
      <c r="L317" s="329">
        <f t="shared" si="327"/>
      </c>
      <c r="M317" s="331">
        <f t="shared" si="20"/>
      </c>
      <c r="N317" s="332">
        <f t="shared" si="86"/>
      </c>
      <c r="O317" s="333">
        <f t="shared" si="116"/>
      </c>
      <c r="P317" s="332">
        <f t="shared" si="52"/>
      </c>
      <c r="Q317" s="334" t="s">
        <v>255</v>
      </c>
      <c r="R317" s="370" t="s">
        <v>261</v>
      </c>
      <c r="S317" s="336">
        <v>109274</v>
      </c>
      <c r="T317" s="336">
        <v>4940</v>
      </c>
      <c r="U317" s="337">
        <v>306</v>
      </c>
      <c r="V317" s="337">
        <v>8626</v>
      </c>
      <c r="W317" s="337">
        <v>1181</v>
      </c>
      <c r="X317" s="337">
        <v>37</v>
      </c>
      <c r="Y317" s="337">
        <v>62</v>
      </c>
    </row>
    <row r="318">
      <c r="A318" s="324"/>
      <c r="B318" s="325" t="s">
        <v>224</v>
      </c>
      <c r="C318" s="364" t="s">
        <v>230</v>
      </c>
      <c r="D318" s="326">
        <f t="shared" si="183"/>
      </c>
      <c r="E318" s="327">
        <v>1980.92</v>
      </c>
      <c r="F318" s="327">
        <v>1041.13</v>
      </c>
      <c r="G318" s="327">
        <v>924.88</v>
      </c>
      <c r="H318" s="338">
        <v>20</v>
      </c>
      <c r="I318" s="326">
        <v>12614.120000000003</v>
      </c>
      <c r="J318" s="329">
        <f t="shared" si="254"/>
      </c>
      <c r="K318" s="329">
        <f t="shared" si="292"/>
      </c>
      <c r="L318" s="329">
        <f t="shared" si="327"/>
      </c>
      <c r="M318" s="331">
        <f t="shared" si="20"/>
      </c>
      <c r="N318" s="332">
        <f t="shared" si="86"/>
      </c>
      <c r="O318" s="333">
        <f t="shared" si="116"/>
      </c>
      <c r="P318" s="332">
        <f t="shared" si="52"/>
      </c>
      <c r="Q318" s="334" t="s">
        <v>255</v>
      </c>
      <c r="R318" s="370" t="s">
        <v>261</v>
      </c>
      <c r="S318" s="336">
        <v>75616</v>
      </c>
      <c r="T318" s="336">
        <v>3103</v>
      </c>
      <c r="U318" s="337">
        <v>282</v>
      </c>
      <c r="V318" s="337">
        <v>5356</v>
      </c>
      <c r="W318" s="337">
        <v>654</v>
      </c>
      <c r="X318" s="337">
        <v>32</v>
      </c>
      <c r="Y318" s="337">
        <v>67</v>
      </c>
    </row>
    <row r="319">
      <c r="A319" s="324"/>
      <c r="B319" s="339" t="s">
        <v>232</v>
      </c>
      <c r="C319" s="339"/>
      <c r="D319" s="340">
        <f>SUM(D315:D318)</f>
      </c>
      <c r="E319" s="340">
        <f>SUM(E315:E318)</f>
      </c>
      <c r="F319" s="340">
        <f>SUM(F315:G318)</f>
      </c>
      <c r="G319" s="340"/>
      <c r="H319" s="341">
        <f>SUM(H315:H318)</f>
      </c>
      <c r="I319" s="340">
        <f>SUM(I315:I318)</f>
      </c>
      <c r="J319" s="342">
        <f t="shared" si="254"/>
      </c>
      <c r="K319" s="343">
        <f t="shared" si="292"/>
      </c>
      <c r="L319" s="344">
        <f t="shared" si="327"/>
      </c>
      <c r="M319" s="345">
        <f t="shared" si="20"/>
      </c>
      <c r="N319" s="345">
        <f t="shared" si="86"/>
      </c>
      <c r="O319" s="346">
        <f t="shared" si="116"/>
      </c>
      <c r="P319" s="345">
        <f t="shared" si="52"/>
      </c>
      <c r="Q319" s="346"/>
      <c r="R319" s="346"/>
      <c r="S319" s="341">
        <f>SUM(S315:S318)</f>
      </c>
      <c r="T319" s="341">
        <f>SUM(T315:T318)</f>
      </c>
      <c r="U319" s="341">
        <f>SUM(U315:U318)</f>
      </c>
      <c r="V319" s="341">
        <f>SUM(V315:V318)</f>
      </c>
      <c r="W319" s="341">
        <f>SUM(W315:W318)</f>
      </c>
      <c r="X319" s="341">
        <f>SUM(X315:X318)</f>
      </c>
      <c r="Y319" s="341">
        <f>SUM(Y315:Y318)</f>
      </c>
    </row>
    <row r="320">
      <c r="A320" s="324"/>
      <c r="B320" s="325" t="s">
        <v>260</v>
      </c>
      <c r="C320" s="327" t="s">
        <v>231</v>
      </c>
      <c r="D320" s="326">
        <f t="shared" ref="D320:D323" si="184">E320+G320+F320</f>
      </c>
      <c r="E320" s="327">
        <v>2570.17</v>
      </c>
      <c r="F320" s="327">
        <v>2317.64</v>
      </c>
      <c r="G320" s="327">
        <v>747.02</v>
      </c>
      <c r="H320" s="338">
        <v>24</v>
      </c>
      <c r="I320" s="326">
        <v>15131.969999999994</v>
      </c>
      <c r="J320" s="329">
        <f t="shared" si="254"/>
      </c>
      <c r="K320" s="329">
        <f t="shared" si="292"/>
      </c>
      <c r="L320" s="329">
        <f t="shared" si="327"/>
      </c>
      <c r="M320" s="331">
        <f t="shared" si="20"/>
      </c>
      <c r="N320" s="332">
        <f t="shared" si="86"/>
      </c>
      <c r="O320" s="333">
        <f t="shared" si="116"/>
      </c>
      <c r="P320" s="332">
        <f t="shared" si="52"/>
      </c>
      <c r="Q320" s="334" t="s">
        <v>255</v>
      </c>
      <c r="R320" s="370" t="s">
        <v>261</v>
      </c>
      <c r="S320" s="347">
        <v>88651</v>
      </c>
      <c r="T320" s="347">
        <v>3397</v>
      </c>
      <c r="U320" s="348">
        <v>293</v>
      </c>
      <c r="V320" s="348">
        <v>5760</v>
      </c>
      <c r="W320" s="348">
        <v>757</v>
      </c>
      <c r="X320" s="348">
        <v>37</v>
      </c>
      <c r="Y320" s="348">
        <v>65</v>
      </c>
    </row>
    <row customHeight="true" ht="16.666666666666668" r="321">
      <c r="A321" s="324"/>
      <c r="B321" s="325" t="s">
        <v>260</v>
      </c>
      <c r="C321" s="326" t="s">
        <v>234</v>
      </c>
      <c r="D321" s="326">
        <f t="shared" si="184"/>
      </c>
      <c r="E321" s="327">
        <v>2862.79</v>
      </c>
      <c r="F321" s="327">
        <v>1990.33</v>
      </c>
      <c r="G321" s="327">
        <v>1700.54</v>
      </c>
      <c r="H321" s="338">
        <v>13</v>
      </c>
      <c r="I321" s="326">
        <v>6935.880000000005</v>
      </c>
      <c r="J321" s="329">
        <f t="shared" si="254"/>
      </c>
      <c r="K321" s="329">
        <f t="shared" si="292"/>
      </c>
      <c r="L321" s="329">
        <f t="shared" si="327"/>
      </c>
      <c r="M321" s="331">
        <f t="shared" si="20"/>
      </c>
      <c r="N321" s="332">
        <f t="shared" si="86"/>
      </c>
      <c r="O321" s="333">
        <f t="shared" si="116"/>
      </c>
      <c r="P321" s="332">
        <f t="shared" si="52"/>
      </c>
      <c r="Q321" s="334" t="s">
        <v>255</v>
      </c>
      <c r="R321" s="370" t="s">
        <v>261</v>
      </c>
      <c r="S321" s="347">
        <v>120693</v>
      </c>
      <c r="T321" s="347">
        <v>4265</v>
      </c>
      <c r="U321" s="348">
        <v>313</v>
      </c>
      <c r="V321" s="348">
        <v>7774</v>
      </c>
      <c r="W321" s="348">
        <v>975</v>
      </c>
      <c r="X321" s="348">
        <v>26</v>
      </c>
      <c r="Y321" s="348">
        <v>68</v>
      </c>
    </row>
    <row r="322">
      <c r="A322" s="324"/>
      <c r="B322" s="325" t="s">
        <v>260</v>
      </c>
      <c r="C322" s="327" t="s">
        <v>235</v>
      </c>
      <c r="D322" s="326">
        <f t="shared" si="184"/>
      </c>
      <c r="E322" s="327">
        <v>1059.98</v>
      </c>
      <c r="F322" s="327">
        <v>1603.04</v>
      </c>
      <c r="G322" s="327">
        <v>1533.95</v>
      </c>
      <c r="H322" s="328">
        <v>10</v>
      </c>
      <c r="I322" s="327">
        <v>4424.879999999997</v>
      </c>
      <c r="J322" s="329">
        <f t="shared" si="254"/>
      </c>
      <c r="K322" s="329">
        <f t="shared" si="292"/>
      </c>
      <c r="L322" s="329">
        <f t="shared" si="327"/>
      </c>
      <c r="M322" s="331">
        <f t="shared" si="20"/>
      </c>
      <c r="N322" s="332">
        <f t="shared" si="86"/>
      </c>
      <c r="O322" s="333">
        <f t="shared" si="116"/>
      </c>
      <c r="P322" s="332">
        <f t="shared" si="52"/>
      </c>
      <c r="Q322" s="334" t="s">
        <v>255</v>
      </c>
      <c r="R322" s="370" t="s">
        <v>261</v>
      </c>
      <c r="S322" s="347">
        <v>80545</v>
      </c>
      <c r="T322" s="347">
        <v>2651</v>
      </c>
      <c r="U322" s="348">
        <v>264</v>
      </c>
      <c r="V322" s="348">
        <v>4155</v>
      </c>
      <c r="W322" s="348">
        <v>394</v>
      </c>
      <c r="X322" s="348">
        <v>23</v>
      </c>
      <c r="Y322" s="348">
        <v>49</v>
      </c>
    </row>
    <row r="323">
      <c r="A323" s="324"/>
      <c r="B323" s="325" t="s">
        <v>260</v>
      </c>
      <c r="C323" s="326" t="s">
        <v>236</v>
      </c>
      <c r="D323" s="326">
        <f t="shared" si="184"/>
      </c>
      <c r="E323" s="327">
        <v>832.32</v>
      </c>
      <c r="F323" s="327">
        <v>2684.4</v>
      </c>
      <c r="G323" s="327">
        <v>1479.82</v>
      </c>
      <c r="H323" s="328">
        <v>17</v>
      </c>
      <c r="I323" s="327">
        <v>5916</v>
      </c>
      <c r="J323" s="329">
        <f t="shared" si="254"/>
      </c>
      <c r="K323" s="329">
        <f t="shared" si="292"/>
      </c>
      <c r="L323" s="329">
        <f t="shared" si="327"/>
      </c>
      <c r="M323" s="331">
        <f t="shared" si="20"/>
      </c>
      <c r="N323" s="332">
        <f t="shared" si="86"/>
      </c>
      <c r="O323" s="333">
        <f t="shared" si="116"/>
      </c>
      <c r="P323" s="332">
        <f t="shared" si="52"/>
      </c>
      <c r="Q323" s="334" t="s">
        <v>255</v>
      </c>
      <c r="R323" s="370" t="s">
        <v>261</v>
      </c>
      <c r="S323" s="347">
        <v>121791</v>
      </c>
      <c r="T323" s="347">
        <v>3145</v>
      </c>
      <c r="U323" s="348">
        <v>318</v>
      </c>
      <c r="V323" s="348">
        <v>4200</v>
      </c>
      <c r="W323" s="348">
        <v>375</v>
      </c>
      <c r="X323" s="348">
        <v>30</v>
      </c>
      <c r="Y323" s="348">
        <v>61</v>
      </c>
    </row>
    <row r="324">
      <c r="A324" s="324"/>
      <c r="B324" s="339" t="s">
        <v>232</v>
      </c>
      <c r="C324" s="339"/>
      <c r="D324" s="340">
        <f>SUM(D320:D323)</f>
      </c>
      <c r="E324" s="340">
        <f>SUM(E320:E323)</f>
      </c>
      <c r="F324" s="340">
        <f>SUM(F320:G323)</f>
      </c>
      <c r="G324" s="340"/>
      <c r="H324" s="341">
        <f>SUM(H320:H323)</f>
      </c>
      <c r="I324" s="340">
        <f>SUM(I320:I323)</f>
      </c>
      <c r="J324" s="342">
        <f t="shared" si="254"/>
      </c>
      <c r="K324" s="343">
        <f t="shared" si="292"/>
      </c>
      <c r="L324" s="344">
        <f t="shared" si="327"/>
      </c>
      <c r="M324" s="345">
        <f t="shared" si="20"/>
      </c>
      <c r="N324" s="345">
        <f t="shared" si="86"/>
      </c>
      <c r="O324" s="346">
        <f t="shared" si="116"/>
      </c>
      <c r="P324" s="345">
        <f t="shared" si="52"/>
      </c>
      <c r="Q324" s="346"/>
      <c r="R324" s="346"/>
      <c r="S324" s="341">
        <f>SUM(S320:S323)</f>
      </c>
      <c r="T324" s="341">
        <f>SUM(T320:T323)</f>
      </c>
      <c r="U324" s="341">
        <f>SUM(U320:U323)</f>
      </c>
      <c r="V324" s="341">
        <f>SUM(V320:V323)</f>
      </c>
      <c r="W324" s="341">
        <f>SUM(W320:W323)</f>
      </c>
      <c r="X324" s="341">
        <f>SUM(X320:X323)</f>
      </c>
      <c r="Y324" s="341">
        <f>SUM(Y320:Y323)</f>
      </c>
    </row>
    <row r="325">
      <c r="A325" s="324"/>
      <c r="B325" s="325" t="s">
        <v>257</v>
      </c>
      <c r="C325" s="327" t="s">
        <v>237</v>
      </c>
      <c r="D325" s="326">
        <f t="shared" ref="D325:D328" si="185">E325+G325+F325</f>
      </c>
      <c r="E325" s="326">
        <v>780.22</v>
      </c>
      <c r="F325" s="326">
        <v>1582.8</v>
      </c>
      <c r="G325" s="326">
        <v>1433.2</v>
      </c>
      <c r="H325" s="338">
        <v>10</v>
      </c>
      <c r="I325" s="326">
        <v>3996.6199999999953</v>
      </c>
      <c r="J325" s="329">
        <f t="shared" si="254"/>
      </c>
      <c r="K325" s="329">
        <f t="shared" si="292"/>
      </c>
      <c r="L325" s="329">
        <f t="shared" si="327"/>
      </c>
      <c r="M325" s="331">
        <f t="shared" si="20"/>
      </c>
      <c r="N325" s="332">
        <f t="shared" si="86"/>
      </c>
      <c r="O325" s="333">
        <f t="shared" si="116"/>
      </c>
      <c r="P325" s="332">
        <f t="shared" si="52"/>
      </c>
      <c r="Q325" s="334" t="s">
        <v>258</v>
      </c>
      <c r="R325" s="370" t="s">
        <v>261</v>
      </c>
      <c r="S325" s="347">
        <v>98379</v>
      </c>
      <c r="T325" s="347">
        <v>2715</v>
      </c>
      <c r="U325" s="348">
        <v>283</v>
      </c>
      <c r="V325" s="348">
        <v>3481</v>
      </c>
      <c r="W325" s="348">
        <v>340</v>
      </c>
      <c r="X325" s="348">
        <v>69</v>
      </c>
      <c r="Y325" s="348">
        <v>56</v>
      </c>
    </row>
    <row r="326">
      <c r="A326" s="324"/>
      <c r="B326" s="325" t="s">
        <v>257</v>
      </c>
      <c r="C326" s="327" t="s">
        <v>239</v>
      </c>
      <c r="D326" s="326">
        <f t="shared" si="185"/>
      </c>
      <c r="E326" s="326">
        <v>2593.62</v>
      </c>
      <c r="F326" s="326">
        <v>1521.56</v>
      </c>
      <c r="G326" s="326">
        <v>393</v>
      </c>
      <c r="H326" s="338">
        <v>10</v>
      </c>
      <c r="I326" s="326">
        <v>3016.8600000000006</v>
      </c>
      <c r="J326" s="329">
        <f t="shared" si="254"/>
      </c>
      <c r="K326" s="329">
        <f t="shared" si="292"/>
      </c>
      <c r="L326" s="329">
        <f t="shared" si="327"/>
      </c>
      <c r="M326" s="331">
        <f t="shared" si="20"/>
      </c>
      <c r="N326" s="332">
        <f t="shared" si="86"/>
      </c>
      <c r="O326" s="333">
        <f t="shared" si="116"/>
      </c>
      <c r="P326" s="332">
        <f t="shared" si="52"/>
      </c>
      <c r="Q326" s="334" t="s">
        <v>258</v>
      </c>
      <c r="R326" s="350" t="s">
        <v>227</v>
      </c>
      <c r="S326" s="347">
        <v>97611</v>
      </c>
      <c r="T326" s="347">
        <v>4996</v>
      </c>
      <c r="U326" s="348">
        <v>296</v>
      </c>
      <c r="V326" s="348">
        <v>8927</v>
      </c>
      <c r="W326" s="348">
        <v>811</v>
      </c>
      <c r="X326" s="348">
        <v>21</v>
      </c>
      <c r="Y326" s="348">
        <v>59</v>
      </c>
    </row>
    <row customHeight="true" ht="16.666666666666668" r="327">
      <c r="A327" s="324"/>
      <c r="B327" s="325" t="s">
        <v>257</v>
      </c>
      <c r="C327" s="327" t="s">
        <v>241</v>
      </c>
      <c r="D327" s="326">
        <f t="shared" si="185"/>
      </c>
      <c r="E327" s="326">
        <v>4597.46</v>
      </c>
      <c r="F327" s="326">
        <v>1327.17</v>
      </c>
      <c r="G327" s="326">
        <v>1075.88</v>
      </c>
      <c r="H327" s="338">
        <v>23</v>
      </c>
      <c r="I327" s="326">
        <v>10878.380000000005</v>
      </c>
      <c r="J327" s="329">
        <f t="shared" si="254"/>
      </c>
      <c r="K327" s="329">
        <f t="shared" si="292"/>
      </c>
      <c r="L327" s="329">
        <f t="shared" si="327"/>
      </c>
      <c r="M327" s="331">
        <f t="shared" si="20"/>
      </c>
      <c r="N327" s="332">
        <f t="shared" si="86"/>
      </c>
      <c r="O327" s="333">
        <f t="shared" si="116"/>
      </c>
      <c r="P327" s="332">
        <f t="shared" si="52"/>
      </c>
      <c r="Q327" s="334" t="s">
        <v>258</v>
      </c>
      <c r="R327" s="350" t="s">
        <v>227</v>
      </c>
      <c r="S327" s="347">
        <v>178718</v>
      </c>
      <c r="T327" s="347">
        <v>10901</v>
      </c>
      <c r="U327" s="348">
        <v>483</v>
      </c>
      <c r="V327" s="348">
        <v>23136</v>
      </c>
      <c r="W327" s="348">
        <v>2432</v>
      </c>
      <c r="X327" s="348">
        <v>38</v>
      </c>
      <c r="Y327" s="348">
        <v>109</v>
      </c>
    </row>
    <row r="328">
      <c r="A328" s="324"/>
      <c r="B328" s="325" t="s">
        <v>257</v>
      </c>
      <c r="C328" s="327" t="s">
        <v>242</v>
      </c>
      <c r="D328" s="326">
        <f t="shared" si="185"/>
      </c>
      <c r="E328" s="326">
        <v>3134.49</v>
      </c>
      <c r="F328" s="326">
        <v>710.03</v>
      </c>
      <c r="G328" s="326">
        <v>678.76</v>
      </c>
      <c r="H328" s="338">
        <v>19</v>
      </c>
      <c r="I328" s="326">
        <v>7303.080000000002</v>
      </c>
      <c r="J328" s="329">
        <f t="shared" si="254"/>
      </c>
      <c r="K328" s="329">
        <f t="shared" si="292"/>
      </c>
      <c r="L328" s="329">
        <f t="shared" si="327"/>
      </c>
      <c r="M328" s="331">
        <f t="shared" si="20"/>
      </c>
      <c r="N328" s="332">
        <f t="shared" si="86"/>
      </c>
      <c r="O328" s="333">
        <f t="shared" si="116"/>
      </c>
      <c r="P328" s="332">
        <f t="shared" si="52"/>
      </c>
      <c r="Q328" s="334" t="s">
        <v>258</v>
      </c>
      <c r="R328" s="350" t="s">
        <v>227</v>
      </c>
      <c r="S328" s="347">
        <v>117310</v>
      </c>
      <c r="T328" s="347">
        <v>7753</v>
      </c>
      <c r="U328" s="348">
        <v>310</v>
      </c>
      <c r="V328" s="348">
        <v>17417</v>
      </c>
      <c r="W328" s="348">
        <v>2195</v>
      </c>
      <c r="X328" s="348">
        <v>28</v>
      </c>
      <c r="Y328" s="348">
        <v>69</v>
      </c>
    </row>
    <row r="329">
      <c r="A329" s="324"/>
      <c r="B329" s="339" t="s">
        <v>232</v>
      </c>
      <c r="C329" s="339"/>
      <c r="D329" s="340">
        <f>SUM(D325:D328)</f>
      </c>
      <c r="E329" s="340">
        <f>SUM(E325:E328)</f>
      </c>
      <c r="F329" s="340">
        <f>SUM(F325:G328)</f>
      </c>
      <c r="G329" s="340"/>
      <c r="H329" s="341">
        <f>SUM(H325:H328)</f>
      </c>
      <c r="I329" s="340">
        <f>SUM(I325:I328)</f>
      </c>
      <c r="J329" s="342">
        <f t="shared" si="254"/>
      </c>
      <c r="K329" s="343">
        <f t="shared" si="292"/>
      </c>
      <c r="L329" s="344">
        <f t="shared" si="327"/>
      </c>
      <c r="M329" s="345">
        <f t="shared" si="20"/>
      </c>
      <c r="N329" s="345">
        <f t="shared" si="86"/>
      </c>
      <c r="O329" s="346">
        <f t="shared" si="116"/>
      </c>
      <c r="P329" s="345">
        <f t="shared" si="52"/>
      </c>
      <c r="Q329" s="346"/>
      <c r="R329" s="346"/>
      <c r="S329" s="341">
        <f>SUM(S325:S328)</f>
      </c>
      <c r="T329" s="341">
        <f>SUM(T325:T328)</f>
      </c>
      <c r="U329" s="341">
        <f>SUM(U325:U328)</f>
      </c>
      <c r="V329" s="341">
        <f>SUM(V325:V328)</f>
      </c>
      <c r="W329" s="341">
        <f>SUM(W325:W328)</f>
      </c>
      <c r="X329" s="341">
        <f>SUM(X325:X328)</f>
      </c>
      <c r="Y329" s="341">
        <f>SUM(Y325:Y328)</f>
      </c>
    </row>
    <row r="330">
      <c r="A330" s="324"/>
      <c r="B330" s="325" t="s">
        <v>248</v>
      </c>
      <c r="C330" s="326" t="s">
        <v>244</v>
      </c>
      <c r="D330" s="326">
        <f t="shared" ref="D330:D331" si="186">E330+G330+F330</f>
      </c>
      <c r="E330" s="326">
        <v>1697.62</v>
      </c>
      <c r="F330" s="326">
        <v>506.63</v>
      </c>
      <c r="G330" s="327">
        <v>1272.71</v>
      </c>
      <c r="H330" s="328">
        <v>18</v>
      </c>
      <c r="I330" s="327">
        <v>5188.3399999999965</v>
      </c>
      <c r="J330" s="329">
        <f t="shared" si="254"/>
      </c>
      <c r="K330" s="329">
        <f t="shared" si="292"/>
      </c>
      <c r="L330" s="329">
        <f t="shared" si="327"/>
      </c>
      <c r="M330" s="331">
        <f t="shared" si="20"/>
      </c>
      <c r="N330" s="332">
        <f t="shared" si="86"/>
      </c>
      <c r="O330" s="333">
        <f t="shared" si="116"/>
      </c>
      <c r="P330" s="332">
        <f t="shared" si="52"/>
      </c>
      <c r="Q330" s="334" t="s">
        <v>258</v>
      </c>
      <c r="R330" s="350" t="s">
        <v>227</v>
      </c>
      <c r="S330" s="348">
        <v>97641</v>
      </c>
      <c r="T330" s="348">
        <v>4121</v>
      </c>
      <c r="U330" s="348">
        <v>245</v>
      </c>
      <c r="V330" s="348">
        <v>8566</v>
      </c>
      <c r="W330" s="348">
        <v>1102</v>
      </c>
      <c r="X330" s="348">
        <v>25</v>
      </c>
      <c r="Y330" s="348">
        <v>57</v>
      </c>
    </row>
    <row r="331">
      <c r="A331" s="324"/>
      <c r="B331" s="325" t="s">
        <v>248</v>
      </c>
      <c r="C331" s="327" t="s">
        <v>245</v>
      </c>
      <c r="D331" s="326">
        <f t="shared" si="186"/>
      </c>
      <c r="E331" s="326">
        <f>2174.35+5.91</f>
      </c>
      <c r="F331" s="327">
        <f>545.68+0.08+3.56</f>
      </c>
      <c r="G331" s="327">
        <f>476.88+3.19+0.01</f>
      </c>
      <c r="H331" s="328">
        <v>12</v>
      </c>
      <c r="I331" s="327">
        <v>5677.949999999997</v>
      </c>
      <c r="J331" s="329">
        <f t="shared" si="254"/>
      </c>
      <c r="K331" s="329">
        <f t="shared" si="292"/>
      </c>
      <c r="L331" s="329">
        <f t="shared" si="327"/>
      </c>
      <c r="M331" s="331">
        <f t="shared" si="20"/>
      </c>
      <c r="N331" s="332">
        <f t="shared" si="86"/>
      </c>
      <c r="O331" s="333">
        <f t="shared" si="116"/>
      </c>
      <c r="P331" s="332">
        <f t="shared" si="52"/>
      </c>
      <c r="Q331" s="334" t="s">
        <v>258</v>
      </c>
      <c r="R331" s="350" t="s">
        <v>227</v>
      </c>
      <c r="S331" s="361">
        <v>84080</v>
      </c>
      <c r="T331" s="361">
        <v>5524</v>
      </c>
      <c r="U331" s="362">
        <v>253</v>
      </c>
      <c r="V331" s="362">
        <v>14074</v>
      </c>
      <c r="W331" s="362">
        <v>1839</v>
      </c>
      <c r="X331" s="348">
        <v>25</v>
      </c>
      <c r="Y331" s="348">
        <v>70</v>
      </c>
    </row>
    <row r="332">
      <c r="A332" s="324"/>
      <c r="B332" s="339" t="s">
        <v>232</v>
      </c>
      <c r="C332" s="339"/>
      <c r="D332" s="340">
        <f>SUM(D330:D331)</f>
      </c>
      <c r="E332" s="340">
        <f>SUM(E330:E331)</f>
      </c>
      <c r="F332" s="340">
        <f>SUM(F330:G331)</f>
      </c>
      <c r="G332" s="340"/>
      <c r="H332" s="340">
        <f>SUM(H330:H331)</f>
      </c>
      <c r="I332" s="340">
        <f>SUM(I330:I331)</f>
      </c>
      <c r="J332" s="342">
        <f t="shared" si="254"/>
      </c>
      <c r="K332" s="343">
        <f t="shared" si="292"/>
      </c>
      <c r="L332" s="344">
        <f t="shared" si="327"/>
      </c>
      <c r="M332" s="345">
        <f t="shared" si="20"/>
      </c>
      <c r="N332" s="345">
        <f t="shared" si="86"/>
      </c>
      <c r="O332" s="346">
        <f t="shared" si="116"/>
      </c>
      <c r="P332" s="345">
        <f t="shared" si="52"/>
      </c>
      <c r="Q332" s="346"/>
      <c r="R332" s="351"/>
      <c r="S332" s="340">
        <f>SUM(S330:S331)</f>
      </c>
      <c r="T332" s="340">
        <f>SUM(T330:T331)</f>
      </c>
      <c r="U332" s="340">
        <f>SUM(U330:U331)</f>
      </c>
      <c r="V332" s="340">
        <f>SUM(V330:V331)</f>
      </c>
      <c r="W332" s="340">
        <f>SUM(W330:W331)</f>
      </c>
      <c r="X332" s="340">
        <f>SUM(X330:X331)</f>
      </c>
      <c r="Y332" s="340">
        <f>SUM(Y330:Y331)</f>
      </c>
    </row>
    <row r="333">
      <c r="A333" s="324"/>
      <c r="B333" s="353" t="s">
        <v>246</v>
      </c>
      <c r="C333" s="353"/>
      <c r="D333" s="354">
        <f>D332+D329+D324+D319</f>
      </c>
      <c r="E333" s="354">
        <f>E332+E329+E324+E319</f>
      </c>
      <c r="F333" s="354">
        <f>F332+F329+F324+F319</f>
      </c>
      <c r="G333" s="354"/>
      <c r="H333" s="355">
        <f>H332+H329+H324+H319</f>
      </c>
      <c r="I333" s="354">
        <f>I332+I329+I324+I319</f>
      </c>
      <c r="J333" s="356">
        <f t="shared" si="254"/>
      </c>
      <c r="K333" s="356">
        <f t="shared" si="292"/>
      </c>
      <c r="L333" s="356">
        <f t="shared" si="327"/>
      </c>
      <c r="M333" s="357">
        <f t="shared" si="20"/>
      </c>
      <c r="N333" s="357">
        <f t="shared" si="86"/>
      </c>
      <c r="O333" s="356">
        <f t="shared" si="116"/>
      </c>
      <c r="P333" s="357">
        <f t="shared" si="52"/>
      </c>
      <c r="Q333" s="358"/>
      <c r="R333" s="359"/>
      <c r="S333" s="381">
        <f>S332+S329+S324+S319</f>
      </c>
      <c r="T333" s="381">
        <f>T332+T329+T324+T319</f>
      </c>
      <c r="U333" s="381">
        <f>U332+U329+U324+U319</f>
      </c>
      <c r="V333" s="381">
        <f>V332+V329+V324+V319</f>
      </c>
      <c r="W333" s="381">
        <f>W332+W329+W324+W319</f>
      </c>
      <c r="X333" s="360">
        <f>X332+X329+X324+X319</f>
      </c>
      <c r="Y333" s="355">
        <f>Y332+Y329+Y324+Y319</f>
      </c>
    </row>
    <row r="334">
      <c r="A334" s="311" t="s">
        <v>195</v>
      </c>
      <c r="B334" s="311"/>
      <c r="C334" s="311"/>
      <c r="D334" s="312" t="s">
        <v>196</v>
      </c>
      <c r="E334" s="312"/>
      <c r="F334" s="312"/>
      <c r="G334" s="312"/>
      <c r="H334" s="312"/>
      <c r="I334" s="312"/>
      <c r="J334" s="312"/>
      <c r="K334" s="312"/>
      <c r="L334" s="312"/>
      <c r="M334" s="313" t="s">
        <v>197</v>
      </c>
      <c r="N334" s="313"/>
      <c r="O334" s="313"/>
      <c r="P334" s="313"/>
      <c r="Q334" s="313"/>
      <c r="R334" s="313"/>
      <c r="S334" s="314" t="s">
        <v>198</v>
      </c>
      <c r="T334" s="314"/>
      <c r="U334" s="314"/>
      <c r="V334" s="314"/>
      <c r="W334" s="314"/>
      <c r="X334" s="314"/>
      <c r="Y334" s="314"/>
    </row>
    <row r="335">
      <c r="A335" s="315" t="s">
        <v>199</v>
      </c>
      <c r="B335" s="311" t="s">
        <v>200</v>
      </c>
      <c r="C335" s="311" t="s">
        <v>201</v>
      </c>
      <c r="D335" s="312" t="s">
        <v>202</v>
      </c>
      <c r="E335" s="316" t="s">
        <v>203</v>
      </c>
      <c r="F335" s="312" t="s">
        <v>204</v>
      </c>
      <c r="G335" s="312"/>
      <c r="H335" s="317" t="s">
        <v>205</v>
      </c>
      <c r="I335" s="312" t="s">
        <v>206</v>
      </c>
      <c r="J335" s="318" t="s">
        <v>207</v>
      </c>
      <c r="K335" s="319" t="s">
        <v>208</v>
      </c>
      <c r="L335" s="312" t="s">
        <v>209</v>
      </c>
      <c r="M335" s="313" t="s">
        <v>210</v>
      </c>
      <c r="N335" s="313" t="s">
        <v>211</v>
      </c>
      <c r="O335" s="313" t="s">
        <v>212</v>
      </c>
      <c r="P335" s="320" t="s">
        <v>213</v>
      </c>
      <c r="Q335" s="321" t="s">
        <v>214</v>
      </c>
      <c r="R335" s="321" t="s">
        <v>215</v>
      </c>
      <c r="S335" s="366" t="s">
        <v>216</v>
      </c>
      <c r="T335" s="366" t="s">
        <v>217</v>
      </c>
      <c r="U335" s="323" t="s">
        <v>218</v>
      </c>
      <c r="V335" s="323" t="s">
        <v>219</v>
      </c>
      <c r="W335" s="323" t="s">
        <v>220</v>
      </c>
      <c r="X335" s="322" t="s">
        <v>221</v>
      </c>
      <c r="Y335" s="322" t="s">
        <v>222</v>
      </c>
    </row>
    <row r="336">
      <c r="A336" s="324" t="s">
        <v>277</v>
      </c>
      <c r="B336" s="325" t="s">
        <v>260</v>
      </c>
      <c r="C336" s="326" t="s">
        <v>225</v>
      </c>
      <c r="D336" s="326">
        <f t="shared" ref="D336:D340" si="187">E336+G336+F336</f>
      </c>
      <c r="E336" s="327">
        <v>2600.51</v>
      </c>
      <c r="F336" s="327">
        <v>4197.94</v>
      </c>
      <c r="G336" s="327">
        <v>0</v>
      </c>
      <c r="H336" s="328">
        <v>24</v>
      </c>
      <c r="I336" s="326">
        <v>12887.66</v>
      </c>
      <c r="J336" s="329">
        <f t="shared" ref="J336:J357" si="255">I336/D336</f>
      </c>
      <c r="K336" s="330">
        <f t="shared" ref="K336:K357" si="293">D336/H336</f>
      </c>
      <c r="L336" s="329">
        <f t="shared" ref="L336:L357" si="328">I336/H336</f>
      </c>
      <c r="M336" s="331">
        <f t="shared" ref="M336:M357" si="21">T336/S336</f>
      </c>
      <c r="N336" s="332">
        <f t="shared" ref="N336:N357" si="87">H336/X336</f>
      </c>
      <c r="O336" s="333">
        <f t="shared" ref="O336:O357" si="117">(Y336*1000)/D336</f>
      </c>
      <c r="P336" s="332">
        <f t="shared" ref="P336:P357" si="53">W336/V336</f>
      </c>
      <c r="Q336" s="334" t="s">
        <v>255</v>
      </c>
      <c r="R336" s="370" t="s">
        <v>261</v>
      </c>
      <c r="S336" s="336">
        <v>162261</v>
      </c>
      <c r="T336" s="336">
        <v>8493</v>
      </c>
      <c r="U336" s="368">
        <v>404</v>
      </c>
      <c r="V336" s="337">
        <v>13067</v>
      </c>
      <c r="W336" s="337">
        <v>1562</v>
      </c>
      <c r="X336" s="337">
        <v>36</v>
      </c>
      <c r="Y336" s="337">
        <v>66</v>
      </c>
    </row>
    <row r="337">
      <c r="A337" s="324"/>
      <c r="B337" s="325" t="s">
        <v>260</v>
      </c>
      <c r="C337" s="326" t="s">
        <v>228</v>
      </c>
      <c r="D337" s="326">
        <f t="shared" si="187"/>
      </c>
      <c r="E337" s="327">
        <v>2139.52</v>
      </c>
      <c r="F337" s="327">
        <v>5103.57</v>
      </c>
      <c r="G337" s="327">
        <v>0</v>
      </c>
      <c r="H337" s="328">
        <v>24</v>
      </c>
      <c r="I337" s="326">
        <v>9705.060000000001</v>
      </c>
      <c r="J337" s="329">
        <f t="shared" si="255"/>
      </c>
      <c r="K337" s="329">
        <f t="shared" si="293"/>
      </c>
      <c r="L337" s="330">
        <f t="shared" si="328"/>
      </c>
      <c r="M337" s="331">
        <f t="shared" si="21"/>
      </c>
      <c r="N337" s="332">
        <f t="shared" si="87"/>
      </c>
      <c r="O337" s="333">
        <f t="shared" si="117"/>
      </c>
      <c r="P337" s="332">
        <f t="shared" si="53"/>
      </c>
      <c r="Q337" s="334" t="s">
        <v>255</v>
      </c>
      <c r="R337" s="370" t="s">
        <v>261</v>
      </c>
      <c r="S337" s="369">
        <v>195443</v>
      </c>
      <c r="T337" s="369">
        <v>6358</v>
      </c>
      <c r="U337" s="337">
        <v>506</v>
      </c>
      <c r="V337" s="337">
        <v>10388</v>
      </c>
      <c r="W337" s="337">
        <v>1412</v>
      </c>
      <c r="X337" s="337">
        <v>44</v>
      </c>
      <c r="Y337" s="337">
        <v>74</v>
      </c>
    </row>
    <row r="338">
      <c r="A338" s="324"/>
      <c r="B338" s="325" t="s">
        <v>260</v>
      </c>
      <c r="C338" s="326" t="s">
        <v>229</v>
      </c>
      <c r="D338" s="326">
        <f t="shared" si="187"/>
      </c>
      <c r="E338" s="327">
        <v>4081.79</v>
      </c>
      <c r="F338" s="327">
        <v>1847.76</v>
      </c>
      <c r="G338" s="327">
        <v>0</v>
      </c>
      <c r="H338" s="338">
        <v>24</v>
      </c>
      <c r="I338" s="326">
        <v>15618.260000000002</v>
      </c>
      <c r="J338" s="329">
        <f t="shared" si="255"/>
      </c>
      <c r="K338" s="329">
        <f t="shared" si="293"/>
      </c>
      <c r="L338" s="329">
        <f t="shared" si="328"/>
      </c>
      <c r="M338" s="331">
        <f t="shared" si="21"/>
      </c>
      <c r="N338" s="332">
        <f t="shared" si="87"/>
      </c>
      <c r="O338" s="333">
        <f t="shared" si="117"/>
      </c>
      <c r="P338" s="332">
        <f t="shared" si="53"/>
      </c>
      <c r="Q338" s="334" t="s">
        <v>255</v>
      </c>
      <c r="R338" s="370" t="s">
        <v>261</v>
      </c>
      <c r="S338" s="336">
        <v>153029</v>
      </c>
      <c r="T338" s="336">
        <v>5329</v>
      </c>
      <c r="U338" s="337">
        <v>344</v>
      </c>
      <c r="V338" s="337">
        <v>8914</v>
      </c>
      <c r="W338" s="337">
        <v>1175</v>
      </c>
      <c r="X338" s="337">
        <v>32</v>
      </c>
      <c r="Y338" s="337">
        <v>73</v>
      </c>
    </row>
    <row r="339">
      <c r="A339" s="324"/>
      <c r="B339" s="325" t="s">
        <v>260</v>
      </c>
      <c r="C339" s="364" t="s">
        <v>230</v>
      </c>
      <c r="D339" s="326">
        <f t="shared" si="187"/>
      </c>
      <c r="E339" s="327">
        <v>2194.48</v>
      </c>
      <c r="F339" s="327">
        <v>6271.76</v>
      </c>
      <c r="G339" s="327">
        <v>0</v>
      </c>
      <c r="H339" s="338">
        <v>29</v>
      </c>
      <c r="I339" s="326">
        <v>14259.849999999999</v>
      </c>
      <c r="J339" s="329">
        <f t="shared" si="255"/>
      </c>
      <c r="K339" s="329">
        <f t="shared" si="293"/>
      </c>
      <c r="L339" s="329">
        <f t="shared" si="328"/>
      </c>
      <c r="M339" s="331">
        <f t="shared" si="21"/>
      </c>
      <c r="N339" s="332">
        <f t="shared" si="87"/>
      </c>
      <c r="O339" s="333">
        <f t="shared" si="117"/>
      </c>
      <c r="P339" s="332">
        <f t="shared" si="53"/>
      </c>
      <c r="Q339" s="334" t="s">
        <v>255</v>
      </c>
      <c r="R339" s="370" t="s">
        <v>261</v>
      </c>
      <c r="S339" s="336">
        <v>200431</v>
      </c>
      <c r="T339" s="336">
        <v>6281</v>
      </c>
      <c r="U339" s="337">
        <v>474</v>
      </c>
      <c r="V339" s="337">
        <v>9842</v>
      </c>
      <c r="W339" s="337">
        <v>1210</v>
      </c>
      <c r="X339" s="337">
        <v>54</v>
      </c>
      <c r="Y339" s="337">
        <v>76</v>
      </c>
    </row>
    <row r="340">
      <c r="A340" s="324"/>
      <c r="B340" s="325" t="s">
        <v>260</v>
      </c>
      <c r="C340" s="326" t="s">
        <v>231</v>
      </c>
      <c r="D340" s="326">
        <f t="shared" si="187"/>
      </c>
      <c r="E340" s="327">
        <v>4101.09</v>
      </c>
      <c r="F340" s="327">
        <v>2277.96</v>
      </c>
      <c r="G340" s="327">
        <v>0</v>
      </c>
      <c r="H340" s="338">
        <v>18</v>
      </c>
      <c r="I340" s="326">
        <v>9414.239999999998</v>
      </c>
      <c r="J340" s="329">
        <f t="shared" si="255"/>
      </c>
      <c r="K340" s="329">
        <f t="shared" si="293"/>
      </c>
      <c r="L340" s="329">
        <f t="shared" si="328"/>
      </c>
      <c r="M340" s="331">
        <f t="shared" si="21"/>
      </c>
      <c r="N340" s="332">
        <f t="shared" si="87"/>
      </c>
      <c r="O340" s="333">
        <f t="shared" si="117"/>
      </c>
      <c r="P340" s="332">
        <f t="shared" si="53"/>
      </c>
      <c r="Q340" s="334" t="s">
        <v>255</v>
      </c>
      <c r="R340" s="370" t="s">
        <v>261</v>
      </c>
      <c r="S340" s="336">
        <v>107016</v>
      </c>
      <c r="T340" s="336">
        <v>5963</v>
      </c>
      <c r="U340" s="337">
        <v>379</v>
      </c>
      <c r="V340" s="337">
        <v>11312</v>
      </c>
      <c r="W340" s="337">
        <v>1432</v>
      </c>
      <c r="X340" s="337">
        <v>26</v>
      </c>
      <c r="Y340" s="337">
        <v>91</v>
      </c>
    </row>
    <row r="341">
      <c r="A341" s="324"/>
      <c r="B341" s="339" t="s">
        <v>232</v>
      </c>
      <c r="C341" s="339"/>
      <c r="D341" s="340">
        <f>SUM(D336:D340)</f>
      </c>
      <c r="E341" s="340">
        <f>SUM(E336:E340)</f>
      </c>
      <c r="F341" s="340">
        <f>SUM(F336:G340)</f>
      </c>
      <c r="G341" s="340"/>
      <c r="H341" s="341">
        <f>SUM(H336:H340)</f>
      </c>
      <c r="I341" s="340">
        <f>SUM(I336:I340)</f>
      </c>
      <c r="J341" s="342">
        <f t="shared" si="255"/>
      </c>
      <c r="K341" s="343">
        <f t="shared" si="293"/>
      </c>
      <c r="L341" s="344">
        <f t="shared" si="328"/>
      </c>
      <c r="M341" s="345">
        <f t="shared" si="21"/>
      </c>
      <c r="N341" s="345">
        <f t="shared" si="87"/>
      </c>
      <c r="O341" s="346">
        <f t="shared" si="117"/>
      </c>
      <c r="P341" s="345">
        <f t="shared" si="53"/>
      </c>
      <c r="Q341" s="346"/>
      <c r="R341" s="346"/>
      <c r="S341" s="341">
        <f>SUM(S336:S340)</f>
      </c>
      <c r="T341" s="341">
        <f>SUM(T336:T340)</f>
      </c>
      <c r="U341" s="341">
        <f>SUM(U336:U340)</f>
      </c>
      <c r="V341" s="341">
        <f>SUM(V336:V340)</f>
      </c>
      <c r="W341" s="341">
        <f>SUM(W336:W340)</f>
      </c>
      <c r="X341" s="341">
        <f>SUM(X336:X340)</f>
      </c>
      <c r="Y341" s="341">
        <f>SUM(Y336:Y340)</f>
      </c>
    </row>
    <row r="342">
      <c r="A342" s="324"/>
      <c r="B342" s="325" t="s">
        <v>224</v>
      </c>
      <c r="C342" s="326" t="s">
        <v>234</v>
      </c>
      <c r="D342" s="326">
        <f t="shared" ref="D342:D345" si="188">E342+G342+F342</f>
      </c>
      <c r="E342" s="327">
        <v>3069.84</v>
      </c>
      <c r="F342" s="327">
        <v>1435.46</v>
      </c>
      <c r="G342" s="327">
        <v>0</v>
      </c>
      <c r="H342" s="338">
        <v>14</v>
      </c>
      <c r="I342" s="326">
        <v>5690.540000000001</v>
      </c>
      <c r="J342" s="329">
        <f t="shared" si="255"/>
      </c>
      <c r="K342" s="329">
        <f t="shared" si="293"/>
      </c>
      <c r="L342" s="329">
        <f t="shared" si="328"/>
      </c>
      <c r="M342" s="331">
        <f t="shared" si="21"/>
      </c>
      <c r="N342" s="332">
        <f t="shared" si="87"/>
      </c>
      <c r="O342" s="333">
        <f t="shared" si="117"/>
      </c>
      <c r="P342" s="332">
        <f t="shared" si="53"/>
      </c>
      <c r="Q342" s="334" t="s">
        <v>255</v>
      </c>
      <c r="R342" s="370" t="s">
        <v>261</v>
      </c>
      <c r="S342" s="347">
        <v>73890</v>
      </c>
      <c r="T342" s="347">
        <v>4873</v>
      </c>
      <c r="U342" s="348">
        <v>288</v>
      </c>
      <c r="V342" s="348">
        <v>9583</v>
      </c>
      <c r="W342" s="348">
        <v>1199</v>
      </c>
      <c r="X342" s="348">
        <v>22</v>
      </c>
      <c r="Y342" s="348">
        <v>63</v>
      </c>
    </row>
    <row r="343">
      <c r="A343" s="324"/>
      <c r="B343" s="325" t="s">
        <v>224</v>
      </c>
      <c r="C343" s="327" t="s">
        <v>235</v>
      </c>
      <c r="D343" s="326">
        <f t="shared" si="188"/>
      </c>
      <c r="E343" s="327">
        <v>3040.18</v>
      </c>
      <c r="F343" s="327">
        <v>1449.81</v>
      </c>
      <c r="G343" s="327">
        <v>0</v>
      </c>
      <c r="H343" s="328">
        <v>13</v>
      </c>
      <c r="I343" s="327">
        <v>7085.029999999999</v>
      </c>
      <c r="J343" s="329">
        <f t="shared" si="255"/>
      </c>
      <c r="K343" s="329">
        <f t="shared" si="293"/>
      </c>
      <c r="L343" s="329">
        <f t="shared" si="328"/>
      </c>
      <c r="M343" s="331">
        <f t="shared" si="21"/>
      </c>
      <c r="N343" s="332">
        <f t="shared" si="87"/>
      </c>
      <c r="O343" s="333">
        <f t="shared" si="117"/>
      </c>
      <c r="P343" s="332">
        <f t="shared" si="53"/>
      </c>
      <c r="Q343" s="334" t="s">
        <v>255</v>
      </c>
      <c r="R343" s="370" t="s">
        <v>261</v>
      </c>
      <c r="S343" s="347">
        <v>85111</v>
      </c>
      <c r="T343" s="347">
        <v>4639</v>
      </c>
      <c r="U343" s="348">
        <v>266</v>
      </c>
      <c r="V343" s="348">
        <v>8328</v>
      </c>
      <c r="W343" s="348">
        <v>924</v>
      </c>
      <c r="X343" s="348">
        <v>18</v>
      </c>
      <c r="Y343" s="348">
        <v>53</v>
      </c>
    </row>
    <row r="344">
      <c r="A344" s="324"/>
      <c r="B344" s="325" t="s">
        <v>224</v>
      </c>
      <c r="C344" s="326" t="s">
        <v>236</v>
      </c>
      <c r="D344" s="326">
        <f t="shared" si="188"/>
      </c>
      <c r="E344" s="327">
        <v>1375.71</v>
      </c>
      <c r="F344" s="327">
        <v>1527.35</v>
      </c>
      <c r="G344" s="327">
        <v>121.56</v>
      </c>
      <c r="H344" s="328">
        <v>9</v>
      </c>
      <c r="I344" s="327">
        <v>5595.050000000003</v>
      </c>
      <c r="J344" s="329">
        <f t="shared" si="255"/>
      </c>
      <c r="K344" s="329">
        <f t="shared" si="293"/>
      </c>
      <c r="L344" s="329">
        <f t="shared" si="328"/>
      </c>
      <c r="M344" s="331">
        <f t="shared" si="21"/>
      </c>
      <c r="N344" s="332">
        <f t="shared" si="87"/>
      </c>
      <c r="O344" s="333">
        <f t="shared" si="117"/>
      </c>
      <c r="P344" s="332">
        <f t="shared" si="53"/>
      </c>
      <c r="Q344" s="334" t="s">
        <v>255</v>
      </c>
      <c r="R344" s="370" t="s">
        <v>261</v>
      </c>
      <c r="S344" s="347">
        <v>68525</v>
      </c>
      <c r="T344" s="347">
        <v>2882</v>
      </c>
      <c r="U344" s="348">
        <v>210</v>
      </c>
      <c r="V344" s="348">
        <v>4450</v>
      </c>
      <c r="W344" s="348">
        <v>485</v>
      </c>
      <c r="X344" s="348">
        <v>13</v>
      </c>
      <c r="Y344" s="348">
        <v>37</v>
      </c>
    </row>
    <row r="345">
      <c r="A345" s="324"/>
      <c r="B345" s="325" t="s">
        <v>224</v>
      </c>
      <c r="C345" s="326" t="s">
        <v>237</v>
      </c>
      <c r="D345" s="326">
        <f t="shared" si="188"/>
      </c>
      <c r="E345" s="327">
        <v>870.24</v>
      </c>
      <c r="F345" s="327">
        <v>1143.06</v>
      </c>
      <c r="G345" s="327">
        <v>761.99</v>
      </c>
      <c r="H345" s="338">
        <v>6</v>
      </c>
      <c r="I345" s="327">
        <v>1733.2999999999884</v>
      </c>
      <c r="J345" s="329">
        <f t="shared" si="255"/>
      </c>
      <c r="K345" s="329">
        <f t="shared" si="293"/>
      </c>
      <c r="L345" s="329">
        <f t="shared" si="328"/>
      </c>
      <c r="M345" s="331">
        <f t="shared" si="21"/>
      </c>
      <c r="N345" s="332">
        <f t="shared" si="87"/>
      </c>
      <c r="O345" s="333">
        <f t="shared" si="117"/>
      </c>
      <c r="P345" s="332">
        <f t="shared" si="53"/>
      </c>
      <c r="Q345" s="334" t="s">
        <v>255</v>
      </c>
      <c r="R345" s="370" t="s">
        <v>261</v>
      </c>
      <c r="S345" s="347">
        <v>63877</v>
      </c>
      <c r="T345" s="347">
        <v>2285</v>
      </c>
      <c r="U345" s="348">
        <v>197</v>
      </c>
      <c r="V345" s="348">
        <v>3302</v>
      </c>
      <c r="W345" s="348">
        <v>315</v>
      </c>
      <c r="X345" s="348">
        <v>23</v>
      </c>
      <c r="Y345" s="348">
        <v>44</v>
      </c>
    </row>
    <row r="346">
      <c r="A346" s="324"/>
      <c r="B346" s="339" t="s">
        <v>232</v>
      </c>
      <c r="C346" s="339"/>
      <c r="D346" s="340">
        <f>SUM(D342:D345)</f>
      </c>
      <c r="E346" s="340">
        <f>SUM(E342:E345)</f>
      </c>
      <c r="F346" s="340">
        <f>SUM(F342:G345)</f>
      </c>
      <c r="G346" s="340"/>
      <c r="H346" s="341">
        <f>SUM(H342:H345)</f>
      </c>
      <c r="I346" s="340">
        <f>SUM(I342:I345)</f>
      </c>
      <c r="J346" s="342">
        <f t="shared" si="255"/>
      </c>
      <c r="K346" s="343">
        <f t="shared" si="293"/>
      </c>
      <c r="L346" s="344">
        <f t="shared" si="328"/>
      </c>
      <c r="M346" s="345">
        <f t="shared" si="21"/>
      </c>
      <c r="N346" s="345">
        <f t="shared" si="87"/>
      </c>
      <c r="O346" s="346">
        <f t="shared" si="117"/>
      </c>
      <c r="P346" s="345">
        <f t="shared" si="53"/>
      </c>
      <c r="Q346" s="346"/>
      <c r="R346" s="346"/>
      <c r="S346" s="341">
        <f>SUM(S342:S345)</f>
      </c>
      <c r="T346" s="341">
        <f>SUM(T342:T345)</f>
      </c>
      <c r="U346" s="341">
        <f>SUM(U342:U345)</f>
      </c>
      <c r="V346" s="341">
        <f>SUM(V342:V345)</f>
      </c>
      <c r="W346" s="341">
        <f>SUM(W342:W345)</f>
      </c>
      <c r="X346" s="341">
        <f>SUM(X342:X345)</f>
      </c>
      <c r="Y346" s="341">
        <f>SUM(Y342:Y345)</f>
      </c>
    </row>
    <row r="347">
      <c r="A347" s="324"/>
      <c r="B347" s="325" t="s">
        <v>248</v>
      </c>
      <c r="C347" s="327" t="s">
        <v>239</v>
      </c>
      <c r="D347" s="326">
        <f t="shared" ref="D347:D350" si="189">E347+G347+F347</f>
      </c>
      <c r="E347" s="327">
        <v>599.44</v>
      </c>
      <c r="F347" s="327">
        <v>1260.8</v>
      </c>
      <c r="G347" s="327">
        <v>908.87</v>
      </c>
      <c r="H347" s="338">
        <v>9</v>
      </c>
      <c r="I347" s="326">
        <v>2821.4800000000105</v>
      </c>
      <c r="J347" s="329">
        <f t="shared" si="255"/>
      </c>
      <c r="K347" s="329">
        <f t="shared" si="293"/>
      </c>
      <c r="L347" s="329">
        <f t="shared" si="328"/>
      </c>
      <c r="M347" s="331">
        <f t="shared" si="21"/>
      </c>
      <c r="N347" s="332">
        <f t="shared" si="87"/>
      </c>
      <c r="O347" s="333">
        <f t="shared" si="117"/>
      </c>
      <c r="P347" s="332">
        <f t="shared" si="53"/>
      </c>
      <c r="Q347" s="334" t="s">
        <v>258</v>
      </c>
      <c r="R347" s="370" t="s">
        <v>273</v>
      </c>
      <c r="S347" s="347">
        <v>66349</v>
      </c>
      <c r="T347" s="347">
        <v>1955</v>
      </c>
      <c r="U347" s="348">
        <v>170</v>
      </c>
      <c r="V347" s="348">
        <v>2670</v>
      </c>
      <c r="W347" s="348">
        <v>258</v>
      </c>
      <c r="X347" s="348">
        <v>25</v>
      </c>
      <c r="Y347" s="348">
        <v>36</v>
      </c>
    </row>
    <row r="348">
      <c r="A348" s="324"/>
      <c r="B348" s="325" t="s">
        <v>248</v>
      </c>
      <c r="C348" s="327" t="s">
        <v>241</v>
      </c>
      <c r="D348" s="326">
        <f t="shared" si="189"/>
      </c>
      <c r="E348" s="327">
        <v>280.97</v>
      </c>
      <c r="F348" s="327">
        <v>743.52</v>
      </c>
      <c r="G348" s="327">
        <v>723.33</v>
      </c>
      <c r="H348" s="338">
        <v>11</v>
      </c>
      <c r="I348" s="326">
        <v>4216.319999999992</v>
      </c>
      <c r="J348" s="329">
        <f t="shared" si="255"/>
      </c>
      <c r="K348" s="329">
        <f t="shared" si="293"/>
      </c>
      <c r="L348" s="329">
        <f t="shared" si="328"/>
      </c>
      <c r="M348" s="331">
        <f t="shared" si="21"/>
      </c>
      <c r="N348" s="332">
        <f t="shared" si="87"/>
      </c>
      <c r="O348" s="333">
        <f t="shared" si="117"/>
      </c>
      <c r="P348" s="332">
        <f t="shared" si="53"/>
      </c>
      <c r="Q348" s="334" t="s">
        <v>258</v>
      </c>
      <c r="R348" s="350" t="s">
        <v>273</v>
      </c>
      <c r="S348" s="347">
        <v>43425</v>
      </c>
      <c r="T348" s="347">
        <v>1530</v>
      </c>
      <c r="U348" s="348">
        <v>123</v>
      </c>
      <c r="V348" s="348">
        <v>1844</v>
      </c>
      <c r="W348" s="348">
        <v>167</v>
      </c>
      <c r="X348" s="348">
        <v>17</v>
      </c>
      <c r="Y348" s="348">
        <v>25</v>
      </c>
    </row>
    <row r="349">
      <c r="A349" s="324"/>
      <c r="B349" s="325" t="s">
        <v>248</v>
      </c>
      <c r="C349" s="327" t="s">
        <v>242</v>
      </c>
      <c r="D349" s="326">
        <f t="shared" si="189"/>
      </c>
      <c r="E349" s="327">
        <v>288.72</v>
      </c>
      <c r="F349" s="327">
        <v>581.19</v>
      </c>
      <c r="G349" s="327">
        <v>1120.72</v>
      </c>
      <c r="H349" s="338">
        <v>5</v>
      </c>
      <c r="I349" s="326">
        <v>2424.24000000002</v>
      </c>
      <c r="J349" s="329">
        <f t="shared" si="255"/>
      </c>
      <c r="K349" s="329">
        <f t="shared" si="293"/>
      </c>
      <c r="L349" s="329">
        <f t="shared" si="328"/>
      </c>
      <c r="M349" s="331">
        <f t="shared" si="21"/>
      </c>
      <c r="N349" s="332">
        <f t="shared" si="87"/>
      </c>
      <c r="O349" s="333">
        <f t="shared" si="117"/>
      </c>
      <c r="P349" s="332">
        <f t="shared" si="53"/>
      </c>
      <c r="Q349" s="334" t="s">
        <v>258</v>
      </c>
      <c r="R349" s="350" t="s">
        <v>273</v>
      </c>
      <c r="S349" s="347">
        <v>53387</v>
      </c>
      <c r="T349" s="347">
        <v>1486</v>
      </c>
      <c r="U349" s="348">
        <v>141</v>
      </c>
      <c r="V349" s="348">
        <v>1822</v>
      </c>
      <c r="W349" s="348">
        <v>173</v>
      </c>
      <c r="X349" s="348">
        <v>14</v>
      </c>
      <c r="Y349" s="348">
        <v>30</v>
      </c>
    </row>
    <row r="350">
      <c r="A350" s="324"/>
      <c r="B350" s="325" t="s">
        <v>248</v>
      </c>
      <c r="C350" s="326" t="s">
        <v>244</v>
      </c>
      <c r="D350" s="326">
        <f t="shared" si="189"/>
      </c>
      <c r="E350" s="327">
        <v>428.58</v>
      </c>
      <c r="F350" s="327">
        <v>1131.86</v>
      </c>
      <c r="G350" s="327">
        <v>692.64</v>
      </c>
      <c r="H350" s="338">
        <v>7</v>
      </c>
      <c r="I350" s="327">
        <v>3371.159999999989</v>
      </c>
      <c r="J350" s="329">
        <f t="shared" si="255"/>
      </c>
      <c r="K350" s="329">
        <f t="shared" si="293"/>
      </c>
      <c r="L350" s="329">
        <f t="shared" si="328"/>
      </c>
      <c r="M350" s="331">
        <f t="shared" si="21"/>
      </c>
      <c r="N350" s="332">
        <f t="shared" si="87"/>
      </c>
      <c r="O350" s="333">
        <f t="shared" si="117"/>
      </c>
      <c r="P350" s="332">
        <f t="shared" si="53"/>
      </c>
      <c r="Q350" s="334" t="s">
        <v>258</v>
      </c>
      <c r="R350" s="350" t="s">
        <v>273</v>
      </c>
      <c r="S350" s="347">
        <v>59894</v>
      </c>
      <c r="T350" s="347">
        <v>1816</v>
      </c>
      <c r="U350" s="348">
        <v>152</v>
      </c>
      <c r="V350" s="348">
        <v>2387</v>
      </c>
      <c r="W350" s="348">
        <v>235</v>
      </c>
      <c r="X350" s="348">
        <v>10</v>
      </c>
      <c r="Y350" s="348">
        <v>31</v>
      </c>
    </row>
    <row r="351">
      <c r="A351" s="324"/>
      <c r="B351" s="339" t="s">
        <v>232</v>
      </c>
      <c r="C351" s="339"/>
      <c r="D351" s="340">
        <f>SUM(D347:D350)</f>
      </c>
      <c r="E351" s="340">
        <f>SUM(E347:E350)</f>
      </c>
      <c r="F351" s="340">
        <f>SUM(F347:G350)</f>
      </c>
      <c r="G351" s="340"/>
      <c r="H351" s="341">
        <f>SUM(H347:H350)</f>
      </c>
      <c r="I351" s="340">
        <f>SUM(I347:I350)</f>
      </c>
      <c r="J351" s="342">
        <f t="shared" si="255"/>
      </c>
      <c r="K351" s="343">
        <f t="shared" si="293"/>
      </c>
      <c r="L351" s="344">
        <f t="shared" si="328"/>
      </c>
      <c r="M351" s="345">
        <f t="shared" si="21"/>
      </c>
      <c r="N351" s="345">
        <f t="shared" si="87"/>
      </c>
      <c r="O351" s="346">
        <f t="shared" si="117"/>
      </c>
      <c r="P351" s="345">
        <f t="shared" si="53"/>
      </c>
      <c r="Q351" s="346"/>
      <c r="R351" s="346"/>
      <c r="S351" s="341">
        <f>SUM(S347:S350)</f>
      </c>
      <c r="T351" s="341">
        <f>SUM(T347:T350)</f>
      </c>
      <c r="U351" s="341">
        <f>SUM(U347:U350)</f>
      </c>
      <c r="V351" s="341">
        <f>SUM(V347:V350)</f>
      </c>
      <c r="W351" s="341">
        <f>SUM(W347:W350)</f>
      </c>
      <c r="X351" s="341">
        <f>SUM(X347:X350)</f>
      </c>
      <c r="Y351" s="341">
        <f>SUM(Y347:Y350)</f>
      </c>
    </row>
    <row r="352">
      <c r="A352" s="324"/>
      <c r="B352" s="325" t="s">
        <v>257</v>
      </c>
      <c r="C352" s="327" t="s">
        <v>245</v>
      </c>
      <c r="D352" s="326">
        <f t="shared" ref="D352:D355" si="190">E352+G352+F352</f>
      </c>
      <c r="E352" s="327">
        <v>885.88</v>
      </c>
      <c r="F352" s="327">
        <v>364.68</v>
      </c>
      <c r="G352" s="327">
        <v>87.09</v>
      </c>
      <c r="H352" s="328">
        <v>4</v>
      </c>
      <c r="I352" s="327">
        <v>2243.6600000000035</v>
      </c>
      <c r="J352" s="329">
        <f t="shared" si="255"/>
      </c>
      <c r="K352" s="329">
        <f t="shared" si="293"/>
      </c>
      <c r="L352" s="329">
        <f t="shared" si="328"/>
      </c>
      <c r="M352" s="331">
        <f t="shared" si="21"/>
      </c>
      <c r="N352" s="332">
        <f t="shared" si="87"/>
      </c>
      <c r="O352" s="333">
        <f t="shared" si="117"/>
      </c>
      <c r="P352" s="332">
        <f t="shared" si="53"/>
      </c>
      <c r="Q352" s="334" t="s">
        <v>258</v>
      </c>
      <c r="R352" s="350" t="s">
        <v>273</v>
      </c>
      <c r="S352" s="348">
        <v>29870</v>
      </c>
      <c r="T352" s="348">
        <v>1579</v>
      </c>
      <c r="U352" s="348">
        <v>86</v>
      </c>
      <c r="V352" s="348">
        <v>2704</v>
      </c>
      <c r="W352" s="348">
        <v>286</v>
      </c>
      <c r="X352" s="348">
        <v>13</v>
      </c>
      <c r="Y352" s="348">
        <v>26</v>
      </c>
    </row>
    <row r="353">
      <c r="A353" s="324"/>
      <c r="B353" s="325" t="s">
        <v>257</v>
      </c>
      <c r="C353" s="327" t="s">
        <v>250</v>
      </c>
      <c r="D353" s="326">
        <f t="shared" si="190"/>
      </c>
      <c r="E353" s="327">
        <v>650.46</v>
      </c>
      <c r="F353" s="327">
        <v>952.53</v>
      </c>
      <c r="G353" s="327">
        <v>53.3</v>
      </c>
      <c r="H353" s="328">
        <v>7</v>
      </c>
      <c r="I353" s="327">
        <v>2864.279999999999</v>
      </c>
      <c r="J353" s="329">
        <f t="shared" si="255"/>
      </c>
      <c r="K353" s="329">
        <f t="shared" si="293"/>
      </c>
      <c r="L353" s="329">
        <f t="shared" si="328"/>
      </c>
      <c r="M353" s="331">
        <f t="shared" si="21"/>
      </c>
      <c r="N353" s="332">
        <f t="shared" si="87"/>
      </c>
      <c r="O353" s="333">
        <f t="shared" si="117"/>
      </c>
      <c r="P353" s="332">
        <f t="shared" si="53"/>
      </c>
      <c r="Q353" s="334" t="s">
        <v>258</v>
      </c>
      <c r="R353" s="350" t="s">
        <v>273</v>
      </c>
      <c r="S353" s="361">
        <v>33046</v>
      </c>
      <c r="T353" s="361">
        <v>1617</v>
      </c>
      <c r="U353" s="362">
        <v>125</v>
      </c>
      <c r="V353" s="362">
        <v>2357</v>
      </c>
      <c r="W353" s="362">
        <v>246</v>
      </c>
      <c r="X353" s="348">
        <v>9</v>
      </c>
      <c r="Y353" s="348">
        <v>39</v>
      </c>
    </row>
    <row r="354">
      <c r="A354" s="324"/>
      <c r="B354" s="325" t="s">
        <v>257</v>
      </c>
      <c r="C354" s="327" t="s">
        <v>264</v>
      </c>
      <c r="D354" s="326">
        <f t="shared" si="190"/>
      </c>
      <c r="E354" s="327">
        <v>734.21</v>
      </c>
      <c r="F354" s="327">
        <v>437.66</v>
      </c>
      <c r="G354" s="327">
        <v>3691.54</v>
      </c>
      <c r="H354" s="328">
        <v>28</v>
      </c>
      <c r="I354" s="327">
        <v>14612.919999999998</v>
      </c>
      <c r="J354" s="329">
        <f t="shared" si="255"/>
      </c>
      <c r="K354" s="329">
        <f t="shared" si="293"/>
      </c>
      <c r="L354" s="329">
        <f t="shared" si="328"/>
      </c>
      <c r="M354" s="331">
        <f t="shared" si="21"/>
      </c>
      <c r="N354" s="332">
        <f t="shared" si="87"/>
      </c>
      <c r="O354" s="333">
        <f t="shared" si="117"/>
      </c>
      <c r="P354" s="332">
        <f t="shared" si="53"/>
      </c>
      <c r="Q354" s="334" t="s">
        <v>258</v>
      </c>
      <c r="R354" s="350" t="s">
        <v>273</v>
      </c>
      <c r="S354" s="361">
        <v>112572</v>
      </c>
      <c r="T354" s="361">
        <v>4060</v>
      </c>
      <c r="U354" s="362">
        <v>318</v>
      </c>
      <c r="V354" s="362">
        <v>5049</v>
      </c>
      <c r="W354" s="362">
        <v>391</v>
      </c>
      <c r="X354" s="348">
        <v>34</v>
      </c>
      <c r="Y354" s="348">
        <v>62</v>
      </c>
    </row>
    <row r="355">
      <c r="A355" s="324"/>
      <c r="B355" s="325" t="s">
        <v>257</v>
      </c>
      <c r="C355" s="327" t="s">
        <v>266</v>
      </c>
      <c r="D355" s="326">
        <f t="shared" si="190"/>
      </c>
      <c r="E355" s="327">
        <v>1519.55</v>
      </c>
      <c r="F355" s="327">
        <v>3519</v>
      </c>
      <c r="G355" s="327">
        <f>958.28+0.56+1.45</f>
      </c>
      <c r="H355" s="328">
        <v>20</v>
      </c>
      <c r="I355" s="327">
        <v>13321.349999999991</v>
      </c>
      <c r="J355" s="329">
        <f t="shared" si="255"/>
      </c>
      <c r="K355" s="329">
        <f t="shared" si="293"/>
      </c>
      <c r="L355" s="329">
        <f t="shared" si="328"/>
      </c>
      <c r="M355" s="331">
        <f t="shared" si="21"/>
      </c>
      <c r="N355" s="332">
        <f t="shared" si="87"/>
      </c>
      <c r="O355" s="333">
        <f t="shared" si="117"/>
      </c>
      <c r="P355" s="332">
        <f t="shared" si="53"/>
      </c>
      <c r="Q355" s="334" t="s">
        <v>258</v>
      </c>
      <c r="R355" s="350" t="s">
        <v>273</v>
      </c>
      <c r="S355" s="361">
        <v>198874</v>
      </c>
      <c r="T355" s="361">
        <v>3739</v>
      </c>
      <c r="U355" s="362">
        <v>374</v>
      </c>
      <c r="V355" s="362">
        <v>5355</v>
      </c>
      <c r="W355" s="362">
        <v>570</v>
      </c>
      <c r="X355" s="348">
        <v>25</v>
      </c>
      <c r="Y355" s="348">
        <v>107</v>
      </c>
    </row>
    <row r="356">
      <c r="A356" s="324"/>
      <c r="B356" s="339" t="s">
        <v>232</v>
      </c>
      <c r="C356" s="339"/>
      <c r="D356" s="340">
        <f>SUM(D352:D355)</f>
      </c>
      <c r="E356" s="340">
        <f>SUM(E352:E355)</f>
      </c>
      <c r="F356" s="340">
        <f>SUM(F352:G355)</f>
      </c>
      <c r="G356" s="340"/>
      <c r="H356" s="340">
        <f>SUM(H352:H355)</f>
      </c>
      <c r="I356" s="340">
        <f>SUM(I352:I355)</f>
      </c>
      <c r="J356" s="342">
        <f t="shared" si="255"/>
      </c>
      <c r="K356" s="343">
        <f t="shared" si="293"/>
      </c>
      <c r="L356" s="344">
        <f t="shared" si="328"/>
      </c>
      <c r="M356" s="345">
        <f t="shared" si="21"/>
      </c>
      <c r="N356" s="345">
        <f t="shared" si="87"/>
      </c>
      <c r="O356" s="346">
        <f t="shared" si="117"/>
      </c>
      <c r="P356" s="345">
        <f t="shared" si="53"/>
      </c>
      <c r="Q356" s="346"/>
      <c r="R356" s="351"/>
      <c r="S356" s="340">
        <f>SUM(S352:S355)</f>
      </c>
      <c r="T356" s="340">
        <f>SUM(T352:T355)</f>
      </c>
      <c r="U356" s="340">
        <f>SUM(U352:U355)</f>
      </c>
      <c r="V356" s="340">
        <f>SUM(V352:V355)</f>
      </c>
      <c r="W356" s="340">
        <f>SUM(W352:W355)</f>
      </c>
      <c r="X356" s="340">
        <f>SUM(X352:X355)</f>
      </c>
      <c r="Y356" s="340">
        <f>SUM(Y352:Y355)</f>
      </c>
    </row>
    <row r="357">
      <c r="A357" s="324"/>
      <c r="B357" s="353" t="s">
        <v>246</v>
      </c>
      <c r="C357" s="353"/>
      <c r="D357" s="354">
        <f>D356+D351+D346+D341</f>
      </c>
      <c r="E357" s="354">
        <f>E356+E351+E346+E341</f>
      </c>
      <c r="F357" s="354">
        <f>F356+F351+F346+F341</f>
      </c>
      <c r="G357" s="354"/>
      <c r="H357" s="355">
        <f>H356+H351+H346+H341</f>
      </c>
      <c r="I357" s="354">
        <f>I356+I351+I346+I341</f>
      </c>
      <c r="J357" s="356">
        <f t="shared" si="255"/>
      </c>
      <c r="K357" s="356">
        <f t="shared" si="293"/>
      </c>
      <c r="L357" s="356">
        <f t="shared" si="328"/>
      </c>
      <c r="M357" s="357">
        <f t="shared" si="21"/>
      </c>
      <c r="N357" s="357">
        <f t="shared" si="87"/>
      </c>
      <c r="O357" s="356">
        <f t="shared" si="117"/>
      </c>
      <c r="P357" s="357">
        <f t="shared" si="53"/>
      </c>
      <c r="Q357" s="358"/>
      <c r="R357" s="359"/>
      <c r="S357" s="381">
        <f>S356+S351+S346+S341</f>
      </c>
      <c r="T357" s="381">
        <f>T356+T351+T346+T341</f>
      </c>
      <c r="U357" s="381">
        <f>U356+U351+U346+U341</f>
      </c>
      <c r="V357" s="381">
        <f>V356+V351+V346+V341</f>
      </c>
      <c r="W357" s="381">
        <f>W356+W351+W346+W341</f>
      </c>
      <c r="X357" s="360">
        <f>X356+X351+X346+X341</f>
      </c>
      <c r="Y357" s="355">
        <f>Y356+Y351+Y346+Y341</f>
      </c>
    </row>
    <row r="358">
      <c r="A358" s="311" t="s">
        <v>195</v>
      </c>
      <c r="B358" s="311"/>
      <c r="C358" s="311"/>
      <c r="D358" s="312" t="s">
        <v>196</v>
      </c>
      <c r="E358" s="312"/>
      <c r="F358" s="312"/>
      <c r="G358" s="312"/>
      <c r="H358" s="312"/>
      <c r="I358" s="312"/>
      <c r="J358" s="312"/>
      <c r="K358" s="312"/>
      <c r="L358" s="312"/>
      <c r="M358" s="313" t="s">
        <v>197</v>
      </c>
      <c r="N358" s="313"/>
      <c r="O358" s="313"/>
      <c r="P358" s="313"/>
      <c r="Q358" s="313"/>
      <c r="R358" s="313"/>
      <c r="S358" s="314" t="s">
        <v>198</v>
      </c>
      <c r="T358" s="314"/>
      <c r="U358" s="314"/>
      <c r="V358" s="314"/>
      <c r="W358" s="314"/>
      <c r="X358" s="314"/>
      <c r="Y358" s="314"/>
    </row>
    <row r="359">
      <c r="A359" s="315" t="s">
        <v>199</v>
      </c>
      <c r="B359" s="311" t="s">
        <v>200</v>
      </c>
      <c r="C359" s="311" t="s">
        <v>201</v>
      </c>
      <c r="D359" s="312" t="s">
        <v>202</v>
      </c>
      <c r="E359" s="316" t="s">
        <v>203</v>
      </c>
      <c r="F359" s="312" t="s">
        <v>204</v>
      </c>
      <c r="G359" s="312"/>
      <c r="H359" s="317" t="s">
        <v>205</v>
      </c>
      <c r="I359" s="312" t="s">
        <v>206</v>
      </c>
      <c r="J359" s="318" t="s">
        <v>207</v>
      </c>
      <c r="K359" s="319" t="s">
        <v>208</v>
      </c>
      <c r="L359" s="312" t="s">
        <v>209</v>
      </c>
      <c r="M359" s="313" t="s">
        <v>210</v>
      </c>
      <c r="N359" s="313" t="s">
        <v>211</v>
      </c>
      <c r="O359" s="313" t="s">
        <v>212</v>
      </c>
      <c r="P359" s="320" t="s">
        <v>213</v>
      </c>
      <c r="Q359" s="321" t="s">
        <v>214</v>
      </c>
      <c r="R359" s="321" t="s">
        <v>215</v>
      </c>
      <c r="S359" s="366" t="s">
        <v>216</v>
      </c>
      <c r="T359" s="366" t="s">
        <v>217</v>
      </c>
      <c r="U359" s="323" t="s">
        <v>218</v>
      </c>
      <c r="V359" s="323" t="s">
        <v>219</v>
      </c>
      <c r="W359" s="323" t="s">
        <v>220</v>
      </c>
      <c r="X359" s="322" t="s">
        <v>221</v>
      </c>
      <c r="Y359" s="322" t="s">
        <v>222</v>
      </c>
    </row>
    <row r="360">
      <c r="A360" s="324" t="s">
        <v>278</v>
      </c>
      <c r="B360" s="325" t="s">
        <v>260</v>
      </c>
      <c r="C360" s="326" t="s">
        <v>225</v>
      </c>
      <c r="D360" s="326">
        <f t="shared" ref="D360:D363" si="191">E360+G360+F360</f>
      </c>
      <c r="E360" s="327">
        <v>1212.42</v>
      </c>
      <c r="F360" s="327">
        <v>1221.86</v>
      </c>
      <c r="G360" s="327">
        <v>3776.15</v>
      </c>
      <c r="H360" s="328">
        <v>20</v>
      </c>
      <c r="I360" s="326">
        <v>11499.02</v>
      </c>
      <c r="J360" s="329">
        <f t="shared" ref="J360:J380" si="256">I360/D360</f>
      </c>
      <c r="K360" s="330">
        <f t="shared" ref="K360:K380" si="294">D360/H360</f>
      </c>
      <c r="L360" s="329">
        <f t="shared" ref="L360:L380" si="329">I360/H360</f>
      </c>
      <c r="M360" s="331">
        <f t="shared" ref="M360:M380" si="22">T360/S360</f>
      </c>
      <c r="N360" s="332">
        <f t="shared" ref="N360:N380" si="88">H360/X360</f>
      </c>
      <c r="O360" s="333">
        <f t="shared" ref="O360:O380" si="118">(Y360*1000)/D360</f>
      </c>
      <c r="P360" s="332">
        <f t="shared" ref="P360:P380" si="54">W360/V360</f>
      </c>
      <c r="Q360" s="334" t="s">
        <v>255</v>
      </c>
      <c r="R360" s="370" t="s">
        <v>261</v>
      </c>
      <c r="S360" s="336">
        <v>156144</v>
      </c>
      <c r="T360" s="336">
        <v>5892</v>
      </c>
      <c r="U360" s="368">
        <v>367</v>
      </c>
      <c r="V360" s="337">
        <v>7764</v>
      </c>
      <c r="W360" s="337">
        <v>800</v>
      </c>
      <c r="X360" s="337">
        <v>34</v>
      </c>
      <c r="Y360" s="337">
        <v>69</v>
      </c>
    </row>
    <row r="361">
      <c r="A361" s="324"/>
      <c r="B361" s="325" t="s">
        <v>260</v>
      </c>
      <c r="C361" s="326" t="s">
        <v>228</v>
      </c>
      <c r="D361" s="326">
        <f t="shared" si="191"/>
      </c>
      <c r="E361" s="327">
        <v>1645.5</v>
      </c>
      <c r="F361" s="327">
        <v>2825.96</v>
      </c>
      <c r="G361" s="327">
        <v>7841.26</v>
      </c>
      <c r="H361" s="328">
        <v>40</v>
      </c>
      <c r="I361" s="326">
        <v>19103.32</v>
      </c>
      <c r="J361" s="329">
        <f t="shared" si="256"/>
      </c>
      <c r="K361" s="329">
        <f t="shared" si="294"/>
      </c>
      <c r="L361" s="330">
        <f t="shared" si="329"/>
      </c>
      <c r="M361" s="331">
        <f t="shared" si="22"/>
      </c>
      <c r="N361" s="332">
        <f t="shared" si="88"/>
      </c>
      <c r="O361" s="333">
        <f t="shared" si="118"/>
      </c>
      <c r="P361" s="332">
        <f t="shared" si="54"/>
      </c>
      <c r="Q361" s="334" t="s">
        <v>255</v>
      </c>
      <c r="R361" s="370" t="s">
        <v>261</v>
      </c>
      <c r="S361" s="369">
        <v>286092</v>
      </c>
      <c r="T361" s="369">
        <v>6706</v>
      </c>
      <c r="U361" s="337">
        <v>625</v>
      </c>
      <c r="V361" s="337">
        <v>8956</v>
      </c>
      <c r="W361" s="337">
        <v>1071</v>
      </c>
      <c r="X361" s="337">
        <v>59</v>
      </c>
      <c r="Y361" s="337">
        <v>114</v>
      </c>
    </row>
    <row r="362">
      <c r="A362" s="324"/>
      <c r="B362" s="325" t="s">
        <v>260</v>
      </c>
      <c r="C362" s="326" t="s">
        <v>229</v>
      </c>
      <c r="D362" s="326">
        <f t="shared" si="191"/>
      </c>
      <c r="E362" s="327">
        <v>980.01</v>
      </c>
      <c r="F362" s="327">
        <v>1789.79</v>
      </c>
      <c r="G362" s="327">
        <v>3793.08</v>
      </c>
      <c r="H362" s="338">
        <v>34</v>
      </c>
      <c r="I362" s="326">
        <v>14194.8</v>
      </c>
      <c r="J362" s="329">
        <f t="shared" si="256"/>
      </c>
      <c r="K362" s="329">
        <f t="shared" si="294"/>
      </c>
      <c r="L362" s="329">
        <f t="shared" si="329"/>
      </c>
      <c r="M362" s="331">
        <f t="shared" si="22"/>
      </c>
      <c r="N362" s="332">
        <f t="shared" si="88"/>
      </c>
      <c r="O362" s="333">
        <f t="shared" si="118"/>
      </c>
      <c r="P362" s="332">
        <f t="shared" si="54"/>
      </c>
      <c r="Q362" s="334" t="s">
        <v>255</v>
      </c>
      <c r="R362" s="370" t="s">
        <v>261</v>
      </c>
      <c r="S362" s="336">
        <v>165199</v>
      </c>
      <c r="T362" s="336">
        <v>3941</v>
      </c>
      <c r="U362" s="337">
        <v>425</v>
      </c>
      <c r="V362" s="337">
        <v>5427</v>
      </c>
      <c r="W362" s="337">
        <v>718</v>
      </c>
      <c r="X362" s="337">
        <v>55</v>
      </c>
      <c r="Y362" s="337">
        <v>92</v>
      </c>
    </row>
    <row r="363">
      <c r="A363" s="324"/>
      <c r="B363" s="325" t="s">
        <v>260</v>
      </c>
      <c r="C363" s="364" t="s">
        <v>230</v>
      </c>
      <c r="D363" s="326">
        <f t="shared" si="191"/>
      </c>
      <c r="E363" s="327">
        <v>1133.33</v>
      </c>
      <c r="F363" s="327">
        <v>2996.05</v>
      </c>
      <c r="G363" s="327">
        <v>5564.71</v>
      </c>
      <c r="H363" s="338">
        <v>27</v>
      </c>
      <c r="I363" s="326">
        <v>11622.080000000002</v>
      </c>
      <c r="J363" s="329">
        <f t="shared" si="256"/>
      </c>
      <c r="K363" s="329">
        <f t="shared" si="294"/>
      </c>
      <c r="L363" s="329">
        <f t="shared" si="329"/>
      </c>
      <c r="M363" s="331">
        <f t="shared" si="22"/>
      </c>
      <c r="N363" s="332">
        <f t="shared" si="88"/>
      </c>
      <c r="O363" s="333">
        <f t="shared" si="118"/>
      </c>
      <c r="P363" s="332">
        <f t="shared" si="54"/>
      </c>
      <c r="Q363" s="334" t="s">
        <v>255</v>
      </c>
      <c r="R363" s="370" t="s">
        <v>261</v>
      </c>
      <c r="S363" s="336">
        <v>181457</v>
      </c>
      <c r="T363" s="336">
        <v>3093</v>
      </c>
      <c r="U363" s="337">
        <v>501</v>
      </c>
      <c r="V363" s="337">
        <v>4373</v>
      </c>
      <c r="W363" s="337">
        <v>617</v>
      </c>
      <c r="X363" s="337">
        <v>49</v>
      </c>
      <c r="Y363" s="337">
        <v>81</v>
      </c>
    </row>
    <row r="364">
      <c r="A364" s="324"/>
      <c r="B364" s="339" t="s">
        <v>232</v>
      </c>
      <c r="C364" s="339"/>
      <c r="D364" s="340">
        <f>SUM(D360:D363)</f>
      </c>
      <c r="E364" s="340">
        <f>SUM(E360:E363)</f>
      </c>
      <c r="F364" s="340">
        <f>SUM(F360:G363)</f>
      </c>
      <c r="G364" s="340"/>
      <c r="H364" s="341">
        <f>SUM(H360:H363)</f>
      </c>
      <c r="I364" s="340">
        <f>SUM(I360:I363)</f>
      </c>
      <c r="J364" s="342">
        <f t="shared" si="256"/>
      </c>
      <c r="K364" s="343">
        <f t="shared" si="294"/>
      </c>
      <c r="L364" s="344">
        <f t="shared" si="329"/>
      </c>
      <c r="M364" s="345">
        <f t="shared" si="22"/>
      </c>
      <c r="N364" s="345">
        <f t="shared" si="88"/>
      </c>
      <c r="O364" s="346">
        <f t="shared" si="118"/>
      </c>
      <c r="P364" s="345">
        <f t="shared" si="54"/>
      </c>
      <c r="Q364" s="346"/>
      <c r="R364" s="346"/>
      <c r="S364" s="341">
        <f>SUM(S360:S363)</f>
      </c>
      <c r="T364" s="341">
        <f>SUM(T360:T363)</f>
      </c>
      <c r="U364" s="341">
        <f>SUM(U360:U363)</f>
      </c>
      <c r="V364" s="341">
        <f>SUM(V360:V363)</f>
      </c>
      <c r="W364" s="341">
        <f>SUM(W360:W363)</f>
      </c>
      <c r="X364" s="341">
        <f>SUM(X360:X363)</f>
      </c>
      <c r="Y364" s="341">
        <f>SUM(Y360:Y363)</f>
      </c>
    </row>
    <row r="365">
      <c r="A365" s="324"/>
      <c r="B365" s="325" t="s">
        <v>257</v>
      </c>
      <c r="C365" s="327" t="s">
        <v>231</v>
      </c>
      <c r="D365" s="326">
        <f t="shared" ref="D365:D368" si="192">E365+G365+F365</f>
      </c>
      <c r="E365" s="327">
        <v>997.62</v>
      </c>
      <c r="F365" s="327">
        <v>2498.78</v>
      </c>
      <c r="G365" s="327">
        <v>5073.58</v>
      </c>
      <c r="H365" s="338">
        <v>30</v>
      </c>
      <c r="I365" s="326">
        <v>13570.979999999996</v>
      </c>
      <c r="J365" s="329">
        <f t="shared" si="256"/>
      </c>
      <c r="K365" s="329">
        <f t="shared" si="294"/>
      </c>
      <c r="L365" s="329">
        <f t="shared" si="329"/>
      </c>
      <c r="M365" s="331">
        <f t="shared" si="22"/>
      </c>
      <c r="N365" s="332">
        <f t="shared" si="88"/>
      </c>
      <c r="O365" s="333">
        <f t="shared" si="118"/>
      </c>
      <c r="P365" s="332">
        <f t="shared" si="54"/>
      </c>
      <c r="Q365" s="334" t="s">
        <v>255</v>
      </c>
      <c r="R365" s="370" t="s">
        <v>261</v>
      </c>
      <c r="S365" s="347">
        <v>187070</v>
      </c>
      <c r="T365" s="347">
        <v>2802</v>
      </c>
      <c r="U365" s="348">
        <v>496</v>
      </c>
      <c r="V365" s="348">
        <v>4071</v>
      </c>
      <c r="W365" s="348">
        <v>587</v>
      </c>
      <c r="X365" s="348">
        <v>47</v>
      </c>
      <c r="Y365" s="348">
        <v>120</v>
      </c>
    </row>
    <row r="366">
      <c r="A366" s="324"/>
      <c r="B366" s="325" t="s">
        <v>257</v>
      </c>
      <c r="C366" s="327" t="s">
        <v>234</v>
      </c>
      <c r="D366" s="326">
        <f t="shared" si="192"/>
      </c>
      <c r="E366" s="327">
        <v>2300.55</v>
      </c>
      <c r="F366" s="327">
        <v>3193.16</v>
      </c>
      <c r="G366" s="327">
        <v>5929.66</v>
      </c>
      <c r="H366" s="328">
        <v>37</v>
      </c>
      <c r="I366" s="327">
        <v>19839</v>
      </c>
      <c r="J366" s="329">
        <f t="shared" si="256"/>
      </c>
      <c r="K366" s="329">
        <f t="shared" si="294"/>
      </c>
      <c r="L366" s="329">
        <f t="shared" si="329"/>
      </c>
      <c r="M366" s="331">
        <f t="shared" si="22"/>
      </c>
      <c r="N366" s="332">
        <f t="shared" si="88"/>
      </c>
      <c r="O366" s="333">
        <f t="shared" si="118"/>
      </c>
      <c r="P366" s="332">
        <f t="shared" si="54"/>
      </c>
      <c r="Q366" s="334" t="s">
        <v>255</v>
      </c>
      <c r="R366" s="370" t="s">
        <v>261</v>
      </c>
      <c r="S366" s="347">
        <v>214691</v>
      </c>
      <c r="T366" s="347">
        <v>4061</v>
      </c>
      <c r="U366" s="348">
        <v>634</v>
      </c>
      <c r="V366" s="348">
        <v>6457</v>
      </c>
      <c r="W366" s="348">
        <v>880</v>
      </c>
      <c r="X366" s="348">
        <v>62</v>
      </c>
      <c r="Y366" s="348">
        <v>115</v>
      </c>
    </row>
    <row r="367">
      <c r="A367" s="324"/>
      <c r="B367" s="325" t="s">
        <v>257</v>
      </c>
      <c r="C367" s="326" t="s">
        <v>235</v>
      </c>
      <c r="D367" s="326">
        <f t="shared" si="192"/>
      </c>
      <c r="E367" s="327">
        <v>1710.46</v>
      </c>
      <c r="F367" s="327">
        <v>1259.74</v>
      </c>
      <c r="G367" s="327">
        <v>2494.89</v>
      </c>
      <c r="H367" s="328">
        <v>27</v>
      </c>
      <c r="I367" s="327">
        <v>14878.080000000002</v>
      </c>
      <c r="J367" s="329">
        <f t="shared" si="256"/>
      </c>
      <c r="K367" s="329">
        <f t="shared" si="294"/>
      </c>
      <c r="L367" s="329">
        <f t="shared" si="329"/>
      </c>
      <c r="M367" s="331">
        <f t="shared" si="22"/>
      </c>
      <c r="N367" s="332">
        <f t="shared" si="88"/>
      </c>
      <c r="O367" s="333">
        <f t="shared" si="118"/>
      </c>
      <c r="P367" s="332">
        <f t="shared" si="54"/>
      </c>
      <c r="Q367" s="334" t="s">
        <v>255</v>
      </c>
      <c r="R367" s="370" t="s">
        <v>261</v>
      </c>
      <c r="S367" s="347">
        <v>121708</v>
      </c>
      <c r="T367" s="347">
        <v>3022</v>
      </c>
      <c r="U367" s="348">
        <v>379</v>
      </c>
      <c r="V367" s="348">
        <v>5479</v>
      </c>
      <c r="W367" s="348">
        <v>803</v>
      </c>
      <c r="X367" s="348">
        <v>40</v>
      </c>
      <c r="Y367" s="348">
        <v>74</v>
      </c>
    </row>
    <row r="368">
      <c r="A368" s="324"/>
      <c r="B368" s="325" t="s">
        <v>257</v>
      </c>
      <c r="C368" s="326" t="s">
        <v>236</v>
      </c>
      <c r="D368" s="326">
        <f t="shared" si="192"/>
      </c>
      <c r="E368" s="327">
        <v>1849.16</v>
      </c>
      <c r="F368" s="327">
        <v>967.94</v>
      </c>
      <c r="G368" s="327">
        <v>2307.82</v>
      </c>
      <c r="H368" s="338">
        <v>20</v>
      </c>
      <c r="I368" s="327">
        <v>7497.360000000001</v>
      </c>
      <c r="J368" s="329">
        <f t="shared" si="256"/>
      </c>
      <c r="K368" s="329">
        <f t="shared" si="294"/>
      </c>
      <c r="L368" s="329">
        <f t="shared" si="329"/>
      </c>
      <c r="M368" s="331">
        <f t="shared" si="22"/>
      </c>
      <c r="N368" s="332">
        <f t="shared" si="88"/>
      </c>
      <c r="O368" s="333">
        <f t="shared" si="118"/>
      </c>
      <c r="P368" s="332">
        <f t="shared" si="54"/>
      </c>
      <c r="Q368" s="334" t="s">
        <v>255</v>
      </c>
      <c r="R368" s="370" t="s">
        <v>261</v>
      </c>
      <c r="S368" s="347">
        <v>91869</v>
      </c>
      <c r="T368" s="347">
        <v>3348</v>
      </c>
      <c r="U368" s="348">
        <v>358</v>
      </c>
      <c r="V368" s="348">
        <v>6058</v>
      </c>
      <c r="W368" s="348">
        <v>712</v>
      </c>
      <c r="X368" s="348">
        <v>29</v>
      </c>
      <c r="Y368" s="348">
        <v>75</v>
      </c>
    </row>
    <row r="369">
      <c r="A369" s="324"/>
      <c r="B369" s="339" t="s">
        <v>232</v>
      </c>
      <c r="C369" s="339"/>
      <c r="D369" s="340">
        <f>SUM(D365:D368)</f>
      </c>
      <c r="E369" s="340">
        <f>SUM(E365:E368)</f>
      </c>
      <c r="F369" s="340">
        <f>SUM(F365:G368)</f>
      </c>
      <c r="G369" s="340"/>
      <c r="H369" s="341">
        <f>SUM(H365:H368)</f>
      </c>
      <c r="I369" s="340">
        <f>SUM(I365:I368)</f>
      </c>
      <c r="J369" s="342">
        <f t="shared" si="256"/>
      </c>
      <c r="K369" s="343">
        <f t="shared" si="294"/>
      </c>
      <c r="L369" s="344">
        <f t="shared" si="329"/>
      </c>
      <c r="M369" s="345">
        <f t="shared" si="22"/>
      </c>
      <c r="N369" s="345">
        <f t="shared" si="88"/>
      </c>
      <c r="O369" s="346">
        <f t="shared" si="118"/>
      </c>
      <c r="P369" s="345">
        <f t="shared" si="54"/>
      </c>
      <c r="Q369" s="346"/>
      <c r="R369" s="346"/>
      <c r="S369" s="341">
        <f>SUM(S365:S368)</f>
      </c>
      <c r="T369" s="341">
        <f>SUM(T365:T368)</f>
      </c>
      <c r="U369" s="341">
        <f>SUM(U365:U368)</f>
      </c>
      <c r="V369" s="341">
        <f>SUM(V365:V368)</f>
      </c>
      <c r="W369" s="341">
        <f>SUM(W365:W368)</f>
      </c>
      <c r="X369" s="341">
        <f>SUM(X365:X368)</f>
      </c>
      <c r="Y369" s="341">
        <f>SUM(Y365:Y368)</f>
      </c>
    </row>
    <row r="370">
      <c r="A370" s="324"/>
      <c r="B370" s="325" t="s">
        <v>253</v>
      </c>
      <c r="C370" s="327" t="s">
        <v>237</v>
      </c>
      <c r="D370" s="326">
        <f t="shared" ref="D370:D373" si="193">E370+G370+F370</f>
      </c>
      <c r="E370" s="327">
        <v>1194.27</v>
      </c>
      <c r="F370" s="327">
        <v>1185.5</v>
      </c>
      <c r="G370" s="327">
        <v>1925.84</v>
      </c>
      <c r="H370" s="338">
        <v>9</v>
      </c>
      <c r="I370" s="326">
        <v>3338.5199999999895</v>
      </c>
      <c r="J370" s="329">
        <f t="shared" si="256"/>
      </c>
      <c r="K370" s="329">
        <f t="shared" si="294"/>
      </c>
      <c r="L370" s="329">
        <f t="shared" si="329"/>
      </c>
      <c r="M370" s="331">
        <f t="shared" si="22"/>
      </c>
      <c r="N370" s="332">
        <f t="shared" si="88"/>
      </c>
      <c r="O370" s="333">
        <f t="shared" si="118"/>
      </c>
      <c r="P370" s="332">
        <f t="shared" si="54"/>
      </c>
      <c r="Q370" s="334" t="s">
        <v>255</v>
      </c>
      <c r="R370" s="370" t="s">
        <v>261</v>
      </c>
      <c r="S370" s="347">
        <v>84786</v>
      </c>
      <c r="T370" s="347">
        <v>2506</v>
      </c>
      <c r="U370" s="348">
        <v>277</v>
      </c>
      <c r="V370" s="348">
        <v>4322</v>
      </c>
      <c r="W370" s="348">
        <v>497</v>
      </c>
      <c r="X370" s="348">
        <v>83</v>
      </c>
      <c r="Y370" s="348">
        <v>59</v>
      </c>
    </row>
    <row r="371">
      <c r="A371" s="324"/>
      <c r="B371" s="325" t="s">
        <v>253</v>
      </c>
      <c r="C371" s="327" t="s">
        <v>239</v>
      </c>
      <c r="D371" s="326">
        <f t="shared" si="193"/>
      </c>
      <c r="E371" s="327">
        <v>1395.28</v>
      </c>
      <c r="F371" s="327">
        <v>1151.24</v>
      </c>
      <c r="G371" s="327">
        <v>1696.6</v>
      </c>
      <c r="H371" s="338">
        <v>13</v>
      </c>
      <c r="I371" s="326">
        <v>7768.080000000002</v>
      </c>
      <c r="J371" s="329">
        <f t="shared" si="256"/>
      </c>
      <c r="K371" s="329">
        <f t="shared" si="294"/>
      </c>
      <c r="L371" s="329">
        <f t="shared" si="329"/>
      </c>
      <c r="M371" s="331">
        <f t="shared" si="22"/>
      </c>
      <c r="N371" s="332">
        <f t="shared" si="88"/>
      </c>
      <c r="O371" s="333">
        <f t="shared" si="118"/>
      </c>
      <c r="P371" s="332">
        <f t="shared" si="54"/>
      </c>
      <c r="Q371" s="334" t="s">
        <v>258</v>
      </c>
      <c r="R371" s="350" t="s">
        <v>227</v>
      </c>
      <c r="S371" s="347">
        <v>87626</v>
      </c>
      <c r="T371" s="347">
        <v>2409</v>
      </c>
      <c r="U371" s="348">
        <v>283</v>
      </c>
      <c r="V371" s="348">
        <v>4218</v>
      </c>
      <c r="W371" s="348">
        <v>481</v>
      </c>
      <c r="X371" s="348">
        <v>26</v>
      </c>
      <c r="Y371" s="348">
        <v>63</v>
      </c>
    </row>
    <row r="372">
      <c r="A372" s="324"/>
      <c r="B372" s="325" t="s">
        <v>253</v>
      </c>
      <c r="C372" s="327" t="s">
        <v>241</v>
      </c>
      <c r="D372" s="326">
        <f t="shared" si="193"/>
      </c>
      <c r="E372" s="327">
        <v>1518.9</v>
      </c>
      <c r="F372" s="327">
        <v>1406.48</v>
      </c>
      <c r="G372" s="327">
        <v>1520.13</v>
      </c>
      <c r="H372" s="338">
        <v>19</v>
      </c>
      <c r="I372" s="326">
        <v>7797.860000000015</v>
      </c>
      <c r="J372" s="329">
        <f t="shared" si="256"/>
      </c>
      <c r="K372" s="329">
        <f t="shared" si="294"/>
      </c>
      <c r="L372" s="329">
        <f t="shared" si="329"/>
      </c>
      <c r="M372" s="331">
        <f t="shared" si="22"/>
      </c>
      <c r="N372" s="332">
        <f t="shared" si="88"/>
      </c>
      <c r="O372" s="333">
        <f t="shared" si="118"/>
      </c>
      <c r="P372" s="332">
        <f t="shared" si="54"/>
      </c>
      <c r="Q372" s="334" t="s">
        <v>258</v>
      </c>
      <c r="R372" s="350" t="s">
        <v>227</v>
      </c>
      <c r="S372" s="347">
        <v>91114</v>
      </c>
      <c r="T372" s="347">
        <v>2573</v>
      </c>
      <c r="U372" s="348">
        <v>322</v>
      </c>
      <c r="V372" s="348">
        <v>4524</v>
      </c>
      <c r="W372" s="348">
        <v>553</v>
      </c>
      <c r="X372" s="348">
        <v>31</v>
      </c>
      <c r="Y372" s="348">
        <v>52</v>
      </c>
    </row>
    <row r="373">
      <c r="A373" s="324"/>
      <c r="B373" s="325" t="s">
        <v>253</v>
      </c>
      <c r="C373" s="326" t="s">
        <v>242</v>
      </c>
      <c r="D373" s="326">
        <f t="shared" si="193"/>
      </c>
      <c r="E373" s="327">
        <v>1768.34</v>
      </c>
      <c r="F373" s="327">
        <v>1776.47</v>
      </c>
      <c r="G373" s="327">
        <v>1895.28</v>
      </c>
      <c r="H373" s="338">
        <v>10</v>
      </c>
      <c r="I373" s="327">
        <v>4937.059999999998</v>
      </c>
      <c r="J373" s="329">
        <f t="shared" si="256"/>
      </c>
      <c r="K373" s="329">
        <f t="shared" si="294"/>
      </c>
      <c r="L373" s="329">
        <f t="shared" si="329"/>
      </c>
      <c r="M373" s="331">
        <f t="shared" si="22"/>
      </c>
      <c r="N373" s="332">
        <f t="shared" si="88"/>
      </c>
      <c r="O373" s="333">
        <f t="shared" si="118"/>
      </c>
      <c r="P373" s="332">
        <f t="shared" si="54"/>
      </c>
      <c r="Q373" s="334" t="s">
        <v>258</v>
      </c>
      <c r="R373" s="350" t="s">
        <v>227</v>
      </c>
      <c r="S373" s="347">
        <v>121457</v>
      </c>
      <c r="T373" s="347">
        <v>3096</v>
      </c>
      <c r="U373" s="348">
        <v>275</v>
      </c>
      <c r="V373" s="348">
        <v>5971</v>
      </c>
      <c r="W373" s="348">
        <v>667</v>
      </c>
      <c r="X373" s="348">
        <v>26</v>
      </c>
      <c r="Y373" s="348">
        <v>51</v>
      </c>
    </row>
    <row r="374">
      <c r="A374" s="324"/>
      <c r="B374" s="339" t="s">
        <v>232</v>
      </c>
      <c r="C374" s="339"/>
      <c r="D374" s="340">
        <f>SUM(D370:D373)</f>
      </c>
      <c r="E374" s="340">
        <f>SUM(E370:E373)</f>
      </c>
      <c r="F374" s="340">
        <f>SUM(F370:G373)</f>
      </c>
      <c r="G374" s="340"/>
      <c r="H374" s="341">
        <f>SUM(H370:H373)</f>
      </c>
      <c r="I374" s="340">
        <f>SUM(I370:I373)</f>
      </c>
      <c r="J374" s="342">
        <f t="shared" si="256"/>
      </c>
      <c r="K374" s="343">
        <f t="shared" si="294"/>
      </c>
      <c r="L374" s="344">
        <f t="shared" si="329"/>
      </c>
      <c r="M374" s="345">
        <f t="shared" si="22"/>
      </c>
      <c r="N374" s="345">
        <f t="shared" si="88"/>
      </c>
      <c r="O374" s="346">
        <f t="shared" si="118"/>
      </c>
      <c r="P374" s="345">
        <f t="shared" si="54"/>
      </c>
      <c r="Q374" s="346"/>
      <c r="R374" s="346"/>
      <c r="S374" s="341">
        <f>SUM(S370:S373)</f>
      </c>
      <c r="T374" s="341">
        <f>SUM(T370:T373)</f>
      </c>
      <c r="U374" s="341">
        <f>SUM(U370:U373)</f>
      </c>
      <c r="V374" s="341">
        <f>SUM(V370:V373)</f>
      </c>
      <c r="W374" s="341">
        <f>SUM(W370:W373)</f>
      </c>
      <c r="X374" s="341">
        <f>SUM(X370:X373)</f>
      </c>
      <c r="Y374" s="341">
        <f>SUM(Y370:Y373)</f>
      </c>
    </row>
    <row r="375">
      <c r="A375" s="324"/>
      <c r="B375" s="325" t="s">
        <v>248</v>
      </c>
      <c r="C375" s="327" t="s">
        <v>244</v>
      </c>
      <c r="D375" s="326">
        <f t="shared" ref="D375:D378" si="194">E375+G375+F375</f>
      </c>
      <c r="E375" s="327">
        <v>2240.74</v>
      </c>
      <c r="F375" s="327">
        <v>1428.44</v>
      </c>
      <c r="G375" s="327">
        <v>914.59</v>
      </c>
      <c r="H375" s="328">
        <v>16</v>
      </c>
      <c r="I375" s="327">
        <v>6655.559999999998</v>
      </c>
      <c r="J375" s="329">
        <f t="shared" si="256"/>
      </c>
      <c r="K375" s="329">
        <f t="shared" si="294"/>
      </c>
      <c r="L375" s="329">
        <f t="shared" si="329"/>
      </c>
      <c r="M375" s="331">
        <f t="shared" si="22"/>
      </c>
      <c r="N375" s="332">
        <f t="shared" si="88"/>
      </c>
      <c r="O375" s="333">
        <f t="shared" si="118"/>
      </c>
      <c r="P375" s="332">
        <f t="shared" si="54"/>
      </c>
      <c r="Q375" s="334" t="s">
        <v>258</v>
      </c>
      <c r="R375" s="350" t="s">
        <v>227</v>
      </c>
      <c r="S375" s="348">
        <v>101260</v>
      </c>
      <c r="T375" s="348">
        <v>3430</v>
      </c>
      <c r="U375" s="348">
        <v>307</v>
      </c>
      <c r="V375" s="348">
        <v>6903</v>
      </c>
      <c r="W375" s="348">
        <v>821</v>
      </c>
      <c r="X375" s="348">
        <v>28</v>
      </c>
      <c r="Y375" s="348">
        <v>60</v>
      </c>
    </row>
    <row r="376">
      <c r="A376" s="324"/>
      <c r="B376" s="325" t="s">
        <v>248</v>
      </c>
      <c r="C376" s="327" t="s">
        <v>245</v>
      </c>
      <c r="D376" s="326">
        <f t="shared" si="194"/>
      </c>
      <c r="E376" s="327">
        <v>1288.83</v>
      </c>
      <c r="F376" s="327">
        <v>1871.81</v>
      </c>
      <c r="G376" s="327">
        <v>680.02</v>
      </c>
      <c r="H376" s="328">
        <v>14</v>
      </c>
      <c r="I376" s="327">
        <v>7171.220000000001</v>
      </c>
      <c r="J376" s="329">
        <f t="shared" si="256"/>
      </c>
      <c r="K376" s="329">
        <f t="shared" si="294"/>
      </c>
      <c r="L376" s="329">
        <f t="shared" si="329"/>
      </c>
      <c r="M376" s="331">
        <f t="shared" si="22"/>
      </c>
      <c r="N376" s="332">
        <f t="shared" si="88"/>
      </c>
      <c r="O376" s="333">
        <f t="shared" si="118"/>
      </c>
      <c r="P376" s="332">
        <f t="shared" si="54"/>
      </c>
      <c r="Q376" s="334" t="s">
        <v>258</v>
      </c>
      <c r="R376" s="350" t="s">
        <v>227</v>
      </c>
      <c r="S376" s="361">
        <v>107857</v>
      </c>
      <c r="T376" s="361">
        <v>2579</v>
      </c>
      <c r="U376" s="362">
        <v>299</v>
      </c>
      <c r="V376" s="362">
        <v>4659</v>
      </c>
      <c r="W376" s="362">
        <v>598</v>
      </c>
      <c r="X376" s="348">
        <v>33</v>
      </c>
      <c r="Y376" s="348">
        <v>67</v>
      </c>
    </row>
    <row r="377">
      <c r="A377" s="324"/>
      <c r="B377" s="325" t="s">
        <v>248</v>
      </c>
      <c r="C377" s="327" t="s">
        <v>250</v>
      </c>
      <c r="D377" s="326">
        <f t="shared" si="194"/>
      </c>
      <c r="E377" s="327">
        <v>522.63</v>
      </c>
      <c r="F377" s="327">
        <v>1720.33</v>
      </c>
      <c r="G377" s="327">
        <v>1430.47</v>
      </c>
      <c r="H377" s="328">
        <v>15</v>
      </c>
      <c r="I377" s="327">
        <v>7111.520000000019</v>
      </c>
      <c r="J377" s="329">
        <f t="shared" si="256"/>
      </c>
      <c r="K377" s="329">
        <f t="shared" si="294"/>
      </c>
      <c r="L377" s="329">
        <f t="shared" si="329"/>
      </c>
      <c r="M377" s="331">
        <f t="shared" si="22"/>
      </c>
      <c r="N377" s="332">
        <f t="shared" si="88"/>
      </c>
      <c r="O377" s="333">
        <f t="shared" si="118"/>
      </c>
      <c r="P377" s="332">
        <f t="shared" si="54"/>
      </c>
      <c r="Q377" s="334" t="s">
        <v>258</v>
      </c>
      <c r="R377" s="350" t="s">
        <v>227</v>
      </c>
      <c r="S377" s="361">
        <v>97968</v>
      </c>
      <c r="T377" s="361">
        <v>1535</v>
      </c>
      <c r="U377" s="362">
        <v>245</v>
      </c>
      <c r="V377" s="362">
        <v>2323</v>
      </c>
      <c r="W377" s="362">
        <v>327</v>
      </c>
      <c r="X377" s="348">
        <v>30</v>
      </c>
      <c r="Y377" s="348">
        <v>68</v>
      </c>
    </row>
    <row r="378">
      <c r="A378" s="324"/>
      <c r="B378" s="325" t="s">
        <v>248</v>
      </c>
      <c r="C378" s="327" t="s">
        <v>264</v>
      </c>
      <c r="D378" s="326">
        <f t="shared" si="194"/>
      </c>
      <c r="E378" s="327">
        <v>770.45</v>
      </c>
      <c r="F378" s="327">
        <v>3379.04</v>
      </c>
      <c r="G378" s="327">
        <v>1413.94</v>
      </c>
      <c r="H378" s="328">
        <v>20</v>
      </c>
      <c r="I378" s="327">
        <v>8806.159999999974</v>
      </c>
      <c r="J378" s="329">
        <f t="shared" si="256"/>
      </c>
      <c r="K378" s="329">
        <f t="shared" si="294"/>
      </c>
      <c r="L378" s="329">
        <f t="shared" si="329"/>
      </c>
      <c r="M378" s="331">
        <f t="shared" si="22"/>
      </c>
      <c r="N378" s="332">
        <f t="shared" si="88"/>
      </c>
      <c r="O378" s="333">
        <f t="shared" si="118"/>
      </c>
      <c r="P378" s="332">
        <f t="shared" si="54"/>
      </c>
      <c r="Q378" s="334" t="s">
        <v>258</v>
      </c>
      <c r="R378" s="350" t="s">
        <v>227</v>
      </c>
      <c r="S378" s="361">
        <v>165621</v>
      </c>
      <c r="T378" s="361">
        <v>1760</v>
      </c>
      <c r="U378" s="362">
        <v>371</v>
      </c>
      <c r="V378" s="362">
        <v>3430</v>
      </c>
      <c r="W378" s="362">
        <v>427</v>
      </c>
      <c r="X378" s="348">
        <v>39</v>
      </c>
      <c r="Y378" s="348">
        <v>74</v>
      </c>
    </row>
    <row r="379">
      <c r="A379" s="324"/>
      <c r="B379" s="339" t="s">
        <v>232</v>
      </c>
      <c r="C379" s="339"/>
      <c r="D379" s="340">
        <f>SUM(D375:D378)</f>
      </c>
      <c r="E379" s="340">
        <f>SUM(E375:E378)</f>
      </c>
      <c r="F379" s="340">
        <f>SUM(F375:G378)</f>
      </c>
      <c r="G379" s="340"/>
      <c r="H379" s="340">
        <f>SUM(H375:H378)</f>
      </c>
      <c r="I379" s="340">
        <f>SUM(I375:I378)</f>
      </c>
      <c r="J379" s="342">
        <f t="shared" si="256"/>
      </c>
      <c r="K379" s="343">
        <f t="shared" si="294"/>
      </c>
      <c r="L379" s="344">
        <f t="shared" si="329"/>
      </c>
      <c r="M379" s="345">
        <f t="shared" si="22"/>
      </c>
      <c r="N379" s="345">
        <f t="shared" si="88"/>
      </c>
      <c r="O379" s="346">
        <f t="shared" si="118"/>
      </c>
      <c r="P379" s="345">
        <f t="shared" si="54"/>
      </c>
      <c r="Q379" s="346"/>
      <c r="R379" s="351"/>
      <c r="S379" s="340">
        <f>SUM(S375:S378)</f>
      </c>
      <c r="T379" s="340">
        <f>SUM(T375:T378)</f>
      </c>
      <c r="U379" s="340">
        <f>SUM(U375:U378)</f>
      </c>
      <c r="V379" s="340">
        <f>SUM(V375:V378)</f>
      </c>
      <c r="W379" s="340">
        <f>SUM(W375:W378)</f>
      </c>
      <c r="X379" s="340">
        <f>SUM(X375:X378)</f>
      </c>
      <c r="Y379" s="340">
        <f>SUM(Y375:Y378)</f>
      </c>
    </row>
    <row r="380">
      <c r="A380" s="324"/>
      <c r="B380" s="353" t="s">
        <v>246</v>
      </c>
      <c r="C380" s="353"/>
      <c r="D380" s="354">
        <f>D379+D374+D369+D364</f>
      </c>
      <c r="E380" s="354">
        <f>E379+E374+E369+E364</f>
      </c>
      <c r="F380" s="354">
        <f>F379+F374+F369+F364</f>
      </c>
      <c r="G380" s="354"/>
      <c r="H380" s="355">
        <f>H379+H374+H369+H364</f>
      </c>
      <c r="I380" s="354">
        <f>I379+I374+I369+I364</f>
      </c>
      <c r="J380" s="356">
        <f t="shared" si="256"/>
      </c>
      <c r="K380" s="356">
        <f t="shared" si="294"/>
      </c>
      <c r="L380" s="356">
        <f t="shared" si="329"/>
      </c>
      <c r="M380" s="357">
        <f t="shared" si="22"/>
      </c>
      <c r="N380" s="357">
        <f t="shared" si="88"/>
      </c>
      <c r="O380" s="356">
        <f t="shared" si="118"/>
      </c>
      <c r="P380" s="357">
        <f t="shared" si="54"/>
      </c>
      <c r="Q380" s="358"/>
      <c r="R380" s="359"/>
      <c r="S380" s="381">
        <f>S379+S374+S369+S364</f>
      </c>
      <c r="T380" s="381">
        <f>T379+T374+T369+T364</f>
      </c>
      <c r="U380" s="381">
        <f>U379+U374+U369+U364</f>
      </c>
      <c r="V380" s="381">
        <f>V379+V374+V369+V364</f>
      </c>
      <c r="W380" s="381">
        <f>W379+W374+W369+W364</f>
      </c>
      <c r="X380" s="360">
        <f>X379+X374+X369+X364</f>
      </c>
      <c r="Y380" s="355">
        <f>Y379+Y374+Y369+Y364</f>
      </c>
    </row>
    <row r="381">
      <c r="A381" s="311" t="s">
        <v>195</v>
      </c>
      <c r="B381" s="311"/>
      <c r="C381" s="311"/>
      <c r="D381" s="312" t="s">
        <v>196</v>
      </c>
      <c r="E381" s="312"/>
      <c r="F381" s="312"/>
      <c r="G381" s="312"/>
      <c r="H381" s="312"/>
      <c r="I381" s="312"/>
      <c r="J381" s="312"/>
      <c r="K381" s="312"/>
      <c r="L381" s="312"/>
      <c r="M381" s="313" t="s">
        <v>197</v>
      </c>
      <c r="N381" s="313"/>
      <c r="O381" s="313"/>
      <c r="P381" s="313"/>
      <c r="Q381" s="313"/>
      <c r="R381" s="313"/>
      <c r="S381" s="314" t="s">
        <v>198</v>
      </c>
      <c r="T381" s="314"/>
      <c r="U381" s="314"/>
      <c r="V381" s="314"/>
      <c r="W381" s="314"/>
      <c r="X381" s="314"/>
      <c r="Y381" s="314"/>
    </row>
    <row r="382">
      <c r="A382" s="315" t="s">
        <v>199</v>
      </c>
      <c r="B382" s="311" t="s">
        <v>200</v>
      </c>
      <c r="C382" s="311" t="s">
        <v>201</v>
      </c>
      <c r="D382" s="312" t="s">
        <v>202</v>
      </c>
      <c r="E382" s="316" t="s">
        <v>203</v>
      </c>
      <c r="F382" s="312" t="s">
        <v>204</v>
      </c>
      <c r="G382" s="312"/>
      <c r="H382" s="317" t="s">
        <v>205</v>
      </c>
      <c r="I382" s="312" t="s">
        <v>206</v>
      </c>
      <c r="J382" s="318" t="s">
        <v>207</v>
      </c>
      <c r="K382" s="319" t="s">
        <v>208</v>
      </c>
      <c r="L382" s="312" t="s">
        <v>209</v>
      </c>
      <c r="M382" s="313" t="s">
        <v>210</v>
      </c>
      <c r="N382" s="313" t="s">
        <v>211</v>
      </c>
      <c r="O382" s="313" t="s">
        <v>212</v>
      </c>
      <c r="P382" s="320" t="s">
        <v>213</v>
      </c>
      <c r="Q382" s="321" t="s">
        <v>214</v>
      </c>
      <c r="R382" s="321" t="s">
        <v>215</v>
      </c>
      <c r="S382" s="366" t="s">
        <v>216</v>
      </c>
      <c r="T382" s="366" t="s">
        <v>217</v>
      </c>
      <c r="U382" s="323" t="s">
        <v>218</v>
      </c>
      <c r="V382" s="323" t="s">
        <v>219</v>
      </c>
      <c r="W382" s="323" t="s">
        <v>220</v>
      </c>
      <c r="X382" s="322" t="s">
        <v>221</v>
      </c>
      <c r="Y382" s="322" t="s">
        <v>222</v>
      </c>
    </row>
    <row r="383">
      <c r="A383" s="324" t="s">
        <v>279</v>
      </c>
      <c r="B383" s="325" t="s">
        <v>224</v>
      </c>
      <c r="C383" s="326" t="s">
        <v>228</v>
      </c>
      <c r="D383" s="326">
        <f t="shared" ref="D383:D386" si="195">E383+G383+F383</f>
      </c>
      <c r="E383" s="327">
        <v>2094.13</v>
      </c>
      <c r="F383" s="327">
        <v>3431.55</v>
      </c>
      <c r="G383" s="327">
        <v>2007.9</v>
      </c>
      <c r="H383" s="328">
        <v>20</v>
      </c>
      <c r="I383" s="326">
        <v>9746.22</v>
      </c>
      <c r="J383" s="329">
        <f t="shared" ref="J383:J404" si="257">I383/D383</f>
      </c>
      <c r="K383" s="330">
        <f t="shared" ref="K383:K404" si="295">D383/H383</f>
      </c>
      <c r="L383" s="329">
        <f t="shared" ref="L383:L404" si="330">I383/H383</f>
      </c>
      <c r="M383" s="331">
        <f t="shared" ref="M383:M404" si="23">T383/S383</f>
      </c>
      <c r="N383" s="332">
        <f t="shared" ref="N383:N404" si="89">H383/X383</f>
      </c>
      <c r="O383" s="333">
        <f t="shared" ref="O383:O404" si="119">(Y383*1000)/D383</f>
      </c>
      <c r="P383" s="332">
        <f t="shared" ref="P383:P404" si="55">W383/V383</f>
      </c>
      <c r="Q383" s="334" t="s">
        <v>255</v>
      </c>
      <c r="R383" s="370" t="s">
        <v>261</v>
      </c>
      <c r="S383" s="336">
        <v>150120</v>
      </c>
      <c r="T383" s="336">
        <v>5417</v>
      </c>
      <c r="U383" s="368">
        <v>492</v>
      </c>
      <c r="V383" s="337">
        <v>9780</v>
      </c>
      <c r="W383" s="337">
        <v>1542</v>
      </c>
      <c r="X383" s="337">
        <v>39</v>
      </c>
      <c r="Y383" s="337">
        <v>96</v>
      </c>
    </row>
    <row r="384">
      <c r="A384" s="324"/>
      <c r="B384" s="325" t="s">
        <v>224</v>
      </c>
      <c r="C384" s="326" t="s">
        <v>229</v>
      </c>
      <c r="D384" s="326">
        <f t="shared" si="195"/>
      </c>
      <c r="E384" s="327">
        <v>1544.83</v>
      </c>
      <c r="F384" s="327">
        <v>2246.47</v>
      </c>
      <c r="G384" s="327">
        <v>817.42</v>
      </c>
      <c r="H384" s="328">
        <v>28</v>
      </c>
      <c r="I384" s="326">
        <v>12351.26</v>
      </c>
      <c r="J384" s="329">
        <f t="shared" si="257"/>
      </c>
      <c r="K384" s="329">
        <f t="shared" si="295"/>
      </c>
      <c r="L384" s="330">
        <f t="shared" si="330"/>
      </c>
      <c r="M384" s="331">
        <f t="shared" si="23"/>
      </c>
      <c r="N384" s="332">
        <f t="shared" si="89"/>
      </c>
      <c r="O384" s="333">
        <f t="shared" si="119"/>
      </c>
      <c r="P384" s="332">
        <f t="shared" si="55"/>
      </c>
      <c r="Q384" s="334" t="s">
        <v>255</v>
      </c>
      <c r="R384" s="370" t="s">
        <v>261</v>
      </c>
      <c r="S384" s="369">
        <v>85382</v>
      </c>
      <c r="T384" s="369">
        <v>2975</v>
      </c>
      <c r="U384" s="337">
        <v>320</v>
      </c>
      <c r="V384" s="337">
        <v>6077</v>
      </c>
      <c r="W384" s="337">
        <v>910</v>
      </c>
      <c r="X384" s="337">
        <v>48</v>
      </c>
      <c r="Y384" s="337">
        <v>67</v>
      </c>
    </row>
    <row r="385">
      <c r="A385" s="324"/>
      <c r="B385" s="325" t="s">
        <v>224</v>
      </c>
      <c r="C385" s="326" t="s">
        <v>230</v>
      </c>
      <c r="D385" s="326">
        <f t="shared" si="195"/>
      </c>
      <c r="E385" s="327">
        <v>2289.01</v>
      </c>
      <c r="F385" s="327">
        <v>4029.06</v>
      </c>
      <c r="G385" s="327">
        <v>0</v>
      </c>
      <c r="H385" s="338">
        <v>28</v>
      </c>
      <c r="I385" s="326">
        <v>10371.810000000001</v>
      </c>
      <c r="J385" s="329">
        <f t="shared" si="257"/>
      </c>
      <c r="K385" s="329">
        <f t="shared" si="295"/>
      </c>
      <c r="L385" s="329">
        <f t="shared" si="330"/>
      </c>
      <c r="M385" s="331">
        <f t="shared" si="23"/>
      </c>
      <c r="N385" s="332">
        <f t="shared" si="89"/>
      </c>
      <c r="O385" s="333">
        <f t="shared" si="119"/>
      </c>
      <c r="P385" s="332">
        <f t="shared" si="55"/>
      </c>
      <c r="Q385" s="334" t="s">
        <v>255</v>
      </c>
      <c r="R385" s="370" t="s">
        <v>261</v>
      </c>
      <c r="S385" s="336">
        <v>120747</v>
      </c>
      <c r="T385" s="336">
        <v>4644</v>
      </c>
      <c r="U385" s="337">
        <v>364</v>
      </c>
      <c r="V385" s="337">
        <v>9100</v>
      </c>
      <c r="W385" s="337">
        <v>1369</v>
      </c>
      <c r="X385" s="337">
        <v>38</v>
      </c>
      <c r="Y385" s="337">
        <v>86</v>
      </c>
    </row>
    <row r="386">
      <c r="A386" s="324"/>
      <c r="B386" s="325" t="s">
        <v>224</v>
      </c>
      <c r="C386" s="364" t="s">
        <v>231</v>
      </c>
      <c r="D386" s="326">
        <f t="shared" si="195"/>
      </c>
      <c r="E386" s="327">
        <v>1958.26</v>
      </c>
      <c r="F386" s="327">
        <v>2506.94</v>
      </c>
      <c r="G386" s="327">
        <v>0</v>
      </c>
      <c r="H386" s="338">
        <v>9</v>
      </c>
      <c r="I386" s="326">
        <v>2856.1399999999994</v>
      </c>
      <c r="J386" s="329">
        <f t="shared" si="257"/>
      </c>
      <c r="K386" s="329">
        <f t="shared" si="295"/>
      </c>
      <c r="L386" s="329">
        <f t="shared" si="330"/>
      </c>
      <c r="M386" s="331">
        <f t="shared" si="23"/>
      </c>
      <c r="N386" s="332">
        <f t="shared" si="89"/>
      </c>
      <c r="O386" s="333">
        <f t="shared" si="119"/>
      </c>
      <c r="P386" s="332">
        <f t="shared" si="55"/>
      </c>
      <c r="Q386" s="334" t="s">
        <v>255</v>
      </c>
      <c r="R386" s="370" t="s">
        <v>261</v>
      </c>
      <c r="S386" s="336">
        <v>76153</v>
      </c>
      <c r="T386" s="336">
        <v>3357</v>
      </c>
      <c r="U386" s="337">
        <v>242</v>
      </c>
      <c r="V386" s="337">
        <v>6984</v>
      </c>
      <c r="W386" s="337">
        <v>972</v>
      </c>
      <c r="X386" s="337">
        <v>15</v>
      </c>
      <c r="Y386" s="337">
        <v>58</v>
      </c>
    </row>
    <row r="387">
      <c r="A387" s="324"/>
      <c r="B387" s="339" t="s">
        <v>232</v>
      </c>
      <c r="C387" s="339"/>
      <c r="D387" s="340">
        <f>SUM(D383:D386)</f>
      </c>
      <c r="E387" s="340">
        <f>SUM(E383:E386)</f>
      </c>
      <c r="F387" s="340">
        <f>SUM(F383:G386)</f>
      </c>
      <c r="G387" s="340"/>
      <c r="H387" s="341">
        <f>SUM(H383:H386)</f>
      </c>
      <c r="I387" s="340">
        <f>SUM(I383:I386)</f>
      </c>
      <c r="J387" s="342">
        <f t="shared" si="257"/>
      </c>
      <c r="K387" s="343">
        <f t="shared" si="295"/>
      </c>
      <c r="L387" s="344">
        <f t="shared" si="330"/>
      </c>
      <c r="M387" s="345">
        <f t="shared" si="23"/>
      </c>
      <c r="N387" s="345">
        <f t="shared" si="89"/>
      </c>
      <c r="O387" s="346">
        <f t="shared" si="119"/>
      </c>
      <c r="P387" s="345">
        <f t="shared" si="55"/>
      </c>
      <c r="Q387" s="346"/>
      <c r="R387" s="346"/>
      <c r="S387" s="341">
        <f>SUM(S383:S386)</f>
      </c>
      <c r="T387" s="341">
        <f>SUM(T383:T386)</f>
      </c>
      <c r="U387" s="341">
        <f>SUM(U383:U386)</f>
      </c>
      <c r="V387" s="341">
        <f>SUM(V383:V386)</f>
      </c>
      <c r="W387" s="341">
        <f>SUM(W383:W386)</f>
      </c>
      <c r="X387" s="341">
        <f>SUM(X383:X386)</f>
      </c>
      <c r="Y387" s="341">
        <f>SUM(Y383:Y386)</f>
      </c>
    </row>
    <row r="388">
      <c r="A388" s="324"/>
      <c r="B388" s="325" t="s">
        <v>248</v>
      </c>
      <c r="C388" s="327" t="s">
        <v>234</v>
      </c>
      <c r="D388" s="326">
        <f t="shared" ref="D388:D391" si="196">E388+G388+F388</f>
      </c>
      <c r="E388" s="327">
        <v>1746.12</v>
      </c>
      <c r="F388" s="327">
        <v>1120.18</v>
      </c>
      <c r="G388" s="327">
        <v>0</v>
      </c>
      <c r="H388" s="338">
        <v>6</v>
      </c>
      <c r="I388" s="326">
        <v>3131.800000000003</v>
      </c>
      <c r="J388" s="329">
        <f t="shared" si="257"/>
      </c>
      <c r="K388" s="329">
        <f t="shared" si="295"/>
      </c>
      <c r="L388" s="329">
        <f t="shared" si="330"/>
      </c>
      <c r="M388" s="331">
        <f t="shared" si="23"/>
      </c>
      <c r="N388" s="332">
        <f t="shared" si="89"/>
      </c>
      <c r="O388" s="333">
        <f t="shared" si="119"/>
      </c>
      <c r="P388" s="332">
        <f t="shared" si="55"/>
      </c>
      <c r="Q388" s="334" t="s">
        <v>255</v>
      </c>
      <c r="R388" s="370" t="s">
        <v>261</v>
      </c>
      <c r="S388" s="347">
        <v>41021</v>
      </c>
      <c r="T388" s="347">
        <v>2836</v>
      </c>
      <c r="U388" s="348">
        <v>182</v>
      </c>
      <c r="V388" s="348">
        <v>6160</v>
      </c>
      <c r="W388" s="348">
        <v>829</v>
      </c>
      <c r="X388" s="348">
        <v>14</v>
      </c>
      <c r="Y388" s="348">
        <v>40</v>
      </c>
    </row>
    <row r="389">
      <c r="A389" s="324"/>
      <c r="B389" s="325" t="s">
        <v>248</v>
      </c>
      <c r="C389" s="327" t="s">
        <v>235</v>
      </c>
      <c r="D389" s="326">
        <f t="shared" si="196"/>
      </c>
      <c r="E389" s="327">
        <v>1788.86</v>
      </c>
      <c r="F389" s="327">
        <v>476.67</v>
      </c>
      <c r="G389" s="327">
        <v>0</v>
      </c>
      <c r="H389" s="328">
        <v>5</v>
      </c>
      <c r="I389" s="327">
        <v>1982.2799999999988</v>
      </c>
      <c r="J389" s="329">
        <f t="shared" si="257"/>
      </c>
      <c r="K389" s="329">
        <f t="shared" si="295"/>
      </c>
      <c r="L389" s="329">
        <f t="shared" si="330"/>
      </c>
      <c r="M389" s="331">
        <f t="shared" si="23"/>
      </c>
      <c r="N389" s="332">
        <f t="shared" si="89"/>
      </c>
      <c r="O389" s="333">
        <f t="shared" si="119"/>
      </c>
      <c r="P389" s="332">
        <f t="shared" si="55"/>
      </c>
      <c r="Q389" s="334" t="s">
        <v>255</v>
      </c>
      <c r="R389" s="370" t="s">
        <v>261</v>
      </c>
      <c r="S389" s="347">
        <v>35339</v>
      </c>
      <c r="T389" s="347">
        <v>2774</v>
      </c>
      <c r="U389" s="348">
        <v>195</v>
      </c>
      <c r="V389" s="348">
        <v>5646</v>
      </c>
      <c r="W389" s="348">
        <v>756</v>
      </c>
      <c r="X389" s="348">
        <v>15</v>
      </c>
      <c r="Y389" s="348">
        <v>41</v>
      </c>
    </row>
    <row r="390">
      <c r="A390" s="324"/>
      <c r="B390" s="325" t="s">
        <v>248</v>
      </c>
      <c r="C390" s="326" t="s">
        <v>236</v>
      </c>
      <c r="D390" s="326">
        <f t="shared" si="196"/>
      </c>
      <c r="E390" s="327">
        <v>183.74</v>
      </c>
      <c r="F390" s="327">
        <v>103.82</v>
      </c>
      <c r="G390" s="327">
        <v>0</v>
      </c>
      <c r="H390" s="328">
        <v>2</v>
      </c>
      <c r="I390" s="327">
        <v>430.08000000000175</v>
      </c>
      <c r="J390" s="329">
        <f t="shared" si="257"/>
      </c>
      <c r="K390" s="329">
        <f t="shared" si="295"/>
      </c>
      <c r="L390" s="329">
        <f t="shared" si="330"/>
      </c>
      <c r="M390" s="331">
        <f t="shared" si="23"/>
      </c>
      <c r="N390" s="332">
        <f t="shared" si="89"/>
      </c>
      <c r="O390" s="333">
        <f t="shared" si="119"/>
      </c>
      <c r="P390" s="332">
        <f t="shared" si="55"/>
      </c>
      <c r="Q390" s="334" t="s">
        <v>255</v>
      </c>
      <c r="R390" s="370" t="s">
        <v>261</v>
      </c>
      <c r="S390" s="347">
        <v>12315</v>
      </c>
      <c r="T390" s="347">
        <v>216</v>
      </c>
      <c r="U390" s="348">
        <v>23</v>
      </c>
      <c r="V390" s="348">
        <v>388</v>
      </c>
      <c r="W390" s="348">
        <v>47</v>
      </c>
      <c r="X390" s="348">
        <v>2</v>
      </c>
      <c r="Y390" s="348">
        <v>9</v>
      </c>
    </row>
    <row r="391">
      <c r="A391" s="324"/>
      <c r="B391" s="325" t="s">
        <v>248</v>
      </c>
      <c r="C391" s="326" t="s">
        <v>237</v>
      </c>
      <c r="D391" s="326">
        <f t="shared" si="196"/>
      </c>
      <c r="E391" s="327">
        <v>1077.8</v>
      </c>
      <c r="F391" s="327">
        <v>774.34</v>
      </c>
      <c r="G391" s="327">
        <v>0</v>
      </c>
      <c r="H391" s="338">
        <v>3</v>
      </c>
      <c r="I391" s="327">
        <v>1994.1599999999962</v>
      </c>
      <c r="J391" s="329">
        <f t="shared" si="257"/>
      </c>
      <c r="K391" s="329">
        <f t="shared" si="295"/>
      </c>
      <c r="L391" s="329">
        <f t="shared" si="330"/>
      </c>
      <c r="M391" s="331">
        <f t="shared" si="23"/>
      </c>
      <c r="N391" s="332">
        <f t="shared" si="89"/>
      </c>
      <c r="O391" s="333">
        <f t="shared" si="119"/>
      </c>
      <c r="P391" s="332">
        <f t="shared" si="55"/>
      </c>
      <c r="Q391" s="334" t="s">
        <v>255</v>
      </c>
      <c r="R391" s="370" t="s">
        <v>261</v>
      </c>
      <c r="S391" s="347">
        <v>46811</v>
      </c>
      <c r="T391" s="347">
        <v>2054</v>
      </c>
      <c r="U391" s="348">
        <v>139</v>
      </c>
      <c r="V391" s="348">
        <v>3716</v>
      </c>
      <c r="W391" s="348">
        <v>421</v>
      </c>
      <c r="X391" s="348">
        <v>5</v>
      </c>
      <c r="Y391" s="348">
        <v>33</v>
      </c>
    </row>
    <row r="392">
      <c r="A392" s="324"/>
      <c r="B392" s="339" t="s">
        <v>232</v>
      </c>
      <c r="C392" s="339"/>
      <c r="D392" s="340">
        <f>SUM(D388:D391)</f>
      </c>
      <c r="E392" s="340">
        <f>SUM(E388:E391)</f>
      </c>
      <c r="F392" s="340">
        <f>SUM(F388:G391)</f>
      </c>
      <c r="G392" s="340"/>
      <c r="H392" s="341">
        <f>SUM(H388:H391)</f>
      </c>
      <c r="I392" s="340">
        <f>SUM(I388:I391)</f>
      </c>
      <c r="J392" s="342">
        <f t="shared" si="257"/>
      </c>
      <c r="K392" s="343">
        <f t="shared" si="295"/>
      </c>
      <c r="L392" s="344">
        <f t="shared" si="330"/>
      </c>
      <c r="M392" s="345">
        <f t="shared" si="23"/>
      </c>
      <c r="N392" s="345">
        <f t="shared" si="89"/>
      </c>
      <c r="O392" s="346">
        <f t="shared" si="119"/>
      </c>
      <c r="P392" s="345">
        <f t="shared" si="55"/>
      </c>
      <c r="Q392" s="346"/>
      <c r="R392" s="346"/>
      <c r="S392" s="341">
        <f>SUM(S388:S391)</f>
      </c>
      <c r="T392" s="341">
        <f>SUM(T388:T391)</f>
      </c>
      <c r="U392" s="341">
        <f>SUM(U388:U391)</f>
      </c>
      <c r="V392" s="341">
        <f>SUM(V388:V391)</f>
      </c>
      <c r="W392" s="341">
        <f>SUM(W388:W391)</f>
      </c>
      <c r="X392" s="341">
        <f>SUM(X388:X391)</f>
      </c>
      <c r="Y392" s="341">
        <f>SUM(Y388:Y391)</f>
      </c>
    </row>
    <row r="393">
      <c r="A393" s="324"/>
      <c r="B393" s="325" t="s">
        <v>257</v>
      </c>
      <c r="C393" s="327" t="s">
        <v>239</v>
      </c>
      <c r="D393" s="326">
        <f t="shared" ref="D393:D396" si="197">E393+G393+F393</f>
      </c>
      <c r="E393" s="327">
        <v>995.58</v>
      </c>
      <c r="F393" s="327">
        <v>1212.46</v>
      </c>
      <c r="G393" s="327">
        <v>0</v>
      </c>
      <c r="H393" s="338">
        <v>7</v>
      </c>
      <c r="I393" s="326">
        <v>1909.6800000000003</v>
      </c>
      <c r="J393" s="329">
        <f t="shared" si="257"/>
      </c>
      <c r="K393" s="329">
        <f t="shared" si="295"/>
      </c>
      <c r="L393" s="329">
        <f t="shared" si="330"/>
      </c>
      <c r="M393" s="331">
        <f t="shared" si="23"/>
      </c>
      <c r="N393" s="332">
        <f t="shared" si="89"/>
      </c>
      <c r="O393" s="333">
        <f t="shared" si="119"/>
      </c>
      <c r="P393" s="332">
        <f t="shared" si="55"/>
      </c>
      <c r="Q393" s="334" t="s">
        <v>258</v>
      </c>
      <c r="R393" s="370" t="s">
        <v>261</v>
      </c>
      <c r="S393" s="347">
        <v>51552</v>
      </c>
      <c r="T393" s="347">
        <v>2504</v>
      </c>
      <c r="U393" s="348">
        <v>183</v>
      </c>
      <c r="V393" s="348">
        <v>4575</v>
      </c>
      <c r="W393" s="348">
        <v>578</v>
      </c>
      <c r="X393" s="348">
        <v>44</v>
      </c>
      <c r="Y393" s="348">
        <v>50</v>
      </c>
    </row>
    <row r="394">
      <c r="A394" s="324"/>
      <c r="B394" s="325" t="s">
        <v>257</v>
      </c>
      <c r="C394" s="327" t="s">
        <v>241</v>
      </c>
      <c r="D394" s="326">
        <f t="shared" si="197"/>
      </c>
      <c r="E394" s="327">
        <v>875.99</v>
      </c>
      <c r="F394" s="327">
        <v>1297.01</v>
      </c>
      <c r="G394" s="327">
        <v>0</v>
      </c>
      <c r="H394" s="338">
        <v>4</v>
      </c>
      <c r="I394" s="326">
        <v>2671.9199999999983</v>
      </c>
      <c r="J394" s="329">
        <f t="shared" si="257"/>
      </c>
      <c r="K394" s="329">
        <f t="shared" si="295"/>
      </c>
      <c r="L394" s="329">
        <f t="shared" si="330"/>
      </c>
      <c r="M394" s="331">
        <f t="shared" si="23"/>
      </c>
      <c r="N394" s="332">
        <f t="shared" si="89"/>
      </c>
      <c r="O394" s="333">
        <f t="shared" si="119"/>
      </c>
      <c r="P394" s="332">
        <f t="shared" si="55"/>
      </c>
      <c r="Q394" s="334" t="s">
        <v>258</v>
      </c>
      <c r="R394" s="350" t="s">
        <v>227</v>
      </c>
      <c r="S394" s="347">
        <v>52818</v>
      </c>
      <c r="T394" s="347">
        <v>2551</v>
      </c>
      <c r="U394" s="348">
        <v>192</v>
      </c>
      <c r="V394" s="348">
        <v>4448</v>
      </c>
      <c r="W394" s="348">
        <v>493</v>
      </c>
      <c r="X394" s="348">
        <v>15</v>
      </c>
      <c r="Y394" s="348">
        <v>44</v>
      </c>
    </row>
    <row r="395">
      <c r="A395" s="324"/>
      <c r="B395" s="325" t="s">
        <v>257</v>
      </c>
      <c r="C395" s="327" t="s">
        <v>242</v>
      </c>
      <c r="D395" s="326">
        <f t="shared" si="197"/>
      </c>
      <c r="E395" s="327">
        <v>623.4</v>
      </c>
      <c r="F395" s="327">
        <v>964.81</v>
      </c>
      <c r="G395" s="327">
        <v>0</v>
      </c>
      <c r="H395" s="338">
        <v>13</v>
      </c>
      <c r="I395" s="326">
        <v>5978.560000000005</v>
      </c>
      <c r="J395" s="329">
        <f t="shared" si="257"/>
      </c>
      <c r="K395" s="329">
        <f t="shared" si="295"/>
      </c>
      <c r="L395" s="329">
        <f t="shared" si="330"/>
      </c>
      <c r="M395" s="331">
        <f t="shared" si="23"/>
      </c>
      <c r="N395" s="332">
        <f t="shared" si="89"/>
      </c>
      <c r="O395" s="333">
        <f t="shared" si="119"/>
      </c>
      <c r="P395" s="332">
        <f t="shared" si="55"/>
      </c>
      <c r="Q395" s="334" t="s">
        <v>258</v>
      </c>
      <c r="R395" s="350" t="s">
        <v>227</v>
      </c>
      <c r="S395" s="347">
        <v>40467</v>
      </c>
      <c r="T395" s="347">
        <v>2274</v>
      </c>
      <c r="U395" s="348">
        <v>144</v>
      </c>
      <c r="V395" s="348">
        <v>4016</v>
      </c>
      <c r="W395" s="348">
        <v>414</v>
      </c>
      <c r="X395" s="348">
        <v>22</v>
      </c>
      <c r="Y395" s="348">
        <v>37</v>
      </c>
    </row>
    <row r="396">
      <c r="A396" s="324"/>
      <c r="B396" s="325" t="s">
        <v>257</v>
      </c>
      <c r="C396" s="326" t="s">
        <v>244</v>
      </c>
      <c r="D396" s="326">
        <f t="shared" si="197"/>
      </c>
      <c r="E396" s="327">
        <v>1041.27</v>
      </c>
      <c r="F396" s="327">
        <v>1012.58</v>
      </c>
      <c r="G396" s="327">
        <v>0</v>
      </c>
      <c r="H396" s="338">
        <v>13</v>
      </c>
      <c r="I396" s="327">
        <v>11352.279999999999</v>
      </c>
      <c r="J396" s="329">
        <f t="shared" si="257"/>
      </c>
      <c r="K396" s="329">
        <f t="shared" si="295"/>
      </c>
      <c r="L396" s="329">
        <f t="shared" si="330"/>
      </c>
      <c r="M396" s="331">
        <f t="shared" si="23"/>
      </c>
      <c r="N396" s="332">
        <f t="shared" si="89"/>
      </c>
      <c r="O396" s="333">
        <f t="shared" si="119"/>
      </c>
      <c r="P396" s="332">
        <f t="shared" si="55"/>
      </c>
      <c r="Q396" s="334" t="s">
        <v>258</v>
      </c>
      <c r="R396" s="350" t="s">
        <v>227</v>
      </c>
      <c r="S396" s="347">
        <v>50362</v>
      </c>
      <c r="T396" s="347">
        <v>3182</v>
      </c>
      <c r="U396" s="348">
        <v>205</v>
      </c>
      <c r="V396" s="348">
        <v>6007</v>
      </c>
      <c r="W396" s="348">
        <v>682</v>
      </c>
      <c r="X396" s="348">
        <v>27</v>
      </c>
      <c r="Y396" s="348">
        <v>50</v>
      </c>
    </row>
    <row r="397">
      <c r="A397" s="324"/>
      <c r="B397" s="339" t="s">
        <v>232</v>
      </c>
      <c r="C397" s="339"/>
      <c r="D397" s="340">
        <f>SUM(D393:D396)</f>
      </c>
      <c r="E397" s="340">
        <f>SUM(E393:E396)</f>
      </c>
      <c r="F397" s="340">
        <f>SUM(F393:G396)</f>
      </c>
      <c r="G397" s="340"/>
      <c r="H397" s="341">
        <f>SUM(H393:H396)</f>
      </c>
      <c r="I397" s="340">
        <f>SUM(I393:I396)</f>
      </c>
      <c r="J397" s="342">
        <f t="shared" si="257"/>
      </c>
      <c r="K397" s="343">
        <f t="shared" si="295"/>
      </c>
      <c r="L397" s="344">
        <f t="shared" si="330"/>
      </c>
      <c r="M397" s="345">
        <f t="shared" si="23"/>
      </c>
      <c r="N397" s="345">
        <f t="shared" si="89"/>
      </c>
      <c r="O397" s="346">
        <f t="shared" si="119"/>
      </c>
      <c r="P397" s="345">
        <f t="shared" si="55"/>
      </c>
      <c r="Q397" s="346"/>
      <c r="R397" s="346"/>
      <c r="S397" s="341">
        <f>SUM(S393:S396)</f>
      </c>
      <c r="T397" s="341">
        <f>SUM(T393:T396)</f>
      </c>
      <c r="U397" s="341">
        <f>SUM(U393:U396)</f>
      </c>
      <c r="V397" s="341">
        <f>SUM(V393:V396)</f>
      </c>
      <c r="W397" s="341">
        <f>SUM(W393:W396)</f>
      </c>
      <c r="X397" s="341">
        <f>SUM(X393:X396)</f>
      </c>
      <c r="Y397" s="341">
        <f>SUM(Y393:Y396)</f>
      </c>
    </row>
    <row r="398">
      <c r="A398" s="324"/>
      <c r="B398" s="325" t="s">
        <v>260</v>
      </c>
      <c r="C398" s="327" t="s">
        <v>245</v>
      </c>
      <c r="D398" s="326">
        <f t="shared" ref="D398:D402" si="198">E398+G398+F398</f>
      </c>
      <c r="E398" s="327">
        <v>2273.08</v>
      </c>
      <c r="F398" s="327">
        <v>2352.4</v>
      </c>
      <c r="G398" s="327">
        <v>0</v>
      </c>
      <c r="H398" s="328">
        <v>21</v>
      </c>
      <c r="I398" s="327">
        <v>10434.599999999991</v>
      </c>
      <c r="J398" s="329">
        <f t="shared" si="257"/>
      </c>
      <c r="K398" s="329">
        <f t="shared" si="295"/>
      </c>
      <c r="L398" s="329">
        <f t="shared" si="330"/>
      </c>
      <c r="M398" s="331">
        <f t="shared" si="23"/>
      </c>
      <c r="N398" s="332">
        <f t="shared" si="89"/>
      </c>
      <c r="O398" s="333">
        <f t="shared" si="119"/>
      </c>
      <c r="P398" s="332">
        <f t="shared" si="55"/>
      </c>
      <c r="Q398" s="334" t="s">
        <v>258</v>
      </c>
      <c r="R398" s="350" t="s">
        <v>227</v>
      </c>
      <c r="S398" s="348">
        <v>110836</v>
      </c>
      <c r="T398" s="348">
        <v>6120</v>
      </c>
      <c r="U398" s="348">
        <v>357</v>
      </c>
      <c r="V398" s="348">
        <v>11668</v>
      </c>
      <c r="W398" s="348">
        <v>1219</v>
      </c>
      <c r="X398" s="348">
        <v>35</v>
      </c>
      <c r="Y398" s="348">
        <v>71</v>
      </c>
    </row>
    <row r="399">
      <c r="A399" s="324"/>
      <c r="B399" s="325" t="s">
        <v>260</v>
      </c>
      <c r="C399" s="327" t="s">
        <v>250</v>
      </c>
      <c r="D399" s="326">
        <f t="shared" si="198"/>
      </c>
      <c r="E399" s="327">
        <v>1738.73</v>
      </c>
      <c r="F399" s="327">
        <v>1959.8</v>
      </c>
      <c r="G399" s="327">
        <v>0</v>
      </c>
      <c r="H399" s="328">
        <v>11</v>
      </c>
      <c r="I399" s="327">
        <v>5521.380000000005</v>
      </c>
      <c r="J399" s="329">
        <f t="shared" si="257"/>
      </c>
      <c r="K399" s="329">
        <f t="shared" si="295"/>
      </c>
      <c r="L399" s="329">
        <f t="shared" si="330"/>
      </c>
      <c r="M399" s="331">
        <f t="shared" si="23"/>
      </c>
      <c r="N399" s="332">
        <f t="shared" si="89"/>
      </c>
      <c r="O399" s="333">
        <f t="shared" si="119"/>
      </c>
      <c r="P399" s="332">
        <f t="shared" si="55"/>
      </c>
      <c r="Q399" s="334" t="s">
        <v>258</v>
      </c>
      <c r="R399" s="350" t="s">
        <v>227</v>
      </c>
      <c r="S399" s="361">
        <v>102049</v>
      </c>
      <c r="T399" s="361">
        <v>4586</v>
      </c>
      <c r="U399" s="362">
        <v>336</v>
      </c>
      <c r="V399" s="362">
        <v>9087</v>
      </c>
      <c r="W399" s="362">
        <v>1053</v>
      </c>
      <c r="X399" s="348">
        <v>21</v>
      </c>
      <c r="Y399" s="348">
        <v>67</v>
      </c>
    </row>
    <row r="400">
      <c r="A400" s="324"/>
      <c r="B400" s="325" t="s">
        <v>260</v>
      </c>
      <c r="C400" s="327" t="s">
        <v>264</v>
      </c>
      <c r="D400" s="326">
        <f t="shared" si="198"/>
      </c>
      <c r="E400" s="327">
        <v>2449.13</v>
      </c>
      <c r="F400" s="327">
        <v>1283.49</v>
      </c>
      <c r="G400" s="327">
        <v>0</v>
      </c>
      <c r="H400" s="328">
        <v>11</v>
      </c>
      <c r="I400" s="327">
        <v>5042.899999999994</v>
      </c>
      <c r="J400" s="329">
        <f t="shared" si="257"/>
      </c>
      <c r="K400" s="329">
        <f t="shared" si="295"/>
      </c>
      <c r="L400" s="329">
        <f t="shared" si="330"/>
      </c>
      <c r="M400" s="331">
        <f t="shared" si="23"/>
      </c>
      <c r="N400" s="332">
        <f t="shared" si="89"/>
      </c>
      <c r="O400" s="333">
        <f t="shared" si="119"/>
      </c>
      <c r="P400" s="332">
        <f t="shared" si="55"/>
      </c>
      <c r="Q400" s="334" t="s">
        <v>258</v>
      </c>
      <c r="R400" s="350" t="s">
        <v>227</v>
      </c>
      <c r="S400" s="361">
        <v>86354</v>
      </c>
      <c r="T400" s="361">
        <v>4563</v>
      </c>
      <c r="U400" s="362">
        <v>278</v>
      </c>
      <c r="V400" s="362">
        <v>9611</v>
      </c>
      <c r="W400" s="362">
        <v>1026</v>
      </c>
      <c r="X400" s="348">
        <v>21</v>
      </c>
      <c r="Y400" s="348">
        <v>60</v>
      </c>
    </row>
    <row r="401">
      <c r="A401" s="324"/>
      <c r="B401" s="325" t="s">
        <v>260</v>
      </c>
      <c r="C401" s="327" t="s">
        <v>266</v>
      </c>
      <c r="D401" s="326">
        <f t="shared" si="198"/>
      </c>
      <c r="E401" s="327">
        <v>1832.71</v>
      </c>
      <c r="F401" s="327">
        <v>619.23</v>
      </c>
      <c r="G401" s="327">
        <v>0</v>
      </c>
      <c r="H401" s="328">
        <v>7</v>
      </c>
      <c r="I401" s="327">
        <v>5237.040000000008</v>
      </c>
      <c r="J401" s="329">
        <f t="shared" si="257"/>
      </c>
      <c r="K401" s="329">
        <f t="shared" si="295"/>
      </c>
      <c r="L401" s="329">
        <f t="shared" si="330"/>
      </c>
      <c r="M401" s="331">
        <f t="shared" si="23"/>
      </c>
      <c r="N401" s="332">
        <f t="shared" si="89"/>
      </c>
      <c r="O401" s="333">
        <f t="shared" si="119"/>
      </c>
      <c r="P401" s="332">
        <f t="shared" si="55"/>
      </c>
      <c r="Q401" s="334" t="s">
        <v>258</v>
      </c>
      <c r="R401" s="350" t="s">
        <v>227</v>
      </c>
      <c r="S401" s="361">
        <v>46076</v>
      </c>
      <c r="T401" s="361">
        <v>2880</v>
      </c>
      <c r="U401" s="362">
        <v>209</v>
      </c>
      <c r="V401" s="362">
        <v>6431</v>
      </c>
      <c r="W401" s="362">
        <v>828</v>
      </c>
      <c r="X401" s="348">
        <v>19</v>
      </c>
      <c r="Y401" s="348">
        <v>42</v>
      </c>
    </row>
    <row customHeight="true" ht="16.666666666666668" r="402">
      <c r="A402" s="324"/>
      <c r="B402" s="325" t="s">
        <v>260</v>
      </c>
      <c r="C402" s="327" t="s">
        <v>267</v>
      </c>
      <c r="D402" s="326">
        <f t="shared" si="198"/>
      </c>
      <c r="E402" s="327">
        <v>489.28</v>
      </c>
      <c r="F402" s="327">
        <v>1515.52</v>
      </c>
      <c r="G402" s="327">
        <v>0</v>
      </c>
      <c r="H402" s="328">
        <v>9</v>
      </c>
      <c r="I402" s="327">
        <v>5982.279999999999</v>
      </c>
      <c r="J402" s="329">
        <f t="shared" si="257"/>
      </c>
      <c r="K402" s="329">
        <f t="shared" si="295"/>
      </c>
      <c r="L402" s="329">
        <f t="shared" si="330"/>
      </c>
      <c r="M402" s="331">
        <f t="shared" si="23"/>
      </c>
      <c r="N402" s="332">
        <f t="shared" si="89"/>
      </c>
      <c r="O402" s="333">
        <f t="shared" si="119"/>
      </c>
      <c r="P402" s="332">
        <f t="shared" si="55"/>
      </c>
      <c r="Q402" s="334" t="s">
        <v>258</v>
      </c>
      <c r="R402" s="350" t="s">
        <v>227</v>
      </c>
      <c r="S402" s="361">
        <v>40932</v>
      </c>
      <c r="T402" s="361">
        <v>2702</v>
      </c>
      <c r="U402" s="362">
        <v>188</v>
      </c>
      <c r="V402" s="362">
        <v>5141</v>
      </c>
      <c r="W402" s="362">
        <v>584</v>
      </c>
      <c r="X402" s="348">
        <v>19</v>
      </c>
      <c r="Y402" s="348">
        <v>44</v>
      </c>
    </row>
    <row r="403">
      <c r="A403" s="324"/>
      <c r="B403" s="339" t="s">
        <v>232</v>
      </c>
      <c r="C403" s="339"/>
      <c r="D403" s="340">
        <f>SUM(D398:D402)</f>
      </c>
      <c r="E403" s="340">
        <f>SUM(E398:E402)</f>
      </c>
      <c r="F403" s="340">
        <f>SUM(F398:F402)</f>
      </c>
      <c r="G403" s="340">
        <f>SUM(G398:G402)</f>
      </c>
      <c r="H403" s="340">
        <f>SUM(H398:H402)</f>
      </c>
      <c r="I403" s="340">
        <f>SUM(I398:I402)</f>
      </c>
      <c r="J403" s="342">
        <f t="shared" si="257"/>
      </c>
      <c r="K403" s="343">
        <f t="shared" si="295"/>
      </c>
      <c r="L403" s="344">
        <f t="shared" si="330"/>
      </c>
      <c r="M403" s="345">
        <f t="shared" si="23"/>
      </c>
      <c r="N403" s="345">
        <f t="shared" si="89"/>
      </c>
      <c r="O403" s="346">
        <f t="shared" si="119"/>
      </c>
      <c r="P403" s="345">
        <f t="shared" si="55"/>
      </c>
      <c r="Q403" s="346"/>
      <c r="R403" s="351"/>
      <c r="S403" s="340">
        <f>SUM(S398:S402)</f>
      </c>
      <c r="T403" s="340">
        <f>SUM(T398:T402)</f>
      </c>
      <c r="U403" s="340">
        <f>SUM(U398:U402)</f>
      </c>
      <c r="V403" s="340">
        <f>SUM(V398:V402)</f>
      </c>
      <c r="W403" s="340">
        <f>SUM(W398:W402)</f>
      </c>
      <c r="X403" s="340">
        <f>SUM(X398:X402)</f>
      </c>
      <c r="Y403" s="340">
        <f>SUM(Y398:Y402)</f>
      </c>
    </row>
    <row r="404">
      <c r="A404" s="324"/>
      <c r="B404" s="353" t="s">
        <v>246</v>
      </c>
      <c r="C404" s="353"/>
      <c r="D404" s="354">
        <f>D403+D397+D392+D387</f>
      </c>
      <c r="E404" s="354">
        <f>E403+E397+E392+E387</f>
      </c>
      <c r="F404" s="354">
        <f>F403+F397+F392+F387</f>
      </c>
      <c r="G404" s="354"/>
      <c r="H404" s="355">
        <f>H403+H397+H392+H387</f>
      </c>
      <c r="I404" s="354">
        <f>I403+I397+I392+I387</f>
      </c>
      <c r="J404" s="356">
        <f t="shared" si="257"/>
      </c>
      <c r="K404" s="356">
        <f t="shared" si="295"/>
      </c>
      <c r="L404" s="356">
        <f t="shared" si="330"/>
      </c>
      <c r="M404" s="357">
        <f t="shared" si="23"/>
      </c>
      <c r="N404" s="357">
        <f t="shared" si="89"/>
      </c>
      <c r="O404" s="356">
        <f t="shared" si="119"/>
      </c>
      <c r="P404" s="357">
        <f t="shared" si="55"/>
      </c>
      <c r="Q404" s="358"/>
      <c r="R404" s="359"/>
      <c r="S404" s="381">
        <f>S403+S397+S392+S387</f>
      </c>
      <c r="T404" s="381">
        <f>T403+T397+T392+T387</f>
      </c>
      <c r="U404" s="381">
        <f>U403+U397+U392+U387</f>
      </c>
      <c r="V404" s="381">
        <f>V403+V397+V392+V387</f>
      </c>
      <c r="W404" s="381">
        <f>W403+W397+W392+W387</f>
      </c>
      <c r="X404" s="360">
        <f>X403+X397+X392+X387</f>
      </c>
      <c r="Y404" s="355">
        <f>Y403+Y397+Y392+Y387</f>
      </c>
    </row>
    <row r="405">
      <c r="A405" s="311" t="s">
        <v>195</v>
      </c>
      <c r="B405" s="311"/>
      <c r="C405" s="311"/>
      <c r="D405" s="312" t="s">
        <v>196</v>
      </c>
      <c r="E405" s="312"/>
      <c r="F405" s="312"/>
      <c r="G405" s="312"/>
      <c r="H405" s="312"/>
      <c r="I405" s="312"/>
      <c r="J405" s="312"/>
      <c r="K405" s="312"/>
      <c r="L405" s="312"/>
      <c r="M405" s="313" t="s">
        <v>197</v>
      </c>
      <c r="N405" s="313"/>
      <c r="O405" s="313"/>
      <c r="P405" s="313"/>
      <c r="Q405" s="313"/>
      <c r="R405" s="313"/>
      <c r="S405" s="314" t="s">
        <v>198</v>
      </c>
      <c r="T405" s="314"/>
      <c r="U405" s="314"/>
      <c r="V405" s="314"/>
      <c r="W405" s="314"/>
      <c r="X405" s="314"/>
      <c r="Y405" s="314"/>
    </row>
    <row r="406">
      <c r="A406" s="315" t="s">
        <v>199</v>
      </c>
      <c r="B406" s="311" t="s">
        <v>200</v>
      </c>
      <c r="C406" s="311" t="s">
        <v>201</v>
      </c>
      <c r="D406" s="312" t="s">
        <v>202</v>
      </c>
      <c r="E406" s="316" t="s">
        <v>203</v>
      </c>
      <c r="F406" s="312" t="s">
        <v>204</v>
      </c>
      <c r="G406" s="312"/>
      <c r="H406" s="317" t="s">
        <v>205</v>
      </c>
      <c r="I406" s="312" t="s">
        <v>206</v>
      </c>
      <c r="J406" s="318" t="s">
        <v>207</v>
      </c>
      <c r="K406" s="319" t="s">
        <v>208</v>
      </c>
      <c r="L406" s="312" t="s">
        <v>209</v>
      </c>
      <c r="M406" s="313" t="s">
        <v>210</v>
      </c>
      <c r="N406" s="313" t="s">
        <v>211</v>
      </c>
      <c r="O406" s="313" t="s">
        <v>212</v>
      </c>
      <c r="P406" s="320" t="s">
        <v>213</v>
      </c>
      <c r="Q406" s="321" t="s">
        <v>214</v>
      </c>
      <c r="R406" s="321" t="s">
        <v>215</v>
      </c>
      <c r="S406" s="366" t="s">
        <v>216</v>
      </c>
      <c r="T406" s="366" t="s">
        <v>217</v>
      </c>
      <c r="U406" s="323" t="s">
        <v>218</v>
      </c>
      <c r="V406" s="323" t="s">
        <v>219</v>
      </c>
      <c r="W406" s="323" t="s">
        <v>220</v>
      </c>
      <c r="X406" s="322" t="s">
        <v>221</v>
      </c>
      <c r="Y406" s="322" t="s">
        <v>222</v>
      </c>
    </row>
    <row r="407">
      <c r="A407" s="324" t="s">
        <v>280</v>
      </c>
      <c r="B407" s="325" t="s">
        <v>224</v>
      </c>
      <c r="C407" s="326" t="s">
        <v>228</v>
      </c>
      <c r="D407" s="326">
        <f t="shared" ref="D407:D410" si="199">E407+G407+F407</f>
      </c>
      <c r="E407" s="327">
        <v>2267.74</v>
      </c>
      <c r="F407" s="327">
        <v>1194.81</v>
      </c>
      <c r="G407" s="327">
        <v>0</v>
      </c>
      <c r="H407" s="328">
        <v>10</v>
      </c>
      <c r="I407" s="327">
        <v>4864.58</v>
      </c>
      <c r="J407" s="329">
        <f t="shared" ref="J407:J428" si="258">I407/D407</f>
      </c>
      <c r="K407" s="330">
        <f t="shared" ref="K407:K428" si="296">D407/H407</f>
      </c>
      <c r="L407" s="329">
        <f t="shared" ref="L407:L428" si="331">I407/H407</f>
      </c>
      <c r="M407" s="331">
        <f t="shared" ref="M407:M428" si="24">T407/S407</f>
      </c>
      <c r="N407" s="332">
        <f t="shared" ref="N407:N428" si="90">H407/X407</f>
      </c>
      <c r="O407" s="333">
        <f t="shared" ref="O407:O428" si="120">(Y407*1000)/D407</f>
      </c>
      <c r="P407" s="332">
        <f t="shared" ref="P407:P428" si="56">W407/V407</f>
      </c>
      <c r="Q407" s="334" t="s">
        <v>255</v>
      </c>
      <c r="R407" s="370" t="s">
        <v>261</v>
      </c>
      <c r="S407" s="336">
        <v>49560</v>
      </c>
      <c r="T407" s="336">
        <v>3653</v>
      </c>
      <c r="U407" s="368">
        <v>204</v>
      </c>
      <c r="V407" s="337">
        <v>6980</v>
      </c>
      <c r="W407" s="337">
        <v>1003</v>
      </c>
      <c r="X407" s="337">
        <v>15</v>
      </c>
      <c r="Y407" s="337">
        <v>59</v>
      </c>
    </row>
    <row r="408">
      <c r="A408" s="324"/>
      <c r="B408" s="325" t="s">
        <v>224</v>
      </c>
      <c r="C408" s="326" t="s">
        <v>229</v>
      </c>
      <c r="D408" s="326">
        <f t="shared" si="199"/>
      </c>
      <c r="E408" s="327">
        <v>1501.33</v>
      </c>
      <c r="F408" s="327">
        <v>604.04</v>
      </c>
      <c r="G408" s="327">
        <v>0</v>
      </c>
      <c r="H408" s="328">
        <v>11</v>
      </c>
      <c r="I408" s="326">
        <v>4531.33</v>
      </c>
      <c r="J408" s="329">
        <f t="shared" si="258"/>
      </c>
      <c r="K408" s="329">
        <f t="shared" si="296"/>
      </c>
      <c r="L408" s="330">
        <f t="shared" si="331"/>
      </c>
      <c r="M408" s="331">
        <f t="shared" si="24"/>
      </c>
      <c r="N408" s="332">
        <f t="shared" si="90"/>
      </c>
      <c r="O408" s="333">
        <f t="shared" si="120"/>
      </c>
      <c r="P408" s="332">
        <f t="shared" si="56"/>
      </c>
      <c r="Q408" s="334" t="s">
        <v>255</v>
      </c>
      <c r="R408" s="370" t="s">
        <v>261</v>
      </c>
      <c r="S408" s="369">
        <v>48515</v>
      </c>
      <c r="T408" s="369">
        <v>2032</v>
      </c>
      <c r="U408" s="337">
        <v>133</v>
      </c>
      <c r="V408" s="337">
        <v>4320</v>
      </c>
      <c r="W408" s="337">
        <v>605</v>
      </c>
      <c r="X408" s="337">
        <v>14</v>
      </c>
      <c r="Y408" s="337">
        <v>23</v>
      </c>
    </row>
    <row r="409">
      <c r="A409" s="324"/>
      <c r="B409" s="325" t="s">
        <v>224</v>
      </c>
      <c r="C409" s="326" t="s">
        <v>230</v>
      </c>
      <c r="D409" s="326">
        <f t="shared" si="199"/>
      </c>
      <c r="E409" s="327">
        <v>1015.68</v>
      </c>
      <c r="F409" s="327">
        <v>1330.69</v>
      </c>
      <c r="G409" s="327">
        <v>0</v>
      </c>
      <c r="H409" s="338">
        <v>10</v>
      </c>
      <c r="I409" s="326">
        <v>6495.33</v>
      </c>
      <c r="J409" s="329">
        <f t="shared" si="258"/>
      </c>
      <c r="K409" s="329">
        <f t="shared" si="296"/>
      </c>
      <c r="L409" s="329">
        <f t="shared" si="331"/>
      </c>
      <c r="M409" s="331">
        <f t="shared" si="24"/>
      </c>
      <c r="N409" s="332">
        <f t="shared" si="90"/>
      </c>
      <c r="O409" s="333">
        <f t="shared" si="120"/>
      </c>
      <c r="P409" s="332">
        <f t="shared" si="56"/>
      </c>
      <c r="Q409" s="334" t="s">
        <v>255</v>
      </c>
      <c r="R409" s="370" t="s">
        <v>261</v>
      </c>
      <c r="S409" s="336">
        <v>47848</v>
      </c>
      <c r="T409" s="336">
        <v>1375</v>
      </c>
      <c r="U409" s="337">
        <v>142</v>
      </c>
      <c r="V409" s="337">
        <v>2668</v>
      </c>
      <c r="W409" s="337">
        <v>404</v>
      </c>
      <c r="X409" s="337">
        <v>17</v>
      </c>
      <c r="Y409" s="337">
        <v>35</v>
      </c>
    </row>
    <row r="410">
      <c r="A410" s="324"/>
      <c r="B410" s="325" t="s">
        <v>224</v>
      </c>
      <c r="C410" s="364" t="s">
        <v>231</v>
      </c>
      <c r="D410" s="326">
        <f t="shared" si="199"/>
      </c>
      <c r="E410" s="327">
        <v>1087.56</v>
      </c>
      <c r="F410" s="327">
        <v>1887.99</v>
      </c>
      <c r="G410" s="327">
        <v>0</v>
      </c>
      <c r="H410" s="338">
        <v>8</v>
      </c>
      <c r="I410" s="326">
        <v>3022.4800000000014</v>
      </c>
      <c r="J410" s="329">
        <f t="shared" si="258"/>
      </c>
      <c r="K410" s="329">
        <f t="shared" si="296"/>
      </c>
      <c r="L410" s="329">
        <f t="shared" si="331"/>
      </c>
      <c r="M410" s="331">
        <f t="shared" si="24"/>
      </c>
      <c r="N410" s="332">
        <f t="shared" si="90"/>
      </c>
      <c r="O410" s="333">
        <f t="shared" si="120"/>
      </c>
      <c r="P410" s="332">
        <f t="shared" si="56"/>
      </c>
      <c r="Q410" s="334" t="s">
        <v>255</v>
      </c>
      <c r="R410" s="370" t="s">
        <v>261</v>
      </c>
      <c r="S410" s="336">
        <v>65574</v>
      </c>
      <c r="T410" s="336">
        <v>1968</v>
      </c>
      <c r="U410" s="337">
        <v>175</v>
      </c>
      <c r="V410" s="337">
        <v>3536</v>
      </c>
      <c r="W410" s="337">
        <v>514</v>
      </c>
      <c r="X410" s="337">
        <v>11</v>
      </c>
      <c r="Y410" s="337">
        <v>41</v>
      </c>
    </row>
    <row r="411">
      <c r="A411" s="324"/>
      <c r="B411" s="339" t="s">
        <v>232</v>
      </c>
      <c r="C411" s="339"/>
      <c r="D411" s="340">
        <f>SUM(D407:D410)</f>
      </c>
      <c r="E411" s="340">
        <f>SUM(E407:E410)</f>
      </c>
      <c r="F411" s="340">
        <f>SUM(F407:G410)</f>
      </c>
      <c r="G411" s="340"/>
      <c r="H411" s="341">
        <f>SUM(H407:H410)</f>
      </c>
      <c r="I411" s="340">
        <f>SUM(I407:I410)</f>
      </c>
      <c r="J411" s="342">
        <f t="shared" si="258"/>
      </c>
      <c r="K411" s="343">
        <f t="shared" si="296"/>
      </c>
      <c r="L411" s="344">
        <f t="shared" si="331"/>
      </c>
      <c r="M411" s="345">
        <f t="shared" si="24"/>
      </c>
      <c r="N411" s="345">
        <f t="shared" si="90"/>
      </c>
      <c r="O411" s="346">
        <f t="shared" si="120"/>
      </c>
      <c r="P411" s="345">
        <f t="shared" si="56"/>
      </c>
      <c r="Q411" s="346"/>
      <c r="R411" s="346"/>
      <c r="S411" s="341">
        <f>SUM(S407:S410)</f>
      </c>
      <c r="T411" s="341">
        <f>SUM(T407:T410)</f>
      </c>
      <c r="U411" s="341">
        <f>SUM(U407:U410)</f>
      </c>
      <c r="V411" s="341">
        <f>SUM(V407:V410)</f>
      </c>
      <c r="W411" s="341">
        <f>SUM(W407:W410)</f>
      </c>
      <c r="X411" s="341">
        <f>SUM(X407:X410)</f>
      </c>
      <c r="Y411" s="341">
        <f>SUM(Y407:Y410)</f>
      </c>
    </row>
    <row r="412">
      <c r="A412" s="324"/>
      <c r="B412" s="325" t="s">
        <v>248</v>
      </c>
      <c r="C412" s="327" t="s">
        <v>234</v>
      </c>
      <c r="D412" s="326">
        <f t="shared" ref="D412:D415" si="200">E412+G412+F412</f>
      </c>
      <c r="E412" s="327">
        <v>767.33</v>
      </c>
      <c r="F412" s="327">
        <v>1396.53</v>
      </c>
      <c r="G412" s="327">
        <v>0</v>
      </c>
      <c r="H412" s="338">
        <v>6</v>
      </c>
      <c r="I412" s="326">
        <v>2693.4000000000015</v>
      </c>
      <c r="J412" s="329">
        <f t="shared" si="258"/>
      </c>
      <c r="K412" s="329">
        <f t="shared" si="296"/>
      </c>
      <c r="L412" s="329">
        <f t="shared" si="331"/>
      </c>
      <c r="M412" s="331">
        <f t="shared" si="24"/>
      </c>
      <c r="N412" s="332">
        <f t="shared" si="90"/>
      </c>
      <c r="O412" s="333">
        <f t="shared" si="120"/>
      </c>
      <c r="P412" s="332">
        <f t="shared" si="56"/>
      </c>
      <c r="Q412" s="334" t="s">
        <v>255</v>
      </c>
      <c r="R412" s="370" t="s">
        <v>261</v>
      </c>
      <c r="S412" s="347">
        <v>45938</v>
      </c>
      <c r="T412" s="347">
        <v>1901</v>
      </c>
      <c r="U412" s="348">
        <v>135</v>
      </c>
      <c r="V412" s="348">
        <v>3082</v>
      </c>
      <c r="W412" s="348">
        <v>368</v>
      </c>
      <c r="X412" s="348">
        <v>7</v>
      </c>
      <c r="Y412" s="348">
        <v>42</v>
      </c>
    </row>
    <row r="413">
      <c r="A413" s="324"/>
      <c r="B413" s="325" t="s">
        <v>248</v>
      </c>
      <c r="C413" s="327" t="s">
        <v>235</v>
      </c>
      <c r="D413" s="326">
        <f t="shared" si="200"/>
      </c>
      <c r="E413" s="327">
        <v>1120.03</v>
      </c>
      <c r="F413" s="327">
        <v>875.74</v>
      </c>
      <c r="G413" s="327">
        <v>0</v>
      </c>
      <c r="H413" s="328">
        <v>7</v>
      </c>
      <c r="I413" s="327">
        <v>2427.3600000000006</v>
      </c>
      <c r="J413" s="329">
        <f t="shared" si="258"/>
      </c>
      <c r="K413" s="329">
        <f t="shared" si="296"/>
      </c>
      <c r="L413" s="329">
        <f t="shared" si="331"/>
      </c>
      <c r="M413" s="331">
        <f t="shared" si="24"/>
      </c>
      <c r="N413" s="332">
        <f t="shared" si="90"/>
      </c>
      <c r="O413" s="333">
        <f t="shared" si="120"/>
      </c>
      <c r="P413" s="332">
        <f t="shared" si="56"/>
      </c>
      <c r="Q413" s="334" t="s">
        <v>255</v>
      </c>
      <c r="R413" s="370" t="s">
        <v>261</v>
      </c>
      <c r="S413" s="347">
        <v>38691</v>
      </c>
      <c r="T413" s="347">
        <v>1957</v>
      </c>
      <c r="U413" s="348">
        <v>135</v>
      </c>
      <c r="V413" s="348">
        <v>3677</v>
      </c>
      <c r="W413" s="348">
        <v>437</v>
      </c>
      <c r="X413" s="348">
        <v>14</v>
      </c>
      <c r="Y413" s="348">
        <v>30</v>
      </c>
    </row>
    <row r="414">
      <c r="A414" s="324"/>
      <c r="B414" s="325" t="s">
        <v>248</v>
      </c>
      <c r="C414" s="326" t="s">
        <v>236</v>
      </c>
      <c r="D414" s="326">
        <f t="shared" si="200"/>
      </c>
      <c r="E414" s="327">
        <v>770.85</v>
      </c>
      <c r="F414" s="327">
        <v>693.66</v>
      </c>
      <c r="G414" s="327">
        <v>0</v>
      </c>
      <c r="H414" s="328">
        <v>7</v>
      </c>
      <c r="I414" s="327">
        <v>2320.219999999994</v>
      </c>
      <c r="J414" s="329">
        <f t="shared" si="258"/>
      </c>
      <c r="K414" s="329">
        <f t="shared" si="296"/>
      </c>
      <c r="L414" s="329">
        <f t="shared" si="331"/>
      </c>
      <c r="M414" s="331">
        <f t="shared" si="24"/>
      </c>
      <c r="N414" s="332">
        <f t="shared" si="90"/>
      </c>
      <c r="O414" s="333">
        <f t="shared" si="120"/>
      </c>
      <c r="P414" s="332">
        <f t="shared" si="56"/>
      </c>
      <c r="Q414" s="334" t="s">
        <v>255</v>
      </c>
      <c r="R414" s="370" t="s">
        <v>261</v>
      </c>
      <c r="S414" s="347">
        <v>26508</v>
      </c>
      <c r="T414" s="347">
        <v>1427</v>
      </c>
      <c r="U414" s="348">
        <v>125</v>
      </c>
      <c r="V414" s="348">
        <v>2523</v>
      </c>
      <c r="W414" s="348">
        <v>280</v>
      </c>
      <c r="X414" s="348">
        <v>8</v>
      </c>
      <c r="Y414" s="348">
        <v>33</v>
      </c>
    </row>
    <row r="415">
      <c r="A415" s="324"/>
      <c r="B415" s="325" t="s">
        <v>248</v>
      </c>
      <c r="C415" s="326" t="s">
        <v>237</v>
      </c>
      <c r="D415" s="326">
        <f t="shared" si="200"/>
      </c>
      <c r="E415" s="327">
        <v>667.41</v>
      </c>
      <c r="F415" s="327">
        <v>817.56</v>
      </c>
      <c r="G415" s="327">
        <v>0</v>
      </c>
      <c r="H415" s="338">
        <v>6</v>
      </c>
      <c r="I415" s="327">
        <v>2639.280000000006</v>
      </c>
      <c r="J415" s="329">
        <f t="shared" si="258"/>
      </c>
      <c r="K415" s="329">
        <f t="shared" si="296"/>
      </c>
      <c r="L415" s="329">
        <f t="shared" si="331"/>
      </c>
      <c r="M415" s="331">
        <f t="shared" si="24"/>
      </c>
      <c r="N415" s="332">
        <f t="shared" si="90"/>
      </c>
      <c r="O415" s="333">
        <f t="shared" si="120"/>
      </c>
      <c r="P415" s="332">
        <f t="shared" si="56"/>
      </c>
      <c r="Q415" s="334" t="s">
        <v>255</v>
      </c>
      <c r="R415" s="370" t="s">
        <v>261</v>
      </c>
      <c r="S415" s="347">
        <v>26783</v>
      </c>
      <c r="T415" s="347">
        <v>1600</v>
      </c>
      <c r="U415" s="348">
        <v>116</v>
      </c>
      <c r="V415" s="348">
        <v>2686</v>
      </c>
      <c r="W415" s="348">
        <v>260</v>
      </c>
      <c r="X415" s="348">
        <v>18</v>
      </c>
      <c r="Y415" s="348">
        <v>37</v>
      </c>
    </row>
    <row r="416">
      <c r="A416" s="324"/>
      <c r="B416" s="339" t="s">
        <v>232</v>
      </c>
      <c r="C416" s="339"/>
      <c r="D416" s="340">
        <f>SUM(D412:D415)</f>
      </c>
      <c r="E416" s="340">
        <f>SUM(E412:E415)</f>
      </c>
      <c r="F416" s="340">
        <f>SUM(F412:G415)</f>
      </c>
      <c r="G416" s="340"/>
      <c r="H416" s="341">
        <f>SUM(H412:H415)</f>
      </c>
      <c r="I416" s="340">
        <f>SUM(I412:I415)</f>
      </c>
      <c r="J416" s="342">
        <f t="shared" si="258"/>
      </c>
      <c r="K416" s="343">
        <f t="shared" si="296"/>
      </c>
      <c r="L416" s="344">
        <f t="shared" si="331"/>
      </c>
      <c r="M416" s="345">
        <f t="shared" si="24"/>
      </c>
      <c r="N416" s="345">
        <f t="shared" si="90"/>
      </c>
      <c r="O416" s="346">
        <f t="shared" si="120"/>
      </c>
      <c r="P416" s="345">
        <f t="shared" si="56"/>
      </c>
      <c r="Q416" s="346"/>
      <c r="R416" s="346"/>
      <c r="S416" s="341">
        <f>SUM(S412:S415)</f>
      </c>
      <c r="T416" s="341">
        <f>SUM(T412:T415)</f>
      </c>
      <c r="U416" s="341">
        <f>SUM(U412:U415)</f>
      </c>
      <c r="V416" s="341">
        <f>SUM(V412:V415)</f>
      </c>
      <c r="W416" s="341">
        <f>SUM(W412:W415)</f>
      </c>
      <c r="X416" s="341">
        <f>SUM(X412:X415)</f>
      </c>
      <c r="Y416" s="341">
        <f>SUM(Y412:Y415)</f>
      </c>
    </row>
    <row r="417">
      <c r="A417" s="324"/>
      <c r="B417" s="325" t="s">
        <v>257</v>
      </c>
      <c r="C417" s="327" t="s">
        <v>239</v>
      </c>
      <c r="D417" s="326">
        <f t="shared" ref="D417:D420" si="201">E417+G417+F417</f>
      </c>
      <c r="E417" s="327">
        <v>566.97</v>
      </c>
      <c r="F417" s="327">
        <v>1159.7</v>
      </c>
      <c r="G417" s="327">
        <v>0</v>
      </c>
      <c r="H417" s="338">
        <v>4</v>
      </c>
      <c r="I417" s="326">
        <v>3120.479999999996</v>
      </c>
      <c r="J417" s="329">
        <f t="shared" si="258"/>
      </c>
      <c r="K417" s="329">
        <f t="shared" si="296"/>
      </c>
      <c r="L417" s="329">
        <f t="shared" si="331"/>
      </c>
      <c r="M417" s="331">
        <f t="shared" si="24"/>
      </c>
      <c r="N417" s="332">
        <f t="shared" si="90"/>
      </c>
      <c r="O417" s="333">
        <f t="shared" si="120"/>
      </c>
      <c r="P417" s="332">
        <f t="shared" si="56"/>
      </c>
      <c r="Q417" s="334" t="s">
        <v>258</v>
      </c>
      <c r="R417" s="370" t="s">
        <v>227</v>
      </c>
      <c r="S417" s="347">
        <v>30400</v>
      </c>
      <c r="T417" s="347">
        <v>1768</v>
      </c>
      <c r="U417" s="348">
        <v>114</v>
      </c>
      <c r="V417" s="348">
        <v>2715</v>
      </c>
      <c r="W417" s="348">
        <v>305</v>
      </c>
      <c r="X417" s="348">
        <v>8</v>
      </c>
      <c r="Y417" s="348">
        <v>37</v>
      </c>
    </row>
    <row r="418">
      <c r="A418" s="324"/>
      <c r="B418" s="325" t="s">
        <v>257</v>
      </c>
      <c r="C418" s="327" t="s">
        <v>241</v>
      </c>
      <c r="D418" s="326">
        <f t="shared" si="201"/>
      </c>
      <c r="E418" s="327">
        <v>563.46</v>
      </c>
      <c r="F418" s="327">
        <v>1836.9</v>
      </c>
      <c r="G418" s="327">
        <v>0</v>
      </c>
      <c r="H418" s="338">
        <v>9</v>
      </c>
      <c r="I418" s="326">
        <v>4989.57</v>
      </c>
      <c r="J418" s="329">
        <f t="shared" si="258"/>
      </c>
      <c r="K418" s="329">
        <f t="shared" si="296"/>
      </c>
      <c r="L418" s="329">
        <f t="shared" si="331"/>
      </c>
      <c r="M418" s="331">
        <f t="shared" si="24"/>
      </c>
      <c r="N418" s="332">
        <f t="shared" si="90"/>
      </c>
      <c r="O418" s="333">
        <f t="shared" si="120"/>
      </c>
      <c r="P418" s="332">
        <f t="shared" si="56"/>
      </c>
      <c r="Q418" s="334" t="s">
        <v>258</v>
      </c>
      <c r="R418" s="350" t="s">
        <v>227</v>
      </c>
      <c r="S418" s="347">
        <v>47992</v>
      </c>
      <c r="T418" s="347">
        <v>3956</v>
      </c>
      <c r="U418" s="348">
        <v>144</v>
      </c>
      <c r="V418" s="348">
        <v>5798</v>
      </c>
      <c r="W418" s="348">
        <v>405</v>
      </c>
      <c r="X418" s="348">
        <v>14</v>
      </c>
      <c r="Y418" s="348">
        <v>32</v>
      </c>
    </row>
    <row r="419">
      <c r="A419" s="324"/>
      <c r="B419" s="325" t="s">
        <v>257</v>
      </c>
      <c r="C419" s="327" t="s">
        <v>242</v>
      </c>
      <c r="D419" s="326">
        <f t="shared" si="201"/>
      </c>
      <c r="E419" s="327">
        <v>452.47</v>
      </c>
      <c r="F419" s="327">
        <v>1699.89</v>
      </c>
      <c r="G419" s="327">
        <v>0</v>
      </c>
      <c r="H419" s="338">
        <v>6</v>
      </c>
      <c r="I419" s="326">
        <v>2693.4000000000015</v>
      </c>
      <c r="J419" s="329">
        <f t="shared" si="258"/>
      </c>
      <c r="K419" s="329">
        <f t="shared" si="296"/>
      </c>
      <c r="L419" s="329">
        <f t="shared" si="331"/>
      </c>
      <c r="M419" s="331">
        <f t="shared" si="24"/>
      </c>
      <c r="N419" s="332">
        <f t="shared" si="90"/>
      </c>
      <c r="O419" s="333">
        <f t="shared" si="120"/>
      </c>
      <c r="P419" s="332">
        <f t="shared" si="56"/>
      </c>
      <c r="Q419" s="334" t="s">
        <v>258</v>
      </c>
      <c r="R419" s="350" t="s">
        <v>227</v>
      </c>
      <c r="S419" s="347">
        <v>71757</v>
      </c>
      <c r="T419" s="347">
        <v>4457</v>
      </c>
      <c r="U419" s="348">
        <v>154</v>
      </c>
      <c r="V419" s="348">
        <v>5679</v>
      </c>
      <c r="W419" s="348">
        <v>382</v>
      </c>
      <c r="X419" s="348">
        <v>13</v>
      </c>
      <c r="Y419" s="348">
        <v>38</v>
      </c>
    </row>
    <row r="420">
      <c r="A420" s="324"/>
      <c r="B420" s="325" t="s">
        <v>257</v>
      </c>
      <c r="C420" s="326" t="s">
        <v>244</v>
      </c>
      <c r="D420" s="326">
        <f t="shared" si="201"/>
      </c>
      <c r="E420" s="327">
        <v>580.12</v>
      </c>
      <c r="F420" s="327">
        <v>1036.87</v>
      </c>
      <c r="G420" s="327">
        <v>0</v>
      </c>
      <c r="H420" s="338">
        <v>4</v>
      </c>
      <c r="I420" s="327">
        <v>2208.730000000003</v>
      </c>
      <c r="J420" s="329">
        <f t="shared" si="258"/>
      </c>
      <c r="K420" s="329">
        <f t="shared" si="296"/>
      </c>
      <c r="L420" s="329">
        <f t="shared" si="331"/>
      </c>
      <c r="M420" s="331">
        <f t="shared" si="24"/>
      </c>
      <c r="N420" s="332">
        <f t="shared" si="90"/>
      </c>
      <c r="O420" s="333">
        <f t="shared" si="120"/>
      </c>
      <c r="P420" s="332">
        <f t="shared" si="56"/>
      </c>
      <c r="Q420" s="334" t="s">
        <v>258</v>
      </c>
      <c r="R420" s="350" t="s">
        <v>227</v>
      </c>
      <c r="S420" s="347">
        <v>55432</v>
      </c>
      <c r="T420" s="347">
        <v>3212</v>
      </c>
      <c r="U420" s="348">
        <v>107</v>
      </c>
      <c r="V420" s="348">
        <v>4408</v>
      </c>
      <c r="W420" s="348">
        <v>296</v>
      </c>
      <c r="X420" s="348">
        <v>13</v>
      </c>
      <c r="Y420" s="348">
        <v>33</v>
      </c>
    </row>
    <row r="421">
      <c r="A421" s="324"/>
      <c r="B421" s="339" t="s">
        <v>232</v>
      </c>
      <c r="C421" s="339"/>
      <c r="D421" s="340">
        <f>SUM(D417:D420)</f>
      </c>
      <c r="E421" s="340">
        <f>SUM(E417:E420)</f>
      </c>
      <c r="F421" s="340">
        <f>SUM(F417:G420)</f>
      </c>
      <c r="G421" s="340"/>
      <c r="H421" s="341">
        <f>SUM(H417:H420)</f>
      </c>
      <c r="I421" s="340">
        <f>SUM(I417:I420)</f>
      </c>
      <c r="J421" s="342">
        <f t="shared" si="258"/>
      </c>
      <c r="K421" s="343">
        <f t="shared" si="296"/>
      </c>
      <c r="L421" s="344">
        <f t="shared" si="331"/>
      </c>
      <c r="M421" s="345">
        <f t="shared" si="24"/>
      </c>
      <c r="N421" s="345">
        <f t="shared" si="90"/>
      </c>
      <c r="O421" s="346">
        <f t="shared" si="120"/>
      </c>
      <c r="P421" s="345">
        <f t="shared" si="56"/>
      </c>
      <c r="Q421" s="346"/>
      <c r="R421" s="346"/>
      <c r="S421" s="341">
        <f>SUM(S417:S420)</f>
      </c>
      <c r="T421" s="341">
        <f>SUM(T417:T420)</f>
      </c>
      <c r="U421" s="341">
        <f>SUM(U417:U420)</f>
      </c>
      <c r="V421" s="341">
        <f>SUM(V417:V420)</f>
      </c>
      <c r="W421" s="341">
        <f>SUM(W417:W420)</f>
      </c>
      <c r="X421" s="341">
        <f>SUM(X417:X420)</f>
      </c>
      <c r="Y421" s="341">
        <f>SUM(Y417:Y420)</f>
      </c>
    </row>
    <row r="422">
      <c r="A422" s="324"/>
      <c r="B422" s="325" t="s">
        <v>260</v>
      </c>
      <c r="C422" s="327" t="s">
        <v>245</v>
      </c>
      <c r="D422" s="326">
        <f t="shared" ref="D422:D426" si="202">E422+G422+F422</f>
      </c>
      <c r="E422" s="327">
        <v>366.29</v>
      </c>
      <c r="F422" s="327">
        <v>968.81</v>
      </c>
      <c r="G422" s="327">
        <v>0</v>
      </c>
      <c r="H422" s="328">
        <v>3</v>
      </c>
      <c r="I422" s="327">
        <v>1089.479999999996</v>
      </c>
      <c r="J422" s="329">
        <f t="shared" si="258"/>
      </c>
      <c r="K422" s="329">
        <f t="shared" si="296"/>
      </c>
      <c r="L422" s="329">
        <f t="shared" si="331"/>
      </c>
      <c r="M422" s="331">
        <f t="shared" si="24"/>
      </c>
      <c r="N422" s="332">
        <f t="shared" si="90"/>
      </c>
      <c r="O422" s="333">
        <f t="shared" si="120"/>
      </c>
      <c r="P422" s="332">
        <f t="shared" si="56"/>
      </c>
      <c r="Q422" s="334" t="s">
        <v>258</v>
      </c>
      <c r="R422" s="350" t="s">
        <v>227</v>
      </c>
      <c r="S422" s="348">
        <v>40140</v>
      </c>
      <c r="T422" s="348">
        <v>2094</v>
      </c>
      <c r="U422" s="348">
        <v>98</v>
      </c>
      <c r="V422" s="348">
        <v>2802</v>
      </c>
      <c r="W422" s="348">
        <v>194</v>
      </c>
      <c r="X422" s="348">
        <v>6</v>
      </c>
      <c r="Y422" s="348">
        <v>23</v>
      </c>
    </row>
    <row r="423">
      <c r="A423" s="324"/>
      <c r="B423" s="325" t="s">
        <v>260</v>
      </c>
      <c r="C423" s="327" t="s">
        <v>250</v>
      </c>
      <c r="D423" s="326">
        <f t="shared" si="202"/>
      </c>
      <c r="E423" s="327">
        <v>356.55</v>
      </c>
      <c r="F423" s="327">
        <v>2889.6</v>
      </c>
      <c r="G423" s="327">
        <v>0</v>
      </c>
      <c r="H423" s="328">
        <v>16</v>
      </c>
      <c r="I423" s="327">
        <v>4714.940000000002</v>
      </c>
      <c r="J423" s="329">
        <f t="shared" si="258"/>
      </c>
      <c r="K423" s="329">
        <f t="shared" si="296"/>
      </c>
      <c r="L423" s="329">
        <f t="shared" si="331"/>
      </c>
      <c r="M423" s="331">
        <f t="shared" si="24"/>
      </c>
      <c r="N423" s="332">
        <f t="shared" si="90"/>
      </c>
      <c r="O423" s="333">
        <f t="shared" si="120"/>
      </c>
      <c r="P423" s="332">
        <f t="shared" si="56"/>
      </c>
      <c r="Q423" s="334" t="s">
        <v>258</v>
      </c>
      <c r="R423" s="350" t="s">
        <v>227</v>
      </c>
      <c r="S423" s="361">
        <v>121967</v>
      </c>
      <c r="T423" s="361">
        <v>5102</v>
      </c>
      <c r="U423" s="362">
        <v>270</v>
      </c>
      <c r="V423" s="362">
        <v>5747</v>
      </c>
      <c r="W423" s="362">
        <v>331</v>
      </c>
      <c r="X423" s="348">
        <v>29</v>
      </c>
      <c r="Y423" s="348">
        <v>47</v>
      </c>
    </row>
    <row r="424">
      <c r="A424" s="324"/>
      <c r="B424" s="325" t="s">
        <v>260</v>
      </c>
      <c r="C424" s="327" t="s">
        <v>264</v>
      </c>
      <c r="D424" s="326">
        <f t="shared" si="202"/>
      </c>
      <c r="E424" s="327">
        <v>601.71</v>
      </c>
      <c r="F424" s="327">
        <v>4976.18</v>
      </c>
      <c r="G424" s="327">
        <v>0</v>
      </c>
      <c r="H424" s="328">
        <v>25</v>
      </c>
      <c r="I424" s="327">
        <v>11214.870000000003</v>
      </c>
      <c r="J424" s="329">
        <f t="shared" si="258"/>
      </c>
      <c r="K424" s="329">
        <f t="shared" si="296"/>
      </c>
      <c r="L424" s="329">
        <f t="shared" si="331"/>
      </c>
      <c r="M424" s="331">
        <f t="shared" si="24"/>
      </c>
      <c r="N424" s="332">
        <f t="shared" si="90"/>
      </c>
      <c r="O424" s="333">
        <f t="shared" si="120"/>
      </c>
      <c r="P424" s="332">
        <f t="shared" si="56"/>
      </c>
      <c r="Q424" s="334" t="s">
        <v>258</v>
      </c>
      <c r="R424" s="350" t="s">
        <v>227</v>
      </c>
      <c r="S424" s="361">
        <v>187073</v>
      </c>
      <c r="T424" s="361">
        <v>5323</v>
      </c>
      <c r="U424" s="362">
        <v>440</v>
      </c>
      <c r="V424" s="362">
        <v>6524</v>
      </c>
      <c r="W424" s="362">
        <v>511</v>
      </c>
      <c r="X424" s="348">
        <v>48</v>
      </c>
      <c r="Y424" s="348">
        <v>71</v>
      </c>
    </row>
    <row r="425">
      <c r="A425" s="324"/>
      <c r="B425" s="325" t="s">
        <v>260</v>
      </c>
      <c r="C425" s="327" t="s">
        <v>266</v>
      </c>
      <c r="D425" s="326">
        <f t="shared" si="202"/>
      </c>
      <c r="E425" s="327">
        <v>253.32</v>
      </c>
      <c r="F425" s="327">
        <v>5642.97</v>
      </c>
      <c r="G425" s="327">
        <v>0</v>
      </c>
      <c r="H425" s="328">
        <v>24</v>
      </c>
      <c r="I425" s="327">
        <v>15562.369999999988</v>
      </c>
      <c r="J425" s="329">
        <f t="shared" si="258"/>
      </c>
      <c r="K425" s="329">
        <f t="shared" si="296"/>
      </c>
      <c r="L425" s="329">
        <f t="shared" si="331"/>
      </c>
      <c r="M425" s="331">
        <f t="shared" si="24"/>
      </c>
      <c r="N425" s="332">
        <f t="shared" si="90"/>
      </c>
      <c r="O425" s="333">
        <f t="shared" si="120"/>
      </c>
      <c r="P425" s="332">
        <f t="shared" si="56"/>
      </c>
      <c r="Q425" s="334" t="s">
        <v>258</v>
      </c>
      <c r="R425" s="350" t="s">
        <v>227</v>
      </c>
      <c r="S425" s="361">
        <v>181222</v>
      </c>
      <c r="T425" s="361">
        <v>2115</v>
      </c>
      <c r="U425" s="362">
        <v>290</v>
      </c>
      <c r="V425" s="362">
        <v>2696</v>
      </c>
      <c r="W425" s="362">
        <v>281</v>
      </c>
      <c r="X425" s="348">
        <v>46</v>
      </c>
      <c r="Y425" s="348">
        <v>62</v>
      </c>
    </row>
    <row r="426">
      <c r="A426" s="324"/>
      <c r="B426" s="325" t="s">
        <v>260</v>
      </c>
      <c r="C426" s="327" t="s">
        <v>267</v>
      </c>
      <c r="D426" s="326">
        <f t="shared" si="202"/>
      </c>
      <c r="E426" s="327">
        <v>291.27</v>
      </c>
      <c r="F426" s="327">
        <v>8903.81</v>
      </c>
      <c r="G426" s="327">
        <v>0</v>
      </c>
      <c r="H426" s="328">
        <v>26</v>
      </c>
      <c r="I426" s="327">
        <v>16463.229999999996</v>
      </c>
      <c r="J426" s="329">
        <f t="shared" si="258"/>
      </c>
      <c r="K426" s="329">
        <f t="shared" si="296"/>
      </c>
      <c r="L426" s="329">
        <f t="shared" si="331"/>
      </c>
      <c r="M426" s="331">
        <f t="shared" si="24"/>
      </c>
      <c r="N426" s="332">
        <f t="shared" si="90"/>
      </c>
      <c r="O426" s="333">
        <f t="shared" si="120"/>
      </c>
      <c r="P426" s="332">
        <f t="shared" si="56"/>
      </c>
      <c r="Q426" s="334" t="s">
        <v>258</v>
      </c>
      <c r="R426" s="350" t="s">
        <v>227</v>
      </c>
      <c r="S426" s="361">
        <v>276429</v>
      </c>
      <c r="T426" s="361">
        <v>2773</v>
      </c>
      <c r="U426" s="362">
        <v>449</v>
      </c>
      <c r="V426" s="362">
        <v>3298</v>
      </c>
      <c r="W426" s="362">
        <v>363</v>
      </c>
      <c r="X426" s="348">
        <v>44</v>
      </c>
      <c r="Y426" s="348">
        <v>78</v>
      </c>
    </row>
    <row r="427">
      <c r="A427" s="324"/>
      <c r="B427" s="339" t="s">
        <v>232</v>
      </c>
      <c r="C427" s="339"/>
      <c r="D427" s="340">
        <f>SUM(D422:D426)</f>
      </c>
      <c r="E427" s="340">
        <f>SUM(E422:E426)</f>
      </c>
      <c r="F427" s="340">
        <f>SUM(F422:F426)</f>
      </c>
      <c r="G427" s="340">
        <f>SUM(G422:G426)</f>
      </c>
      <c r="H427" s="340">
        <f>SUM(H422:H426)</f>
      </c>
      <c r="I427" s="340">
        <f>SUM(I422:I426)</f>
      </c>
      <c r="J427" s="342">
        <f t="shared" si="258"/>
      </c>
      <c r="K427" s="343">
        <f t="shared" si="296"/>
      </c>
      <c r="L427" s="344">
        <f t="shared" si="331"/>
      </c>
      <c r="M427" s="345">
        <f t="shared" si="24"/>
      </c>
      <c r="N427" s="345">
        <f t="shared" si="90"/>
      </c>
      <c r="O427" s="346">
        <f t="shared" si="120"/>
      </c>
      <c r="P427" s="345">
        <f t="shared" si="56"/>
      </c>
      <c r="Q427" s="346"/>
      <c r="R427" s="351"/>
      <c r="S427" s="340">
        <f>SUM(S422:S426)</f>
      </c>
      <c r="T427" s="340">
        <f>SUM(T422:T426)</f>
      </c>
      <c r="U427" s="340">
        <f>SUM(U422:U426)</f>
      </c>
      <c r="V427" s="340">
        <f>SUM(V422:V426)</f>
      </c>
      <c r="W427" s="340">
        <f>SUM(W422:W426)</f>
      </c>
      <c r="X427" s="340">
        <f>SUM(X422:X426)</f>
      </c>
      <c r="Y427" s="340">
        <f>SUM(Y422:Y426)</f>
      </c>
    </row>
    <row r="428">
      <c r="A428" s="324"/>
      <c r="B428" s="353" t="s">
        <v>246</v>
      </c>
      <c r="C428" s="353"/>
      <c r="D428" s="354">
        <f>D427+D421+D416+D411</f>
      </c>
      <c r="E428" s="354">
        <f>E427+E421+E416+E411</f>
      </c>
      <c r="F428" s="354">
        <f>F427+F421+F416+F411</f>
      </c>
      <c r="G428" s="354"/>
      <c r="H428" s="355">
        <f>H427+H421+H416+H411</f>
      </c>
      <c r="I428" s="354">
        <f>I427+I421+I416+I411</f>
      </c>
      <c r="J428" s="356">
        <f t="shared" si="258"/>
      </c>
      <c r="K428" s="356">
        <f t="shared" si="296"/>
      </c>
      <c r="L428" s="356">
        <f t="shared" si="331"/>
      </c>
      <c r="M428" s="357">
        <f t="shared" si="24"/>
      </c>
      <c r="N428" s="357">
        <f t="shared" si="90"/>
      </c>
      <c r="O428" s="356">
        <f t="shared" si="120"/>
      </c>
      <c r="P428" s="357">
        <f t="shared" si="56"/>
      </c>
      <c r="Q428" s="358"/>
      <c r="R428" s="359"/>
      <c r="S428" s="381">
        <f>S427+S421+S416+S411</f>
      </c>
      <c r="T428" s="381">
        <f>T427+T421+T416+T411</f>
      </c>
      <c r="U428" s="381">
        <f>U427+U421+U416+U411</f>
      </c>
      <c r="V428" s="381">
        <f>V427+V421+V416+V411</f>
      </c>
      <c r="W428" s="381">
        <f>W427+W421+W416+W411</f>
      </c>
      <c r="X428" s="360">
        <f>X427+X421+X416+X411</f>
      </c>
      <c r="Y428" s="355">
        <f>Y427+Y421+Y416+Y411</f>
      </c>
    </row>
    <row r="429">
      <c r="A429" s="311" t="s">
        <v>195</v>
      </c>
      <c r="B429" s="311"/>
      <c r="C429" s="311"/>
      <c r="D429" s="312" t="s">
        <v>196</v>
      </c>
      <c r="E429" s="312"/>
      <c r="F429" s="312"/>
      <c r="G429" s="312"/>
      <c r="H429" s="312"/>
      <c r="I429" s="312"/>
      <c r="J429" s="312"/>
      <c r="K429" s="312"/>
      <c r="L429" s="312"/>
      <c r="M429" s="313" t="s">
        <v>197</v>
      </c>
      <c r="N429" s="313"/>
      <c r="O429" s="313"/>
      <c r="P429" s="313"/>
      <c r="Q429" s="313"/>
      <c r="R429" s="313"/>
      <c r="S429" s="314" t="s">
        <v>198</v>
      </c>
      <c r="T429" s="314"/>
      <c r="U429" s="314"/>
      <c r="V429" s="314"/>
      <c r="W429" s="314"/>
      <c r="X429" s="314"/>
      <c r="Y429" s="314"/>
    </row>
    <row r="430">
      <c r="A430" s="315" t="s">
        <v>199</v>
      </c>
      <c r="B430" s="311" t="s">
        <v>200</v>
      </c>
      <c r="C430" s="311" t="s">
        <v>201</v>
      </c>
      <c r="D430" s="312" t="s">
        <v>202</v>
      </c>
      <c r="E430" s="316" t="s">
        <v>203</v>
      </c>
      <c r="F430" s="312" t="s">
        <v>204</v>
      </c>
      <c r="G430" s="312"/>
      <c r="H430" s="317" t="s">
        <v>205</v>
      </c>
      <c r="I430" s="312" t="s">
        <v>206</v>
      </c>
      <c r="J430" s="318" t="s">
        <v>207</v>
      </c>
      <c r="K430" s="319" t="s">
        <v>208</v>
      </c>
      <c r="L430" s="312" t="s">
        <v>209</v>
      </c>
      <c r="M430" s="313" t="s">
        <v>210</v>
      </c>
      <c r="N430" s="313" t="s">
        <v>211</v>
      </c>
      <c r="O430" s="313" t="s">
        <v>212</v>
      </c>
      <c r="P430" s="320" t="s">
        <v>213</v>
      </c>
      <c r="Q430" s="321" t="s">
        <v>214</v>
      </c>
      <c r="R430" s="321" t="s">
        <v>215</v>
      </c>
      <c r="S430" s="366" t="s">
        <v>216</v>
      </c>
      <c r="T430" s="366" t="s">
        <v>217</v>
      </c>
      <c r="U430" s="323" t="s">
        <v>218</v>
      </c>
      <c r="V430" s="323" t="s">
        <v>219</v>
      </c>
      <c r="W430" s="323" t="s">
        <v>220</v>
      </c>
      <c r="X430" s="322" t="s">
        <v>221</v>
      </c>
      <c r="Y430" s="322" t="s">
        <v>222</v>
      </c>
    </row>
    <row r="431">
      <c r="A431" s="363" t="s">
        <v>281</v>
      </c>
      <c r="B431" s="325" t="s">
        <v>224</v>
      </c>
      <c r="C431" s="326" t="s">
        <v>228</v>
      </c>
      <c r="D431" s="326">
        <f t="shared" ref="D431:D434" si="203">E431+G431+F431</f>
      </c>
      <c r="E431" s="327">
        <v>1912.53</v>
      </c>
      <c r="F431" s="327">
        <v>4345.35</v>
      </c>
      <c r="G431" s="327">
        <v>0</v>
      </c>
      <c r="H431" s="328">
        <v>21</v>
      </c>
      <c r="I431" s="327">
        <v>11717.3</v>
      </c>
      <c r="J431" s="329">
        <f t="shared" ref="J431:J450" si="259">I431/D431</f>
      </c>
      <c r="K431" s="330">
        <f t="shared" ref="K431:K450" si="297">D431/H431</f>
      </c>
      <c r="L431" s="329">
        <f t="shared" ref="L431:L450" si="332">I431/H431</f>
      </c>
      <c r="M431" s="331">
        <f t="shared" ref="M431:M450" si="25">T431/S431</f>
      </c>
      <c r="N431" s="332">
        <f t="shared" ref="N431:N450" si="91">H431/X431</f>
      </c>
      <c r="O431" s="333">
        <f t="shared" ref="O431:O450" si="121">(Y431*1000)/D431</f>
      </c>
      <c r="P431" s="332">
        <f t="shared" ref="P431:P450" si="57">W431/V431</f>
      </c>
      <c r="Q431" s="334" t="s">
        <v>255</v>
      </c>
      <c r="R431" s="370" t="s">
        <v>261</v>
      </c>
      <c r="S431" s="336">
        <v>125251</v>
      </c>
      <c r="T431" s="336">
        <v>5056</v>
      </c>
      <c r="U431" s="368">
        <v>377</v>
      </c>
      <c r="V431" s="337">
        <v>8260</v>
      </c>
      <c r="W431" s="337">
        <v>1128</v>
      </c>
      <c r="X431" s="337">
        <v>31</v>
      </c>
      <c r="Y431" s="337">
        <v>104</v>
      </c>
    </row>
    <row r="432">
      <c r="A432" s="363"/>
      <c r="B432" s="325" t="s">
        <v>224</v>
      </c>
      <c r="C432" s="326" t="s">
        <v>229</v>
      </c>
      <c r="D432" s="326">
        <f t="shared" si="203"/>
      </c>
      <c r="E432" s="327">
        <v>2112.77</v>
      </c>
      <c r="F432" s="327">
        <v>3286.6</v>
      </c>
      <c r="G432" s="327">
        <v>0</v>
      </c>
      <c r="H432" s="328">
        <v>24</v>
      </c>
      <c r="I432" s="326">
        <v>11014.510000000002</v>
      </c>
      <c r="J432" s="329">
        <f t="shared" si="259"/>
      </c>
      <c r="K432" s="329">
        <f t="shared" si="297"/>
      </c>
      <c r="L432" s="330">
        <f t="shared" si="332"/>
      </c>
      <c r="M432" s="331">
        <f t="shared" si="25"/>
      </c>
      <c r="N432" s="332">
        <f t="shared" si="91"/>
      </c>
      <c r="O432" s="333">
        <f t="shared" si="121"/>
      </c>
      <c r="P432" s="332">
        <f t="shared" si="57"/>
      </c>
      <c r="Q432" s="334" t="s">
        <v>255</v>
      </c>
      <c r="R432" s="370" t="s">
        <v>261</v>
      </c>
      <c r="S432" s="369">
        <v>117298</v>
      </c>
      <c r="T432" s="369">
        <v>3742</v>
      </c>
      <c r="U432" s="337">
        <v>373</v>
      </c>
      <c r="V432" s="337">
        <v>6842</v>
      </c>
      <c r="W432" s="337">
        <v>1111</v>
      </c>
      <c r="X432" s="337">
        <v>37</v>
      </c>
      <c r="Y432" s="337">
        <v>85</v>
      </c>
    </row>
    <row r="433">
      <c r="A433" s="363"/>
      <c r="B433" s="325" t="s">
        <v>224</v>
      </c>
      <c r="C433" s="326" t="s">
        <v>230</v>
      </c>
      <c r="D433" s="326">
        <f t="shared" si="203"/>
      </c>
      <c r="E433" s="327">
        <v>2215.31</v>
      </c>
      <c r="F433" s="327">
        <v>2529.71</v>
      </c>
      <c r="G433" s="327">
        <v>0</v>
      </c>
      <c r="H433" s="338">
        <v>18</v>
      </c>
      <c r="I433" s="326">
        <v>10925.079999999998</v>
      </c>
      <c r="J433" s="329">
        <f t="shared" si="259"/>
      </c>
      <c r="K433" s="329">
        <f t="shared" si="297"/>
      </c>
      <c r="L433" s="329">
        <f t="shared" si="332"/>
      </c>
      <c r="M433" s="331">
        <f t="shared" si="25"/>
      </c>
      <c r="N433" s="332">
        <f t="shared" si="91"/>
      </c>
      <c r="O433" s="333">
        <f t="shared" si="121"/>
      </c>
      <c r="P433" s="332">
        <f t="shared" si="57"/>
      </c>
      <c r="Q433" s="334" t="s">
        <v>255</v>
      </c>
      <c r="R433" s="370" t="s">
        <v>261</v>
      </c>
      <c r="S433" s="336">
        <v>94620</v>
      </c>
      <c r="T433" s="336">
        <v>2483</v>
      </c>
      <c r="U433" s="337">
        <v>317</v>
      </c>
      <c r="V433" s="337">
        <v>4266</v>
      </c>
      <c r="W433" s="337">
        <v>645</v>
      </c>
      <c r="X433" s="337">
        <v>27</v>
      </c>
      <c r="Y433" s="337">
        <v>70</v>
      </c>
    </row>
    <row r="434">
      <c r="A434" s="363"/>
      <c r="B434" s="325" t="s">
        <v>224</v>
      </c>
      <c r="C434" s="364" t="s">
        <v>231</v>
      </c>
      <c r="D434" s="326">
        <f t="shared" si="203"/>
      </c>
      <c r="E434" s="327">
        <v>1343.21</v>
      </c>
      <c r="F434" s="327">
        <v>3310.27</v>
      </c>
      <c r="G434" s="327">
        <v>0</v>
      </c>
      <c r="H434" s="338">
        <v>18</v>
      </c>
      <c r="I434" s="326">
        <v>5190.5999999999985</v>
      </c>
      <c r="J434" s="329">
        <f t="shared" si="259"/>
      </c>
      <c r="K434" s="329">
        <f t="shared" si="297"/>
      </c>
      <c r="L434" s="329">
        <f t="shared" si="332"/>
      </c>
      <c r="M434" s="331">
        <f t="shared" si="25"/>
      </c>
      <c r="N434" s="332">
        <f t="shared" si="91"/>
      </c>
      <c r="O434" s="333">
        <f t="shared" si="121"/>
      </c>
      <c r="P434" s="332">
        <f t="shared" si="57"/>
      </c>
      <c r="Q434" s="334" t="s">
        <v>255</v>
      </c>
      <c r="R434" s="370" t="s">
        <v>261</v>
      </c>
      <c r="S434" s="336">
        <v>96909</v>
      </c>
      <c r="T434" s="336">
        <v>2291</v>
      </c>
      <c r="U434" s="337">
        <v>303</v>
      </c>
      <c r="V434" s="337">
        <v>3493</v>
      </c>
      <c r="W434" s="337">
        <v>476</v>
      </c>
      <c r="X434" s="337">
        <v>32</v>
      </c>
      <c r="Y434" s="337">
        <v>65</v>
      </c>
    </row>
    <row r="435">
      <c r="A435" s="363"/>
      <c r="B435" s="339" t="s">
        <v>232</v>
      </c>
      <c r="C435" s="339"/>
      <c r="D435" s="340">
        <f>SUM(D431:D434)</f>
      </c>
      <c r="E435" s="340">
        <f>SUM(E431:E434)</f>
      </c>
      <c r="F435" s="340">
        <f>SUM(F431:G434)</f>
      </c>
      <c r="G435" s="340"/>
      <c r="H435" s="341">
        <f>SUM(H431:H434)</f>
      </c>
      <c r="I435" s="340">
        <f>SUM(I431:I434)</f>
      </c>
      <c r="J435" s="342">
        <f t="shared" si="259"/>
      </c>
      <c r="K435" s="343">
        <f t="shared" si="297"/>
      </c>
      <c r="L435" s="344">
        <f t="shared" si="332"/>
      </c>
      <c r="M435" s="345">
        <f t="shared" si="25"/>
      </c>
      <c r="N435" s="345">
        <f t="shared" si="91"/>
      </c>
      <c r="O435" s="346">
        <f t="shared" si="121"/>
      </c>
      <c r="P435" s="345">
        <f t="shared" si="57"/>
      </c>
      <c r="Q435" s="346"/>
      <c r="R435" s="346"/>
      <c r="S435" s="341">
        <f>SUM(S431:S434)</f>
      </c>
      <c r="T435" s="341">
        <f>SUM(T431:T434)</f>
      </c>
      <c r="U435" s="341">
        <f>SUM(U431:U434)</f>
      </c>
      <c r="V435" s="341">
        <f>SUM(V431:V434)</f>
      </c>
      <c r="W435" s="341">
        <f>SUM(W431:W434)</f>
      </c>
      <c r="X435" s="341">
        <f>SUM(X431:X434)</f>
      </c>
      <c r="Y435" s="341">
        <f>SUM(Y431:Y434)</f>
      </c>
    </row>
    <row r="436">
      <c r="A436" s="363"/>
      <c r="B436" s="325" t="s">
        <v>257</v>
      </c>
      <c r="C436" s="327" t="s">
        <v>234</v>
      </c>
      <c r="D436" s="326">
        <f t="shared" ref="D436:D439" si="204">E436+G436+F436</f>
      </c>
      <c r="E436" s="327">
        <v>2445.95</v>
      </c>
      <c r="F436" s="327">
        <v>1998.79</v>
      </c>
      <c r="G436" s="327">
        <v>0</v>
      </c>
      <c r="H436" s="338">
        <v>11</v>
      </c>
      <c r="I436" s="326">
        <v>4578.240000000005</v>
      </c>
      <c r="J436" s="329">
        <f t="shared" si="259"/>
      </c>
      <c r="K436" s="329">
        <f t="shared" si="297"/>
      </c>
      <c r="L436" s="329">
        <f t="shared" si="332"/>
      </c>
      <c r="M436" s="331">
        <f t="shared" si="25"/>
      </c>
      <c r="N436" s="332">
        <f t="shared" si="91"/>
      </c>
      <c r="O436" s="333">
        <f t="shared" si="121"/>
      </c>
      <c r="P436" s="332">
        <f t="shared" si="57"/>
      </c>
      <c r="Q436" s="334" t="s">
        <v>255</v>
      </c>
      <c r="R436" s="370" t="s">
        <v>261</v>
      </c>
      <c r="S436" s="347">
        <v>98235</v>
      </c>
      <c r="T436" s="347">
        <v>2314</v>
      </c>
      <c r="U436" s="348">
        <v>241</v>
      </c>
      <c r="V436" s="348">
        <v>3138</v>
      </c>
      <c r="W436" s="348">
        <v>381</v>
      </c>
      <c r="X436" s="348">
        <v>20</v>
      </c>
      <c r="Y436" s="348">
        <v>53</v>
      </c>
    </row>
    <row r="437">
      <c r="A437" s="363"/>
      <c r="B437" s="325" t="s">
        <v>257</v>
      </c>
      <c r="C437" s="327" t="s">
        <v>235</v>
      </c>
      <c r="D437" s="326">
        <f t="shared" si="204"/>
      </c>
      <c r="E437" s="327">
        <v>2178.08</v>
      </c>
      <c r="F437" s="327">
        <v>2875.3</v>
      </c>
      <c r="G437" s="327">
        <v>0</v>
      </c>
      <c r="H437" s="328">
        <v>26</v>
      </c>
      <c r="I437" s="327">
        <v>14867.159999999996</v>
      </c>
      <c r="J437" s="329">
        <f t="shared" si="259"/>
      </c>
      <c r="K437" s="329">
        <f t="shared" si="297"/>
      </c>
      <c r="L437" s="329">
        <f t="shared" si="332"/>
      </c>
      <c r="M437" s="331">
        <f t="shared" si="25"/>
      </c>
      <c r="N437" s="332">
        <f t="shared" si="91"/>
      </c>
      <c r="O437" s="333">
        <f t="shared" si="121"/>
      </c>
      <c r="P437" s="332">
        <f t="shared" si="57"/>
      </c>
      <c r="Q437" s="334" t="s">
        <v>255</v>
      </c>
      <c r="R437" s="370" t="s">
        <v>261</v>
      </c>
      <c r="S437" s="347">
        <v>119821</v>
      </c>
      <c r="T437" s="347">
        <v>2385</v>
      </c>
      <c r="U437" s="348">
        <v>318</v>
      </c>
      <c r="V437" s="348">
        <v>3201</v>
      </c>
      <c r="W437" s="348">
        <v>316</v>
      </c>
      <c r="X437" s="348">
        <v>43</v>
      </c>
      <c r="Y437" s="348">
        <v>54</v>
      </c>
    </row>
    <row r="438">
      <c r="A438" s="363"/>
      <c r="B438" s="325" t="s">
        <v>257</v>
      </c>
      <c r="C438" s="326" t="s">
        <v>236</v>
      </c>
      <c r="D438" s="326">
        <f t="shared" si="204"/>
      </c>
      <c r="E438" s="327">
        <v>3864.54</v>
      </c>
      <c r="F438" s="327">
        <v>4013.56</v>
      </c>
      <c r="G438" s="327">
        <v>0</v>
      </c>
      <c r="H438" s="328">
        <v>30</v>
      </c>
      <c r="I438" s="327">
        <v>12812.759999999995</v>
      </c>
      <c r="J438" s="329">
        <f t="shared" si="259"/>
      </c>
      <c r="K438" s="329">
        <f t="shared" si="297"/>
      </c>
      <c r="L438" s="329">
        <f t="shared" si="332"/>
      </c>
      <c r="M438" s="331">
        <f t="shared" si="25"/>
      </c>
      <c r="N438" s="332">
        <f t="shared" si="91"/>
      </c>
      <c r="O438" s="333">
        <f t="shared" si="121"/>
      </c>
      <c r="P438" s="332">
        <f t="shared" si="57"/>
      </c>
      <c r="Q438" s="334" t="s">
        <v>255</v>
      </c>
      <c r="R438" s="370" t="s">
        <v>261</v>
      </c>
      <c r="S438" s="347">
        <v>209351</v>
      </c>
      <c r="T438" s="347">
        <v>4543</v>
      </c>
      <c r="U438" s="348">
        <v>448</v>
      </c>
      <c r="V438" s="348">
        <v>6256</v>
      </c>
      <c r="W438" s="348">
        <v>534</v>
      </c>
      <c r="X438" s="348">
        <v>45</v>
      </c>
      <c r="Y438" s="348">
        <v>93</v>
      </c>
    </row>
    <row r="439">
      <c r="A439" s="363"/>
      <c r="B439" s="325" t="s">
        <v>257</v>
      </c>
      <c r="C439" s="326" t="s">
        <v>237</v>
      </c>
      <c r="D439" s="326">
        <f t="shared" si="204"/>
      </c>
      <c r="E439" s="327">
        <v>4116.06</v>
      </c>
      <c r="F439" s="327">
        <v>1707.85</v>
      </c>
      <c r="G439" s="327">
        <v>0</v>
      </c>
      <c r="H439" s="338">
        <v>33</v>
      </c>
      <c r="I439" s="327">
        <v>15617.11</v>
      </c>
      <c r="J439" s="329">
        <f t="shared" si="259"/>
      </c>
      <c r="K439" s="329">
        <f t="shared" si="297"/>
      </c>
      <c r="L439" s="329">
        <f t="shared" si="332"/>
      </c>
      <c r="M439" s="331">
        <f t="shared" si="25"/>
      </c>
      <c r="N439" s="332">
        <f t="shared" si="91"/>
      </c>
      <c r="O439" s="333">
        <f t="shared" si="121"/>
      </c>
      <c r="P439" s="332">
        <f t="shared" si="57"/>
      </c>
      <c r="Q439" s="334" t="s">
        <v>255</v>
      </c>
      <c r="R439" s="370" t="s">
        <v>261</v>
      </c>
      <c r="S439" s="347">
        <v>177195</v>
      </c>
      <c r="T439" s="347">
        <v>3773</v>
      </c>
      <c r="U439" s="348">
        <v>447</v>
      </c>
      <c r="V439" s="348">
        <v>5454</v>
      </c>
      <c r="W439" s="348">
        <v>592</v>
      </c>
      <c r="X439" s="348">
        <v>42</v>
      </c>
      <c r="Y439" s="348">
        <v>88</v>
      </c>
    </row>
    <row r="440">
      <c r="A440" s="363"/>
      <c r="B440" s="339" t="s">
        <v>232</v>
      </c>
      <c r="C440" s="339"/>
      <c r="D440" s="340">
        <f>SUM(D436:D439)</f>
      </c>
      <c r="E440" s="340">
        <f>SUM(E436:E439)</f>
      </c>
      <c r="F440" s="340">
        <f>SUM(F436:G439)</f>
      </c>
      <c r="G440" s="340"/>
      <c r="H440" s="341">
        <f>SUM(H436:H439)</f>
      </c>
      <c r="I440" s="340">
        <f>SUM(I436:I439)</f>
      </c>
      <c r="J440" s="342">
        <f t="shared" si="259"/>
      </c>
      <c r="K440" s="343">
        <f t="shared" si="297"/>
      </c>
      <c r="L440" s="344">
        <f t="shared" si="332"/>
      </c>
      <c r="M440" s="345">
        <f t="shared" si="25"/>
      </c>
      <c r="N440" s="345">
        <f t="shared" si="91"/>
      </c>
      <c r="O440" s="346">
        <f t="shared" si="121"/>
      </c>
      <c r="P440" s="345">
        <f t="shared" si="57"/>
      </c>
      <c r="Q440" s="346"/>
      <c r="R440" s="346"/>
      <c r="S440" s="341">
        <f>SUM(S436:S439)</f>
      </c>
      <c r="T440" s="341">
        <f>SUM(T436:T439)</f>
      </c>
      <c r="U440" s="341">
        <f>SUM(U436:U439)</f>
      </c>
      <c r="V440" s="341">
        <f>SUM(V436:V439)</f>
      </c>
      <c r="W440" s="341">
        <f>SUM(W436:W439)</f>
      </c>
      <c r="X440" s="341">
        <f>SUM(X436:X439)</f>
      </c>
      <c r="Y440" s="341">
        <f>SUM(Y436:Y439)</f>
      </c>
    </row>
    <row r="441">
      <c r="A441" s="363"/>
      <c r="B441" s="325" t="s">
        <v>260</v>
      </c>
      <c r="C441" s="327" t="s">
        <v>239</v>
      </c>
      <c r="D441" s="326">
        <f t="shared" ref="D441:D444" si="205">E441+G441+F441</f>
      </c>
      <c r="E441" s="327">
        <v>2826</v>
      </c>
      <c r="F441" s="327">
        <v>5280.37</v>
      </c>
      <c r="G441" s="327">
        <v>0</v>
      </c>
      <c r="H441" s="338">
        <v>28</v>
      </c>
      <c r="I441" s="326">
        <v>16483.72</v>
      </c>
      <c r="J441" s="329">
        <f t="shared" si="259"/>
      </c>
      <c r="K441" s="329">
        <f t="shared" si="297"/>
      </c>
      <c r="L441" s="329">
        <f t="shared" si="332"/>
      </c>
      <c r="M441" s="331">
        <f t="shared" si="25"/>
      </c>
      <c r="N441" s="332">
        <f t="shared" si="91"/>
      </c>
      <c r="O441" s="333">
        <f t="shared" si="121"/>
      </c>
      <c r="P441" s="332">
        <f t="shared" si="57"/>
      </c>
      <c r="Q441" s="334" t="s">
        <v>258</v>
      </c>
      <c r="R441" s="370" t="s">
        <v>261</v>
      </c>
      <c r="S441" s="347">
        <v>252240</v>
      </c>
      <c r="T441" s="347">
        <v>3517</v>
      </c>
      <c r="U441" s="348">
        <v>446</v>
      </c>
      <c r="V441" s="348">
        <v>4900</v>
      </c>
      <c r="W441" s="348">
        <v>548</v>
      </c>
      <c r="X441" s="348">
        <v>82</v>
      </c>
      <c r="Y441" s="348">
        <v>97</v>
      </c>
    </row>
    <row r="442">
      <c r="A442" s="363"/>
      <c r="B442" s="325" t="s">
        <v>260</v>
      </c>
      <c r="C442" s="327" t="s">
        <v>241</v>
      </c>
      <c r="D442" s="326">
        <f t="shared" si="205"/>
      </c>
      <c r="E442" s="327">
        <v>2557.8</v>
      </c>
      <c r="F442" s="327">
        <v>5927.58</v>
      </c>
      <c r="G442" s="327">
        <v>0</v>
      </c>
      <c r="H442" s="338">
        <v>20</v>
      </c>
      <c r="I442" s="326">
        <v>7964.279999999999</v>
      </c>
      <c r="J442" s="329">
        <f t="shared" si="259"/>
      </c>
      <c r="K442" s="329">
        <f t="shared" si="297"/>
      </c>
      <c r="L442" s="329">
        <f t="shared" si="332"/>
      </c>
      <c r="M442" s="331">
        <f t="shared" si="25"/>
      </c>
      <c r="N442" s="332">
        <f t="shared" si="91"/>
      </c>
      <c r="O442" s="333">
        <f t="shared" si="121"/>
      </c>
      <c r="P442" s="332">
        <f t="shared" si="57"/>
      </c>
      <c r="Q442" s="334" t="s">
        <v>258</v>
      </c>
      <c r="R442" s="350" t="s">
        <v>227</v>
      </c>
      <c r="S442" s="347">
        <v>279414</v>
      </c>
      <c r="T442" s="347">
        <v>3202</v>
      </c>
      <c r="U442" s="348">
        <v>449</v>
      </c>
      <c r="V442" s="348">
        <v>3974</v>
      </c>
      <c r="W442" s="348">
        <v>528</v>
      </c>
      <c r="X442" s="348">
        <v>42</v>
      </c>
      <c r="Y442" s="348">
        <v>87</v>
      </c>
    </row>
    <row r="443">
      <c r="A443" s="363"/>
      <c r="B443" s="325" t="s">
        <v>260</v>
      </c>
      <c r="C443" s="327" t="s">
        <v>242</v>
      </c>
      <c r="D443" s="326">
        <f t="shared" si="205"/>
      </c>
      <c r="E443" s="327">
        <v>919.21</v>
      </c>
      <c r="F443" s="327">
        <v>4439.87</v>
      </c>
      <c r="G443" s="327">
        <v>0</v>
      </c>
      <c r="H443" s="338">
        <v>9</v>
      </c>
      <c r="I443" s="326">
        <v>5138.560000000012</v>
      </c>
      <c r="J443" s="329">
        <f t="shared" si="259"/>
      </c>
      <c r="K443" s="329">
        <f t="shared" si="297"/>
      </c>
      <c r="L443" s="329">
        <f t="shared" si="332"/>
      </c>
      <c r="M443" s="331">
        <f t="shared" si="25"/>
      </c>
      <c r="N443" s="332">
        <f t="shared" si="91"/>
      </c>
      <c r="O443" s="333">
        <f t="shared" si="121"/>
      </c>
      <c r="P443" s="332">
        <f t="shared" si="57"/>
      </c>
      <c r="Q443" s="334" t="s">
        <v>258</v>
      </c>
      <c r="R443" s="350" t="s">
        <v>227</v>
      </c>
      <c r="S443" s="347">
        <v>161723</v>
      </c>
      <c r="T443" s="347">
        <v>1803</v>
      </c>
      <c r="U443" s="348">
        <v>261</v>
      </c>
      <c r="V443" s="348">
        <v>2477</v>
      </c>
      <c r="W443" s="348">
        <v>306</v>
      </c>
      <c r="X443" s="348">
        <v>18</v>
      </c>
      <c r="Y443" s="348">
        <v>38</v>
      </c>
    </row>
    <row r="444">
      <c r="A444" s="363"/>
      <c r="B444" s="325" t="s">
        <v>260</v>
      </c>
      <c r="C444" s="326" t="s">
        <v>244</v>
      </c>
      <c r="D444" s="326">
        <f t="shared" si="205"/>
      </c>
      <c r="E444" s="327">
        <v>1205.75</v>
      </c>
      <c r="F444" s="327">
        <v>1178.69</v>
      </c>
      <c r="G444" s="327">
        <v>0</v>
      </c>
      <c r="H444" s="338">
        <v>9</v>
      </c>
      <c r="I444" s="327">
        <v>4633.439999999988</v>
      </c>
      <c r="J444" s="329">
        <f t="shared" si="259"/>
      </c>
      <c r="K444" s="329">
        <f t="shared" si="297"/>
      </c>
      <c r="L444" s="329">
        <f t="shared" si="332"/>
      </c>
      <c r="M444" s="331">
        <f t="shared" si="25"/>
      </c>
      <c r="N444" s="332">
        <f t="shared" si="91"/>
      </c>
      <c r="O444" s="333">
        <f t="shared" si="121"/>
      </c>
      <c r="P444" s="332">
        <f t="shared" si="57"/>
      </c>
      <c r="Q444" s="334" t="s">
        <v>258</v>
      </c>
      <c r="R444" s="350" t="s">
        <v>227</v>
      </c>
      <c r="S444" s="347">
        <v>70251</v>
      </c>
      <c r="T444" s="347">
        <v>1017</v>
      </c>
      <c r="U444" s="348">
        <v>148</v>
      </c>
      <c r="V444" s="348">
        <v>1622</v>
      </c>
      <c r="W444" s="348">
        <v>211</v>
      </c>
      <c r="X444" s="348">
        <v>15</v>
      </c>
      <c r="Y444" s="348">
        <v>39</v>
      </c>
    </row>
    <row r="445">
      <c r="A445" s="363"/>
      <c r="B445" s="339" t="s">
        <v>232</v>
      </c>
      <c r="C445" s="339"/>
      <c r="D445" s="340">
        <f>SUM(D441:D444)</f>
      </c>
      <c r="E445" s="340">
        <f>SUM(E441:E444)</f>
      </c>
      <c r="F445" s="340">
        <f>SUM(F441:G444)</f>
      </c>
      <c r="G445" s="340"/>
      <c r="H445" s="341">
        <f>SUM(H441:H444)</f>
      </c>
      <c r="I445" s="340">
        <f>SUM(I441:I444)</f>
      </c>
      <c r="J445" s="342">
        <f t="shared" si="259"/>
      </c>
      <c r="K445" s="343">
        <f t="shared" si="297"/>
      </c>
      <c r="L445" s="344">
        <f t="shared" si="332"/>
      </c>
      <c r="M445" s="345">
        <f t="shared" si="25"/>
      </c>
      <c r="N445" s="345">
        <f t="shared" si="91"/>
      </c>
      <c r="O445" s="346">
        <f t="shared" si="121"/>
      </c>
      <c r="P445" s="345">
        <f t="shared" si="57"/>
      </c>
      <c r="Q445" s="346"/>
      <c r="R445" s="346"/>
      <c r="S445" s="341">
        <f>SUM(S441:S444)</f>
      </c>
      <c r="T445" s="341">
        <f>SUM(T441:T444)</f>
      </c>
      <c r="U445" s="341">
        <f>SUM(U441:U444)</f>
      </c>
      <c r="V445" s="341">
        <f>SUM(V441:V444)</f>
      </c>
      <c r="W445" s="341">
        <f>SUM(W441:W444)</f>
      </c>
      <c r="X445" s="341">
        <f>SUM(X441:X444)</f>
      </c>
      <c r="Y445" s="341">
        <f>SUM(Y441:Y444)</f>
      </c>
    </row>
    <row r="446">
      <c r="A446" s="363"/>
      <c r="B446" s="325" t="s">
        <v>248</v>
      </c>
      <c r="C446" s="327" t="s">
        <v>245</v>
      </c>
      <c r="D446" s="326">
        <f t="shared" ref="D446:D448" si="206">E446+G446+F446</f>
      </c>
      <c r="E446" s="327">
        <v>1233.18</v>
      </c>
      <c r="F446" s="327">
        <v>2194.22</v>
      </c>
      <c r="G446" s="327">
        <v>0</v>
      </c>
      <c r="H446" s="328">
        <v>15</v>
      </c>
      <c r="I446" s="327">
        <v>5535.840000000011</v>
      </c>
      <c r="J446" s="329">
        <f t="shared" si="259"/>
      </c>
      <c r="K446" s="329">
        <f t="shared" si="297"/>
      </c>
      <c r="L446" s="329">
        <f t="shared" si="332"/>
      </c>
      <c r="M446" s="331">
        <f t="shared" si="25"/>
      </c>
      <c r="N446" s="332">
        <f t="shared" si="91"/>
      </c>
      <c r="O446" s="333">
        <f t="shared" si="121"/>
      </c>
      <c r="P446" s="332">
        <f t="shared" si="57"/>
      </c>
      <c r="Q446" s="334" t="s">
        <v>258</v>
      </c>
      <c r="R446" s="350" t="s">
        <v>227</v>
      </c>
      <c r="S446" s="348">
        <v>88430</v>
      </c>
      <c r="T446" s="348">
        <v>1930</v>
      </c>
      <c r="U446" s="348">
        <v>234</v>
      </c>
      <c r="V446" s="348">
        <v>3148</v>
      </c>
      <c r="W446" s="348">
        <v>360</v>
      </c>
      <c r="X446" s="348">
        <v>23</v>
      </c>
      <c r="Y446" s="348">
        <v>43</v>
      </c>
    </row>
    <row r="447">
      <c r="A447" s="363"/>
      <c r="B447" s="325" t="s">
        <v>248</v>
      </c>
      <c r="C447" s="327" t="s">
        <v>250</v>
      </c>
      <c r="D447" s="326">
        <f t="shared" si="206"/>
      </c>
      <c r="E447" s="327">
        <v>902.92</v>
      </c>
      <c r="F447" s="327">
        <v>1963.03</v>
      </c>
      <c r="G447" s="327">
        <v>0</v>
      </c>
      <c r="H447" s="328">
        <v>11</v>
      </c>
      <c r="I447" s="327">
        <v>5117.440000000002</v>
      </c>
      <c r="J447" s="329">
        <f t="shared" si="259"/>
      </c>
      <c r="K447" s="329">
        <f t="shared" si="297"/>
      </c>
      <c r="L447" s="329">
        <f t="shared" si="332"/>
      </c>
      <c r="M447" s="331">
        <f t="shared" si="25"/>
      </c>
      <c r="N447" s="332">
        <f t="shared" si="91"/>
      </c>
      <c r="O447" s="333">
        <f t="shared" si="121"/>
      </c>
      <c r="P447" s="332">
        <f t="shared" si="57"/>
      </c>
      <c r="Q447" s="334" t="s">
        <v>258</v>
      </c>
      <c r="R447" s="350" t="s">
        <v>227</v>
      </c>
      <c r="S447" s="361">
        <v>92301</v>
      </c>
      <c r="T447" s="361">
        <v>1352</v>
      </c>
      <c r="U447" s="362">
        <v>194</v>
      </c>
      <c r="V447" s="362">
        <v>2110</v>
      </c>
      <c r="W447" s="362">
        <v>271</v>
      </c>
      <c r="X447" s="348">
        <v>24</v>
      </c>
      <c r="Y447" s="348">
        <v>51</v>
      </c>
    </row>
    <row r="448">
      <c r="A448" s="363"/>
      <c r="B448" s="325" t="s">
        <v>248</v>
      </c>
      <c r="C448" s="327" t="s">
        <v>264</v>
      </c>
      <c r="D448" s="326">
        <f t="shared" si="206"/>
      </c>
      <c r="E448" s="327">
        <v>2027.31</v>
      </c>
      <c r="F448" s="327">
        <v>3000.98</v>
      </c>
      <c r="G448" s="327">
        <v>0</v>
      </c>
      <c r="H448" s="328">
        <v>25</v>
      </c>
      <c r="I448" s="327">
        <v>12064.619999999995</v>
      </c>
      <c r="J448" s="329">
        <f t="shared" si="259"/>
      </c>
      <c r="K448" s="329">
        <f t="shared" si="297"/>
      </c>
      <c r="L448" s="329">
        <f t="shared" si="332"/>
      </c>
      <c r="M448" s="331">
        <f t="shared" si="25"/>
      </c>
      <c r="N448" s="332">
        <f t="shared" si="91"/>
      </c>
      <c r="O448" s="333">
        <f t="shared" si="121"/>
      </c>
      <c r="P448" s="332">
        <f t="shared" si="57"/>
      </c>
      <c r="Q448" s="334" t="s">
        <v>258</v>
      </c>
      <c r="R448" s="350" t="s">
        <v>227</v>
      </c>
      <c r="S448" s="361">
        <v>150694</v>
      </c>
      <c r="T448" s="361">
        <v>2310</v>
      </c>
      <c r="U448" s="362">
        <v>327</v>
      </c>
      <c r="V448" s="362">
        <v>3806</v>
      </c>
      <c r="W448" s="362">
        <v>485</v>
      </c>
      <c r="X448" s="348">
        <v>39</v>
      </c>
      <c r="Y448" s="348">
        <v>73</v>
      </c>
    </row>
    <row r="449">
      <c r="A449" s="363"/>
      <c r="B449" s="339" t="s">
        <v>232</v>
      </c>
      <c r="C449" s="339"/>
      <c r="D449" s="340">
        <f>SUM(D446:D448)</f>
      </c>
      <c r="E449" s="340">
        <f>SUM(E446:E448)</f>
      </c>
      <c r="F449" s="340">
        <f>SUM(F446:F448)</f>
      </c>
      <c r="G449" s="340">
        <f>SUM(G446:G448)</f>
      </c>
      <c r="H449" s="340">
        <f>SUM(H446:H448)</f>
      </c>
      <c r="I449" s="340">
        <f>SUM(I446:I448)</f>
      </c>
      <c r="J449" s="342">
        <f t="shared" si="259"/>
      </c>
      <c r="K449" s="343">
        <f t="shared" si="297"/>
      </c>
      <c r="L449" s="344">
        <f t="shared" si="332"/>
      </c>
      <c r="M449" s="345">
        <f t="shared" si="25"/>
      </c>
      <c r="N449" s="345">
        <f t="shared" si="91"/>
      </c>
      <c r="O449" s="346">
        <f t="shared" si="121"/>
      </c>
      <c r="P449" s="345">
        <f t="shared" si="57"/>
      </c>
      <c r="Q449" s="346"/>
      <c r="R449" s="351"/>
      <c r="S449" s="340">
        <f>SUM(S446:S448)</f>
      </c>
      <c r="T449" s="340">
        <f>SUM(T446:T448)</f>
      </c>
      <c r="U449" s="340">
        <f>SUM(U446:U448)</f>
      </c>
      <c r="V449" s="340">
        <f>SUM(V446:V448)</f>
      </c>
      <c r="W449" s="340">
        <f>SUM(W446:W448)</f>
      </c>
      <c r="X449" s="340">
        <f>SUM(X446:X448)</f>
      </c>
      <c r="Y449" s="340">
        <f>SUM(Y446:Y448)</f>
      </c>
    </row>
    <row r="450">
      <c r="A450" s="363"/>
      <c r="B450" s="353" t="s">
        <v>246</v>
      </c>
      <c r="C450" s="353"/>
      <c r="D450" s="354">
        <f>D449+D445+D440+D435</f>
      </c>
      <c r="E450" s="354">
        <f>E449+E445+E440+E435</f>
      </c>
      <c r="F450" s="354">
        <f>F449+F445+F440+F435</f>
      </c>
      <c r="G450" s="354"/>
      <c r="H450" s="355">
        <f>H449+H445+H440+H435</f>
      </c>
      <c r="I450" s="354">
        <f>I449+I445+I440+I435</f>
      </c>
      <c r="J450" s="356">
        <f t="shared" si="259"/>
      </c>
      <c r="K450" s="356">
        <f t="shared" si="297"/>
      </c>
      <c r="L450" s="356">
        <f t="shared" si="332"/>
      </c>
      <c r="M450" s="357">
        <f t="shared" si="25"/>
      </c>
      <c r="N450" s="357">
        <f t="shared" si="91"/>
      </c>
      <c r="O450" s="356">
        <f t="shared" si="121"/>
      </c>
      <c r="P450" s="357">
        <f t="shared" si="57"/>
      </c>
      <c r="Q450" s="358"/>
      <c r="R450" s="359"/>
      <c r="S450" s="381">
        <f>S449+S445+S440+S435</f>
      </c>
      <c r="T450" s="381">
        <f>T449+T445+T440+T435</f>
      </c>
      <c r="U450" s="381">
        <f>U449+U445+U440+U435</f>
      </c>
      <c r="V450" s="381">
        <f>V449+V445+V440+V435</f>
      </c>
      <c r="W450" s="381">
        <f>W449+W445+W440+W435</f>
      </c>
      <c r="X450" s="360">
        <f>X449+X445+X440+X435</f>
      </c>
      <c r="Y450" s="355">
        <f>Y449+Y445+Y440+Y435</f>
      </c>
    </row>
    <row r="451">
      <c r="A451" s="311" t="s">
        <v>195</v>
      </c>
      <c r="B451" s="311"/>
      <c r="C451" s="311"/>
      <c r="D451" s="312" t="s">
        <v>196</v>
      </c>
      <c r="E451" s="312"/>
      <c r="F451" s="312"/>
      <c r="G451" s="312"/>
      <c r="H451" s="312"/>
      <c r="I451" s="312"/>
      <c r="J451" s="312"/>
      <c r="K451" s="312"/>
      <c r="L451" s="312"/>
      <c r="M451" s="313" t="s">
        <v>197</v>
      </c>
      <c r="N451" s="313"/>
      <c r="O451" s="313"/>
      <c r="P451" s="313"/>
      <c r="Q451" s="313"/>
      <c r="R451" s="313"/>
      <c r="S451" s="314" t="s">
        <v>198</v>
      </c>
      <c r="T451" s="314"/>
      <c r="U451" s="314"/>
      <c r="V451" s="314"/>
      <c r="W451" s="314"/>
      <c r="X451" s="314"/>
      <c r="Y451" s="314"/>
    </row>
    <row r="452">
      <c r="A452" s="315" t="s">
        <v>199</v>
      </c>
      <c r="B452" s="311" t="s">
        <v>200</v>
      </c>
      <c r="C452" s="311" t="s">
        <v>201</v>
      </c>
      <c r="D452" s="312" t="s">
        <v>202</v>
      </c>
      <c r="E452" s="316" t="s">
        <v>203</v>
      </c>
      <c r="F452" s="312" t="s">
        <v>204</v>
      </c>
      <c r="G452" s="312"/>
      <c r="H452" s="317" t="s">
        <v>205</v>
      </c>
      <c r="I452" s="312" t="s">
        <v>206</v>
      </c>
      <c r="J452" s="318" t="s">
        <v>207</v>
      </c>
      <c r="K452" s="319" t="s">
        <v>208</v>
      </c>
      <c r="L452" s="312" t="s">
        <v>209</v>
      </c>
      <c r="M452" s="313" t="s">
        <v>210</v>
      </c>
      <c r="N452" s="313" t="s">
        <v>211</v>
      </c>
      <c r="O452" s="313" t="s">
        <v>212</v>
      </c>
      <c r="P452" s="320" t="s">
        <v>213</v>
      </c>
      <c r="Q452" s="321" t="s">
        <v>214</v>
      </c>
      <c r="R452" s="321" t="s">
        <v>215</v>
      </c>
      <c r="S452" s="366" t="s">
        <v>216</v>
      </c>
      <c r="T452" s="366" t="s">
        <v>217</v>
      </c>
      <c r="U452" s="323" t="s">
        <v>218</v>
      </c>
      <c r="V452" s="323" t="s">
        <v>219</v>
      </c>
      <c r="W452" s="323" t="s">
        <v>220</v>
      </c>
      <c r="X452" s="322" t="s">
        <v>221</v>
      </c>
      <c r="Y452" s="322" t="s">
        <v>222</v>
      </c>
    </row>
    <row r="453">
      <c r="A453" s="363" t="s">
        <v>282</v>
      </c>
      <c r="B453" s="325" t="s">
        <v>260</v>
      </c>
      <c r="C453" s="326" t="s">
        <v>228</v>
      </c>
      <c r="D453" s="326">
        <f t="shared" ref="D453:D456" si="207">E453+G453+F453</f>
      </c>
      <c r="E453" s="327">
        <v>1714.51</v>
      </c>
      <c r="F453" s="327">
        <v>4587.83</v>
      </c>
      <c r="G453" s="327">
        <v>0</v>
      </c>
      <c r="H453" s="328">
        <v>21</v>
      </c>
      <c r="I453" s="327">
        <v>12208.08</v>
      </c>
      <c r="J453" s="329">
        <f t="shared" ref="J453:J474" si="260">I453/D453</f>
      </c>
      <c r="K453" s="330">
        <f t="shared" ref="K453:K474" si="298">D453/H453</f>
      </c>
      <c r="L453" s="329">
        <f t="shared" ref="L453:L474" si="333">I453/H453</f>
      </c>
      <c r="M453" s="331">
        <f t="shared" ref="M453:M474" si="26">T453/S453</f>
      </c>
      <c r="N453" s="332">
        <f t="shared" ref="N453:N474" si="92">H453/X453</f>
      </c>
      <c r="O453" s="333">
        <f t="shared" ref="O453:O474" si="122">(Y453*1000)/D453</f>
      </c>
      <c r="P453" s="332">
        <f t="shared" ref="P453:P474" si="58">W453/V453</f>
      </c>
      <c r="Q453" s="334" t="s">
        <v>255</v>
      </c>
      <c r="R453" s="370" t="s">
        <v>261</v>
      </c>
      <c r="S453" s="336">
        <v>128991</v>
      </c>
      <c r="T453" s="336">
        <v>3930</v>
      </c>
      <c r="U453" s="368">
        <v>362</v>
      </c>
      <c r="V453" s="337">
        <v>6083</v>
      </c>
      <c r="W453" s="337">
        <v>794</v>
      </c>
      <c r="X453" s="337">
        <v>47</v>
      </c>
      <c r="Y453" s="337">
        <v>78</v>
      </c>
    </row>
    <row r="454">
      <c r="A454" s="363"/>
      <c r="B454" s="325" t="s">
        <v>260</v>
      </c>
      <c r="C454" s="326" t="s">
        <v>229</v>
      </c>
      <c r="D454" s="326">
        <f t="shared" si="207"/>
      </c>
      <c r="E454" s="327">
        <v>7255.55</v>
      </c>
      <c r="F454" s="327">
        <v>3100.04</v>
      </c>
      <c r="G454" s="327">
        <v>0</v>
      </c>
      <c r="H454" s="328">
        <v>29</v>
      </c>
      <c r="I454" s="326">
        <v>15308.19</v>
      </c>
      <c r="J454" s="329">
        <f t="shared" si="260"/>
      </c>
      <c r="K454" s="329">
        <f t="shared" si="298"/>
      </c>
      <c r="L454" s="330">
        <f t="shared" si="333"/>
      </c>
      <c r="M454" s="331">
        <f t="shared" si="26"/>
      </c>
      <c r="N454" s="332">
        <f t="shared" si="92"/>
      </c>
      <c r="O454" s="333">
        <f t="shared" si="122"/>
      </c>
      <c r="P454" s="332">
        <f t="shared" si="58"/>
      </c>
      <c r="Q454" s="334" t="s">
        <v>255</v>
      </c>
      <c r="R454" s="370" t="s">
        <v>261</v>
      </c>
      <c r="S454" s="369">
        <v>205117</v>
      </c>
      <c r="T454" s="369">
        <v>7948</v>
      </c>
      <c r="U454" s="337">
        <v>573</v>
      </c>
      <c r="V454" s="337">
        <v>15875</v>
      </c>
      <c r="W454" s="337">
        <v>2214</v>
      </c>
      <c r="X454" s="337">
        <v>54</v>
      </c>
      <c r="Y454" s="337">
        <v>123</v>
      </c>
    </row>
    <row r="455">
      <c r="A455" s="363"/>
      <c r="B455" s="325" t="s">
        <v>260</v>
      </c>
      <c r="C455" s="326" t="s">
        <v>230</v>
      </c>
      <c r="D455" s="326">
        <f t="shared" si="207"/>
      </c>
      <c r="E455" s="327">
        <v>4111.44</v>
      </c>
      <c r="F455" s="327">
        <v>2774.88</v>
      </c>
      <c r="G455" s="327">
        <v>0</v>
      </c>
      <c r="H455" s="338">
        <v>45</v>
      </c>
      <c r="I455" s="326">
        <v>26830.470000000005</v>
      </c>
      <c r="J455" s="329">
        <f t="shared" si="260"/>
      </c>
      <c r="K455" s="329">
        <f t="shared" si="298"/>
      </c>
      <c r="L455" s="329">
        <f t="shared" si="333"/>
      </c>
      <c r="M455" s="331">
        <f t="shared" si="26"/>
      </c>
      <c r="N455" s="332">
        <f t="shared" si="92"/>
      </c>
      <c r="O455" s="333">
        <f t="shared" si="122"/>
      </c>
      <c r="P455" s="332">
        <f t="shared" si="58"/>
      </c>
      <c r="Q455" s="334" t="s">
        <v>255</v>
      </c>
      <c r="R455" s="370" t="s">
        <v>261</v>
      </c>
      <c r="S455" s="336">
        <v>147245</v>
      </c>
      <c r="T455" s="336">
        <v>6087</v>
      </c>
      <c r="U455" s="337">
        <v>521</v>
      </c>
      <c r="V455" s="337">
        <v>12675</v>
      </c>
      <c r="W455" s="337">
        <v>2156</v>
      </c>
      <c r="X455" s="337">
        <v>61</v>
      </c>
      <c r="Y455" s="337">
        <v>99</v>
      </c>
    </row>
    <row r="456">
      <c r="A456" s="363"/>
      <c r="B456" s="325" t="s">
        <v>260</v>
      </c>
      <c r="C456" s="364" t="s">
        <v>231</v>
      </c>
      <c r="D456" s="326">
        <f t="shared" si="207"/>
      </c>
      <c r="E456" s="327">
        <v>4948.98</v>
      </c>
      <c r="F456" s="327">
        <v>3183.72</v>
      </c>
      <c r="G456" s="327">
        <v>0</v>
      </c>
      <c r="H456" s="338">
        <v>26</v>
      </c>
      <c r="I456" s="326">
        <v>11913.73999999999</v>
      </c>
      <c r="J456" s="329">
        <f t="shared" si="260"/>
      </c>
      <c r="K456" s="329">
        <f t="shared" si="298"/>
      </c>
      <c r="L456" s="329">
        <f t="shared" si="333"/>
      </c>
      <c r="M456" s="331">
        <f t="shared" si="26"/>
      </c>
      <c r="N456" s="332">
        <f t="shared" si="92"/>
      </c>
      <c r="O456" s="333">
        <f t="shared" si="122"/>
      </c>
      <c r="P456" s="332">
        <f t="shared" si="58"/>
      </c>
      <c r="Q456" s="334" t="s">
        <v>255</v>
      </c>
      <c r="R456" s="370" t="s">
        <v>261</v>
      </c>
      <c r="S456" s="336">
        <v>203537</v>
      </c>
      <c r="T456" s="336">
        <v>5211</v>
      </c>
      <c r="U456" s="337">
        <v>417</v>
      </c>
      <c r="V456" s="337">
        <v>9540</v>
      </c>
      <c r="W456" s="337">
        <v>1352</v>
      </c>
      <c r="X456" s="337">
        <v>38</v>
      </c>
      <c r="Y456" s="337">
        <v>82</v>
      </c>
    </row>
    <row r="457">
      <c r="A457" s="363"/>
      <c r="B457" s="339" t="s">
        <v>232</v>
      </c>
      <c r="C457" s="339"/>
      <c r="D457" s="340">
        <f>SUM(D453:D456)</f>
      </c>
      <c r="E457" s="340">
        <f>SUM(E453:E456)</f>
      </c>
      <c r="F457" s="340">
        <f>SUM(F453:G456)</f>
      </c>
      <c r="G457" s="340"/>
      <c r="H457" s="341">
        <f>SUM(H453:H456)</f>
      </c>
      <c r="I457" s="340">
        <f>SUM(I453:I456)</f>
      </c>
      <c r="J457" s="342">
        <f t="shared" si="260"/>
      </c>
      <c r="K457" s="343">
        <f t="shared" si="298"/>
      </c>
      <c r="L457" s="344">
        <f t="shared" si="333"/>
      </c>
      <c r="M457" s="345">
        <f t="shared" si="26"/>
      </c>
      <c r="N457" s="345">
        <f t="shared" si="92"/>
      </c>
      <c r="O457" s="346">
        <f t="shared" si="122"/>
      </c>
      <c r="P457" s="345">
        <f t="shared" si="58"/>
      </c>
      <c r="Q457" s="346"/>
      <c r="R457" s="346"/>
      <c r="S457" s="341">
        <f>SUM(S453:S456)</f>
      </c>
      <c r="T457" s="341">
        <f>SUM(T453:T456)</f>
      </c>
      <c r="U457" s="341">
        <f>SUM(U453:U456)</f>
      </c>
      <c r="V457" s="341">
        <f>SUM(V453:V456)</f>
      </c>
      <c r="W457" s="341">
        <f>SUM(W453:W456)</f>
      </c>
      <c r="X457" s="341">
        <f>SUM(X453:X456)</f>
      </c>
      <c r="Y457" s="341">
        <f>SUM(Y453:Y456)</f>
      </c>
    </row>
    <row r="458">
      <c r="A458" s="363"/>
      <c r="B458" s="325" t="s">
        <v>224</v>
      </c>
      <c r="C458" s="327" t="s">
        <v>234</v>
      </c>
      <c r="D458" s="326">
        <f t="shared" ref="D458:D461" si="208">E458+G458+F458</f>
      </c>
      <c r="E458" s="327">
        <v>5287.83</v>
      </c>
      <c r="F458" s="327">
        <v>1684.6</v>
      </c>
      <c r="G458" s="327">
        <v>0</v>
      </c>
      <c r="H458" s="338">
        <v>15</v>
      </c>
      <c r="I458" s="326">
        <v>9990.26000000001</v>
      </c>
      <c r="J458" s="329">
        <f t="shared" si="260"/>
      </c>
      <c r="K458" s="329">
        <f t="shared" si="298"/>
      </c>
      <c r="L458" s="329">
        <f t="shared" si="333"/>
      </c>
      <c r="M458" s="331">
        <f t="shared" si="26"/>
      </c>
      <c r="N458" s="332">
        <f t="shared" si="92"/>
      </c>
      <c r="O458" s="333">
        <f t="shared" si="122"/>
      </c>
      <c r="P458" s="332">
        <f t="shared" si="58"/>
      </c>
      <c r="Q458" s="334" t="s">
        <v>255</v>
      </c>
      <c r="R458" s="370" t="s">
        <v>261</v>
      </c>
      <c r="S458" s="347">
        <v>147428</v>
      </c>
      <c r="T458" s="347">
        <v>6005</v>
      </c>
      <c r="U458" s="348">
        <v>388</v>
      </c>
      <c r="V458" s="348">
        <v>10316</v>
      </c>
      <c r="W458" s="348">
        <v>1625</v>
      </c>
      <c r="X458" s="348">
        <v>28</v>
      </c>
      <c r="Y458" s="348">
        <v>88</v>
      </c>
    </row>
    <row r="459">
      <c r="A459" s="363"/>
      <c r="B459" s="325" t="s">
        <v>224</v>
      </c>
      <c r="C459" s="327" t="s">
        <v>235</v>
      </c>
      <c r="D459" s="326">
        <f t="shared" si="208"/>
      </c>
      <c r="E459" s="327">
        <v>2752.54</v>
      </c>
      <c r="F459" s="327">
        <v>2816.45</v>
      </c>
      <c r="G459" s="327">
        <v>0</v>
      </c>
      <c r="H459" s="328">
        <v>12</v>
      </c>
      <c r="I459" s="327">
        <v>6720.8399999999965</v>
      </c>
      <c r="J459" s="329">
        <f t="shared" si="260"/>
      </c>
      <c r="K459" s="329">
        <f t="shared" si="298"/>
      </c>
      <c r="L459" s="329">
        <f t="shared" si="333"/>
      </c>
      <c r="M459" s="331">
        <f t="shared" si="26"/>
      </c>
      <c r="N459" s="332">
        <f t="shared" si="92"/>
      </c>
      <c r="O459" s="333">
        <f t="shared" si="122"/>
      </c>
      <c r="P459" s="332">
        <f t="shared" si="58"/>
      </c>
      <c r="Q459" s="334" t="s">
        <v>255</v>
      </c>
      <c r="R459" s="370" t="s">
        <v>261</v>
      </c>
      <c r="S459" s="347">
        <v>116927</v>
      </c>
      <c r="T459" s="347">
        <v>5296</v>
      </c>
      <c r="U459" s="348">
        <v>303</v>
      </c>
      <c r="V459" s="348">
        <v>8574</v>
      </c>
      <c r="W459" s="348">
        <v>1026</v>
      </c>
      <c r="X459" s="348">
        <v>23</v>
      </c>
      <c r="Y459" s="348">
        <v>76</v>
      </c>
    </row>
    <row r="460">
      <c r="A460" s="363"/>
      <c r="B460" s="325" t="s">
        <v>224</v>
      </c>
      <c r="C460" s="326" t="s">
        <v>236</v>
      </c>
      <c r="D460" s="326">
        <f t="shared" si="208"/>
      </c>
      <c r="E460" s="327">
        <v>2221.3</v>
      </c>
      <c r="F460" s="327">
        <v>2072.33</v>
      </c>
      <c r="G460" s="327">
        <v>0</v>
      </c>
      <c r="H460" s="328">
        <v>13</v>
      </c>
      <c r="I460" s="327">
        <v>6921.720000000001</v>
      </c>
      <c r="J460" s="329">
        <f t="shared" si="260"/>
      </c>
      <c r="K460" s="329">
        <f t="shared" si="298"/>
      </c>
      <c r="L460" s="329">
        <f t="shared" si="333"/>
      </c>
      <c r="M460" s="331">
        <f t="shared" si="26"/>
      </c>
      <c r="N460" s="332">
        <f t="shared" si="92"/>
      </c>
      <c r="O460" s="333">
        <f t="shared" si="122"/>
      </c>
      <c r="P460" s="332">
        <f t="shared" si="58"/>
      </c>
      <c r="Q460" s="334" t="s">
        <v>255</v>
      </c>
      <c r="R460" s="370" t="s">
        <v>261</v>
      </c>
      <c r="S460" s="347">
        <v>87645</v>
      </c>
      <c r="T460" s="347">
        <v>5371</v>
      </c>
      <c r="U460" s="348">
        <v>304</v>
      </c>
      <c r="V460" s="348">
        <v>8512</v>
      </c>
      <c r="W460" s="348">
        <v>875</v>
      </c>
      <c r="X460" s="348">
        <v>24</v>
      </c>
      <c r="Y460" s="348">
        <v>62</v>
      </c>
    </row>
    <row r="461">
      <c r="A461" s="363"/>
      <c r="B461" s="325" t="s">
        <v>224</v>
      </c>
      <c r="C461" s="326" t="s">
        <v>237</v>
      </c>
      <c r="D461" s="326">
        <f t="shared" si="208"/>
      </c>
      <c r="E461" s="327">
        <v>1374.23</v>
      </c>
      <c r="F461" s="327">
        <v>1559.79</v>
      </c>
      <c r="G461" s="327">
        <v>0</v>
      </c>
      <c r="H461" s="338">
        <v>6</v>
      </c>
      <c r="I461" s="327">
        <v>4022.779999999999</v>
      </c>
      <c r="J461" s="329">
        <f t="shared" si="260"/>
      </c>
      <c r="K461" s="329">
        <f t="shared" si="298"/>
      </c>
      <c r="L461" s="329">
        <f t="shared" si="333"/>
      </c>
      <c r="M461" s="331">
        <f t="shared" si="26"/>
      </c>
      <c r="N461" s="332">
        <f t="shared" si="92"/>
      </c>
      <c r="O461" s="333">
        <f t="shared" si="122"/>
      </c>
      <c r="P461" s="332">
        <f t="shared" si="58"/>
      </c>
      <c r="Q461" s="334" t="s">
        <v>255</v>
      </c>
      <c r="R461" s="370" t="s">
        <v>261</v>
      </c>
      <c r="S461" s="347">
        <v>53190</v>
      </c>
      <c r="T461" s="347">
        <v>3991</v>
      </c>
      <c r="U461" s="348">
        <v>194</v>
      </c>
      <c r="V461" s="348">
        <v>5237</v>
      </c>
      <c r="W461" s="348">
        <v>428</v>
      </c>
      <c r="X461" s="348">
        <v>17</v>
      </c>
      <c r="Y461" s="348">
        <v>45</v>
      </c>
    </row>
    <row r="462">
      <c r="A462" s="363"/>
      <c r="B462" s="339" t="s">
        <v>232</v>
      </c>
      <c r="C462" s="339"/>
      <c r="D462" s="340">
        <f>SUM(D458:D461)</f>
      </c>
      <c r="E462" s="340">
        <f>SUM(E458:E461)</f>
      </c>
      <c r="F462" s="340">
        <f>SUM(F458:G461)</f>
      </c>
      <c r="G462" s="340"/>
      <c r="H462" s="341">
        <f>SUM(H458:H461)</f>
      </c>
      <c r="I462" s="340">
        <f>SUM(I458:I461)</f>
      </c>
      <c r="J462" s="342">
        <f t="shared" si="260"/>
      </c>
      <c r="K462" s="343">
        <f t="shared" si="298"/>
      </c>
      <c r="L462" s="344">
        <f t="shared" si="333"/>
      </c>
      <c r="M462" s="345">
        <f t="shared" si="26"/>
      </c>
      <c r="N462" s="345">
        <f t="shared" si="92"/>
      </c>
      <c r="O462" s="346">
        <f t="shared" si="122"/>
      </c>
      <c r="P462" s="345">
        <f t="shared" si="58"/>
      </c>
      <c r="Q462" s="346"/>
      <c r="R462" s="346"/>
      <c r="S462" s="341">
        <f>SUM(S458:S461)</f>
      </c>
      <c r="T462" s="341">
        <f>SUM(T458:T461)</f>
      </c>
      <c r="U462" s="341">
        <f>SUM(U458:U461)</f>
      </c>
      <c r="V462" s="341">
        <f>SUM(V458:V461)</f>
      </c>
      <c r="W462" s="341">
        <f>SUM(W458:W461)</f>
      </c>
      <c r="X462" s="341">
        <f>SUM(X458:X461)</f>
      </c>
      <c r="Y462" s="341">
        <f>SUM(Y458:Y461)</f>
      </c>
    </row>
    <row r="463">
      <c r="A463" s="363"/>
      <c r="B463" s="325" t="s">
        <v>248</v>
      </c>
      <c r="C463" s="327" t="s">
        <v>239</v>
      </c>
      <c r="D463" s="326">
        <f t="shared" ref="D463:D466" si="209">E463+G463+F463</f>
      </c>
      <c r="E463" s="327">
        <v>2350.49</v>
      </c>
      <c r="F463" s="327">
        <v>1210.32</v>
      </c>
      <c r="G463" s="327">
        <v>0</v>
      </c>
      <c r="H463" s="338">
        <v>10</v>
      </c>
      <c r="I463" s="326">
        <v>2613.1199999999953</v>
      </c>
      <c r="J463" s="329">
        <f t="shared" si="260"/>
      </c>
      <c r="K463" s="329">
        <f t="shared" si="298"/>
      </c>
      <c r="L463" s="329">
        <f t="shared" si="333"/>
      </c>
      <c r="M463" s="331">
        <f t="shared" si="26"/>
      </c>
      <c r="N463" s="332">
        <f t="shared" si="92"/>
      </c>
      <c r="O463" s="333">
        <f t="shared" si="122"/>
      </c>
      <c r="P463" s="332">
        <f t="shared" si="58"/>
      </c>
      <c r="Q463" s="334" t="s">
        <v>258</v>
      </c>
      <c r="R463" s="370" t="s">
        <v>261</v>
      </c>
      <c r="S463" s="347">
        <v>58128</v>
      </c>
      <c r="T463" s="347">
        <v>4161</v>
      </c>
      <c r="U463" s="348">
        <v>224</v>
      </c>
      <c r="V463" s="348">
        <v>6161</v>
      </c>
      <c r="W463" s="348">
        <v>556</v>
      </c>
      <c r="X463" s="348">
        <v>57</v>
      </c>
      <c r="Y463" s="348">
        <v>59</v>
      </c>
    </row>
    <row r="464">
      <c r="A464" s="363"/>
      <c r="B464" s="325" t="s">
        <v>248</v>
      </c>
      <c r="C464" s="327" t="s">
        <v>241</v>
      </c>
      <c r="D464" s="326">
        <f t="shared" si="209"/>
      </c>
      <c r="E464" s="327">
        <v>2187.62</v>
      </c>
      <c r="F464" s="327">
        <v>1177.72</v>
      </c>
      <c r="G464" s="327">
        <v>0</v>
      </c>
      <c r="H464" s="338">
        <v>5</v>
      </c>
      <c r="I464" s="326">
        <v>2375.4199999999983</v>
      </c>
      <c r="J464" s="329">
        <f t="shared" si="260"/>
      </c>
      <c r="K464" s="329">
        <f t="shared" si="298"/>
      </c>
      <c r="L464" s="329">
        <f t="shared" si="333"/>
      </c>
      <c r="M464" s="331">
        <f t="shared" si="26"/>
      </c>
      <c r="N464" s="332">
        <f t="shared" si="92"/>
      </c>
      <c r="O464" s="333">
        <f t="shared" si="122"/>
      </c>
      <c r="P464" s="332">
        <f t="shared" si="58"/>
      </c>
      <c r="Q464" s="334" t="s">
        <v>258</v>
      </c>
      <c r="R464" s="350" t="s">
        <v>227</v>
      </c>
      <c r="S464" s="347">
        <v>64406</v>
      </c>
      <c r="T464" s="347">
        <v>4254</v>
      </c>
      <c r="U464" s="348">
        <v>207</v>
      </c>
      <c r="V464" s="348">
        <v>6929</v>
      </c>
      <c r="W464" s="348">
        <v>673</v>
      </c>
      <c r="X464" s="348">
        <v>20</v>
      </c>
      <c r="Y464" s="348">
        <v>40</v>
      </c>
    </row>
    <row r="465">
      <c r="A465" s="363"/>
      <c r="B465" s="325" t="s">
        <v>248</v>
      </c>
      <c r="C465" s="327" t="s">
        <v>242</v>
      </c>
      <c r="D465" s="326">
        <f t="shared" si="209"/>
      </c>
      <c r="E465" s="327">
        <v>1687.97</v>
      </c>
      <c r="F465" s="327">
        <v>1215.1</v>
      </c>
      <c r="G465" s="327">
        <v>0</v>
      </c>
      <c r="H465" s="338">
        <v>11</v>
      </c>
      <c r="I465" s="326">
        <v>7815.720000000001</v>
      </c>
      <c r="J465" s="329">
        <f t="shared" si="260"/>
      </c>
      <c r="K465" s="329">
        <f t="shared" si="298"/>
      </c>
      <c r="L465" s="329">
        <f t="shared" si="333"/>
      </c>
      <c r="M465" s="331">
        <f t="shared" si="26"/>
      </c>
      <c r="N465" s="332">
        <f t="shared" si="92"/>
      </c>
      <c r="O465" s="333">
        <f t="shared" si="122"/>
      </c>
      <c r="P465" s="332">
        <f t="shared" si="58"/>
      </c>
      <c r="Q465" s="334" t="s">
        <v>258</v>
      </c>
      <c r="R465" s="350" t="s">
        <v>227</v>
      </c>
      <c r="S465" s="347">
        <v>65096</v>
      </c>
      <c r="T465" s="347">
        <v>4575</v>
      </c>
      <c r="U465" s="348">
        <v>210</v>
      </c>
      <c r="V465" s="348">
        <v>7370</v>
      </c>
      <c r="W465" s="348">
        <v>765</v>
      </c>
      <c r="X465" s="348">
        <v>19</v>
      </c>
      <c r="Y465" s="348">
        <v>51</v>
      </c>
    </row>
    <row r="466">
      <c r="A466" s="363"/>
      <c r="B466" s="325" t="s">
        <v>248</v>
      </c>
      <c r="C466" s="326" t="s">
        <v>244</v>
      </c>
      <c r="D466" s="326">
        <f t="shared" si="209"/>
      </c>
      <c r="E466" s="327">
        <v>1095.67</v>
      </c>
      <c r="F466" s="327">
        <v>1004.33</v>
      </c>
      <c r="G466" s="327">
        <v>0</v>
      </c>
      <c r="H466" s="338">
        <v>10</v>
      </c>
      <c r="I466" s="327">
        <v>4479</v>
      </c>
      <c r="J466" s="329">
        <f t="shared" si="260"/>
      </c>
      <c r="K466" s="329">
        <f t="shared" si="298"/>
      </c>
      <c r="L466" s="329">
        <f t="shared" si="333"/>
      </c>
      <c r="M466" s="331">
        <f t="shared" si="26"/>
      </c>
      <c r="N466" s="332">
        <f t="shared" si="92"/>
      </c>
      <c r="O466" s="333">
        <f t="shared" si="122"/>
      </c>
      <c r="P466" s="332">
        <f t="shared" si="58"/>
      </c>
      <c r="Q466" s="334" t="s">
        <v>258</v>
      </c>
      <c r="R466" s="350" t="s">
        <v>227</v>
      </c>
      <c r="S466" s="347">
        <v>62558</v>
      </c>
      <c r="T466" s="347">
        <v>3341</v>
      </c>
      <c r="U466" s="348">
        <v>148</v>
      </c>
      <c r="V466" s="348">
        <v>4758</v>
      </c>
      <c r="W466" s="348">
        <v>433</v>
      </c>
      <c r="X466" s="348">
        <v>25</v>
      </c>
      <c r="Y466" s="348">
        <v>19</v>
      </c>
    </row>
    <row r="467">
      <c r="A467" s="363"/>
      <c r="B467" s="339" t="s">
        <v>232</v>
      </c>
      <c r="C467" s="339"/>
      <c r="D467" s="340">
        <f>SUM(D463:D466)</f>
      </c>
      <c r="E467" s="340">
        <f>SUM(E463:E466)</f>
      </c>
      <c r="F467" s="340">
        <f>SUM(F463:G466)</f>
      </c>
      <c r="G467" s="340"/>
      <c r="H467" s="341">
        <f>SUM(H463:H466)</f>
      </c>
      <c r="I467" s="340">
        <f>SUM(I463:I466)</f>
      </c>
      <c r="J467" s="342">
        <f t="shared" si="260"/>
      </c>
      <c r="K467" s="343">
        <f t="shared" si="298"/>
      </c>
      <c r="L467" s="344">
        <f t="shared" si="333"/>
      </c>
      <c r="M467" s="345">
        <f t="shared" si="26"/>
      </c>
      <c r="N467" s="345">
        <f t="shared" si="92"/>
      </c>
      <c r="O467" s="346">
        <f t="shared" si="122"/>
      </c>
      <c r="P467" s="345">
        <f t="shared" si="58"/>
      </c>
      <c r="Q467" s="346"/>
      <c r="R467" s="346"/>
      <c r="S467" s="341">
        <f>SUM(S463:S466)</f>
      </c>
      <c r="T467" s="341">
        <f>SUM(T463:T466)</f>
      </c>
      <c r="U467" s="341">
        <f>SUM(U463:U466)</f>
      </c>
      <c r="V467" s="341">
        <f>SUM(V463:V466)</f>
      </c>
      <c r="W467" s="341">
        <f>SUM(W463:W466)</f>
      </c>
      <c r="X467" s="341">
        <f>SUM(X463:X466)</f>
      </c>
      <c r="Y467" s="341">
        <f>SUM(Y463:Y466)</f>
      </c>
    </row>
    <row r="468">
      <c r="A468" s="363"/>
      <c r="B468" s="325" t="s">
        <v>257</v>
      </c>
      <c r="C468" s="327" t="s">
        <v>245</v>
      </c>
      <c r="D468" s="326">
        <f t="shared" ref="D468:D472" si="210">E468+G468+F468</f>
      </c>
      <c r="E468" s="327">
        <v>1072.83</v>
      </c>
      <c r="F468" s="327">
        <v>2422.96</v>
      </c>
      <c r="G468" s="327">
        <v>0</v>
      </c>
      <c r="H468" s="328">
        <v>12</v>
      </c>
      <c r="I468" s="327">
        <v>5615.919999999998</v>
      </c>
      <c r="J468" s="329">
        <f t="shared" si="260"/>
      </c>
      <c r="K468" s="329">
        <f t="shared" si="298"/>
      </c>
      <c r="L468" s="329">
        <f t="shared" si="333"/>
      </c>
      <c r="M468" s="331">
        <f t="shared" si="26"/>
      </c>
      <c r="N468" s="332">
        <f t="shared" si="92"/>
      </c>
      <c r="O468" s="333">
        <f t="shared" si="122"/>
      </c>
      <c r="P468" s="332">
        <f t="shared" si="58"/>
      </c>
      <c r="Q468" s="334" t="s">
        <v>258</v>
      </c>
      <c r="R468" s="350" t="s">
        <v>227</v>
      </c>
      <c r="S468" s="348">
        <v>100834</v>
      </c>
      <c r="T468" s="348">
        <v>3706</v>
      </c>
      <c r="U468" s="348">
        <v>229</v>
      </c>
      <c r="V468" s="348">
        <v>4734</v>
      </c>
      <c r="W468" s="348">
        <v>428</v>
      </c>
      <c r="X468" s="348">
        <v>19</v>
      </c>
      <c r="Y468" s="348">
        <v>47</v>
      </c>
    </row>
    <row r="469">
      <c r="A469" s="363"/>
      <c r="B469" s="325" t="s">
        <v>257</v>
      </c>
      <c r="C469" s="327" t="s">
        <v>250</v>
      </c>
      <c r="D469" s="326">
        <f t="shared" si="210"/>
      </c>
      <c r="E469" s="327">
        <v>1035.65</v>
      </c>
      <c r="F469" s="327">
        <v>2439.77</v>
      </c>
      <c r="G469" s="327">
        <v>0</v>
      </c>
      <c r="H469" s="328">
        <v>21</v>
      </c>
      <c r="I469" s="327">
        <v>10298.680000000008</v>
      </c>
      <c r="J469" s="329">
        <f t="shared" si="260"/>
      </c>
      <c r="K469" s="329">
        <f t="shared" si="298"/>
      </c>
      <c r="L469" s="329">
        <f t="shared" si="333"/>
      </c>
      <c r="M469" s="331">
        <f t="shared" si="26"/>
      </c>
      <c r="N469" s="332">
        <f t="shared" si="92"/>
      </c>
      <c r="O469" s="333">
        <f t="shared" si="122"/>
      </c>
      <c r="P469" s="332">
        <f t="shared" si="58"/>
      </c>
      <c r="Q469" s="334" t="s">
        <v>258</v>
      </c>
      <c r="R469" s="350" t="s">
        <v>227</v>
      </c>
      <c r="S469" s="361">
        <v>109640</v>
      </c>
      <c r="T469" s="361">
        <v>2956</v>
      </c>
      <c r="U469" s="362">
        <v>293</v>
      </c>
      <c r="V469" s="362">
        <v>3290</v>
      </c>
      <c r="W469" s="362">
        <v>270</v>
      </c>
      <c r="X469" s="348">
        <v>30</v>
      </c>
      <c r="Y469" s="348">
        <v>46</v>
      </c>
    </row>
    <row r="470">
      <c r="A470" s="363"/>
      <c r="B470" s="325" t="s">
        <v>257</v>
      </c>
      <c r="C470" s="327" t="s">
        <v>264</v>
      </c>
      <c r="D470" s="326">
        <f t="shared" si="210"/>
      </c>
      <c r="E470" s="327">
        <v>1380.21</v>
      </c>
      <c r="F470" s="327">
        <v>2459.7</v>
      </c>
      <c r="G470" s="327">
        <v>0</v>
      </c>
      <c r="H470" s="328">
        <v>20</v>
      </c>
      <c r="I470" s="327">
        <v>10391.820000000007</v>
      </c>
      <c r="J470" s="329">
        <f t="shared" si="260"/>
      </c>
      <c r="K470" s="329">
        <f t="shared" si="298"/>
      </c>
      <c r="L470" s="329">
        <f t="shared" si="333"/>
      </c>
      <c r="M470" s="331">
        <f t="shared" si="26"/>
      </c>
      <c r="N470" s="332">
        <f t="shared" si="92"/>
      </c>
      <c r="O470" s="333">
        <f t="shared" si="122"/>
      </c>
      <c r="P470" s="332">
        <f t="shared" si="58"/>
      </c>
      <c r="Q470" s="334" t="s">
        <v>258</v>
      </c>
      <c r="R470" s="350" t="s">
        <v>227</v>
      </c>
      <c r="S470" s="361">
        <v>108698</v>
      </c>
      <c r="T470" s="361">
        <v>2412</v>
      </c>
      <c r="U470" s="362">
        <v>252</v>
      </c>
      <c r="V470" s="362">
        <v>2662</v>
      </c>
      <c r="W470" s="362">
        <v>241</v>
      </c>
      <c r="X470" s="348">
        <v>34</v>
      </c>
      <c r="Y470" s="348">
        <v>52</v>
      </c>
    </row>
    <row r="471">
      <c r="A471" s="363"/>
      <c r="B471" s="325" t="s">
        <v>257</v>
      </c>
      <c r="C471" s="327" t="s">
        <v>266</v>
      </c>
      <c r="D471" s="326">
        <f t="shared" si="210"/>
      </c>
      <c r="E471" s="327">
        <v>1827.32</v>
      </c>
      <c r="F471" s="327">
        <v>2908.6</v>
      </c>
      <c r="G471" s="327">
        <v>0</v>
      </c>
      <c r="H471" s="328">
        <v>19</v>
      </c>
      <c r="I471" s="327">
        <v>14013.799999999988</v>
      </c>
      <c r="J471" s="329">
        <f t="shared" si="260"/>
      </c>
      <c r="K471" s="329">
        <f t="shared" si="298"/>
      </c>
      <c r="L471" s="329">
        <f t="shared" si="333"/>
      </c>
      <c r="M471" s="331">
        <f t="shared" si="26"/>
      </c>
      <c r="N471" s="332">
        <f t="shared" si="92"/>
      </c>
      <c r="O471" s="333">
        <f t="shared" si="122"/>
      </c>
      <c r="P471" s="332">
        <f t="shared" si="58"/>
      </c>
      <c r="Q471" s="334" t="s">
        <v>258</v>
      </c>
      <c r="R471" s="350" t="s">
        <v>227</v>
      </c>
      <c r="S471" s="361">
        <v>135212</v>
      </c>
      <c r="T471" s="361">
        <v>2882</v>
      </c>
      <c r="U471" s="362">
        <v>385</v>
      </c>
      <c r="V471" s="362">
        <v>3130</v>
      </c>
      <c r="W471" s="362">
        <v>314</v>
      </c>
      <c r="X471" s="348">
        <v>36</v>
      </c>
      <c r="Y471" s="348">
        <v>83</v>
      </c>
    </row>
    <row r="472">
      <c r="A472" s="363"/>
      <c r="B472" s="325" t="s">
        <v>257</v>
      </c>
      <c r="C472" s="327" t="s">
        <v>267</v>
      </c>
      <c r="D472" s="326">
        <f t="shared" si="210"/>
      </c>
      <c r="E472" s="327">
        <v>500.12</v>
      </c>
      <c r="F472" s="327">
        <v>5534.45</v>
      </c>
      <c r="G472" s="327">
        <v>0</v>
      </c>
      <c r="H472" s="328">
        <v>27</v>
      </c>
      <c r="I472" s="327">
        <v>19424.180000000022</v>
      </c>
      <c r="J472" s="329">
        <f t="shared" si="260"/>
      </c>
      <c r="K472" s="329">
        <f t="shared" si="298"/>
      </c>
      <c r="L472" s="329">
        <f t="shared" si="333"/>
      </c>
      <c r="M472" s="331">
        <f t="shared" si="26"/>
      </c>
      <c r="N472" s="332">
        <f t="shared" si="92"/>
      </c>
      <c r="O472" s="333">
        <f t="shared" si="122"/>
      </c>
      <c r="P472" s="332">
        <f t="shared" si="58"/>
      </c>
      <c r="Q472" s="334" t="s">
        <v>258</v>
      </c>
      <c r="R472" s="350" t="s">
        <v>227</v>
      </c>
      <c r="S472" s="361">
        <v>146497</v>
      </c>
      <c r="T472" s="361">
        <v>4660</v>
      </c>
      <c r="U472" s="362">
        <v>414</v>
      </c>
      <c r="V472" s="362">
        <v>4971</v>
      </c>
      <c r="W472" s="362">
        <v>359</v>
      </c>
      <c r="X472" s="348">
        <v>40</v>
      </c>
      <c r="Y472" s="348">
        <v>67</v>
      </c>
    </row>
    <row r="473">
      <c r="A473" s="363"/>
      <c r="B473" s="339" t="s">
        <v>232</v>
      </c>
      <c r="C473" s="339"/>
      <c r="D473" s="340">
        <f>SUM(D468:D472)</f>
      </c>
      <c r="E473" s="340">
        <f>SUM(E468:E472)</f>
      </c>
      <c r="F473" s="340">
        <f>SUM(F468:G472)</f>
      </c>
      <c r="G473" s="340"/>
      <c r="H473" s="340">
        <f>SUM(H468:H472)</f>
      </c>
      <c r="I473" s="340">
        <f>SUM(I468:I472)</f>
      </c>
      <c r="J473" s="342">
        <f t="shared" si="260"/>
      </c>
      <c r="K473" s="343">
        <f t="shared" si="298"/>
      </c>
      <c r="L473" s="344">
        <f t="shared" si="333"/>
      </c>
      <c r="M473" s="345">
        <f t="shared" si="26"/>
      </c>
      <c r="N473" s="345">
        <f t="shared" si="92"/>
      </c>
      <c r="O473" s="346">
        <f t="shared" si="122"/>
      </c>
      <c r="P473" s="345">
        <f t="shared" si="58"/>
      </c>
      <c r="Q473" s="346"/>
      <c r="R473" s="351"/>
      <c r="S473" s="340">
        <f>SUM(S468:S472)</f>
      </c>
      <c r="T473" s="340">
        <f>SUM(T468:T472)</f>
      </c>
      <c r="U473" s="340">
        <f>SUM(U468:U472)</f>
      </c>
      <c r="V473" s="340">
        <f>SUM(V468:V472)</f>
      </c>
      <c r="W473" s="340">
        <f>SUM(W468:W472)</f>
      </c>
      <c r="X473" s="340">
        <f>SUM(X468:X472)</f>
      </c>
      <c r="Y473" s="340">
        <f>SUM(Y468:Y472)</f>
      </c>
    </row>
    <row r="474">
      <c r="A474" s="363"/>
      <c r="B474" s="353" t="s">
        <v>246</v>
      </c>
      <c r="C474" s="353"/>
      <c r="D474" s="354">
        <f>D473+D467+D462+D457</f>
      </c>
      <c r="E474" s="354">
        <f>E473+E467+E462+E457</f>
      </c>
      <c r="F474" s="354">
        <f>F473+F467+F462+F457</f>
      </c>
      <c r="G474" s="354"/>
      <c r="H474" s="355">
        <f>H473+H467+H462+H457</f>
      </c>
      <c r="I474" s="354">
        <f>I473+I467+I462+I457</f>
      </c>
      <c r="J474" s="356">
        <f t="shared" si="260"/>
      </c>
      <c r="K474" s="356">
        <f t="shared" si="298"/>
      </c>
      <c r="L474" s="356">
        <f t="shared" si="333"/>
      </c>
      <c r="M474" s="357">
        <f t="shared" si="26"/>
      </c>
      <c r="N474" s="357">
        <f t="shared" si="92"/>
      </c>
      <c r="O474" s="356">
        <f t="shared" si="122"/>
      </c>
      <c r="P474" s="357">
        <f t="shared" si="58"/>
      </c>
      <c r="Q474" s="358"/>
      <c r="R474" s="359"/>
      <c r="S474" s="381">
        <f>S473+S467+S462+S457</f>
      </c>
      <c r="T474" s="381">
        <f>T473+T467+T462+T457</f>
      </c>
      <c r="U474" s="381">
        <f>U473+U467+U462+U457</f>
      </c>
      <c r="V474" s="381">
        <f>V473+V467+V462+V457</f>
      </c>
      <c r="W474" s="381">
        <f>W473+W467+W462+W457</f>
      </c>
      <c r="X474" s="360">
        <f>X473+X467+X462+X457</f>
      </c>
      <c r="Y474" s="355">
        <f>Y473+Y467+Y462+Y457</f>
      </c>
    </row>
    <row r="475">
      <c r="A475" s="311" t="s">
        <v>195</v>
      </c>
      <c r="B475" s="311"/>
      <c r="C475" s="311"/>
      <c r="D475" s="312" t="s">
        <v>196</v>
      </c>
      <c r="E475" s="312"/>
      <c r="F475" s="312"/>
      <c r="G475" s="312"/>
      <c r="H475" s="312"/>
      <c r="I475" s="312"/>
      <c r="J475" s="312"/>
      <c r="K475" s="312"/>
      <c r="L475" s="312"/>
      <c r="M475" s="313" t="s">
        <v>197</v>
      </c>
      <c r="N475" s="313"/>
      <c r="O475" s="313"/>
      <c r="P475" s="313"/>
      <c r="Q475" s="313"/>
      <c r="R475" s="313"/>
      <c r="S475" s="314" t="s">
        <v>198</v>
      </c>
      <c r="T475" s="314"/>
      <c r="U475" s="314"/>
      <c r="V475" s="314"/>
      <c r="W475" s="314"/>
      <c r="X475" s="314"/>
      <c r="Y475" s="314"/>
    </row>
    <row r="476">
      <c r="A476" s="315" t="s">
        <v>199</v>
      </c>
      <c r="B476" s="311" t="s">
        <v>200</v>
      </c>
      <c r="C476" s="311" t="s">
        <v>201</v>
      </c>
      <c r="D476" s="312" t="s">
        <v>202</v>
      </c>
      <c r="E476" s="316" t="s">
        <v>203</v>
      </c>
      <c r="F476" s="312" t="s">
        <v>204</v>
      </c>
      <c r="G476" s="312"/>
      <c r="H476" s="317" t="s">
        <v>205</v>
      </c>
      <c r="I476" s="312" t="s">
        <v>206</v>
      </c>
      <c r="J476" s="318" t="s">
        <v>207</v>
      </c>
      <c r="K476" s="319" t="s">
        <v>208</v>
      </c>
      <c r="L476" s="312" t="s">
        <v>209</v>
      </c>
      <c r="M476" s="313" t="s">
        <v>210</v>
      </c>
      <c r="N476" s="313" t="s">
        <v>211</v>
      </c>
      <c r="O476" s="313" t="s">
        <v>212</v>
      </c>
      <c r="P476" s="320" t="s">
        <v>213</v>
      </c>
      <c r="Q476" s="321" t="s">
        <v>214</v>
      </c>
      <c r="R476" s="321" t="s">
        <v>215</v>
      </c>
      <c r="S476" s="366" t="s">
        <v>216</v>
      </c>
      <c r="T476" s="366" t="s">
        <v>217</v>
      </c>
      <c r="U476" s="323" t="s">
        <v>218</v>
      </c>
      <c r="V476" s="323" t="s">
        <v>219</v>
      </c>
      <c r="W476" s="323" t="s">
        <v>220</v>
      </c>
      <c r="X476" s="322" t="s">
        <v>221</v>
      </c>
      <c r="Y476" s="322" t="s">
        <v>222</v>
      </c>
    </row>
    <row r="477">
      <c r="A477" s="363" t="s">
        <v>283</v>
      </c>
      <c r="B477" s="325" t="s">
        <v>260</v>
      </c>
      <c r="C477" s="326" t="s">
        <v>228</v>
      </c>
      <c r="D477" s="326">
        <f t="shared" ref="D477:D480" si="211">E477+G477+F477</f>
      </c>
      <c r="E477" s="327">
        <v>1400.46</v>
      </c>
      <c r="F477" s="327">
        <v>3712.09</v>
      </c>
      <c r="G477" s="327">
        <v>0</v>
      </c>
      <c r="H477" s="328">
        <v>16</v>
      </c>
      <c r="I477" s="327">
        <v>8002.34</v>
      </c>
      <c r="J477" s="329">
        <f t="shared" ref="J477:J497" si="261">I477/D477</f>
      </c>
      <c r="K477" s="330">
        <f t="shared" ref="K477:K497" si="299">D477/H477</f>
      </c>
      <c r="L477" s="329">
        <f t="shared" ref="L477:L497" si="334">I477/H477</f>
      </c>
      <c r="M477" s="331">
        <f t="shared" ref="M477:M497" si="27">T477/S477</f>
      </c>
      <c r="N477" s="332">
        <f t="shared" ref="N477:N497" si="93">H477/X477</f>
      </c>
      <c r="O477" s="333">
        <f t="shared" ref="O477:O497" si="123">(Y477*1000)/D477</f>
      </c>
      <c r="P477" s="332">
        <f t="shared" ref="P477:P497" si="59">W477/V477</f>
      </c>
      <c r="Q477" s="334" t="s">
        <v>255</v>
      </c>
      <c r="R477" s="370" t="s">
        <v>261</v>
      </c>
      <c r="S477" s="336">
        <v>125313</v>
      </c>
      <c r="T477" s="336">
        <v>3738</v>
      </c>
      <c r="U477" s="368">
        <v>274</v>
      </c>
      <c r="V477" s="337">
        <v>4022</v>
      </c>
      <c r="W477" s="337">
        <v>342</v>
      </c>
      <c r="X477" s="337">
        <v>24</v>
      </c>
      <c r="Y477" s="337">
        <v>65</v>
      </c>
    </row>
    <row r="478">
      <c r="A478" s="363"/>
      <c r="B478" s="325" t="s">
        <v>260</v>
      </c>
      <c r="C478" s="326" t="s">
        <v>229</v>
      </c>
      <c r="D478" s="326">
        <f t="shared" si="211"/>
      </c>
      <c r="E478" s="327">
        <v>1475.41</v>
      </c>
      <c r="F478" s="327">
        <v>2102.69</v>
      </c>
      <c r="G478" s="327">
        <v>0</v>
      </c>
      <c r="H478" s="328">
        <v>15</v>
      </c>
      <c r="I478" s="326">
        <v>5810.6900000000005</v>
      </c>
      <c r="J478" s="329">
        <f t="shared" si="261"/>
      </c>
      <c r="K478" s="329">
        <f t="shared" si="299"/>
      </c>
      <c r="L478" s="330">
        <f t="shared" si="334"/>
      </c>
      <c r="M478" s="331">
        <f t="shared" si="27"/>
      </c>
      <c r="N478" s="332">
        <f t="shared" si="93"/>
      </c>
      <c r="O478" s="333">
        <f t="shared" si="123"/>
      </c>
      <c r="P478" s="332">
        <f t="shared" si="59"/>
      </c>
      <c r="Q478" s="334" t="s">
        <v>255</v>
      </c>
      <c r="R478" s="370" t="s">
        <v>261</v>
      </c>
      <c r="S478" s="369">
        <v>108805</v>
      </c>
      <c r="T478" s="369">
        <v>2154</v>
      </c>
      <c r="U478" s="337">
        <v>222</v>
      </c>
      <c r="V478" s="337">
        <v>2335</v>
      </c>
      <c r="W478" s="337">
        <v>250</v>
      </c>
      <c r="X478" s="337">
        <v>28</v>
      </c>
      <c r="Y478" s="337">
        <v>39</v>
      </c>
    </row>
    <row r="479">
      <c r="A479" s="363"/>
      <c r="B479" s="325" t="s">
        <v>260</v>
      </c>
      <c r="C479" s="326" t="s">
        <v>230</v>
      </c>
      <c r="D479" s="326">
        <f t="shared" si="211"/>
      </c>
      <c r="E479" s="327">
        <v>1604.97</v>
      </c>
      <c r="F479" s="327">
        <v>2931.13</v>
      </c>
      <c r="G479" s="327">
        <v>0</v>
      </c>
      <c r="H479" s="338">
        <v>19</v>
      </c>
      <c r="I479" s="326">
        <v>10858.319999999998</v>
      </c>
      <c r="J479" s="329">
        <f t="shared" si="261"/>
      </c>
      <c r="K479" s="329">
        <f t="shared" si="299"/>
      </c>
      <c r="L479" s="329">
        <f t="shared" si="334"/>
      </c>
      <c r="M479" s="331">
        <f t="shared" si="27"/>
      </c>
      <c r="N479" s="332">
        <f t="shared" si="93"/>
      </c>
      <c r="O479" s="333">
        <f t="shared" si="123"/>
      </c>
      <c r="P479" s="332">
        <f t="shared" si="59"/>
      </c>
      <c r="Q479" s="334" t="s">
        <v>255</v>
      </c>
      <c r="R479" s="370" t="s">
        <v>261</v>
      </c>
      <c r="S479" s="336">
        <v>108575</v>
      </c>
      <c r="T479" s="336">
        <v>2120</v>
      </c>
      <c r="U479" s="337">
        <v>272</v>
      </c>
      <c r="V479" s="337">
        <v>2323</v>
      </c>
      <c r="W479" s="337">
        <v>239</v>
      </c>
      <c r="X479" s="337">
        <v>26</v>
      </c>
      <c r="Y479" s="337">
        <v>49</v>
      </c>
    </row>
    <row r="480">
      <c r="A480" s="363"/>
      <c r="B480" s="325" t="s">
        <v>260</v>
      </c>
      <c r="C480" s="364" t="s">
        <v>231</v>
      </c>
      <c r="D480" s="326">
        <f t="shared" si="211"/>
      </c>
      <c r="E480" s="327">
        <v>2657.62</v>
      </c>
      <c r="F480" s="327">
        <v>2533.35</v>
      </c>
      <c r="G480" s="327">
        <v>0</v>
      </c>
      <c r="H480" s="338">
        <v>30</v>
      </c>
      <c r="I480" s="326">
        <v>18372.78</v>
      </c>
      <c r="J480" s="329">
        <f t="shared" si="261"/>
      </c>
      <c r="K480" s="329">
        <f t="shared" si="299"/>
      </c>
      <c r="L480" s="329">
        <f t="shared" si="334"/>
      </c>
      <c r="M480" s="331">
        <f t="shared" si="27"/>
      </c>
      <c r="N480" s="332">
        <f t="shared" si="93"/>
      </c>
      <c r="O480" s="333">
        <f t="shared" si="123"/>
      </c>
      <c r="P480" s="332">
        <f t="shared" si="59"/>
      </c>
      <c r="Q480" s="334" t="s">
        <v>255</v>
      </c>
      <c r="R480" s="370" t="s">
        <v>261</v>
      </c>
      <c r="S480" s="336">
        <v>151535</v>
      </c>
      <c r="T480" s="336">
        <v>2590</v>
      </c>
      <c r="U480" s="337">
        <v>356</v>
      </c>
      <c r="V480" s="337">
        <v>2892</v>
      </c>
      <c r="W480" s="337">
        <v>348</v>
      </c>
      <c r="X480" s="337">
        <v>37</v>
      </c>
      <c r="Y480" s="337">
        <v>82</v>
      </c>
    </row>
    <row r="481">
      <c r="A481" s="363"/>
      <c r="B481" s="339" t="s">
        <v>232</v>
      </c>
      <c r="C481" s="339"/>
      <c r="D481" s="340">
        <f>SUM(D477:D480)</f>
      </c>
      <c r="E481" s="340">
        <f>SUM(E477:E480)</f>
      </c>
      <c r="F481" s="340">
        <f>SUM(F477:G480)</f>
      </c>
      <c r="G481" s="340"/>
      <c r="H481" s="341">
        <f>SUM(H477:H480)</f>
      </c>
      <c r="I481" s="340">
        <f>SUM(I477:I480)</f>
      </c>
      <c r="J481" s="342">
        <f t="shared" si="261"/>
      </c>
      <c r="K481" s="343">
        <f t="shared" si="299"/>
      </c>
      <c r="L481" s="344">
        <f t="shared" si="334"/>
      </c>
      <c r="M481" s="345">
        <f t="shared" si="27"/>
      </c>
      <c r="N481" s="345">
        <f t="shared" si="93"/>
      </c>
      <c r="O481" s="346">
        <f t="shared" si="123"/>
      </c>
      <c r="P481" s="345">
        <f t="shared" si="59"/>
      </c>
      <c r="Q481" s="346"/>
      <c r="R481" s="346"/>
      <c r="S481" s="341">
        <f>SUM(S477:S480)</f>
      </c>
      <c r="T481" s="341">
        <f>SUM(T477:T480)</f>
      </c>
      <c r="U481" s="341">
        <f>SUM(U477:U480)</f>
      </c>
      <c r="V481" s="341">
        <f>SUM(V477:V480)</f>
      </c>
      <c r="W481" s="341">
        <f>SUM(W477:W480)</f>
      </c>
      <c r="X481" s="341">
        <f>SUM(X477:X480)</f>
      </c>
      <c r="Y481" s="341">
        <f>SUM(Y477:Y480)</f>
      </c>
    </row>
    <row r="482">
      <c r="A482" s="363"/>
      <c r="B482" s="325" t="s">
        <v>233</v>
      </c>
      <c r="C482" s="327" t="s">
        <v>234</v>
      </c>
      <c r="D482" s="326">
        <f t="shared" ref="D482:D485" si="212">E482+G482+F482</f>
      </c>
      <c r="E482" s="327">
        <v>3216.78</v>
      </c>
      <c r="F482" s="327">
        <v>1088.38</v>
      </c>
      <c r="G482" s="327">
        <v>0</v>
      </c>
      <c r="H482" s="338">
        <v>11</v>
      </c>
      <c r="I482" s="326">
        <v>4183.800000000003</v>
      </c>
      <c r="J482" s="329">
        <f t="shared" si="261"/>
      </c>
      <c r="K482" s="329">
        <f t="shared" si="299"/>
      </c>
      <c r="L482" s="329">
        <f t="shared" si="334"/>
      </c>
      <c r="M482" s="331">
        <f t="shared" si="27"/>
      </c>
      <c r="N482" s="332">
        <f t="shared" si="93"/>
      </c>
      <c r="O482" s="333">
        <f t="shared" si="123"/>
      </c>
      <c r="P482" s="332">
        <f t="shared" si="59"/>
      </c>
      <c r="Q482" s="334" t="s">
        <v>255</v>
      </c>
      <c r="R482" s="370" t="s">
        <v>261</v>
      </c>
      <c r="S482" s="347">
        <v>132927</v>
      </c>
      <c r="T482" s="347">
        <v>2945</v>
      </c>
      <c r="U482" s="348">
        <v>299</v>
      </c>
      <c r="V482" s="348">
        <v>4309</v>
      </c>
      <c r="W482" s="348">
        <v>568</v>
      </c>
      <c r="X482" s="348">
        <v>27</v>
      </c>
      <c r="Y482" s="348">
        <v>69</v>
      </c>
    </row>
    <row r="483">
      <c r="A483" s="363"/>
      <c r="B483" s="325" t="s">
        <v>233</v>
      </c>
      <c r="C483" s="327" t="s">
        <v>235</v>
      </c>
      <c r="D483" s="326">
        <f t="shared" si="212"/>
      </c>
      <c r="E483" s="327">
        <v>2284.13</v>
      </c>
      <c r="F483" s="327">
        <v>889.43</v>
      </c>
      <c r="G483" s="327">
        <v>0</v>
      </c>
      <c r="H483" s="328">
        <v>12</v>
      </c>
      <c r="I483" s="327">
        <v>9074.779999999999</v>
      </c>
      <c r="J483" s="329">
        <f t="shared" si="261"/>
      </c>
      <c r="K483" s="329">
        <f t="shared" si="299"/>
      </c>
      <c r="L483" s="329">
        <f t="shared" si="334"/>
      </c>
      <c r="M483" s="331">
        <f t="shared" si="27"/>
      </c>
      <c r="N483" s="332">
        <f t="shared" si="93"/>
      </c>
      <c r="O483" s="333">
        <f t="shared" si="123"/>
      </c>
      <c r="P483" s="332">
        <f t="shared" si="59"/>
      </c>
      <c r="Q483" s="334" t="s">
        <v>255</v>
      </c>
      <c r="R483" s="370" t="s">
        <v>261</v>
      </c>
      <c r="S483" s="347">
        <v>67355</v>
      </c>
      <c r="T483" s="347">
        <v>3073</v>
      </c>
      <c r="U483" s="348">
        <v>219</v>
      </c>
      <c r="V483" s="348">
        <v>5143</v>
      </c>
      <c r="W483" s="348">
        <v>532</v>
      </c>
      <c r="X483" s="348">
        <v>20</v>
      </c>
      <c r="Y483" s="348">
        <v>60</v>
      </c>
    </row>
    <row r="484">
      <c r="A484" s="363"/>
      <c r="B484" s="325" t="s">
        <v>233</v>
      </c>
      <c r="C484" s="326" t="s">
        <v>236</v>
      </c>
      <c r="D484" s="326">
        <f t="shared" si="212"/>
      </c>
      <c r="E484" s="327">
        <v>2024.97</v>
      </c>
      <c r="F484" s="327">
        <v>1372.58</v>
      </c>
      <c r="G484" s="327">
        <v>0</v>
      </c>
      <c r="H484" s="328">
        <v>8</v>
      </c>
      <c r="I484" s="327">
        <v>3722.9000000000015</v>
      </c>
      <c r="J484" s="329">
        <f t="shared" si="261"/>
      </c>
      <c r="K484" s="329">
        <f t="shared" si="299"/>
      </c>
      <c r="L484" s="329">
        <f t="shared" si="334"/>
      </c>
      <c r="M484" s="331">
        <f t="shared" si="27"/>
      </c>
      <c r="N484" s="332">
        <f t="shared" si="93"/>
      </c>
      <c r="O484" s="333">
        <f t="shared" si="123"/>
      </c>
      <c r="P484" s="332">
        <f t="shared" si="59"/>
      </c>
      <c r="Q484" s="334" t="s">
        <v>255</v>
      </c>
      <c r="R484" s="370" t="s">
        <v>261</v>
      </c>
      <c r="S484" s="347">
        <v>96189</v>
      </c>
      <c r="T484" s="347">
        <v>4276</v>
      </c>
      <c r="U484" s="348">
        <v>292</v>
      </c>
      <c r="V484" s="348">
        <v>6879</v>
      </c>
      <c r="W484" s="348">
        <v>737</v>
      </c>
      <c r="X484" s="348">
        <v>20</v>
      </c>
      <c r="Y484" s="348">
        <v>60</v>
      </c>
    </row>
    <row r="485">
      <c r="A485" s="363"/>
      <c r="B485" s="325" t="s">
        <v>233</v>
      </c>
      <c r="C485" s="326" t="s">
        <v>237</v>
      </c>
      <c r="D485" s="326">
        <f t="shared" si="212"/>
      </c>
      <c r="E485" s="327">
        <v>1562.75</v>
      </c>
      <c r="F485" s="327">
        <v>1186.48</v>
      </c>
      <c r="G485" s="327">
        <v>0</v>
      </c>
      <c r="H485" s="338">
        <v>10</v>
      </c>
      <c r="I485" s="327">
        <v>6271.100000000006</v>
      </c>
      <c r="J485" s="329">
        <f t="shared" si="261"/>
      </c>
      <c r="K485" s="329">
        <f t="shared" si="299"/>
      </c>
      <c r="L485" s="329">
        <f t="shared" si="334"/>
      </c>
      <c r="M485" s="331">
        <f t="shared" si="27"/>
      </c>
      <c r="N485" s="332">
        <f t="shared" si="93"/>
      </c>
      <c r="O485" s="333">
        <f t="shared" si="123"/>
      </c>
      <c r="P485" s="332">
        <f t="shared" si="59"/>
      </c>
      <c r="Q485" s="334" t="s">
        <v>255</v>
      </c>
      <c r="R485" s="370" t="s">
        <v>261</v>
      </c>
      <c r="S485" s="347">
        <v>75328</v>
      </c>
      <c r="T485" s="347">
        <v>3392</v>
      </c>
      <c r="U485" s="348">
        <v>219</v>
      </c>
      <c r="V485" s="348">
        <v>4957</v>
      </c>
      <c r="W485" s="348">
        <v>485</v>
      </c>
      <c r="X485" s="348">
        <v>11</v>
      </c>
      <c r="Y485" s="348">
        <v>46</v>
      </c>
    </row>
    <row r="486">
      <c r="A486" s="363"/>
      <c r="B486" s="339" t="s">
        <v>232</v>
      </c>
      <c r="C486" s="339"/>
      <c r="D486" s="340">
        <f>SUM(D482:D485)</f>
      </c>
      <c r="E486" s="340">
        <f>SUM(E482:E485)</f>
      </c>
      <c r="F486" s="340">
        <f>SUM(F482:G485)</f>
      </c>
      <c r="G486" s="340"/>
      <c r="H486" s="341">
        <f>SUM(H482:H485)</f>
      </c>
      <c r="I486" s="340">
        <f>SUM(I482:I485)</f>
      </c>
      <c r="J486" s="342">
        <f t="shared" si="261"/>
      </c>
      <c r="K486" s="343">
        <f t="shared" si="299"/>
      </c>
      <c r="L486" s="344">
        <f t="shared" si="334"/>
      </c>
      <c r="M486" s="345">
        <f t="shared" si="27"/>
      </c>
      <c r="N486" s="345">
        <f t="shared" si="93"/>
      </c>
      <c r="O486" s="346">
        <f t="shared" si="123"/>
      </c>
      <c r="P486" s="345">
        <f t="shared" si="59"/>
      </c>
      <c r="Q486" s="346"/>
      <c r="R486" s="346"/>
      <c r="S486" s="341">
        <f>SUM(S482:S485)</f>
      </c>
      <c r="T486" s="341">
        <f>SUM(T482:T485)</f>
      </c>
      <c r="U486" s="341">
        <f>SUM(U482:U485)</f>
      </c>
      <c r="V486" s="341">
        <f>SUM(V482:V485)</f>
      </c>
      <c r="W486" s="341">
        <f>SUM(W482:W485)</f>
      </c>
      <c r="X486" s="341">
        <f>SUM(X482:X485)</f>
      </c>
      <c r="Y486" s="341">
        <f>SUM(Y482:Y485)</f>
      </c>
    </row>
    <row r="487">
      <c r="A487" s="363"/>
      <c r="B487" s="325" t="s">
        <v>257</v>
      </c>
      <c r="C487" s="327" t="s">
        <v>239</v>
      </c>
      <c r="D487" s="326">
        <f t="shared" ref="D487:D490" si="213">E487+G487+F487</f>
      </c>
      <c r="E487" s="327">
        <v>1932.75</v>
      </c>
      <c r="F487" s="327">
        <v>1377.56</v>
      </c>
      <c r="G487" s="327">
        <v>0</v>
      </c>
      <c r="H487" s="338">
        <v>7</v>
      </c>
      <c r="I487" s="326">
        <v>4174.199999999997</v>
      </c>
      <c r="J487" s="329">
        <f t="shared" si="261"/>
      </c>
      <c r="K487" s="329">
        <f t="shared" si="299"/>
      </c>
      <c r="L487" s="329">
        <f t="shared" si="334"/>
      </c>
      <c r="M487" s="331">
        <f t="shared" si="27"/>
      </c>
      <c r="N487" s="332">
        <f t="shared" si="93"/>
      </c>
      <c r="O487" s="333">
        <f t="shared" si="123"/>
      </c>
      <c r="P487" s="332">
        <f t="shared" si="59"/>
      </c>
      <c r="Q487" s="334" t="s">
        <v>258</v>
      </c>
      <c r="R487" s="370" t="s">
        <v>261</v>
      </c>
      <c r="S487" s="347">
        <v>91337</v>
      </c>
      <c r="T487" s="347">
        <v>4560</v>
      </c>
      <c r="U487" s="348">
        <v>237</v>
      </c>
      <c r="V487" s="348">
        <v>7898</v>
      </c>
      <c r="W487" s="348">
        <v>779</v>
      </c>
      <c r="X487" s="348">
        <v>42</v>
      </c>
      <c r="Y487" s="348">
        <v>49</v>
      </c>
    </row>
    <row r="488">
      <c r="A488" s="363"/>
      <c r="B488" s="325" t="s">
        <v>257</v>
      </c>
      <c r="C488" s="327" t="s">
        <v>241</v>
      </c>
      <c r="D488" s="326">
        <f t="shared" si="213"/>
      </c>
      <c r="E488" s="327">
        <v>1741.39</v>
      </c>
      <c r="F488" s="327">
        <v>1306.9</v>
      </c>
      <c r="G488" s="327">
        <v>0</v>
      </c>
      <c r="H488" s="338">
        <v>14</v>
      </c>
      <c r="I488" s="326">
        <v>5251.220000000001</v>
      </c>
      <c r="J488" s="329">
        <f t="shared" si="261"/>
      </c>
      <c r="K488" s="329">
        <f t="shared" si="299"/>
      </c>
      <c r="L488" s="329">
        <f t="shared" si="334"/>
      </c>
      <c r="M488" s="331">
        <f t="shared" si="27"/>
      </c>
      <c r="N488" s="332">
        <f t="shared" si="93"/>
      </c>
      <c r="O488" s="333">
        <f t="shared" si="123"/>
      </c>
      <c r="P488" s="332">
        <f t="shared" si="59"/>
      </c>
      <c r="Q488" s="334" t="s">
        <v>258</v>
      </c>
      <c r="R488" s="350" t="s">
        <v>227</v>
      </c>
      <c r="S488" s="347">
        <v>58612</v>
      </c>
      <c r="T488" s="347">
        <v>3019</v>
      </c>
      <c r="U488" s="348">
        <v>233</v>
      </c>
      <c r="V488" s="348">
        <v>5259</v>
      </c>
      <c r="W488" s="348">
        <v>519</v>
      </c>
      <c r="X488" s="348">
        <v>25</v>
      </c>
      <c r="Y488" s="348">
        <v>48</v>
      </c>
    </row>
    <row r="489">
      <c r="A489" s="363"/>
      <c r="B489" s="325" t="s">
        <v>257</v>
      </c>
      <c r="C489" s="327" t="s">
        <v>242</v>
      </c>
      <c r="D489" s="326">
        <f t="shared" si="213"/>
      </c>
      <c r="E489" s="327">
        <v>1207.54</v>
      </c>
      <c r="F489" s="327">
        <v>1620.63</v>
      </c>
      <c r="G489" s="327">
        <v>0</v>
      </c>
      <c r="H489" s="338">
        <v>12</v>
      </c>
      <c r="I489" s="326">
        <v>5864.5199999999895</v>
      </c>
      <c r="J489" s="329">
        <f t="shared" si="261"/>
      </c>
      <c r="K489" s="329">
        <f t="shared" si="299"/>
      </c>
      <c r="L489" s="329">
        <f t="shared" si="334"/>
      </c>
      <c r="M489" s="331">
        <f t="shared" si="27"/>
      </c>
      <c r="N489" s="332">
        <f t="shared" si="93"/>
      </c>
      <c r="O489" s="333">
        <f t="shared" si="123"/>
      </c>
      <c r="P489" s="332">
        <f t="shared" si="59"/>
      </c>
      <c r="Q489" s="334" t="s">
        <v>258</v>
      </c>
      <c r="R489" s="350" t="s">
        <v>227</v>
      </c>
      <c r="S489" s="347">
        <v>70950</v>
      </c>
      <c r="T489" s="347">
        <v>2644</v>
      </c>
      <c r="U489" s="348">
        <v>191</v>
      </c>
      <c r="V489" s="348">
        <v>3679</v>
      </c>
      <c r="W489" s="348">
        <v>330</v>
      </c>
      <c r="X489" s="348">
        <v>30</v>
      </c>
      <c r="Y489" s="348">
        <v>49</v>
      </c>
    </row>
    <row r="490">
      <c r="A490" s="363"/>
      <c r="B490" s="325" t="s">
        <v>257</v>
      </c>
      <c r="C490" s="326" t="s">
        <v>244</v>
      </c>
      <c r="D490" s="326">
        <f t="shared" si="213"/>
      </c>
      <c r="E490" s="327">
        <v>1718.65</v>
      </c>
      <c r="F490" s="327">
        <v>1464</v>
      </c>
      <c r="G490" s="327">
        <v>0</v>
      </c>
      <c r="H490" s="338">
        <v>16</v>
      </c>
      <c r="I490" s="327">
        <v>7342.309999999998</v>
      </c>
      <c r="J490" s="329">
        <f t="shared" si="261"/>
      </c>
      <c r="K490" s="329">
        <f t="shared" si="299"/>
      </c>
      <c r="L490" s="329">
        <f t="shared" si="334"/>
      </c>
      <c r="M490" s="331">
        <f t="shared" si="27"/>
      </c>
      <c r="N490" s="332">
        <f t="shared" si="93"/>
      </c>
      <c r="O490" s="333">
        <f t="shared" si="123"/>
      </c>
      <c r="P490" s="332">
        <f t="shared" si="59"/>
      </c>
      <c r="Q490" s="334" t="s">
        <v>258</v>
      </c>
      <c r="R490" s="350" t="s">
        <v>227</v>
      </c>
      <c r="S490" s="347">
        <v>56870</v>
      </c>
      <c r="T490" s="347">
        <v>3061</v>
      </c>
      <c r="U490" s="348">
        <v>216</v>
      </c>
      <c r="V490" s="348">
        <v>5356</v>
      </c>
      <c r="W490" s="348">
        <v>561</v>
      </c>
      <c r="X490" s="348">
        <v>24</v>
      </c>
      <c r="Y490" s="348">
        <v>63</v>
      </c>
    </row>
    <row r="491">
      <c r="A491" s="363"/>
      <c r="B491" s="339" t="s">
        <v>232</v>
      </c>
      <c r="C491" s="339"/>
      <c r="D491" s="340">
        <f>SUM(D487:D490)</f>
      </c>
      <c r="E491" s="340">
        <f>SUM(E487:E490)</f>
      </c>
      <c r="F491" s="340">
        <f>SUM(F487:G490)</f>
      </c>
      <c r="G491" s="340"/>
      <c r="H491" s="341">
        <f>SUM(H487:H490)</f>
      </c>
      <c r="I491" s="340">
        <f>SUM(I487:I490)</f>
      </c>
      <c r="J491" s="342">
        <f t="shared" si="261"/>
      </c>
      <c r="K491" s="343">
        <f t="shared" si="299"/>
      </c>
      <c r="L491" s="344">
        <f t="shared" si="334"/>
      </c>
      <c r="M491" s="345">
        <f t="shared" si="27"/>
      </c>
      <c r="N491" s="345">
        <f t="shared" si="93"/>
      </c>
      <c r="O491" s="346">
        <f t="shared" si="123"/>
      </c>
      <c r="P491" s="345">
        <f t="shared" si="59"/>
      </c>
      <c r="Q491" s="346"/>
      <c r="R491" s="346"/>
      <c r="S491" s="341">
        <f>SUM(S487:S490)</f>
      </c>
      <c r="T491" s="341">
        <f>SUM(T487:T490)</f>
      </c>
      <c r="U491" s="341">
        <f>SUM(U487:U490)</f>
      </c>
      <c r="V491" s="341">
        <f>SUM(V487:V490)</f>
      </c>
      <c r="W491" s="341">
        <f>SUM(W487:W490)</f>
      </c>
      <c r="X491" s="341">
        <f>SUM(X487:X490)</f>
      </c>
      <c r="Y491" s="341">
        <f>SUM(Y487:Y490)</f>
      </c>
    </row>
    <row r="492">
      <c r="A492" s="363"/>
      <c r="B492" s="325" t="s">
        <v>248</v>
      </c>
      <c r="C492" s="327" t="s">
        <v>245</v>
      </c>
      <c r="D492" s="326">
        <f t="shared" ref="D492:D495" si="214">E492+G492+F492</f>
      </c>
      <c r="E492" s="327">
        <v>2839.74</v>
      </c>
      <c r="F492" s="327">
        <v>1244.57</v>
      </c>
      <c r="G492" s="327">
        <v>0</v>
      </c>
      <c r="H492" s="328">
        <v>15</v>
      </c>
      <c r="I492" s="327">
        <v>5476.5899999999965</v>
      </c>
      <c r="J492" s="329">
        <f t="shared" si="261"/>
      </c>
      <c r="K492" s="329">
        <f t="shared" si="299"/>
      </c>
      <c r="L492" s="329">
        <f t="shared" si="334"/>
      </c>
      <c r="M492" s="331">
        <f t="shared" si="27"/>
      </c>
      <c r="N492" s="332">
        <f t="shared" si="93"/>
      </c>
      <c r="O492" s="333">
        <f t="shared" si="123"/>
      </c>
      <c r="P492" s="332">
        <f t="shared" si="59"/>
      </c>
      <c r="Q492" s="334" t="s">
        <v>258</v>
      </c>
      <c r="R492" s="350" t="s">
        <v>227</v>
      </c>
      <c r="S492" s="348">
        <v>99171</v>
      </c>
      <c r="T492" s="348">
        <v>3920</v>
      </c>
      <c r="U492" s="348">
        <v>323</v>
      </c>
      <c r="V492" s="348">
        <v>5835</v>
      </c>
      <c r="W492" s="348">
        <v>595</v>
      </c>
      <c r="X492" s="348">
        <v>32</v>
      </c>
      <c r="Y492" s="348">
        <v>66</v>
      </c>
    </row>
    <row r="493">
      <c r="A493" s="363"/>
      <c r="B493" s="325" t="s">
        <v>248</v>
      </c>
      <c r="C493" s="327" t="s">
        <v>250</v>
      </c>
      <c r="D493" s="326">
        <f t="shared" si="214"/>
      </c>
      <c r="E493" s="327">
        <v>5495.19</v>
      </c>
      <c r="F493" s="327">
        <v>2098.97</v>
      </c>
      <c r="G493" s="327">
        <v>0</v>
      </c>
      <c r="H493" s="328">
        <v>32</v>
      </c>
      <c r="I493" s="327">
        <v>18848.670000000013</v>
      </c>
      <c r="J493" s="329">
        <f t="shared" si="261"/>
      </c>
      <c r="K493" s="329">
        <f t="shared" si="299"/>
      </c>
      <c r="L493" s="329">
        <f t="shared" si="334"/>
      </c>
      <c r="M493" s="331">
        <f t="shared" si="27"/>
      </c>
      <c r="N493" s="332">
        <f t="shared" si="93"/>
      </c>
      <c r="O493" s="333">
        <f t="shared" si="123"/>
      </c>
      <c r="P493" s="332">
        <f t="shared" si="59"/>
      </c>
      <c r="Q493" s="334" t="s">
        <v>258</v>
      </c>
      <c r="R493" s="350" t="s">
        <v>227</v>
      </c>
      <c r="S493" s="361">
        <v>181921</v>
      </c>
      <c r="T493" s="361">
        <v>6722</v>
      </c>
      <c r="U493" s="362">
        <v>529</v>
      </c>
      <c r="V493" s="362">
        <v>10688</v>
      </c>
      <c r="W493" s="362">
        <v>982</v>
      </c>
      <c r="X493" s="348">
        <v>55</v>
      </c>
      <c r="Y493" s="348">
        <v>102</v>
      </c>
    </row>
    <row r="494">
      <c r="A494" s="363"/>
      <c r="B494" s="325" t="s">
        <v>248</v>
      </c>
      <c r="C494" s="327" t="s">
        <v>264</v>
      </c>
      <c r="D494" s="326">
        <f t="shared" si="214"/>
      </c>
      <c r="E494" s="327">
        <v>3482.04</v>
      </c>
      <c r="F494" s="327">
        <v>1838.67</v>
      </c>
      <c r="G494" s="327">
        <v>0</v>
      </c>
      <c r="H494" s="328">
        <v>19</v>
      </c>
      <c r="I494" s="327">
        <v>9437.39</v>
      </c>
      <c r="J494" s="329">
        <f t="shared" si="261"/>
      </c>
      <c r="K494" s="329">
        <f t="shared" si="299"/>
      </c>
      <c r="L494" s="329">
        <f t="shared" si="334"/>
      </c>
      <c r="M494" s="331">
        <f t="shared" si="27"/>
      </c>
      <c r="N494" s="332">
        <f t="shared" si="93"/>
      </c>
      <c r="O494" s="333">
        <f t="shared" si="123"/>
      </c>
      <c r="P494" s="332">
        <f t="shared" si="59"/>
      </c>
      <c r="Q494" s="334" t="s">
        <v>258</v>
      </c>
      <c r="R494" s="350" t="s">
        <v>227</v>
      </c>
      <c r="S494" s="361">
        <v>139333</v>
      </c>
      <c r="T494" s="361">
        <v>5259</v>
      </c>
      <c r="U494" s="362">
        <v>457</v>
      </c>
      <c r="V494" s="362">
        <v>10417</v>
      </c>
      <c r="W494" s="362">
        <v>1179</v>
      </c>
      <c r="X494" s="348">
        <v>47</v>
      </c>
      <c r="Y494" s="348">
        <v>104</v>
      </c>
    </row>
    <row r="495">
      <c r="A495" s="363"/>
      <c r="B495" s="325" t="s">
        <v>248</v>
      </c>
      <c r="C495" s="327" t="s">
        <v>266</v>
      </c>
      <c r="D495" s="326">
        <f t="shared" si="214"/>
      </c>
      <c r="E495" s="327">
        <v>2111.01</v>
      </c>
      <c r="F495" s="327">
        <v>1732.08</v>
      </c>
      <c r="G495" s="327">
        <v>0</v>
      </c>
      <c r="H495" s="328">
        <v>7</v>
      </c>
      <c r="I495" s="327">
        <v>4680.879999999976</v>
      </c>
      <c r="J495" s="329">
        <f t="shared" si="261"/>
      </c>
      <c r="K495" s="329">
        <f t="shared" si="299"/>
      </c>
      <c r="L495" s="329">
        <f t="shared" si="334"/>
      </c>
      <c r="M495" s="331">
        <f t="shared" si="27"/>
      </c>
      <c r="N495" s="332">
        <f t="shared" si="93"/>
      </c>
      <c r="O495" s="333">
        <f t="shared" si="123"/>
      </c>
      <c r="P495" s="332">
        <f t="shared" si="59"/>
      </c>
      <c r="Q495" s="334" t="s">
        <v>258</v>
      </c>
      <c r="R495" s="350" t="s">
        <v>227</v>
      </c>
      <c r="S495" s="361">
        <v>102676</v>
      </c>
      <c r="T495" s="361">
        <v>2682</v>
      </c>
      <c r="U495" s="362">
        <v>230</v>
      </c>
      <c r="V495" s="362">
        <v>5527</v>
      </c>
      <c r="W495" s="362">
        <v>565</v>
      </c>
      <c r="X495" s="348">
        <v>18</v>
      </c>
      <c r="Y495" s="348">
        <v>47</v>
      </c>
    </row>
    <row r="496">
      <c r="A496" s="363"/>
      <c r="B496" s="339" t="s">
        <v>232</v>
      </c>
      <c r="C496" s="339"/>
      <c r="D496" s="340">
        <f>SUM(D492:D495)</f>
      </c>
      <c r="E496" s="340">
        <f>SUM(E492:E495)</f>
      </c>
      <c r="F496" s="340">
        <f>SUM(F492:G495)</f>
      </c>
      <c r="G496" s="340"/>
      <c r="H496" s="340">
        <f>SUM(H492:H495)</f>
      </c>
      <c r="I496" s="340">
        <f>SUM(I492:I495)</f>
      </c>
      <c r="J496" s="342">
        <f t="shared" si="261"/>
      </c>
      <c r="K496" s="343">
        <f t="shared" si="299"/>
      </c>
      <c r="L496" s="344">
        <f t="shared" si="334"/>
      </c>
      <c r="M496" s="345">
        <f t="shared" si="27"/>
      </c>
      <c r="N496" s="345">
        <f t="shared" si="93"/>
      </c>
      <c r="O496" s="346">
        <f t="shared" si="123"/>
      </c>
      <c r="P496" s="345">
        <f t="shared" si="59"/>
      </c>
      <c r="Q496" s="346"/>
      <c r="R496" s="351"/>
      <c r="S496" s="340">
        <f>SUM(S492:S495)</f>
      </c>
      <c r="T496" s="340">
        <f>SUM(T492:T495)</f>
      </c>
      <c r="U496" s="340">
        <f>SUM(U492:U495)</f>
      </c>
      <c r="V496" s="340">
        <f>SUM(V492:V495)</f>
      </c>
      <c r="W496" s="340">
        <f>SUM(W492:W495)</f>
      </c>
      <c r="X496" s="340">
        <f>SUM(X492:X495)</f>
      </c>
      <c r="Y496" s="340">
        <f>SUM(Y492:Y495)</f>
      </c>
    </row>
    <row r="497">
      <c r="A497" s="363"/>
      <c r="B497" s="353" t="s">
        <v>246</v>
      </c>
      <c r="C497" s="353"/>
      <c r="D497" s="354">
        <f>D496+D491+D486+D481</f>
      </c>
      <c r="E497" s="354">
        <f>E496+E491+E486+E481</f>
      </c>
      <c r="F497" s="354">
        <f>F496+F491+F486+F481</f>
      </c>
      <c r="G497" s="354"/>
      <c r="H497" s="355">
        <f>H496+H491+H486+H481</f>
      </c>
      <c r="I497" s="354">
        <f>I496+I491+I486+I481</f>
      </c>
      <c r="J497" s="356">
        <f t="shared" si="261"/>
      </c>
      <c r="K497" s="356">
        <f t="shared" si="299"/>
      </c>
      <c r="L497" s="356">
        <f t="shared" si="334"/>
      </c>
      <c r="M497" s="357">
        <f t="shared" si="27"/>
      </c>
      <c r="N497" s="357">
        <f t="shared" si="93"/>
      </c>
      <c r="O497" s="356">
        <f t="shared" si="123"/>
      </c>
      <c r="P497" s="357">
        <f t="shared" si="59"/>
      </c>
      <c r="Q497" s="358"/>
      <c r="R497" s="359"/>
      <c r="S497" s="381">
        <f>S496+S491+S486+S481</f>
      </c>
      <c r="T497" s="381">
        <f>T496+T491+T486+T481</f>
      </c>
      <c r="U497" s="381">
        <f>U496+U491+U486+U481</f>
      </c>
      <c r="V497" s="381">
        <f>V496+V491+V486+V481</f>
      </c>
      <c r="W497" s="381">
        <f>W496+W491+W486+W481</f>
      </c>
      <c r="X497" s="360">
        <f>X496+X491+X486+X481</f>
      </c>
      <c r="Y497" s="355">
        <f>Y496+Y491+Y486+Y481</f>
      </c>
    </row>
    <row r="498">
      <c r="A498" s="311" t="s">
        <v>195</v>
      </c>
      <c r="B498" s="311"/>
      <c r="C498" s="311"/>
      <c r="D498" s="312" t="s">
        <v>196</v>
      </c>
      <c r="E498" s="312"/>
      <c r="F498" s="312"/>
      <c r="G498" s="312"/>
      <c r="H498" s="312"/>
      <c r="I498" s="312"/>
      <c r="J498" s="312"/>
      <c r="K498" s="312"/>
      <c r="L498" s="312"/>
      <c r="M498" s="313" t="s">
        <v>197</v>
      </c>
      <c r="N498" s="313"/>
      <c r="O498" s="313"/>
      <c r="P498" s="313"/>
      <c r="Q498" s="313"/>
      <c r="R498" s="313"/>
      <c r="S498" s="314" t="s">
        <v>198</v>
      </c>
      <c r="T498" s="314"/>
      <c r="U498" s="314"/>
      <c r="V498" s="314"/>
      <c r="W498" s="314"/>
      <c r="X498" s="314"/>
      <c r="Y498" s="314"/>
    </row>
    <row r="499">
      <c r="A499" s="315" t="s">
        <v>199</v>
      </c>
      <c r="B499" s="311" t="s">
        <v>200</v>
      </c>
      <c r="C499" s="311" t="s">
        <v>201</v>
      </c>
      <c r="D499" s="312" t="s">
        <v>202</v>
      </c>
      <c r="E499" s="316" t="s">
        <v>203</v>
      </c>
      <c r="F499" s="312" t="s">
        <v>204</v>
      </c>
      <c r="G499" s="312"/>
      <c r="H499" s="317" t="s">
        <v>205</v>
      </c>
      <c r="I499" s="312" t="s">
        <v>206</v>
      </c>
      <c r="J499" s="318" t="s">
        <v>207</v>
      </c>
      <c r="K499" s="319" t="s">
        <v>208</v>
      </c>
      <c r="L499" s="312" t="s">
        <v>209</v>
      </c>
      <c r="M499" s="313" t="s">
        <v>210</v>
      </c>
      <c r="N499" s="313" t="s">
        <v>211</v>
      </c>
      <c r="O499" s="313" t="s">
        <v>212</v>
      </c>
      <c r="P499" s="320" t="s">
        <v>213</v>
      </c>
      <c r="Q499" s="321" t="s">
        <v>214</v>
      </c>
      <c r="R499" s="321" t="s">
        <v>215</v>
      </c>
      <c r="S499" s="366" t="s">
        <v>216</v>
      </c>
      <c r="T499" s="366" t="s">
        <v>217</v>
      </c>
      <c r="U499" s="323" t="s">
        <v>218</v>
      </c>
      <c r="V499" s="323" t="s">
        <v>219</v>
      </c>
      <c r="W499" s="323" t="s">
        <v>220</v>
      </c>
      <c r="X499" s="322" t="s">
        <v>221</v>
      </c>
      <c r="Y499" s="322" t="s">
        <v>222</v>
      </c>
    </row>
    <row r="500">
      <c r="A500" s="363" t="s">
        <v>284</v>
      </c>
      <c r="B500" s="325" t="s">
        <v>260</v>
      </c>
      <c r="C500" s="326" t="s">
        <v>225</v>
      </c>
      <c r="D500" s="326">
        <f t="shared" ref="D500:D504" si="215">E500+G500+F500</f>
      </c>
      <c r="E500" s="327">
        <v>2661.58</v>
      </c>
      <c r="F500" s="327">
        <v>334.34</v>
      </c>
      <c r="G500" s="327">
        <v>0</v>
      </c>
      <c r="H500" s="328">
        <v>12</v>
      </c>
      <c r="I500" s="327">
        <v>7976.64</v>
      </c>
      <c r="J500" s="329">
        <f t="shared" ref="J500:J521" si="262">I500/D500</f>
      </c>
      <c r="K500" s="330">
        <f t="shared" ref="K500:K521" si="300">D500/H500</f>
      </c>
      <c r="L500" s="329">
        <f t="shared" ref="L500:L521" si="335">I500/H500</f>
      </c>
      <c r="M500" s="331">
        <f t="shared" ref="M500:M521" si="28">T500/S500</f>
      </c>
      <c r="N500" s="332">
        <f t="shared" ref="N500:N521" si="94">H500/X500</f>
      </c>
      <c r="O500" s="333">
        <f t="shared" ref="O500:O521" si="124">(Y500*1000)/D500</f>
      </c>
      <c r="P500" s="332">
        <f t="shared" ref="P500:P521" si="60">W500/V500</f>
      </c>
      <c r="Q500" s="334" t="s">
        <v>255</v>
      </c>
      <c r="R500" s="370" t="s">
        <v>240</v>
      </c>
      <c r="S500" s="336">
        <v>64331</v>
      </c>
      <c r="T500" s="336">
        <v>4030</v>
      </c>
      <c r="U500" s="368">
        <v>208</v>
      </c>
      <c r="V500" s="337">
        <v>6136</v>
      </c>
      <c r="W500" s="337">
        <v>662</v>
      </c>
      <c r="X500" s="337">
        <v>29</v>
      </c>
      <c r="Y500" s="337">
        <v>66</v>
      </c>
    </row>
    <row r="501">
      <c r="A501" s="363"/>
      <c r="B501" s="325" t="s">
        <v>260</v>
      </c>
      <c r="C501" s="326" t="s">
        <v>228</v>
      </c>
      <c r="D501" s="326">
        <f t="shared" si="215"/>
      </c>
      <c r="E501" s="327">
        <v>2736.24</v>
      </c>
      <c r="F501" s="327">
        <v>2764.81</v>
      </c>
      <c r="G501" s="327">
        <v>0</v>
      </c>
      <c r="H501" s="328">
        <v>11</v>
      </c>
      <c r="I501" s="326">
        <v>8168.55</v>
      </c>
      <c r="J501" s="329">
        <f t="shared" si="262"/>
      </c>
      <c r="K501" s="329">
        <f t="shared" si="300"/>
      </c>
      <c r="L501" s="330">
        <f t="shared" si="335"/>
      </c>
      <c r="M501" s="331">
        <f t="shared" si="28"/>
      </c>
      <c r="N501" s="332">
        <f t="shared" si="94"/>
      </c>
      <c r="O501" s="333">
        <f t="shared" si="124"/>
      </c>
      <c r="P501" s="332">
        <f t="shared" si="60"/>
      </c>
      <c r="Q501" s="334" t="s">
        <v>255</v>
      </c>
      <c r="R501" s="370" t="s">
        <v>240</v>
      </c>
      <c r="S501" s="369">
        <v>147168</v>
      </c>
      <c r="T501" s="369">
        <v>4585</v>
      </c>
      <c r="U501" s="337">
        <v>383</v>
      </c>
      <c r="V501" s="337">
        <v>6504</v>
      </c>
      <c r="W501" s="337">
        <v>827</v>
      </c>
      <c r="X501" s="337">
        <v>21</v>
      </c>
      <c r="Y501" s="337">
        <v>99</v>
      </c>
    </row>
    <row r="502">
      <c r="A502" s="363"/>
      <c r="B502" s="325" t="s">
        <v>260</v>
      </c>
      <c r="C502" s="326" t="s">
        <v>229</v>
      </c>
      <c r="D502" s="326">
        <f t="shared" si="215"/>
      </c>
      <c r="E502" s="327">
        <v>1689.05</v>
      </c>
      <c r="F502" s="327">
        <v>1854.19</v>
      </c>
      <c r="G502" s="327">
        <v>0</v>
      </c>
      <c r="H502" s="338">
        <v>11</v>
      </c>
      <c r="I502" s="326">
        <v>5843.039999999999</v>
      </c>
      <c r="J502" s="329">
        <f t="shared" si="262"/>
      </c>
      <c r="K502" s="329">
        <f t="shared" si="300"/>
      </c>
      <c r="L502" s="329">
        <f t="shared" si="335"/>
      </c>
      <c r="M502" s="331">
        <f t="shared" si="28"/>
      </c>
      <c r="N502" s="332">
        <f t="shared" si="94"/>
      </c>
      <c r="O502" s="333">
        <f t="shared" si="124"/>
      </c>
      <c r="P502" s="332">
        <f t="shared" si="60"/>
      </c>
      <c r="Q502" s="334" t="s">
        <v>255</v>
      </c>
      <c r="R502" s="370" t="s">
        <v>240</v>
      </c>
      <c r="S502" s="336">
        <v>89464</v>
      </c>
      <c r="T502" s="336">
        <v>2484</v>
      </c>
      <c r="U502" s="337">
        <v>264</v>
      </c>
      <c r="V502" s="337">
        <v>4505</v>
      </c>
      <c r="W502" s="337">
        <v>655</v>
      </c>
      <c r="X502" s="337">
        <v>25</v>
      </c>
      <c r="Y502" s="337">
        <v>60</v>
      </c>
    </row>
    <row customHeight="true" ht="16.666666666666668" r="503">
      <c r="A503" s="363"/>
      <c r="B503" s="325" t="s">
        <v>260</v>
      </c>
      <c r="C503" s="364" t="s">
        <v>230</v>
      </c>
      <c r="D503" s="326">
        <f t="shared" si="215"/>
      </c>
      <c r="E503" s="327">
        <v>2235.59</v>
      </c>
      <c r="F503" s="327">
        <v>1384.2</v>
      </c>
      <c r="G503" s="327">
        <v>0</v>
      </c>
      <c r="H503" s="338">
        <v>9</v>
      </c>
      <c r="I503" s="326">
        <v>5150.279999999999</v>
      </c>
      <c r="J503" s="329">
        <f t="shared" si="262"/>
      </c>
      <c r="K503" s="329">
        <f t="shared" si="300"/>
      </c>
      <c r="L503" s="329">
        <f t="shared" si="335"/>
      </c>
      <c r="M503" s="331">
        <f t="shared" si="28"/>
      </c>
      <c r="N503" s="332">
        <f t="shared" si="94"/>
      </c>
      <c r="O503" s="333">
        <f t="shared" si="124"/>
      </c>
      <c r="P503" s="332">
        <f t="shared" si="60"/>
      </c>
      <c r="Q503" s="334" t="s">
        <v>255</v>
      </c>
      <c r="R503" s="370" t="s">
        <v>240</v>
      </c>
      <c r="S503" s="337">
        <v>68981</v>
      </c>
      <c r="T503" s="336">
        <v>2246</v>
      </c>
      <c r="U503" s="337">
        <v>229</v>
      </c>
      <c r="V503" s="337">
        <v>4653</v>
      </c>
      <c r="W503" s="337">
        <v>703</v>
      </c>
      <c r="X503" s="337">
        <v>22</v>
      </c>
      <c r="Y503" s="337">
        <v>67</v>
      </c>
    </row>
    <row r="504">
      <c r="A504" s="363"/>
      <c r="B504" s="325" t="s">
        <v>260</v>
      </c>
      <c r="C504" s="326" t="s">
        <v>231</v>
      </c>
      <c r="D504" s="326">
        <f t="shared" si="215"/>
      </c>
      <c r="E504" s="327">
        <v>1107.36</v>
      </c>
      <c r="F504" s="327">
        <v>1129.71</v>
      </c>
      <c r="G504" s="327">
        <v>0</v>
      </c>
      <c r="H504" s="338">
        <v>17</v>
      </c>
      <c r="I504" s="326">
        <v>10505.759999999998</v>
      </c>
      <c r="J504" s="329">
        <f t="shared" si="262"/>
      </c>
      <c r="K504" s="329">
        <f t="shared" si="300"/>
      </c>
      <c r="L504" s="329">
        <f t="shared" si="335"/>
      </c>
      <c r="M504" s="331">
        <f t="shared" si="28"/>
      </c>
      <c r="N504" s="332">
        <f t="shared" si="94"/>
      </c>
      <c r="O504" s="333">
        <f t="shared" si="124"/>
      </c>
      <c r="P504" s="332">
        <f t="shared" si="60"/>
      </c>
      <c r="Q504" s="334" t="s">
        <v>255</v>
      </c>
      <c r="R504" s="370" t="s">
        <v>240</v>
      </c>
      <c r="S504" s="336">
        <v>40365</v>
      </c>
      <c r="T504" s="336">
        <v>1357</v>
      </c>
      <c r="U504" s="337">
        <v>167</v>
      </c>
      <c r="V504" s="337">
        <v>2610</v>
      </c>
      <c r="W504" s="337">
        <v>359</v>
      </c>
      <c r="X504" s="337">
        <v>32</v>
      </c>
      <c r="Y504" s="337">
        <v>37</v>
      </c>
    </row>
    <row r="505">
      <c r="A505" s="363"/>
      <c r="B505" s="339" t="s">
        <v>232</v>
      </c>
      <c r="C505" s="339"/>
      <c r="D505" s="340">
        <f>SUM(D500:D504)</f>
      </c>
      <c r="E505" s="340">
        <f>SUM(E500:E504)</f>
      </c>
      <c r="F505" s="340">
        <f>SUM(F500:G504)</f>
      </c>
      <c r="G505" s="340"/>
      <c r="H505" s="341">
        <f>SUM(H500:H504)</f>
      </c>
      <c r="I505" s="340">
        <f>SUM(I500:I504)</f>
      </c>
      <c r="J505" s="342">
        <f t="shared" si="262"/>
      </c>
      <c r="K505" s="343">
        <f t="shared" si="300"/>
      </c>
      <c r="L505" s="344">
        <f t="shared" si="335"/>
      </c>
      <c r="M505" s="345">
        <f t="shared" si="28"/>
      </c>
      <c r="N505" s="345">
        <f t="shared" si="94"/>
      </c>
      <c r="O505" s="346">
        <f t="shared" si="124"/>
      </c>
      <c r="P505" s="345">
        <f t="shared" si="60"/>
      </c>
      <c r="Q505" s="346"/>
      <c r="R505" s="346"/>
      <c r="S505" s="341">
        <f>SUM(S500:S504)</f>
      </c>
      <c r="T505" s="341">
        <f>SUM(T500:T504)</f>
      </c>
      <c r="U505" s="341">
        <f>SUM(U500:U504)</f>
      </c>
      <c r="V505" s="341">
        <f>SUM(V500:V504)</f>
      </c>
      <c r="W505" s="341">
        <f>SUM(W500:W504)</f>
      </c>
      <c r="X505" s="341">
        <f>SUM(X500:X504)</f>
      </c>
      <c r="Y505" s="341">
        <f>SUM(Y500:Y504)</f>
      </c>
    </row>
    <row r="506">
      <c r="A506" s="363"/>
      <c r="B506" s="325" t="s">
        <v>224</v>
      </c>
      <c r="C506" s="327" t="s">
        <v>234</v>
      </c>
      <c r="D506" s="326">
        <f t="shared" ref="D506:D509" si="216">E506+G506+F506</f>
      </c>
      <c r="E506" s="327">
        <v>1208.94</v>
      </c>
      <c r="F506" s="327">
        <v>3720.54</v>
      </c>
      <c r="G506" s="327">
        <v>0</v>
      </c>
      <c r="H506" s="338">
        <v>14</v>
      </c>
      <c r="I506" s="326">
        <v>11140.560000000005</v>
      </c>
      <c r="J506" s="329">
        <f t="shared" si="262"/>
      </c>
      <c r="K506" s="329">
        <f t="shared" si="300"/>
      </c>
      <c r="L506" s="329">
        <f t="shared" si="335"/>
      </c>
      <c r="M506" s="331">
        <f t="shared" si="28"/>
      </c>
      <c r="N506" s="332">
        <f t="shared" si="94"/>
      </c>
      <c r="O506" s="333">
        <f t="shared" si="124"/>
      </c>
      <c r="P506" s="332">
        <f t="shared" si="60"/>
      </c>
      <c r="Q506" s="334" t="s">
        <v>255</v>
      </c>
      <c r="R506" s="370" t="s">
        <v>240</v>
      </c>
      <c r="S506" s="347">
        <v>69952</v>
      </c>
      <c r="T506" s="347">
        <v>2728</v>
      </c>
      <c r="U506" s="348">
        <v>271</v>
      </c>
      <c r="V506" s="348">
        <v>4979</v>
      </c>
      <c r="W506" s="348">
        <v>633</v>
      </c>
      <c r="X506" s="348">
        <v>27</v>
      </c>
      <c r="Y506" s="348">
        <v>76</v>
      </c>
    </row>
    <row r="507">
      <c r="A507" s="363"/>
      <c r="B507" s="325" t="s">
        <v>224</v>
      </c>
      <c r="C507" s="327" t="s">
        <v>235</v>
      </c>
      <c r="D507" s="326">
        <f t="shared" si="216"/>
      </c>
      <c r="E507" s="327">
        <v>2170.18</v>
      </c>
      <c r="F507" s="327">
        <v>841.57</v>
      </c>
      <c r="G507" s="327">
        <v>0</v>
      </c>
      <c r="H507" s="328">
        <v>10</v>
      </c>
      <c r="I507" s="327">
        <v>6170.299999999996</v>
      </c>
      <c r="J507" s="329">
        <f t="shared" si="262"/>
      </c>
      <c r="K507" s="329">
        <f t="shared" si="300"/>
      </c>
      <c r="L507" s="329">
        <f t="shared" si="335"/>
      </c>
      <c r="M507" s="331">
        <f t="shared" si="28"/>
      </c>
      <c r="N507" s="332">
        <f t="shared" si="94"/>
      </c>
      <c r="O507" s="333">
        <f t="shared" si="124"/>
      </c>
      <c r="P507" s="332">
        <f t="shared" si="60"/>
      </c>
      <c r="Q507" s="334" t="s">
        <v>255</v>
      </c>
      <c r="R507" s="370" t="s">
        <v>240</v>
      </c>
      <c r="S507" s="347">
        <v>46433</v>
      </c>
      <c r="T507" s="347">
        <v>2305</v>
      </c>
      <c r="U507" s="348">
        <v>200</v>
      </c>
      <c r="V507" s="348">
        <v>4613</v>
      </c>
      <c r="W507" s="348">
        <v>604</v>
      </c>
      <c r="X507" s="348">
        <v>26</v>
      </c>
      <c r="Y507" s="348">
        <v>50</v>
      </c>
    </row>
    <row r="508">
      <c r="A508" s="363"/>
      <c r="B508" s="325" t="s">
        <v>224</v>
      </c>
      <c r="C508" s="326" t="s">
        <v>236</v>
      </c>
      <c r="D508" s="326">
        <f t="shared" si="216"/>
      </c>
      <c r="E508" s="327">
        <v>1806.78</v>
      </c>
      <c r="F508" s="327">
        <v>1671.01</v>
      </c>
      <c r="G508" s="327">
        <v>0</v>
      </c>
      <c r="H508" s="328">
        <v>9</v>
      </c>
      <c r="I508" s="327">
        <v>4173.730000000003</v>
      </c>
      <c r="J508" s="329">
        <f t="shared" si="262"/>
      </c>
      <c r="K508" s="329">
        <f t="shared" si="300"/>
      </c>
      <c r="L508" s="329">
        <f t="shared" si="335"/>
      </c>
      <c r="M508" s="331">
        <f t="shared" si="28"/>
      </c>
      <c r="N508" s="332">
        <f t="shared" si="94"/>
      </c>
      <c r="O508" s="333">
        <f t="shared" si="124"/>
      </c>
      <c r="P508" s="332">
        <f t="shared" si="60"/>
      </c>
      <c r="Q508" s="334" t="s">
        <v>255</v>
      </c>
      <c r="R508" s="370" t="s">
        <v>240</v>
      </c>
      <c r="S508" s="347">
        <v>50220</v>
      </c>
      <c r="T508" s="347">
        <v>2747</v>
      </c>
      <c r="U508" s="348">
        <v>223</v>
      </c>
      <c r="V508" s="348">
        <v>5119</v>
      </c>
      <c r="W508" s="348">
        <v>546</v>
      </c>
      <c r="X508" s="348">
        <v>24</v>
      </c>
      <c r="Y508" s="348">
        <v>35</v>
      </c>
    </row>
    <row r="509">
      <c r="A509" s="363"/>
      <c r="B509" s="325" t="s">
        <v>224</v>
      </c>
      <c r="C509" s="326" t="s">
        <v>237</v>
      </c>
      <c r="D509" s="326">
        <f t="shared" si="216"/>
      </c>
      <c r="E509" s="327">
        <v>955.99</v>
      </c>
      <c r="F509" s="327">
        <v>1592.48</v>
      </c>
      <c r="G509" s="327">
        <v>0</v>
      </c>
      <c r="H509" s="338">
        <v>13</v>
      </c>
      <c r="I509" s="327">
        <v>8354.039999999994</v>
      </c>
      <c r="J509" s="329">
        <f t="shared" si="262"/>
      </c>
      <c r="K509" s="329">
        <f t="shared" si="300"/>
      </c>
      <c r="L509" s="329">
        <f t="shared" si="335"/>
      </c>
      <c r="M509" s="331">
        <f t="shared" si="28"/>
      </c>
      <c r="N509" s="332">
        <f t="shared" si="94"/>
      </c>
      <c r="O509" s="333">
        <f t="shared" si="124"/>
      </c>
      <c r="P509" s="332">
        <f t="shared" si="60"/>
      </c>
      <c r="Q509" s="334" t="s">
        <v>255</v>
      </c>
      <c r="R509" s="370" t="s">
        <v>240</v>
      </c>
      <c r="S509" s="347">
        <v>45267</v>
      </c>
      <c r="T509" s="347">
        <v>2127</v>
      </c>
      <c r="U509" s="348">
        <v>161</v>
      </c>
      <c r="V509" s="348">
        <v>3421</v>
      </c>
      <c r="W509" s="348">
        <v>351</v>
      </c>
      <c r="X509" s="348">
        <v>29</v>
      </c>
      <c r="Y509" s="348">
        <v>39</v>
      </c>
    </row>
    <row r="510">
      <c r="A510" s="363"/>
      <c r="B510" s="339" t="s">
        <v>232</v>
      </c>
      <c r="C510" s="339"/>
      <c r="D510" s="340">
        <f>SUM(D506:D509)</f>
      </c>
      <c r="E510" s="340">
        <f>SUM(E506:E509)</f>
      </c>
      <c r="F510" s="340">
        <f>SUM(F506:G509)</f>
      </c>
      <c r="G510" s="340"/>
      <c r="H510" s="341">
        <f>SUM(H506:H509)</f>
      </c>
      <c r="I510" s="340">
        <f>SUM(I506:I509)</f>
      </c>
      <c r="J510" s="342">
        <f t="shared" si="262"/>
      </c>
      <c r="K510" s="343">
        <f t="shared" si="300"/>
      </c>
      <c r="L510" s="344">
        <f t="shared" si="335"/>
      </c>
      <c r="M510" s="345">
        <f t="shared" si="28"/>
      </c>
      <c r="N510" s="345">
        <f t="shared" si="94"/>
      </c>
      <c r="O510" s="346">
        <f t="shared" si="124"/>
      </c>
      <c r="P510" s="345">
        <f t="shared" si="60"/>
      </c>
      <c r="Q510" s="346"/>
      <c r="R510" s="346"/>
      <c r="S510" s="341">
        <f>SUM(S506:S509)</f>
      </c>
      <c r="T510" s="341">
        <f>SUM(T506:T509)</f>
      </c>
      <c r="U510" s="341">
        <f>SUM(U506:U509)</f>
      </c>
      <c r="V510" s="341">
        <f>SUM(V506:V509)</f>
      </c>
      <c r="W510" s="341">
        <f>SUM(W506:W509)</f>
      </c>
      <c r="X510" s="341">
        <f>SUM(X506:X509)</f>
      </c>
      <c r="Y510" s="341">
        <f>SUM(Y506:Y509)</f>
      </c>
    </row>
    <row r="511">
      <c r="A511" s="363"/>
      <c r="B511" s="325" t="s">
        <v>257</v>
      </c>
      <c r="C511" s="327" t="s">
        <v>239</v>
      </c>
      <c r="D511" s="326">
        <f t="shared" ref="D511:D514" si="217">E511+G511+F511</f>
      </c>
      <c r="E511" s="327">
        <v>858.63</v>
      </c>
      <c r="F511" s="327">
        <v>1953.14</v>
      </c>
      <c r="G511" s="327">
        <v>0</v>
      </c>
      <c r="H511" s="338">
        <v>12</v>
      </c>
      <c r="I511" s="326">
        <v>4446.360000000001</v>
      </c>
      <c r="J511" s="329">
        <f t="shared" si="262"/>
      </c>
      <c r="K511" s="329">
        <f t="shared" si="300"/>
      </c>
      <c r="L511" s="329">
        <f t="shared" si="335"/>
      </c>
      <c r="M511" s="331">
        <f t="shared" si="28"/>
      </c>
      <c r="N511" s="332">
        <f t="shared" si="94"/>
      </c>
      <c r="O511" s="333">
        <f t="shared" si="124"/>
      </c>
      <c r="P511" s="332">
        <f t="shared" si="60"/>
      </c>
      <c r="Q511" s="334" t="s">
        <v>258</v>
      </c>
      <c r="R511" s="370" t="s">
        <v>240</v>
      </c>
      <c r="S511" s="347">
        <v>75570</v>
      </c>
      <c r="T511" s="347">
        <v>2156</v>
      </c>
      <c r="U511" s="348">
        <v>189</v>
      </c>
      <c r="V511" s="348">
        <v>3072</v>
      </c>
      <c r="W511" s="348">
        <v>366</v>
      </c>
      <c r="X511" s="348">
        <v>23</v>
      </c>
      <c r="Y511" s="348">
        <v>47</v>
      </c>
    </row>
    <row r="512">
      <c r="A512" s="363"/>
      <c r="B512" s="325" t="s">
        <v>257</v>
      </c>
      <c r="C512" s="327" t="s">
        <v>241</v>
      </c>
      <c r="D512" s="326">
        <f t="shared" si="217"/>
      </c>
      <c r="E512" s="327">
        <v>1037.33</v>
      </c>
      <c r="F512" s="327">
        <v>1155.39</v>
      </c>
      <c r="G512" s="327">
        <v>0</v>
      </c>
      <c r="H512" s="338">
        <v>5</v>
      </c>
      <c r="I512" s="326">
        <v>1490.3999999999942</v>
      </c>
      <c r="J512" s="329">
        <f t="shared" si="262"/>
      </c>
      <c r="K512" s="329">
        <f t="shared" si="300"/>
      </c>
      <c r="L512" s="329">
        <f t="shared" si="335"/>
      </c>
      <c r="M512" s="331">
        <f t="shared" si="28"/>
      </c>
      <c r="N512" s="332">
        <f t="shared" si="94"/>
      </c>
      <c r="O512" s="333">
        <f t="shared" si="124"/>
      </c>
      <c r="P512" s="332">
        <f t="shared" si="60"/>
      </c>
      <c r="Q512" s="334" t="s">
        <v>258</v>
      </c>
      <c r="R512" s="350" t="s">
        <v>227</v>
      </c>
      <c r="S512" s="347">
        <v>43164</v>
      </c>
      <c r="T512" s="347">
        <v>1632</v>
      </c>
      <c r="U512" s="348">
        <v>138</v>
      </c>
      <c r="V512" s="348">
        <v>2600</v>
      </c>
      <c r="W512" s="348">
        <v>300</v>
      </c>
      <c r="X512" s="348">
        <v>12</v>
      </c>
      <c r="Y512" s="348">
        <v>32</v>
      </c>
    </row>
    <row r="513">
      <c r="A513" s="363"/>
      <c r="B513" s="325" t="s">
        <v>257</v>
      </c>
      <c r="C513" s="327" t="s">
        <v>242</v>
      </c>
      <c r="D513" s="326">
        <f t="shared" si="217"/>
      </c>
      <c r="E513" s="327">
        <v>699.89</v>
      </c>
      <c r="F513" s="327">
        <v>1415.44</v>
      </c>
      <c r="G513" s="327">
        <v>0</v>
      </c>
      <c r="H513" s="338">
        <v>6</v>
      </c>
      <c r="I513" s="326">
        <v>3560.0599999999977</v>
      </c>
      <c r="J513" s="329">
        <f t="shared" si="262"/>
      </c>
      <c r="K513" s="329">
        <f t="shared" si="300"/>
      </c>
      <c r="L513" s="329">
        <f t="shared" si="335"/>
      </c>
      <c r="M513" s="331">
        <f t="shared" si="28"/>
      </c>
      <c r="N513" s="332">
        <f t="shared" si="94"/>
      </c>
      <c r="O513" s="333">
        <f t="shared" si="124"/>
      </c>
      <c r="P513" s="332">
        <f t="shared" si="60"/>
      </c>
      <c r="Q513" s="334" t="s">
        <v>258</v>
      </c>
      <c r="R513" s="350" t="s">
        <v>227</v>
      </c>
      <c r="S513" s="347">
        <v>51704</v>
      </c>
      <c r="T513" s="347">
        <v>1939</v>
      </c>
      <c r="U513" s="348">
        <v>144</v>
      </c>
      <c r="V513" s="348">
        <v>2758</v>
      </c>
      <c r="W513" s="348">
        <v>237</v>
      </c>
      <c r="X513" s="348">
        <v>10</v>
      </c>
      <c r="Y513" s="348">
        <v>33</v>
      </c>
    </row>
    <row r="514">
      <c r="A514" s="363"/>
      <c r="B514" s="325" t="s">
        <v>257</v>
      </c>
      <c r="C514" s="326" t="s">
        <v>244</v>
      </c>
      <c r="D514" s="326">
        <f t="shared" si="217"/>
      </c>
      <c r="E514" s="327">
        <v>1035.91</v>
      </c>
      <c r="F514" s="327">
        <v>2550.41</v>
      </c>
      <c r="G514" s="327">
        <v>0</v>
      </c>
      <c r="H514" s="338">
        <v>9</v>
      </c>
      <c r="I514" s="327">
        <v>4741.680000000008</v>
      </c>
      <c r="J514" s="329">
        <f t="shared" si="262"/>
      </c>
      <c r="K514" s="329">
        <f t="shared" si="300"/>
      </c>
      <c r="L514" s="329">
        <f t="shared" si="335"/>
      </c>
      <c r="M514" s="331">
        <f t="shared" si="28"/>
      </c>
      <c r="N514" s="332">
        <f t="shared" si="94"/>
      </c>
      <c r="O514" s="333">
        <f t="shared" si="124"/>
      </c>
      <c r="P514" s="332">
        <f t="shared" si="60"/>
      </c>
      <c r="Q514" s="334" t="s">
        <v>258</v>
      </c>
      <c r="R514" s="350" t="s">
        <v>227</v>
      </c>
      <c r="S514" s="347">
        <v>97840</v>
      </c>
      <c r="T514" s="347">
        <v>3425</v>
      </c>
      <c r="U514" s="348">
        <v>244</v>
      </c>
      <c r="V514" s="348">
        <v>4951</v>
      </c>
      <c r="W514" s="348">
        <v>462</v>
      </c>
      <c r="X514" s="348">
        <v>24</v>
      </c>
      <c r="Y514" s="348">
        <v>67</v>
      </c>
    </row>
    <row r="515">
      <c r="A515" s="363"/>
      <c r="B515" s="339" t="s">
        <v>232</v>
      </c>
      <c r="C515" s="339"/>
      <c r="D515" s="340">
        <f>SUM(D511:D514)</f>
      </c>
      <c r="E515" s="340">
        <f>SUM(E511:E514)</f>
      </c>
      <c r="F515" s="340">
        <f>SUM(F511:G514)</f>
      </c>
      <c r="G515" s="340"/>
      <c r="H515" s="341">
        <f>SUM(H511:H514)</f>
      </c>
      <c r="I515" s="340">
        <f>SUM(I511:I514)</f>
      </c>
      <c r="J515" s="342">
        <f t="shared" si="262"/>
      </c>
      <c r="K515" s="343">
        <f t="shared" si="300"/>
      </c>
      <c r="L515" s="344">
        <f t="shared" si="335"/>
      </c>
      <c r="M515" s="345">
        <f t="shared" si="28"/>
      </c>
      <c r="N515" s="345">
        <f t="shared" si="94"/>
      </c>
      <c r="O515" s="346">
        <f t="shared" si="124"/>
      </c>
      <c r="P515" s="345">
        <f t="shared" si="60"/>
      </c>
      <c r="Q515" s="346"/>
      <c r="R515" s="346"/>
      <c r="S515" s="341">
        <f>SUM(S511:S514)</f>
      </c>
      <c r="T515" s="341">
        <f>SUM(T511:T514)</f>
      </c>
      <c r="U515" s="341">
        <f>SUM(U511:U514)</f>
      </c>
      <c r="V515" s="341">
        <f>SUM(V511:V514)</f>
      </c>
      <c r="W515" s="341">
        <f>SUM(W511:W514)</f>
      </c>
      <c r="X515" s="341">
        <f>SUM(X511:X514)</f>
      </c>
      <c r="Y515" s="341">
        <f>SUM(Y511:Y514)</f>
      </c>
    </row>
    <row r="516">
      <c r="A516" s="363"/>
      <c r="B516" s="325" t="s">
        <v>248</v>
      </c>
      <c r="C516" s="327" t="s">
        <v>245</v>
      </c>
      <c r="D516" s="326">
        <f t="shared" ref="D516:D519" si="218">E516+G516+F516</f>
      </c>
      <c r="E516" s="327">
        <v>1510.96</v>
      </c>
      <c r="F516" s="327">
        <v>3050.91</v>
      </c>
      <c r="G516" s="327">
        <v>0</v>
      </c>
      <c r="H516" s="328">
        <v>18</v>
      </c>
      <c r="I516" s="327">
        <v>6184.320000000007</v>
      </c>
      <c r="J516" s="329">
        <f t="shared" si="262"/>
      </c>
      <c r="K516" s="329">
        <f t="shared" si="300"/>
      </c>
      <c r="L516" s="329">
        <f t="shared" si="335"/>
      </c>
      <c r="M516" s="331">
        <f t="shared" si="28"/>
      </c>
      <c r="N516" s="332">
        <f t="shared" si="94"/>
      </c>
      <c r="O516" s="333">
        <f t="shared" si="124"/>
      </c>
      <c r="P516" s="332">
        <f t="shared" si="60"/>
      </c>
      <c r="Q516" s="334" t="s">
        <v>258</v>
      </c>
      <c r="R516" s="350" t="s">
        <v>227</v>
      </c>
      <c r="S516" s="348">
        <v>124285</v>
      </c>
      <c r="T516" s="348">
        <v>4499</v>
      </c>
      <c r="U516" s="348">
        <v>329</v>
      </c>
      <c r="V516" s="348">
        <v>6333</v>
      </c>
      <c r="W516" s="348">
        <v>641</v>
      </c>
      <c r="X516" s="348">
        <v>29</v>
      </c>
      <c r="Y516" s="348">
        <v>66</v>
      </c>
    </row>
    <row r="517">
      <c r="A517" s="363"/>
      <c r="B517" s="325" t="s">
        <v>248</v>
      </c>
      <c r="C517" s="327" t="s">
        <v>250</v>
      </c>
      <c r="D517" s="326">
        <f t="shared" si="218"/>
      </c>
      <c r="E517" s="327">
        <v>403.35</v>
      </c>
      <c r="F517" s="327">
        <v>1916.24</v>
      </c>
      <c r="G517" s="327">
        <v>0</v>
      </c>
      <c r="H517" s="328">
        <v>6</v>
      </c>
      <c r="I517" s="327">
        <v>3074.779999999999</v>
      </c>
      <c r="J517" s="329">
        <f t="shared" si="262"/>
      </c>
      <c r="K517" s="329">
        <f t="shared" si="300"/>
      </c>
      <c r="L517" s="329">
        <f t="shared" si="335"/>
      </c>
      <c r="M517" s="331">
        <f t="shared" si="28"/>
      </c>
      <c r="N517" s="332">
        <f t="shared" si="94"/>
      </c>
      <c r="O517" s="333">
        <f t="shared" si="124"/>
      </c>
      <c r="P517" s="332">
        <f t="shared" si="60"/>
      </c>
      <c r="Q517" s="334" t="s">
        <v>258</v>
      </c>
      <c r="R517" s="350" t="s">
        <v>227</v>
      </c>
      <c r="S517" s="361">
        <v>46704</v>
      </c>
      <c r="T517" s="361">
        <v>1948</v>
      </c>
      <c r="U517" s="362">
        <v>156</v>
      </c>
      <c r="V517" s="362">
        <v>2082</v>
      </c>
      <c r="W517" s="362">
        <v>162</v>
      </c>
      <c r="X517" s="348">
        <v>16</v>
      </c>
      <c r="Y517" s="348">
        <v>41</v>
      </c>
    </row>
    <row r="518">
      <c r="A518" s="363"/>
      <c r="B518" s="325" t="s">
        <v>248</v>
      </c>
      <c r="C518" s="327" t="s">
        <v>264</v>
      </c>
      <c r="D518" s="326">
        <f t="shared" si="218"/>
      </c>
      <c r="E518" s="327">
        <v>596.73</v>
      </c>
      <c r="F518" s="327">
        <v>1371.15</v>
      </c>
      <c r="G518" s="327">
        <v>0</v>
      </c>
      <c r="H518" s="328">
        <v>7</v>
      </c>
      <c r="I518" s="327">
        <v>2893.4400000000023</v>
      </c>
      <c r="J518" s="329">
        <f t="shared" si="262"/>
      </c>
      <c r="K518" s="329">
        <f t="shared" si="300"/>
      </c>
      <c r="L518" s="329">
        <f t="shared" si="335"/>
      </c>
      <c r="M518" s="331">
        <f t="shared" si="28"/>
      </c>
      <c r="N518" s="332">
        <f t="shared" si="94"/>
      </c>
      <c r="O518" s="333">
        <f t="shared" si="124"/>
      </c>
      <c r="P518" s="332">
        <f t="shared" si="60"/>
      </c>
      <c r="Q518" s="334" t="s">
        <v>258</v>
      </c>
      <c r="R518" s="350" t="s">
        <v>227</v>
      </c>
      <c r="S518" s="361">
        <v>32027</v>
      </c>
      <c r="T518" s="361">
        <v>2206</v>
      </c>
      <c r="U518" s="362">
        <v>133</v>
      </c>
      <c r="V518" s="362">
        <v>2337</v>
      </c>
      <c r="W518" s="362">
        <v>133</v>
      </c>
      <c r="X518" s="348">
        <v>11</v>
      </c>
      <c r="Y518" s="348">
        <v>26</v>
      </c>
    </row>
    <row r="519">
      <c r="A519" s="363"/>
      <c r="B519" s="325" t="s">
        <v>248</v>
      </c>
      <c r="C519" s="327" t="s">
        <v>266</v>
      </c>
      <c r="D519" s="326">
        <f t="shared" si="218"/>
      </c>
      <c r="E519" s="327">
        <v>934.78</v>
      </c>
      <c r="F519" s="327">
        <v>1283.09</v>
      </c>
      <c r="G519" s="327">
        <v>0</v>
      </c>
      <c r="H519" s="328">
        <v>8</v>
      </c>
      <c r="I519" s="327">
        <v>4431.599999999991</v>
      </c>
      <c r="J519" s="329">
        <f t="shared" si="262"/>
      </c>
      <c r="K519" s="329">
        <f t="shared" si="300"/>
      </c>
      <c r="L519" s="329">
        <f t="shared" si="335"/>
      </c>
      <c r="M519" s="331">
        <f t="shared" si="28"/>
      </c>
      <c r="N519" s="332">
        <f t="shared" si="94"/>
      </c>
      <c r="O519" s="333">
        <f t="shared" si="124"/>
      </c>
      <c r="P519" s="332">
        <f t="shared" si="60"/>
      </c>
      <c r="Q519" s="334" t="s">
        <v>258</v>
      </c>
      <c r="R519" s="350" t="s">
        <v>227</v>
      </c>
      <c r="S519" s="361">
        <v>25921</v>
      </c>
      <c r="T519" s="361">
        <v>1996</v>
      </c>
      <c r="U519" s="362">
        <v>120</v>
      </c>
      <c r="V519" s="362">
        <v>2142</v>
      </c>
      <c r="W519" s="362">
        <v>156</v>
      </c>
      <c r="X519" s="348">
        <v>21</v>
      </c>
      <c r="Y519" s="348">
        <v>30</v>
      </c>
    </row>
    <row r="520">
      <c r="A520" s="363"/>
      <c r="B520" s="339" t="s">
        <v>232</v>
      </c>
      <c r="C520" s="339"/>
      <c r="D520" s="340">
        <f>SUM(D516:D519)</f>
      </c>
      <c r="E520" s="340">
        <f>SUM(E516:E519)</f>
      </c>
      <c r="F520" s="340">
        <f>SUM(F516:G519)</f>
      </c>
      <c r="G520" s="340"/>
      <c r="H520" s="340">
        <f>SUM(H516:H519)</f>
      </c>
      <c r="I520" s="340">
        <f>SUM(I516:I519)</f>
      </c>
      <c r="J520" s="342">
        <f t="shared" si="262"/>
      </c>
      <c r="K520" s="343">
        <f t="shared" si="300"/>
      </c>
      <c r="L520" s="344">
        <f t="shared" si="335"/>
      </c>
      <c r="M520" s="345">
        <f t="shared" si="28"/>
      </c>
      <c r="N520" s="345">
        <f t="shared" si="94"/>
      </c>
      <c r="O520" s="346">
        <f t="shared" si="124"/>
      </c>
      <c r="P520" s="345">
        <f t="shared" si="60"/>
      </c>
      <c r="Q520" s="346"/>
      <c r="R520" s="351"/>
      <c r="S520" s="340">
        <f>SUM(S516:S519)</f>
      </c>
      <c r="T520" s="340">
        <f>SUM(T516:T519)</f>
      </c>
      <c r="U520" s="340">
        <f>SUM(U516:U519)</f>
      </c>
      <c r="V520" s="340">
        <f>SUM(V516:V519)</f>
      </c>
      <c r="W520" s="340">
        <f>SUM(W516:W519)</f>
      </c>
      <c r="X520" s="340">
        <f>SUM(X516:X519)</f>
      </c>
      <c r="Y520" s="340">
        <f>SUM(Y516:Y519)</f>
      </c>
    </row>
    <row r="521">
      <c r="A521" s="363"/>
      <c r="B521" s="353" t="s">
        <v>246</v>
      </c>
      <c r="C521" s="353"/>
      <c r="D521" s="354">
        <f>D520+D515+D510+D505</f>
      </c>
      <c r="E521" s="354">
        <f>E520+E515+E510+E505</f>
      </c>
      <c r="F521" s="354">
        <f>F520+F515+F510+F505</f>
      </c>
      <c r="G521" s="354"/>
      <c r="H521" s="355">
        <f>H520+H515+H510+H505</f>
      </c>
      <c r="I521" s="354">
        <f>I520+I515+I510+I505</f>
      </c>
      <c r="J521" s="356">
        <f t="shared" si="262"/>
      </c>
      <c r="K521" s="356">
        <f t="shared" si="300"/>
      </c>
      <c r="L521" s="356">
        <f t="shared" si="335"/>
      </c>
      <c r="M521" s="357">
        <f t="shared" si="28"/>
      </c>
      <c r="N521" s="357">
        <f t="shared" si="94"/>
      </c>
      <c r="O521" s="356">
        <f t="shared" si="124"/>
      </c>
      <c r="P521" s="357">
        <f t="shared" si="60"/>
      </c>
      <c r="Q521" s="358"/>
      <c r="R521" s="359"/>
      <c r="S521" s="381">
        <f>S520+S515+S510+S505</f>
      </c>
      <c r="T521" s="381">
        <f>T520+T515+T510+T505</f>
      </c>
      <c r="U521" s="381">
        <f>U520+U515+U510+U505</f>
      </c>
      <c r="V521" s="381">
        <f>V520+V515+V510+V505</f>
      </c>
      <c r="W521" s="381">
        <f>W520+W515+W510+W505</f>
      </c>
      <c r="X521" s="360">
        <f>X520+X515+X510+X505</f>
      </c>
      <c r="Y521" s="355">
        <f>Y520+Y515+Y510+Y505</f>
      </c>
    </row>
    <row r="522">
      <c r="A522" s="311" t="s">
        <v>195</v>
      </c>
      <c r="B522" s="311"/>
      <c r="C522" s="311"/>
      <c r="D522" s="312" t="s">
        <v>196</v>
      </c>
      <c r="E522" s="312"/>
      <c r="F522" s="312"/>
      <c r="G522" s="312"/>
      <c r="H522" s="312"/>
      <c r="I522" s="312"/>
      <c r="J522" s="312"/>
      <c r="K522" s="312"/>
      <c r="L522" s="312"/>
      <c r="M522" s="313" t="s">
        <v>197</v>
      </c>
      <c r="N522" s="313"/>
      <c r="O522" s="313"/>
      <c r="P522" s="313"/>
      <c r="Q522" s="313"/>
      <c r="R522" s="313"/>
      <c r="S522" s="314" t="s">
        <v>198</v>
      </c>
      <c r="T522" s="314"/>
      <c r="U522" s="314"/>
      <c r="V522" s="314"/>
      <c r="W522" s="314"/>
      <c r="X522" s="314"/>
      <c r="Y522" s="314"/>
    </row>
    <row r="523">
      <c r="A523" s="315" t="s">
        <v>199</v>
      </c>
      <c r="B523" s="311" t="s">
        <v>200</v>
      </c>
      <c r="C523" s="311" t="s">
        <v>201</v>
      </c>
      <c r="D523" s="312" t="s">
        <v>202</v>
      </c>
      <c r="E523" s="316" t="s">
        <v>203</v>
      </c>
      <c r="F523" s="312" t="s">
        <v>204</v>
      </c>
      <c r="G523" s="312"/>
      <c r="H523" s="317" t="s">
        <v>205</v>
      </c>
      <c r="I523" s="312" t="s">
        <v>206</v>
      </c>
      <c r="J523" s="318" t="s">
        <v>207</v>
      </c>
      <c r="K523" s="319" t="s">
        <v>208</v>
      </c>
      <c r="L523" s="312" t="s">
        <v>209</v>
      </c>
      <c r="M523" s="313" t="s">
        <v>210</v>
      </c>
      <c r="N523" s="313" t="s">
        <v>211</v>
      </c>
      <c r="O523" s="313" t="s">
        <v>212</v>
      </c>
      <c r="P523" s="320" t="s">
        <v>213</v>
      </c>
      <c r="Q523" s="321" t="s">
        <v>214</v>
      </c>
      <c r="R523" s="321" t="s">
        <v>215</v>
      </c>
      <c r="S523" s="366" t="s">
        <v>216</v>
      </c>
      <c r="T523" s="366" t="s">
        <v>217</v>
      </c>
      <c r="U523" s="323" t="s">
        <v>218</v>
      </c>
      <c r="V523" s="323" t="s">
        <v>219</v>
      </c>
      <c r="W523" s="323" t="s">
        <v>220</v>
      </c>
      <c r="X523" s="322" t="s">
        <v>221</v>
      </c>
      <c r="Y523" s="322" t="s">
        <v>222</v>
      </c>
    </row>
    <row r="524">
      <c r="A524" s="363" t="s">
        <v>285</v>
      </c>
      <c r="B524" s="325" t="s">
        <v>260</v>
      </c>
      <c r="C524" s="326" t="s">
        <v>228</v>
      </c>
      <c r="D524" s="326">
        <f t="shared" ref="D524:D527" si="219">E524+G524+F524</f>
      </c>
      <c r="E524" s="327">
        <v>790.38</v>
      </c>
      <c r="F524" s="327">
        <v>3874.36</v>
      </c>
      <c r="G524" s="327">
        <v>0</v>
      </c>
      <c r="H524" s="328">
        <v>15</v>
      </c>
      <c r="I524" s="327">
        <v>8024.06</v>
      </c>
      <c r="J524" s="329">
        <f t="shared" ref="J524:J543" si="263">I524/D524</f>
      </c>
      <c r="K524" s="330">
        <f t="shared" ref="K524:K543" si="301">D524/H524</f>
      </c>
      <c r="L524" s="329">
        <f t="shared" ref="L524:L543" si="336">I524/H524</f>
      </c>
      <c r="M524" s="331">
        <f t="shared" ref="M524:M543" si="29">T524/S524</f>
      </c>
      <c r="N524" s="332">
        <f t="shared" ref="N524:N543" si="95">H524/X524</f>
      </c>
      <c r="O524" s="333">
        <f t="shared" ref="O524:O543" si="125">(Y524*1000)/D524</f>
      </c>
      <c r="P524" s="332">
        <f t="shared" ref="P524:P543" si="61">W524/V524</f>
      </c>
      <c r="Q524" s="334" t="s">
        <v>255</v>
      </c>
      <c r="R524" s="370" t="s">
        <v>240</v>
      </c>
      <c r="S524" s="336">
        <v>124254</v>
      </c>
      <c r="T524" s="336">
        <v>4176</v>
      </c>
      <c r="U524" s="368">
        <v>286</v>
      </c>
      <c r="V524" s="337">
        <v>5484</v>
      </c>
      <c r="W524" s="337">
        <v>640</v>
      </c>
      <c r="X524" s="337">
        <v>29</v>
      </c>
      <c r="Y524" s="337">
        <v>72</v>
      </c>
    </row>
    <row r="525">
      <c r="A525" s="363"/>
      <c r="B525" s="325" t="s">
        <v>260</v>
      </c>
      <c r="C525" s="326" t="s">
        <v>229</v>
      </c>
      <c r="D525" s="326">
        <f t="shared" si="219"/>
      </c>
      <c r="E525" s="327">
        <v>664.46</v>
      </c>
      <c r="F525" s="327">
        <v>2699.07</v>
      </c>
      <c r="G525" s="327">
        <v>0</v>
      </c>
      <c r="H525" s="338">
        <v>20</v>
      </c>
      <c r="I525" s="326">
        <v>11471.5</v>
      </c>
      <c r="J525" s="329">
        <f t="shared" si="263"/>
      </c>
      <c r="K525" s="329">
        <f t="shared" si="301"/>
      </c>
      <c r="L525" s="329">
        <f t="shared" si="336"/>
      </c>
      <c r="M525" s="331">
        <f t="shared" si="29"/>
      </c>
      <c r="N525" s="332">
        <f t="shared" si="95"/>
      </c>
      <c r="O525" s="333">
        <f t="shared" si="125"/>
      </c>
      <c r="P525" s="332">
        <f t="shared" si="61"/>
      </c>
      <c r="Q525" s="334" t="s">
        <v>255</v>
      </c>
      <c r="R525" s="370" t="s">
        <v>240</v>
      </c>
      <c r="S525" s="336">
        <v>98907</v>
      </c>
      <c r="T525" s="336">
        <v>2848</v>
      </c>
      <c r="U525" s="337">
        <v>228</v>
      </c>
      <c r="V525" s="337">
        <v>4016</v>
      </c>
      <c r="W525" s="337">
        <v>471</v>
      </c>
      <c r="X525" s="337">
        <v>35</v>
      </c>
      <c r="Y525" s="337">
        <v>41</v>
      </c>
    </row>
    <row r="526">
      <c r="A526" s="363"/>
      <c r="B526" s="325" t="s">
        <v>260</v>
      </c>
      <c r="C526" s="364" t="s">
        <v>230</v>
      </c>
      <c r="D526" s="326">
        <f t="shared" si="219"/>
      </c>
      <c r="E526" s="327">
        <v>924.83</v>
      </c>
      <c r="F526" s="327">
        <v>1639.81</v>
      </c>
      <c r="G526" s="327">
        <v>0</v>
      </c>
      <c r="H526" s="338">
        <v>17</v>
      </c>
      <c r="I526" s="326">
        <v>10927.68</v>
      </c>
      <c r="J526" s="329">
        <f t="shared" si="263"/>
      </c>
      <c r="K526" s="329">
        <f t="shared" si="301"/>
      </c>
      <c r="L526" s="329">
        <f t="shared" si="336"/>
      </c>
      <c r="M526" s="331">
        <f t="shared" si="29"/>
      </c>
      <c r="N526" s="332">
        <f t="shared" si="95"/>
      </c>
      <c r="O526" s="333">
        <f t="shared" si="125"/>
      </c>
      <c r="P526" s="332">
        <f t="shared" si="61"/>
      </c>
      <c r="Q526" s="334" t="s">
        <v>255</v>
      </c>
      <c r="R526" s="370" t="s">
        <v>240</v>
      </c>
      <c r="S526" s="337">
        <v>60845</v>
      </c>
      <c r="T526" s="336">
        <v>2782</v>
      </c>
      <c r="U526" s="337">
        <v>197</v>
      </c>
      <c r="V526" s="337">
        <v>4184</v>
      </c>
      <c r="W526" s="337">
        <v>449</v>
      </c>
      <c r="X526" s="337">
        <v>23</v>
      </c>
      <c r="Y526" s="337">
        <v>44</v>
      </c>
    </row>
    <row r="527">
      <c r="A527" s="363"/>
      <c r="B527" s="325" t="s">
        <v>260</v>
      </c>
      <c r="C527" s="326" t="s">
        <v>231</v>
      </c>
      <c r="D527" s="326">
        <f t="shared" si="219"/>
      </c>
      <c r="E527" s="327">
        <v>1507.21</v>
      </c>
      <c r="F527" s="327">
        <v>2109.91</v>
      </c>
      <c r="G527" s="327">
        <v>0</v>
      </c>
      <c r="H527" s="338">
        <v>18</v>
      </c>
      <c r="I527" s="326">
        <v>8375.7</v>
      </c>
      <c r="J527" s="329">
        <f t="shared" si="263"/>
      </c>
      <c r="K527" s="329">
        <f t="shared" si="301"/>
      </c>
      <c r="L527" s="329">
        <f t="shared" si="336"/>
      </c>
      <c r="M527" s="331">
        <f t="shared" si="29"/>
      </c>
      <c r="N527" s="332">
        <f t="shared" si="95"/>
      </c>
      <c r="O527" s="333">
        <f t="shared" si="125"/>
      </c>
      <c r="P527" s="332">
        <f t="shared" si="61"/>
      </c>
      <c r="Q527" s="334" t="s">
        <v>255</v>
      </c>
      <c r="R527" s="370" t="s">
        <v>240</v>
      </c>
      <c r="S527" s="336">
        <v>73599</v>
      </c>
      <c r="T527" s="336">
        <v>4390</v>
      </c>
      <c r="U527" s="337">
        <v>271</v>
      </c>
      <c r="V527" s="337">
        <v>6768</v>
      </c>
      <c r="W527" s="337">
        <v>739</v>
      </c>
      <c r="X527" s="337">
        <v>38</v>
      </c>
      <c r="Y527" s="337">
        <v>59</v>
      </c>
    </row>
    <row r="528">
      <c r="A528" s="363"/>
      <c r="B528" s="339" t="s">
        <v>232</v>
      </c>
      <c r="C528" s="339"/>
      <c r="D528" s="340">
        <f>SUM(D524:D527)</f>
      </c>
      <c r="E528" s="340">
        <f>SUM(E524:E527)</f>
      </c>
      <c r="F528" s="340">
        <f>SUM(F524:G527)</f>
      </c>
      <c r="G528" s="340"/>
      <c r="H528" s="341">
        <f>SUM(H524:H527)</f>
      </c>
      <c r="I528" s="340">
        <f>SUM(I524:I527)</f>
      </c>
      <c r="J528" s="342">
        <f t="shared" si="263"/>
      </c>
      <c r="K528" s="343">
        <f t="shared" si="301"/>
      </c>
      <c r="L528" s="344">
        <f t="shared" si="336"/>
      </c>
      <c r="M528" s="345">
        <f t="shared" si="29"/>
      </c>
      <c r="N528" s="345">
        <f t="shared" si="95"/>
      </c>
      <c r="O528" s="346">
        <f t="shared" si="125"/>
      </c>
      <c r="P528" s="345">
        <f t="shared" si="61"/>
      </c>
      <c r="Q528" s="346"/>
      <c r="R528" s="346"/>
      <c r="S528" s="341">
        <f>SUM(S524:S527)</f>
      </c>
      <c r="T528" s="341">
        <f>SUM(T524:T527)</f>
      </c>
      <c r="U528" s="341">
        <f>SUM(U524:U527)</f>
      </c>
      <c r="V528" s="341">
        <f>SUM(V524:V527)</f>
      </c>
      <c r="W528" s="341">
        <f>SUM(W524:W527)</f>
      </c>
      <c r="X528" s="341">
        <f>SUM(X524:X527)</f>
      </c>
      <c r="Y528" s="341">
        <f>SUM(Y524:Y527)</f>
      </c>
    </row>
    <row r="529">
      <c r="A529" s="363"/>
      <c r="B529" s="325" t="s">
        <v>224</v>
      </c>
      <c r="C529" s="327" t="s">
        <v>234</v>
      </c>
      <c r="D529" s="326">
        <f t="shared" ref="D529:D532" si="220">E529+G529+F529</f>
      </c>
      <c r="E529" s="327">
        <v>1232.39</v>
      </c>
      <c r="F529" s="327">
        <v>2648.84</v>
      </c>
      <c r="G529" s="327">
        <v>0</v>
      </c>
      <c r="H529" s="338">
        <v>18</v>
      </c>
      <c r="I529" s="326">
        <v>7853.059999999998</v>
      </c>
      <c r="J529" s="329">
        <f t="shared" si="263"/>
      </c>
      <c r="K529" s="329">
        <f t="shared" si="301"/>
      </c>
      <c r="L529" s="329">
        <f t="shared" si="336"/>
      </c>
      <c r="M529" s="331">
        <f t="shared" si="29"/>
      </c>
      <c r="N529" s="332">
        <f t="shared" si="95"/>
      </c>
      <c r="O529" s="333">
        <f t="shared" si="125"/>
      </c>
      <c r="P529" s="332">
        <f t="shared" si="61"/>
      </c>
      <c r="Q529" s="334" t="s">
        <v>255</v>
      </c>
      <c r="R529" s="370" t="s">
        <v>240</v>
      </c>
      <c r="S529" s="347">
        <v>81237</v>
      </c>
      <c r="T529" s="347">
        <v>2660</v>
      </c>
      <c r="U529" s="348">
        <v>237</v>
      </c>
      <c r="V529" s="348">
        <v>3869</v>
      </c>
      <c r="W529" s="348">
        <v>454</v>
      </c>
      <c r="X529" s="348">
        <v>32</v>
      </c>
      <c r="Y529" s="348">
        <v>51</v>
      </c>
    </row>
    <row r="530">
      <c r="A530" s="363"/>
      <c r="B530" s="325" t="s">
        <v>224</v>
      </c>
      <c r="C530" s="327" t="s">
        <v>235</v>
      </c>
      <c r="D530" s="326">
        <f t="shared" si="220"/>
      </c>
      <c r="E530" s="327">
        <v>1574</v>
      </c>
      <c r="F530" s="327">
        <v>2763.98</v>
      </c>
      <c r="G530" s="327">
        <v>0</v>
      </c>
      <c r="H530" s="328">
        <v>23</v>
      </c>
      <c r="I530" s="327">
        <v>12380.940000000002</v>
      </c>
      <c r="J530" s="329">
        <f t="shared" si="263"/>
      </c>
      <c r="K530" s="329">
        <f t="shared" si="301"/>
      </c>
      <c r="L530" s="329">
        <f t="shared" si="336"/>
      </c>
      <c r="M530" s="331">
        <f t="shared" si="29"/>
      </c>
      <c r="N530" s="332">
        <f t="shared" si="95"/>
      </c>
      <c r="O530" s="333">
        <f t="shared" si="125"/>
      </c>
      <c r="P530" s="332">
        <f t="shared" si="61"/>
      </c>
      <c r="Q530" s="334" t="s">
        <v>255</v>
      </c>
      <c r="R530" s="370" t="s">
        <v>240</v>
      </c>
      <c r="S530" s="347">
        <v>120690</v>
      </c>
      <c r="T530" s="347">
        <v>2488</v>
      </c>
      <c r="U530" s="348">
        <v>310</v>
      </c>
      <c r="V530" s="348">
        <v>4248</v>
      </c>
      <c r="W530" s="348">
        <v>605</v>
      </c>
      <c r="X530" s="348">
        <v>40</v>
      </c>
      <c r="Y530" s="348">
        <v>50</v>
      </c>
    </row>
    <row r="531">
      <c r="A531" s="363"/>
      <c r="B531" s="325" t="s">
        <v>224</v>
      </c>
      <c r="C531" s="326" t="s">
        <v>236</v>
      </c>
      <c r="D531" s="326">
        <f t="shared" si="220"/>
      </c>
      <c r="E531" s="327">
        <v>4380.93</v>
      </c>
      <c r="F531" s="327">
        <v>2768.73</v>
      </c>
      <c r="G531" s="327">
        <v>0</v>
      </c>
      <c r="H531" s="328">
        <v>30</v>
      </c>
      <c r="I531" s="327">
        <v>14699.399999999994</v>
      </c>
      <c r="J531" s="329">
        <f t="shared" si="263"/>
      </c>
      <c r="K531" s="329">
        <f t="shared" si="301"/>
      </c>
      <c r="L531" s="329">
        <f t="shared" si="336"/>
      </c>
      <c r="M531" s="331">
        <f t="shared" si="29"/>
      </c>
      <c r="N531" s="332">
        <f t="shared" si="95"/>
      </c>
      <c r="O531" s="333">
        <f t="shared" si="125"/>
      </c>
      <c r="P531" s="332">
        <f t="shared" si="61"/>
      </c>
      <c r="Q531" s="334" t="s">
        <v>255</v>
      </c>
      <c r="R531" s="370" t="s">
        <v>240</v>
      </c>
      <c r="S531" s="347">
        <v>146766</v>
      </c>
      <c r="T531" s="347">
        <v>6960</v>
      </c>
      <c r="U531" s="348">
        <v>456</v>
      </c>
      <c r="V531" s="348">
        <v>11723</v>
      </c>
      <c r="W531" s="348">
        <v>1305</v>
      </c>
      <c r="X531" s="348">
        <v>57</v>
      </c>
      <c r="Y531" s="348">
        <v>97</v>
      </c>
    </row>
    <row r="532">
      <c r="A532" s="363"/>
      <c r="B532" s="325" t="s">
        <v>224</v>
      </c>
      <c r="C532" s="326" t="s">
        <v>237</v>
      </c>
      <c r="D532" s="326">
        <f t="shared" si="220"/>
      </c>
      <c r="E532" s="327">
        <v>2737.87</v>
      </c>
      <c r="F532" s="327">
        <v>6600.81</v>
      </c>
      <c r="G532" s="327">
        <v>0</v>
      </c>
      <c r="H532" s="338">
        <v>34</v>
      </c>
      <c r="I532" s="327">
        <v>17726.440000000002</v>
      </c>
      <c r="J532" s="329">
        <f t="shared" si="263"/>
      </c>
      <c r="K532" s="329">
        <f t="shared" si="301"/>
      </c>
      <c r="L532" s="329">
        <f t="shared" si="336"/>
      </c>
      <c r="M532" s="331">
        <f t="shared" si="29"/>
      </c>
      <c r="N532" s="332">
        <f t="shared" si="95"/>
      </c>
      <c r="O532" s="333">
        <f t="shared" si="125"/>
      </c>
      <c r="P532" s="332">
        <f t="shared" si="61"/>
      </c>
      <c r="Q532" s="334" t="s">
        <v>255</v>
      </c>
      <c r="R532" s="370" t="s">
        <v>240</v>
      </c>
      <c r="S532" s="347">
        <v>235964</v>
      </c>
      <c r="T532" s="347">
        <v>7255</v>
      </c>
      <c r="U532" s="348">
        <v>579</v>
      </c>
      <c r="V532" s="348">
        <v>10665</v>
      </c>
      <c r="W532" s="348">
        <v>1132</v>
      </c>
      <c r="X532" s="348">
        <v>59</v>
      </c>
      <c r="Y532" s="348">
        <v>99</v>
      </c>
    </row>
    <row r="533">
      <c r="A533" s="363"/>
      <c r="B533" s="339" t="s">
        <v>232</v>
      </c>
      <c r="C533" s="339"/>
      <c r="D533" s="340">
        <f>SUM(D529:D532)</f>
      </c>
      <c r="E533" s="340">
        <f>SUM(E529:E532)</f>
      </c>
      <c r="F533" s="340">
        <f>SUM(F529:G532)</f>
      </c>
      <c r="G533" s="340"/>
      <c r="H533" s="341">
        <f>SUM(H529:H532)</f>
      </c>
      <c r="I533" s="340">
        <f>SUM(I529:I532)</f>
      </c>
      <c r="J533" s="342">
        <f t="shared" si="263"/>
      </c>
      <c r="K533" s="343">
        <f t="shared" si="301"/>
      </c>
      <c r="L533" s="344">
        <f t="shared" si="336"/>
      </c>
      <c r="M533" s="345">
        <f t="shared" si="29"/>
      </c>
      <c r="N533" s="345">
        <f t="shared" si="95"/>
      </c>
      <c r="O533" s="346">
        <f t="shared" si="125"/>
      </c>
      <c r="P533" s="345">
        <f t="shared" si="61"/>
      </c>
      <c r="Q533" s="346"/>
      <c r="R533" s="346"/>
      <c r="S533" s="341">
        <f>SUM(S529:S532)</f>
      </c>
      <c r="T533" s="341">
        <f>SUM(T529:T532)</f>
      </c>
      <c r="U533" s="341">
        <f>SUM(U529:U532)</f>
      </c>
      <c r="V533" s="341">
        <f>SUM(V529:V532)</f>
      </c>
      <c r="W533" s="341">
        <f>SUM(W529:W532)</f>
      </c>
      <c r="X533" s="341">
        <f>SUM(X529:X532)</f>
      </c>
      <c r="Y533" s="341">
        <f>SUM(Y529:Y532)</f>
      </c>
    </row>
    <row r="534">
      <c r="A534" s="363"/>
      <c r="B534" s="325" t="s">
        <v>248</v>
      </c>
      <c r="C534" s="327" t="s">
        <v>239</v>
      </c>
      <c r="D534" s="326">
        <f t="shared" ref="D534:D537" si="221">E534+G534+F534</f>
      </c>
      <c r="E534" s="327">
        <v>3662.45</v>
      </c>
      <c r="F534" s="327">
        <v>6797.48</v>
      </c>
      <c r="G534" s="327">
        <v>0</v>
      </c>
      <c r="H534" s="338">
        <v>25</v>
      </c>
      <c r="I534" s="326">
        <v>9016.080000000002</v>
      </c>
      <c r="J534" s="329">
        <f t="shared" si="263"/>
      </c>
      <c r="K534" s="329">
        <f t="shared" si="301"/>
      </c>
      <c r="L534" s="329">
        <f t="shared" si="336"/>
      </c>
      <c r="M534" s="331">
        <f t="shared" si="29"/>
      </c>
      <c r="N534" s="332">
        <f t="shared" si="95"/>
      </c>
      <c r="O534" s="333">
        <f t="shared" si="125"/>
      </c>
      <c r="P534" s="332">
        <f t="shared" si="61"/>
      </c>
      <c r="Q534" s="334" t="s">
        <v>258</v>
      </c>
      <c r="R534" s="370" t="s">
        <v>240</v>
      </c>
      <c r="S534" s="347">
        <v>287877</v>
      </c>
      <c r="T534" s="347">
        <v>6844</v>
      </c>
      <c r="U534" s="348">
        <v>610</v>
      </c>
      <c r="V534" s="348">
        <v>12501</v>
      </c>
      <c r="W534" s="348">
        <v>1547</v>
      </c>
      <c r="X534" s="348">
        <v>47</v>
      </c>
      <c r="Y534" s="348">
        <v>111</v>
      </c>
    </row>
    <row r="535">
      <c r="A535" s="363"/>
      <c r="B535" s="325" t="s">
        <v>248</v>
      </c>
      <c r="C535" s="327" t="s">
        <v>241</v>
      </c>
      <c r="D535" s="326">
        <f t="shared" si="221"/>
      </c>
      <c r="E535" s="327">
        <v>3646.72</v>
      </c>
      <c r="F535" s="327">
        <v>2021.28</v>
      </c>
      <c r="G535" s="327">
        <v>0</v>
      </c>
      <c r="H535" s="338">
        <v>17</v>
      </c>
      <c r="I535" s="326">
        <v>5300.559999999998</v>
      </c>
      <c r="J535" s="329">
        <f t="shared" si="263"/>
      </c>
      <c r="K535" s="329">
        <f t="shared" si="301"/>
      </c>
      <c r="L535" s="329">
        <f t="shared" si="336"/>
      </c>
      <c r="M535" s="331">
        <f t="shared" si="29"/>
      </c>
      <c r="N535" s="332">
        <f t="shared" si="95"/>
      </c>
      <c r="O535" s="333">
        <f t="shared" si="125"/>
      </c>
      <c r="P535" s="332">
        <f t="shared" si="61"/>
      </c>
      <c r="Q535" s="334" t="s">
        <v>258</v>
      </c>
      <c r="R535" s="350" t="s">
        <v>227</v>
      </c>
      <c r="S535" s="347">
        <v>130223</v>
      </c>
      <c r="T535" s="347">
        <v>5040</v>
      </c>
      <c r="U535" s="348">
        <v>373</v>
      </c>
      <c r="V535" s="348">
        <v>9348</v>
      </c>
      <c r="W535" s="348">
        <v>1105</v>
      </c>
      <c r="X535" s="348">
        <v>35</v>
      </c>
      <c r="Y535" s="348">
        <v>78</v>
      </c>
    </row>
    <row r="536">
      <c r="A536" s="363"/>
      <c r="B536" s="325" t="s">
        <v>248</v>
      </c>
      <c r="C536" s="327" t="s">
        <v>242</v>
      </c>
      <c r="D536" s="326">
        <f t="shared" si="221"/>
      </c>
      <c r="E536" s="327">
        <v>2176</v>
      </c>
      <c r="F536" s="327">
        <v>1224.14</v>
      </c>
      <c r="G536" s="327">
        <v>0</v>
      </c>
      <c r="H536" s="338">
        <v>11</v>
      </c>
      <c r="I536" s="326">
        <v>4600.600000000006</v>
      </c>
      <c r="J536" s="329">
        <f t="shared" si="263"/>
      </c>
      <c r="K536" s="329">
        <f t="shared" si="301"/>
      </c>
      <c r="L536" s="329">
        <f t="shared" si="336"/>
      </c>
      <c r="M536" s="331">
        <f t="shared" si="29"/>
      </c>
      <c r="N536" s="332">
        <f t="shared" si="95"/>
      </c>
      <c r="O536" s="333">
        <f t="shared" si="125"/>
      </c>
      <c r="P536" s="332">
        <f t="shared" si="61"/>
      </c>
      <c r="Q536" s="334" t="s">
        <v>258</v>
      </c>
      <c r="R536" s="350" t="s">
        <v>227</v>
      </c>
      <c r="S536" s="347">
        <v>82232</v>
      </c>
      <c r="T536" s="347">
        <v>3197</v>
      </c>
      <c r="U536" s="348">
        <v>226</v>
      </c>
      <c r="V536" s="348">
        <v>6227</v>
      </c>
      <c r="W536" s="348">
        <v>866</v>
      </c>
      <c r="X536" s="348">
        <v>22</v>
      </c>
      <c r="Y536" s="348">
        <v>60</v>
      </c>
    </row>
    <row r="537">
      <c r="A537" s="363"/>
      <c r="B537" s="325" t="s">
        <v>248</v>
      </c>
      <c r="C537" s="326" t="s">
        <v>244</v>
      </c>
      <c r="D537" s="326">
        <f t="shared" si="221"/>
      </c>
      <c r="E537" s="327">
        <v>1870.55</v>
      </c>
      <c r="F537" s="327">
        <v>1315.28</v>
      </c>
      <c r="G537" s="327">
        <v>0</v>
      </c>
      <c r="H537" s="338">
        <v>8</v>
      </c>
      <c r="I537" s="327">
        <v>5358.8399999999965</v>
      </c>
      <c r="J537" s="329">
        <f t="shared" si="263"/>
      </c>
      <c r="K537" s="329">
        <f t="shared" si="301"/>
      </c>
      <c r="L537" s="329">
        <f t="shared" si="336"/>
      </c>
      <c r="M537" s="331">
        <f t="shared" si="29"/>
      </c>
      <c r="N537" s="332">
        <f t="shared" si="95"/>
      </c>
      <c r="O537" s="333">
        <f t="shared" si="125"/>
      </c>
      <c r="P537" s="332">
        <f t="shared" si="61"/>
      </c>
      <c r="Q537" s="334" t="s">
        <v>258</v>
      </c>
      <c r="R537" s="350" t="s">
        <v>227</v>
      </c>
      <c r="S537" s="347">
        <v>82532</v>
      </c>
      <c r="T537" s="347">
        <v>2764</v>
      </c>
      <c r="U537" s="348">
        <v>206</v>
      </c>
      <c r="V537" s="348">
        <v>5094</v>
      </c>
      <c r="W537" s="348">
        <v>672</v>
      </c>
      <c r="X537" s="348">
        <v>14</v>
      </c>
      <c r="Y537" s="348">
        <v>49</v>
      </c>
    </row>
    <row r="538">
      <c r="A538" s="363"/>
      <c r="B538" s="339" t="s">
        <v>232</v>
      </c>
      <c r="C538" s="339"/>
      <c r="D538" s="340">
        <f>SUM(D534:D537)</f>
      </c>
      <c r="E538" s="340">
        <f>SUM(E534:E537)</f>
      </c>
      <c r="F538" s="340">
        <f>SUM(F534:G537)</f>
      </c>
      <c r="G538" s="340"/>
      <c r="H538" s="341">
        <f>SUM(H534:H537)</f>
      </c>
      <c r="I538" s="340">
        <f>SUM(I534:I537)</f>
      </c>
      <c r="J538" s="342">
        <f t="shared" si="263"/>
      </c>
      <c r="K538" s="343">
        <f t="shared" si="301"/>
      </c>
      <c r="L538" s="344">
        <f t="shared" si="336"/>
      </c>
      <c r="M538" s="345">
        <f t="shared" si="29"/>
      </c>
      <c r="N538" s="345">
        <f t="shared" si="95"/>
      </c>
      <c r="O538" s="346">
        <f t="shared" si="125"/>
      </c>
      <c r="P538" s="345">
        <f t="shared" si="61"/>
      </c>
      <c r="Q538" s="346"/>
      <c r="R538" s="346"/>
      <c r="S538" s="341">
        <f>SUM(S534:S537)</f>
      </c>
      <c r="T538" s="341">
        <f>SUM(T534:T537)</f>
      </c>
      <c r="U538" s="341">
        <f>SUM(U534:U537)</f>
      </c>
      <c r="V538" s="341">
        <f>SUM(V534:V537)</f>
      </c>
      <c r="W538" s="341">
        <f>SUM(W534:W537)</f>
      </c>
      <c r="X538" s="341">
        <f>SUM(X534:X537)</f>
      </c>
      <c r="Y538" s="341">
        <f>SUM(Y534:Y537)</f>
      </c>
    </row>
    <row r="539">
      <c r="A539" s="363"/>
      <c r="B539" s="325" t="s">
        <v>257</v>
      </c>
      <c r="C539" s="327" t="s">
        <v>245</v>
      </c>
      <c r="D539" s="326">
        <f t="shared" ref="D539:D541" si="222">E539+G539+F539</f>
      </c>
      <c r="E539" s="327">
        <v>1296.74</v>
      </c>
      <c r="F539" s="327">
        <v>1706.26</v>
      </c>
      <c r="G539" s="327">
        <v>0</v>
      </c>
      <c r="H539" s="328">
        <v>5</v>
      </c>
      <c r="I539" s="327">
        <v>1027.679999999993</v>
      </c>
      <c r="J539" s="329">
        <f t="shared" si="263"/>
      </c>
      <c r="K539" s="329">
        <f t="shared" si="301"/>
      </c>
      <c r="L539" s="329">
        <f t="shared" si="336"/>
      </c>
      <c r="M539" s="331">
        <f t="shared" si="29"/>
      </c>
      <c r="N539" s="332">
        <f t="shared" si="95"/>
      </c>
      <c r="O539" s="333">
        <f t="shared" si="125"/>
      </c>
      <c r="P539" s="332">
        <f t="shared" si="61"/>
      </c>
      <c r="Q539" s="334" t="s">
        <v>258</v>
      </c>
      <c r="R539" s="350" t="s">
        <v>227</v>
      </c>
      <c r="S539" s="348">
        <v>71844</v>
      </c>
      <c r="T539" s="348">
        <v>2250</v>
      </c>
      <c r="U539" s="348">
        <v>185</v>
      </c>
      <c r="V539" s="348">
        <v>3516</v>
      </c>
      <c r="W539" s="348">
        <v>352</v>
      </c>
      <c r="X539" s="348">
        <v>12</v>
      </c>
      <c r="Y539" s="348">
        <v>30</v>
      </c>
    </row>
    <row r="540">
      <c r="A540" s="363"/>
      <c r="B540" s="325" t="s">
        <v>257</v>
      </c>
      <c r="C540" s="327" t="s">
        <v>250</v>
      </c>
      <c r="D540" s="326">
        <f t="shared" si="222"/>
      </c>
      <c r="E540" s="327">
        <v>253.22</v>
      </c>
      <c r="F540" s="327">
        <v>519.49</v>
      </c>
      <c r="G540" s="327">
        <v>0</v>
      </c>
      <c r="H540" s="328">
        <v>1</v>
      </c>
      <c r="I540" s="327">
        <v>1155.4800000000105</v>
      </c>
      <c r="J540" s="329">
        <f t="shared" si="263"/>
      </c>
      <c r="K540" s="329">
        <f t="shared" si="301"/>
      </c>
      <c r="L540" s="329">
        <f t="shared" si="336"/>
      </c>
      <c r="M540" s="331">
        <f t="shared" si="29"/>
      </c>
      <c r="N540" s="332">
        <f t="shared" si="95"/>
      </c>
      <c r="O540" s="333">
        <f t="shared" si="125"/>
      </c>
      <c r="P540" s="332">
        <f t="shared" si="61"/>
      </c>
      <c r="Q540" s="334" t="s">
        <v>258</v>
      </c>
      <c r="R540" s="350" t="s">
        <v>227</v>
      </c>
      <c r="S540" s="361">
        <v>20938</v>
      </c>
      <c r="T540" s="361">
        <v>686</v>
      </c>
      <c r="U540" s="362">
        <v>53</v>
      </c>
      <c r="V540" s="362">
        <v>901</v>
      </c>
      <c r="W540" s="362">
        <v>73</v>
      </c>
      <c r="X540" s="348">
        <v>3</v>
      </c>
      <c r="Y540" s="348">
        <v>13</v>
      </c>
    </row>
    <row r="541">
      <c r="A541" s="363"/>
      <c r="B541" s="325" t="s">
        <v>257</v>
      </c>
      <c r="C541" s="327" t="s">
        <v>264</v>
      </c>
      <c r="D541" s="326">
        <f t="shared" si="222"/>
      </c>
      <c r="E541" s="327">
        <v>500.23</v>
      </c>
      <c r="F541" s="327">
        <v>562.32</v>
      </c>
      <c r="G541" s="327">
        <v>0</v>
      </c>
      <c r="H541" s="328">
        <v>2</v>
      </c>
      <c r="I541" s="327">
        <v>892.8000000000029</v>
      </c>
      <c r="J541" s="329">
        <f t="shared" si="263"/>
      </c>
      <c r="K541" s="329">
        <f t="shared" si="301"/>
      </c>
      <c r="L541" s="329">
        <f t="shared" si="336"/>
      </c>
      <c r="M541" s="331">
        <f t="shared" si="29"/>
      </c>
      <c r="N541" s="332">
        <f t="shared" si="95"/>
      </c>
      <c r="O541" s="333">
        <f t="shared" si="125"/>
      </c>
      <c r="P541" s="332">
        <f t="shared" si="61"/>
      </c>
      <c r="Q541" s="334" t="s">
        <v>258</v>
      </c>
      <c r="R541" s="350" t="s">
        <v>227</v>
      </c>
      <c r="S541" s="361">
        <v>22834</v>
      </c>
      <c r="T541" s="361">
        <v>895</v>
      </c>
      <c r="U541" s="362">
        <v>76</v>
      </c>
      <c r="V541" s="362">
        <v>1412</v>
      </c>
      <c r="W541" s="362">
        <v>157</v>
      </c>
      <c r="X541" s="348">
        <v>7</v>
      </c>
      <c r="Y541" s="348">
        <v>24</v>
      </c>
    </row>
    <row r="542">
      <c r="A542" s="363"/>
      <c r="B542" s="339" t="s">
        <v>232</v>
      </c>
      <c r="C542" s="339"/>
      <c r="D542" s="340">
        <f>SUM(D539:D541)</f>
      </c>
      <c r="E542" s="340">
        <f>SUM(E539:E541)</f>
      </c>
      <c r="F542" s="340">
        <f>SUM(F539:G541)</f>
      </c>
      <c r="G542" s="340"/>
      <c r="H542" s="340">
        <f>SUM(H539:H541)</f>
      </c>
      <c r="I542" s="340">
        <f>SUM(I539:I541)</f>
      </c>
      <c r="J542" s="342">
        <f t="shared" si="263"/>
      </c>
      <c r="K542" s="343">
        <f t="shared" si="301"/>
      </c>
      <c r="L542" s="344">
        <f t="shared" si="336"/>
      </c>
      <c r="M542" s="345">
        <f t="shared" si="29"/>
      </c>
      <c r="N542" s="345">
        <f t="shared" si="95"/>
      </c>
      <c r="O542" s="346">
        <f t="shared" si="125"/>
      </c>
      <c r="P542" s="345">
        <f t="shared" si="61"/>
      </c>
      <c r="Q542" s="346"/>
      <c r="R542" s="351"/>
      <c r="S542" s="340">
        <f>SUM(S539:S541)</f>
      </c>
      <c r="T542" s="340">
        <f>SUM(T539:T541)</f>
      </c>
      <c r="U542" s="340">
        <f>SUM(U539:U541)</f>
      </c>
      <c r="V542" s="340">
        <f>SUM(V539:V541)</f>
      </c>
      <c r="W542" s="340">
        <f>SUM(W539:W541)</f>
      </c>
      <c r="X542" s="340">
        <f>SUM(X539:X541)</f>
      </c>
      <c r="Y542" s="340">
        <f>SUM(Y539:Y541)</f>
      </c>
    </row>
    <row r="543">
      <c r="A543" s="363"/>
      <c r="B543" s="353" t="s">
        <v>246</v>
      </c>
      <c r="C543" s="353"/>
      <c r="D543" s="354">
        <f>D542+D538+D533+D528</f>
      </c>
      <c r="E543" s="354">
        <f>E542+E538+E533+E528</f>
      </c>
      <c r="F543" s="354">
        <f>F542+F538+F533+F528</f>
      </c>
      <c r="G543" s="354"/>
      <c r="H543" s="355">
        <f>H542+H538+H533+H528</f>
      </c>
      <c r="I543" s="354">
        <f>I542+I538+I533+I528</f>
      </c>
      <c r="J543" s="356">
        <f t="shared" si="263"/>
      </c>
      <c r="K543" s="356">
        <f t="shared" si="301"/>
      </c>
      <c r="L543" s="356">
        <f t="shared" si="336"/>
      </c>
      <c r="M543" s="357">
        <f t="shared" si="29"/>
      </c>
      <c r="N543" s="357">
        <f t="shared" si="95"/>
      </c>
      <c r="O543" s="356">
        <f t="shared" si="125"/>
      </c>
      <c r="P543" s="357">
        <f t="shared" si="61"/>
      </c>
      <c r="Q543" s="358"/>
      <c r="R543" s="359"/>
      <c r="S543" s="381">
        <f>S542+S538+S533+S528</f>
      </c>
      <c r="T543" s="381">
        <f>T542+T538+T533+T528</f>
      </c>
      <c r="U543" s="381">
        <f>U542+U538+U533+U528</f>
      </c>
      <c r="V543" s="381">
        <f>V542+V538+V533+V528</f>
      </c>
      <c r="W543" s="381">
        <f>W542+W538+W533+W528</f>
      </c>
      <c r="X543" s="360">
        <f>X542+X538+X533+X528</f>
      </c>
      <c r="Y543" s="355">
        <f>Y542+Y538+Y533+Y528</f>
      </c>
    </row>
    <row r="544">
      <c r="A544" s="382" t="s">
        <v>195</v>
      </c>
      <c r="B544" s="382"/>
      <c r="C544" s="382"/>
      <c r="D544" s="383" t="s">
        <v>196</v>
      </c>
      <c r="E544" s="383"/>
      <c r="F544" s="383"/>
      <c r="G544" s="383"/>
      <c r="H544" s="383"/>
      <c r="I544" s="383"/>
      <c r="J544" s="383"/>
      <c r="K544" s="383"/>
      <c r="L544" s="384" t="s">
        <v>197</v>
      </c>
      <c r="M544" s="384"/>
      <c r="N544" s="384"/>
      <c r="O544" s="384"/>
      <c r="P544" s="384"/>
      <c r="Q544" s="384"/>
      <c r="R544" s="385" t="s">
        <v>198</v>
      </c>
      <c r="S544" s="385"/>
      <c r="T544" s="385"/>
      <c r="U544" s="385"/>
      <c r="V544" s="385"/>
      <c r="W544" s="385"/>
      <c r="X544" s="385"/>
    </row>
    <row r="545">
      <c r="A545" s="386" t="s">
        <v>199</v>
      </c>
      <c r="B545" s="382" t="s">
        <v>200</v>
      </c>
      <c r="C545" s="382" t="s">
        <v>201</v>
      </c>
      <c r="D545" s="387" t="s">
        <v>202</v>
      </c>
      <c r="E545" s="387" t="s">
        <v>203</v>
      </c>
      <c r="F545" s="383" t="s">
        <v>204</v>
      </c>
      <c r="G545" s="388" t="s">
        <v>205</v>
      </c>
      <c r="H545" s="383" t="s">
        <v>206</v>
      </c>
      <c r="I545" s="389" t="s">
        <v>207</v>
      </c>
      <c r="J545" s="390" t="s">
        <v>208</v>
      </c>
      <c r="K545" s="383" t="s">
        <v>209</v>
      </c>
      <c r="L545" s="384" t="s">
        <v>210</v>
      </c>
      <c r="M545" s="384" t="s">
        <v>211</v>
      </c>
      <c r="N545" s="384" t="s">
        <v>212</v>
      </c>
      <c r="O545" s="384" t="s">
        <v>213</v>
      </c>
      <c r="P545" s="391" t="s">
        <v>214</v>
      </c>
      <c r="Q545" s="391" t="s">
        <v>215</v>
      </c>
      <c r="R545" s="392" t="s">
        <v>216</v>
      </c>
      <c r="S545" s="392" t="s">
        <v>217</v>
      </c>
      <c r="T545" s="393" t="s">
        <v>218</v>
      </c>
      <c r="U545" s="393" t="s">
        <v>219</v>
      </c>
      <c r="V545" s="393" t="s">
        <v>220</v>
      </c>
      <c r="W545" s="393" t="s">
        <v>221</v>
      </c>
      <c r="X545" s="393" t="s">
        <v>222</v>
      </c>
    </row>
    <row r="546">
      <c r="A546" s="394" t="s">
        <v>286</v>
      </c>
      <c r="B546" s="395" t="s">
        <v>224</v>
      </c>
      <c r="C546" s="364" t="s">
        <v>228</v>
      </c>
      <c r="D546" s="364">
        <f t="shared" ref="D546:D549" si="268">E546+F546</f>
      </c>
      <c r="E546" s="364">
        <v>2626.6</v>
      </c>
      <c r="F546" s="364">
        <v>2119.12</v>
      </c>
      <c r="G546" s="396">
        <v>12</v>
      </c>
      <c r="H546" s="364">
        <v>9079.44</v>
      </c>
      <c r="I546" s="373">
        <f t="shared" ref="I546:I567" si="307">H546/D546</f>
      </c>
      <c r="J546" s="397">
        <f t="shared" ref="J546:J567" si="0">D546/G546</f>
      </c>
      <c r="K546" s="373">
        <f t="shared" ref="K546:K567" si="309">H546/G546</f>
      </c>
      <c r="L546" s="374">
        <f t="shared" ref="L546:L567" si="2">S546/R546</f>
      </c>
      <c r="M546" s="375">
        <f t="shared" ref="M546:M567" si="68">G546/W546</f>
      </c>
      <c r="N546" s="376">
        <f t="shared" ref="N546:N567" si="66">(X546*1000)/D546</f>
      </c>
      <c r="O546" s="375">
        <f t="shared" ref="O546:O567" si="34">V546/U546</f>
      </c>
      <c r="P546" s="377" t="s">
        <v>255</v>
      </c>
      <c r="Q546" s="378" t="s">
        <v>261</v>
      </c>
      <c r="R546" s="379">
        <v>78056</v>
      </c>
      <c r="S546" s="398">
        <v>4739</v>
      </c>
      <c r="T546" s="399">
        <v>278</v>
      </c>
      <c r="U546" s="398">
        <v>8050</v>
      </c>
      <c r="V546" s="398">
        <v>1086</v>
      </c>
      <c r="W546" s="398">
        <v>23</v>
      </c>
      <c r="X546" s="379">
        <v>85</v>
      </c>
    </row>
    <row r="547">
      <c r="A547" s="394"/>
      <c r="B547" s="395" t="s">
        <v>224</v>
      </c>
      <c r="C547" s="364" t="s">
        <v>229</v>
      </c>
      <c r="D547" s="364">
        <f t="shared" si="268"/>
      </c>
      <c r="E547" s="364">
        <v>2650.77</v>
      </c>
      <c r="F547" s="364">
        <v>1237.05</v>
      </c>
      <c r="G547" s="396">
        <v>19</v>
      </c>
      <c r="H547" s="364">
        <v>10851.72</v>
      </c>
      <c r="I547" s="373">
        <f t="shared" si="307"/>
      </c>
      <c r="J547" s="373">
        <f t="shared" si="0"/>
      </c>
      <c r="K547" s="373">
        <f t="shared" si="309"/>
      </c>
      <c r="L547" s="374">
        <f t="shared" si="2"/>
      </c>
      <c r="M547" s="375">
        <f t="shared" si="68"/>
      </c>
      <c r="N547" s="376">
        <f t="shared" si="66"/>
      </c>
      <c r="O547" s="375">
        <f t="shared" si="34"/>
      </c>
      <c r="P547" s="377" t="s">
        <v>255</v>
      </c>
      <c r="Q547" s="378" t="s">
        <v>261</v>
      </c>
      <c r="R547" s="379">
        <v>81697</v>
      </c>
      <c r="S547" s="398">
        <v>4699</v>
      </c>
      <c r="T547" s="398">
        <v>289</v>
      </c>
      <c r="U547" s="398">
        <v>9227</v>
      </c>
      <c r="V547" s="398">
        <v>1547</v>
      </c>
      <c r="W547" s="398">
        <v>38</v>
      </c>
      <c r="X547" s="379">
        <v>68</v>
      </c>
    </row>
    <row r="548">
      <c r="A548" s="394"/>
      <c r="B548" s="395" t="s">
        <v>224</v>
      </c>
      <c r="C548" s="364" t="s">
        <v>230</v>
      </c>
      <c r="D548" s="364">
        <f t="shared" si="268"/>
      </c>
      <c r="E548" s="364">
        <v>5097.9</v>
      </c>
      <c r="F548" s="400">
        <v>1835.8</v>
      </c>
      <c r="G548" s="396">
        <v>21</v>
      </c>
      <c r="H548" s="364">
        <v>10831.009999999998</v>
      </c>
      <c r="I548" s="373">
        <f t="shared" si="307"/>
      </c>
      <c r="J548" s="373">
        <f t="shared" si="0"/>
      </c>
      <c r="K548" s="373">
        <f t="shared" si="309"/>
      </c>
      <c r="L548" s="374">
        <f t="shared" si="2"/>
      </c>
      <c r="M548" s="375">
        <f t="shared" si="68"/>
      </c>
      <c r="N548" s="376">
        <f t="shared" si="66"/>
      </c>
      <c r="O548" s="375">
        <f t="shared" si="34"/>
      </c>
      <c r="P548" s="377" t="s">
        <v>255</v>
      </c>
      <c r="Q548" s="378" t="s">
        <v>261</v>
      </c>
      <c r="R548" s="379">
        <v>134003</v>
      </c>
      <c r="S548" s="379">
        <v>7503</v>
      </c>
      <c r="T548" s="379">
        <v>463</v>
      </c>
      <c r="U548" s="379">
        <v>15085</v>
      </c>
      <c r="V548" s="379">
        <v>2345</v>
      </c>
      <c r="W548" s="379">
        <v>34</v>
      </c>
      <c r="X548" s="379">
        <v>114</v>
      </c>
      <c r="Y548" s="401"/>
    </row>
    <row r="549">
      <c r="A549" s="394"/>
      <c r="B549" s="371" t="s">
        <v>224</v>
      </c>
      <c r="C549" s="364" t="s">
        <v>231</v>
      </c>
      <c r="D549" s="364">
        <f t="shared" si="268"/>
      </c>
      <c r="E549" s="364">
        <v>3167.83</v>
      </c>
      <c r="F549" s="364">
        <v>2391.89</v>
      </c>
      <c r="G549" s="396">
        <v>22</v>
      </c>
      <c r="H549" s="364">
        <v>8656.190000000002</v>
      </c>
      <c r="I549" s="373">
        <f t="shared" si="307"/>
      </c>
      <c r="J549" s="373">
        <f t="shared" si="0"/>
      </c>
      <c r="K549" s="373">
        <f t="shared" si="309"/>
      </c>
      <c r="L549" s="374">
        <f t="shared" si="2"/>
      </c>
      <c r="M549" s="375">
        <f t="shared" si="68"/>
      </c>
      <c r="N549" s="376">
        <f t="shared" si="66"/>
      </c>
      <c r="O549" s="375">
        <f t="shared" si="34"/>
      </c>
      <c r="P549" s="377" t="s">
        <v>255</v>
      </c>
      <c r="Q549" s="378" t="s">
        <v>261</v>
      </c>
      <c r="R549" s="379">
        <v>147247</v>
      </c>
      <c r="S549" s="379">
        <v>4971</v>
      </c>
      <c r="T549" s="379">
        <v>416</v>
      </c>
      <c r="U549" s="379">
        <v>9875</v>
      </c>
      <c r="V549" s="379">
        <v>1478</v>
      </c>
      <c r="W549" s="379">
        <v>31</v>
      </c>
      <c r="X549" s="379">
        <v>98</v>
      </c>
      <c r="Y549" s="402"/>
    </row>
    <row r="550">
      <c r="A550" s="394"/>
      <c r="B550" s="403" t="s">
        <v>232</v>
      </c>
      <c r="C550" s="403"/>
      <c r="D550" s="404">
        <f>SUM(D546:D549)</f>
      </c>
      <c r="E550" s="404">
        <f>SUM(E546:E549)</f>
      </c>
      <c r="F550" s="404">
        <f>SUM(F546:F549)</f>
      </c>
      <c r="G550" s="405">
        <f>SUM(G546:G549)</f>
      </c>
      <c r="H550" s="404">
        <f>SUM(H546:H549)</f>
      </c>
      <c r="I550" s="406">
        <f t="shared" si="307"/>
      </c>
      <c r="J550" s="407">
        <f t="shared" si="0"/>
      </c>
      <c r="K550" s="408">
        <f t="shared" si="309"/>
      </c>
      <c r="L550" s="409">
        <f t="shared" si="2"/>
      </c>
      <c r="M550" s="409">
        <f t="shared" si="68"/>
      </c>
      <c r="N550" s="410">
        <f t="shared" si="66"/>
      </c>
      <c r="O550" s="409">
        <f t="shared" si="34"/>
      </c>
      <c r="P550" s="410"/>
      <c r="Q550" s="410"/>
      <c r="R550" s="405">
        <f>SUM(R546:R549)</f>
      </c>
      <c r="S550" s="405">
        <f>SUM(S546:S549)</f>
      </c>
      <c r="T550" s="405">
        <f>SUM(T546:T549)</f>
      </c>
      <c r="U550" s="405">
        <f>SUM(U546:U549)</f>
      </c>
      <c r="V550" s="405">
        <f>SUM(V546:V549)</f>
      </c>
      <c r="W550" s="405">
        <f>SUM(W546:W549)</f>
      </c>
      <c r="X550" s="405">
        <f>SUM(X546:X549)</f>
      </c>
      <c r="Y550" s="402"/>
    </row>
    <row r="551">
      <c r="A551" s="394"/>
      <c r="B551" s="371" t="s">
        <v>260</v>
      </c>
      <c r="C551" s="364" t="s">
        <v>234</v>
      </c>
      <c r="D551" s="364">
        <f t="shared" ref="D551:D554" si="269">E551+F551</f>
      </c>
      <c r="E551" s="364">
        <v>5297.37</v>
      </c>
      <c r="F551" s="364">
        <v>1049.11</v>
      </c>
      <c r="G551" s="396">
        <v>26</v>
      </c>
      <c r="H551" s="364">
        <v>12720.510000000002</v>
      </c>
      <c r="I551" s="373">
        <f t="shared" si="307"/>
      </c>
      <c r="J551" s="373">
        <f t="shared" si="0"/>
      </c>
      <c r="K551" s="373">
        <f t="shared" si="309"/>
      </c>
      <c r="L551" s="374">
        <f t="shared" si="2"/>
      </c>
      <c r="M551" s="375">
        <f t="shared" si="68"/>
      </c>
      <c r="N551" s="376">
        <f t="shared" si="66"/>
      </c>
      <c r="O551" s="375">
        <f t="shared" si="34"/>
      </c>
      <c r="P551" s="377" t="s">
        <v>255</v>
      </c>
      <c r="Q551" s="378" t="s">
        <v>261</v>
      </c>
      <c r="R551" s="411">
        <v>128239</v>
      </c>
      <c r="S551" s="411">
        <v>7529</v>
      </c>
      <c r="T551" s="411">
        <v>423</v>
      </c>
      <c r="U551" s="411">
        <v>16053</v>
      </c>
      <c r="V551" s="411">
        <v>2290</v>
      </c>
      <c r="W551" s="411">
        <v>40</v>
      </c>
      <c r="X551" s="411">
        <v>75</v>
      </c>
    </row>
    <row r="552">
      <c r="A552" s="394"/>
      <c r="B552" s="371" t="s">
        <v>260</v>
      </c>
      <c r="C552" s="364" t="s">
        <v>235</v>
      </c>
      <c r="D552" s="364">
        <f t="shared" si="269"/>
      </c>
      <c r="E552" s="364">
        <v>1762.84</v>
      </c>
      <c r="F552" s="364">
        <v>812.28</v>
      </c>
      <c r="G552" s="396">
        <v>7</v>
      </c>
      <c r="H552" s="364">
        <v>6138.360000000001</v>
      </c>
      <c r="I552" s="373">
        <f t="shared" si="307"/>
      </c>
      <c r="J552" s="373">
        <f t="shared" si="0"/>
      </c>
      <c r="K552" s="373">
        <f t="shared" si="309"/>
      </c>
      <c r="L552" s="374">
        <f t="shared" si="2"/>
      </c>
      <c r="M552" s="375">
        <f t="shared" si="68"/>
      </c>
      <c r="N552" s="376">
        <f t="shared" si="66"/>
      </c>
      <c r="O552" s="375">
        <f t="shared" si="34"/>
      </c>
      <c r="P552" s="377" t="s">
        <v>255</v>
      </c>
      <c r="Q552" s="378" t="s">
        <v>261</v>
      </c>
      <c r="R552" s="411">
        <v>43271</v>
      </c>
      <c r="S552" s="411">
        <v>3298</v>
      </c>
      <c r="T552" s="411">
        <v>180</v>
      </c>
      <c r="U552" s="411">
        <v>7196</v>
      </c>
      <c r="V552" s="411">
        <v>985</v>
      </c>
      <c r="W552" s="411">
        <v>11</v>
      </c>
      <c r="X552" s="411">
        <v>48</v>
      </c>
    </row>
    <row r="553">
      <c r="A553" s="394"/>
      <c r="B553" s="371" t="s">
        <v>260</v>
      </c>
      <c r="C553" s="364" t="s">
        <v>236</v>
      </c>
      <c r="D553" s="364">
        <f t="shared" si="269"/>
      </c>
      <c r="E553" s="364">
        <v>1576.92</v>
      </c>
      <c r="F553" s="364">
        <v>1011.56</v>
      </c>
      <c r="G553" s="396">
        <v>10</v>
      </c>
      <c r="H553" s="364">
        <v>5350.32</v>
      </c>
      <c r="I553" s="373">
        <f t="shared" si="307"/>
      </c>
      <c r="J553" s="373">
        <f t="shared" si="0"/>
      </c>
      <c r="K553" s="373">
        <f t="shared" si="309"/>
      </c>
      <c r="L553" s="374">
        <f t="shared" si="2"/>
      </c>
      <c r="M553" s="375">
        <f t="shared" si="68"/>
      </c>
      <c r="N553" s="376">
        <f t="shared" si="66"/>
      </c>
      <c r="O553" s="375">
        <f t="shared" si="34"/>
      </c>
      <c r="P553" s="377" t="s">
        <v>255</v>
      </c>
      <c r="Q553" s="378" t="s">
        <v>261</v>
      </c>
      <c r="R553" s="411">
        <v>51458</v>
      </c>
      <c r="S553" s="411">
        <v>416</v>
      </c>
      <c r="T553" s="411">
        <v>132</v>
      </c>
      <c r="U553" s="411">
        <v>440</v>
      </c>
      <c r="V553" s="411">
        <v>82</v>
      </c>
      <c r="W553" s="411">
        <v>18</v>
      </c>
      <c r="X553" s="411">
        <v>54</v>
      </c>
    </row>
    <row r="554">
      <c r="A554" s="394"/>
      <c r="B554" s="371" t="s">
        <v>260</v>
      </c>
      <c r="C554" s="364" t="s">
        <v>237</v>
      </c>
      <c r="D554" s="364">
        <f t="shared" si="269"/>
      </c>
      <c r="E554" s="364">
        <v>1132.86</v>
      </c>
      <c r="F554" s="364">
        <v>412.32</v>
      </c>
      <c r="G554" s="396">
        <v>6</v>
      </c>
      <c r="H554" s="364">
        <v>4476</v>
      </c>
      <c r="I554" s="373">
        <f t="shared" si="307"/>
      </c>
      <c r="J554" s="373">
        <f t="shared" si="0"/>
      </c>
      <c r="K554" s="373">
        <f t="shared" si="309"/>
      </c>
      <c r="L554" s="374">
        <f t="shared" si="2"/>
      </c>
      <c r="M554" s="375">
        <f t="shared" si="68"/>
      </c>
      <c r="N554" s="376">
        <f t="shared" si="66"/>
      </c>
      <c r="O554" s="375">
        <f t="shared" si="34"/>
      </c>
      <c r="P554" s="377" t="s">
        <v>255</v>
      </c>
      <c r="Q554" s="378" t="s">
        <v>261</v>
      </c>
      <c r="R554" s="411">
        <v>35690</v>
      </c>
      <c r="S554" s="411">
        <v>5481</v>
      </c>
      <c r="T554" s="411">
        <v>227</v>
      </c>
      <c r="U554" s="411">
        <v>11522</v>
      </c>
      <c r="V554" s="411">
        <v>1550</v>
      </c>
      <c r="W554" s="411">
        <v>10</v>
      </c>
      <c r="X554" s="411">
        <v>34</v>
      </c>
    </row>
    <row r="555">
      <c r="A555" s="394"/>
      <c r="B555" s="403" t="s">
        <v>232</v>
      </c>
      <c r="C555" s="403"/>
      <c r="D555" s="404">
        <f>SUM(D551:D554)</f>
      </c>
      <c r="E555" s="404">
        <f>SUM(E551:E554)</f>
      </c>
      <c r="F555" s="404">
        <f>SUM(F551:F554)</f>
      </c>
      <c r="G555" s="405">
        <f>SUM(G551:G554)</f>
      </c>
      <c r="H555" s="404">
        <f>SUM(H551:H554)</f>
      </c>
      <c r="I555" s="406">
        <f t="shared" si="307"/>
      </c>
      <c r="J555" s="407">
        <f t="shared" si="0"/>
      </c>
      <c r="K555" s="408">
        <f t="shared" si="309"/>
      </c>
      <c r="L555" s="409">
        <f t="shared" si="2"/>
      </c>
      <c r="M555" s="409">
        <f t="shared" si="68"/>
      </c>
      <c r="N555" s="410">
        <f t="shared" si="66"/>
      </c>
      <c r="O555" s="409">
        <f t="shared" si="34"/>
      </c>
      <c r="P555" s="410"/>
      <c r="Q555" s="410"/>
      <c r="R555" s="405">
        <f>SUM(R551:R554)</f>
      </c>
      <c r="S555" s="405">
        <f>SUM(S551:S554)</f>
      </c>
      <c r="T555" s="405">
        <f>SUM(T551:T554)</f>
      </c>
      <c r="U555" s="405">
        <f>SUM(U551:U554)</f>
      </c>
      <c r="V555" s="405">
        <f>SUM(V551:V554)</f>
      </c>
      <c r="W555" s="405">
        <f>SUM(W551:W554)</f>
      </c>
      <c r="X555" s="405">
        <f>SUM(X551:X554)</f>
      </c>
    </row>
    <row r="556">
      <c r="A556" s="394"/>
      <c r="B556" s="371" t="s">
        <v>257</v>
      </c>
      <c r="C556" s="364" t="s">
        <v>239</v>
      </c>
      <c r="D556" s="364">
        <f t="shared" ref="D556:D559" si="270">E556+F556</f>
      </c>
      <c r="E556" s="364">
        <v>2421.1</v>
      </c>
      <c r="F556" s="364">
        <v>1819.76</v>
      </c>
      <c r="G556" s="396">
        <v>17</v>
      </c>
      <c r="H556" s="364">
        <v>12537.36</v>
      </c>
      <c r="I556" s="373">
        <f t="shared" si="307"/>
      </c>
      <c r="J556" s="373">
        <f t="shared" si="0"/>
      </c>
      <c r="K556" s="373">
        <f t="shared" si="309"/>
      </c>
      <c r="L556" s="374">
        <f t="shared" si="2"/>
      </c>
      <c r="M556" s="375">
        <f t="shared" si="68"/>
      </c>
      <c r="N556" s="376">
        <f t="shared" si="66"/>
      </c>
      <c r="O556" s="375">
        <f t="shared" si="34"/>
      </c>
      <c r="P556" s="377" t="s">
        <v>258</v>
      </c>
      <c r="Q556" s="378" t="s">
        <v>261</v>
      </c>
      <c r="R556" s="411">
        <v>59797</v>
      </c>
      <c r="S556" s="411">
        <v>5353</v>
      </c>
      <c r="T556" s="411">
        <v>323</v>
      </c>
      <c r="U556" s="411">
        <v>9773</v>
      </c>
      <c r="V556" s="411">
        <v>1029</v>
      </c>
      <c r="W556" s="411">
        <v>37</v>
      </c>
      <c r="X556" s="411">
        <v>54</v>
      </c>
    </row>
    <row r="557">
      <c r="A557" s="394"/>
      <c r="B557" s="371" t="s">
        <v>257</v>
      </c>
      <c r="C557" s="364" t="s">
        <v>241</v>
      </c>
      <c r="D557" s="364">
        <f t="shared" si="270"/>
      </c>
      <c r="E557" s="364">
        <v>1218.71</v>
      </c>
      <c r="F557" s="364">
        <v>6159.56</v>
      </c>
      <c r="G557" s="396">
        <v>32</v>
      </c>
      <c r="H557" s="364">
        <v>17301.86</v>
      </c>
      <c r="I557" s="373">
        <f t="shared" si="307"/>
      </c>
      <c r="J557" s="373">
        <f t="shared" si="0"/>
      </c>
      <c r="K557" s="373">
        <f t="shared" si="309"/>
      </c>
      <c r="L557" s="374">
        <f t="shared" si="2"/>
      </c>
      <c r="M557" s="375">
        <f t="shared" si="68"/>
      </c>
      <c r="N557" s="376">
        <f t="shared" si="66"/>
      </c>
      <c r="O557" s="375">
        <f t="shared" si="34"/>
      </c>
      <c r="P557" s="377" t="s">
        <v>258</v>
      </c>
      <c r="Q557" s="412" t="s">
        <v>227</v>
      </c>
      <c r="R557" s="411">
        <v>219735</v>
      </c>
      <c r="S557" s="411">
        <v>2613</v>
      </c>
      <c r="T557" s="411">
        <v>421</v>
      </c>
      <c r="U557" s="411">
        <v>4371</v>
      </c>
      <c r="V557" s="411">
        <v>582</v>
      </c>
      <c r="W557" s="411">
        <v>68</v>
      </c>
      <c r="X557" s="411">
        <v>71</v>
      </c>
    </row>
    <row r="558">
      <c r="A558" s="394"/>
      <c r="B558" s="371" t="s">
        <v>257</v>
      </c>
      <c r="C558" s="364" t="s">
        <v>242</v>
      </c>
      <c r="D558" s="364">
        <f t="shared" si="270"/>
      </c>
      <c r="E558" s="364">
        <v>1299.33</v>
      </c>
      <c r="F558" s="364">
        <v>2918.76</v>
      </c>
      <c r="G558" s="396">
        <v>18</v>
      </c>
      <c r="H558" s="364">
        <v>6184.319999999992</v>
      </c>
      <c r="I558" s="373">
        <f t="shared" si="307"/>
      </c>
      <c r="J558" s="373">
        <f t="shared" si="0"/>
      </c>
      <c r="K558" s="373">
        <f t="shared" si="309"/>
      </c>
      <c r="L558" s="374">
        <f t="shared" si="2"/>
      </c>
      <c r="M558" s="375">
        <f t="shared" si="68"/>
      </c>
      <c r="N558" s="376">
        <f t="shared" si="66"/>
      </c>
      <c r="O558" s="375">
        <f t="shared" si="34"/>
      </c>
      <c r="P558" s="377" t="s">
        <v>258</v>
      </c>
      <c r="Q558" s="412" t="s">
        <v>227</v>
      </c>
      <c r="R558" s="411">
        <v>133617</v>
      </c>
      <c r="S558" s="411">
        <v>2162</v>
      </c>
      <c r="T558" s="411">
        <v>264</v>
      </c>
      <c r="U558" s="411">
        <v>4344</v>
      </c>
      <c r="V558" s="411">
        <v>536</v>
      </c>
      <c r="W558" s="411">
        <v>32</v>
      </c>
      <c r="X558" s="411">
        <v>56</v>
      </c>
    </row>
    <row r="559">
      <c r="A559" s="394"/>
      <c r="B559" s="371" t="s">
        <v>257</v>
      </c>
      <c r="C559" s="364" t="s">
        <v>244</v>
      </c>
      <c r="D559" s="364">
        <f t="shared" si="270"/>
      </c>
      <c r="E559" s="364">
        <v>616.42</v>
      </c>
      <c r="F559" s="364">
        <v>5965.81</v>
      </c>
      <c r="G559" s="396">
        <v>10</v>
      </c>
      <c r="H559" s="364">
        <v>2593.4600000000064</v>
      </c>
      <c r="I559" s="373">
        <f t="shared" si="307"/>
      </c>
      <c r="J559" s="373">
        <f t="shared" si="0"/>
      </c>
      <c r="K559" s="373">
        <f t="shared" si="309"/>
      </c>
      <c r="L559" s="374">
        <f t="shared" si="2"/>
      </c>
      <c r="M559" s="375">
        <f t="shared" si="68"/>
      </c>
      <c r="N559" s="376">
        <f t="shared" si="66"/>
      </c>
      <c r="O559" s="375">
        <f t="shared" si="34"/>
      </c>
      <c r="P559" s="377" t="s">
        <v>258</v>
      </c>
      <c r="Q559" s="412" t="s">
        <v>227</v>
      </c>
      <c r="R559" s="411">
        <v>210303</v>
      </c>
      <c r="S559" s="411">
        <v>2111</v>
      </c>
      <c r="T559" s="411">
        <v>306</v>
      </c>
      <c r="U559" s="411">
        <v>3160</v>
      </c>
      <c r="V559" s="411">
        <v>383</v>
      </c>
      <c r="W559" s="411">
        <v>19</v>
      </c>
      <c r="X559" s="411">
        <v>48</v>
      </c>
    </row>
    <row r="560">
      <c r="A560" s="394"/>
      <c r="B560" s="403" t="s">
        <v>232</v>
      </c>
      <c r="C560" s="403"/>
      <c r="D560" s="404">
        <f>SUM(D556:D559)</f>
      </c>
      <c r="E560" s="404">
        <f>SUM(E556:E559)</f>
      </c>
      <c r="F560" s="404">
        <f>SUM(F556:F559)</f>
      </c>
      <c r="G560" s="405">
        <f>SUM(G556:G559)</f>
      </c>
      <c r="H560" s="404">
        <f>SUM(H556:H559)</f>
      </c>
      <c r="I560" s="406">
        <f t="shared" si="307"/>
      </c>
      <c r="J560" s="407">
        <f t="shared" si="0"/>
      </c>
      <c r="K560" s="408">
        <f t="shared" si="309"/>
      </c>
      <c r="L560" s="409">
        <f t="shared" si="2"/>
      </c>
      <c r="M560" s="409">
        <f t="shared" si="68"/>
      </c>
      <c r="N560" s="410">
        <f t="shared" si="66"/>
      </c>
      <c r="O560" s="409">
        <f t="shared" si="34"/>
      </c>
      <c r="P560" s="410"/>
      <c r="Q560" s="410"/>
      <c r="R560" s="405">
        <f>SUM(R556:R559)</f>
      </c>
      <c r="S560" s="405">
        <f>SUM(S556:S559)</f>
      </c>
      <c r="T560" s="405">
        <f>SUM(T556:T559)</f>
      </c>
      <c r="U560" s="405">
        <f>SUM(U556:U559)</f>
      </c>
      <c r="V560" s="405">
        <f>SUM(V556:V559)</f>
      </c>
      <c r="W560" s="405">
        <f>SUM(W556:W559)</f>
      </c>
      <c r="X560" s="405">
        <f>SUM(X556:X559)</f>
      </c>
    </row>
    <row r="561">
      <c r="A561" s="394"/>
      <c r="B561" s="371" t="s">
        <v>248</v>
      </c>
      <c r="C561" s="364" t="s">
        <v>245</v>
      </c>
      <c r="D561" s="364">
        <f t="shared" ref="D561:D565" si="271">E561+F561</f>
      </c>
      <c r="E561" s="364">
        <v>2909.33</v>
      </c>
      <c r="F561" s="364">
        <v>464.7</v>
      </c>
      <c r="G561" s="396">
        <v>10</v>
      </c>
      <c r="H561" s="364">
        <v>5996.190000000002</v>
      </c>
      <c r="I561" s="373">
        <f t="shared" si="307"/>
      </c>
      <c r="J561" s="373">
        <f t="shared" si="0"/>
      </c>
      <c r="K561" s="373">
        <f t="shared" si="309"/>
      </c>
      <c r="L561" s="374">
        <f t="shared" si="2"/>
      </c>
      <c r="M561" s="375">
        <f t="shared" si="68"/>
      </c>
      <c r="N561" s="376">
        <f t="shared" si="66"/>
      </c>
      <c r="O561" s="375">
        <f t="shared" si="34"/>
      </c>
      <c r="P561" s="377" t="s">
        <v>258</v>
      </c>
      <c r="Q561" s="412" t="s">
        <v>227</v>
      </c>
      <c r="R561" s="411">
        <v>64291</v>
      </c>
      <c r="S561" s="411">
        <v>3808</v>
      </c>
      <c r="T561" s="411">
        <v>231</v>
      </c>
      <c r="U561" s="411">
        <v>7593</v>
      </c>
      <c r="V561" s="411">
        <v>874</v>
      </c>
      <c r="W561" s="411">
        <v>21</v>
      </c>
      <c r="X561" s="411">
        <v>52</v>
      </c>
    </row>
    <row r="562">
      <c r="A562" s="394"/>
      <c r="B562" s="371" t="s">
        <v>248</v>
      </c>
      <c r="C562" s="364" t="s">
        <v>250</v>
      </c>
      <c r="D562" s="364">
        <f t="shared" si="271"/>
      </c>
      <c r="E562" s="364">
        <v>2806.48</v>
      </c>
      <c r="F562" s="364">
        <v>1191.61</v>
      </c>
      <c r="G562" s="396">
        <v>14</v>
      </c>
      <c r="H562" s="364">
        <v>5299.8399999999965</v>
      </c>
      <c r="I562" s="373">
        <f t="shared" si="307"/>
      </c>
      <c r="J562" s="373">
        <f t="shared" si="0"/>
      </c>
      <c r="K562" s="373">
        <f t="shared" si="309"/>
      </c>
      <c r="L562" s="374">
        <f t="shared" si="2"/>
      </c>
      <c r="M562" s="375">
        <f t="shared" si="68"/>
      </c>
      <c r="N562" s="376">
        <f t="shared" si="66"/>
      </c>
      <c r="O562" s="375">
        <f t="shared" si="34"/>
      </c>
      <c r="P562" s="377" t="s">
        <v>258</v>
      </c>
      <c r="Q562" s="412" t="s">
        <v>227</v>
      </c>
      <c r="R562" s="413">
        <v>84873</v>
      </c>
      <c r="S562" s="413">
        <v>4884</v>
      </c>
      <c r="T562" s="413">
        <v>321</v>
      </c>
      <c r="U562" s="413">
        <v>9487</v>
      </c>
      <c r="V562" s="413">
        <v>1054</v>
      </c>
      <c r="W562" s="411">
        <v>29</v>
      </c>
      <c r="X562" s="411">
        <v>68</v>
      </c>
    </row>
    <row r="563">
      <c r="A563" s="394"/>
      <c r="B563" s="371" t="s">
        <v>248</v>
      </c>
      <c r="C563" s="364" t="s">
        <v>264</v>
      </c>
      <c r="D563" s="364">
        <f t="shared" si="271"/>
      </c>
      <c r="E563" s="364">
        <v>3645.34</v>
      </c>
      <c r="F563" s="364">
        <v>579.94</v>
      </c>
      <c r="G563" s="396">
        <v>12</v>
      </c>
      <c r="H563" s="364">
        <v>9345.690000000002</v>
      </c>
      <c r="I563" s="373">
        <f t="shared" si="307"/>
      </c>
      <c r="J563" s="373">
        <f t="shared" si="0"/>
      </c>
      <c r="K563" s="373">
        <f t="shared" si="309"/>
      </c>
      <c r="L563" s="374">
        <f t="shared" si="2"/>
      </c>
      <c r="M563" s="375">
        <f t="shared" si="68"/>
      </c>
      <c r="N563" s="376">
        <f t="shared" si="66"/>
      </c>
      <c r="O563" s="375">
        <f t="shared" si="34"/>
      </c>
      <c r="P563" s="377" t="s">
        <v>258</v>
      </c>
      <c r="Q563" s="412" t="s">
        <v>227</v>
      </c>
      <c r="R563" s="413">
        <v>71128</v>
      </c>
      <c r="S563" s="413">
        <v>5759</v>
      </c>
      <c r="T563" s="413">
        <v>348</v>
      </c>
      <c r="U563" s="413">
        <v>10869</v>
      </c>
      <c r="V563" s="413">
        <v>1202</v>
      </c>
      <c r="W563" s="411">
        <v>12</v>
      </c>
      <c r="X563" s="411">
        <v>82</v>
      </c>
    </row>
    <row r="564">
      <c r="A564" s="394"/>
      <c r="B564" s="371" t="s">
        <v>248</v>
      </c>
      <c r="C564" s="364" t="s">
        <v>266</v>
      </c>
      <c r="D564" s="364">
        <f t="shared" si="271"/>
      </c>
      <c r="E564" s="364">
        <v>2682.99</v>
      </c>
      <c r="F564" s="364">
        <v>470.37</v>
      </c>
      <c r="G564" s="396">
        <v>10</v>
      </c>
      <c r="H564" s="364">
        <v>3891.3899999999994</v>
      </c>
      <c r="I564" s="373">
        <f t="shared" si="307"/>
      </c>
      <c r="J564" s="373">
        <f t="shared" si="0"/>
      </c>
      <c r="K564" s="373">
        <f t="shared" si="309"/>
      </c>
      <c r="L564" s="374">
        <f t="shared" si="2"/>
      </c>
      <c r="M564" s="375">
        <f t="shared" si="68"/>
      </c>
      <c r="N564" s="376">
        <f t="shared" si="66"/>
      </c>
      <c r="O564" s="375">
        <f t="shared" si="34"/>
      </c>
      <c r="P564" s="377" t="s">
        <v>258</v>
      </c>
      <c r="Q564" s="412" t="s">
        <v>227</v>
      </c>
      <c r="R564" s="413">
        <v>50834</v>
      </c>
      <c r="S564" s="413">
        <v>4886</v>
      </c>
      <c r="T564" s="413">
        <v>270</v>
      </c>
      <c r="U564" s="413">
        <v>9535</v>
      </c>
      <c r="V564" s="413">
        <v>1022</v>
      </c>
      <c r="W564" s="411">
        <v>37</v>
      </c>
      <c r="X564" s="411">
        <v>69</v>
      </c>
    </row>
    <row r="565">
      <c r="A565" s="394"/>
      <c r="B565" s="371" t="s">
        <v>248</v>
      </c>
      <c r="C565" s="364" t="s">
        <v>267</v>
      </c>
      <c r="D565" s="364">
        <f t="shared" si="271"/>
      </c>
      <c r="E565" s="364">
        <v>851.89</v>
      </c>
      <c r="F565" s="364">
        <v>714.63</v>
      </c>
      <c r="G565" s="396">
        <v>12</v>
      </c>
      <c r="H565" s="364">
        <v>6537.169999999984</v>
      </c>
      <c r="I565" s="373">
        <f t="shared" si="307"/>
      </c>
      <c r="J565" s="373">
        <f t="shared" si="0"/>
      </c>
      <c r="K565" s="373">
        <f t="shared" si="309"/>
      </c>
      <c r="L565" s="374">
        <f t="shared" si="2"/>
      </c>
      <c r="M565" s="375">
        <f t="shared" si="68"/>
      </c>
      <c r="N565" s="376">
        <f t="shared" si="66"/>
      </c>
      <c r="O565" s="375">
        <f t="shared" si="34"/>
      </c>
      <c r="P565" s="377" t="s">
        <v>258</v>
      </c>
      <c r="Q565" s="412" t="s">
        <v>227</v>
      </c>
      <c r="R565" s="413">
        <v>31894</v>
      </c>
      <c r="S565" s="413">
        <v>1909</v>
      </c>
      <c r="T565" s="413">
        <v>155</v>
      </c>
      <c r="U565" s="413">
        <v>3477</v>
      </c>
      <c r="V565" s="413">
        <v>405</v>
      </c>
      <c r="W565" s="411">
        <v>20</v>
      </c>
      <c r="X565" s="411">
        <v>32</v>
      </c>
    </row>
    <row r="566">
      <c r="A566" s="394"/>
      <c r="B566" s="403" t="s">
        <v>232</v>
      </c>
      <c r="C566" s="403"/>
      <c r="D566" s="404">
        <f>SUM(D561:D565)</f>
      </c>
      <c r="E566" s="404">
        <f>SUM(E561:E565)</f>
      </c>
      <c r="F566" s="404">
        <f>SUM(F561:F565)</f>
      </c>
      <c r="G566" s="404">
        <f>SUM(G561:G565)</f>
      </c>
      <c r="H566" s="404">
        <f>SUM(H561:H565)</f>
      </c>
      <c r="I566" s="406">
        <f t="shared" si="307"/>
      </c>
      <c r="J566" s="407">
        <f t="shared" si="0"/>
      </c>
      <c r="K566" s="408">
        <f t="shared" si="309"/>
      </c>
      <c r="L566" s="409">
        <f t="shared" si="2"/>
      </c>
      <c r="M566" s="409">
        <f t="shared" si="68"/>
      </c>
      <c r="N566" s="410">
        <f t="shared" si="66"/>
      </c>
      <c r="O566" s="409">
        <f t="shared" si="34"/>
      </c>
      <c r="P566" s="410"/>
      <c r="Q566" s="414"/>
      <c r="R566" s="404">
        <f>SUM(R561:R565)</f>
      </c>
      <c r="S566" s="404">
        <f>SUM(S561:S565)</f>
      </c>
      <c r="T566" s="404">
        <f>SUM(T561:T565)</f>
      </c>
      <c r="U566" s="404">
        <f>SUM(U561:U565)</f>
      </c>
      <c r="V566" s="404">
        <f>SUM(V561:V565)</f>
      </c>
      <c r="W566" s="404">
        <f>SUM(W561:W565)</f>
      </c>
      <c r="X566" s="404">
        <f>SUM(X561:X565)</f>
      </c>
    </row>
    <row r="567">
      <c r="A567" s="394"/>
      <c r="B567" s="415" t="s">
        <v>246</v>
      </c>
      <c r="C567" s="415"/>
      <c r="D567" s="416">
        <f>D566+D560+D555+D550</f>
      </c>
      <c r="E567" s="416">
        <f>E566+E560+E555+E550</f>
      </c>
      <c r="F567" s="416">
        <f>F566+F560+F555+F550</f>
      </c>
      <c r="G567" s="417">
        <f>G566+G560+G555+G550</f>
      </c>
      <c r="H567" s="416">
        <f>H566+H560+H555+H550</f>
      </c>
      <c r="I567" s="418">
        <f t="shared" si="307"/>
      </c>
      <c r="J567" s="418">
        <f t="shared" si="0"/>
      </c>
      <c r="K567" s="418">
        <f t="shared" si="309"/>
      </c>
      <c r="L567" s="419">
        <f t="shared" si="2"/>
      </c>
      <c r="M567" s="419">
        <f t="shared" si="68"/>
      </c>
      <c r="N567" s="418">
        <f t="shared" si="66"/>
      </c>
      <c r="O567" s="419">
        <f t="shared" si="34"/>
      </c>
      <c r="P567" s="420"/>
      <c r="Q567" s="421"/>
      <c r="R567" s="422">
        <f>R566+R560+R555+R550</f>
      </c>
      <c r="S567" s="422">
        <f>S566+S560+S555+S550</f>
      </c>
      <c r="T567" s="422">
        <f>T566+T560+T555+T550</f>
      </c>
      <c r="U567" s="422">
        <f>U566+U560+U555+U550</f>
      </c>
      <c r="V567" s="422">
        <f>V566+V560+V555+V550</f>
      </c>
      <c r="W567" s="423">
        <f>W566+W560+W555+W550</f>
      </c>
      <c r="X567" s="417">
        <f>X566+X560+X555+X550</f>
      </c>
    </row>
    <row r="568">
      <c r="A568" s="382" t="s">
        <v>195</v>
      </c>
      <c r="B568" s="382"/>
      <c r="C568" s="382"/>
      <c r="D568" s="383" t="s">
        <v>196</v>
      </c>
      <c r="E568" s="383"/>
      <c r="F568" s="383"/>
      <c r="G568" s="383"/>
      <c r="H568" s="383"/>
      <c r="I568" s="383"/>
      <c r="J568" s="383"/>
      <c r="K568" s="383"/>
      <c r="L568" s="384" t="s">
        <v>197</v>
      </c>
      <c r="M568" s="384"/>
      <c r="N568" s="384"/>
      <c r="O568" s="384"/>
      <c r="P568" s="384"/>
      <c r="Q568" s="384"/>
      <c r="R568" s="385" t="s">
        <v>198</v>
      </c>
      <c r="S568" s="385"/>
      <c r="T568" s="385"/>
      <c r="U568" s="385"/>
      <c r="V568" s="385"/>
      <c r="W568" s="385"/>
      <c r="X568" s="385"/>
    </row>
    <row r="569">
      <c r="A569" s="386" t="s">
        <v>199</v>
      </c>
      <c r="B569" s="382" t="s">
        <v>200</v>
      </c>
      <c r="C569" s="382" t="s">
        <v>201</v>
      </c>
      <c r="D569" s="383" t="s">
        <v>202</v>
      </c>
      <c r="E569" s="387" t="s">
        <v>203</v>
      </c>
      <c r="F569" s="383" t="s">
        <v>204</v>
      </c>
      <c r="G569" s="388" t="s">
        <v>205</v>
      </c>
      <c r="H569" s="383" t="s">
        <v>206</v>
      </c>
      <c r="I569" s="389" t="s">
        <v>207</v>
      </c>
      <c r="J569" s="390" t="s">
        <v>208</v>
      </c>
      <c r="K569" s="383" t="s">
        <v>209</v>
      </c>
      <c r="L569" s="384" t="s">
        <v>210</v>
      </c>
      <c r="M569" s="384" t="s">
        <v>211</v>
      </c>
      <c r="N569" s="384" t="s">
        <v>212</v>
      </c>
      <c r="O569" s="384" t="s">
        <v>213</v>
      </c>
      <c r="P569" s="391" t="s">
        <v>214</v>
      </c>
      <c r="Q569" s="391" t="s">
        <v>215</v>
      </c>
      <c r="R569" s="392" t="s">
        <v>216</v>
      </c>
      <c r="S569" s="392" t="s">
        <v>217</v>
      </c>
      <c r="T569" s="393" t="s">
        <v>218</v>
      </c>
      <c r="U569" s="393" t="s">
        <v>219</v>
      </c>
      <c r="V569" s="393" t="s">
        <v>220</v>
      </c>
      <c r="W569" s="393" t="s">
        <v>221</v>
      </c>
      <c r="X569" s="393" t="s">
        <v>222</v>
      </c>
    </row>
    <row r="570">
      <c r="A570" s="394" t="s">
        <v>287</v>
      </c>
      <c r="B570" s="371" t="s">
        <v>224</v>
      </c>
      <c r="C570" s="364" t="s">
        <v>228</v>
      </c>
      <c r="D570" s="364">
        <f t="shared" ref="D570:D573" si="272">E570+F570</f>
      </c>
      <c r="E570" s="424">
        <v>1117.99</v>
      </c>
      <c r="F570" s="424">
        <v>2532.43</v>
      </c>
      <c r="G570" s="396">
        <v>10</v>
      </c>
      <c r="H570" s="364">
        <v>2132.04</v>
      </c>
      <c r="I570" s="373">
        <f t="shared" ref="I570:I591" si="308">H570/D570</f>
      </c>
      <c r="J570" s="397">
        <f t="shared" ref="J570:J591" si="1">D570/G570</f>
      </c>
      <c r="K570" s="373">
        <f t="shared" ref="K570:K591" si="310">H570/G570</f>
      </c>
      <c r="L570" s="374">
        <f t="shared" ref="L570:L591" si="3">S570/R570</f>
      </c>
      <c r="M570" s="375">
        <f t="shared" ref="M570:M591" si="69">G570/W570</f>
      </c>
      <c r="N570" s="376">
        <f t="shared" ref="N570:N591" si="67">(X570*1000)/D570</f>
      </c>
      <c r="O570" s="375">
        <f t="shared" ref="O570:O591" si="35">V570/U570</f>
      </c>
      <c r="P570" s="377" t="s">
        <v>255</v>
      </c>
      <c r="Q570" s="378" t="s">
        <v>261</v>
      </c>
      <c r="R570" s="379">
        <v>71368</v>
      </c>
      <c r="S570" s="379">
        <v>2857</v>
      </c>
      <c r="T570" s="425">
        <v>183</v>
      </c>
      <c r="U570" s="379">
        <v>4679</v>
      </c>
      <c r="V570" s="379">
        <v>627</v>
      </c>
      <c r="W570" s="379">
        <v>18</v>
      </c>
      <c r="X570" s="379">
        <v>64</v>
      </c>
    </row>
    <row r="571">
      <c r="A571" s="394"/>
      <c r="B571" s="371" t="s">
        <v>224</v>
      </c>
      <c r="C571" s="364" t="s">
        <v>229</v>
      </c>
      <c r="D571" s="364">
        <f t="shared" si="272"/>
      </c>
      <c r="E571" s="364">
        <v>825.7</v>
      </c>
      <c r="F571" s="364">
        <v>1645.5</v>
      </c>
      <c r="G571" s="396">
        <v>7</v>
      </c>
      <c r="H571" s="364">
        <v>4701.84</v>
      </c>
      <c r="I571" s="373">
        <f t="shared" si="308"/>
      </c>
      <c r="J571" s="373">
        <f t="shared" si="1"/>
      </c>
      <c r="K571" s="373">
        <f t="shared" si="310"/>
      </c>
      <c r="L571" s="374">
        <f t="shared" si="3"/>
      </c>
      <c r="M571" s="375">
        <f t="shared" si="69"/>
      </c>
      <c r="N571" s="376">
        <f t="shared" si="67"/>
      </c>
      <c r="O571" s="375">
        <f t="shared" si="35"/>
      </c>
      <c r="P571" s="377" t="s">
        <v>255</v>
      </c>
      <c r="Q571" s="378" t="s">
        <v>261</v>
      </c>
      <c r="R571" s="379">
        <v>16788</v>
      </c>
      <c r="S571" s="379">
        <v>1092</v>
      </c>
      <c r="T571" s="379">
        <v>82</v>
      </c>
      <c r="U571" s="379">
        <v>2443</v>
      </c>
      <c r="V571" s="379">
        <v>400</v>
      </c>
      <c r="W571" s="379">
        <v>14</v>
      </c>
      <c r="X571" s="379">
        <v>24</v>
      </c>
    </row>
    <row r="572">
      <c r="A572" s="394"/>
      <c r="B572" s="371" t="s">
        <v>224</v>
      </c>
      <c r="C572" s="364" t="s">
        <v>230</v>
      </c>
      <c r="D572" s="364">
        <f t="shared" si="272"/>
      </c>
      <c r="E572" s="364">
        <v>725.84</v>
      </c>
      <c r="F572" s="364">
        <v>593.96</v>
      </c>
      <c r="G572" s="396">
        <v>4</v>
      </c>
      <c r="H572" s="364">
        <v>2741.04</v>
      </c>
      <c r="I572" s="373">
        <f t="shared" si="308"/>
      </c>
      <c r="J572" s="373">
        <f t="shared" si="1"/>
      </c>
      <c r="K572" s="373">
        <f t="shared" si="310"/>
      </c>
      <c r="L572" s="374">
        <f t="shared" si="3"/>
      </c>
      <c r="M572" s="375">
        <f t="shared" si="69"/>
      </c>
      <c r="N572" s="376">
        <f t="shared" si="67"/>
      </c>
      <c r="O572" s="375">
        <f t="shared" si="35"/>
      </c>
      <c r="P572" s="377" t="s">
        <v>255</v>
      </c>
      <c r="Q572" s="378" t="s">
        <v>261</v>
      </c>
      <c r="R572" s="379">
        <v>25114</v>
      </c>
      <c r="S572" s="379">
        <v>1007</v>
      </c>
      <c r="T572" s="379">
        <v>92</v>
      </c>
      <c r="U572" s="379">
        <v>1794</v>
      </c>
      <c r="V572" s="379">
        <v>240</v>
      </c>
      <c r="W572" s="379">
        <v>11</v>
      </c>
      <c r="X572" s="379">
        <v>18</v>
      </c>
    </row>
    <row r="573">
      <c r="A573" s="394"/>
      <c r="B573" s="371" t="s">
        <v>224</v>
      </c>
      <c r="C573" s="364" t="s">
        <v>231</v>
      </c>
      <c r="D573" s="364">
        <f t="shared" si="272"/>
      </c>
      <c r="E573" s="364">
        <v>921.14</v>
      </c>
      <c r="F573" s="364">
        <v>558.17</v>
      </c>
      <c r="G573" s="396">
        <v>4</v>
      </c>
      <c r="H573" s="364">
        <v>811.3400000000001</v>
      </c>
      <c r="I573" s="373">
        <f t="shared" si="308"/>
      </c>
      <c r="J573" s="373">
        <f t="shared" si="1"/>
      </c>
      <c r="K573" s="373">
        <f t="shared" si="310"/>
      </c>
      <c r="L573" s="374">
        <f t="shared" si="3"/>
      </c>
      <c r="M573" s="375">
        <f t="shared" si="69"/>
      </c>
      <c r="N573" s="376">
        <f t="shared" si="67"/>
      </c>
      <c r="O573" s="375">
        <f t="shared" si="35"/>
      </c>
      <c r="P573" s="377" t="s">
        <v>255</v>
      </c>
      <c r="Q573" s="378" t="s">
        <v>261</v>
      </c>
      <c r="R573" s="379">
        <v>27895</v>
      </c>
      <c r="S573" s="379">
        <v>1256</v>
      </c>
      <c r="T573" s="379">
        <v>117</v>
      </c>
      <c r="U573" s="379">
        <v>2307</v>
      </c>
      <c r="V573" s="379">
        <v>353</v>
      </c>
      <c r="W573" s="379">
        <v>10</v>
      </c>
      <c r="X573" s="379">
        <v>19</v>
      </c>
    </row>
    <row r="574">
      <c r="A574" s="394"/>
      <c r="B574" s="403" t="s">
        <v>232</v>
      </c>
      <c r="C574" s="403"/>
      <c r="D574" s="404">
        <f>SUM(D570:D573)</f>
      </c>
      <c r="E574" s="404">
        <f>SUM(E570:E573)</f>
      </c>
      <c r="F574" s="404">
        <f>SUM(F570:F573)</f>
      </c>
      <c r="G574" s="405">
        <f>SUM(G570:G573)</f>
      </c>
      <c r="H574" s="404">
        <f>SUM(H570:H573)</f>
      </c>
      <c r="I574" s="406">
        <f t="shared" si="308"/>
      </c>
      <c r="J574" s="407">
        <f t="shared" si="1"/>
      </c>
      <c r="K574" s="408">
        <f t="shared" si="310"/>
      </c>
      <c r="L574" s="409">
        <f t="shared" si="3"/>
      </c>
      <c r="M574" s="409">
        <f t="shared" si="69"/>
      </c>
      <c r="N574" s="410">
        <f t="shared" si="67"/>
      </c>
      <c r="O574" s="409">
        <f t="shared" si="35"/>
      </c>
      <c r="P574" s="410"/>
      <c r="Q574" s="410"/>
      <c r="R574" s="405">
        <f>SUM(R570:R573)</f>
      </c>
      <c r="S574" s="405">
        <f>SUM(S570:S573)</f>
      </c>
      <c r="T574" s="405">
        <f>SUM(T570:T573)</f>
      </c>
      <c r="U574" s="405">
        <f>SUM(U570:U573)</f>
      </c>
      <c r="V574" s="405">
        <f>SUM(V570:V573)</f>
      </c>
      <c r="W574" s="405">
        <f>SUM(W570:W573)</f>
      </c>
      <c r="X574" s="405">
        <f>SUM(X570:X573)</f>
      </c>
    </row>
    <row r="575">
      <c r="A575" s="394"/>
      <c r="B575" s="371" t="s">
        <v>257</v>
      </c>
      <c r="C575" s="364" t="s">
        <v>234</v>
      </c>
      <c r="D575" s="364">
        <f t="shared" ref="D575:D578" si="273">E575+F575</f>
      </c>
      <c r="E575" s="364">
        <v>890.63</v>
      </c>
      <c r="F575" s="364">
        <v>589.14</v>
      </c>
      <c r="G575" s="396">
        <v>6</v>
      </c>
      <c r="H575" s="364">
        <v>1734.6000000000004</v>
      </c>
      <c r="I575" s="373">
        <f t="shared" si="308"/>
      </c>
      <c r="J575" s="373">
        <f t="shared" si="1"/>
      </c>
      <c r="K575" s="373">
        <f t="shared" si="310"/>
      </c>
      <c r="L575" s="374">
        <f t="shared" si="3"/>
      </c>
      <c r="M575" s="375">
        <f t="shared" si="69"/>
      </c>
      <c r="N575" s="376">
        <f t="shared" si="67"/>
      </c>
      <c r="O575" s="375">
        <f t="shared" si="35"/>
      </c>
      <c r="P575" s="377" t="s">
        <v>255</v>
      </c>
      <c r="Q575" s="378" t="s">
        <v>261</v>
      </c>
      <c r="R575" s="411">
        <v>28825</v>
      </c>
      <c r="S575" s="411">
        <v>1256</v>
      </c>
      <c r="T575" s="411">
        <v>122</v>
      </c>
      <c r="U575" s="411">
        <v>2188</v>
      </c>
      <c r="V575" s="411">
        <v>316</v>
      </c>
      <c r="W575" s="411">
        <v>12</v>
      </c>
      <c r="X575" s="411">
        <v>16</v>
      </c>
    </row>
    <row r="576">
      <c r="A576" s="394"/>
      <c r="B576" s="371" t="s">
        <v>257</v>
      </c>
      <c r="C576" s="364" t="s">
        <v>235</v>
      </c>
      <c r="D576" s="364">
        <f t="shared" si="273"/>
      </c>
      <c r="E576" s="364">
        <v>1078.4</v>
      </c>
      <c r="F576" s="364">
        <v>728.65</v>
      </c>
      <c r="G576" s="396">
        <v>7</v>
      </c>
      <c r="H576" s="364">
        <v>5143.799999999999</v>
      </c>
      <c r="I576" s="373">
        <f t="shared" si="308"/>
      </c>
      <c r="J576" s="373">
        <f t="shared" si="1"/>
      </c>
      <c r="K576" s="373">
        <f t="shared" si="310"/>
      </c>
      <c r="L576" s="374">
        <f t="shared" si="3"/>
      </c>
      <c r="M576" s="375">
        <f t="shared" si="69"/>
      </c>
      <c r="N576" s="376">
        <f t="shared" si="67"/>
      </c>
      <c r="O576" s="375">
        <f t="shared" si="35"/>
      </c>
      <c r="P576" s="377" t="s">
        <v>255</v>
      </c>
      <c r="Q576" s="378" t="s">
        <v>261</v>
      </c>
      <c r="R576" s="411">
        <v>37059</v>
      </c>
      <c r="S576" s="411">
        <v>1583</v>
      </c>
      <c r="T576" s="411">
        <v>147</v>
      </c>
      <c r="U576" s="411">
        <v>2846</v>
      </c>
      <c r="V576" s="411">
        <v>337</v>
      </c>
      <c r="W576" s="411">
        <v>12</v>
      </c>
      <c r="X576" s="411">
        <v>33</v>
      </c>
    </row>
    <row r="577">
      <c r="A577" s="394"/>
      <c r="B577" s="371" t="s">
        <v>257</v>
      </c>
      <c r="C577" s="364" t="s">
        <v>236</v>
      </c>
      <c r="D577" s="364">
        <f t="shared" si="273"/>
      </c>
      <c r="E577" s="364">
        <v>1871.22</v>
      </c>
      <c r="F577" s="364">
        <v>587.28</v>
      </c>
      <c r="G577" s="396">
        <v>6</v>
      </c>
      <c r="H577" s="364">
        <v>1752.9599999999991</v>
      </c>
      <c r="I577" s="373">
        <f t="shared" si="308"/>
      </c>
      <c r="J577" s="373">
        <f t="shared" si="1"/>
      </c>
      <c r="K577" s="373">
        <f t="shared" si="310"/>
      </c>
      <c r="L577" s="374">
        <f t="shared" si="3"/>
      </c>
      <c r="M577" s="375">
        <f t="shared" si="69"/>
      </c>
      <c r="N577" s="376">
        <f t="shared" si="67"/>
      </c>
      <c r="O577" s="375">
        <f t="shared" si="35"/>
      </c>
      <c r="P577" s="377" t="s">
        <v>255</v>
      </c>
      <c r="Q577" s="378" t="s">
        <v>261</v>
      </c>
      <c r="R577" s="411">
        <v>47393</v>
      </c>
      <c r="S577" s="411">
        <v>1525</v>
      </c>
      <c r="T577" s="411">
        <v>170</v>
      </c>
      <c r="U577" s="411">
        <v>2570</v>
      </c>
      <c r="V577" s="411">
        <v>276</v>
      </c>
      <c r="W577" s="411">
        <v>12</v>
      </c>
      <c r="X577" s="411">
        <v>32</v>
      </c>
    </row>
    <row r="578">
      <c r="A578" s="394"/>
      <c r="B578" s="371" t="s">
        <v>257</v>
      </c>
      <c r="C578" s="364" t="s">
        <v>237</v>
      </c>
      <c r="D578" s="364">
        <f t="shared" si="273"/>
      </c>
      <c r="E578" s="364">
        <v>904.54</v>
      </c>
      <c r="F578" s="364">
        <v>645.99</v>
      </c>
      <c r="G578" s="396">
        <v>5</v>
      </c>
      <c r="H578" s="364">
        <v>1943.640000000003</v>
      </c>
      <c r="I578" s="373">
        <f t="shared" si="308"/>
      </c>
      <c r="J578" s="373">
        <f t="shared" si="1"/>
      </c>
      <c r="K578" s="373">
        <f t="shared" si="310"/>
      </c>
      <c r="L578" s="374">
        <f t="shared" si="3"/>
      </c>
      <c r="M578" s="375">
        <f t="shared" si="69"/>
      </c>
      <c r="N578" s="376">
        <f t="shared" si="67"/>
      </c>
      <c r="O578" s="375">
        <f t="shared" si="35"/>
      </c>
      <c r="P578" s="377" t="s">
        <v>255</v>
      </c>
      <c r="Q578" s="378" t="s">
        <v>261</v>
      </c>
      <c r="R578" s="411">
        <v>33548</v>
      </c>
      <c r="S578" s="411">
        <v>1057</v>
      </c>
      <c r="T578" s="411">
        <v>139</v>
      </c>
      <c r="U578" s="411">
        <v>1649</v>
      </c>
      <c r="V578" s="411">
        <v>215</v>
      </c>
      <c r="W578" s="411">
        <v>8</v>
      </c>
      <c r="X578" s="411">
        <v>22</v>
      </c>
    </row>
    <row r="579">
      <c r="A579" s="394"/>
      <c r="B579" s="403" t="s">
        <v>232</v>
      </c>
      <c r="C579" s="403"/>
      <c r="D579" s="404">
        <f>SUM(D575:D578)</f>
      </c>
      <c r="E579" s="404">
        <f>SUM(E575:E578)</f>
      </c>
      <c r="F579" s="404">
        <f>SUM(F575:F578)</f>
      </c>
      <c r="G579" s="405">
        <f>SUM(G575:G578)</f>
      </c>
      <c r="H579" s="404">
        <f>SUM(H575:H578)</f>
      </c>
      <c r="I579" s="406">
        <f t="shared" si="308"/>
      </c>
      <c r="J579" s="407">
        <f t="shared" si="1"/>
      </c>
      <c r="K579" s="408">
        <f t="shared" si="310"/>
      </c>
      <c r="L579" s="409">
        <f t="shared" si="3"/>
      </c>
      <c r="M579" s="409">
        <f t="shared" si="69"/>
      </c>
      <c r="N579" s="410">
        <f t="shared" si="67"/>
      </c>
      <c r="O579" s="409">
        <f t="shared" si="35"/>
      </c>
      <c r="P579" s="410"/>
      <c r="Q579" s="410"/>
      <c r="R579" s="405">
        <f>SUM(R575:R578)</f>
      </c>
      <c r="S579" s="405">
        <f>SUM(S575:S578)</f>
      </c>
      <c r="T579" s="405">
        <f>SUM(T575:T578)</f>
      </c>
      <c r="U579" s="405">
        <f>SUM(U575:U578)</f>
      </c>
      <c r="V579" s="405">
        <f>SUM(V575:V578)</f>
      </c>
      <c r="W579" s="405">
        <f>SUM(W575:W578)</f>
      </c>
      <c r="X579" s="405">
        <f>SUM(X575:X578)</f>
      </c>
    </row>
    <row r="580">
      <c r="A580" s="394"/>
      <c r="B580" s="371" t="s">
        <v>260</v>
      </c>
      <c r="C580" s="364" t="s">
        <v>239</v>
      </c>
      <c r="D580" s="364">
        <f t="shared" ref="D580:D583" si="274">E580+F580</f>
      </c>
      <c r="E580" s="364">
        <v>2347</v>
      </c>
      <c r="F580" s="364">
        <v>1013.78</v>
      </c>
      <c r="G580" s="396">
        <v>10</v>
      </c>
      <c r="H580" s="364">
        <v>2524.9799999999996</v>
      </c>
      <c r="I580" s="373">
        <f t="shared" si="308"/>
      </c>
      <c r="J580" s="373">
        <f t="shared" si="1"/>
      </c>
      <c r="K580" s="373">
        <f t="shared" si="310"/>
      </c>
      <c r="L580" s="374">
        <f t="shared" si="3"/>
      </c>
      <c r="M580" s="375">
        <f t="shared" si="69"/>
      </c>
      <c r="N580" s="376">
        <f t="shared" si="67"/>
      </c>
      <c r="O580" s="375">
        <f t="shared" si="35"/>
      </c>
      <c r="P580" s="377" t="s">
        <v>258</v>
      </c>
      <c r="Q580" s="378" t="s">
        <v>261</v>
      </c>
      <c r="R580" s="411">
        <v>77264</v>
      </c>
      <c r="S580" s="411">
        <v>2497</v>
      </c>
      <c r="T580" s="411">
        <v>232</v>
      </c>
      <c r="U580" s="411">
        <v>4420</v>
      </c>
      <c r="V580" s="411">
        <v>460</v>
      </c>
      <c r="W580" s="411">
        <v>40</v>
      </c>
      <c r="X580" s="411">
        <v>35</v>
      </c>
    </row>
    <row r="581">
      <c r="A581" s="394"/>
      <c r="B581" s="371" t="s">
        <v>260</v>
      </c>
      <c r="C581" s="364" t="s">
        <v>241</v>
      </c>
      <c r="D581" s="364">
        <f t="shared" si="274"/>
      </c>
      <c r="E581" s="364">
        <v>2395.62</v>
      </c>
      <c r="F581" s="364">
        <v>1266.59</v>
      </c>
      <c r="G581" s="396">
        <v>17</v>
      </c>
      <c r="H581" s="364">
        <v>7168.700000000001</v>
      </c>
      <c r="I581" s="373">
        <f t="shared" si="308"/>
      </c>
      <c r="J581" s="373">
        <f t="shared" si="1"/>
      </c>
      <c r="K581" s="373">
        <f t="shared" si="310"/>
      </c>
      <c r="L581" s="374">
        <f t="shared" si="3"/>
      </c>
      <c r="M581" s="375">
        <f t="shared" si="69"/>
      </c>
      <c r="N581" s="376">
        <f t="shared" si="67"/>
      </c>
      <c r="O581" s="375">
        <f t="shared" si="35"/>
      </c>
      <c r="P581" s="377" t="s">
        <v>258</v>
      </c>
      <c r="Q581" s="412" t="s">
        <v>227</v>
      </c>
      <c r="R581" s="411">
        <v>100924</v>
      </c>
      <c r="S581" s="411">
        <v>2926</v>
      </c>
      <c r="T581" s="411">
        <v>306</v>
      </c>
      <c r="U581" s="411">
        <v>5667</v>
      </c>
      <c r="V581" s="411">
        <v>703</v>
      </c>
      <c r="W581" s="411">
        <v>25</v>
      </c>
      <c r="X581" s="411">
        <v>38</v>
      </c>
    </row>
    <row r="582">
      <c r="A582" s="394"/>
      <c r="B582" s="371" t="s">
        <v>260</v>
      </c>
      <c r="C582" s="364" t="s">
        <v>242</v>
      </c>
      <c r="D582" s="364">
        <f t="shared" si="274"/>
      </c>
      <c r="E582" s="364">
        <v>2610.01</v>
      </c>
      <c r="F582" s="364">
        <v>2309.13</v>
      </c>
      <c r="G582" s="396">
        <v>21</v>
      </c>
      <c r="H582" s="364">
        <v>14522.519999999997</v>
      </c>
      <c r="I582" s="373">
        <f t="shared" si="308"/>
      </c>
      <c r="J582" s="373">
        <f t="shared" si="1"/>
      </c>
      <c r="K582" s="373">
        <f t="shared" si="310"/>
      </c>
      <c r="L582" s="374">
        <f t="shared" si="3"/>
      </c>
      <c r="M582" s="375">
        <f t="shared" si="69"/>
      </c>
      <c r="N582" s="376">
        <f t="shared" si="67"/>
      </c>
      <c r="O582" s="375">
        <f t="shared" si="35"/>
      </c>
      <c r="P582" s="377" t="s">
        <v>258</v>
      </c>
      <c r="Q582" s="412" t="s">
        <v>227</v>
      </c>
      <c r="R582" s="411">
        <v>140474</v>
      </c>
      <c r="S582" s="411">
        <v>4230</v>
      </c>
      <c r="T582" s="411">
        <v>372</v>
      </c>
      <c r="U582" s="411">
        <v>8687</v>
      </c>
      <c r="V582" s="411">
        <v>1038</v>
      </c>
      <c r="W582" s="411">
        <v>33</v>
      </c>
      <c r="X582" s="411">
        <v>66</v>
      </c>
    </row>
    <row r="583">
      <c r="A583" s="394"/>
      <c r="B583" s="371" t="s">
        <v>260</v>
      </c>
      <c r="C583" s="364" t="s">
        <v>244</v>
      </c>
      <c r="D583" s="364">
        <f t="shared" si="274"/>
      </c>
      <c r="E583" s="364">
        <v>2527.87</v>
      </c>
      <c r="F583" s="364">
        <v>1372.16</v>
      </c>
      <c r="G583" s="396">
        <v>23</v>
      </c>
      <c r="H583" s="364">
        <v>13453.479999999996</v>
      </c>
      <c r="I583" s="373">
        <f t="shared" si="308"/>
      </c>
      <c r="J583" s="373">
        <f t="shared" si="1"/>
      </c>
      <c r="K583" s="373">
        <f t="shared" si="310"/>
      </c>
      <c r="L583" s="374">
        <f t="shared" si="3"/>
      </c>
      <c r="M583" s="375">
        <f t="shared" si="69"/>
      </c>
      <c r="N583" s="376">
        <f t="shared" si="67"/>
      </c>
      <c r="O583" s="375">
        <f t="shared" si="35"/>
      </c>
      <c r="P583" s="377" t="s">
        <v>258</v>
      </c>
      <c r="Q583" s="412" t="s">
        <v>227</v>
      </c>
      <c r="R583" s="411">
        <v>97983</v>
      </c>
      <c r="S583" s="411">
        <v>4750</v>
      </c>
      <c r="T583" s="411">
        <v>317</v>
      </c>
      <c r="U583" s="411">
        <v>9878</v>
      </c>
      <c r="V583" s="411">
        <v>1227</v>
      </c>
      <c r="W583" s="411">
        <v>43</v>
      </c>
      <c r="X583" s="411">
        <v>58</v>
      </c>
    </row>
    <row r="584">
      <c r="A584" s="394"/>
      <c r="B584" s="403" t="s">
        <v>232</v>
      </c>
      <c r="C584" s="403"/>
      <c r="D584" s="404">
        <f>SUM(D580:D583)</f>
      </c>
      <c r="E584" s="404">
        <f>SUM(E580:E583)</f>
      </c>
      <c r="F584" s="404">
        <f>SUM(F580:F583)</f>
      </c>
      <c r="G584" s="405">
        <f>SUM(G580:G583)</f>
      </c>
      <c r="H584" s="404">
        <f>SUM(H580:H583)</f>
      </c>
      <c r="I584" s="406">
        <f t="shared" si="308"/>
      </c>
      <c r="J584" s="407">
        <f t="shared" si="1"/>
      </c>
      <c r="K584" s="408">
        <f t="shared" si="310"/>
      </c>
      <c r="L584" s="409">
        <f t="shared" si="3"/>
      </c>
      <c r="M584" s="409">
        <f t="shared" si="69"/>
      </c>
      <c r="N584" s="410">
        <f t="shared" si="67"/>
      </c>
      <c r="O584" s="409">
        <f t="shared" si="35"/>
      </c>
      <c r="P584" s="410"/>
      <c r="Q584" s="410"/>
      <c r="R584" s="405">
        <f>SUM(R580:R583)</f>
      </c>
      <c r="S584" s="405">
        <f>SUM(S580:S583)</f>
      </c>
      <c r="T584" s="405">
        <f>SUM(T580:T583)</f>
      </c>
      <c r="U584" s="405">
        <f>SUM(U580:U583)</f>
      </c>
      <c r="V584" s="405">
        <f>SUM(V580:V583)</f>
      </c>
      <c r="W584" s="405">
        <f>SUM(W580:W583)</f>
      </c>
      <c r="X584" s="405">
        <f>SUM(X580:X583)</f>
      </c>
    </row>
    <row r="585">
      <c r="A585" s="394"/>
      <c r="B585" s="371" t="s">
        <v>248</v>
      </c>
      <c r="C585" s="364" t="s">
        <v>245</v>
      </c>
      <c r="D585" s="364">
        <f t="shared" ref="D585:D589" si="275">E585+F585</f>
      </c>
      <c r="E585" s="364">
        <v>7573.15</v>
      </c>
      <c r="F585" s="364">
        <v>2762.21</v>
      </c>
      <c r="G585" s="396">
        <v>25</v>
      </c>
      <c r="H585" s="364">
        <v>13494.280000000006</v>
      </c>
      <c r="I585" s="373">
        <f t="shared" si="308"/>
      </c>
      <c r="J585" s="373">
        <f t="shared" si="1"/>
      </c>
      <c r="K585" s="373">
        <f t="shared" si="310"/>
      </c>
      <c r="L585" s="374">
        <f t="shared" si="3"/>
      </c>
      <c r="M585" s="375">
        <f t="shared" si="69"/>
      </c>
      <c r="N585" s="376">
        <f t="shared" si="67"/>
      </c>
      <c r="O585" s="375">
        <f t="shared" si="35"/>
      </c>
      <c r="P585" s="377" t="s">
        <v>258</v>
      </c>
      <c r="Q585" s="412" t="s">
        <v>227</v>
      </c>
      <c r="R585" s="411">
        <v>262839</v>
      </c>
      <c r="S585" s="411">
        <v>12285</v>
      </c>
      <c r="T585" s="411">
        <v>687</v>
      </c>
      <c r="U585" s="411">
        <v>24705</v>
      </c>
      <c r="V585" s="411">
        <v>2570</v>
      </c>
      <c r="W585" s="411">
        <v>39</v>
      </c>
      <c r="X585" s="411">
        <v>133</v>
      </c>
    </row>
    <row r="586">
      <c r="A586" s="394"/>
      <c r="B586" s="371" t="s">
        <v>248</v>
      </c>
      <c r="C586" s="364" t="s">
        <v>250</v>
      </c>
      <c r="D586" s="364">
        <f t="shared" si="275"/>
      </c>
      <c r="E586" s="364">
        <v>1453.47</v>
      </c>
      <c r="F586" s="364">
        <v>1739.57</v>
      </c>
      <c r="G586" s="396">
        <v>14</v>
      </c>
      <c r="H586" s="364">
        <v>6640.679999999993</v>
      </c>
      <c r="I586" s="373">
        <f t="shared" si="308"/>
      </c>
      <c r="J586" s="373">
        <f t="shared" si="1"/>
      </c>
      <c r="K586" s="373">
        <f t="shared" si="310"/>
      </c>
      <c r="L586" s="374">
        <f t="shared" si="3"/>
      </c>
      <c r="M586" s="375">
        <f t="shared" si="69"/>
      </c>
      <c r="N586" s="376">
        <f t="shared" si="67"/>
      </c>
      <c r="O586" s="375">
        <f t="shared" si="35"/>
      </c>
      <c r="P586" s="377" t="s">
        <v>258</v>
      </c>
      <c r="Q586" s="412" t="s">
        <v>227</v>
      </c>
      <c r="R586" s="413">
        <v>83918</v>
      </c>
      <c r="S586" s="413">
        <v>3248</v>
      </c>
      <c r="T586" s="413">
        <v>263</v>
      </c>
      <c r="U586" s="413">
        <v>5950</v>
      </c>
      <c r="V586" s="413">
        <v>715</v>
      </c>
      <c r="W586" s="411">
        <v>26</v>
      </c>
      <c r="X586" s="411">
        <v>36</v>
      </c>
    </row>
    <row r="587">
      <c r="A587" s="394"/>
      <c r="B587" s="371" t="s">
        <v>248</v>
      </c>
      <c r="C587" s="364" t="s">
        <v>264</v>
      </c>
      <c r="D587" s="364">
        <f t="shared" si="275"/>
      </c>
      <c r="E587" s="364">
        <v>1136.22</v>
      </c>
      <c r="F587" s="364">
        <v>1686.02</v>
      </c>
      <c r="G587" s="396">
        <v>4</v>
      </c>
      <c r="H587" s="364">
        <v>1303.2200000000012</v>
      </c>
      <c r="I587" s="373">
        <f t="shared" si="308"/>
      </c>
      <c r="J587" s="373">
        <f t="shared" si="1"/>
      </c>
      <c r="K587" s="373">
        <f t="shared" si="310"/>
      </c>
      <c r="L587" s="374">
        <f t="shared" si="3"/>
      </c>
      <c r="M587" s="375">
        <f t="shared" si="69"/>
      </c>
      <c r="N587" s="376">
        <f t="shared" si="67"/>
      </c>
      <c r="O587" s="375">
        <f t="shared" si="35"/>
      </c>
      <c r="P587" s="377" t="s">
        <v>258</v>
      </c>
      <c r="Q587" s="412" t="s">
        <v>227</v>
      </c>
      <c r="R587" s="413">
        <v>67376</v>
      </c>
      <c r="S587" s="413">
        <v>3485</v>
      </c>
      <c r="T587" s="413">
        <v>276</v>
      </c>
      <c r="U587" s="413">
        <v>6054</v>
      </c>
      <c r="V587" s="413">
        <v>584</v>
      </c>
      <c r="W587" s="411">
        <v>16</v>
      </c>
      <c r="X587" s="411">
        <v>56</v>
      </c>
    </row>
    <row r="588">
      <c r="A588" s="394"/>
      <c r="B588" s="371" t="s">
        <v>248</v>
      </c>
      <c r="C588" s="364" t="s">
        <v>266</v>
      </c>
      <c r="D588" s="364">
        <f t="shared" si="275"/>
      </c>
      <c r="E588" s="364">
        <v>1187.82</v>
      </c>
      <c r="F588" s="364">
        <v>2226.51</v>
      </c>
      <c r="G588" s="396">
        <v>24</v>
      </c>
      <c r="H588" s="364">
        <v>10363.220000000001</v>
      </c>
      <c r="I588" s="373">
        <f t="shared" si="308"/>
      </c>
      <c r="J588" s="373">
        <f t="shared" si="1"/>
      </c>
      <c r="K588" s="373">
        <f t="shared" si="310"/>
      </c>
      <c r="L588" s="374">
        <f t="shared" si="3"/>
      </c>
      <c r="M588" s="375">
        <f t="shared" si="69"/>
      </c>
      <c r="N588" s="376">
        <f t="shared" si="67"/>
      </c>
      <c r="O588" s="375">
        <f t="shared" si="35"/>
      </c>
      <c r="P588" s="377" t="s">
        <v>258</v>
      </c>
      <c r="Q588" s="412" t="s">
        <v>227</v>
      </c>
      <c r="R588" s="413">
        <v>90955</v>
      </c>
      <c r="S588" s="413">
        <v>2942</v>
      </c>
      <c r="T588" s="413">
        <v>301</v>
      </c>
      <c r="U588" s="413">
        <v>5310</v>
      </c>
      <c r="V588" s="413">
        <v>618</v>
      </c>
      <c r="W588" s="411">
        <v>49</v>
      </c>
      <c r="X588" s="411">
        <v>78</v>
      </c>
    </row>
    <row r="589">
      <c r="A589" s="394"/>
      <c r="B589" s="371" t="s">
        <v>248</v>
      </c>
      <c r="C589" s="364" t="s">
        <v>267</v>
      </c>
      <c r="D589" s="364">
        <f t="shared" si="275"/>
      </c>
      <c r="E589" s="364">
        <v>450.15</v>
      </c>
      <c r="F589" s="364">
        <v>4655.04</v>
      </c>
      <c r="G589" s="396">
        <v>30</v>
      </c>
      <c r="H589" s="364">
        <v>14068.530000000013</v>
      </c>
      <c r="I589" s="373">
        <f t="shared" si="308"/>
      </c>
      <c r="J589" s="373">
        <f t="shared" si="1"/>
      </c>
      <c r="K589" s="373">
        <f t="shared" si="310"/>
      </c>
      <c r="L589" s="374">
        <f t="shared" si="3"/>
      </c>
      <c r="M589" s="375">
        <f t="shared" si="69"/>
      </c>
      <c r="N589" s="376">
        <f t="shared" si="67"/>
      </c>
      <c r="O589" s="375">
        <f t="shared" si="35"/>
      </c>
      <c r="P589" s="377" t="s">
        <v>258</v>
      </c>
      <c r="Q589" s="412" t="s">
        <v>227</v>
      </c>
      <c r="R589" s="413">
        <v>125530</v>
      </c>
      <c r="S589" s="413">
        <v>2160</v>
      </c>
      <c r="T589" s="413">
        <v>280</v>
      </c>
      <c r="U589" s="413">
        <v>2708</v>
      </c>
      <c r="V589" s="413">
        <v>305</v>
      </c>
      <c r="W589" s="411">
        <v>48</v>
      </c>
      <c r="X589" s="411">
        <v>44</v>
      </c>
    </row>
    <row r="590">
      <c r="A590" s="394"/>
      <c r="B590" s="403" t="s">
        <v>232</v>
      </c>
      <c r="C590" s="403"/>
      <c r="D590" s="404">
        <f>SUM(D585:D589)</f>
      </c>
      <c r="E590" s="404">
        <f>SUM(E585:E589)</f>
      </c>
      <c r="F590" s="404">
        <f>SUM(F585:F589)</f>
      </c>
      <c r="G590" s="404">
        <f>SUM(G585:G589)</f>
      </c>
      <c r="H590" s="404">
        <f>SUM(H585:H589)</f>
      </c>
      <c r="I590" s="406">
        <f t="shared" si="308"/>
      </c>
      <c r="J590" s="407">
        <f t="shared" si="1"/>
      </c>
      <c r="K590" s="408">
        <f t="shared" si="310"/>
      </c>
      <c r="L590" s="409">
        <f t="shared" si="3"/>
      </c>
      <c r="M590" s="409">
        <f t="shared" si="69"/>
      </c>
      <c r="N590" s="410">
        <f t="shared" si="67"/>
      </c>
      <c r="O590" s="409">
        <f t="shared" si="35"/>
      </c>
      <c r="P590" s="410"/>
      <c r="Q590" s="414"/>
      <c r="R590" s="404">
        <f>SUM(R585:R589)</f>
      </c>
      <c r="S590" s="404">
        <f>SUM(S585:S589)</f>
      </c>
      <c r="T590" s="404">
        <f>SUM(T585:T589)</f>
      </c>
      <c r="U590" s="404">
        <f>SUM(U585:U589)</f>
      </c>
      <c r="V590" s="404">
        <f>SUM(V585:V589)</f>
      </c>
      <c r="W590" s="404">
        <f>SUM(W585:W589)</f>
      </c>
      <c r="X590" s="404">
        <f>SUM(X585:X589)</f>
      </c>
    </row>
    <row r="591">
      <c r="A591" s="394"/>
      <c r="B591" s="415" t="s">
        <v>246</v>
      </c>
      <c r="C591" s="415"/>
      <c r="D591" s="416">
        <f>D590+D584+D579+D574</f>
      </c>
      <c r="E591" s="416">
        <f>E590+E584+E579+E574</f>
      </c>
      <c r="F591" s="416">
        <f>F590+F584+F579+F574</f>
      </c>
      <c r="G591" s="417">
        <f>G590+G584+G579+G574</f>
      </c>
      <c r="H591" s="416">
        <f>H590+H584+H579+H574</f>
      </c>
      <c r="I591" s="418">
        <f t="shared" si="308"/>
      </c>
      <c r="J591" s="418">
        <f t="shared" si="1"/>
      </c>
      <c r="K591" s="418">
        <f t="shared" si="310"/>
      </c>
      <c r="L591" s="419">
        <f t="shared" si="3"/>
      </c>
      <c r="M591" s="419">
        <f t="shared" si="69"/>
      </c>
      <c r="N591" s="418">
        <f t="shared" si="67"/>
      </c>
      <c r="O591" s="419">
        <f t="shared" si="35"/>
      </c>
      <c r="P591" s="420"/>
      <c r="Q591" s="421"/>
      <c r="R591" s="422">
        <f>R590+R584+R579+R574</f>
      </c>
      <c r="S591" s="422">
        <f>S590+S584+S579+S574</f>
      </c>
      <c r="T591" s="422">
        <f>T590+T584+T579+T574</f>
      </c>
      <c r="U591" s="422">
        <f>U590+U584+U579+U574</f>
      </c>
      <c r="V591" s="422">
        <f>V590+V584+V579+V574</f>
      </c>
      <c r="W591" s="423">
        <f>W590+W584+W579+W574</f>
      </c>
      <c r="X591" s="417">
        <f>X590+X584+X579+X574</f>
      </c>
    </row>
    <row r="592">
      <c r="A592" s="382" t="s">
        <v>195</v>
      </c>
      <c r="B592" s="382"/>
      <c r="C592" s="382"/>
      <c r="D592" s="383" t="s">
        <v>196</v>
      </c>
      <c r="E592" s="383"/>
      <c r="F592" s="383"/>
      <c r="G592" s="383"/>
      <c r="H592" s="383"/>
      <c r="I592" s="383"/>
      <c r="J592" s="383"/>
      <c r="K592" s="383"/>
      <c r="L592" s="383"/>
      <c r="M592" s="384" t="s">
        <v>197</v>
      </c>
      <c r="N592" s="384"/>
      <c r="O592" s="384"/>
      <c r="P592" s="384"/>
      <c r="Q592" s="384"/>
      <c r="R592" s="384"/>
      <c r="S592" s="385" t="s">
        <v>198</v>
      </c>
      <c r="T592" s="385"/>
      <c r="U592" s="385"/>
      <c r="V592" s="385"/>
      <c r="W592" s="385"/>
      <c r="X592" s="385"/>
      <c r="Y592" s="385"/>
    </row>
    <row r="593">
      <c r="A593" s="386" t="s">
        <v>199</v>
      </c>
      <c r="B593" s="382" t="s">
        <v>200</v>
      </c>
      <c r="C593" s="382" t="s">
        <v>201</v>
      </c>
      <c r="D593" s="383" t="s">
        <v>202</v>
      </c>
      <c r="E593" s="387" t="s">
        <v>203</v>
      </c>
      <c r="F593" s="383" t="s">
        <v>204</v>
      </c>
      <c r="G593" s="383"/>
      <c r="H593" s="388" t="s">
        <v>205</v>
      </c>
      <c r="I593" s="383" t="s">
        <v>206</v>
      </c>
      <c r="J593" s="389" t="s">
        <v>207</v>
      </c>
      <c r="K593" s="390" t="s">
        <v>208</v>
      </c>
      <c r="L593" s="383" t="s">
        <v>209</v>
      </c>
      <c r="M593" s="384" t="s">
        <v>210</v>
      </c>
      <c r="N593" s="384" t="s">
        <v>211</v>
      </c>
      <c r="O593" s="384" t="s">
        <v>212</v>
      </c>
      <c r="P593" s="384" t="s">
        <v>213</v>
      </c>
      <c r="Q593" s="391" t="s">
        <v>214</v>
      </c>
      <c r="R593" s="391" t="s">
        <v>215</v>
      </c>
      <c r="S593" s="392" t="s">
        <v>216</v>
      </c>
      <c r="T593" s="392" t="s">
        <v>217</v>
      </c>
      <c r="U593" s="393" t="s">
        <v>218</v>
      </c>
      <c r="V593" s="393" t="s">
        <v>219</v>
      </c>
      <c r="W593" s="393" t="s">
        <v>220</v>
      </c>
      <c r="X593" s="393" t="s">
        <v>221</v>
      </c>
      <c r="Y593" s="393" t="s">
        <v>222</v>
      </c>
    </row>
    <row r="594">
      <c r="A594" s="426" t="s">
        <v>288</v>
      </c>
      <c r="B594" s="371" t="s">
        <v>224</v>
      </c>
      <c r="C594" s="364" t="s">
        <v>228</v>
      </c>
      <c r="D594" s="326">
        <f t="shared" ref="D594:D597" si="223">E594+G594+F594</f>
      </c>
      <c r="E594" s="364">
        <v>1373.49</v>
      </c>
      <c r="F594" s="424">
        <v>5099.97</v>
      </c>
      <c r="G594" s="424">
        <v>0</v>
      </c>
      <c r="H594" s="396">
        <v>27</v>
      </c>
      <c r="I594" s="364">
        <v>12132.52</v>
      </c>
      <c r="J594" s="373">
        <f t="shared" ref="J594:J614" si="264">I594/D594</f>
      </c>
      <c r="K594" s="397">
        <f t="shared" ref="K594:K614" si="302">D594/H594</f>
      </c>
      <c r="L594" s="373">
        <f t="shared" ref="L594:L614" si="337">I594/H594</f>
      </c>
      <c r="M594" s="374">
        <f t="shared" ref="M594:M614" si="30">T594/S594</f>
      </c>
      <c r="N594" s="375">
        <f t="shared" ref="N594:N614" si="96">H594/X594</f>
      </c>
      <c r="O594" s="376">
        <f t="shared" ref="O594:O614" si="126">(Y594*1000)/D594</f>
      </c>
      <c r="P594" s="375">
        <f t="shared" ref="P594:P614" si="62">W594/V594</f>
      </c>
      <c r="Q594" s="377" t="s">
        <v>255</v>
      </c>
      <c r="R594" s="378" t="s">
        <v>261</v>
      </c>
      <c r="S594" s="379">
        <v>141146</v>
      </c>
      <c r="T594" s="379">
        <v>3541</v>
      </c>
      <c r="U594" s="425">
        <v>350</v>
      </c>
      <c r="V594" s="379">
        <v>5356</v>
      </c>
      <c r="W594" s="379">
        <v>805</v>
      </c>
      <c r="X594" s="379">
        <v>34</v>
      </c>
      <c r="Y594" s="379">
        <v>80</v>
      </c>
    </row>
    <row r="595">
      <c r="A595" s="426"/>
      <c r="B595" s="371" t="s">
        <v>224</v>
      </c>
      <c r="C595" s="364" t="s">
        <v>229</v>
      </c>
      <c r="D595" s="326">
        <f t="shared" si="223"/>
      </c>
      <c r="E595" s="364">
        <v>1948.87</v>
      </c>
      <c r="F595" s="364">
        <v>2146.63</v>
      </c>
      <c r="G595" s="424">
        <v>0</v>
      </c>
      <c r="H595" s="396">
        <v>13</v>
      </c>
      <c r="I595" s="364">
        <v>6881.759999999998</v>
      </c>
      <c r="J595" s="373">
        <f t="shared" si="264"/>
      </c>
      <c r="K595" s="373">
        <f t="shared" si="302"/>
      </c>
      <c r="L595" s="373">
        <f t="shared" si="337"/>
      </c>
      <c r="M595" s="374">
        <f t="shared" si="30"/>
      </c>
      <c r="N595" s="375">
        <f t="shared" si="96"/>
      </c>
      <c r="O595" s="376">
        <f t="shared" si="126"/>
      </c>
      <c r="P595" s="375">
        <f t="shared" si="62"/>
      </c>
      <c r="Q595" s="377" t="s">
        <v>255</v>
      </c>
      <c r="R595" s="378" t="s">
        <v>261</v>
      </c>
      <c r="S595" s="379">
        <v>87936</v>
      </c>
      <c r="T595" s="379">
        <v>3319</v>
      </c>
      <c r="U595" s="379">
        <v>241</v>
      </c>
      <c r="V595" s="379">
        <v>7009</v>
      </c>
      <c r="W595" s="379">
        <v>1180</v>
      </c>
      <c r="X595" s="379">
        <v>23</v>
      </c>
      <c r="Y595" s="379">
        <v>57</v>
      </c>
    </row>
    <row r="596">
      <c r="A596" s="426"/>
      <c r="B596" s="371" t="s">
        <v>224</v>
      </c>
      <c r="C596" s="364" t="s">
        <v>230</v>
      </c>
      <c r="D596" s="326">
        <f t="shared" si="223"/>
      </c>
      <c r="E596" s="364">
        <v>1088.49</v>
      </c>
      <c r="F596" s="364">
        <v>3918.67</v>
      </c>
      <c r="G596" s="424">
        <v>0</v>
      </c>
      <c r="H596" s="396">
        <v>13</v>
      </c>
      <c r="I596" s="364">
        <v>4999.300000000003</v>
      </c>
      <c r="J596" s="373">
        <f t="shared" si="264"/>
      </c>
      <c r="K596" s="373">
        <f t="shared" si="302"/>
      </c>
      <c r="L596" s="373">
        <f t="shared" si="337"/>
      </c>
      <c r="M596" s="374">
        <f t="shared" si="30"/>
      </c>
      <c r="N596" s="375">
        <f t="shared" si="96"/>
      </c>
      <c r="O596" s="376">
        <f t="shared" si="126"/>
      </c>
      <c r="P596" s="375">
        <f t="shared" si="62"/>
      </c>
      <c r="Q596" s="377" t="s">
        <v>255</v>
      </c>
      <c r="R596" s="378" t="s">
        <v>261</v>
      </c>
      <c r="S596" s="379">
        <v>156539</v>
      </c>
      <c r="T596" s="379">
        <v>1706</v>
      </c>
      <c r="U596" s="379">
        <v>270</v>
      </c>
      <c r="V596" s="379">
        <v>1794</v>
      </c>
      <c r="W596" s="379">
        <v>237</v>
      </c>
      <c r="X596" s="379">
        <v>25</v>
      </c>
      <c r="Y596" s="379">
        <v>47</v>
      </c>
    </row>
    <row r="597">
      <c r="A597" s="426"/>
      <c r="B597" s="371" t="s">
        <v>224</v>
      </c>
      <c r="C597" s="364" t="s">
        <v>231</v>
      </c>
      <c r="D597" s="326">
        <f t="shared" si="223"/>
      </c>
      <c r="E597" s="364">
        <v>3097.6</v>
      </c>
      <c r="F597" s="364">
        <v>3742.99</v>
      </c>
      <c r="G597" s="424">
        <v>0</v>
      </c>
      <c r="H597" s="396">
        <v>25</v>
      </c>
      <c r="I597" s="364">
        <v>13165.220000000001</v>
      </c>
      <c r="J597" s="373">
        <f t="shared" si="264"/>
      </c>
      <c r="K597" s="373">
        <f t="shared" si="302"/>
      </c>
      <c r="L597" s="373">
        <f t="shared" si="337"/>
      </c>
      <c r="M597" s="374">
        <f t="shared" si="30"/>
      </c>
      <c r="N597" s="375">
        <f t="shared" si="96"/>
      </c>
      <c r="O597" s="376">
        <f t="shared" si="126"/>
      </c>
      <c r="P597" s="375">
        <f t="shared" si="62"/>
      </c>
      <c r="Q597" s="377" t="s">
        <v>255</v>
      </c>
      <c r="R597" s="378" t="s">
        <v>261</v>
      </c>
      <c r="S597" s="379">
        <v>162852</v>
      </c>
      <c r="T597" s="379">
        <v>4783</v>
      </c>
      <c r="U597" s="379">
        <v>440</v>
      </c>
      <c r="V597" s="379">
        <v>10025</v>
      </c>
      <c r="W597" s="379">
        <v>1423</v>
      </c>
      <c r="X597" s="379">
        <v>42</v>
      </c>
      <c r="Y597" s="379">
        <v>85</v>
      </c>
    </row>
    <row r="598">
      <c r="A598" s="426"/>
      <c r="B598" s="403" t="s">
        <v>232</v>
      </c>
      <c r="C598" s="403"/>
      <c r="D598" s="404">
        <f>SUM(D594:D597)</f>
      </c>
      <c r="E598" s="404">
        <f>SUM(E594:E597)</f>
      </c>
      <c r="F598" s="340">
        <f>SUM(F594:G597)</f>
      </c>
      <c r="G598" s="340"/>
      <c r="H598" s="405">
        <f>SUM(H594:H597)</f>
      </c>
      <c r="I598" s="404">
        <f>SUM(I594:I597)</f>
      </c>
      <c r="J598" s="406">
        <f t="shared" si="264"/>
      </c>
      <c r="K598" s="407">
        <f t="shared" si="302"/>
      </c>
      <c r="L598" s="408">
        <f t="shared" si="337"/>
      </c>
      <c r="M598" s="409">
        <f t="shared" si="30"/>
      </c>
      <c r="N598" s="409">
        <f t="shared" si="96"/>
      </c>
      <c r="O598" s="410">
        <f t="shared" si="126"/>
      </c>
      <c r="P598" s="409">
        <f t="shared" si="62"/>
      </c>
      <c r="Q598" s="410"/>
      <c r="R598" s="410"/>
      <c r="S598" s="405">
        <f>SUM(S594:S597)</f>
      </c>
      <c r="T598" s="405">
        <f>SUM(T594:T597)</f>
      </c>
      <c r="U598" s="405">
        <f>SUM(U594:U597)</f>
      </c>
      <c r="V598" s="405">
        <f>SUM(V594:V597)</f>
      </c>
      <c r="W598" s="405">
        <f>SUM(W594:W597)</f>
      </c>
      <c r="X598" s="405">
        <f>SUM(X594:X597)</f>
      </c>
      <c r="Y598" s="405">
        <f>SUM(Y594:Y597)</f>
      </c>
    </row>
    <row r="599">
      <c r="A599" s="426"/>
      <c r="B599" s="371" t="s">
        <v>257</v>
      </c>
      <c r="C599" s="364" t="s">
        <v>234</v>
      </c>
      <c r="D599" s="326">
        <f t="shared" ref="D599:D602" si="224">E599+G599+F599</f>
      </c>
      <c r="E599" s="364">
        <v>3938.75</v>
      </c>
      <c r="F599" s="364">
        <v>5061.19</v>
      </c>
      <c r="G599" s="424">
        <v>0</v>
      </c>
      <c r="H599" s="396">
        <v>36</v>
      </c>
      <c r="I599" s="364">
        <v>14884.579999999994</v>
      </c>
      <c r="J599" s="373">
        <f t="shared" si="264"/>
      </c>
      <c r="K599" s="373">
        <f t="shared" si="302"/>
      </c>
      <c r="L599" s="373">
        <f t="shared" si="337"/>
      </c>
      <c r="M599" s="374">
        <f t="shared" si="30"/>
      </c>
      <c r="N599" s="375">
        <f t="shared" si="96"/>
      </c>
      <c r="O599" s="376">
        <f t="shared" si="126"/>
      </c>
      <c r="P599" s="375">
        <f t="shared" si="62"/>
      </c>
      <c r="Q599" s="377" t="s">
        <v>255</v>
      </c>
      <c r="R599" s="378" t="s">
        <v>261</v>
      </c>
      <c r="S599" s="411">
        <v>193730</v>
      </c>
      <c r="T599" s="411">
        <v>6362</v>
      </c>
      <c r="U599" s="411">
        <v>500</v>
      </c>
      <c r="V599" s="411">
        <v>13911</v>
      </c>
      <c r="W599" s="411">
        <v>2191</v>
      </c>
      <c r="X599" s="411">
        <v>57</v>
      </c>
      <c r="Y599" s="411">
        <v>128</v>
      </c>
    </row>
    <row r="600">
      <c r="A600" s="426"/>
      <c r="B600" s="371" t="s">
        <v>257</v>
      </c>
      <c r="C600" s="364" t="s">
        <v>235</v>
      </c>
      <c r="D600" s="326">
        <f t="shared" si="224"/>
      </c>
      <c r="E600" s="364">
        <v>4544.56</v>
      </c>
      <c r="F600" s="364">
        <v>2250.83</v>
      </c>
      <c r="G600" s="424">
        <v>0</v>
      </c>
      <c r="H600" s="396">
        <v>28</v>
      </c>
      <c r="I600" s="364">
        <v>19085.310000000005</v>
      </c>
      <c r="J600" s="373">
        <f t="shared" si="264"/>
      </c>
      <c r="K600" s="373">
        <f t="shared" si="302"/>
      </c>
      <c r="L600" s="373">
        <f t="shared" si="337"/>
      </c>
      <c r="M600" s="374">
        <f t="shared" si="30"/>
      </c>
      <c r="N600" s="375">
        <f t="shared" si="96"/>
      </c>
      <c r="O600" s="376">
        <f t="shared" si="126"/>
      </c>
      <c r="P600" s="375">
        <f t="shared" si="62"/>
      </c>
      <c r="Q600" s="377" t="s">
        <v>255</v>
      </c>
      <c r="R600" s="378" t="s">
        <v>261</v>
      </c>
      <c r="S600" s="411">
        <v>125312</v>
      </c>
      <c r="T600" s="411">
        <v>6522</v>
      </c>
      <c r="U600" s="411">
        <v>428</v>
      </c>
      <c r="V600" s="411">
        <v>13028</v>
      </c>
      <c r="W600" s="411">
        <v>1761</v>
      </c>
      <c r="X600" s="411">
        <v>45</v>
      </c>
      <c r="Y600" s="411">
        <v>85</v>
      </c>
    </row>
    <row r="601">
      <c r="A601" s="426"/>
      <c r="B601" s="371" t="s">
        <v>257</v>
      </c>
      <c r="C601" s="364" t="s">
        <v>236</v>
      </c>
      <c r="D601" s="326">
        <f t="shared" si="224"/>
      </c>
      <c r="E601" s="364">
        <v>2766.54</v>
      </c>
      <c r="F601" s="364">
        <v>4322.3</v>
      </c>
      <c r="G601" s="424">
        <v>0</v>
      </c>
      <c r="H601" s="396">
        <v>19</v>
      </c>
      <c r="I601" s="364">
        <v>10518</v>
      </c>
      <c r="J601" s="373">
        <f t="shared" si="264"/>
      </c>
      <c r="K601" s="373">
        <f t="shared" si="302"/>
      </c>
      <c r="L601" s="373">
        <f t="shared" si="337"/>
      </c>
      <c r="M601" s="374">
        <f t="shared" si="30"/>
      </c>
      <c r="N601" s="375">
        <f t="shared" si="96"/>
      </c>
      <c r="O601" s="376">
        <f t="shared" si="126"/>
      </c>
      <c r="P601" s="375">
        <f t="shared" si="62"/>
      </c>
      <c r="Q601" s="377" t="s">
        <v>255</v>
      </c>
      <c r="R601" s="378" t="s">
        <v>261</v>
      </c>
      <c r="S601" s="411">
        <v>173229</v>
      </c>
      <c r="T601" s="411">
        <v>4603</v>
      </c>
      <c r="U601" s="411">
        <v>428</v>
      </c>
      <c r="V601" s="411">
        <v>8389</v>
      </c>
      <c r="W601" s="411">
        <v>1051</v>
      </c>
      <c r="X601" s="411">
        <v>33</v>
      </c>
      <c r="Y601" s="411">
        <v>78</v>
      </c>
    </row>
    <row r="602">
      <c r="A602" s="426"/>
      <c r="B602" s="371" t="s">
        <v>257</v>
      </c>
      <c r="C602" s="364" t="s">
        <v>237</v>
      </c>
      <c r="D602" s="326">
        <f t="shared" si="224"/>
      </c>
      <c r="E602" s="364">
        <v>1925.25</v>
      </c>
      <c r="F602" s="364">
        <v>1888.3</v>
      </c>
      <c r="G602" s="424">
        <v>0</v>
      </c>
      <c r="H602" s="396">
        <v>20</v>
      </c>
      <c r="I602" s="364">
        <v>12428.539999999994</v>
      </c>
      <c r="J602" s="373">
        <f t="shared" si="264"/>
      </c>
      <c r="K602" s="373">
        <f t="shared" si="302"/>
      </c>
      <c r="L602" s="373">
        <f t="shared" si="337"/>
      </c>
      <c r="M602" s="374">
        <f t="shared" si="30"/>
      </c>
      <c r="N602" s="375">
        <f t="shared" si="96"/>
      </c>
      <c r="O602" s="376">
        <f t="shared" si="126"/>
      </c>
      <c r="P602" s="375">
        <f t="shared" si="62"/>
      </c>
      <c r="Q602" s="377" t="s">
        <v>255</v>
      </c>
      <c r="R602" s="378" t="s">
        <v>261</v>
      </c>
      <c r="S602" s="411">
        <v>91216</v>
      </c>
      <c r="T602" s="411">
        <v>3133</v>
      </c>
      <c r="U602" s="411">
        <v>235</v>
      </c>
      <c r="V602" s="411">
        <v>5867</v>
      </c>
      <c r="W602" s="411">
        <v>713</v>
      </c>
      <c r="X602" s="411">
        <v>28</v>
      </c>
      <c r="Y602" s="411">
        <v>54</v>
      </c>
    </row>
    <row r="603">
      <c r="A603" s="426"/>
      <c r="B603" s="403" t="s">
        <v>232</v>
      </c>
      <c r="C603" s="403"/>
      <c r="D603" s="404">
        <f>SUM(D599:D602)</f>
      </c>
      <c r="E603" s="404">
        <f>SUM(E599:E602)</f>
      </c>
      <c r="F603" s="340">
        <f>SUM(F599:G602)</f>
      </c>
      <c r="G603" s="340"/>
      <c r="H603" s="405">
        <f>SUM(H599:H602)</f>
      </c>
      <c r="I603" s="404">
        <f>SUM(I599:I602)</f>
      </c>
      <c r="J603" s="406">
        <f t="shared" si="264"/>
      </c>
      <c r="K603" s="407">
        <f t="shared" si="302"/>
      </c>
      <c r="L603" s="408">
        <f t="shared" si="337"/>
      </c>
      <c r="M603" s="409">
        <f t="shared" si="30"/>
      </c>
      <c r="N603" s="409">
        <f t="shared" si="96"/>
      </c>
      <c r="O603" s="410">
        <f t="shared" si="126"/>
      </c>
      <c r="P603" s="409">
        <f t="shared" si="62"/>
      </c>
      <c r="Q603" s="410"/>
      <c r="R603" s="410"/>
      <c r="S603" s="405">
        <f>SUM(S599:S602)</f>
      </c>
      <c r="T603" s="405">
        <f>SUM(T599:T602)</f>
      </c>
      <c r="U603" s="405">
        <f>SUM(U599:U602)</f>
      </c>
      <c r="V603" s="405">
        <f>SUM(V599:V602)</f>
      </c>
      <c r="W603" s="405">
        <f>SUM(W599:W602)</f>
      </c>
      <c r="X603" s="405">
        <f>SUM(X599:X602)</f>
      </c>
      <c r="Y603" s="405">
        <f>SUM(Y599:Y602)</f>
      </c>
    </row>
    <row r="604">
      <c r="A604" s="426"/>
      <c r="B604" s="371" t="s">
        <v>260</v>
      </c>
      <c r="C604" s="364" t="s">
        <v>239</v>
      </c>
      <c r="D604" s="326">
        <f t="shared" ref="D604:D607" si="225">E604+G604+F604</f>
      </c>
      <c r="E604" s="364">
        <v>1692.07</v>
      </c>
      <c r="F604" s="364">
        <v>12776.38</v>
      </c>
      <c r="G604" s="424">
        <v>0</v>
      </c>
      <c r="H604" s="396">
        <v>46</v>
      </c>
      <c r="I604" s="364">
        <v>23056.86</v>
      </c>
      <c r="J604" s="373">
        <f t="shared" si="264"/>
      </c>
      <c r="K604" s="373">
        <f t="shared" si="302"/>
      </c>
      <c r="L604" s="373">
        <f t="shared" si="337"/>
      </c>
      <c r="M604" s="374">
        <f t="shared" si="30"/>
      </c>
      <c r="N604" s="375">
        <f t="shared" si="96"/>
      </c>
      <c r="O604" s="376">
        <f t="shared" si="126"/>
      </c>
      <c r="P604" s="375">
        <f t="shared" si="62"/>
      </c>
      <c r="Q604" s="377" t="s">
        <v>258</v>
      </c>
      <c r="R604" s="378" t="s">
        <v>261</v>
      </c>
      <c r="S604" s="411">
        <v>448727</v>
      </c>
      <c r="T604" s="411">
        <v>6770</v>
      </c>
      <c r="U604" s="411">
        <v>909</v>
      </c>
      <c r="V604" s="411">
        <v>8663</v>
      </c>
      <c r="W604" s="411">
        <v>1006</v>
      </c>
      <c r="X604" s="411">
        <v>163</v>
      </c>
      <c r="Y604" s="411">
        <v>153</v>
      </c>
    </row>
    <row r="605">
      <c r="A605" s="426"/>
      <c r="B605" s="371" t="s">
        <v>260</v>
      </c>
      <c r="C605" s="364" t="s">
        <v>241</v>
      </c>
      <c r="D605" s="326">
        <f t="shared" si="225"/>
      </c>
      <c r="E605" s="364">
        <v>3742.58</v>
      </c>
      <c r="F605" s="364">
        <v>10557.54</v>
      </c>
      <c r="G605" s="364">
        <v>262.06</v>
      </c>
      <c r="H605" s="396">
        <v>65</v>
      </c>
      <c r="I605" s="364">
        <v>31377.170000000013</v>
      </c>
      <c r="J605" s="373">
        <f t="shared" si="264"/>
      </c>
      <c r="K605" s="373">
        <f t="shared" si="302"/>
      </c>
      <c r="L605" s="373">
        <f t="shared" si="337"/>
      </c>
      <c r="M605" s="374">
        <f t="shared" si="30"/>
      </c>
      <c r="N605" s="375">
        <f t="shared" si="96"/>
      </c>
      <c r="O605" s="376">
        <f t="shared" si="126"/>
      </c>
      <c r="P605" s="375">
        <f t="shared" si="62"/>
      </c>
      <c r="Q605" s="377" t="s">
        <v>258</v>
      </c>
      <c r="R605" s="412" t="s">
        <v>227</v>
      </c>
      <c r="S605" s="411">
        <v>422462</v>
      </c>
      <c r="T605" s="411">
        <v>11469</v>
      </c>
      <c r="U605" s="411">
        <v>1076</v>
      </c>
      <c r="V605" s="411">
        <v>18872</v>
      </c>
      <c r="W605" s="411">
        <v>2045</v>
      </c>
      <c r="X605" s="411">
        <v>104</v>
      </c>
      <c r="Y605" s="411">
        <v>174</v>
      </c>
    </row>
    <row r="606">
      <c r="A606" s="426"/>
      <c r="B606" s="371" t="s">
        <v>260</v>
      </c>
      <c r="C606" s="364" t="s">
        <v>242</v>
      </c>
      <c r="D606" s="326">
        <f t="shared" si="225"/>
      </c>
      <c r="E606" s="364">
        <v>5569.52</v>
      </c>
      <c r="F606" s="364">
        <v>8891.04</v>
      </c>
      <c r="G606" s="364">
        <v>0.01</v>
      </c>
      <c r="H606" s="396">
        <v>50</v>
      </c>
      <c r="I606" s="364">
        <v>19773.880000000005</v>
      </c>
      <c r="J606" s="373">
        <f t="shared" si="264"/>
      </c>
      <c r="K606" s="373">
        <f t="shared" si="302"/>
      </c>
      <c r="L606" s="373">
        <f t="shared" si="337"/>
      </c>
      <c r="M606" s="374">
        <f t="shared" si="30"/>
      </c>
      <c r="N606" s="375">
        <f t="shared" si="96"/>
      </c>
      <c r="O606" s="376">
        <f t="shared" si="126"/>
      </c>
      <c r="P606" s="375">
        <f t="shared" si="62"/>
      </c>
      <c r="Q606" s="377" t="s">
        <v>258</v>
      </c>
      <c r="R606" s="412" t="s">
        <v>227</v>
      </c>
      <c r="S606" s="411">
        <v>582037</v>
      </c>
      <c r="T606" s="411">
        <v>17393</v>
      </c>
      <c r="U606" s="411">
        <v>1144</v>
      </c>
      <c r="V606" s="411">
        <v>36753</v>
      </c>
      <c r="W606" s="411">
        <v>4595</v>
      </c>
      <c r="X606" s="411">
        <v>98</v>
      </c>
      <c r="Y606" s="411">
        <v>197</v>
      </c>
    </row>
    <row r="607">
      <c r="A607" s="426"/>
      <c r="B607" s="371" t="s">
        <v>260</v>
      </c>
      <c r="C607" s="364" t="s">
        <v>244</v>
      </c>
      <c r="D607" s="326">
        <f t="shared" si="225"/>
      </c>
      <c r="E607" s="364">
        <v>5385.39</v>
      </c>
      <c r="F607" s="364">
        <v>453.84</v>
      </c>
      <c r="G607" s="424">
        <v>0</v>
      </c>
      <c r="H607" s="396">
        <v>41</v>
      </c>
      <c r="I607" s="364">
        <v>23756.679999999993</v>
      </c>
      <c r="J607" s="373">
        <f t="shared" si="264"/>
      </c>
      <c r="K607" s="373">
        <f t="shared" si="302"/>
      </c>
      <c r="L607" s="373">
        <f t="shared" si="337"/>
      </c>
      <c r="M607" s="374">
        <f t="shared" si="30"/>
      </c>
      <c r="N607" s="375">
        <f t="shared" si="96"/>
      </c>
      <c r="O607" s="376">
        <f t="shared" si="126"/>
      </c>
      <c r="P607" s="375">
        <f t="shared" si="62"/>
      </c>
      <c r="Q607" s="377" t="s">
        <v>258</v>
      </c>
      <c r="R607" s="412" t="s">
        <v>227</v>
      </c>
      <c r="S607" s="411">
        <v>125339</v>
      </c>
      <c r="T607" s="411">
        <v>7620</v>
      </c>
      <c r="U607" s="411">
        <v>448</v>
      </c>
      <c r="V607" s="411">
        <v>17122</v>
      </c>
      <c r="W607" s="411">
        <v>2293</v>
      </c>
      <c r="X607" s="411">
        <v>61</v>
      </c>
      <c r="Y607" s="411">
        <v>115</v>
      </c>
    </row>
    <row r="608">
      <c r="A608" s="426"/>
      <c r="B608" s="403" t="s">
        <v>232</v>
      </c>
      <c r="C608" s="403"/>
      <c r="D608" s="404">
        <f>SUM(D604:D607)</f>
      </c>
      <c r="E608" s="404">
        <f>SUM(E604:E607)</f>
      </c>
      <c r="F608" s="340">
        <f>SUM(F604:G607)</f>
      </c>
      <c r="G608" s="340"/>
      <c r="H608" s="405">
        <f>SUM(H604:H607)</f>
      </c>
      <c r="I608" s="404">
        <f>SUM(I604:I607)</f>
      </c>
      <c r="J608" s="406">
        <f t="shared" si="264"/>
      </c>
      <c r="K608" s="407">
        <f t="shared" si="302"/>
      </c>
      <c r="L608" s="408">
        <f t="shared" si="337"/>
      </c>
      <c r="M608" s="409">
        <f t="shared" si="30"/>
      </c>
      <c r="N608" s="409">
        <f t="shared" si="96"/>
      </c>
      <c r="O608" s="410">
        <f t="shared" si="126"/>
      </c>
      <c r="P608" s="409">
        <f t="shared" si="62"/>
      </c>
      <c r="Q608" s="410"/>
      <c r="R608" s="410"/>
      <c r="S608" s="405">
        <f>SUM(S604:S607)</f>
      </c>
      <c r="T608" s="405">
        <f>SUM(T604:T607)</f>
      </c>
      <c r="U608" s="405">
        <f>SUM(U604:U607)</f>
      </c>
      <c r="V608" s="405">
        <f>SUM(V604:V607)</f>
      </c>
      <c r="W608" s="405">
        <f>SUM(W604:W607)</f>
      </c>
      <c r="X608" s="405">
        <f>SUM(X604:X607)</f>
      </c>
      <c r="Y608" s="405">
        <f>SUM(Y604:Y607)</f>
      </c>
    </row>
    <row r="609">
      <c r="A609" s="426"/>
      <c r="B609" s="371" t="s">
        <v>248</v>
      </c>
      <c r="C609" s="364" t="s">
        <v>245</v>
      </c>
      <c r="D609" s="326">
        <f t="shared" ref="D609:D612" si="226">E609+G609+F609</f>
      </c>
      <c r="E609" s="364">
        <v>6136.53</v>
      </c>
      <c r="F609" s="364">
        <v>121.23</v>
      </c>
      <c r="G609" s="424">
        <v>0</v>
      </c>
      <c r="H609" s="396">
        <v>10</v>
      </c>
      <c r="I609" s="364">
        <v>4867.940000000002</v>
      </c>
      <c r="J609" s="373">
        <f t="shared" si="264"/>
      </c>
      <c r="K609" s="373">
        <f t="shared" si="302"/>
      </c>
      <c r="L609" s="373">
        <f t="shared" si="337"/>
      </c>
      <c r="M609" s="374">
        <f t="shared" si="30"/>
      </c>
      <c r="N609" s="375">
        <f t="shared" si="96"/>
      </c>
      <c r="O609" s="376">
        <f t="shared" si="126"/>
      </c>
      <c r="P609" s="375">
        <f t="shared" si="62"/>
      </c>
      <c r="Q609" s="377" t="s">
        <v>258</v>
      </c>
      <c r="R609" s="412" t="s">
        <v>227</v>
      </c>
      <c r="S609" s="411">
        <v>137624</v>
      </c>
      <c r="T609" s="411">
        <v>4351</v>
      </c>
      <c r="U609" s="411">
        <v>322</v>
      </c>
      <c r="V609" s="411">
        <v>7628</v>
      </c>
      <c r="W609" s="411">
        <v>684</v>
      </c>
      <c r="X609" s="411">
        <v>33</v>
      </c>
      <c r="Y609" s="411">
        <v>70</v>
      </c>
    </row>
    <row r="610">
      <c r="A610" s="426"/>
      <c r="B610" s="371" t="s">
        <v>248</v>
      </c>
      <c r="C610" s="364" t="s">
        <v>250</v>
      </c>
      <c r="D610" s="326">
        <f t="shared" si="226"/>
      </c>
      <c r="E610" s="364">
        <v>5710.37</v>
      </c>
      <c r="F610" s="364">
        <v>2027.88</v>
      </c>
      <c r="G610" s="424">
        <v>0</v>
      </c>
      <c r="H610" s="396">
        <v>17</v>
      </c>
      <c r="I610" s="364">
        <v>8068.889999999985</v>
      </c>
      <c r="J610" s="373">
        <f t="shared" si="264"/>
      </c>
      <c r="K610" s="373">
        <f t="shared" si="302"/>
      </c>
      <c r="L610" s="373">
        <f t="shared" si="337"/>
      </c>
      <c r="M610" s="374">
        <f t="shared" si="30"/>
      </c>
      <c r="N610" s="375">
        <f t="shared" si="96"/>
      </c>
      <c r="O610" s="376">
        <f t="shared" si="126"/>
      </c>
      <c r="P610" s="375">
        <f t="shared" si="62"/>
      </c>
      <c r="Q610" s="377" t="s">
        <v>258</v>
      </c>
      <c r="R610" s="412" t="s">
        <v>227</v>
      </c>
      <c r="S610" s="413">
        <v>201493</v>
      </c>
      <c r="T610" s="413">
        <v>8688</v>
      </c>
      <c r="U610" s="413">
        <v>514</v>
      </c>
      <c r="V610" s="413">
        <v>18035</v>
      </c>
      <c r="W610" s="413">
        <v>2287</v>
      </c>
      <c r="X610" s="411">
        <v>42</v>
      </c>
      <c r="Y610" s="411">
        <v>107</v>
      </c>
    </row>
    <row r="611">
      <c r="A611" s="426"/>
      <c r="B611" s="371" t="s">
        <v>248</v>
      </c>
      <c r="C611" s="364" t="s">
        <v>264</v>
      </c>
      <c r="D611" s="326">
        <f t="shared" si="226"/>
      </c>
      <c r="E611" s="364">
        <v>7351.59</v>
      </c>
      <c r="F611" s="364">
        <v>2799.39</v>
      </c>
      <c r="G611" s="424">
        <v>0</v>
      </c>
      <c r="H611" s="396">
        <v>22</v>
      </c>
      <c r="I611" s="364">
        <v>7877.320000000036</v>
      </c>
      <c r="J611" s="373">
        <f t="shared" si="264"/>
      </c>
      <c r="K611" s="373">
        <f t="shared" si="302"/>
      </c>
      <c r="L611" s="373">
        <f t="shared" si="337"/>
      </c>
      <c r="M611" s="374">
        <f t="shared" si="30"/>
      </c>
      <c r="N611" s="375">
        <f t="shared" si="96"/>
      </c>
      <c r="O611" s="376">
        <f t="shared" si="126"/>
      </c>
      <c r="P611" s="375">
        <f t="shared" si="62"/>
      </c>
      <c r="Q611" s="377" t="s">
        <v>258</v>
      </c>
      <c r="R611" s="412" t="s">
        <v>227</v>
      </c>
      <c r="S611" s="413">
        <v>272540</v>
      </c>
      <c r="T611" s="413">
        <v>11446</v>
      </c>
      <c r="U611" s="413">
        <v>744</v>
      </c>
      <c r="V611" s="413">
        <v>19333</v>
      </c>
      <c r="W611" s="413">
        <v>1927</v>
      </c>
      <c r="X611" s="411">
        <v>69</v>
      </c>
      <c r="Y611" s="411">
        <v>142</v>
      </c>
    </row>
    <row r="612">
      <c r="A612" s="426"/>
      <c r="B612" s="371" t="s">
        <v>248</v>
      </c>
      <c r="C612" s="364" t="s">
        <v>266</v>
      </c>
      <c r="D612" s="326">
        <f t="shared" si="226"/>
      </c>
      <c r="E612" s="424">
        <v>2902.3</v>
      </c>
      <c r="F612" s="424">
        <v>832.31</v>
      </c>
      <c r="G612" s="424">
        <v>0</v>
      </c>
      <c r="H612" s="396">
        <v>8</v>
      </c>
      <c r="I612" s="364">
        <v>3586.1999999999825</v>
      </c>
      <c r="J612" s="373">
        <f t="shared" si="264"/>
      </c>
      <c r="K612" s="373">
        <f t="shared" si="302"/>
      </c>
      <c r="L612" s="373">
        <f t="shared" si="337"/>
      </c>
      <c r="M612" s="374">
        <f t="shared" si="30"/>
      </c>
      <c r="N612" s="375">
        <f t="shared" si="96"/>
      </c>
      <c r="O612" s="376">
        <f t="shared" si="126"/>
      </c>
      <c r="P612" s="375">
        <f t="shared" si="62"/>
      </c>
      <c r="Q612" s="377" t="s">
        <v>258</v>
      </c>
      <c r="R612" s="412" t="s">
        <v>227</v>
      </c>
      <c r="S612" s="413">
        <v>68759</v>
      </c>
      <c r="T612" s="413">
        <v>3682</v>
      </c>
      <c r="U612" s="413">
        <v>271</v>
      </c>
      <c r="V612" s="413">
        <v>7174</v>
      </c>
      <c r="W612" s="413">
        <v>860</v>
      </c>
      <c r="X612" s="411">
        <v>27</v>
      </c>
      <c r="Y612" s="411">
        <v>58</v>
      </c>
    </row>
    <row r="613">
      <c r="A613" s="426"/>
      <c r="B613" s="403" t="s">
        <v>232</v>
      </c>
      <c r="C613" s="403"/>
      <c r="D613" s="404">
        <f>SUM(D609:D612)</f>
      </c>
      <c r="E613" s="404">
        <f>SUM(E609:E612)</f>
      </c>
      <c r="F613" s="340">
        <f>SUM(F609:G612)</f>
      </c>
      <c r="G613" s="340"/>
      <c r="H613" s="404">
        <f>SUM(H609:H612)</f>
      </c>
      <c r="I613" s="404">
        <f>SUM(I609:I612)</f>
      </c>
      <c r="J613" s="406">
        <f t="shared" si="264"/>
      </c>
      <c r="K613" s="407">
        <f t="shared" si="302"/>
      </c>
      <c r="L613" s="408">
        <f t="shared" si="337"/>
      </c>
      <c r="M613" s="409">
        <f t="shared" si="30"/>
      </c>
      <c r="N613" s="409">
        <f t="shared" si="96"/>
      </c>
      <c r="O613" s="410">
        <f t="shared" si="126"/>
      </c>
      <c r="P613" s="409">
        <f t="shared" si="62"/>
      </c>
      <c r="Q613" s="410"/>
      <c r="R613" s="414"/>
      <c r="S613" s="404">
        <f>SUM(S609:S612)</f>
      </c>
      <c r="T613" s="404">
        <f>SUM(T609:T612)</f>
      </c>
      <c r="U613" s="404">
        <f>SUM(U609:U612)</f>
      </c>
      <c r="V613" s="404">
        <f>SUM(V609:V612)</f>
      </c>
      <c r="W613" s="404">
        <f>SUM(W609:W612)</f>
      </c>
      <c r="X613" s="404">
        <f>SUM(X609:X612)</f>
      </c>
      <c r="Y613" s="404">
        <f>SUM(Y609:Y612)</f>
      </c>
    </row>
    <row r="614">
      <c r="A614" s="426"/>
      <c r="B614" s="415" t="s">
        <v>246</v>
      </c>
      <c r="C614" s="415"/>
      <c r="D614" s="416">
        <f>D613+D608+D603+D598</f>
      </c>
      <c r="E614" s="416">
        <f>E613+E608+E603+E598</f>
      </c>
      <c r="F614" s="354">
        <f>F613+F607+F602+F597</f>
      </c>
      <c r="G614" s="354"/>
      <c r="H614" s="417">
        <f>H613+H608+H603+H598</f>
      </c>
      <c r="I614" s="416">
        <f>I613+I608+I603+I598</f>
      </c>
      <c r="J614" s="418">
        <f t="shared" si="264"/>
      </c>
      <c r="K614" s="418">
        <f t="shared" si="302"/>
      </c>
      <c r="L614" s="418">
        <f t="shared" si="337"/>
      </c>
      <c r="M614" s="419">
        <f t="shared" si="30"/>
      </c>
      <c r="N614" s="419">
        <f t="shared" si="96"/>
      </c>
      <c r="O614" s="418">
        <f t="shared" si="126"/>
      </c>
      <c r="P614" s="419">
        <f t="shared" si="62"/>
      </c>
      <c r="Q614" s="420"/>
      <c r="R614" s="421"/>
      <c r="S614" s="422">
        <f>S613+S608+S603+S598</f>
      </c>
      <c r="T614" s="422">
        <f>T613+T608+T603+T598</f>
      </c>
      <c r="U614" s="422">
        <f>U613+U608+U603+U598</f>
      </c>
      <c r="V614" s="422">
        <f>V613+V608+V603+V598</f>
      </c>
      <c r="W614" s="422">
        <f>W613+W608+W603+W598</f>
      </c>
      <c r="X614" s="423">
        <f>X613+X608+X603+X598</f>
      </c>
      <c r="Y614" s="417">
        <f>Y613+Y608+Y603+Y598</f>
      </c>
    </row>
    <row r="615">
      <c r="A615" s="311" t="s">
        <v>195</v>
      </c>
      <c r="B615" s="311"/>
      <c r="C615" s="311"/>
      <c r="D615" s="312" t="s">
        <v>196</v>
      </c>
      <c r="E615" s="312"/>
      <c r="F615" s="312"/>
      <c r="G615" s="312"/>
      <c r="H615" s="312"/>
      <c r="I615" s="312"/>
      <c r="J615" s="312"/>
      <c r="K615" s="312"/>
      <c r="L615" s="312"/>
      <c r="M615" s="313" t="s">
        <v>197</v>
      </c>
      <c r="N615" s="313"/>
      <c r="O615" s="313"/>
      <c r="P615" s="313"/>
      <c r="Q615" s="313"/>
      <c r="R615" s="313"/>
      <c r="S615" s="314" t="s">
        <v>198</v>
      </c>
      <c r="T615" s="314"/>
      <c r="U615" s="314"/>
      <c r="V615" s="314"/>
      <c r="W615" s="314"/>
      <c r="X615" s="314"/>
      <c r="Y615" s="314"/>
    </row>
    <row r="616">
      <c r="A616" s="315" t="s">
        <v>199</v>
      </c>
      <c r="B616" s="311" t="s">
        <v>200</v>
      </c>
      <c r="C616" s="311" t="s">
        <v>201</v>
      </c>
      <c r="D616" s="312" t="s">
        <v>202</v>
      </c>
      <c r="E616" s="316" t="s">
        <v>203</v>
      </c>
      <c r="F616" s="312" t="s">
        <v>204</v>
      </c>
      <c r="G616" s="312"/>
      <c r="H616" s="317" t="s">
        <v>205</v>
      </c>
      <c r="I616" s="312" t="s">
        <v>206</v>
      </c>
      <c r="J616" s="318" t="s">
        <v>207</v>
      </c>
      <c r="K616" s="319" t="s">
        <v>208</v>
      </c>
      <c r="L616" s="312" t="s">
        <v>209</v>
      </c>
      <c r="M616" s="313" t="s">
        <v>210</v>
      </c>
      <c r="N616" s="313" t="s">
        <v>211</v>
      </c>
      <c r="O616" s="313" t="s">
        <v>212</v>
      </c>
      <c r="P616" s="320" t="s">
        <v>213</v>
      </c>
      <c r="Q616" s="321" t="s">
        <v>214</v>
      </c>
      <c r="R616" s="321" t="s">
        <v>215</v>
      </c>
      <c r="S616" s="366" t="s">
        <v>216</v>
      </c>
      <c r="T616" s="366" t="s">
        <v>217</v>
      </c>
      <c r="U616" s="323" t="s">
        <v>218</v>
      </c>
      <c r="V616" s="323" t="s">
        <v>219</v>
      </c>
      <c r="W616" s="323" t="s">
        <v>220</v>
      </c>
      <c r="X616" s="322" t="s">
        <v>221</v>
      </c>
      <c r="Y616" s="322" t="s">
        <v>222</v>
      </c>
    </row>
    <row r="617">
      <c r="A617" s="363" t="s">
        <v>289</v>
      </c>
      <c r="B617" s="325" t="s">
        <v>224</v>
      </c>
      <c r="C617" s="326" t="s">
        <v>228</v>
      </c>
      <c r="D617" s="326">
        <f t="shared" ref="D617:D620" si="227">E617+G617+F617</f>
      </c>
      <c r="E617" s="327">
        <v>3760.11</v>
      </c>
      <c r="F617" s="327">
        <v>2564.3</v>
      </c>
      <c r="G617" s="327">
        <v>0</v>
      </c>
      <c r="H617" s="328">
        <v>30</v>
      </c>
      <c r="I617" s="327">
        <v>15177.3</v>
      </c>
      <c r="J617" s="329">
        <f t="shared" ref="J617:J632" si="265">I617/D617</f>
      </c>
      <c r="K617" s="330">
        <f t="shared" ref="K617:K632" si="303">D617/H617</f>
      </c>
      <c r="L617" s="329">
        <f t="shared" ref="L617:L632" si="338">I617/H617</f>
      </c>
      <c r="M617" s="331">
        <f t="shared" ref="M617:M632" si="31">T617/S617</f>
      </c>
      <c r="N617" s="332">
        <f t="shared" ref="N617:N632" si="97">H617/X617</f>
      </c>
      <c r="O617" s="333">
        <f t="shared" ref="O617:O632" si="127">(Y617*1000)/D617</f>
      </c>
      <c r="P617" s="332">
        <f t="shared" ref="P617:P632" si="63">W617/V617</f>
      </c>
      <c r="Q617" s="334" t="s">
        <v>255</v>
      </c>
      <c r="R617" s="370" t="s">
        <v>261</v>
      </c>
      <c r="S617" s="336">
        <v>123859</v>
      </c>
      <c r="T617" s="336">
        <v>7171</v>
      </c>
      <c r="U617" s="368">
        <v>399</v>
      </c>
      <c r="V617" s="337">
        <v>13945</v>
      </c>
      <c r="W617" s="337">
        <v>2248</v>
      </c>
      <c r="X617" s="337">
        <v>47</v>
      </c>
      <c r="Y617" s="337">
        <v>85</v>
      </c>
    </row>
    <row r="618">
      <c r="A618" s="363"/>
      <c r="B618" s="325" t="s">
        <v>224</v>
      </c>
      <c r="C618" s="326" t="s">
        <v>229</v>
      </c>
      <c r="D618" s="326">
        <f t="shared" si="227"/>
      </c>
      <c r="E618" s="327">
        <v>4344.13</v>
      </c>
      <c r="F618" s="327">
        <v>3589.17</v>
      </c>
      <c r="G618" s="327">
        <v>0</v>
      </c>
      <c r="H618" s="328">
        <v>32</v>
      </c>
      <c r="I618" s="326">
        <v>18728.680000000004</v>
      </c>
      <c r="J618" s="329">
        <f t="shared" si="265"/>
      </c>
      <c r="K618" s="329">
        <f t="shared" si="303"/>
      </c>
      <c r="L618" s="330">
        <f t="shared" si="338"/>
      </c>
      <c r="M618" s="331">
        <f t="shared" si="31"/>
      </c>
      <c r="N618" s="332">
        <f t="shared" si="97"/>
      </c>
      <c r="O618" s="333">
        <f t="shared" si="127"/>
      </c>
      <c r="P618" s="332">
        <f t="shared" si="63"/>
      </c>
      <c r="Q618" s="334" t="s">
        <v>255</v>
      </c>
      <c r="R618" s="370" t="s">
        <v>261</v>
      </c>
      <c r="S618" s="369">
        <v>152977</v>
      </c>
      <c r="T618" s="369">
        <v>7487</v>
      </c>
      <c r="U618" s="337">
        <v>459</v>
      </c>
      <c r="V618" s="337">
        <v>15580</v>
      </c>
      <c r="W618" s="337">
        <v>2545</v>
      </c>
      <c r="X618" s="337">
        <v>52</v>
      </c>
      <c r="Y618" s="337">
        <v>93</v>
      </c>
    </row>
    <row r="619">
      <c r="A619" s="363"/>
      <c r="B619" s="325" t="s">
        <v>224</v>
      </c>
      <c r="C619" s="326" t="s">
        <v>230</v>
      </c>
      <c r="D619" s="326">
        <f t="shared" si="227"/>
      </c>
      <c r="E619" s="327">
        <v>4349.25</v>
      </c>
      <c r="F619" s="327">
        <v>3179.72</v>
      </c>
      <c r="G619" s="327">
        <v>0</v>
      </c>
      <c r="H619" s="338">
        <v>13</v>
      </c>
      <c r="I619" s="326">
        <v>7256.879999999997</v>
      </c>
      <c r="J619" s="329">
        <f t="shared" si="265"/>
      </c>
      <c r="K619" s="329">
        <f t="shared" si="303"/>
      </c>
      <c r="L619" s="329">
        <f t="shared" si="338"/>
      </c>
      <c r="M619" s="331">
        <f t="shared" si="31"/>
      </c>
      <c r="N619" s="332">
        <f t="shared" si="97"/>
      </c>
      <c r="O619" s="333">
        <f t="shared" si="127"/>
      </c>
      <c r="P619" s="332">
        <f t="shared" si="63"/>
      </c>
      <c r="Q619" s="334" t="s">
        <v>255</v>
      </c>
      <c r="R619" s="370" t="s">
        <v>261</v>
      </c>
      <c r="S619" s="336">
        <v>171517</v>
      </c>
      <c r="T619" s="336">
        <v>7620</v>
      </c>
      <c r="U619" s="337">
        <v>462</v>
      </c>
      <c r="V619" s="337">
        <v>15805</v>
      </c>
      <c r="W619" s="337">
        <v>2570</v>
      </c>
      <c r="X619" s="337">
        <v>25</v>
      </c>
      <c r="Y619" s="337">
        <v>95</v>
      </c>
    </row>
    <row r="620">
      <c r="A620" s="363"/>
      <c r="B620" s="325" t="s">
        <v>224</v>
      </c>
      <c r="C620" s="364" t="s">
        <v>231</v>
      </c>
      <c r="D620" s="326">
        <f t="shared" si="227"/>
      </c>
      <c r="E620" s="327">
        <v>3892.45</v>
      </c>
      <c r="F620" s="327">
        <v>2025.64</v>
      </c>
      <c r="G620" s="327">
        <v>0</v>
      </c>
      <c r="H620" s="338">
        <v>21</v>
      </c>
      <c r="I620" s="326">
        <v>12111.739999999998</v>
      </c>
      <c r="J620" s="329">
        <f t="shared" si="265"/>
      </c>
      <c r="K620" s="329">
        <f t="shared" si="303"/>
      </c>
      <c r="L620" s="329">
        <f t="shared" si="338"/>
      </c>
      <c r="M620" s="331">
        <f t="shared" si="31"/>
      </c>
      <c r="N620" s="332">
        <f t="shared" si="97"/>
      </c>
      <c r="O620" s="333">
        <f t="shared" si="127"/>
      </c>
      <c r="P620" s="332">
        <f t="shared" si="63"/>
      </c>
      <c r="Q620" s="334" t="s">
        <v>255</v>
      </c>
      <c r="R620" s="370" t="s">
        <v>261</v>
      </c>
      <c r="S620" s="337">
        <v>118367</v>
      </c>
      <c r="T620" s="336">
        <v>6160</v>
      </c>
      <c r="U620" s="337">
        <v>321</v>
      </c>
      <c r="V620" s="337">
        <v>12134</v>
      </c>
      <c r="W620" s="337">
        <v>1741</v>
      </c>
      <c r="X620" s="337">
        <v>31</v>
      </c>
      <c r="Y620" s="337">
        <v>86</v>
      </c>
    </row>
    <row r="621">
      <c r="A621" s="363"/>
      <c r="B621" s="339" t="s">
        <v>232</v>
      </c>
      <c r="C621" s="339"/>
      <c r="D621" s="340">
        <f>SUM(D617:D620)</f>
      </c>
      <c r="E621" s="340">
        <f>SUM(E617:E620)</f>
      </c>
      <c r="F621" s="340">
        <f>SUM(F617:G620)</f>
      </c>
      <c r="G621" s="340"/>
      <c r="H621" s="341">
        <f>SUM(H617:H620)</f>
      </c>
      <c r="I621" s="340">
        <f>SUM(I617:I620)</f>
      </c>
      <c r="J621" s="342">
        <f t="shared" si="265"/>
      </c>
      <c r="K621" s="343">
        <f t="shared" si="303"/>
      </c>
      <c r="L621" s="344">
        <f t="shared" si="338"/>
      </c>
      <c r="M621" s="345">
        <f t="shared" si="31"/>
      </c>
      <c r="N621" s="345">
        <f t="shared" si="97"/>
      </c>
      <c r="O621" s="346">
        <f t="shared" si="127"/>
      </c>
      <c r="P621" s="345">
        <f t="shared" si="63"/>
      </c>
      <c r="Q621" s="346"/>
      <c r="R621" s="346"/>
      <c r="S621" s="341">
        <f>SUM(S617:S620)</f>
      </c>
      <c r="T621" s="341">
        <f>SUM(T617:T620)</f>
      </c>
      <c r="U621" s="341">
        <f>SUM(U617:U620)</f>
      </c>
      <c r="V621" s="341">
        <f>SUM(V617:V620)</f>
      </c>
      <c r="W621" s="341">
        <f>SUM(W617:W620)</f>
      </c>
      <c r="X621" s="341">
        <f>SUM(X617:X620)</f>
      </c>
      <c r="Y621" s="341">
        <f>SUM(Y617:Y620)</f>
      </c>
    </row>
    <row r="622">
      <c r="A622" s="363"/>
      <c r="B622" s="325" t="s">
        <v>257</v>
      </c>
      <c r="C622" s="327" t="s">
        <v>234</v>
      </c>
      <c r="D622" s="326">
        <f t="shared" ref="D622:D625" si="228">E622+G622+F622</f>
      </c>
      <c r="E622" s="327">
        <v>6894.87</v>
      </c>
      <c r="F622" s="327">
        <v>1845.03</v>
      </c>
      <c r="G622" s="327">
        <v>0</v>
      </c>
      <c r="H622" s="338">
        <v>20</v>
      </c>
      <c r="I622" s="326">
        <v>10651.82</v>
      </c>
      <c r="J622" s="329">
        <f t="shared" si="265"/>
      </c>
      <c r="K622" s="329">
        <f t="shared" si="303"/>
      </c>
      <c r="L622" s="329">
        <f t="shared" si="338"/>
      </c>
      <c r="M622" s="331">
        <f t="shared" si="31"/>
      </c>
      <c r="N622" s="332">
        <f t="shared" si="97"/>
      </c>
      <c r="O622" s="333">
        <f t="shared" si="127"/>
      </c>
      <c r="P622" s="332">
        <f t="shared" si="63"/>
      </c>
      <c r="Q622" s="334" t="s">
        <v>255</v>
      </c>
      <c r="R622" s="370" t="s">
        <v>261</v>
      </c>
      <c r="S622" s="347">
        <v>175161</v>
      </c>
      <c r="T622" s="347">
        <v>11700</v>
      </c>
      <c r="U622" s="348">
        <v>454</v>
      </c>
      <c r="V622" s="348">
        <v>24794</v>
      </c>
      <c r="W622" s="348">
        <v>3866</v>
      </c>
      <c r="X622" s="348">
        <v>37</v>
      </c>
      <c r="Y622" s="348">
        <v>101</v>
      </c>
    </row>
    <row r="623">
      <c r="A623" s="363"/>
      <c r="B623" s="325" t="s">
        <v>257</v>
      </c>
      <c r="C623" s="327" t="s">
        <v>235</v>
      </c>
      <c r="D623" s="326">
        <f t="shared" si="228"/>
      </c>
      <c r="E623" s="327">
        <v>3349.09</v>
      </c>
      <c r="F623" s="327">
        <v>1297.78</v>
      </c>
      <c r="G623" s="327">
        <v>0</v>
      </c>
      <c r="H623" s="328">
        <v>15</v>
      </c>
      <c r="I623" s="327">
        <v>6972.360000000001</v>
      </c>
      <c r="J623" s="329">
        <f t="shared" si="265"/>
      </c>
      <c r="K623" s="329">
        <f t="shared" si="303"/>
      </c>
      <c r="L623" s="329">
        <f t="shared" si="338"/>
      </c>
      <c r="M623" s="331">
        <f t="shared" si="31"/>
      </c>
      <c r="N623" s="332">
        <f t="shared" si="97"/>
      </c>
      <c r="O623" s="333">
        <f t="shared" si="127"/>
      </c>
      <c r="P623" s="332">
        <f t="shared" si="63"/>
      </c>
      <c r="Q623" s="334" t="s">
        <v>255</v>
      </c>
      <c r="R623" s="370" t="s">
        <v>261</v>
      </c>
      <c r="S623" s="347">
        <v>107325</v>
      </c>
      <c r="T623" s="347">
        <v>6123</v>
      </c>
      <c r="U623" s="348">
        <v>305</v>
      </c>
      <c r="V623" s="348">
        <v>12038</v>
      </c>
      <c r="W623" s="348">
        <v>1665</v>
      </c>
      <c r="X623" s="348">
        <v>27</v>
      </c>
      <c r="Y623" s="348">
        <v>73</v>
      </c>
    </row>
    <row r="624">
      <c r="A624" s="363"/>
      <c r="B624" s="325" t="s">
        <v>257</v>
      </c>
      <c r="C624" s="326" t="s">
        <v>236</v>
      </c>
      <c r="D624" s="326">
        <f t="shared" si="228"/>
      </c>
      <c r="E624" s="327">
        <v>1912.18</v>
      </c>
      <c r="F624" s="327">
        <v>1169.03</v>
      </c>
      <c r="G624" s="327">
        <v>0</v>
      </c>
      <c r="H624" s="328">
        <v>11</v>
      </c>
      <c r="I624" s="327">
        <v>4659.380000000005</v>
      </c>
      <c r="J624" s="329">
        <f t="shared" si="265"/>
      </c>
      <c r="K624" s="329">
        <f t="shared" si="303"/>
      </c>
      <c r="L624" s="329">
        <f t="shared" si="338"/>
      </c>
      <c r="M624" s="331">
        <f t="shared" si="31"/>
      </c>
      <c r="N624" s="332">
        <f t="shared" si="97"/>
      </c>
      <c r="O624" s="333">
        <f t="shared" si="127"/>
      </c>
      <c r="P624" s="332">
        <f t="shared" si="63"/>
      </c>
      <c r="Q624" s="334" t="s">
        <v>255</v>
      </c>
      <c r="R624" s="370" t="s">
        <v>261</v>
      </c>
      <c r="S624" s="347">
        <v>67619</v>
      </c>
      <c r="T624" s="347">
        <v>3827</v>
      </c>
      <c r="U624" s="348">
        <v>198</v>
      </c>
      <c r="V624" s="348">
        <v>6300</v>
      </c>
      <c r="W624" s="348">
        <v>723</v>
      </c>
      <c r="X624" s="348">
        <v>24</v>
      </c>
      <c r="Y624" s="348">
        <v>52</v>
      </c>
    </row>
    <row r="625">
      <c r="A625" s="363"/>
      <c r="B625" s="325" t="s">
        <v>257</v>
      </c>
      <c r="C625" s="326" t="s">
        <v>237</v>
      </c>
      <c r="D625" s="326">
        <f t="shared" si="228"/>
      </c>
      <c r="E625" s="327">
        <v>1047.01</v>
      </c>
      <c r="F625" s="327">
        <v>4048.81</v>
      </c>
      <c r="G625" s="327">
        <v>0</v>
      </c>
      <c r="H625" s="338">
        <v>15</v>
      </c>
      <c r="I625" s="327">
        <v>8201.169999999998</v>
      </c>
      <c r="J625" s="329">
        <f t="shared" si="265"/>
      </c>
      <c r="K625" s="329">
        <f t="shared" si="303"/>
      </c>
      <c r="L625" s="329">
        <f t="shared" si="338"/>
      </c>
      <c r="M625" s="331">
        <f t="shared" si="31"/>
      </c>
      <c r="N625" s="332">
        <f t="shared" si="97"/>
      </c>
      <c r="O625" s="333">
        <f t="shared" si="127"/>
      </c>
      <c r="P625" s="332">
        <f t="shared" si="63"/>
      </c>
      <c r="Q625" s="334" t="s">
        <v>255</v>
      </c>
      <c r="R625" s="370" t="s">
        <v>261</v>
      </c>
      <c r="S625" s="347">
        <v>157323</v>
      </c>
      <c r="T625" s="347">
        <v>4241</v>
      </c>
      <c r="U625" s="348">
        <v>274</v>
      </c>
      <c r="V625" s="348">
        <v>5542</v>
      </c>
      <c r="W625" s="348">
        <v>544</v>
      </c>
      <c r="X625" s="348">
        <v>27</v>
      </c>
      <c r="Y625" s="348">
        <v>60</v>
      </c>
    </row>
    <row r="626">
      <c r="A626" s="363"/>
      <c r="B626" s="339" t="s">
        <v>232</v>
      </c>
      <c r="C626" s="339"/>
      <c r="D626" s="340">
        <f>SUM(D622:D625)</f>
      </c>
      <c r="E626" s="340">
        <f>SUM(E622:E625)</f>
      </c>
      <c r="F626" s="340">
        <f>SUM(F622:G625)</f>
      </c>
      <c r="G626" s="340"/>
      <c r="H626" s="341">
        <f>SUM(H622:H625)</f>
      </c>
      <c r="I626" s="340">
        <f>SUM(I622:I625)</f>
      </c>
      <c r="J626" s="342">
        <f t="shared" si="265"/>
      </c>
      <c r="K626" s="343">
        <f t="shared" si="303"/>
      </c>
      <c r="L626" s="344">
        <f t="shared" si="338"/>
      </c>
      <c r="M626" s="345">
        <f t="shared" si="31"/>
      </c>
      <c r="N626" s="345">
        <f t="shared" si="97"/>
      </c>
      <c r="O626" s="346">
        <f t="shared" si="127"/>
      </c>
      <c r="P626" s="345">
        <f t="shared" si="63"/>
      </c>
      <c r="Q626" s="346"/>
      <c r="R626" s="346"/>
      <c r="S626" s="341">
        <f>SUM(S622:S625)</f>
      </c>
      <c r="T626" s="341">
        <f>SUM(T622:T625)</f>
      </c>
      <c r="U626" s="341">
        <f>SUM(U622:U625)</f>
      </c>
      <c r="V626" s="341">
        <f>SUM(V622:V625)</f>
      </c>
      <c r="W626" s="341">
        <f>SUM(W622:W625)</f>
      </c>
      <c r="X626" s="341">
        <f>SUM(X622:X625)</f>
      </c>
      <c r="Y626" s="341">
        <f>SUM(Y622:Y625)</f>
      </c>
    </row>
    <row r="627">
      <c r="A627" s="363"/>
      <c r="B627" s="325" t="s">
        <v>260</v>
      </c>
      <c r="C627" s="327" t="s">
        <v>239</v>
      </c>
      <c r="D627" s="326">
        <f t="shared" ref="D627:D630" si="229">E627+G627+F627</f>
      </c>
      <c r="E627" s="327">
        <v>254.34</v>
      </c>
      <c r="F627" s="327">
        <v>2437.69</v>
      </c>
      <c r="G627" s="327">
        <v>0</v>
      </c>
      <c r="H627" s="338">
        <v>6</v>
      </c>
      <c r="I627" s="326">
        <v>3422.3699999999953</v>
      </c>
      <c r="J627" s="329">
        <f t="shared" si="265"/>
      </c>
      <c r="K627" s="329">
        <f t="shared" si="303"/>
      </c>
      <c r="L627" s="329">
        <f t="shared" si="338"/>
      </c>
      <c r="M627" s="331">
        <f t="shared" si="31"/>
      </c>
      <c r="N627" s="332">
        <f t="shared" si="97"/>
      </c>
      <c r="O627" s="333">
        <f t="shared" si="127"/>
      </c>
      <c r="P627" s="332">
        <f t="shared" si="63"/>
      </c>
      <c r="Q627" s="334" t="s">
        <v>258</v>
      </c>
      <c r="R627" s="370" t="s">
        <v>261</v>
      </c>
      <c r="S627" s="347">
        <v>732370</v>
      </c>
      <c r="T627" s="347">
        <v>33959</v>
      </c>
      <c r="U627" s="348">
        <v>1703</v>
      </c>
      <c r="V627" s="348">
        <v>60516</v>
      </c>
      <c r="W627" s="348">
        <v>8065</v>
      </c>
      <c r="X627" s="348">
        <v>18</v>
      </c>
      <c r="Y627" s="348">
        <v>30</v>
      </c>
    </row>
    <row r="628">
      <c r="A628" s="363"/>
      <c r="B628" s="325" t="s">
        <v>260</v>
      </c>
      <c r="C628" s="327" t="s">
        <v>241</v>
      </c>
      <c r="D628" s="326">
        <f t="shared" si="229"/>
      </c>
      <c r="E628" s="327">
        <v>128.79</v>
      </c>
      <c r="F628" s="327">
        <v>2391.05</v>
      </c>
      <c r="G628" s="327">
        <v>0</v>
      </c>
      <c r="H628" s="338">
        <v>7</v>
      </c>
      <c r="I628" s="326">
        <v>1465.9600000000064</v>
      </c>
      <c r="J628" s="329">
        <f t="shared" si="265"/>
      </c>
      <c r="K628" s="329">
        <f t="shared" si="303"/>
      </c>
      <c r="L628" s="329">
        <f t="shared" si="338"/>
      </c>
      <c r="M628" s="331">
        <f t="shared" si="31"/>
      </c>
      <c r="N628" s="332">
        <f t="shared" si="97"/>
      </c>
      <c r="O628" s="333">
        <f t="shared" si="127"/>
      </c>
      <c r="P628" s="332">
        <f t="shared" si="63"/>
      </c>
      <c r="Q628" s="334" t="s">
        <v>258</v>
      </c>
      <c r="R628" s="350" t="s">
        <v>227</v>
      </c>
      <c r="S628" s="347">
        <v>97717</v>
      </c>
      <c r="T628" s="347">
        <v>4088</v>
      </c>
      <c r="U628" s="348">
        <v>202</v>
      </c>
      <c r="V628" s="348">
        <v>4248</v>
      </c>
      <c r="W628" s="348">
        <v>200</v>
      </c>
      <c r="X628" s="348">
        <v>21</v>
      </c>
      <c r="Y628" s="348">
        <v>27</v>
      </c>
    </row>
    <row r="629">
      <c r="A629" s="363"/>
      <c r="B629" s="325" t="s">
        <v>260</v>
      </c>
      <c r="C629" s="327" t="s">
        <v>242</v>
      </c>
      <c r="D629" s="326">
        <f t="shared" si="229"/>
      </c>
      <c r="E629" s="327">
        <v>114.12</v>
      </c>
      <c r="F629" s="327">
        <v>1173.99</v>
      </c>
      <c r="G629" s="327">
        <v>0</v>
      </c>
      <c r="H629" s="338">
        <v>2</v>
      </c>
      <c r="I629" s="326">
        <v>430.08000000000175</v>
      </c>
      <c r="J629" s="329">
        <f t="shared" si="265"/>
      </c>
      <c r="K629" s="329">
        <f t="shared" si="303"/>
      </c>
      <c r="L629" s="329">
        <f t="shared" si="338"/>
      </c>
      <c r="M629" s="331">
        <f t="shared" si="31"/>
      </c>
      <c r="N629" s="332">
        <f t="shared" si="97"/>
      </c>
      <c r="O629" s="333">
        <f t="shared" si="127"/>
      </c>
      <c r="P629" s="332">
        <f t="shared" si="63"/>
      </c>
      <c r="Q629" s="334" t="s">
        <v>258</v>
      </c>
      <c r="R629" s="350" t="s">
        <v>227</v>
      </c>
      <c r="S629" s="347">
        <v>39944</v>
      </c>
      <c r="T629" s="347">
        <v>1922</v>
      </c>
      <c r="U629" s="348">
        <v>104</v>
      </c>
      <c r="V629" s="348">
        <v>2034</v>
      </c>
      <c r="W629" s="348">
        <v>118</v>
      </c>
      <c r="X629" s="348">
        <v>27</v>
      </c>
      <c r="Y629" s="348">
        <v>28</v>
      </c>
    </row>
    <row r="630">
      <c r="A630" s="363"/>
      <c r="B630" s="325" t="s">
        <v>260</v>
      </c>
      <c r="C630" s="326" t="s">
        <v>244</v>
      </c>
      <c r="D630" s="326">
        <f t="shared" si="229"/>
      </c>
      <c r="E630" s="327">
        <v>123.64</v>
      </c>
      <c r="F630" s="327">
        <v>723.8399999999999</v>
      </c>
      <c r="G630" s="327">
        <v>0</v>
      </c>
      <c r="H630" s="338">
        <v>3</v>
      </c>
      <c r="I630" s="327">
        <v>1585.5599999999977</v>
      </c>
      <c r="J630" s="329">
        <f t="shared" si="265"/>
      </c>
      <c r="K630" s="329">
        <f t="shared" si="303"/>
      </c>
      <c r="L630" s="329">
        <f t="shared" si="338"/>
      </c>
      <c r="M630" s="331">
        <f t="shared" si="31"/>
      </c>
      <c r="N630" s="332">
        <f t="shared" si="97"/>
      </c>
      <c r="O630" s="333">
        <f t="shared" si="127"/>
      </c>
      <c r="P630" s="332">
        <f t="shared" si="63"/>
      </c>
      <c r="Q630" s="334" t="s">
        <v>258</v>
      </c>
      <c r="R630" s="350" t="s">
        <v>227</v>
      </c>
      <c r="S630" s="347">
        <v>35877</v>
      </c>
      <c r="T630" s="347">
        <v>1787</v>
      </c>
      <c r="U630" s="348">
        <v>67</v>
      </c>
      <c r="V630" s="348">
        <v>1882</v>
      </c>
      <c r="W630" s="348">
        <v>109</v>
      </c>
      <c r="X630" s="348">
        <v>12</v>
      </c>
      <c r="Y630" s="348">
        <v>23</v>
      </c>
    </row>
    <row r="631">
      <c r="A631" s="363"/>
      <c r="B631" s="339" t="s">
        <v>232</v>
      </c>
      <c r="C631" s="339"/>
      <c r="D631" s="340">
        <f>SUM(D627:D630)</f>
      </c>
      <c r="E631" s="340">
        <f>SUM(E627:E630)</f>
      </c>
      <c r="F631" s="340">
        <f>SUM(F627:G630)</f>
      </c>
      <c r="G631" s="340"/>
      <c r="H631" s="341">
        <f>SUM(H627:H630)</f>
      </c>
      <c r="I631" s="340">
        <f>SUM(I627:I630)</f>
      </c>
      <c r="J631" s="342">
        <f t="shared" si="265"/>
      </c>
      <c r="K631" s="343">
        <f t="shared" si="303"/>
      </c>
      <c r="L631" s="344">
        <f t="shared" si="338"/>
      </c>
      <c r="M631" s="345">
        <f t="shared" si="31"/>
      </c>
      <c r="N631" s="345">
        <f t="shared" si="97"/>
      </c>
      <c r="O631" s="346">
        <f t="shared" si="127"/>
      </c>
      <c r="P631" s="345">
        <f t="shared" si="63"/>
      </c>
      <c r="Q631" s="346"/>
      <c r="R631" s="346"/>
      <c r="S631" s="341">
        <f>SUM(S627:S630)</f>
      </c>
      <c r="T631" s="341">
        <f>SUM(T627:T630)</f>
      </c>
      <c r="U631" s="341">
        <f>SUM(U627:U630)</f>
      </c>
      <c r="V631" s="341">
        <f>SUM(V627:V630)</f>
      </c>
      <c r="W631" s="341">
        <f>SUM(W627:W630)</f>
      </c>
      <c r="X631" s="341">
        <f>SUM(X627:X630)</f>
      </c>
      <c r="Y631" s="341">
        <f>SUM(Y627:Y630)</f>
      </c>
    </row>
    <row r="632">
      <c r="A632" s="363"/>
      <c r="B632" s="353" t="s">
        <v>246</v>
      </c>
      <c r="C632" s="353"/>
      <c r="D632" s="354">
        <f>D631+D626+D621</f>
      </c>
      <c r="E632" s="354">
        <f>E631+E626+E621</f>
      </c>
      <c r="F632" s="354">
        <f>F631+F626+F621</f>
      </c>
      <c r="G632" s="354"/>
      <c r="H632" s="354">
        <f>H631+H626+H621</f>
      </c>
      <c r="I632" s="354">
        <f>I631+I626+I621</f>
      </c>
      <c r="J632" s="356">
        <f t="shared" si="265"/>
      </c>
      <c r="K632" s="356">
        <f t="shared" si="303"/>
      </c>
      <c r="L632" s="356">
        <f t="shared" si="338"/>
      </c>
      <c r="M632" s="357">
        <f t="shared" si="31"/>
      </c>
      <c r="N632" s="357">
        <f t="shared" si="97"/>
      </c>
      <c r="O632" s="356">
        <f t="shared" si="127"/>
      </c>
      <c r="P632" s="357">
        <f t="shared" si="63"/>
      </c>
      <c r="Q632" s="358"/>
      <c r="R632" s="359"/>
      <c r="S632" s="354">
        <f>S631+S626+S621</f>
      </c>
      <c r="T632" s="354">
        <f>T631+T626+T621</f>
      </c>
      <c r="U632" s="354">
        <f>U631+U626+U621</f>
      </c>
      <c r="V632" s="354">
        <f>V631+V626+V621</f>
      </c>
      <c r="W632" s="354">
        <f>W631+W626+W621</f>
      </c>
      <c r="X632" s="354">
        <f>X631+X626+X621</f>
      </c>
      <c r="Y632" s="354">
        <f>Y631+Y626+Y621</f>
      </c>
    </row>
    <row r="633">
      <c r="A633" s="382" t="s">
        <v>195</v>
      </c>
      <c r="B633" s="382"/>
      <c r="C633" s="382"/>
      <c r="D633" s="383" t="s">
        <v>196</v>
      </c>
      <c r="E633" s="383"/>
      <c r="F633" s="383"/>
      <c r="G633" s="383"/>
      <c r="H633" s="383"/>
      <c r="I633" s="383"/>
      <c r="J633" s="383"/>
      <c r="K633" s="383"/>
      <c r="L633" s="383"/>
      <c r="M633" s="384" t="s">
        <v>197</v>
      </c>
      <c r="N633" s="384"/>
      <c r="O633" s="384"/>
      <c r="P633" s="384"/>
      <c r="Q633" s="384"/>
      <c r="R633" s="384"/>
      <c r="S633" s="385" t="s">
        <v>198</v>
      </c>
      <c r="T633" s="385"/>
      <c r="U633" s="385"/>
      <c r="V633" s="385"/>
      <c r="W633" s="385"/>
      <c r="X633" s="385"/>
      <c r="Y633" s="385"/>
    </row>
    <row r="634">
      <c r="A634" s="386" t="s">
        <v>199</v>
      </c>
      <c r="B634" s="382" t="s">
        <v>200</v>
      </c>
      <c r="C634" s="382" t="s">
        <v>201</v>
      </c>
      <c r="D634" s="387" t="s">
        <v>202</v>
      </c>
      <c r="E634" s="387" t="s">
        <v>203</v>
      </c>
      <c r="F634" s="383" t="s">
        <v>204</v>
      </c>
      <c r="G634" s="383"/>
      <c r="H634" s="388" t="s">
        <v>205</v>
      </c>
      <c r="I634" s="383" t="s">
        <v>206</v>
      </c>
      <c r="J634" s="389" t="s">
        <v>207</v>
      </c>
      <c r="K634" s="390" t="s">
        <v>208</v>
      </c>
      <c r="L634" s="383" t="s">
        <v>209</v>
      </c>
      <c r="M634" s="384" t="s">
        <v>210</v>
      </c>
      <c r="N634" s="384" t="s">
        <v>211</v>
      </c>
      <c r="O634" s="384" t="s">
        <v>212</v>
      </c>
      <c r="P634" s="384" t="s">
        <v>213</v>
      </c>
      <c r="Q634" s="391" t="s">
        <v>214</v>
      </c>
      <c r="R634" s="391" t="s">
        <v>215</v>
      </c>
      <c r="S634" s="392" t="s">
        <v>216</v>
      </c>
      <c r="T634" s="392" t="s">
        <v>217</v>
      </c>
      <c r="U634" s="393" t="s">
        <v>218</v>
      </c>
      <c r="V634" s="393" t="s">
        <v>219</v>
      </c>
      <c r="W634" s="393" t="s">
        <v>220</v>
      </c>
      <c r="X634" s="393" t="s">
        <v>221</v>
      </c>
      <c r="Y634" s="393" t="s">
        <v>222</v>
      </c>
    </row>
    <row r="635">
      <c r="A635" s="427" t="s">
        <v>290</v>
      </c>
      <c r="B635" s="395" t="s">
        <v>257</v>
      </c>
      <c r="C635" s="364" t="s">
        <v>228</v>
      </c>
      <c r="D635" s="364">
        <f t="shared" ref="D635:D638" si="230">E635+G635+F635</f>
      </c>
      <c r="E635" s="364">
        <v>2245.33</v>
      </c>
      <c r="F635" s="364">
        <v>2251.05</v>
      </c>
      <c r="G635" s="424">
        <v>0</v>
      </c>
      <c r="H635" s="372">
        <v>17</v>
      </c>
      <c r="I635" s="364">
        <v>6427.34</v>
      </c>
      <c r="J635" s="397">
        <f t="shared" ref="J635:J656" si="266">I635/D635</f>
      </c>
      <c r="K635" s="397">
        <f t="shared" ref="K635:K656" si="304">D635/H635</f>
      </c>
      <c r="L635" s="373">
        <f t="shared" ref="L635:L656" si="339">I635/H635</f>
      </c>
      <c r="M635" s="374">
        <f t="shared" ref="M635:M656" si="32">T635/S635</f>
      </c>
      <c r="N635" s="375">
        <f t="shared" ref="N635:N656" si="98">H635/X635</f>
      </c>
      <c r="O635" s="376">
        <f t="shared" ref="O635:O656" si="128">(Y635*1000)/D635</f>
      </c>
      <c r="P635" s="375">
        <f t="shared" ref="P635:P656" si="64">W635/V635</f>
      </c>
      <c r="Q635" s="377" t="s">
        <v>255</v>
      </c>
      <c r="R635" s="378" t="s">
        <v>261</v>
      </c>
      <c r="S635" s="398">
        <v>116267</v>
      </c>
      <c r="T635" s="398">
        <v>5004</v>
      </c>
      <c r="U635" s="399">
        <v>344</v>
      </c>
      <c r="V635" s="398">
        <v>8147</v>
      </c>
      <c r="W635" s="398">
        <v>1040</v>
      </c>
      <c r="X635" s="380">
        <v>31</v>
      </c>
      <c r="Y635" s="380">
        <v>52</v>
      </c>
    </row>
    <row r="636">
      <c r="A636" s="428"/>
      <c r="B636" s="395" t="s">
        <v>257</v>
      </c>
      <c r="C636" s="364" t="s">
        <v>229</v>
      </c>
      <c r="D636" s="364">
        <f t="shared" si="230"/>
      </c>
      <c r="E636" s="364">
        <v>1157.83</v>
      </c>
      <c r="F636" s="364">
        <v>3291.18</v>
      </c>
      <c r="G636" s="364">
        <v>0</v>
      </c>
      <c r="H636" s="396">
        <v>14</v>
      </c>
      <c r="I636" s="364">
        <v>5296.48</v>
      </c>
      <c r="J636" s="373">
        <f t="shared" si="266"/>
      </c>
      <c r="K636" s="373">
        <f t="shared" si="304"/>
      </c>
      <c r="L636" s="397">
        <f t="shared" si="339"/>
      </c>
      <c r="M636" s="374">
        <f t="shared" si="32"/>
      </c>
      <c r="N636" s="375">
        <f t="shared" si="98"/>
      </c>
      <c r="O636" s="376">
        <f t="shared" si="128"/>
      </c>
      <c r="P636" s="375">
        <f t="shared" si="64"/>
      </c>
      <c r="Q636" s="377" t="s">
        <v>255</v>
      </c>
      <c r="R636" s="378" t="s">
        <v>261</v>
      </c>
      <c r="S636" s="429">
        <v>132416</v>
      </c>
      <c r="T636" s="429">
        <v>3352</v>
      </c>
      <c r="U636" s="398">
        <v>287</v>
      </c>
      <c r="V636" s="398">
        <v>5822</v>
      </c>
      <c r="W636" s="398">
        <v>847</v>
      </c>
      <c r="X636" s="380">
        <v>25</v>
      </c>
      <c r="Y636" s="379">
        <v>51</v>
      </c>
    </row>
    <row r="637">
      <c r="A637" s="428"/>
      <c r="B637" s="371" t="s">
        <v>257</v>
      </c>
      <c r="C637" s="364" t="s">
        <v>230</v>
      </c>
      <c r="D637" s="364">
        <f t="shared" si="230"/>
      </c>
      <c r="E637" s="400">
        <v>639.1</v>
      </c>
      <c r="F637" s="364">
        <v>2150.88</v>
      </c>
      <c r="G637" s="364">
        <v>0</v>
      </c>
      <c r="H637" s="396">
        <v>9</v>
      </c>
      <c r="I637" s="364">
        <v>5628</v>
      </c>
      <c r="J637" s="373">
        <f t="shared" si="266"/>
      </c>
      <c r="K637" s="373">
        <f t="shared" si="304"/>
      </c>
      <c r="L637" s="373">
        <f t="shared" si="339"/>
      </c>
      <c r="M637" s="374">
        <f t="shared" si="32"/>
      </c>
      <c r="N637" s="375">
        <f t="shared" si="98"/>
      </c>
      <c r="O637" s="376">
        <f t="shared" si="128"/>
      </c>
      <c r="P637" s="375">
        <f t="shared" si="64"/>
      </c>
      <c r="Q637" s="377" t="s">
        <v>255</v>
      </c>
      <c r="R637" s="378" t="s">
        <v>261</v>
      </c>
      <c r="S637" s="379">
        <v>87243</v>
      </c>
      <c r="T637" s="379">
        <v>2020</v>
      </c>
      <c r="U637" s="379">
        <v>159</v>
      </c>
      <c r="V637" s="379">
        <v>3034</v>
      </c>
      <c r="W637" s="379">
        <v>440</v>
      </c>
      <c r="X637" s="380">
        <v>13</v>
      </c>
      <c r="Y637" s="379">
        <v>48</v>
      </c>
    </row>
    <row r="638">
      <c r="A638" s="428"/>
      <c r="B638" s="371" t="s">
        <v>257</v>
      </c>
      <c r="C638" s="364" t="s">
        <v>231</v>
      </c>
      <c r="D638" s="364">
        <f t="shared" si="230"/>
      </c>
      <c r="E638" s="364">
        <v>742.04</v>
      </c>
      <c r="F638" s="364">
        <v>2334.04</v>
      </c>
      <c r="G638" s="364">
        <v>0</v>
      </c>
      <c r="H638" s="396">
        <v>12</v>
      </c>
      <c r="I638" s="364">
        <v>4745.760000000002</v>
      </c>
      <c r="J638" s="373">
        <f t="shared" si="266"/>
      </c>
      <c r="K638" s="373">
        <f t="shared" si="304"/>
      </c>
      <c r="L638" s="373">
        <f t="shared" si="339"/>
      </c>
      <c r="M638" s="374">
        <f t="shared" si="32"/>
      </c>
      <c r="N638" s="375">
        <f t="shared" si="98"/>
      </c>
      <c r="O638" s="376">
        <f t="shared" si="128"/>
      </c>
      <c r="P638" s="375">
        <f t="shared" si="64"/>
      </c>
      <c r="Q638" s="377" t="s">
        <v>255</v>
      </c>
      <c r="R638" s="378" t="s">
        <v>261</v>
      </c>
      <c r="S638" s="379">
        <v>93966</v>
      </c>
      <c r="T638" s="379">
        <v>2425</v>
      </c>
      <c r="U638" s="379">
        <v>230</v>
      </c>
      <c r="V638" s="379">
        <v>3733</v>
      </c>
      <c r="W638" s="379">
        <v>494</v>
      </c>
      <c r="X638" s="380">
        <v>19</v>
      </c>
      <c r="Y638" s="379">
        <v>45</v>
      </c>
    </row>
    <row r="639">
      <c r="A639" s="428"/>
      <c r="B639" s="403" t="s">
        <v>232</v>
      </c>
      <c r="C639" s="403"/>
      <c r="D639" s="404">
        <f>SUM(D635:D638)</f>
      </c>
      <c r="E639" s="404">
        <f>SUM(E635:E638)</f>
      </c>
      <c r="F639" s="404">
        <f>SUM(F635:G638)</f>
      </c>
      <c r="G639" s="404"/>
      <c r="H639" s="405">
        <f>SUM(H635:H638)</f>
      </c>
      <c r="I639" s="404">
        <f>SUM(I635:I638)</f>
      </c>
      <c r="J639" s="406">
        <f t="shared" si="266"/>
      </c>
      <c r="K639" s="407">
        <f t="shared" si="304"/>
      </c>
      <c r="L639" s="408">
        <f t="shared" si="339"/>
      </c>
      <c r="M639" s="409">
        <f t="shared" si="32"/>
      </c>
      <c r="N639" s="409">
        <f t="shared" si="98"/>
      </c>
      <c r="O639" s="410">
        <f t="shared" si="128"/>
      </c>
      <c r="P639" s="409">
        <f t="shared" si="64"/>
      </c>
      <c r="Q639" s="410"/>
      <c r="R639" s="410"/>
      <c r="S639" s="405">
        <f>SUM(S635:S638)</f>
      </c>
      <c r="T639" s="405">
        <f>SUM(T635:T638)</f>
      </c>
      <c r="U639" s="405">
        <f>SUM(U635:U638)</f>
      </c>
      <c r="V639" s="405">
        <f>SUM(V635:V638)</f>
      </c>
      <c r="W639" s="405">
        <f>SUM(W635:W638)</f>
      </c>
      <c r="X639" s="405">
        <f>SUM(X635:X638)</f>
      </c>
      <c r="Y639" s="405">
        <f>SUM(Y635:Y638)</f>
      </c>
    </row>
    <row r="640">
      <c r="A640" s="428"/>
      <c r="B640" s="430" t="s">
        <v>233</v>
      </c>
      <c r="C640" s="364" t="s">
        <v>234</v>
      </c>
      <c r="D640" s="364">
        <f t="shared" ref="D640:D643" si="231">E640+G640+F640</f>
      </c>
      <c r="E640" s="364">
        <v>852.85</v>
      </c>
      <c r="F640" s="364">
        <v>3774.42</v>
      </c>
      <c r="G640" s="364">
        <v>0</v>
      </c>
      <c r="H640" s="396">
        <v>14</v>
      </c>
      <c r="I640" s="364">
        <v>5160.789999999997</v>
      </c>
      <c r="J640" s="373">
        <f t="shared" si="266"/>
      </c>
      <c r="K640" s="373">
        <f t="shared" si="304"/>
      </c>
      <c r="L640" s="373">
        <f t="shared" si="339"/>
      </c>
      <c r="M640" s="374">
        <f t="shared" si="32"/>
      </c>
      <c r="N640" s="375">
        <f t="shared" si="98"/>
      </c>
      <c r="O640" s="376">
        <f t="shared" si="128"/>
      </c>
      <c r="P640" s="375">
        <f t="shared" si="64"/>
      </c>
      <c r="Q640" s="377" t="s">
        <v>255</v>
      </c>
      <c r="R640" s="378" t="s">
        <v>261</v>
      </c>
      <c r="S640" s="411">
        <v>195109</v>
      </c>
      <c r="T640" s="411">
        <v>4141</v>
      </c>
      <c r="U640" s="411">
        <v>369</v>
      </c>
      <c r="V640" s="411">
        <v>5807</v>
      </c>
      <c r="W640" s="411">
        <v>680</v>
      </c>
      <c r="X640" s="431">
        <v>29</v>
      </c>
      <c r="Y640" s="411">
        <v>70</v>
      </c>
    </row>
    <row r="641">
      <c r="A641" s="428"/>
      <c r="B641" s="371" t="s">
        <v>233</v>
      </c>
      <c r="C641" s="364" t="s">
        <v>235</v>
      </c>
      <c r="D641" s="364">
        <f t="shared" si="231"/>
      </c>
      <c r="E641" s="364">
        <v>1164</v>
      </c>
      <c r="F641" s="364">
        <v>1834.4</v>
      </c>
      <c r="G641" s="364">
        <v>0</v>
      </c>
      <c r="H641" s="396">
        <v>14</v>
      </c>
      <c r="I641" s="364">
        <v>6582.9699999999975</v>
      </c>
      <c r="J641" s="373">
        <f t="shared" si="266"/>
      </c>
      <c r="K641" s="373">
        <f t="shared" si="304"/>
      </c>
      <c r="L641" s="373">
        <f t="shared" si="339"/>
      </c>
      <c r="M641" s="374">
        <f t="shared" si="32"/>
      </c>
      <c r="N641" s="375">
        <f t="shared" si="98"/>
      </c>
      <c r="O641" s="376">
        <f t="shared" si="128"/>
      </c>
      <c r="P641" s="375">
        <f t="shared" si="64"/>
      </c>
      <c r="Q641" s="377" t="s">
        <v>255</v>
      </c>
      <c r="R641" s="378" t="s">
        <v>261</v>
      </c>
      <c r="S641" s="411">
        <v>92622</v>
      </c>
      <c r="T641" s="411">
        <v>3883</v>
      </c>
      <c r="U641" s="411">
        <v>218</v>
      </c>
      <c r="V641" s="411">
        <v>6132</v>
      </c>
      <c r="W641" s="411">
        <v>670</v>
      </c>
      <c r="X641" s="431">
        <v>22</v>
      </c>
      <c r="Y641" s="411">
        <v>39</v>
      </c>
    </row>
    <row r="642">
      <c r="A642" s="428"/>
      <c r="B642" s="371" t="s">
        <v>233</v>
      </c>
      <c r="C642" s="364" t="s">
        <v>236</v>
      </c>
      <c r="D642" s="364">
        <f t="shared" si="231"/>
      </c>
      <c r="E642" s="364">
        <v>1339.44</v>
      </c>
      <c r="F642" s="364">
        <v>4570.62</v>
      </c>
      <c r="G642" s="364">
        <v>0</v>
      </c>
      <c r="H642" s="396">
        <v>21</v>
      </c>
      <c r="I642" s="364">
        <v>14010.980000000003</v>
      </c>
      <c r="J642" s="373">
        <f t="shared" si="266"/>
      </c>
      <c r="K642" s="373">
        <f t="shared" si="304"/>
      </c>
      <c r="L642" s="373">
        <f t="shared" si="339"/>
      </c>
      <c r="M642" s="374">
        <f t="shared" si="32"/>
      </c>
      <c r="N642" s="375">
        <f t="shared" si="98"/>
      </c>
      <c r="O642" s="376">
        <f t="shared" si="128"/>
      </c>
      <c r="P642" s="375">
        <f t="shared" si="64"/>
      </c>
      <c r="Q642" s="377" t="s">
        <v>255</v>
      </c>
      <c r="R642" s="378" t="s">
        <v>261</v>
      </c>
      <c r="S642" s="411">
        <v>176703</v>
      </c>
      <c r="T642" s="411">
        <v>7649</v>
      </c>
      <c r="U642" s="411">
        <v>415</v>
      </c>
      <c r="V642" s="411">
        <v>10799</v>
      </c>
      <c r="W642" s="411">
        <v>975</v>
      </c>
      <c r="X642" s="411">
        <v>76</v>
      </c>
      <c r="Y642" s="411">
        <v>91</v>
      </c>
    </row>
    <row r="643">
      <c r="A643" s="428"/>
      <c r="B643" s="371" t="s">
        <v>233</v>
      </c>
      <c r="C643" s="364" t="s">
        <v>237</v>
      </c>
      <c r="D643" s="364">
        <f t="shared" si="231"/>
      </c>
      <c r="E643" s="364">
        <v>2204.57</v>
      </c>
      <c r="F643" s="364">
        <v>2436.76</v>
      </c>
      <c r="G643" s="364">
        <v>0</v>
      </c>
      <c r="H643" s="396">
        <v>15</v>
      </c>
      <c r="I643" s="364">
        <v>6774.029999999999</v>
      </c>
      <c r="J643" s="373">
        <f t="shared" si="266"/>
      </c>
      <c r="K643" s="373">
        <f t="shared" si="304"/>
      </c>
      <c r="L643" s="373">
        <f t="shared" si="339"/>
      </c>
      <c r="M643" s="374">
        <f t="shared" si="32"/>
      </c>
      <c r="N643" s="375">
        <f t="shared" si="98"/>
      </c>
      <c r="O643" s="376">
        <f t="shared" si="128"/>
      </c>
      <c r="P643" s="375">
        <f t="shared" si="64"/>
      </c>
      <c r="Q643" s="377" t="s">
        <v>255</v>
      </c>
      <c r="R643" s="378" t="s">
        <v>227</v>
      </c>
      <c r="S643" s="411">
        <v>156755</v>
      </c>
      <c r="T643" s="411">
        <v>8034</v>
      </c>
      <c r="U643" s="411">
        <v>419</v>
      </c>
      <c r="V643" s="411">
        <v>13324</v>
      </c>
      <c r="W643" s="411">
        <v>1466</v>
      </c>
      <c r="X643" s="411">
        <v>30</v>
      </c>
      <c r="Y643" s="411">
        <v>80</v>
      </c>
    </row>
    <row r="644">
      <c r="A644" s="428"/>
      <c r="B644" s="403" t="s">
        <v>232</v>
      </c>
      <c r="C644" s="403"/>
      <c r="D644" s="404">
        <f>SUM(D640:D643)</f>
      </c>
      <c r="E644" s="404">
        <f>SUM(E640:E643)</f>
      </c>
      <c r="F644" s="404">
        <f>SUM(F640:G643)</f>
      </c>
      <c r="G644" s="404"/>
      <c r="H644" s="405">
        <f>SUM(H640:H643)</f>
      </c>
      <c r="I644" s="404">
        <f>SUM(I640:I643)</f>
      </c>
      <c r="J644" s="406">
        <f t="shared" si="266"/>
      </c>
      <c r="K644" s="407">
        <f t="shared" si="304"/>
      </c>
      <c r="L644" s="408">
        <f t="shared" si="339"/>
      </c>
      <c r="M644" s="409">
        <f t="shared" si="32"/>
      </c>
      <c r="N644" s="409">
        <f t="shared" si="98"/>
      </c>
      <c r="O644" s="410">
        <f t="shared" si="128"/>
      </c>
      <c r="P644" s="409">
        <f t="shared" si="64"/>
      </c>
      <c r="Q644" s="410"/>
      <c r="R644" s="410"/>
      <c r="S644" s="405">
        <f>SUM(S640:S643)</f>
      </c>
      <c r="T644" s="405">
        <f>SUM(T640:T643)</f>
      </c>
      <c r="U644" s="405">
        <f>SUM(U640:U643)</f>
      </c>
      <c r="V644" s="405">
        <f>SUM(V640:V643)</f>
      </c>
      <c r="W644" s="405">
        <f>SUM(W640:W643)</f>
      </c>
      <c r="X644" s="405">
        <f>SUM(X640:X643)</f>
      </c>
      <c r="Y644" s="405">
        <f>SUM(Y640:Y643)</f>
      </c>
    </row>
    <row r="645">
      <c r="A645" s="428"/>
      <c r="B645" s="371" t="s">
        <v>260</v>
      </c>
      <c r="C645" s="364" t="s">
        <v>239</v>
      </c>
      <c r="D645" s="364">
        <f t="shared" ref="D645:D648" si="232">E645+G645+F645</f>
      </c>
      <c r="E645" s="364">
        <v>1528.47</v>
      </c>
      <c r="F645" s="364">
        <v>1645.84</v>
      </c>
      <c r="G645" s="364">
        <v>0</v>
      </c>
      <c r="H645" s="396">
        <v>14</v>
      </c>
      <c r="I645" s="364">
        <v>9371.279999999999</v>
      </c>
      <c r="J645" s="373">
        <f t="shared" si="266"/>
      </c>
      <c r="K645" s="373">
        <f t="shared" si="304"/>
      </c>
      <c r="L645" s="373">
        <f t="shared" si="339"/>
      </c>
      <c r="M645" s="374">
        <f t="shared" si="32"/>
      </c>
      <c r="N645" s="375">
        <f t="shared" si="98"/>
      </c>
      <c r="O645" s="376">
        <f t="shared" si="128"/>
      </c>
      <c r="P645" s="375">
        <f t="shared" si="64"/>
      </c>
      <c r="Q645" s="377" t="s">
        <v>258</v>
      </c>
      <c r="R645" s="378" t="s">
        <v>227</v>
      </c>
      <c r="S645" s="432">
        <v>99573</v>
      </c>
      <c r="T645" s="432">
        <v>4471</v>
      </c>
      <c r="U645" s="432">
        <v>268</v>
      </c>
      <c r="V645" s="432">
        <v>6714</v>
      </c>
      <c r="W645" s="432">
        <v>660</v>
      </c>
      <c r="X645" s="411">
        <v>25</v>
      </c>
      <c r="Y645" s="411">
        <v>52</v>
      </c>
    </row>
    <row r="646">
      <c r="A646" s="428"/>
      <c r="B646" s="371" t="s">
        <v>260</v>
      </c>
      <c r="C646" s="364" t="s">
        <v>241</v>
      </c>
      <c r="D646" s="364">
        <f t="shared" si="232"/>
      </c>
      <c r="E646" s="364">
        <v>1730.99</v>
      </c>
      <c r="F646" s="364">
        <v>1107.96</v>
      </c>
      <c r="G646" s="364">
        <v>0</v>
      </c>
      <c r="H646" s="396">
        <v>14</v>
      </c>
      <c r="I646" s="364">
        <v>6415.049999999996</v>
      </c>
      <c r="J646" s="373">
        <f t="shared" si="266"/>
      </c>
      <c r="K646" s="373">
        <f t="shared" si="304"/>
      </c>
      <c r="L646" s="373">
        <f t="shared" si="339"/>
      </c>
      <c r="M646" s="374">
        <f t="shared" si="32"/>
      </c>
      <c r="N646" s="375">
        <f t="shared" si="98"/>
      </c>
      <c r="O646" s="376">
        <f t="shared" si="128"/>
      </c>
      <c r="P646" s="375">
        <f t="shared" si="64"/>
      </c>
      <c r="Q646" s="377" t="s">
        <v>258</v>
      </c>
      <c r="R646" s="412" t="s">
        <v>227</v>
      </c>
      <c r="S646" s="411">
        <v>92901</v>
      </c>
      <c r="T646" s="411">
        <v>4693</v>
      </c>
      <c r="U646" s="411">
        <v>226</v>
      </c>
      <c r="V646" s="411">
        <v>7899</v>
      </c>
      <c r="W646" s="411">
        <v>924</v>
      </c>
      <c r="X646" s="411">
        <v>17</v>
      </c>
      <c r="Y646" s="411">
        <v>39</v>
      </c>
    </row>
    <row r="647">
      <c r="A647" s="428"/>
      <c r="B647" s="371" t="s">
        <v>260</v>
      </c>
      <c r="C647" s="364" t="s">
        <v>242</v>
      </c>
      <c r="D647" s="364">
        <f t="shared" si="232"/>
      </c>
      <c r="E647" s="364">
        <v>326.76</v>
      </c>
      <c r="F647" s="364">
        <v>1110.04</v>
      </c>
      <c r="G647" s="364">
        <v>0</v>
      </c>
      <c r="H647" s="396">
        <v>3</v>
      </c>
      <c r="I647" s="364">
        <v>626.7600000000093</v>
      </c>
      <c r="J647" s="373">
        <f t="shared" si="266"/>
      </c>
      <c r="K647" s="373">
        <f t="shared" si="304"/>
      </c>
      <c r="L647" s="373">
        <f t="shared" si="339"/>
      </c>
      <c r="M647" s="374">
        <f t="shared" si="32"/>
      </c>
      <c r="N647" s="375">
        <f t="shared" si="98"/>
      </c>
      <c r="O647" s="376">
        <f t="shared" si="128"/>
      </c>
      <c r="P647" s="375">
        <f t="shared" si="64"/>
      </c>
      <c r="Q647" s="377" t="s">
        <v>258</v>
      </c>
      <c r="R647" s="412" t="s">
        <v>227</v>
      </c>
      <c r="S647" s="411">
        <v>56908</v>
      </c>
      <c r="T647" s="411">
        <v>2480</v>
      </c>
      <c r="U647" s="411">
        <v>103</v>
      </c>
      <c r="V647" s="411">
        <v>2596</v>
      </c>
      <c r="W647" s="411">
        <v>112</v>
      </c>
      <c r="X647" s="411">
        <v>22</v>
      </c>
      <c r="Y647" s="411">
        <v>6</v>
      </c>
    </row>
    <row r="648">
      <c r="A648" s="428"/>
      <c r="B648" s="371" t="s">
        <v>260</v>
      </c>
      <c r="C648" s="364" t="s">
        <v>244</v>
      </c>
      <c r="D648" s="364">
        <f t="shared" si="232"/>
      </c>
      <c r="E648" s="364">
        <v>962.46</v>
      </c>
      <c r="F648" s="364">
        <v>844.26</v>
      </c>
      <c r="G648" s="364">
        <v>0</v>
      </c>
      <c r="H648" s="396">
        <v>9</v>
      </c>
      <c r="I648" s="364">
        <v>3338.520000000004</v>
      </c>
      <c r="J648" s="373">
        <f t="shared" si="266"/>
      </c>
      <c r="K648" s="373">
        <f t="shared" si="304"/>
      </c>
      <c r="L648" s="373">
        <f t="shared" si="339"/>
      </c>
      <c r="M648" s="374">
        <f t="shared" si="32"/>
      </c>
      <c r="N648" s="375">
        <f t="shared" si="98"/>
      </c>
      <c r="O648" s="376">
        <f t="shared" si="128"/>
      </c>
      <c r="P648" s="375">
        <f t="shared" si="64"/>
      </c>
      <c r="Q648" s="377" t="s">
        <v>258</v>
      </c>
      <c r="R648" s="412" t="s">
        <v>227</v>
      </c>
      <c r="S648" s="411">
        <v>76021</v>
      </c>
      <c r="T648" s="411">
        <v>3282</v>
      </c>
      <c r="U648" s="411">
        <v>168</v>
      </c>
      <c r="V648" s="411">
        <v>4492</v>
      </c>
      <c r="W648" s="411">
        <v>400</v>
      </c>
      <c r="X648" s="411">
        <v>19</v>
      </c>
      <c r="Y648" s="411">
        <v>88</v>
      </c>
    </row>
    <row r="649">
      <c r="A649" s="428"/>
      <c r="B649" s="403" t="s">
        <v>232</v>
      </c>
      <c r="C649" s="403"/>
      <c r="D649" s="404">
        <f>SUM(D645:D648)</f>
      </c>
      <c r="E649" s="404">
        <f>SUM(E645:E648)</f>
      </c>
      <c r="F649" s="404">
        <f>SUM(F645:G648)</f>
      </c>
      <c r="G649" s="404"/>
      <c r="H649" s="405">
        <f>SUM(H645:H648)</f>
      </c>
      <c r="I649" s="404">
        <f>SUM(I645:I648)</f>
      </c>
      <c r="J649" s="406">
        <f t="shared" si="266"/>
      </c>
      <c r="K649" s="407">
        <f t="shared" si="304"/>
      </c>
      <c r="L649" s="408">
        <f t="shared" si="339"/>
      </c>
      <c r="M649" s="409">
        <f t="shared" si="32"/>
      </c>
      <c r="N649" s="409">
        <f t="shared" si="98"/>
      </c>
      <c r="O649" s="410">
        <f t="shared" si="128"/>
      </c>
      <c r="P649" s="409">
        <f t="shared" si="64"/>
      </c>
      <c r="Q649" s="410"/>
      <c r="R649" s="410"/>
      <c r="S649" s="405">
        <f>SUM(S645:S648)</f>
      </c>
      <c r="T649" s="405">
        <f>SUM(T645:T648)</f>
      </c>
      <c r="U649" s="405">
        <f>SUM(U645:U648)</f>
      </c>
      <c r="V649" s="405">
        <f>SUM(V645:V648)</f>
      </c>
      <c r="W649" s="405">
        <f>SUM(W645:W648)</f>
      </c>
      <c r="X649" s="405">
        <f>SUM(X645:X648)</f>
      </c>
      <c r="Y649" s="405">
        <f>SUM(Y645:Y648)</f>
      </c>
    </row>
    <row r="650">
      <c r="A650" s="428"/>
      <c r="B650" s="371" t="s">
        <v>248</v>
      </c>
      <c r="C650" s="364" t="s">
        <v>245</v>
      </c>
      <c r="D650" s="364">
        <f t="shared" ref="D650:D654" si="233">E650+G650+F650</f>
      </c>
      <c r="E650" s="364">
        <v>1939.24</v>
      </c>
      <c r="F650" s="364">
        <v>1255.84</v>
      </c>
      <c r="G650" s="364">
        <v>0</v>
      </c>
      <c r="H650" s="396">
        <v>8</v>
      </c>
      <c r="I650" s="364">
        <v>4472.5199999999895</v>
      </c>
      <c r="J650" s="373">
        <f t="shared" si="266"/>
      </c>
      <c r="K650" s="373">
        <f t="shared" si="304"/>
      </c>
      <c r="L650" s="373">
        <f t="shared" si="339"/>
      </c>
      <c r="M650" s="374">
        <f t="shared" si="32"/>
      </c>
      <c r="N650" s="375">
        <f t="shared" si="98"/>
      </c>
      <c r="O650" s="376">
        <f t="shared" si="128"/>
      </c>
      <c r="P650" s="375">
        <f t="shared" si="64"/>
      </c>
      <c r="Q650" s="377" t="s">
        <v>258</v>
      </c>
      <c r="R650" s="412" t="s">
        <v>227</v>
      </c>
      <c r="S650" s="411">
        <v>114828</v>
      </c>
      <c r="T650" s="411">
        <v>5714</v>
      </c>
      <c r="U650" s="411">
        <v>245</v>
      </c>
      <c r="V650" s="411">
        <v>9009</v>
      </c>
      <c r="W650" s="411">
        <v>870</v>
      </c>
      <c r="X650" s="411">
        <v>13</v>
      </c>
      <c r="Y650" s="411">
        <v>73</v>
      </c>
    </row>
    <row r="651">
      <c r="A651" s="428"/>
      <c r="B651" s="371" t="s">
        <v>248</v>
      </c>
      <c r="C651" s="364" t="s">
        <v>250</v>
      </c>
      <c r="D651" s="364">
        <f t="shared" si="233"/>
      </c>
      <c r="E651" s="424">
        <v>1622.4</v>
      </c>
      <c r="F651" s="424">
        <v>1264.27</v>
      </c>
      <c r="G651" s="364">
        <v>0</v>
      </c>
      <c r="H651" s="372">
        <v>13</v>
      </c>
      <c r="I651" s="424">
        <v>5019.12</v>
      </c>
      <c r="J651" s="373">
        <f t="shared" si="266"/>
      </c>
      <c r="K651" s="373">
        <f t="shared" si="304"/>
      </c>
      <c r="L651" s="373">
        <f t="shared" si="339"/>
      </c>
      <c r="M651" s="374">
        <f t="shared" si="32"/>
      </c>
      <c r="N651" s="375">
        <f t="shared" si="98"/>
      </c>
      <c r="O651" s="376">
        <f t="shared" si="128"/>
      </c>
      <c r="P651" s="375">
        <f t="shared" si="64"/>
      </c>
      <c r="Q651" s="377" t="s">
        <v>258</v>
      </c>
      <c r="R651" s="412" t="s">
        <v>227</v>
      </c>
      <c r="S651" s="413">
        <v>115660</v>
      </c>
      <c r="T651" s="413">
        <v>5193</v>
      </c>
      <c r="U651" s="413">
        <v>286</v>
      </c>
      <c r="V651" s="413">
        <v>9057</v>
      </c>
      <c r="W651" s="413">
        <v>1081</v>
      </c>
      <c r="X651" s="431">
        <v>24</v>
      </c>
      <c r="Y651" s="431">
        <v>66</v>
      </c>
    </row>
    <row r="652">
      <c r="A652" s="428"/>
      <c r="B652" s="371" t="s">
        <v>248</v>
      </c>
      <c r="C652" s="364" t="s">
        <v>264</v>
      </c>
      <c r="D652" s="364">
        <f t="shared" si="233"/>
      </c>
      <c r="E652" s="364">
        <v>267.47</v>
      </c>
      <c r="F652" s="364">
        <v>1984.03</v>
      </c>
      <c r="G652" s="364">
        <v>0</v>
      </c>
      <c r="H652" s="396">
        <v>9</v>
      </c>
      <c r="I652" s="364">
        <v>5558.880000000005</v>
      </c>
      <c r="J652" s="373">
        <f t="shared" si="266"/>
      </c>
      <c r="K652" s="373">
        <f t="shared" si="304"/>
      </c>
      <c r="L652" s="373">
        <f t="shared" si="339"/>
      </c>
      <c r="M652" s="374">
        <f t="shared" si="32"/>
      </c>
      <c r="N652" s="375">
        <f t="shared" si="98"/>
      </c>
      <c r="O652" s="376">
        <f t="shared" si="128"/>
      </c>
      <c r="P652" s="375">
        <f t="shared" si="64"/>
      </c>
      <c r="Q652" s="377" t="s">
        <v>258</v>
      </c>
      <c r="R652" s="412" t="s">
        <v>227</v>
      </c>
      <c r="S652" s="413">
        <v>43106</v>
      </c>
      <c r="T652" s="413">
        <v>3082</v>
      </c>
      <c r="U652" s="413">
        <v>151</v>
      </c>
      <c r="V652" s="413">
        <v>3204</v>
      </c>
      <c r="W652" s="413">
        <v>160</v>
      </c>
      <c r="X652" s="431">
        <v>16</v>
      </c>
      <c r="Y652" s="431">
        <v>61</v>
      </c>
    </row>
    <row r="653">
      <c r="A653" s="428"/>
      <c r="B653" s="371" t="s">
        <v>248</v>
      </c>
      <c r="C653" s="364" t="s">
        <v>266</v>
      </c>
      <c r="D653" s="364">
        <f t="shared" si="233"/>
      </c>
      <c r="E653" s="364">
        <v>255.84</v>
      </c>
      <c r="F653" s="364">
        <v>3017.84</v>
      </c>
      <c r="G653" s="364">
        <v>0</v>
      </c>
      <c r="H653" s="396">
        <v>11</v>
      </c>
      <c r="I653" s="364">
        <v>6875.279999999999</v>
      </c>
      <c r="J653" s="373">
        <f t="shared" si="266"/>
      </c>
      <c r="K653" s="373">
        <f t="shared" si="304"/>
      </c>
      <c r="L653" s="373">
        <f t="shared" si="339"/>
      </c>
      <c r="M653" s="374">
        <f t="shared" si="32"/>
      </c>
      <c r="N653" s="375">
        <f t="shared" si="98"/>
      </c>
      <c r="O653" s="376">
        <f t="shared" si="128"/>
      </c>
      <c r="P653" s="375">
        <f t="shared" si="64"/>
      </c>
      <c r="Q653" s="377" t="s">
        <v>258</v>
      </c>
      <c r="R653" s="412" t="s">
        <v>227</v>
      </c>
      <c r="S653" s="413">
        <v>64117</v>
      </c>
      <c r="T653" s="413">
        <v>3874</v>
      </c>
      <c r="U653" s="413">
        <v>233</v>
      </c>
      <c r="V653" s="413">
        <v>4077</v>
      </c>
      <c r="W653" s="413">
        <v>209</v>
      </c>
      <c r="X653" s="411">
        <v>18</v>
      </c>
      <c r="Y653" s="411">
        <v>42</v>
      </c>
    </row>
    <row r="654">
      <c r="A654" s="428"/>
      <c r="B654" s="371" t="s">
        <v>248</v>
      </c>
      <c r="C654" s="364" t="s">
        <v>267</v>
      </c>
      <c r="D654" s="364">
        <f t="shared" si="233"/>
      </c>
      <c r="E654" s="364">
        <v>149.79</v>
      </c>
      <c r="F654" s="424">
        <v>1775.6</v>
      </c>
      <c r="G654" s="364">
        <v>0</v>
      </c>
      <c r="H654" s="396">
        <v>8</v>
      </c>
      <c r="I654" s="364">
        <v>2164.6800000000076</v>
      </c>
      <c r="J654" s="373">
        <f t="shared" si="266"/>
      </c>
      <c r="K654" s="373">
        <f t="shared" si="304"/>
      </c>
      <c r="L654" s="373">
        <f t="shared" si="339"/>
      </c>
      <c r="M654" s="374">
        <f t="shared" si="32"/>
      </c>
      <c r="N654" s="375">
        <f t="shared" si="98"/>
      </c>
      <c r="O654" s="376">
        <f t="shared" si="128"/>
      </c>
      <c r="P654" s="375">
        <f t="shared" si="64"/>
      </c>
      <c r="Q654" s="377" t="s">
        <v>258</v>
      </c>
      <c r="R654" s="412" t="s">
        <v>227</v>
      </c>
      <c r="S654" s="413">
        <v>62409</v>
      </c>
      <c r="T654" s="413">
        <v>2762</v>
      </c>
      <c r="U654" s="413">
        <v>166</v>
      </c>
      <c r="V654" s="413">
        <v>2939</v>
      </c>
      <c r="W654" s="413">
        <v>155</v>
      </c>
      <c r="X654" s="411">
        <v>19</v>
      </c>
      <c r="Y654" s="411">
        <v>28</v>
      </c>
    </row>
    <row r="655">
      <c r="A655" s="428"/>
      <c r="B655" s="403" t="s">
        <v>232</v>
      </c>
      <c r="C655" s="403"/>
      <c r="D655" s="404">
        <f>SUM(D650:D654)</f>
      </c>
      <c r="E655" s="404">
        <f>SUM(E650:E654)</f>
      </c>
      <c r="F655" s="404">
        <f>SUM(F650:G654)</f>
      </c>
      <c r="G655" s="404"/>
      <c r="H655" s="404">
        <f>SUM(H650:H654)</f>
      </c>
      <c r="I655" s="404">
        <f>SUM(I650:I654)</f>
      </c>
      <c r="J655" s="406">
        <f t="shared" si="266"/>
      </c>
      <c r="K655" s="407">
        <f t="shared" si="304"/>
      </c>
      <c r="L655" s="408">
        <f t="shared" si="339"/>
      </c>
      <c r="M655" s="409">
        <f t="shared" si="32"/>
      </c>
      <c r="N655" s="409">
        <f t="shared" si="98"/>
      </c>
      <c r="O655" s="410">
        <f t="shared" si="128"/>
      </c>
      <c r="P655" s="409">
        <f t="shared" si="64"/>
      </c>
      <c r="Q655" s="410"/>
      <c r="R655" s="414"/>
      <c r="S655" s="404">
        <f>SUM(S650:S654)</f>
      </c>
      <c r="T655" s="404">
        <f>SUM(T650:T654)</f>
      </c>
      <c r="U655" s="404">
        <f>SUM(U650:U654)</f>
      </c>
      <c r="V655" s="404">
        <f>SUM(V650:V654)</f>
      </c>
      <c r="W655" s="404">
        <f>SUM(W650:W654)</f>
      </c>
      <c r="X655" s="404">
        <f>SUM(X650:X654)</f>
      </c>
      <c r="Y655" s="404">
        <f>SUM(Y650:Y654)</f>
      </c>
    </row>
    <row r="656">
      <c r="A656" s="428"/>
      <c r="B656" s="415" t="s">
        <v>246</v>
      </c>
      <c r="C656" s="415"/>
      <c r="D656" s="416">
        <f>D655+D649+D644+D639</f>
      </c>
      <c r="E656" s="416">
        <f>E655+E649+E644+E639</f>
      </c>
      <c r="F656" s="416">
        <f>F655+F649+F644+F639</f>
      </c>
      <c r="G656" s="416"/>
      <c r="H656" s="417">
        <f>H655+H649+H644+H639</f>
      </c>
      <c r="I656" s="416">
        <f>I655+I649+I644+I639</f>
      </c>
      <c r="J656" s="418">
        <f t="shared" si="266"/>
      </c>
      <c r="K656" s="418">
        <f t="shared" si="304"/>
      </c>
      <c r="L656" s="418">
        <f t="shared" si="339"/>
      </c>
      <c r="M656" s="419">
        <f t="shared" si="32"/>
      </c>
      <c r="N656" s="419">
        <f t="shared" si="98"/>
      </c>
      <c r="O656" s="418">
        <f t="shared" si="128"/>
      </c>
      <c r="P656" s="419">
        <f t="shared" si="64"/>
      </c>
      <c r="Q656" s="420"/>
      <c r="R656" s="421"/>
      <c r="S656" s="422">
        <f>S655+S649+S644+S639</f>
      </c>
      <c r="T656" s="422">
        <f>T655+T649+T644+T639</f>
      </c>
      <c r="U656" s="422">
        <f>U655+U649+U644+U639</f>
      </c>
      <c r="V656" s="422">
        <f>V655+V649+V644+V639</f>
      </c>
      <c r="W656" s="422">
        <f>W655+W649+W644+W639</f>
      </c>
      <c r="X656" s="423">
        <f>X655+X649+X644+X639</f>
      </c>
      <c r="Y656" s="417">
        <f>Y655+Y649+Y644+Y639</f>
      </c>
    </row>
    <row r="657">
      <c r="A657" s="382" t="s">
        <v>195</v>
      </c>
      <c r="B657" s="382"/>
      <c r="C657" s="382"/>
      <c r="D657" s="383" t="s">
        <v>196</v>
      </c>
      <c r="E657" s="383"/>
      <c r="F657" s="383"/>
      <c r="G657" s="383"/>
      <c r="H657" s="383"/>
      <c r="I657" s="383"/>
      <c r="J657" s="383"/>
      <c r="K657" s="383"/>
      <c r="L657" s="383"/>
      <c r="M657" s="384" t="s">
        <v>197</v>
      </c>
      <c r="N657" s="384"/>
      <c r="O657" s="384"/>
      <c r="P657" s="384"/>
      <c r="Q657" s="384"/>
      <c r="R657" s="384"/>
      <c r="S657" s="385" t="s">
        <v>198</v>
      </c>
      <c r="T657" s="385"/>
      <c r="U657" s="385"/>
      <c r="V657" s="385"/>
      <c r="W657" s="385"/>
      <c r="X657" s="385"/>
      <c r="Y657" s="385"/>
    </row>
    <row r="658">
      <c r="A658" s="386" t="s">
        <v>199</v>
      </c>
      <c r="B658" s="382" t="s">
        <v>200</v>
      </c>
      <c r="C658" s="382" t="s">
        <v>201</v>
      </c>
      <c r="D658" s="387" t="s">
        <v>202</v>
      </c>
      <c r="E658" s="387" t="s">
        <v>203</v>
      </c>
      <c r="F658" s="383" t="s">
        <v>204</v>
      </c>
      <c r="G658" s="383"/>
      <c r="H658" s="388" t="s">
        <v>205</v>
      </c>
      <c r="I658" s="383" t="s">
        <v>206</v>
      </c>
      <c r="J658" s="389" t="s">
        <v>207</v>
      </c>
      <c r="K658" s="390" t="s">
        <v>208</v>
      </c>
      <c r="L658" s="383" t="s">
        <v>209</v>
      </c>
      <c r="M658" s="384" t="s">
        <v>210</v>
      </c>
      <c r="N658" s="384" t="s">
        <v>211</v>
      </c>
      <c r="O658" s="384" t="s">
        <v>212</v>
      </c>
      <c r="P658" s="384" t="s">
        <v>213</v>
      </c>
      <c r="Q658" s="391" t="s">
        <v>214</v>
      </c>
      <c r="R658" s="391" t="s">
        <v>215</v>
      </c>
      <c r="S658" s="392" t="s">
        <v>216</v>
      </c>
      <c r="T658" s="392" t="s">
        <v>217</v>
      </c>
      <c r="U658" s="393" t="s">
        <v>218</v>
      </c>
      <c r="V658" s="393" t="s">
        <v>219</v>
      </c>
      <c r="W658" s="393" t="s">
        <v>220</v>
      </c>
      <c r="X658" s="393" t="s">
        <v>221</v>
      </c>
      <c r="Y658" s="393" t="s">
        <v>222</v>
      </c>
    </row>
    <row r="659">
      <c r="A659" s="427" t="s">
        <v>291</v>
      </c>
      <c r="B659" s="430" t="s">
        <v>224</v>
      </c>
      <c r="C659" s="364" t="s">
        <v>228</v>
      </c>
      <c r="D659" s="364">
        <f t="shared" ref="D659:D662" si="234">E659+G659+F659</f>
      </c>
      <c r="E659" s="364">
        <v>63.52</v>
      </c>
      <c r="F659" s="364">
        <v>1701.9</v>
      </c>
      <c r="G659" s="424">
        <v>0</v>
      </c>
      <c r="H659" s="372">
        <v>2</v>
      </c>
      <c r="I659" s="364">
        <v>892.8</v>
      </c>
      <c r="J659" s="397">
        <f t="shared" ref="J659:J680" si="267">I659/D659</f>
      </c>
      <c r="K659" s="397">
        <f t="shared" ref="K659:K680" si="305">D659/H659</f>
      </c>
      <c r="L659" s="373">
        <f t="shared" ref="L659:L680" si="340">I659/H659</f>
      </c>
      <c r="M659" s="374">
        <f t="shared" ref="M659:M680" si="33">T659/S659</f>
      </c>
      <c r="N659" s="375">
        <f t="shared" ref="N659:N680" si="99">H659/X659</f>
      </c>
      <c r="O659" s="376">
        <f t="shared" ref="O659:O680" si="129">(Y659*1000)/D659</f>
      </c>
      <c r="P659" s="375">
        <f t="shared" ref="P659:P680" si="65">W659/V659</f>
      </c>
      <c r="Q659" s="377" t="s">
        <v>255</v>
      </c>
      <c r="R659" s="378" t="s">
        <v>261</v>
      </c>
      <c r="S659" s="398">
        <v>62006</v>
      </c>
      <c r="T659" s="398">
        <v>1447</v>
      </c>
      <c r="U659" s="399">
        <v>112</v>
      </c>
      <c r="V659" s="398">
        <v>1577</v>
      </c>
      <c r="W659" s="398">
        <v>125</v>
      </c>
      <c r="X659" s="380">
        <v>8</v>
      </c>
      <c r="Y659" s="380">
        <v>32</v>
      </c>
    </row>
    <row r="660">
      <c r="A660" s="427"/>
      <c r="B660" s="395" t="s">
        <v>224</v>
      </c>
      <c r="C660" s="364" t="s">
        <v>229</v>
      </c>
      <c r="D660" s="364">
        <f t="shared" si="234"/>
      </c>
      <c r="E660" s="364">
        <v>628.79</v>
      </c>
      <c r="F660" s="364">
        <v>719.56</v>
      </c>
      <c r="G660" s="364">
        <v>0</v>
      </c>
      <c r="H660" s="396">
        <v>7</v>
      </c>
      <c r="I660" s="364">
        <v>3718.08</v>
      </c>
      <c r="J660" s="373">
        <f t="shared" si="267"/>
      </c>
      <c r="K660" s="373">
        <f t="shared" si="305"/>
      </c>
      <c r="L660" s="397">
        <f t="shared" si="340"/>
      </c>
      <c r="M660" s="374">
        <f t="shared" si="33"/>
      </c>
      <c r="N660" s="375">
        <f t="shared" si="99"/>
      </c>
      <c r="O660" s="376">
        <f t="shared" si="129"/>
      </c>
      <c r="P660" s="375">
        <f t="shared" si="65"/>
      </c>
      <c r="Q660" s="377" t="s">
        <v>255</v>
      </c>
      <c r="R660" s="378" t="s">
        <v>261</v>
      </c>
      <c r="S660" s="429">
        <v>30988</v>
      </c>
      <c r="T660" s="429">
        <v>1463</v>
      </c>
      <c r="U660" s="398">
        <v>80</v>
      </c>
      <c r="V660" s="398">
        <v>2700</v>
      </c>
      <c r="W660" s="398">
        <v>380</v>
      </c>
      <c r="X660" s="380">
        <v>12</v>
      </c>
      <c r="Y660" s="379">
        <v>22</v>
      </c>
    </row>
    <row r="661">
      <c r="A661" s="427"/>
      <c r="B661" s="371" t="s">
        <v>224</v>
      </c>
      <c r="C661" s="364" t="s">
        <v>230</v>
      </c>
      <c r="D661" s="364">
        <f t="shared" si="234"/>
      </c>
      <c r="E661" s="400">
        <v>518.85</v>
      </c>
      <c r="F661" s="364">
        <v>862.25</v>
      </c>
      <c r="G661" s="364">
        <v>0</v>
      </c>
      <c r="H661" s="396">
        <v>5</v>
      </c>
      <c r="I661" s="364">
        <v>3403.8</v>
      </c>
      <c r="J661" s="373">
        <f t="shared" si="267"/>
      </c>
      <c r="K661" s="373">
        <f t="shared" si="305"/>
      </c>
      <c r="L661" s="373">
        <f t="shared" si="340"/>
      </c>
      <c r="M661" s="374">
        <f t="shared" si="33"/>
      </c>
      <c r="N661" s="375">
        <f t="shared" si="99"/>
      </c>
      <c r="O661" s="376">
        <f t="shared" si="129"/>
      </c>
      <c r="P661" s="375">
        <f t="shared" si="65"/>
      </c>
      <c r="Q661" s="377" t="s">
        <v>255</v>
      </c>
      <c r="R661" s="378" t="s">
        <v>261</v>
      </c>
      <c r="S661" s="379">
        <v>23704</v>
      </c>
      <c r="T661" s="379">
        <v>1089</v>
      </c>
      <c r="U661" s="379">
        <v>98</v>
      </c>
      <c r="V661" s="379">
        <v>2081</v>
      </c>
      <c r="W661" s="379">
        <v>341</v>
      </c>
      <c r="X661" s="380">
        <v>9</v>
      </c>
      <c r="Y661" s="379">
        <v>36</v>
      </c>
    </row>
    <row r="662">
      <c r="A662" s="427"/>
      <c r="B662" s="371" t="s">
        <v>224</v>
      </c>
      <c r="C662" s="364" t="s">
        <v>231</v>
      </c>
      <c r="D662" s="364">
        <f t="shared" si="234"/>
      </c>
      <c r="E662" s="364">
        <v>204.21</v>
      </c>
      <c r="F662" s="364">
        <v>1111.56</v>
      </c>
      <c r="G662" s="364">
        <v>0</v>
      </c>
      <c r="H662" s="396">
        <v>9</v>
      </c>
      <c r="I662" s="364">
        <v>2856.1399999999994</v>
      </c>
      <c r="J662" s="373">
        <f t="shared" si="267"/>
      </c>
      <c r="K662" s="373">
        <f t="shared" si="305"/>
      </c>
      <c r="L662" s="373">
        <f t="shared" si="340"/>
      </c>
      <c r="M662" s="374">
        <f t="shared" si="33"/>
      </c>
      <c r="N662" s="375">
        <f t="shared" si="99"/>
      </c>
      <c r="O662" s="376">
        <f t="shared" si="129"/>
      </c>
      <c r="P662" s="375">
        <f t="shared" si="65"/>
      </c>
      <c r="Q662" s="377" t="s">
        <v>255</v>
      </c>
      <c r="R662" s="378" t="s">
        <v>261</v>
      </c>
      <c r="S662" s="379">
        <v>25441</v>
      </c>
      <c r="T662" s="379">
        <v>810</v>
      </c>
      <c r="U662" s="379">
        <v>121</v>
      </c>
      <c r="V662" s="379">
        <v>961</v>
      </c>
      <c r="W662" s="379">
        <v>147</v>
      </c>
      <c r="X662" s="380">
        <v>12</v>
      </c>
      <c r="Y662" s="379">
        <v>30</v>
      </c>
    </row>
    <row r="663">
      <c r="A663" s="427"/>
      <c r="B663" s="403" t="s">
        <v>232</v>
      </c>
      <c r="C663" s="403"/>
      <c r="D663" s="404">
        <f>SUM(D659:D662)</f>
      </c>
      <c r="E663" s="404">
        <f>SUM(E659:E662)</f>
      </c>
      <c r="F663" s="404">
        <f>SUM(F659:G662)</f>
      </c>
      <c r="G663" s="404"/>
      <c r="H663" s="405">
        <f>SUM(H659:H662)</f>
      </c>
      <c r="I663" s="404">
        <f>SUM(I659:I662)</f>
      </c>
      <c r="J663" s="406">
        <f t="shared" si="267"/>
      </c>
      <c r="K663" s="407">
        <f t="shared" si="305"/>
      </c>
      <c r="L663" s="408">
        <f t="shared" si="340"/>
      </c>
      <c r="M663" s="409">
        <f t="shared" si="33"/>
      </c>
      <c r="N663" s="409">
        <f t="shared" si="99"/>
      </c>
      <c r="O663" s="410">
        <f t="shared" si="129"/>
      </c>
      <c r="P663" s="409">
        <f t="shared" si="65"/>
      </c>
      <c r="Q663" s="410"/>
      <c r="R663" s="410"/>
      <c r="S663" s="405">
        <f>SUM(S659:S662)</f>
      </c>
      <c r="T663" s="405">
        <f>SUM(T659:T662)</f>
      </c>
      <c r="U663" s="405">
        <f>SUM(U659:U662)</f>
      </c>
      <c r="V663" s="405">
        <f>SUM(V659:V662)</f>
      </c>
      <c r="W663" s="405">
        <f>SUM(W659:W662)</f>
      </c>
      <c r="X663" s="405">
        <f>SUM(X659:X662)</f>
      </c>
      <c r="Y663" s="405">
        <f>SUM(Y659:Y662)</f>
      </c>
    </row>
    <row r="664">
      <c r="A664" s="427"/>
      <c r="B664" s="430" t="s">
        <v>260</v>
      </c>
      <c r="C664" s="364" t="s">
        <v>234</v>
      </c>
      <c r="D664" s="364">
        <f t="shared" ref="D664:D667" si="235">E664+G664+F664</f>
      </c>
      <c r="E664" s="364">
        <v>232</v>
      </c>
      <c r="F664" s="364">
        <v>1442.38</v>
      </c>
      <c r="G664" s="364">
        <v>0</v>
      </c>
      <c r="H664" s="396">
        <v>3</v>
      </c>
      <c r="I664" s="364">
        <v>2437.2199999999993</v>
      </c>
      <c r="J664" s="373">
        <f t="shared" si="267"/>
      </c>
      <c r="K664" s="373">
        <f t="shared" si="305"/>
      </c>
      <c r="L664" s="373">
        <f t="shared" si="340"/>
      </c>
      <c r="M664" s="374">
        <f t="shared" si="33"/>
      </c>
      <c r="N664" s="375">
        <f t="shared" si="99"/>
      </c>
      <c r="O664" s="376">
        <f t="shared" si="129"/>
      </c>
      <c r="P664" s="375">
        <f t="shared" si="65"/>
      </c>
      <c r="Q664" s="377" t="s">
        <v>255</v>
      </c>
      <c r="R664" s="378" t="s">
        <v>261</v>
      </c>
      <c r="S664" s="411">
        <v>33963</v>
      </c>
      <c r="T664" s="411">
        <v>1165</v>
      </c>
      <c r="U664" s="411">
        <v>99</v>
      </c>
      <c r="V664" s="411">
        <v>1266</v>
      </c>
      <c r="W664" s="411">
        <v>134</v>
      </c>
      <c r="X664" s="431">
        <v>8</v>
      </c>
      <c r="Y664" s="411">
        <v>33</v>
      </c>
    </row>
    <row r="665">
      <c r="A665" s="427"/>
      <c r="B665" s="371" t="s">
        <v>260</v>
      </c>
      <c r="C665" s="364" t="s">
        <v>235</v>
      </c>
      <c r="D665" s="364">
        <f t="shared" si="235"/>
      </c>
      <c r="E665" s="364">
        <v>175.54</v>
      </c>
      <c r="F665" s="364">
        <v>2384.43</v>
      </c>
      <c r="G665" s="364">
        <v>0</v>
      </c>
      <c r="H665" s="396">
        <v>8</v>
      </c>
      <c r="I665" s="364">
        <v>3975.1400000000012</v>
      </c>
      <c r="J665" s="373">
        <f t="shared" si="267"/>
      </c>
      <c r="K665" s="373">
        <f t="shared" si="305"/>
      </c>
      <c r="L665" s="373">
        <f t="shared" si="340"/>
      </c>
      <c r="M665" s="374">
        <f t="shared" si="33"/>
      </c>
      <c r="N665" s="375">
        <f t="shared" si="99"/>
      </c>
      <c r="O665" s="376">
        <f t="shared" si="129"/>
      </c>
      <c r="P665" s="375">
        <f t="shared" si="65"/>
      </c>
      <c r="Q665" s="377" t="s">
        <v>255</v>
      </c>
      <c r="R665" s="378" t="s">
        <v>261</v>
      </c>
      <c r="S665" s="411">
        <v>65271</v>
      </c>
      <c r="T665" s="411">
        <v>3817</v>
      </c>
      <c r="U665" s="411">
        <v>209</v>
      </c>
      <c r="V665" s="411">
        <v>3915</v>
      </c>
      <c r="W665" s="411">
        <v>206</v>
      </c>
      <c r="X665" s="431">
        <v>14</v>
      </c>
      <c r="Y665" s="411">
        <v>69</v>
      </c>
    </row>
    <row r="666">
      <c r="A666" s="427"/>
      <c r="B666" s="371" t="s">
        <v>260</v>
      </c>
      <c r="C666" s="364" t="s">
        <v>236</v>
      </c>
      <c r="D666" s="364">
        <f t="shared" si="235"/>
      </c>
      <c r="E666" s="364">
        <v>397.18</v>
      </c>
      <c r="F666" s="364">
        <v>3347.21</v>
      </c>
      <c r="G666" s="364">
        <v>0</v>
      </c>
      <c r="H666" s="396">
        <v>16</v>
      </c>
      <c r="I666" s="364">
        <v>7523.32</v>
      </c>
      <c r="J666" s="373">
        <f t="shared" si="267"/>
      </c>
      <c r="K666" s="373">
        <f t="shared" si="305"/>
      </c>
      <c r="L666" s="373">
        <f t="shared" si="340"/>
      </c>
      <c r="M666" s="374">
        <f t="shared" si="33"/>
      </c>
      <c r="N666" s="375">
        <f t="shared" si="99"/>
      </c>
      <c r="O666" s="376">
        <f t="shared" si="129"/>
      </c>
      <c r="P666" s="375">
        <f t="shared" si="65"/>
      </c>
      <c r="Q666" s="377" t="s">
        <v>255</v>
      </c>
      <c r="R666" s="378" t="s">
        <v>261</v>
      </c>
      <c r="S666" s="411">
        <v>86710</v>
      </c>
      <c r="T666" s="411">
        <v>4068</v>
      </c>
      <c r="U666" s="411">
        <v>280</v>
      </c>
      <c r="V666" s="411">
        <v>4785</v>
      </c>
      <c r="W666" s="411">
        <v>371</v>
      </c>
      <c r="X666" s="431">
        <v>24</v>
      </c>
      <c r="Y666" s="411">
        <v>63</v>
      </c>
    </row>
    <row r="667">
      <c r="A667" s="427"/>
      <c r="B667" s="371" t="s">
        <v>260</v>
      </c>
      <c r="C667" s="364" t="s">
        <v>237</v>
      </c>
      <c r="D667" s="364">
        <f t="shared" si="235"/>
      </c>
      <c r="E667" s="364">
        <v>825.01</v>
      </c>
      <c r="F667" s="364">
        <v>2579.17</v>
      </c>
      <c r="G667" s="364">
        <v>0</v>
      </c>
      <c r="H667" s="396">
        <v>6</v>
      </c>
      <c r="I667" s="364">
        <v>2215.6800000000003</v>
      </c>
      <c r="J667" s="373">
        <f t="shared" si="267"/>
      </c>
      <c r="K667" s="373">
        <f t="shared" si="305"/>
      </c>
      <c r="L667" s="373">
        <f t="shared" si="340"/>
      </c>
      <c r="M667" s="374">
        <f t="shared" si="33"/>
      </c>
      <c r="N667" s="375">
        <f t="shared" si="99"/>
      </c>
      <c r="O667" s="376">
        <f t="shared" si="129"/>
      </c>
      <c r="P667" s="375">
        <f t="shared" si="65"/>
      </c>
      <c r="Q667" s="377" t="s">
        <v>255</v>
      </c>
      <c r="R667" s="378" t="s">
        <v>261</v>
      </c>
      <c r="S667" s="411">
        <v>92650</v>
      </c>
      <c r="T667" s="411">
        <v>4639</v>
      </c>
      <c r="U667" s="411">
        <v>290</v>
      </c>
      <c r="V667" s="411">
        <v>5775</v>
      </c>
      <c r="W667" s="411">
        <v>478</v>
      </c>
      <c r="X667" s="431">
        <v>22</v>
      </c>
      <c r="Y667" s="411">
        <v>77</v>
      </c>
    </row>
    <row r="668">
      <c r="A668" s="427"/>
      <c r="B668" s="403" t="s">
        <v>232</v>
      </c>
      <c r="C668" s="403"/>
      <c r="D668" s="404">
        <f>SUM(D664:D667)</f>
      </c>
      <c r="E668" s="404">
        <f>SUM(E664:E667)</f>
      </c>
      <c r="F668" s="404">
        <f>SUM(F664:G667)</f>
      </c>
      <c r="G668" s="404"/>
      <c r="H668" s="405">
        <f>SUM(H664:H667)</f>
      </c>
      <c r="I668" s="404">
        <f>SUM(I664:I667)</f>
      </c>
      <c r="J668" s="406">
        <f t="shared" si="267"/>
      </c>
      <c r="K668" s="407">
        <f t="shared" si="305"/>
      </c>
      <c r="L668" s="408">
        <f t="shared" si="340"/>
      </c>
      <c r="M668" s="409">
        <f t="shared" si="33"/>
      </c>
      <c r="N668" s="409">
        <f t="shared" si="99"/>
      </c>
      <c r="O668" s="410">
        <f t="shared" si="129"/>
      </c>
      <c r="P668" s="409">
        <f t="shared" si="65"/>
      </c>
      <c r="Q668" s="410"/>
      <c r="R668" s="410"/>
      <c r="S668" s="405">
        <f>SUM(S664:S667)</f>
      </c>
      <c r="T668" s="405">
        <f>SUM(T664:T667)</f>
      </c>
      <c r="U668" s="405">
        <f>SUM(U664:U667)</f>
      </c>
      <c r="V668" s="405">
        <f>SUM(V664:V667)</f>
      </c>
      <c r="W668" s="405">
        <f>SUM(W664:W667)</f>
      </c>
      <c r="X668" s="405">
        <f>SUM(X664:X667)</f>
      </c>
      <c r="Y668" s="405">
        <f>SUM(Y664:Y667)</f>
      </c>
    </row>
    <row r="669">
      <c r="A669" s="427"/>
      <c r="B669" s="371" t="s">
        <v>257</v>
      </c>
      <c r="C669" s="364" t="s">
        <v>239</v>
      </c>
      <c r="D669" s="364">
        <f t="shared" ref="D669:D672" si="236">E669+G669+F669</f>
      </c>
      <c r="E669" s="424">
        <v>1423.4</v>
      </c>
      <c r="F669" s="424">
        <v>2200.9</v>
      </c>
      <c r="G669" s="424">
        <v>0</v>
      </c>
      <c r="H669" s="372">
        <v>13</v>
      </c>
      <c r="I669" s="424">
        <v>5765.16</v>
      </c>
      <c r="J669" s="373">
        <f t="shared" si="267"/>
      </c>
      <c r="K669" s="373">
        <f t="shared" si="305"/>
      </c>
      <c r="L669" s="373">
        <f t="shared" si="340"/>
      </c>
      <c r="M669" s="374">
        <f t="shared" si="33"/>
      </c>
      <c r="N669" s="375">
        <f t="shared" si="99"/>
      </c>
      <c r="O669" s="376">
        <f t="shared" si="129"/>
      </c>
      <c r="P669" s="375">
        <f t="shared" si="65"/>
      </c>
      <c r="Q669" s="377" t="s">
        <v>258</v>
      </c>
      <c r="R669" s="378" t="s">
        <v>261</v>
      </c>
      <c r="S669" s="433">
        <v>84890</v>
      </c>
      <c r="T669" s="433">
        <v>3537</v>
      </c>
      <c r="U669" s="433">
        <v>277</v>
      </c>
      <c r="V669" s="433">
        <v>5381</v>
      </c>
      <c r="W669" s="433">
        <v>555</v>
      </c>
      <c r="X669" s="431">
        <v>21</v>
      </c>
      <c r="Y669" s="431">
        <v>73</v>
      </c>
    </row>
    <row r="670">
      <c r="A670" s="427"/>
      <c r="B670" s="371" t="s">
        <v>257</v>
      </c>
      <c r="C670" s="364" t="s">
        <v>241</v>
      </c>
      <c r="D670" s="364">
        <f t="shared" si="236"/>
      </c>
      <c r="E670" s="424">
        <v>2366.64</v>
      </c>
      <c r="F670" s="424">
        <v>1341.78</v>
      </c>
      <c r="G670" s="424">
        <v>0</v>
      </c>
      <c r="H670" s="372">
        <v>9</v>
      </c>
      <c r="I670" s="424">
        <v>4511.64</v>
      </c>
      <c r="J670" s="373">
        <f t="shared" si="267"/>
      </c>
      <c r="K670" s="373">
        <f t="shared" si="305"/>
      </c>
      <c r="L670" s="373">
        <f t="shared" si="340"/>
      </c>
      <c r="M670" s="374">
        <f t="shared" si="33"/>
      </c>
      <c r="N670" s="375">
        <f t="shared" si="99"/>
      </c>
      <c r="O670" s="376">
        <f t="shared" si="129"/>
      </c>
      <c r="P670" s="375">
        <f t="shared" si="65"/>
      </c>
      <c r="Q670" s="377" t="s">
        <v>258</v>
      </c>
      <c r="R670" s="434" t="s">
        <v>292</v>
      </c>
      <c r="S670" s="431">
        <v>85706</v>
      </c>
      <c r="T670" s="431">
        <v>3037</v>
      </c>
      <c r="U670" s="431">
        <v>246</v>
      </c>
      <c r="V670" s="431">
        <v>5421</v>
      </c>
      <c r="W670" s="431">
        <v>572</v>
      </c>
      <c r="X670" s="431">
        <v>23</v>
      </c>
      <c r="Y670" s="431">
        <v>45</v>
      </c>
    </row>
    <row r="671">
      <c r="A671" s="427"/>
      <c r="B671" s="371" t="s">
        <v>257</v>
      </c>
      <c r="C671" s="364" t="s">
        <v>242</v>
      </c>
      <c r="D671" s="364">
        <f t="shared" si="236"/>
      </c>
      <c r="E671" s="424">
        <v>1734.62</v>
      </c>
      <c r="F671" s="424">
        <v>2070.65</v>
      </c>
      <c r="G671" s="424">
        <v>0</v>
      </c>
      <c r="H671" s="372">
        <v>14</v>
      </c>
      <c r="I671" s="424">
        <v>3435.26</v>
      </c>
      <c r="J671" s="373">
        <f t="shared" si="267"/>
      </c>
      <c r="K671" s="373">
        <f t="shared" si="305"/>
      </c>
      <c r="L671" s="373">
        <f t="shared" si="340"/>
      </c>
      <c r="M671" s="374">
        <f t="shared" si="33"/>
      </c>
      <c r="N671" s="375">
        <f t="shared" si="99"/>
      </c>
      <c r="O671" s="376">
        <f t="shared" si="129"/>
      </c>
      <c r="P671" s="375">
        <f t="shared" si="65"/>
      </c>
      <c r="Q671" s="377" t="s">
        <v>258</v>
      </c>
      <c r="R671" s="412" t="s">
        <v>292</v>
      </c>
      <c r="S671" s="431">
        <v>103675</v>
      </c>
      <c r="T671" s="431">
        <v>2829</v>
      </c>
      <c r="U671" s="431">
        <v>254</v>
      </c>
      <c r="V671" s="431">
        <v>5221</v>
      </c>
      <c r="W671" s="431">
        <v>543</v>
      </c>
      <c r="X671" s="431">
        <v>26</v>
      </c>
      <c r="Y671" s="431">
        <v>60</v>
      </c>
    </row>
    <row r="672">
      <c r="A672" s="427"/>
      <c r="B672" s="371" t="s">
        <v>257</v>
      </c>
      <c r="C672" s="364" t="s">
        <v>244</v>
      </c>
      <c r="D672" s="364">
        <f t="shared" si="236"/>
      </c>
      <c r="E672" s="424">
        <v>1870.91</v>
      </c>
      <c r="F672" s="424">
        <v>1525.21</v>
      </c>
      <c r="G672" s="424">
        <v>0</v>
      </c>
      <c r="H672" s="372">
        <v>16</v>
      </c>
      <c r="I672" s="424">
        <v>5594.46</v>
      </c>
      <c r="J672" s="373">
        <f t="shared" si="267"/>
      </c>
      <c r="K672" s="373">
        <f t="shared" si="305"/>
      </c>
      <c r="L672" s="373">
        <f t="shared" si="340"/>
      </c>
      <c r="M672" s="374">
        <f t="shared" si="33"/>
      </c>
      <c r="N672" s="375">
        <f t="shared" si="99"/>
      </c>
      <c r="O672" s="376">
        <f t="shared" si="129"/>
      </c>
      <c r="P672" s="375">
        <f t="shared" si="65"/>
      </c>
      <c r="Q672" s="377" t="s">
        <v>258</v>
      </c>
      <c r="R672" s="412" t="s">
        <v>292</v>
      </c>
      <c r="S672" s="431">
        <v>139494</v>
      </c>
      <c r="T672" s="431">
        <v>3921</v>
      </c>
      <c r="U672" s="431">
        <v>261</v>
      </c>
      <c r="V672" s="431">
        <v>7394</v>
      </c>
      <c r="W672" s="431">
        <v>845</v>
      </c>
      <c r="X672" s="431">
        <v>28</v>
      </c>
      <c r="Y672" s="431">
        <v>49</v>
      </c>
    </row>
    <row r="673">
      <c r="A673" s="427"/>
      <c r="B673" s="403" t="s">
        <v>232</v>
      </c>
      <c r="C673" s="403"/>
      <c r="D673" s="404">
        <f>SUM(D669:D672)</f>
      </c>
      <c r="E673" s="404">
        <f>SUM(E669:E672)</f>
      </c>
      <c r="F673" s="404">
        <f>SUM(F669:G672)</f>
      </c>
      <c r="G673" s="404"/>
      <c r="H673" s="405">
        <f>SUM(H669:H672)</f>
      </c>
      <c r="I673" s="404">
        <f>SUM(I669:I672)</f>
      </c>
      <c r="J673" s="406">
        <f t="shared" si="267"/>
      </c>
      <c r="K673" s="407">
        <f t="shared" si="305"/>
      </c>
      <c r="L673" s="408">
        <f t="shared" si="340"/>
      </c>
      <c r="M673" s="409">
        <f t="shared" si="33"/>
      </c>
      <c r="N673" s="409">
        <f t="shared" si="99"/>
      </c>
      <c r="O673" s="410">
        <f t="shared" si="129"/>
      </c>
      <c r="P673" s="409">
        <f t="shared" si="65"/>
      </c>
      <c r="Q673" s="410"/>
      <c r="R673" s="410"/>
      <c r="S673" s="405">
        <f>SUM(S669:S672)</f>
      </c>
      <c r="T673" s="405">
        <f>SUM(T669:T672)</f>
      </c>
      <c r="U673" s="405">
        <f>SUM(U669:U672)</f>
      </c>
      <c r="V673" s="405">
        <f>SUM(V669:V672)</f>
      </c>
      <c r="W673" s="405">
        <f>SUM(W669:W672)</f>
      </c>
      <c r="X673" s="405">
        <f>SUM(X669:X672)</f>
      </c>
      <c r="Y673" s="405">
        <f>SUM(Y669:Y672)</f>
      </c>
    </row>
    <row r="674">
      <c r="A674" s="427"/>
      <c r="B674" s="371" t="s">
        <v>248</v>
      </c>
      <c r="C674" s="364" t="s">
        <v>245</v>
      </c>
      <c r="D674" s="364">
        <f t="shared" ref="D674:D678" si="237">E674+G674+F674</f>
      </c>
      <c r="E674" s="424">
        <v>4462.77</v>
      </c>
      <c r="F674" s="424">
        <v>114.03</v>
      </c>
      <c r="G674" s="424">
        <v>0</v>
      </c>
      <c r="H674" s="372">
        <v>17</v>
      </c>
      <c r="I674" s="424">
        <v>6790.56</v>
      </c>
      <c r="J674" s="373">
        <f t="shared" si="267"/>
      </c>
      <c r="K674" s="373">
        <f t="shared" si="305"/>
      </c>
      <c r="L674" s="373">
        <f t="shared" si="340"/>
      </c>
      <c r="M674" s="374">
        <f t="shared" si="33"/>
      </c>
      <c r="N674" s="375">
        <f t="shared" si="99"/>
      </c>
      <c r="O674" s="376">
        <f t="shared" si="129"/>
      </c>
      <c r="P674" s="375">
        <f t="shared" si="65"/>
      </c>
      <c r="Q674" s="377" t="s">
        <v>258</v>
      </c>
      <c r="R674" s="412" t="s">
        <v>292</v>
      </c>
      <c r="S674" s="431">
        <v>113982</v>
      </c>
      <c r="T674" s="431">
        <v>6605</v>
      </c>
      <c r="U674" s="431">
        <v>318</v>
      </c>
      <c r="V674" s="431">
        <v>13140</v>
      </c>
      <c r="W674" s="431">
        <v>1300</v>
      </c>
      <c r="X674" s="431">
        <v>31</v>
      </c>
      <c r="Y674" s="431">
        <v>98</v>
      </c>
    </row>
    <row r="675">
      <c r="A675" s="427"/>
      <c r="B675" s="371" t="s">
        <v>248</v>
      </c>
      <c r="C675" s="364" t="s">
        <v>250</v>
      </c>
      <c r="D675" s="364">
        <f t="shared" si="237"/>
      </c>
      <c r="E675" s="424">
        <v>4147.82</v>
      </c>
      <c r="F675" s="424">
        <v>11.55</v>
      </c>
      <c r="G675" s="424">
        <v>0</v>
      </c>
      <c r="H675" s="372">
        <v>15</v>
      </c>
      <c r="I675" s="424">
        <v>8232.62</v>
      </c>
      <c r="J675" s="373">
        <f t="shared" si="267"/>
      </c>
      <c r="K675" s="373">
        <f t="shared" si="305"/>
      </c>
      <c r="L675" s="373">
        <f t="shared" si="340"/>
      </c>
      <c r="M675" s="374">
        <f t="shared" si="33"/>
      </c>
      <c r="N675" s="375">
        <f t="shared" si="99"/>
      </c>
      <c r="O675" s="376">
        <f t="shared" si="129"/>
      </c>
      <c r="P675" s="375">
        <f t="shared" si="65"/>
      </c>
      <c r="Q675" s="377" t="s">
        <v>258</v>
      </c>
      <c r="R675" s="412" t="s">
        <v>292</v>
      </c>
      <c r="S675" s="435">
        <v>80687</v>
      </c>
      <c r="T675" s="435">
        <v>5285</v>
      </c>
      <c r="U675" s="435">
        <v>264</v>
      </c>
      <c r="V675" s="435">
        <v>9247</v>
      </c>
      <c r="W675" s="435">
        <v>988</v>
      </c>
      <c r="X675" s="431">
        <v>30</v>
      </c>
      <c r="Y675" s="431">
        <v>43</v>
      </c>
    </row>
    <row r="676">
      <c r="A676" s="427"/>
      <c r="B676" s="371" t="s">
        <v>248</v>
      </c>
      <c r="C676" s="364" t="s">
        <v>264</v>
      </c>
      <c r="D676" s="364">
        <f t="shared" si="237"/>
      </c>
      <c r="E676" s="424">
        <v>5741.4</v>
      </c>
      <c r="F676" s="424">
        <v>3502.52</v>
      </c>
      <c r="G676" s="424">
        <v>0</v>
      </c>
      <c r="H676" s="372">
        <v>16</v>
      </c>
      <c r="I676" s="424">
        <v>7011.78</v>
      </c>
      <c r="J676" s="373">
        <f t="shared" si="267"/>
      </c>
      <c r="K676" s="373">
        <f t="shared" si="305"/>
      </c>
      <c r="L676" s="373">
        <f t="shared" si="340"/>
      </c>
      <c r="M676" s="374">
        <f t="shared" si="33"/>
      </c>
      <c r="N676" s="375">
        <f t="shared" si="99"/>
      </c>
      <c r="O676" s="376">
        <f t="shared" si="129"/>
      </c>
      <c r="P676" s="375">
        <f t="shared" si="65"/>
      </c>
      <c r="Q676" s="377" t="s">
        <v>258</v>
      </c>
      <c r="R676" s="412" t="s">
        <v>292</v>
      </c>
      <c r="S676" s="435">
        <v>257090</v>
      </c>
      <c r="T676" s="435">
        <v>7712</v>
      </c>
      <c r="U676" s="435">
        <v>478</v>
      </c>
      <c r="V676" s="435">
        <v>12622</v>
      </c>
      <c r="W676" s="435">
        <v>1132</v>
      </c>
      <c r="X676" s="431">
        <v>35</v>
      </c>
      <c r="Y676" s="431">
        <v>102</v>
      </c>
    </row>
    <row r="677">
      <c r="A677" s="427"/>
      <c r="B677" s="371" t="s">
        <v>248</v>
      </c>
      <c r="C677" s="364" t="s">
        <v>266</v>
      </c>
      <c r="D677" s="364">
        <f t="shared" si="237"/>
      </c>
      <c r="E677" s="424">
        <v>1028.6</v>
      </c>
      <c r="F677" s="424">
        <v>2081.21</v>
      </c>
      <c r="G677" s="424">
        <v>0</v>
      </c>
      <c r="H677" s="372">
        <v>19</v>
      </c>
      <c r="I677" s="424">
        <v>6724.86</v>
      </c>
      <c r="J677" s="373">
        <f t="shared" si="267"/>
      </c>
      <c r="K677" s="373">
        <f t="shared" si="305"/>
      </c>
      <c r="L677" s="373">
        <f t="shared" si="340"/>
      </c>
      <c r="M677" s="374">
        <f t="shared" si="33"/>
      </c>
      <c r="N677" s="375">
        <f t="shared" si="99"/>
      </c>
      <c r="O677" s="376">
        <f t="shared" si="129"/>
      </c>
      <c r="P677" s="375">
        <f t="shared" si="65"/>
      </c>
      <c r="Q677" s="377" t="s">
        <v>258</v>
      </c>
      <c r="R677" s="412" t="s">
        <v>292</v>
      </c>
      <c r="S677" s="435">
        <v>138884</v>
      </c>
      <c r="T677" s="435">
        <v>1293</v>
      </c>
      <c r="U677" s="435">
        <v>200</v>
      </c>
      <c r="V677" s="435">
        <v>1852</v>
      </c>
      <c r="W677" s="435">
        <v>229</v>
      </c>
      <c r="X677" s="431">
        <v>27</v>
      </c>
      <c r="Y677" s="431">
        <v>32</v>
      </c>
    </row>
    <row r="678">
      <c r="A678" s="427"/>
      <c r="B678" s="371" t="s">
        <v>248</v>
      </c>
      <c r="C678" s="364" t="s">
        <v>267</v>
      </c>
      <c r="D678" s="364">
        <f t="shared" si="237"/>
      </c>
      <c r="E678" s="424">
        <v>1126.51</v>
      </c>
      <c r="F678" s="424">
        <v>2717.29</v>
      </c>
      <c r="G678" s="424">
        <v>0</v>
      </c>
      <c r="H678" s="372">
        <v>8</v>
      </c>
      <c r="I678" s="424">
        <v>4114.04</v>
      </c>
      <c r="J678" s="373">
        <f t="shared" si="267"/>
      </c>
      <c r="K678" s="373">
        <f t="shared" si="305"/>
      </c>
      <c r="L678" s="373">
        <f t="shared" si="340"/>
      </c>
      <c r="M678" s="374">
        <f t="shared" si="33"/>
      </c>
      <c r="N678" s="375">
        <f t="shared" si="99"/>
      </c>
      <c r="O678" s="376">
        <f t="shared" si="129"/>
      </c>
      <c r="P678" s="375">
        <f t="shared" si="65"/>
      </c>
      <c r="Q678" s="377" t="s">
        <v>258</v>
      </c>
      <c r="R678" s="412" t="s">
        <v>292</v>
      </c>
      <c r="S678" s="435">
        <v>142880</v>
      </c>
      <c r="T678" s="435">
        <v>1978</v>
      </c>
      <c r="U678" s="435">
        <v>208</v>
      </c>
      <c r="V678" s="435">
        <v>3135</v>
      </c>
      <c r="W678" s="435">
        <v>347</v>
      </c>
      <c r="X678" s="431">
        <v>17</v>
      </c>
      <c r="Y678" s="431">
        <v>33</v>
      </c>
    </row>
    <row r="679">
      <c r="A679" s="427"/>
      <c r="B679" s="403" t="s">
        <v>232</v>
      </c>
      <c r="C679" s="403"/>
      <c r="D679" s="404">
        <f>SUM(D674:D678)</f>
      </c>
      <c r="E679" s="404">
        <f>SUM(E674:E678)</f>
      </c>
      <c r="F679" s="404">
        <f>SUM(F674:G678)</f>
      </c>
      <c r="G679" s="404"/>
      <c r="H679" s="404">
        <f>SUM(H674:H678)</f>
      </c>
      <c r="I679" s="404">
        <f>SUM(I674:I678)</f>
      </c>
      <c r="J679" s="406">
        <f t="shared" si="267"/>
      </c>
      <c r="K679" s="407">
        <f t="shared" si="305"/>
      </c>
      <c r="L679" s="408">
        <f t="shared" si="340"/>
      </c>
      <c r="M679" s="409">
        <f t="shared" si="33"/>
      </c>
      <c r="N679" s="409">
        <f t="shared" si="99"/>
      </c>
      <c r="O679" s="410">
        <f t="shared" si="129"/>
      </c>
      <c r="P679" s="409">
        <f t="shared" si="65"/>
      </c>
      <c r="Q679" s="410"/>
      <c r="R679" s="414"/>
      <c r="S679" s="404">
        <f>SUM(S674:S678)</f>
      </c>
      <c r="T679" s="404">
        <f>SUM(T674:T678)</f>
      </c>
      <c r="U679" s="404">
        <f>SUM(U674:U678)</f>
      </c>
      <c r="V679" s="404">
        <f>SUM(V674:V678)</f>
      </c>
      <c r="W679" s="404">
        <f>SUM(W674:W678)</f>
      </c>
      <c r="X679" s="404">
        <f>SUM(X674:X678)</f>
      </c>
      <c r="Y679" s="404">
        <f>SUM(Y674:Y678)</f>
      </c>
    </row>
    <row r="680">
      <c r="A680" s="427"/>
      <c r="B680" s="415" t="s">
        <v>246</v>
      </c>
      <c r="C680" s="415"/>
      <c r="D680" s="416">
        <f>D679+D673+D668+D663</f>
      </c>
      <c r="E680" s="416">
        <f>E679+E673+E668+E663</f>
      </c>
      <c r="F680" s="416">
        <f>F679+F673+F668+F663</f>
      </c>
      <c r="G680" s="416"/>
      <c r="H680" s="417">
        <f>H679+H673+H668+H663</f>
      </c>
      <c r="I680" s="416">
        <f>I679+I673+I668+I663</f>
      </c>
      <c r="J680" s="418">
        <f t="shared" si="267"/>
      </c>
      <c r="K680" s="418">
        <f t="shared" si="305"/>
      </c>
      <c r="L680" s="418">
        <f t="shared" si="340"/>
      </c>
      <c r="M680" s="419">
        <f t="shared" si="33"/>
      </c>
      <c r="N680" s="419">
        <f t="shared" si="99"/>
      </c>
      <c r="O680" s="418">
        <f t="shared" si="129"/>
      </c>
      <c r="P680" s="419">
        <f t="shared" si="65"/>
      </c>
      <c r="Q680" s="420"/>
      <c r="R680" s="421"/>
      <c r="S680" s="422">
        <f>S679+S673+S668+S663</f>
      </c>
      <c r="T680" s="422">
        <f>T679+T673+T668+T663</f>
      </c>
      <c r="U680" s="422">
        <f>U679+U673+U668+U663</f>
      </c>
      <c r="V680" s="422">
        <f>V679+V673+V668+V663</f>
      </c>
      <c r="W680" s="422">
        <f>W679+W673+W668+W663</f>
      </c>
      <c r="X680" s="423">
        <f>X679+X673+X668+X663</f>
      </c>
      <c r="Y680" s="417">
        <f>Y679+Y673+Y668+Y663</f>
      </c>
    </row>
    <row r="681">
      <c r="A681" s="436"/>
      <c r="B681" s="437"/>
      <c r="C681" s="436"/>
      <c r="D681" s="438">
        <v>56661.5</v>
      </c>
      <c r="E681" s="439"/>
      <c r="F681" s="439"/>
      <c r="G681" s="436"/>
      <c r="H681" s="440">
        <f>H682-H680</f>
      </c>
      <c r="I681" s="441">
        <f>I682-I680</f>
      </c>
      <c r="J681" s="442"/>
      <c r="K681" s="436"/>
      <c r="L681" s="436"/>
      <c r="M681" s="436"/>
      <c r="N681" s="436"/>
      <c r="O681" s="443"/>
      <c r="P681" s="443"/>
      <c r="Q681" s="443"/>
      <c r="R681" s="436"/>
      <c r="S681" s="444">
        <v>26922</v>
      </c>
      <c r="T681" s="444">
        <v>1435</v>
      </c>
      <c r="U681" s="444">
        <v>71</v>
      </c>
      <c r="V681" s="444">
        <v>2579</v>
      </c>
      <c r="W681" s="444">
        <v>275</v>
      </c>
      <c r="X681" s="443"/>
      <c r="Y681" s="436"/>
    </row>
    <row r="682">
      <c r="A682" s="436"/>
      <c r="B682" s="436"/>
      <c r="C682" s="436"/>
      <c r="D682" s="445"/>
      <c r="E682" s="439"/>
      <c r="F682" s="439"/>
      <c r="G682" s="436"/>
      <c r="H682" s="446">
        <f>COUNT(B684:B1548)+F685</f>
      </c>
      <c r="I682" s="447">
        <f>SUM(B684:B1548)+E685</f>
      </c>
      <c r="J682" s="436"/>
      <c r="K682" s="436"/>
      <c r="L682" s="436"/>
      <c r="M682" s="436"/>
      <c r="N682" s="436"/>
      <c r="O682" s="436"/>
      <c r="P682" s="436"/>
      <c r="Q682" s="436"/>
      <c r="R682" s="436"/>
      <c r="S682" s="444">
        <v>115958</v>
      </c>
      <c r="T682" s="444">
        <v>543</v>
      </c>
      <c r="U682" s="444">
        <v>137</v>
      </c>
      <c r="V682" s="444">
        <v>556</v>
      </c>
      <c r="W682" s="444">
        <v>72</v>
      </c>
      <c r="X682" s="443"/>
      <c r="Y682" s="436"/>
    </row>
    <row r="683">
      <c r="A683" s="436"/>
      <c r="B683" s="448" t="s">
        <v>293</v>
      </c>
      <c r="C683" s="436"/>
      <c r="D683" s="439"/>
      <c r="E683" s="445"/>
      <c r="F683" s="445"/>
      <c r="G683" s="449"/>
      <c r="H683" s="436"/>
      <c r="I683" s="450"/>
      <c r="J683" s="437"/>
      <c r="K683" s="437"/>
      <c r="L683" s="436"/>
      <c r="M683" s="451"/>
      <c r="N683" s="436"/>
      <c r="O683" s="436"/>
      <c r="P683" s="436"/>
      <c r="Q683" s="436"/>
      <c r="R683" s="436"/>
      <c r="S683" s="452">
        <v>0</v>
      </c>
      <c r="T683" s="452">
        <v>0</v>
      </c>
      <c r="U683" s="452">
        <v>0</v>
      </c>
      <c r="V683" s="452">
        <v>0</v>
      </c>
      <c r="W683" s="452">
        <v>0</v>
      </c>
      <c r="X683" s="436"/>
      <c r="Y683" s="436"/>
    </row>
    <row r="684">
      <c r="A684" s="436"/>
      <c r="B684" s="453">
        <v>1155.48</v>
      </c>
      <c r="C684" s="453" t="s">
        <v>294</v>
      </c>
      <c r="D684" s="454" t="s">
        <v>295</v>
      </c>
      <c r="E684" s="454" t="s">
        <v>296</v>
      </c>
      <c r="F684" s="454" t="s">
        <v>297</v>
      </c>
      <c r="G684" s="436"/>
      <c r="H684" s="436"/>
      <c r="I684" s="450"/>
      <c r="J684" s="445"/>
      <c r="K684" s="436"/>
      <c r="L684" s="445"/>
      <c r="M684" s="436"/>
      <c r="N684" s="436"/>
      <c r="O684" s="436"/>
      <c r="P684" s="436"/>
      <c r="Q684" s="436"/>
      <c r="R684" s="436"/>
      <c r="S684" s="455">
        <f>SUM(S681:S683)</f>
      </c>
      <c r="T684" s="455">
        <f>SUM(T681:T683)</f>
      </c>
      <c r="U684" s="455">
        <f>SUM(U681:U683)</f>
      </c>
      <c r="V684" s="455">
        <f>SUM(V681:V683)</f>
      </c>
      <c r="W684" s="455">
        <f>SUM(W681:W683)</f>
      </c>
      <c r="X684" s="436"/>
      <c r="Y684" s="436"/>
    </row>
    <row r="685">
      <c r="A685" s="453"/>
      <c r="B685" s="456"/>
      <c r="C685" s="436"/>
      <c r="D685" s="457">
        <f>SUM(B684:B1485)</f>
      </c>
      <c r="E685" s="458">
        <v>78047.08</v>
      </c>
      <c r="F685" s="459">
        <v>182</v>
      </c>
      <c r="G685" s="460"/>
      <c r="H685" s="436"/>
      <c r="I685" s="436"/>
      <c r="J685" s="436"/>
      <c r="K685" s="436"/>
      <c r="L685" s="445"/>
      <c r="M685" s="436"/>
      <c r="N685" s="436"/>
      <c r="O685" s="436"/>
      <c r="P685" s="436"/>
      <c r="Q685" s="436"/>
      <c r="R685" s="436"/>
      <c r="S685" s="461"/>
      <c r="T685" s="461"/>
      <c r="U685" s="436"/>
      <c r="V685" s="436"/>
      <c r="W685" s="436"/>
      <c r="X685" s="436">
        <f>X686-X680</f>
      </c>
      <c r="Y685" s="436">
        <f>Y686-Y680</f>
      </c>
    </row>
    <row r="686">
      <c r="A686" s="462"/>
      <c r="B686" s="462"/>
      <c r="C686" s="436"/>
      <c r="D686" s="436"/>
      <c r="E686" s="460"/>
      <c r="F686" s="460"/>
      <c r="G686" s="436"/>
      <c r="H686" s="436"/>
      <c r="I686" s="436"/>
      <c r="J686" s="436"/>
      <c r="K686" s="445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8">
        <v>418</v>
      </c>
      <c r="Y686" s="438">
        <v>897</v>
      </c>
    </row>
    <row r="687">
      <c r="A687" s="453"/>
      <c r="B687" s="436"/>
      <c r="C687" s="436"/>
      <c r="D687" s="436"/>
      <c r="E687" s="436"/>
      <c r="F687" s="436"/>
      <c r="G687" s="436"/>
      <c r="H687" s="436"/>
      <c r="I687" s="436"/>
      <c r="J687" s="436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</row>
    <row r="688">
      <c r="A688" s="436"/>
      <c r="B688" s="436"/>
      <c r="C688" s="436"/>
      <c r="D688" s="436"/>
      <c r="E688" s="436"/>
      <c r="F688" s="436"/>
      <c r="G688" s="436"/>
      <c r="H688" s="436"/>
      <c r="I688" s="436"/>
      <c r="J688" s="436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</row>
    <row r="689">
      <c r="A689" s="436"/>
      <c r="B689" s="436"/>
      <c r="C689" s="436"/>
      <c r="D689" s="436"/>
      <c r="E689" s="436"/>
      <c r="F689" s="436"/>
      <c r="G689" s="436"/>
      <c r="H689" s="436"/>
      <c r="I689" s="436"/>
      <c r="J689" s="436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</row>
    <row r="690">
      <c r="A690" s="436"/>
      <c r="B690" s="436"/>
      <c r="C690" s="436"/>
      <c r="D690" s="436"/>
      <c r="E690" s="436"/>
      <c r="F690" s="436"/>
      <c r="G690" s="436"/>
      <c r="H690" s="436"/>
      <c r="I690" s="436"/>
      <c r="J690" s="436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</row>
    <row r="691">
      <c r="A691" s="436"/>
      <c r="B691" s="436"/>
      <c r="C691" s="436"/>
      <c r="D691" s="436"/>
      <c r="E691" s="436"/>
      <c r="F691" s="436"/>
      <c r="G691" s="436"/>
      <c r="H691" s="436"/>
      <c r="I691" s="436"/>
      <c r="J691" s="436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</row>
    <row r="692">
      <c r="A692" s="436"/>
      <c r="B692" s="436"/>
      <c r="C692" s="436"/>
      <c r="D692" s="436"/>
      <c r="E692" s="436"/>
      <c r="F692" s="436"/>
      <c r="G692" s="436"/>
      <c r="H692" s="436"/>
      <c r="I692" s="436"/>
      <c r="J692" s="436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</row>
    <row r="693">
      <c r="A693" s="436"/>
      <c r="B693" s="436"/>
      <c r="C693" s="436"/>
      <c r="D693" s="436"/>
      <c r="E693" s="436"/>
      <c r="F693" s="436"/>
      <c r="G693" s="436"/>
      <c r="H693" s="436"/>
      <c r="I693" s="436"/>
      <c r="J693" s="436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</row>
    <row r="694">
      <c r="A694" s="436"/>
      <c r="B694" s="436"/>
      <c r="C694" s="436"/>
      <c r="D694" s="436"/>
      <c r="E694" s="436"/>
      <c r="F694" s="436"/>
      <c r="G694" s="436"/>
      <c r="H694" s="436"/>
      <c r="I694" s="436"/>
      <c r="J694" s="436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</row>
    <row r="695">
      <c r="A695" s="436"/>
      <c r="B695" s="436"/>
      <c r="C695" s="436"/>
      <c r="D695" s="436"/>
      <c r="E695" s="436"/>
      <c r="F695" s="436"/>
      <c r="G695" s="436"/>
      <c r="H695" s="436"/>
      <c r="I695" s="436"/>
      <c r="J695" s="436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</row>
    <row r="696">
      <c r="A696" s="436"/>
      <c r="B696" s="436"/>
      <c r="C696" s="436"/>
      <c r="D696" s="436"/>
      <c r="E696" s="436"/>
      <c r="F696" s="436"/>
      <c r="G696" s="436"/>
      <c r="H696" s="436"/>
      <c r="I696" s="436"/>
      <c r="J696" s="436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</row>
    <row r="697">
      <c r="A697" s="436"/>
      <c r="B697" s="436"/>
      <c r="C697" s="436"/>
      <c r="D697" s="436"/>
      <c r="E697" s="436"/>
      <c r="F697" s="436"/>
      <c r="G697" s="436"/>
      <c r="H697" s="436"/>
      <c r="I697" s="436"/>
      <c r="J697" s="436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</row>
    <row r="698">
      <c r="A698" s="436"/>
      <c r="B698" s="436"/>
      <c r="C698" s="436"/>
      <c r="D698" s="436"/>
      <c r="E698" s="436"/>
      <c r="F698" s="436"/>
      <c r="G698" s="436"/>
      <c r="H698" s="436"/>
      <c r="I698" s="436"/>
      <c r="J698" s="436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</row>
    <row r="699">
      <c r="A699" s="436"/>
      <c r="B699" s="436"/>
      <c r="C699" s="436"/>
      <c r="D699" s="436"/>
      <c r="E699" s="436"/>
      <c r="F699" s="436"/>
      <c r="G699" s="436"/>
      <c r="H699" s="436"/>
      <c r="I699" s="436"/>
      <c r="J699" s="436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</row>
    <row r="700">
      <c r="A700" s="436"/>
      <c r="B700" s="436"/>
      <c r="C700" s="436"/>
      <c r="D700" s="436"/>
      <c r="E700" s="436"/>
      <c r="F700" s="436"/>
      <c r="G700" s="436"/>
      <c r="H700" s="436"/>
      <c r="I700" s="436"/>
      <c r="J700" s="436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</row>
    <row r="701">
      <c r="A701" s="436"/>
      <c r="B701" s="436"/>
      <c r="C701" s="436"/>
      <c r="D701" s="436"/>
      <c r="E701" s="436"/>
      <c r="F701" s="436"/>
      <c r="G701" s="436"/>
      <c r="H701" s="436"/>
      <c r="I701" s="436"/>
      <c r="J701" s="436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</row>
    <row r="702">
      <c r="A702" s="436"/>
      <c r="B702" s="436"/>
      <c r="C702" s="436"/>
      <c r="D702" s="436"/>
      <c r="E702" s="436"/>
      <c r="F702" s="436"/>
      <c r="G702" s="436"/>
      <c r="H702" s="436"/>
      <c r="I702" s="436"/>
      <c r="J702" s="436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</row>
    <row r="703">
      <c r="A703" s="436"/>
      <c r="B703" s="436"/>
      <c r="C703" s="436"/>
      <c r="D703" s="436"/>
      <c r="E703" s="436"/>
      <c r="F703" s="436"/>
      <c r="G703" s="436"/>
      <c r="H703" s="436"/>
      <c r="I703" s="436"/>
      <c r="J703" s="436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</row>
    <row r="704">
      <c r="A704" s="436"/>
      <c r="B704" s="436"/>
      <c r="C704" s="436"/>
      <c r="D704" s="436"/>
      <c r="E704" s="436"/>
      <c r="F704" s="436"/>
      <c r="G704" s="436"/>
      <c r="H704" s="436"/>
      <c r="I704" s="436"/>
      <c r="J704" s="436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</row>
    <row r="705">
      <c r="A705" s="436"/>
      <c r="B705" s="436"/>
      <c r="C705" s="436"/>
      <c r="D705" s="436"/>
      <c r="E705" s="436"/>
      <c r="F705" s="436"/>
      <c r="G705" s="436"/>
      <c r="H705" s="436"/>
      <c r="I705" s="436"/>
      <c r="J705" s="436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</row>
    <row r="706">
      <c r="A706" s="436"/>
      <c r="B706" s="436"/>
      <c r="C706" s="436"/>
      <c r="D706" s="436"/>
      <c r="E706" s="436"/>
      <c r="F706" s="436"/>
      <c r="G706" s="436"/>
      <c r="H706" s="436"/>
      <c r="I706" s="436"/>
      <c r="J706" s="436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</row>
    <row r="707">
      <c r="A707" s="436"/>
      <c r="B707" s="436"/>
      <c r="C707" s="436"/>
      <c r="D707" s="436"/>
      <c r="E707" s="436"/>
      <c r="F707" s="436"/>
      <c r="G707" s="436"/>
      <c r="H707" s="436"/>
      <c r="I707" s="436"/>
      <c r="J707" s="436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</row>
    <row r="708">
      <c r="A708" s="436"/>
      <c r="B708" s="436"/>
      <c r="C708" s="436"/>
      <c r="D708" s="436"/>
      <c r="E708" s="436"/>
      <c r="F708" s="436"/>
      <c r="G708" s="436"/>
      <c r="H708" s="436"/>
      <c r="I708" s="436"/>
      <c r="J708" s="436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</row>
    <row r="709">
      <c r="A709" s="436"/>
      <c r="B709" s="436"/>
      <c r="C709" s="436"/>
      <c r="D709" s="436"/>
      <c r="E709" s="436"/>
      <c r="F709" s="436"/>
      <c r="G709" s="436"/>
      <c r="H709" s="436"/>
      <c r="I709" s="436"/>
      <c r="J709" s="436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</row>
    <row r="710">
      <c r="A710" s="436"/>
      <c r="B710" s="436"/>
      <c r="C710" s="436"/>
      <c r="D710" s="436"/>
      <c r="E710" s="436"/>
      <c r="F710" s="436"/>
      <c r="G710" s="436"/>
      <c r="H710" s="436"/>
      <c r="I710" s="436"/>
      <c r="J710" s="436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</row>
    <row r="711">
      <c r="A711" s="436"/>
      <c r="B711" s="436"/>
      <c r="C711" s="436"/>
      <c r="D711" s="436"/>
      <c r="E711" s="436"/>
      <c r="F711" s="436"/>
      <c r="G711" s="436"/>
      <c r="H711" s="436"/>
      <c r="I711" s="436"/>
      <c r="J711" s="436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</row>
    <row r="712">
      <c r="A712" s="436"/>
      <c r="B712" s="436"/>
      <c r="C712" s="436"/>
      <c r="D712" s="436"/>
      <c r="E712" s="436"/>
      <c r="F712" s="436"/>
      <c r="G712" s="436"/>
      <c r="H712" s="436"/>
      <c r="I712" s="436"/>
      <c r="J712" s="436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</row>
    <row r="713">
      <c r="A713" s="436"/>
      <c r="B713" s="436"/>
      <c r="C713" s="436"/>
      <c r="D713" s="436"/>
      <c r="E713" s="436"/>
      <c r="F713" s="436"/>
      <c r="G713" s="436"/>
      <c r="H713" s="436"/>
      <c r="I713" s="436"/>
      <c r="J713" s="436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</row>
    <row r="714">
      <c r="A714" s="436"/>
      <c r="B714" s="436"/>
      <c r="C714" s="436"/>
      <c r="D714" s="436"/>
      <c r="E714" s="436"/>
      <c r="F714" s="436"/>
      <c r="G714" s="436"/>
      <c r="H714" s="436"/>
      <c r="I714" s="436"/>
      <c r="J714" s="436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</row>
    <row r="715">
      <c r="A715" s="436"/>
      <c r="B715" s="436"/>
      <c r="C715" s="436"/>
      <c r="D715" s="436"/>
      <c r="E715" s="436"/>
      <c r="F715" s="436"/>
      <c r="G715" s="436"/>
      <c r="H715" s="436"/>
      <c r="I715" s="436"/>
      <c r="J715" s="436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</row>
    <row r="716">
      <c r="A716" s="401"/>
      <c r="B716" s="401"/>
      <c r="C716" s="401"/>
      <c r="D716" s="401"/>
      <c r="E716" s="401"/>
      <c r="F716" s="401"/>
      <c r="G716" s="401"/>
      <c r="H716" s="401"/>
      <c r="I716" s="401"/>
      <c r="J716" s="401"/>
      <c r="K716" s="401"/>
      <c r="L716" s="401"/>
      <c r="M716" s="401"/>
      <c r="N716" s="401"/>
      <c r="O716" s="401"/>
      <c r="P716" s="401"/>
      <c r="Q716" s="401"/>
      <c r="R716" s="401"/>
      <c r="S716" s="401"/>
      <c r="T716" s="401"/>
      <c r="U716" s="401"/>
      <c r="V716" s="401"/>
      <c r="W716" s="401"/>
      <c r="X716" s="401"/>
    </row>
    <row r="717">
      <c r="A717" s="401"/>
      <c r="B717" s="401"/>
      <c r="C717" s="401"/>
      <c r="D717" s="401"/>
      <c r="E717" s="401"/>
      <c r="F717" s="401"/>
      <c r="G717" s="401"/>
      <c r="H717" s="401"/>
      <c r="I717" s="401"/>
      <c r="J717" s="401"/>
      <c r="K717" s="401"/>
      <c r="L717" s="401"/>
      <c r="M717" s="401"/>
      <c r="N717" s="401"/>
      <c r="O717" s="401"/>
      <c r="P717" s="401"/>
      <c r="Q717" s="401"/>
      <c r="R717" s="401"/>
      <c r="S717" s="401"/>
      <c r="T717" s="401"/>
      <c r="U717" s="401"/>
      <c r="V717" s="401"/>
      <c r="W717" s="401"/>
      <c r="X717" s="401"/>
    </row>
    <row r="718">
      <c r="A718" s="401"/>
      <c r="B718" s="401"/>
      <c r="C718" s="401"/>
      <c r="D718" s="401"/>
      <c r="E718" s="401"/>
      <c r="F718" s="401"/>
      <c r="G718" s="401"/>
      <c r="H718" s="401"/>
      <c r="I718" s="401"/>
      <c r="J718" s="401"/>
      <c r="K718" s="401"/>
      <c r="L718" s="401"/>
      <c r="M718" s="401"/>
      <c r="N718" s="401"/>
      <c r="O718" s="401"/>
      <c r="P718" s="401"/>
      <c r="Q718" s="401"/>
      <c r="R718" s="401"/>
      <c r="S718" s="401"/>
      <c r="T718" s="401"/>
      <c r="U718" s="401"/>
      <c r="V718" s="401"/>
      <c r="W718" s="401"/>
      <c r="X718" s="401"/>
    </row>
    <row r="719">
      <c r="A719" s="401"/>
      <c r="B719" s="401"/>
      <c r="C719" s="401"/>
      <c r="D719" s="401"/>
      <c r="E719" s="401"/>
      <c r="F719" s="401"/>
      <c r="G719" s="401"/>
      <c r="H719" s="401"/>
      <c r="I719" s="401"/>
      <c r="J719" s="401"/>
      <c r="K719" s="401"/>
      <c r="L719" s="401"/>
      <c r="M719" s="401"/>
      <c r="N719" s="401"/>
      <c r="O719" s="401"/>
      <c r="P719" s="401"/>
      <c r="Q719" s="401"/>
      <c r="R719" s="401"/>
      <c r="S719" s="401"/>
      <c r="T719" s="401"/>
      <c r="U719" s="401"/>
      <c r="V719" s="401"/>
      <c r="W719" s="401"/>
      <c r="X719" s="401"/>
    </row>
    <row r="720">
      <c r="A720" s="401"/>
      <c r="B720" s="401"/>
      <c r="C720" s="401"/>
      <c r="D720" s="401"/>
      <c r="E720" s="401"/>
      <c r="F720" s="401"/>
      <c r="G720" s="401"/>
      <c r="H720" s="401"/>
      <c r="I720" s="401"/>
      <c r="J720" s="401"/>
      <c r="K720" s="401"/>
      <c r="L720" s="401"/>
      <c r="M720" s="401"/>
      <c r="N720" s="401"/>
      <c r="O720" s="401"/>
      <c r="P720" s="401"/>
      <c r="Q720" s="401"/>
      <c r="R720" s="401"/>
      <c r="S720" s="401"/>
      <c r="T720" s="401"/>
      <c r="U720" s="401"/>
      <c r="V720" s="401"/>
      <c r="W720" s="401"/>
      <c r="X720" s="401"/>
    </row>
    <row r="721">
      <c r="A721" s="401"/>
      <c r="B721" s="401"/>
      <c r="C721" s="401"/>
      <c r="D721" s="401"/>
      <c r="E721" s="401"/>
      <c r="F721" s="401"/>
      <c r="G721" s="401"/>
      <c r="H721" s="401"/>
      <c r="I721" s="401"/>
      <c r="J721" s="401"/>
      <c r="K721" s="401"/>
      <c r="L721" s="401"/>
      <c r="M721" s="401"/>
      <c r="N721" s="401"/>
      <c r="O721" s="401"/>
      <c r="P721" s="401"/>
      <c r="Q721" s="401"/>
      <c r="R721" s="401"/>
      <c r="S721" s="401"/>
      <c r="T721" s="401"/>
      <c r="U721" s="401"/>
      <c r="V721" s="401"/>
      <c r="W721" s="401"/>
      <c r="X721" s="401"/>
    </row>
    <row r="722">
      <c r="A722" s="401"/>
      <c r="B722" s="401"/>
      <c r="C722" s="401"/>
      <c r="D722" s="401"/>
      <c r="E722" s="401"/>
      <c r="F722" s="401"/>
      <c r="G722" s="401"/>
      <c r="H722" s="401"/>
      <c r="I722" s="401"/>
      <c r="J722" s="401"/>
      <c r="K722" s="401"/>
      <c r="L722" s="401"/>
      <c r="M722" s="401"/>
      <c r="N722" s="401"/>
      <c r="O722" s="401"/>
      <c r="P722" s="401"/>
      <c r="Q722" s="401"/>
      <c r="R722" s="401"/>
      <c r="S722" s="401"/>
      <c r="T722" s="401"/>
      <c r="U722" s="401"/>
      <c r="V722" s="401"/>
      <c r="W722" s="401"/>
      <c r="X722" s="401"/>
    </row>
    <row r="723">
      <c r="A723" s="401"/>
      <c r="B723" s="401"/>
      <c r="C723" s="401"/>
      <c r="D723" s="401"/>
      <c r="E723" s="401"/>
      <c r="F723" s="401"/>
      <c r="G723" s="401"/>
      <c r="H723" s="401"/>
      <c r="I723" s="401"/>
      <c r="J723" s="401"/>
      <c r="K723" s="401"/>
      <c r="L723" s="401"/>
      <c r="M723" s="401"/>
      <c r="N723" s="401"/>
      <c r="O723" s="401"/>
      <c r="P723" s="401"/>
      <c r="Q723" s="401"/>
      <c r="R723" s="401"/>
      <c r="S723" s="401"/>
      <c r="T723" s="401"/>
      <c r="U723" s="401"/>
      <c r="V723" s="401"/>
      <c r="W723" s="401"/>
      <c r="X723" s="401"/>
    </row>
    <row r="724">
      <c r="A724" s="401"/>
      <c r="B724" s="401"/>
      <c r="C724" s="401"/>
      <c r="D724" s="401"/>
      <c r="E724" s="401"/>
      <c r="F724" s="401"/>
      <c r="G724" s="401"/>
      <c r="H724" s="401"/>
      <c r="I724" s="401"/>
      <c r="J724" s="401"/>
      <c r="K724" s="401"/>
      <c r="L724" s="401"/>
      <c r="M724" s="401"/>
      <c r="N724" s="401"/>
      <c r="O724" s="401"/>
      <c r="P724" s="401"/>
      <c r="Q724" s="401"/>
      <c r="R724" s="401"/>
      <c r="S724" s="401"/>
      <c r="T724" s="401"/>
      <c r="U724" s="401"/>
      <c r="V724" s="401"/>
      <c r="W724" s="401"/>
      <c r="X724" s="401"/>
    </row>
    <row r="725">
      <c r="A725" s="401"/>
      <c r="B725" s="401"/>
      <c r="C725" s="401"/>
      <c r="D725" s="401"/>
      <c r="E725" s="401"/>
      <c r="F725" s="401"/>
      <c r="G725" s="401"/>
      <c r="H725" s="401"/>
      <c r="I725" s="401"/>
      <c r="J725" s="401"/>
      <c r="K725" s="401"/>
      <c r="L725" s="401"/>
      <c r="M725" s="401"/>
      <c r="N725" s="401"/>
      <c r="O725" s="401"/>
      <c r="P725" s="401"/>
      <c r="Q725" s="401"/>
      <c r="R725" s="401"/>
      <c r="S725" s="401"/>
      <c r="T725" s="401"/>
      <c r="U725" s="401"/>
      <c r="V725" s="401"/>
      <c r="W725" s="401"/>
      <c r="X725" s="401"/>
    </row>
    <row r="726">
      <c r="A726" s="401"/>
      <c r="B726" s="401"/>
      <c r="C726" s="401"/>
      <c r="D726" s="401"/>
      <c r="E726" s="401"/>
      <c r="F726" s="401"/>
      <c r="G726" s="401"/>
      <c r="H726" s="401"/>
      <c r="I726" s="401"/>
      <c r="J726" s="401"/>
      <c r="K726" s="401"/>
      <c r="L726" s="401"/>
      <c r="M726" s="401"/>
      <c r="N726" s="401"/>
      <c r="O726" s="401"/>
      <c r="P726" s="401"/>
      <c r="Q726" s="401"/>
      <c r="R726" s="401"/>
      <c r="S726" s="401"/>
      <c r="T726" s="401"/>
      <c r="U726" s="401"/>
      <c r="V726" s="401"/>
      <c r="W726" s="401"/>
      <c r="X726" s="401"/>
    </row>
    <row r="727">
      <c r="A727" s="401"/>
      <c r="B727" s="401"/>
      <c r="C727" s="401"/>
      <c r="D727" s="401"/>
      <c r="E727" s="401"/>
      <c r="F727" s="401"/>
      <c r="G727" s="401"/>
      <c r="H727" s="401"/>
      <c r="I727" s="401"/>
      <c r="J727" s="401"/>
      <c r="K727" s="401"/>
      <c r="L727" s="401"/>
      <c r="M727" s="401"/>
      <c r="N727" s="401"/>
      <c r="O727" s="401"/>
      <c r="P727" s="401"/>
      <c r="Q727" s="401"/>
      <c r="R727" s="401"/>
      <c r="S727" s="401"/>
      <c r="T727" s="401"/>
      <c r="U727" s="401"/>
      <c r="V727" s="401"/>
      <c r="W727" s="401"/>
      <c r="X727" s="401"/>
    </row>
    <row r="728">
      <c r="A728" s="401"/>
      <c r="B728" s="401"/>
      <c r="C728" s="401"/>
      <c r="D728" s="401"/>
      <c r="E728" s="401"/>
      <c r="F728" s="401"/>
      <c r="G728" s="401"/>
      <c r="H728" s="401"/>
      <c r="I728" s="401"/>
      <c r="J728" s="401"/>
      <c r="K728" s="401"/>
      <c r="L728" s="401"/>
      <c r="M728" s="401"/>
      <c r="N728" s="401"/>
      <c r="O728" s="401"/>
      <c r="P728" s="401"/>
      <c r="Q728" s="401"/>
      <c r="R728" s="401"/>
      <c r="S728" s="401"/>
      <c r="T728" s="401"/>
      <c r="U728" s="401"/>
      <c r="V728" s="401"/>
      <c r="W728" s="401"/>
      <c r="X728" s="401"/>
    </row>
    <row r="729">
      <c r="A729" s="401"/>
      <c r="B729" s="401"/>
      <c r="C729" s="401"/>
      <c r="D729" s="401"/>
      <c r="E729" s="401"/>
      <c r="F729" s="401"/>
      <c r="G729" s="401"/>
      <c r="H729" s="401"/>
      <c r="I729" s="401"/>
      <c r="J729" s="401"/>
      <c r="K729" s="401"/>
      <c r="L729" s="401"/>
      <c r="M729" s="401"/>
      <c r="N729" s="401"/>
      <c r="O729" s="401"/>
      <c r="P729" s="401"/>
      <c r="Q729" s="401"/>
      <c r="R729" s="401"/>
      <c r="S729" s="401"/>
      <c r="T729" s="401"/>
      <c r="U729" s="401"/>
      <c r="V729" s="401"/>
      <c r="W729" s="401"/>
      <c r="X729" s="401"/>
    </row>
    <row r="730">
      <c r="A730" s="401"/>
      <c r="B730" s="401"/>
      <c r="C730" s="401"/>
      <c r="D730" s="401"/>
      <c r="E730" s="401"/>
      <c r="F730" s="401"/>
      <c r="G730" s="401"/>
      <c r="H730" s="401"/>
      <c r="I730" s="401"/>
      <c r="J730" s="401"/>
      <c r="K730" s="401"/>
      <c r="L730" s="401"/>
      <c r="M730" s="401"/>
      <c r="N730" s="401"/>
      <c r="O730" s="401"/>
      <c r="P730" s="401"/>
      <c r="Q730" s="401"/>
      <c r="R730" s="401"/>
      <c r="S730" s="401"/>
      <c r="T730" s="401"/>
      <c r="U730" s="401"/>
      <c r="V730" s="401"/>
      <c r="W730" s="401"/>
      <c r="X730" s="401"/>
    </row>
    <row r="731">
      <c r="A731" s="401"/>
      <c r="B731" s="401"/>
      <c r="C731" s="401"/>
      <c r="D731" s="401"/>
      <c r="E731" s="401"/>
      <c r="F731" s="401"/>
      <c r="G731" s="401"/>
      <c r="H731" s="401"/>
      <c r="I731" s="401"/>
      <c r="J731" s="401"/>
      <c r="K731" s="401"/>
      <c r="L731" s="401"/>
      <c r="M731" s="401"/>
      <c r="N731" s="401"/>
      <c r="O731" s="401"/>
      <c r="P731" s="401"/>
      <c r="Q731" s="401"/>
      <c r="R731" s="401"/>
      <c r="S731" s="401"/>
      <c r="T731" s="401"/>
      <c r="U731" s="401"/>
      <c r="V731" s="401"/>
      <c r="W731" s="401"/>
      <c r="X731" s="401"/>
    </row>
    <row r="732">
      <c r="A732" s="401"/>
      <c r="B732" s="401"/>
      <c r="C732" s="401"/>
      <c r="D732" s="401"/>
      <c r="E732" s="401"/>
      <c r="F732" s="401"/>
      <c r="G732" s="401"/>
      <c r="H732" s="401"/>
      <c r="I732" s="401"/>
      <c r="J732" s="401"/>
      <c r="K732" s="401"/>
      <c r="L732" s="401"/>
      <c r="M732" s="401"/>
      <c r="N732" s="401"/>
      <c r="O732" s="401"/>
      <c r="P732" s="401"/>
      <c r="Q732" s="401"/>
      <c r="R732" s="401"/>
      <c r="S732" s="401"/>
      <c r="T732" s="401"/>
      <c r="U732" s="401"/>
      <c r="V732" s="401"/>
      <c r="W732" s="401"/>
      <c r="X732" s="401"/>
    </row>
    <row r="733">
      <c r="A733" s="401"/>
      <c r="B733" s="401"/>
      <c r="C733" s="401"/>
      <c r="D733" s="401"/>
      <c r="E733" s="401"/>
      <c r="F733" s="401"/>
      <c r="G733" s="401"/>
      <c r="H733" s="401"/>
      <c r="I733" s="401"/>
      <c r="J733" s="401"/>
      <c r="K733" s="401"/>
      <c r="L733" s="401"/>
      <c r="M733" s="401"/>
      <c r="N733" s="401"/>
      <c r="O733" s="401"/>
      <c r="P733" s="401"/>
      <c r="Q733" s="401"/>
      <c r="R733" s="401"/>
      <c r="S733" s="401"/>
      <c r="T733" s="401"/>
      <c r="U733" s="401"/>
      <c r="V733" s="401"/>
      <c r="W733" s="401"/>
      <c r="X733" s="401"/>
    </row>
    <row r="734">
      <c r="A734" s="401"/>
      <c r="B734" s="401"/>
      <c r="C734" s="401"/>
      <c r="D734" s="401"/>
      <c r="E734" s="401"/>
      <c r="F734" s="401"/>
      <c r="G734" s="401"/>
      <c r="H734" s="401"/>
      <c r="I734" s="401"/>
      <c r="J734" s="401"/>
      <c r="K734" s="401"/>
      <c r="L734" s="401"/>
      <c r="M734" s="401"/>
      <c r="N734" s="401"/>
      <c r="O734" s="401"/>
      <c r="P734" s="401"/>
      <c r="Q734" s="401"/>
      <c r="R734" s="401"/>
      <c r="S734" s="401"/>
      <c r="T734" s="401"/>
      <c r="U734" s="401"/>
      <c r="V734" s="401"/>
      <c r="W734" s="401"/>
      <c r="X734" s="401"/>
    </row>
    <row r="735">
      <c r="A735" s="401"/>
      <c r="B735" s="401"/>
      <c r="C735" s="401"/>
      <c r="D735" s="401"/>
      <c r="E735" s="401"/>
      <c r="F735" s="401"/>
      <c r="G735" s="401"/>
      <c r="H735" s="401"/>
      <c r="I735" s="401"/>
      <c r="J735" s="401"/>
      <c r="K735" s="401"/>
      <c r="L735" s="401"/>
      <c r="M735" s="401"/>
      <c r="N735" s="401"/>
      <c r="O735" s="401"/>
      <c r="P735" s="401"/>
      <c r="Q735" s="401"/>
      <c r="R735" s="401"/>
      <c r="S735" s="401"/>
      <c r="T735" s="401"/>
      <c r="U735" s="401"/>
      <c r="V735" s="401"/>
      <c r="W735" s="401"/>
      <c r="X735" s="401"/>
    </row>
    <row r="736">
      <c r="A736" s="401"/>
      <c r="B736" s="401"/>
      <c r="C736" s="401"/>
      <c r="D736" s="401"/>
      <c r="E736" s="401"/>
      <c r="F736" s="401"/>
      <c r="G736" s="401"/>
      <c r="H736" s="401"/>
      <c r="I736" s="401"/>
      <c r="J736" s="401"/>
      <c r="K736" s="401"/>
      <c r="L736" s="401"/>
      <c r="M736" s="401"/>
      <c r="N736" s="401"/>
      <c r="O736" s="401"/>
      <c r="P736" s="401"/>
      <c r="Q736" s="401"/>
      <c r="R736" s="401"/>
      <c r="S736" s="401"/>
      <c r="T736" s="401"/>
      <c r="U736" s="401"/>
      <c r="V736" s="401"/>
      <c r="W736" s="401"/>
      <c r="X736" s="401"/>
    </row>
    <row r="737">
      <c r="A737" s="401"/>
      <c r="B737" s="401"/>
      <c r="C737" s="401"/>
      <c r="D737" s="401"/>
      <c r="E737" s="401"/>
      <c r="F737" s="401"/>
      <c r="G737" s="401"/>
      <c r="H737" s="401"/>
      <c r="I737" s="401"/>
      <c r="J737" s="401"/>
      <c r="K737" s="401"/>
      <c r="L737" s="401"/>
      <c r="M737" s="401"/>
      <c r="N737" s="401"/>
      <c r="O737" s="401"/>
      <c r="P737" s="401"/>
      <c r="Q737" s="401"/>
      <c r="R737" s="401"/>
      <c r="S737" s="401"/>
      <c r="T737" s="401"/>
      <c r="U737" s="401"/>
      <c r="V737" s="401"/>
      <c r="W737" s="401"/>
      <c r="X737" s="401"/>
    </row>
    <row r="738">
      <c r="A738" s="401"/>
      <c r="B738" s="401"/>
      <c r="C738" s="401"/>
      <c r="D738" s="401"/>
      <c r="E738" s="401"/>
      <c r="F738" s="401"/>
      <c r="G738" s="401"/>
      <c r="H738" s="401"/>
      <c r="I738" s="401"/>
      <c r="J738" s="401"/>
      <c r="K738" s="401"/>
      <c r="L738" s="401"/>
      <c r="M738" s="401"/>
      <c r="N738" s="401"/>
      <c r="O738" s="401"/>
      <c r="P738" s="401"/>
      <c r="Q738" s="401"/>
      <c r="R738" s="401"/>
      <c r="S738" s="401"/>
      <c r="T738" s="401"/>
      <c r="U738" s="401"/>
      <c r="V738" s="401"/>
      <c r="W738" s="401"/>
      <c r="X738" s="401"/>
    </row>
    <row r="739">
      <c r="A739" s="401"/>
      <c r="B739" s="401"/>
      <c r="C739" s="401"/>
      <c r="D739" s="401"/>
      <c r="E739" s="401"/>
      <c r="F739" s="401"/>
      <c r="G739" s="401"/>
      <c r="H739" s="401"/>
      <c r="I739" s="401"/>
      <c r="J739" s="401"/>
      <c r="K739" s="401"/>
      <c r="L739" s="401"/>
      <c r="M739" s="401"/>
      <c r="N739" s="401"/>
      <c r="O739" s="401"/>
      <c r="P739" s="401"/>
      <c r="Q739" s="401"/>
      <c r="R739" s="401"/>
      <c r="S739" s="401"/>
      <c r="T739" s="401"/>
      <c r="U739" s="401"/>
      <c r="V739" s="401"/>
      <c r="W739" s="401"/>
      <c r="X739" s="401"/>
    </row>
    <row r="740">
      <c r="A740" s="401"/>
      <c r="B740" s="401"/>
      <c r="C740" s="401"/>
      <c r="D740" s="401"/>
      <c r="E740" s="401"/>
      <c r="F740" s="401"/>
      <c r="G740" s="401"/>
      <c r="H740" s="401"/>
      <c r="I740" s="401"/>
      <c r="J740" s="401"/>
      <c r="K740" s="401"/>
      <c r="L740" s="401"/>
      <c r="M740" s="401"/>
      <c r="N740" s="401"/>
      <c r="O740" s="401"/>
      <c r="P740" s="401"/>
      <c r="Q740" s="401"/>
      <c r="R740" s="401"/>
      <c r="S740" s="401"/>
      <c r="T740" s="401"/>
      <c r="U740" s="401"/>
      <c r="V740" s="401"/>
      <c r="W740" s="401"/>
      <c r="X740" s="401"/>
    </row>
    <row r="741">
      <c r="A741" s="401"/>
      <c r="B741" s="401"/>
      <c r="C741" s="401"/>
      <c r="D741" s="401"/>
      <c r="E741" s="401"/>
      <c r="F741" s="401"/>
      <c r="G741" s="401"/>
      <c r="H741" s="401"/>
      <c r="I741" s="401"/>
      <c r="J741" s="401"/>
      <c r="K741" s="401"/>
      <c r="L741" s="401"/>
      <c r="M741" s="401"/>
      <c r="N741" s="401"/>
      <c r="O741" s="401"/>
      <c r="P741" s="401"/>
      <c r="Q741" s="401"/>
      <c r="R741" s="401"/>
      <c r="S741" s="401"/>
      <c r="T741" s="401"/>
      <c r="U741" s="401"/>
      <c r="V741" s="401"/>
      <c r="W741" s="401"/>
      <c r="X741" s="401"/>
    </row>
    <row r="742">
      <c r="A742" s="401"/>
      <c r="B742" s="401"/>
      <c r="C742" s="401"/>
      <c r="D742" s="401"/>
      <c r="E742" s="401"/>
      <c r="F742" s="401"/>
      <c r="G742" s="401"/>
      <c r="H742" s="401"/>
      <c r="I742" s="401"/>
      <c r="J742" s="401"/>
      <c r="K742" s="401"/>
      <c r="L742" s="401"/>
      <c r="M742" s="401"/>
      <c r="N742" s="401"/>
      <c r="O742" s="401"/>
      <c r="P742" s="401"/>
      <c r="Q742" s="401"/>
      <c r="R742" s="401"/>
      <c r="S742" s="401"/>
      <c r="T742" s="401"/>
      <c r="U742" s="401"/>
      <c r="V742" s="401"/>
      <c r="W742" s="401"/>
      <c r="X742" s="401"/>
    </row>
    <row r="743">
      <c r="A743" s="401"/>
      <c r="B743" s="401"/>
      <c r="C743" s="401"/>
      <c r="D743" s="401"/>
      <c r="E743" s="401"/>
      <c r="F743" s="401"/>
      <c r="G743" s="401"/>
      <c r="H743" s="401"/>
      <c r="I743" s="401"/>
      <c r="J743" s="401"/>
      <c r="K743" s="401"/>
      <c r="L743" s="401"/>
      <c r="M743" s="401"/>
      <c r="N743" s="401"/>
      <c r="O743" s="401"/>
      <c r="P743" s="401"/>
      <c r="Q743" s="401"/>
      <c r="R743" s="401"/>
      <c r="S743" s="401"/>
      <c r="T743" s="401"/>
      <c r="U743" s="401"/>
      <c r="V743" s="401"/>
      <c r="W743" s="401"/>
      <c r="X743" s="401"/>
    </row>
    <row r="744">
      <c r="A744" s="401"/>
      <c r="B744" s="401"/>
      <c r="C744" s="401"/>
      <c r="D744" s="401"/>
      <c r="E744" s="401"/>
      <c r="F744" s="401"/>
      <c r="G744" s="401"/>
      <c r="H744" s="401"/>
      <c r="I744" s="401"/>
      <c r="J744" s="401"/>
      <c r="K744" s="401"/>
      <c r="L744" s="401"/>
      <c r="M744" s="401"/>
      <c r="N744" s="401"/>
      <c r="O744" s="401"/>
      <c r="P744" s="401"/>
      <c r="Q744" s="401"/>
      <c r="R744" s="401"/>
      <c r="S744" s="401"/>
      <c r="T744" s="401"/>
      <c r="U744" s="401"/>
      <c r="V744" s="401"/>
      <c r="W744" s="401"/>
      <c r="X744" s="401"/>
    </row>
    <row r="745">
      <c r="A745" s="401"/>
      <c r="B745" s="401"/>
      <c r="C745" s="401"/>
      <c r="D745" s="401"/>
      <c r="E745" s="401"/>
      <c r="F745" s="401"/>
      <c r="G745" s="401"/>
      <c r="H745" s="401"/>
      <c r="I745" s="401"/>
      <c r="J745" s="401"/>
      <c r="K745" s="401"/>
      <c r="L745" s="401"/>
      <c r="M745" s="401"/>
      <c r="N745" s="401"/>
      <c r="O745" s="401"/>
      <c r="P745" s="401"/>
      <c r="Q745" s="401"/>
      <c r="R745" s="401"/>
      <c r="S745" s="401"/>
      <c r="T745" s="401"/>
      <c r="U745" s="401"/>
      <c r="V745" s="401"/>
      <c r="W745" s="401"/>
      <c r="X745" s="401"/>
    </row>
    <row r="746">
      <c r="A746" s="401"/>
      <c r="B746" s="401"/>
      <c r="C746" s="401"/>
      <c r="D746" s="401"/>
      <c r="E746" s="401"/>
      <c r="F746" s="401"/>
      <c r="G746" s="401"/>
      <c r="H746" s="401"/>
      <c r="I746" s="401"/>
      <c r="J746" s="401"/>
      <c r="K746" s="401"/>
      <c r="L746" s="401"/>
      <c r="M746" s="401"/>
      <c r="N746" s="401"/>
      <c r="O746" s="401"/>
      <c r="P746" s="401"/>
      <c r="Q746" s="401"/>
      <c r="R746" s="401"/>
      <c r="S746" s="401"/>
      <c r="T746" s="401"/>
      <c r="U746" s="401"/>
      <c r="V746" s="401"/>
      <c r="W746" s="401"/>
      <c r="X746" s="401"/>
    </row>
    <row r="747">
      <c r="A747" s="401"/>
      <c r="B747" s="401"/>
      <c r="C747" s="401"/>
      <c r="D747" s="401"/>
      <c r="E747" s="401"/>
      <c r="F747" s="401"/>
      <c r="G747" s="401"/>
      <c r="H747" s="401"/>
      <c r="I747" s="401"/>
      <c r="J747" s="401"/>
      <c r="K747" s="401"/>
      <c r="L747" s="401"/>
      <c r="M747" s="401"/>
      <c r="N747" s="401"/>
      <c r="O747" s="401"/>
      <c r="P747" s="401"/>
      <c r="Q747" s="401"/>
      <c r="R747" s="401"/>
      <c r="S747" s="401"/>
      <c r="T747" s="401"/>
      <c r="U747" s="401"/>
      <c r="V747" s="401"/>
      <c r="W747" s="401"/>
      <c r="X747" s="401"/>
    </row>
    <row r="748">
      <c r="A748" s="401"/>
      <c r="B748" s="401"/>
      <c r="C748" s="401"/>
      <c r="D748" s="401"/>
      <c r="E748" s="401"/>
      <c r="F748" s="401"/>
      <c r="G748" s="401"/>
      <c r="H748" s="401"/>
      <c r="I748" s="401"/>
      <c r="J748" s="401"/>
      <c r="K748" s="401"/>
      <c r="L748" s="401"/>
      <c r="M748" s="401"/>
      <c r="N748" s="401"/>
      <c r="O748" s="401"/>
      <c r="P748" s="401"/>
      <c r="Q748" s="401"/>
      <c r="R748" s="401"/>
      <c r="S748" s="401"/>
      <c r="T748" s="401"/>
      <c r="U748" s="401"/>
      <c r="V748" s="401"/>
      <c r="W748" s="401"/>
      <c r="X748" s="401"/>
    </row>
    <row r="749">
      <c r="A749" s="401"/>
      <c r="B749" s="401"/>
      <c r="C749" s="401"/>
      <c r="D749" s="401"/>
      <c r="E749" s="401"/>
      <c r="F749" s="401"/>
      <c r="G749" s="401"/>
      <c r="H749" s="401"/>
      <c r="I749" s="401"/>
      <c r="J749" s="401"/>
      <c r="K749" s="401"/>
      <c r="L749" s="401"/>
      <c r="M749" s="401"/>
      <c r="N749" s="401"/>
      <c r="O749" s="401"/>
      <c r="P749" s="401"/>
      <c r="Q749" s="401"/>
      <c r="R749" s="401"/>
      <c r="S749" s="401"/>
      <c r="T749" s="401"/>
      <c r="U749" s="401"/>
      <c r="V749" s="401"/>
      <c r="W749" s="401"/>
      <c r="X749" s="401"/>
    </row>
    <row r="750">
      <c r="A750" s="401"/>
      <c r="B750" s="401"/>
      <c r="C750" s="401"/>
      <c r="D750" s="401"/>
      <c r="E750" s="401"/>
      <c r="F750" s="401"/>
      <c r="G750" s="401"/>
      <c r="H750" s="401"/>
      <c r="I750" s="401"/>
      <c r="J750" s="401"/>
      <c r="K750" s="401"/>
      <c r="L750" s="401"/>
      <c r="M750" s="401"/>
      <c r="N750" s="401"/>
      <c r="O750" s="401"/>
      <c r="P750" s="401"/>
      <c r="Q750" s="401"/>
      <c r="R750" s="401"/>
      <c r="S750" s="401"/>
      <c r="T750" s="401"/>
      <c r="U750" s="401"/>
      <c r="V750" s="401"/>
      <c r="W750" s="401"/>
      <c r="X750" s="401"/>
    </row>
    <row r="751">
      <c r="A751" s="401"/>
      <c r="B751" s="401"/>
      <c r="C751" s="401"/>
      <c r="D751" s="401"/>
      <c r="E751" s="401"/>
      <c r="F751" s="401"/>
      <c r="G751" s="401"/>
      <c r="H751" s="401"/>
      <c r="I751" s="401"/>
      <c r="J751" s="401"/>
      <c r="K751" s="401"/>
      <c r="L751" s="401"/>
      <c r="M751" s="401"/>
      <c r="N751" s="401"/>
      <c r="O751" s="401"/>
      <c r="P751" s="401"/>
      <c r="Q751" s="401"/>
      <c r="R751" s="401"/>
      <c r="S751" s="401"/>
      <c r="T751" s="401"/>
      <c r="U751" s="401"/>
      <c r="V751" s="401"/>
      <c r="W751" s="401"/>
      <c r="X751" s="401"/>
    </row>
    <row r="752">
      <c r="A752" s="401"/>
      <c r="B752" s="401"/>
      <c r="C752" s="401"/>
      <c r="D752" s="401"/>
      <c r="E752" s="401"/>
      <c r="F752" s="401"/>
      <c r="G752" s="401"/>
      <c r="H752" s="401"/>
      <c r="I752" s="401"/>
      <c r="J752" s="401"/>
      <c r="K752" s="401"/>
      <c r="L752" s="401"/>
      <c r="M752" s="401"/>
      <c r="N752" s="401"/>
      <c r="O752" s="401"/>
      <c r="P752" s="401"/>
      <c r="Q752" s="401"/>
      <c r="R752" s="401"/>
      <c r="S752" s="401"/>
      <c r="T752" s="401"/>
      <c r="U752" s="401"/>
      <c r="V752" s="401"/>
      <c r="W752" s="401"/>
      <c r="X752" s="401"/>
    </row>
    <row r="753">
      <c r="A753" s="401"/>
      <c r="B753" s="401"/>
      <c r="C753" s="401"/>
      <c r="D753" s="401"/>
      <c r="E753" s="401"/>
      <c r="F753" s="401"/>
      <c r="G753" s="401"/>
      <c r="H753" s="401"/>
      <c r="I753" s="401"/>
      <c r="J753" s="401"/>
      <c r="K753" s="401"/>
      <c r="L753" s="401"/>
      <c r="M753" s="401"/>
      <c r="N753" s="401"/>
      <c r="O753" s="401"/>
      <c r="P753" s="401"/>
      <c r="Q753" s="401"/>
      <c r="R753" s="401"/>
      <c r="S753" s="401"/>
      <c r="T753" s="401"/>
      <c r="U753" s="401"/>
      <c r="V753" s="401"/>
      <c r="W753" s="401"/>
      <c r="X753" s="401"/>
    </row>
    <row r="754">
      <c r="A754" s="401"/>
      <c r="B754" s="401"/>
      <c r="C754" s="401"/>
      <c r="D754" s="401"/>
      <c r="E754" s="401"/>
      <c r="F754" s="401"/>
      <c r="G754" s="401"/>
      <c r="H754" s="401"/>
      <c r="I754" s="401"/>
      <c r="J754" s="401"/>
      <c r="K754" s="401"/>
      <c r="L754" s="401"/>
      <c r="M754" s="401"/>
      <c r="N754" s="401"/>
      <c r="O754" s="401"/>
      <c r="P754" s="401"/>
      <c r="Q754" s="401"/>
      <c r="R754" s="401"/>
      <c r="S754" s="401"/>
      <c r="T754" s="401"/>
      <c r="U754" s="401"/>
      <c r="V754" s="401"/>
      <c r="W754" s="401"/>
      <c r="X754" s="401"/>
    </row>
    <row r="755">
      <c r="A755" s="401"/>
      <c r="B755" s="401"/>
      <c r="C755" s="401"/>
      <c r="D755" s="401"/>
      <c r="E755" s="401"/>
      <c r="F755" s="401"/>
      <c r="G755" s="401"/>
      <c r="H755" s="401"/>
      <c r="I755" s="401"/>
      <c r="J755" s="401"/>
      <c r="K755" s="401"/>
      <c r="L755" s="401"/>
      <c r="M755" s="401"/>
      <c r="N755" s="401"/>
      <c r="O755" s="401"/>
      <c r="P755" s="401"/>
      <c r="Q755" s="401"/>
      <c r="R755" s="401"/>
      <c r="S755" s="401"/>
      <c r="T755" s="401"/>
      <c r="U755" s="401"/>
      <c r="V755" s="401"/>
      <c r="W755" s="401"/>
      <c r="X755" s="401"/>
    </row>
    <row r="756">
      <c r="A756" s="401"/>
      <c r="B756" s="401"/>
      <c r="C756" s="401"/>
      <c r="D756" s="401"/>
      <c r="E756" s="401"/>
      <c r="F756" s="401"/>
      <c r="G756" s="401"/>
      <c r="H756" s="401"/>
      <c r="I756" s="401"/>
      <c r="J756" s="401"/>
      <c r="K756" s="401"/>
      <c r="L756" s="401"/>
      <c r="M756" s="401"/>
      <c r="N756" s="401"/>
      <c r="O756" s="401"/>
      <c r="P756" s="401"/>
      <c r="Q756" s="401"/>
      <c r="R756" s="401"/>
      <c r="S756" s="401"/>
      <c r="T756" s="401"/>
      <c r="U756" s="401"/>
      <c r="V756" s="401"/>
      <c r="W756" s="401"/>
      <c r="X756" s="401"/>
    </row>
    <row r="757">
      <c r="A757" s="401"/>
      <c r="B757" s="401"/>
      <c r="C757" s="401"/>
      <c r="D757" s="401"/>
      <c r="E757" s="401"/>
      <c r="F757" s="401"/>
      <c r="G757" s="401"/>
      <c r="H757" s="401"/>
      <c r="I757" s="401"/>
      <c r="J757" s="401"/>
      <c r="K757" s="401"/>
      <c r="L757" s="401"/>
      <c r="M757" s="401"/>
      <c r="N757" s="401"/>
      <c r="O757" s="401"/>
      <c r="P757" s="401"/>
      <c r="Q757" s="401"/>
      <c r="R757" s="401"/>
      <c r="S757" s="401"/>
      <c r="T757" s="401"/>
      <c r="U757" s="401"/>
      <c r="V757" s="401"/>
      <c r="W757" s="401"/>
      <c r="X757" s="401"/>
    </row>
    <row r="758">
      <c r="A758" s="401"/>
      <c r="B758" s="401"/>
      <c r="C758" s="401"/>
      <c r="D758" s="401"/>
      <c r="E758" s="401"/>
      <c r="F758" s="401"/>
      <c r="G758" s="401"/>
      <c r="H758" s="401"/>
      <c r="I758" s="401"/>
      <c r="J758" s="401"/>
      <c r="K758" s="401"/>
      <c r="L758" s="401"/>
      <c r="M758" s="401"/>
      <c r="N758" s="401"/>
      <c r="O758" s="401"/>
      <c r="P758" s="401"/>
      <c r="Q758" s="401"/>
      <c r="R758" s="401"/>
      <c r="S758" s="401"/>
      <c r="T758" s="401"/>
      <c r="U758" s="401"/>
      <c r="V758" s="401"/>
      <c r="W758" s="401"/>
      <c r="X758" s="401"/>
    </row>
    <row r="759">
      <c r="A759" s="401"/>
      <c r="B759" s="401"/>
      <c r="C759" s="401"/>
      <c r="D759" s="401"/>
      <c r="E759" s="401"/>
      <c r="F759" s="401"/>
      <c r="G759" s="401"/>
      <c r="H759" s="401"/>
      <c r="I759" s="401"/>
      <c r="J759" s="401"/>
      <c r="K759" s="401"/>
      <c r="L759" s="401"/>
      <c r="M759" s="401"/>
      <c r="N759" s="401"/>
      <c r="O759" s="401"/>
      <c r="P759" s="401"/>
      <c r="Q759" s="401"/>
      <c r="R759" s="401"/>
      <c r="S759" s="401"/>
      <c r="T759" s="401"/>
      <c r="U759" s="401"/>
      <c r="V759" s="401"/>
      <c r="W759" s="401"/>
      <c r="X759" s="401"/>
    </row>
    <row r="760">
      <c r="A760" s="401"/>
      <c r="B760" s="401"/>
      <c r="C760" s="401"/>
      <c r="D760" s="401"/>
      <c r="E760" s="401"/>
      <c r="F760" s="401"/>
      <c r="G760" s="401"/>
      <c r="H760" s="401"/>
      <c r="I760" s="401"/>
      <c r="J760" s="401"/>
      <c r="K760" s="401"/>
      <c r="L760" s="401"/>
      <c r="M760" s="401"/>
      <c r="N760" s="401"/>
      <c r="O760" s="401"/>
      <c r="P760" s="401"/>
      <c r="Q760" s="401"/>
      <c r="R760" s="401"/>
      <c r="S760" s="401"/>
      <c r="T760" s="401"/>
      <c r="U760" s="401"/>
      <c r="V760" s="401"/>
      <c r="W760" s="401"/>
      <c r="X760" s="401"/>
    </row>
    <row r="761">
      <c r="A761" s="401"/>
      <c r="B761" s="401"/>
      <c r="C761" s="401"/>
      <c r="D761" s="401"/>
      <c r="E761" s="401"/>
      <c r="F761" s="401"/>
      <c r="G761" s="401"/>
      <c r="H761" s="401"/>
      <c r="I761" s="401"/>
      <c r="J761" s="401"/>
      <c r="K761" s="401"/>
      <c r="L761" s="401"/>
      <c r="M761" s="401"/>
      <c r="N761" s="401"/>
      <c r="O761" s="401"/>
      <c r="P761" s="401"/>
      <c r="Q761" s="401"/>
      <c r="R761" s="401"/>
      <c r="S761" s="401"/>
      <c r="T761" s="401"/>
      <c r="U761" s="401"/>
      <c r="V761" s="401"/>
      <c r="W761" s="401"/>
      <c r="X761" s="401"/>
    </row>
    <row r="762">
      <c r="A762" s="401"/>
      <c r="B762" s="401"/>
      <c r="C762" s="401"/>
      <c r="D762" s="401"/>
      <c r="E762" s="401"/>
      <c r="F762" s="401"/>
      <c r="G762" s="401"/>
      <c r="H762" s="401"/>
      <c r="I762" s="401"/>
      <c r="J762" s="401"/>
      <c r="K762" s="401"/>
      <c r="L762" s="401"/>
      <c r="M762" s="401"/>
      <c r="N762" s="401"/>
      <c r="O762" s="401"/>
      <c r="P762" s="401"/>
      <c r="Q762" s="401"/>
      <c r="R762" s="401"/>
      <c r="S762" s="401"/>
      <c r="T762" s="401"/>
      <c r="U762" s="401"/>
      <c r="V762" s="401"/>
      <c r="W762" s="401"/>
      <c r="X762" s="401"/>
    </row>
    <row r="763">
      <c r="A763" s="401"/>
      <c r="B763" s="401"/>
      <c r="C763" s="401"/>
      <c r="D763" s="401"/>
      <c r="E763" s="401"/>
      <c r="F763" s="401"/>
      <c r="G763" s="401"/>
      <c r="H763" s="401"/>
      <c r="I763" s="401"/>
      <c r="J763" s="401"/>
      <c r="K763" s="401"/>
      <c r="L763" s="401"/>
      <c r="M763" s="401"/>
      <c r="N763" s="401"/>
      <c r="O763" s="401"/>
      <c r="P763" s="401"/>
      <c r="Q763" s="401"/>
      <c r="R763" s="401"/>
      <c r="S763" s="401"/>
      <c r="T763" s="401"/>
      <c r="U763" s="401"/>
      <c r="V763" s="401"/>
      <c r="W763" s="401"/>
      <c r="X763" s="401"/>
    </row>
    <row r="764">
      <c r="A764" s="401"/>
      <c r="B764" s="401"/>
      <c r="C764" s="401"/>
      <c r="D764" s="401"/>
      <c r="E764" s="401"/>
      <c r="F764" s="401"/>
      <c r="G764" s="401"/>
      <c r="H764" s="401"/>
      <c r="I764" s="401"/>
      <c r="J764" s="401"/>
      <c r="K764" s="401"/>
      <c r="L764" s="401"/>
      <c r="M764" s="401"/>
      <c r="N764" s="401"/>
      <c r="O764" s="401"/>
      <c r="P764" s="401"/>
      <c r="Q764" s="401"/>
      <c r="R764" s="401"/>
      <c r="S764" s="401"/>
      <c r="T764" s="401"/>
      <c r="U764" s="401"/>
      <c r="V764" s="401"/>
      <c r="W764" s="401"/>
      <c r="X764" s="401"/>
    </row>
    <row r="765">
      <c r="A765" s="401"/>
      <c r="B765" s="401"/>
      <c r="C765" s="401"/>
      <c r="D765" s="401"/>
      <c r="E765" s="401"/>
      <c r="F765" s="401"/>
      <c r="G765" s="401"/>
      <c r="H765" s="401"/>
      <c r="I765" s="401"/>
      <c r="J765" s="401"/>
      <c r="K765" s="401"/>
      <c r="L765" s="401"/>
      <c r="M765" s="401"/>
      <c r="N765" s="401"/>
      <c r="O765" s="401"/>
      <c r="P765" s="401"/>
      <c r="Q765" s="401"/>
      <c r="R765" s="401"/>
      <c r="S765" s="401"/>
      <c r="T765" s="401"/>
      <c r="U765" s="401"/>
      <c r="V765" s="401"/>
      <c r="W765" s="401"/>
      <c r="X765" s="401"/>
    </row>
    <row r="766">
      <c r="A766" s="401"/>
      <c r="B766" s="401"/>
      <c r="C766" s="401"/>
      <c r="D766" s="401"/>
      <c r="E766" s="401"/>
      <c r="F766" s="401"/>
      <c r="G766" s="401"/>
      <c r="H766" s="401"/>
      <c r="I766" s="401"/>
      <c r="J766" s="401"/>
      <c r="K766" s="401"/>
      <c r="L766" s="401"/>
      <c r="M766" s="401"/>
      <c r="N766" s="401"/>
      <c r="O766" s="401"/>
      <c r="P766" s="401"/>
      <c r="Q766" s="401"/>
      <c r="R766" s="401"/>
      <c r="S766" s="401"/>
      <c r="T766" s="401"/>
      <c r="U766" s="401"/>
      <c r="V766" s="401"/>
      <c r="W766" s="401"/>
      <c r="X766" s="401"/>
    </row>
    <row r="767">
      <c r="A767" s="401"/>
      <c r="B767" s="401"/>
      <c r="C767" s="401"/>
      <c r="D767" s="401"/>
      <c r="E767" s="401"/>
      <c r="F767" s="401"/>
      <c r="G767" s="401"/>
      <c r="H767" s="401"/>
      <c r="I767" s="401"/>
      <c r="J767" s="401"/>
      <c r="K767" s="401"/>
      <c r="L767" s="401"/>
      <c r="M767" s="401"/>
      <c r="N767" s="401"/>
      <c r="O767" s="401"/>
      <c r="P767" s="401"/>
      <c r="Q767" s="401"/>
      <c r="R767" s="401"/>
      <c r="S767" s="401"/>
      <c r="T767" s="401"/>
      <c r="U767" s="401"/>
      <c r="V767" s="401"/>
      <c r="W767" s="401"/>
      <c r="X767" s="401"/>
    </row>
    <row r="768">
      <c r="A768" s="401"/>
      <c r="B768" s="401"/>
      <c r="C768" s="401"/>
      <c r="D768" s="401"/>
      <c r="E768" s="401"/>
      <c r="F768" s="401"/>
      <c r="G768" s="401"/>
      <c r="H768" s="401"/>
      <c r="I768" s="401"/>
      <c r="J768" s="401"/>
      <c r="K768" s="401"/>
      <c r="L768" s="401"/>
      <c r="M768" s="401"/>
      <c r="N768" s="401"/>
      <c r="O768" s="401"/>
      <c r="P768" s="401"/>
      <c r="Q768" s="401"/>
      <c r="R768" s="401"/>
      <c r="S768" s="401"/>
      <c r="T768" s="401"/>
      <c r="U768" s="401"/>
      <c r="V768" s="401"/>
      <c r="W768" s="401"/>
      <c r="X768" s="401"/>
    </row>
    <row r="769">
      <c r="A769" s="401"/>
      <c r="B769" s="401"/>
      <c r="C769" s="401"/>
      <c r="D769" s="401"/>
      <c r="E769" s="401"/>
      <c r="F769" s="401"/>
      <c r="G769" s="401"/>
      <c r="H769" s="401"/>
      <c r="I769" s="401"/>
      <c r="J769" s="401"/>
      <c r="K769" s="401"/>
      <c r="L769" s="401"/>
      <c r="M769" s="401"/>
      <c r="N769" s="401"/>
      <c r="O769" s="401"/>
      <c r="P769" s="401"/>
      <c r="Q769" s="401"/>
      <c r="R769" s="401"/>
      <c r="S769" s="401"/>
      <c r="T769" s="401"/>
      <c r="U769" s="401"/>
      <c r="V769" s="401"/>
      <c r="W769" s="401"/>
      <c r="X769" s="401"/>
    </row>
    <row r="770">
      <c r="A770" s="401"/>
      <c r="B770" s="401"/>
      <c r="C770" s="401"/>
      <c r="D770" s="401"/>
      <c r="E770" s="401"/>
      <c r="F770" s="401"/>
      <c r="G770" s="401"/>
      <c r="H770" s="401"/>
      <c r="I770" s="401"/>
      <c r="J770" s="401"/>
      <c r="K770" s="401"/>
      <c r="L770" s="401"/>
      <c r="M770" s="401"/>
      <c r="N770" s="401"/>
      <c r="O770" s="401"/>
      <c r="P770" s="401"/>
      <c r="Q770" s="401"/>
      <c r="R770" s="401"/>
      <c r="S770" s="401"/>
      <c r="T770" s="401"/>
      <c r="U770" s="401"/>
      <c r="V770" s="401"/>
      <c r="W770" s="401"/>
      <c r="X770" s="401"/>
    </row>
    <row r="771">
      <c r="A771" s="401"/>
      <c r="B771" s="401"/>
      <c r="C771" s="401"/>
      <c r="D771" s="401"/>
      <c r="E771" s="401"/>
      <c r="F771" s="401"/>
      <c r="G771" s="401"/>
      <c r="H771" s="401"/>
      <c r="I771" s="401"/>
      <c r="J771" s="401"/>
      <c r="K771" s="401"/>
      <c r="L771" s="401"/>
      <c r="M771" s="401"/>
      <c r="N771" s="401"/>
      <c r="O771" s="401"/>
      <c r="P771" s="401"/>
      <c r="Q771" s="401"/>
      <c r="R771" s="401"/>
      <c r="S771" s="401"/>
      <c r="T771" s="401"/>
      <c r="U771" s="401"/>
      <c r="V771" s="401"/>
      <c r="W771" s="401"/>
      <c r="X771" s="401"/>
    </row>
    <row r="772">
      <c r="A772" s="401"/>
      <c r="B772" s="401"/>
      <c r="C772" s="401"/>
      <c r="D772" s="401"/>
      <c r="E772" s="401"/>
      <c r="F772" s="401"/>
      <c r="G772" s="401"/>
      <c r="H772" s="401"/>
      <c r="I772" s="401"/>
      <c r="J772" s="401"/>
      <c r="K772" s="401"/>
      <c r="L772" s="401"/>
      <c r="M772" s="401"/>
      <c r="N772" s="401"/>
      <c r="O772" s="401"/>
      <c r="P772" s="401"/>
      <c r="Q772" s="401"/>
      <c r="R772" s="401"/>
      <c r="S772" s="401"/>
      <c r="T772" s="401"/>
      <c r="U772" s="401"/>
      <c r="V772" s="401"/>
      <c r="W772" s="401"/>
      <c r="X772" s="401"/>
    </row>
    <row r="773">
      <c r="A773" s="401"/>
      <c r="B773" s="401"/>
      <c r="C773" s="401"/>
      <c r="D773" s="401"/>
      <c r="E773" s="401"/>
      <c r="F773" s="401"/>
      <c r="G773" s="401"/>
      <c r="H773" s="401"/>
      <c r="I773" s="401"/>
      <c r="J773" s="401"/>
      <c r="K773" s="401"/>
      <c r="L773" s="401"/>
      <c r="M773" s="401"/>
      <c r="N773" s="401"/>
      <c r="O773" s="401"/>
      <c r="P773" s="401"/>
      <c r="Q773" s="401"/>
      <c r="R773" s="401"/>
      <c r="S773" s="401"/>
      <c r="T773" s="401"/>
      <c r="U773" s="401"/>
      <c r="V773" s="401"/>
      <c r="W773" s="401"/>
      <c r="X773" s="401"/>
    </row>
    <row r="774">
      <c r="A774" s="401"/>
      <c r="B774" s="401"/>
      <c r="C774" s="401"/>
      <c r="D774" s="401"/>
      <c r="E774" s="401"/>
      <c r="F774" s="401"/>
      <c r="G774" s="401"/>
      <c r="H774" s="401"/>
      <c r="I774" s="401"/>
      <c r="J774" s="401"/>
      <c r="K774" s="401"/>
      <c r="L774" s="401"/>
      <c r="M774" s="401"/>
      <c r="N774" s="401"/>
      <c r="O774" s="401"/>
      <c r="P774" s="401"/>
      <c r="Q774" s="401"/>
      <c r="R774" s="401"/>
      <c r="S774" s="401"/>
      <c r="T774" s="401"/>
      <c r="U774" s="401"/>
      <c r="V774" s="401"/>
      <c r="W774" s="401"/>
      <c r="X774" s="401"/>
    </row>
    <row r="775">
      <c r="A775" s="401"/>
      <c r="B775" s="401"/>
      <c r="C775" s="401"/>
      <c r="D775" s="401"/>
      <c r="E775" s="401"/>
      <c r="F775" s="401"/>
      <c r="G775" s="401"/>
      <c r="H775" s="401"/>
      <c r="I775" s="401"/>
      <c r="J775" s="401"/>
      <c r="K775" s="401"/>
      <c r="L775" s="401"/>
      <c r="M775" s="401"/>
      <c r="N775" s="401"/>
      <c r="O775" s="401"/>
      <c r="P775" s="401"/>
      <c r="Q775" s="401"/>
      <c r="R775" s="401"/>
      <c r="S775" s="401"/>
      <c r="T775" s="401"/>
      <c r="U775" s="401"/>
      <c r="V775" s="401"/>
      <c r="W775" s="401"/>
      <c r="X775" s="401"/>
    </row>
    <row r="776">
      <c r="A776" s="401"/>
      <c r="B776" s="401"/>
      <c r="C776" s="401"/>
      <c r="D776" s="401"/>
      <c r="E776" s="401"/>
      <c r="F776" s="401"/>
      <c r="G776" s="401"/>
      <c r="H776" s="401"/>
      <c r="I776" s="401"/>
      <c r="J776" s="401"/>
      <c r="K776" s="401"/>
      <c r="L776" s="401"/>
      <c r="M776" s="401"/>
      <c r="N776" s="401"/>
      <c r="O776" s="401"/>
      <c r="P776" s="401"/>
      <c r="Q776" s="401"/>
      <c r="R776" s="401"/>
      <c r="S776" s="401"/>
      <c r="T776" s="401"/>
      <c r="U776" s="401"/>
      <c r="V776" s="401"/>
      <c r="W776" s="401"/>
      <c r="X776" s="401"/>
    </row>
    <row r="777">
      <c r="A777" s="401"/>
      <c r="B777" s="401"/>
      <c r="C777" s="401"/>
      <c r="D777" s="401"/>
      <c r="E777" s="401"/>
      <c r="F777" s="401"/>
      <c r="G777" s="401"/>
      <c r="H777" s="401"/>
      <c r="I777" s="401"/>
      <c r="J777" s="401"/>
      <c r="K777" s="401"/>
      <c r="L777" s="401"/>
      <c r="M777" s="401"/>
      <c r="N777" s="401"/>
      <c r="O777" s="401"/>
      <c r="P777" s="401"/>
      <c r="Q777" s="401"/>
      <c r="R777" s="401"/>
      <c r="S777" s="401"/>
      <c r="T777" s="401"/>
      <c r="U777" s="401"/>
      <c r="V777" s="401"/>
      <c r="W777" s="401"/>
      <c r="X777" s="401"/>
    </row>
    <row r="778">
      <c r="A778" s="401"/>
      <c r="B778" s="401"/>
      <c r="C778" s="401"/>
      <c r="D778" s="401"/>
      <c r="E778" s="401"/>
      <c r="F778" s="401"/>
      <c r="G778" s="401"/>
      <c r="H778" s="401"/>
      <c r="I778" s="401"/>
      <c r="J778" s="401"/>
      <c r="K778" s="401"/>
      <c r="L778" s="401"/>
      <c r="M778" s="401"/>
      <c r="N778" s="401"/>
      <c r="O778" s="401"/>
      <c r="P778" s="401"/>
      <c r="Q778" s="401"/>
      <c r="R778" s="401"/>
      <c r="S778" s="401"/>
      <c r="T778" s="401"/>
      <c r="U778" s="401"/>
      <c r="V778" s="401"/>
      <c r="W778" s="401"/>
      <c r="X778" s="401"/>
    </row>
    <row r="779">
      <c r="A779" s="401"/>
      <c r="B779" s="401"/>
      <c r="C779" s="401"/>
      <c r="D779" s="401"/>
      <c r="E779" s="401"/>
      <c r="F779" s="401"/>
      <c r="G779" s="401"/>
      <c r="H779" s="401"/>
      <c r="I779" s="401"/>
      <c r="J779" s="401"/>
      <c r="K779" s="401"/>
      <c r="L779" s="401"/>
      <c r="M779" s="401"/>
      <c r="N779" s="401"/>
      <c r="O779" s="401"/>
      <c r="P779" s="401"/>
      <c r="Q779" s="401"/>
      <c r="R779" s="401"/>
      <c r="S779" s="401"/>
      <c r="T779" s="401"/>
      <c r="U779" s="401"/>
      <c r="V779" s="401"/>
      <c r="W779" s="401"/>
      <c r="X779" s="401"/>
    </row>
    <row r="780">
      <c r="A780" s="401"/>
      <c r="B780" s="401"/>
      <c r="C780" s="401"/>
      <c r="D780" s="401"/>
      <c r="E780" s="401"/>
      <c r="F780" s="401"/>
      <c r="G780" s="401"/>
      <c r="H780" s="401"/>
      <c r="I780" s="401"/>
      <c r="J780" s="401"/>
      <c r="K780" s="401"/>
      <c r="L780" s="401"/>
      <c r="M780" s="401"/>
      <c r="N780" s="401"/>
      <c r="O780" s="401"/>
      <c r="P780" s="401"/>
      <c r="Q780" s="401"/>
      <c r="R780" s="401"/>
      <c r="S780" s="401"/>
      <c r="T780" s="401"/>
      <c r="U780" s="401"/>
      <c r="V780" s="401"/>
      <c r="W780" s="401"/>
      <c r="X780" s="401"/>
    </row>
    <row r="781">
      <c r="A781" s="401"/>
      <c r="B781" s="401"/>
      <c r="C781" s="401"/>
      <c r="D781" s="401"/>
      <c r="E781" s="401"/>
      <c r="F781" s="401"/>
      <c r="G781" s="401"/>
      <c r="H781" s="401"/>
      <c r="I781" s="401"/>
      <c r="J781" s="401"/>
      <c r="K781" s="401"/>
      <c r="L781" s="401"/>
      <c r="M781" s="401"/>
      <c r="N781" s="401"/>
      <c r="O781" s="401"/>
      <c r="P781" s="401"/>
      <c r="Q781" s="401"/>
      <c r="R781" s="401"/>
      <c r="S781" s="401"/>
      <c r="T781" s="401"/>
      <c r="U781" s="401"/>
      <c r="V781" s="401"/>
      <c r="W781" s="401"/>
      <c r="X781" s="401"/>
    </row>
    <row r="782">
      <c r="A782" s="401"/>
      <c r="B782" s="401"/>
      <c r="C782" s="401"/>
      <c r="D782" s="401"/>
      <c r="E782" s="401"/>
      <c r="F782" s="401"/>
      <c r="G782" s="401"/>
      <c r="H782" s="401"/>
      <c r="I782" s="401"/>
      <c r="J782" s="401"/>
      <c r="K782" s="401"/>
      <c r="L782" s="401"/>
      <c r="M782" s="401"/>
      <c r="N782" s="401"/>
      <c r="O782" s="401"/>
      <c r="P782" s="401"/>
      <c r="Q782" s="401"/>
      <c r="R782" s="401"/>
      <c r="S782" s="401"/>
      <c r="T782" s="401"/>
      <c r="U782" s="401"/>
      <c r="V782" s="401"/>
      <c r="W782" s="401"/>
      <c r="X782" s="401"/>
    </row>
    <row r="783">
      <c r="A783" s="401"/>
      <c r="B783" s="401"/>
      <c r="C783" s="401"/>
      <c r="D783" s="401"/>
      <c r="E783" s="401"/>
      <c r="F783" s="401"/>
      <c r="G783" s="401"/>
      <c r="H783" s="401"/>
      <c r="I783" s="401"/>
      <c r="J783" s="401"/>
      <c r="K783" s="401"/>
      <c r="L783" s="401"/>
      <c r="M783" s="401"/>
      <c r="N783" s="401"/>
      <c r="O783" s="401"/>
      <c r="P783" s="401"/>
      <c r="Q783" s="401"/>
      <c r="R783" s="401"/>
      <c r="S783" s="401"/>
      <c r="T783" s="401"/>
      <c r="U783" s="401"/>
      <c r="V783" s="401"/>
      <c r="W783" s="401"/>
      <c r="X783" s="401"/>
    </row>
    <row r="784">
      <c r="A784" s="401"/>
      <c r="B784" s="401"/>
      <c r="C784" s="401"/>
      <c r="D784" s="401"/>
      <c r="E784" s="401"/>
      <c r="F784" s="401"/>
      <c r="G784" s="401"/>
      <c r="H784" s="401"/>
      <c r="I784" s="401"/>
      <c r="J784" s="401"/>
      <c r="K784" s="401"/>
      <c r="L784" s="401"/>
      <c r="M784" s="401"/>
      <c r="N784" s="401"/>
      <c r="O784" s="401"/>
      <c r="P784" s="401"/>
      <c r="Q784" s="401"/>
      <c r="R784" s="401"/>
      <c r="S784" s="401"/>
      <c r="T784" s="401"/>
      <c r="U784" s="401"/>
      <c r="V784" s="401"/>
      <c r="W784" s="401"/>
      <c r="X784" s="401"/>
    </row>
    <row r="785">
      <c r="A785" s="401"/>
      <c r="B785" s="401"/>
      <c r="C785" s="401"/>
      <c r="D785" s="401"/>
      <c r="E785" s="401"/>
      <c r="F785" s="401"/>
      <c r="G785" s="401"/>
      <c r="H785" s="401"/>
      <c r="I785" s="401"/>
      <c r="J785" s="401"/>
      <c r="K785" s="401"/>
      <c r="L785" s="401"/>
      <c r="M785" s="401"/>
      <c r="N785" s="401"/>
      <c r="O785" s="401"/>
      <c r="P785" s="401"/>
      <c r="Q785" s="401"/>
      <c r="R785" s="401"/>
      <c r="S785" s="401"/>
      <c r="T785" s="401"/>
      <c r="U785" s="401"/>
      <c r="V785" s="401"/>
      <c r="W785" s="401"/>
      <c r="X785" s="401"/>
    </row>
    <row r="786">
      <c r="A786" s="401"/>
      <c r="B786" s="401"/>
      <c r="C786" s="401"/>
      <c r="D786" s="401"/>
      <c r="E786" s="401"/>
      <c r="F786" s="401"/>
      <c r="G786" s="401"/>
      <c r="H786" s="401"/>
      <c r="I786" s="401"/>
      <c r="J786" s="401"/>
      <c r="K786" s="401"/>
      <c r="L786" s="401"/>
      <c r="M786" s="401"/>
      <c r="N786" s="401"/>
      <c r="O786" s="401"/>
      <c r="P786" s="401"/>
      <c r="Q786" s="401"/>
      <c r="R786" s="401"/>
      <c r="S786" s="401"/>
      <c r="T786" s="401"/>
      <c r="U786" s="401"/>
      <c r="V786" s="401"/>
      <c r="W786" s="401"/>
      <c r="X786" s="401"/>
    </row>
    <row r="787">
      <c r="A787" s="401"/>
      <c r="B787" s="401"/>
      <c r="C787" s="401"/>
      <c r="D787" s="401"/>
      <c r="E787" s="401"/>
      <c r="F787" s="401"/>
      <c r="G787" s="401"/>
      <c r="H787" s="401"/>
      <c r="I787" s="401"/>
      <c r="J787" s="401"/>
      <c r="K787" s="401"/>
      <c r="L787" s="401"/>
      <c r="M787" s="401"/>
      <c r="N787" s="401"/>
      <c r="O787" s="401"/>
      <c r="P787" s="401"/>
      <c r="Q787" s="401"/>
      <c r="R787" s="401"/>
      <c r="S787" s="401"/>
      <c r="T787" s="401"/>
      <c r="U787" s="401"/>
      <c r="V787" s="401"/>
      <c r="W787" s="401"/>
      <c r="X787" s="401"/>
    </row>
    <row r="788">
      <c r="A788" s="401"/>
      <c r="B788" s="401"/>
      <c r="C788" s="401"/>
      <c r="D788" s="401"/>
      <c r="E788" s="401"/>
      <c r="F788" s="401"/>
      <c r="G788" s="401"/>
      <c r="H788" s="401"/>
      <c r="I788" s="401"/>
      <c r="J788" s="401"/>
      <c r="K788" s="401"/>
      <c r="L788" s="401"/>
      <c r="M788" s="401"/>
      <c r="N788" s="401"/>
      <c r="O788" s="401"/>
      <c r="P788" s="401"/>
      <c r="Q788" s="401"/>
      <c r="R788" s="401"/>
      <c r="S788" s="401"/>
      <c r="T788" s="401"/>
      <c r="U788" s="401"/>
      <c r="V788" s="401"/>
      <c r="W788" s="401"/>
      <c r="X788" s="401"/>
    </row>
    <row r="789">
      <c r="A789" s="401"/>
      <c r="B789" s="401"/>
      <c r="C789" s="401"/>
      <c r="D789" s="401"/>
      <c r="E789" s="401"/>
      <c r="F789" s="401"/>
      <c r="G789" s="401"/>
      <c r="H789" s="401"/>
      <c r="I789" s="401"/>
      <c r="J789" s="401"/>
      <c r="K789" s="401"/>
      <c r="L789" s="401"/>
      <c r="M789" s="401"/>
      <c r="N789" s="401"/>
      <c r="O789" s="401"/>
      <c r="P789" s="401"/>
      <c r="Q789" s="401"/>
      <c r="R789" s="401"/>
      <c r="S789" s="401"/>
      <c r="T789" s="401"/>
      <c r="U789" s="401"/>
      <c r="V789" s="401"/>
      <c r="W789" s="401"/>
      <c r="X789" s="401"/>
    </row>
    <row r="790">
      <c r="A790" s="401"/>
      <c r="B790" s="401"/>
      <c r="C790" s="401"/>
      <c r="D790" s="401"/>
      <c r="E790" s="401"/>
      <c r="F790" s="401"/>
      <c r="G790" s="401"/>
      <c r="H790" s="401"/>
      <c r="I790" s="401"/>
      <c r="J790" s="401"/>
      <c r="K790" s="401"/>
      <c r="L790" s="401"/>
      <c r="M790" s="401"/>
      <c r="N790" s="401"/>
      <c r="O790" s="401"/>
      <c r="P790" s="401"/>
      <c r="Q790" s="401"/>
      <c r="R790" s="401"/>
      <c r="S790" s="401"/>
      <c r="T790" s="401"/>
      <c r="U790" s="401"/>
      <c r="V790" s="401"/>
      <c r="W790" s="401"/>
      <c r="X790" s="401"/>
    </row>
    <row r="791">
      <c r="A791" s="401"/>
      <c r="B791" s="401"/>
      <c r="C791" s="401"/>
      <c r="D791" s="401"/>
      <c r="E791" s="401"/>
      <c r="F791" s="401"/>
      <c r="G791" s="401"/>
      <c r="H791" s="401"/>
      <c r="I791" s="401"/>
      <c r="J791" s="401"/>
      <c r="K791" s="401"/>
      <c r="L791" s="401"/>
      <c r="M791" s="401"/>
      <c r="N791" s="401"/>
      <c r="O791" s="401"/>
      <c r="P791" s="401"/>
      <c r="Q791" s="401"/>
      <c r="R791" s="401"/>
      <c r="S791" s="401"/>
      <c r="T791" s="401"/>
      <c r="U791" s="401"/>
      <c r="V791" s="401"/>
      <c r="W791" s="401"/>
      <c r="X791" s="401"/>
    </row>
    <row r="792">
      <c r="A792" s="401"/>
      <c r="B792" s="401"/>
      <c r="C792" s="401"/>
      <c r="D792" s="401"/>
      <c r="E792" s="401"/>
      <c r="F792" s="401"/>
      <c r="G792" s="401"/>
      <c r="H792" s="401"/>
      <c r="I792" s="401"/>
      <c r="J792" s="401"/>
      <c r="K792" s="401"/>
      <c r="L792" s="401"/>
      <c r="M792" s="401"/>
      <c r="N792" s="401"/>
      <c r="O792" s="401"/>
      <c r="P792" s="401"/>
      <c r="Q792" s="401"/>
      <c r="R792" s="401"/>
      <c r="S792" s="401"/>
      <c r="T792" s="401"/>
      <c r="U792" s="401"/>
      <c r="V792" s="401"/>
      <c r="W792" s="401"/>
      <c r="X792" s="401"/>
    </row>
    <row r="793">
      <c r="A793" s="401"/>
      <c r="B793" s="401"/>
      <c r="C793" s="401"/>
      <c r="D793" s="401"/>
      <c r="E793" s="401"/>
      <c r="F793" s="401"/>
      <c r="G793" s="401"/>
      <c r="H793" s="401"/>
      <c r="I793" s="401"/>
      <c r="J793" s="401"/>
      <c r="K793" s="401"/>
      <c r="L793" s="401"/>
      <c r="M793" s="401"/>
      <c r="N793" s="401"/>
      <c r="O793" s="401"/>
      <c r="P793" s="401"/>
      <c r="Q793" s="401"/>
      <c r="R793" s="401"/>
      <c r="S793" s="401"/>
      <c r="T793" s="401"/>
      <c r="U793" s="401"/>
      <c r="V793" s="401"/>
      <c r="W793" s="401"/>
      <c r="X793" s="401"/>
    </row>
    <row r="794">
      <c r="A794" s="401"/>
      <c r="B794" s="401"/>
      <c r="C794" s="401"/>
      <c r="D794" s="401"/>
      <c r="E794" s="401"/>
      <c r="F794" s="401"/>
      <c r="G794" s="401"/>
      <c r="H794" s="401"/>
      <c r="I794" s="401"/>
      <c r="J794" s="401"/>
      <c r="K794" s="401"/>
      <c r="L794" s="401"/>
      <c r="M794" s="401"/>
      <c r="N794" s="401"/>
      <c r="O794" s="401"/>
      <c r="P794" s="401"/>
      <c r="Q794" s="401"/>
      <c r="R794" s="401"/>
      <c r="S794" s="401"/>
      <c r="T794" s="401"/>
      <c r="U794" s="401"/>
      <c r="V794" s="401"/>
      <c r="W794" s="401"/>
      <c r="X794" s="401"/>
    </row>
    <row r="795">
      <c r="A795" s="401"/>
      <c r="B795" s="401"/>
      <c r="C795" s="401"/>
      <c r="D795" s="401"/>
      <c r="E795" s="401"/>
      <c r="F795" s="401"/>
      <c r="G795" s="401"/>
      <c r="H795" s="401"/>
      <c r="I795" s="401"/>
      <c r="J795" s="401"/>
      <c r="K795" s="401"/>
      <c r="L795" s="401"/>
      <c r="M795" s="401"/>
      <c r="N795" s="401"/>
      <c r="O795" s="401"/>
      <c r="P795" s="401"/>
      <c r="Q795" s="401"/>
      <c r="R795" s="401"/>
      <c r="S795" s="401"/>
      <c r="T795" s="401"/>
      <c r="U795" s="401"/>
      <c r="V795" s="401"/>
      <c r="W795" s="401"/>
      <c r="X795" s="401"/>
    </row>
    <row r="796">
      <c r="A796" s="401"/>
      <c r="B796" s="401"/>
      <c r="C796" s="401"/>
      <c r="D796" s="401"/>
      <c r="E796" s="401"/>
      <c r="F796" s="401"/>
      <c r="G796" s="401"/>
      <c r="H796" s="401"/>
      <c r="I796" s="401"/>
      <c r="J796" s="401"/>
      <c r="K796" s="401"/>
      <c r="L796" s="401"/>
      <c r="M796" s="401"/>
      <c r="N796" s="401"/>
      <c r="O796" s="401"/>
      <c r="P796" s="401"/>
      <c r="Q796" s="401"/>
      <c r="R796" s="401"/>
      <c r="S796" s="401"/>
      <c r="T796" s="401"/>
      <c r="U796" s="401"/>
      <c r="V796" s="401"/>
      <c r="W796" s="401"/>
      <c r="X796" s="401"/>
    </row>
    <row r="797">
      <c r="A797" s="401"/>
      <c r="B797" s="401"/>
      <c r="C797" s="401"/>
      <c r="D797" s="401"/>
      <c r="E797" s="401"/>
      <c r="F797" s="401"/>
      <c r="G797" s="401"/>
      <c r="H797" s="401"/>
      <c r="I797" s="401"/>
      <c r="J797" s="401"/>
      <c r="K797" s="401"/>
      <c r="L797" s="401"/>
      <c r="M797" s="401"/>
      <c r="N797" s="401"/>
      <c r="O797" s="401"/>
      <c r="P797" s="401"/>
      <c r="Q797" s="401"/>
      <c r="R797" s="401"/>
      <c r="S797" s="401"/>
      <c r="T797" s="401"/>
      <c r="U797" s="401"/>
      <c r="V797" s="401"/>
      <c r="W797" s="401"/>
      <c r="X797" s="401"/>
    </row>
    <row r="798">
      <c r="A798" s="401"/>
      <c r="B798" s="401"/>
      <c r="C798" s="401"/>
      <c r="D798" s="401"/>
      <c r="E798" s="401"/>
      <c r="F798" s="401"/>
      <c r="G798" s="401"/>
      <c r="H798" s="401"/>
      <c r="I798" s="401"/>
      <c r="J798" s="401"/>
      <c r="K798" s="401"/>
      <c r="L798" s="401"/>
      <c r="M798" s="401"/>
      <c r="N798" s="401"/>
      <c r="O798" s="401"/>
      <c r="P798" s="401"/>
      <c r="Q798" s="401"/>
      <c r="R798" s="401"/>
      <c r="S798" s="401"/>
      <c r="T798" s="401"/>
      <c r="U798" s="401"/>
      <c r="V798" s="401"/>
      <c r="W798" s="401"/>
      <c r="X798" s="401"/>
    </row>
    <row r="799">
      <c r="A799" s="401"/>
      <c r="B799" s="401"/>
      <c r="C799" s="401"/>
      <c r="D799" s="401"/>
      <c r="E799" s="401"/>
      <c r="F799" s="401"/>
      <c r="G799" s="401"/>
      <c r="H799" s="401"/>
      <c r="I799" s="401"/>
      <c r="J799" s="401"/>
      <c r="K799" s="401"/>
      <c r="L799" s="401"/>
      <c r="M799" s="401"/>
      <c r="N799" s="401"/>
      <c r="O799" s="401"/>
      <c r="P799" s="401"/>
      <c r="Q799" s="401"/>
      <c r="R799" s="401"/>
      <c r="S799" s="401"/>
      <c r="T799" s="401"/>
      <c r="U799" s="401"/>
      <c r="V799" s="401"/>
      <c r="W799" s="401"/>
      <c r="X799" s="401"/>
    </row>
    <row r="800">
      <c r="A800" s="401"/>
      <c r="B800" s="401"/>
      <c r="C800" s="401"/>
      <c r="D800" s="401"/>
      <c r="E800" s="401"/>
      <c r="F800" s="401"/>
      <c r="G800" s="401"/>
      <c r="H800" s="401"/>
      <c r="I800" s="401"/>
      <c r="J800" s="401"/>
      <c r="K800" s="401"/>
      <c r="L800" s="401"/>
      <c r="M800" s="401"/>
      <c r="N800" s="401"/>
      <c r="O800" s="401"/>
      <c r="P800" s="401"/>
      <c r="Q800" s="401"/>
      <c r="R800" s="401"/>
      <c r="S800" s="401"/>
      <c r="T800" s="401"/>
      <c r="U800" s="401"/>
      <c r="V800" s="401"/>
      <c r="W800" s="401"/>
      <c r="X800" s="401"/>
    </row>
    <row r="801">
      <c r="A801" s="401"/>
      <c r="B801" s="401"/>
      <c r="C801" s="401"/>
      <c r="D801" s="401"/>
      <c r="E801" s="401"/>
      <c r="F801" s="401"/>
      <c r="G801" s="401"/>
      <c r="H801" s="401"/>
      <c r="I801" s="401"/>
      <c r="J801" s="401"/>
      <c r="K801" s="401"/>
      <c r="L801" s="401"/>
      <c r="M801" s="401"/>
      <c r="N801" s="401"/>
      <c r="O801" s="401"/>
      <c r="P801" s="401"/>
      <c r="Q801" s="401"/>
      <c r="R801" s="401"/>
      <c r="S801" s="401"/>
      <c r="T801" s="401"/>
      <c r="U801" s="401"/>
      <c r="V801" s="401"/>
      <c r="W801" s="401"/>
      <c r="X801" s="401"/>
    </row>
    <row r="802">
      <c r="A802" s="401"/>
      <c r="B802" s="401"/>
      <c r="C802" s="401"/>
      <c r="D802" s="401"/>
      <c r="E802" s="401"/>
      <c r="F802" s="401"/>
      <c r="G802" s="401"/>
      <c r="H802" s="401"/>
      <c r="I802" s="401"/>
      <c r="J802" s="401"/>
      <c r="K802" s="401"/>
      <c r="L802" s="401"/>
      <c r="M802" s="401"/>
      <c r="N802" s="401"/>
      <c r="O802" s="401"/>
      <c r="P802" s="401"/>
      <c r="Q802" s="401"/>
      <c r="R802" s="401"/>
      <c r="S802" s="401"/>
      <c r="T802" s="401"/>
      <c r="U802" s="401"/>
      <c r="V802" s="401"/>
      <c r="W802" s="401"/>
      <c r="X802" s="401"/>
    </row>
    <row r="803">
      <c r="A803" s="401"/>
      <c r="B803" s="401"/>
      <c r="C803" s="401"/>
      <c r="D803" s="401"/>
      <c r="E803" s="401"/>
      <c r="F803" s="401"/>
      <c r="G803" s="401"/>
      <c r="H803" s="401"/>
      <c r="I803" s="401"/>
      <c r="J803" s="401"/>
      <c r="K803" s="401"/>
      <c r="L803" s="401"/>
      <c r="M803" s="401"/>
      <c r="N803" s="401"/>
      <c r="O803" s="401"/>
      <c r="P803" s="401"/>
      <c r="Q803" s="401"/>
      <c r="R803" s="401"/>
      <c r="S803" s="401"/>
      <c r="T803" s="401"/>
      <c r="U803" s="401"/>
      <c r="V803" s="401"/>
      <c r="W803" s="401"/>
      <c r="X803" s="401"/>
    </row>
    <row r="804">
      <c r="A804" s="401"/>
      <c r="B804" s="401"/>
      <c r="C804" s="401"/>
      <c r="D804" s="401"/>
      <c r="E804" s="401"/>
      <c r="F804" s="401"/>
      <c r="G804" s="401"/>
      <c r="H804" s="401"/>
      <c r="I804" s="401"/>
      <c r="J804" s="401"/>
      <c r="K804" s="401"/>
      <c r="L804" s="401"/>
      <c r="M804" s="401"/>
      <c r="N804" s="401"/>
      <c r="O804" s="401"/>
      <c r="P804" s="401"/>
      <c r="Q804" s="401"/>
      <c r="R804" s="401"/>
      <c r="S804" s="401"/>
      <c r="T804" s="401"/>
      <c r="U804" s="401"/>
      <c r="V804" s="401"/>
      <c r="W804" s="401"/>
      <c r="X804" s="401"/>
    </row>
    <row r="805">
      <c r="A805" s="401"/>
      <c r="B805" s="401"/>
      <c r="C805" s="401"/>
      <c r="D805" s="401"/>
      <c r="E805" s="401"/>
      <c r="F805" s="401"/>
      <c r="G805" s="401"/>
      <c r="H805" s="401"/>
      <c r="I805" s="401"/>
      <c r="J805" s="401"/>
      <c r="K805" s="401"/>
      <c r="L805" s="401"/>
      <c r="M805" s="401"/>
      <c r="N805" s="401"/>
      <c r="O805" s="401"/>
      <c r="P805" s="401"/>
      <c r="Q805" s="401"/>
      <c r="R805" s="401"/>
      <c r="S805" s="401"/>
      <c r="T805" s="401"/>
      <c r="U805" s="401"/>
      <c r="V805" s="401"/>
      <c r="W805" s="401"/>
      <c r="X805" s="401"/>
    </row>
    <row r="806">
      <c r="A806" s="401"/>
      <c r="B806" s="401"/>
      <c r="C806" s="401"/>
      <c r="D806" s="401"/>
      <c r="E806" s="401"/>
      <c r="F806" s="401"/>
      <c r="G806" s="401"/>
      <c r="H806" s="401"/>
      <c r="I806" s="401"/>
      <c r="J806" s="401"/>
      <c r="K806" s="401"/>
      <c r="L806" s="401"/>
      <c r="M806" s="401"/>
      <c r="N806" s="401"/>
      <c r="O806" s="401"/>
      <c r="P806" s="401"/>
      <c r="Q806" s="401"/>
      <c r="R806" s="401"/>
      <c r="S806" s="401"/>
      <c r="T806" s="401"/>
      <c r="U806" s="401"/>
      <c r="V806" s="401"/>
      <c r="W806" s="401"/>
      <c r="X806" s="401"/>
    </row>
    <row r="807">
      <c r="A807" s="401"/>
      <c r="B807" s="401"/>
      <c r="C807" s="401"/>
      <c r="D807" s="401"/>
      <c r="E807" s="401"/>
      <c r="F807" s="401"/>
      <c r="G807" s="401"/>
      <c r="H807" s="401"/>
      <c r="I807" s="401"/>
      <c r="J807" s="401"/>
      <c r="K807" s="401"/>
      <c r="L807" s="401"/>
      <c r="M807" s="401"/>
      <c r="N807" s="401"/>
      <c r="O807" s="401"/>
      <c r="P807" s="401"/>
      <c r="Q807" s="401"/>
      <c r="R807" s="401"/>
      <c r="S807" s="401"/>
      <c r="T807" s="401"/>
      <c r="U807" s="401"/>
      <c r="V807" s="401"/>
      <c r="W807" s="401"/>
      <c r="X807" s="401"/>
    </row>
    <row r="808">
      <c r="A808" s="401"/>
      <c r="B808" s="401"/>
      <c r="C808" s="401"/>
      <c r="D808" s="401"/>
      <c r="E808" s="401"/>
      <c r="F808" s="401"/>
      <c r="G808" s="401"/>
      <c r="H808" s="401"/>
      <c r="I808" s="401"/>
      <c r="J808" s="401"/>
      <c r="K808" s="401"/>
      <c r="L808" s="401"/>
      <c r="M808" s="401"/>
      <c r="N808" s="401"/>
      <c r="O808" s="401"/>
      <c r="P808" s="401"/>
      <c r="Q808" s="401"/>
      <c r="R808" s="401"/>
      <c r="S808" s="401"/>
      <c r="T808" s="401"/>
      <c r="U808" s="401"/>
      <c r="V808" s="401"/>
      <c r="W808" s="401"/>
      <c r="X808" s="401"/>
    </row>
    <row r="809">
      <c r="A809" s="401"/>
      <c r="B809" s="401"/>
      <c r="C809" s="401"/>
      <c r="D809" s="401"/>
      <c r="E809" s="401"/>
      <c r="F809" s="401"/>
      <c r="G809" s="401"/>
      <c r="H809" s="401"/>
      <c r="I809" s="401"/>
      <c r="J809" s="401"/>
      <c r="K809" s="401"/>
      <c r="L809" s="401"/>
      <c r="M809" s="401"/>
      <c r="N809" s="401"/>
      <c r="O809" s="401"/>
      <c r="P809" s="401"/>
      <c r="Q809" s="401"/>
      <c r="R809" s="401"/>
      <c r="S809" s="401"/>
      <c r="T809" s="401"/>
      <c r="U809" s="401"/>
      <c r="V809" s="401"/>
      <c r="W809" s="401"/>
      <c r="X809" s="401"/>
    </row>
    <row r="810">
      <c r="A810" s="401"/>
      <c r="B810" s="401"/>
      <c r="C810" s="401"/>
      <c r="D810" s="401"/>
      <c r="E810" s="401"/>
      <c r="F810" s="401"/>
      <c r="G810" s="401"/>
      <c r="H810" s="401"/>
      <c r="I810" s="401"/>
      <c r="J810" s="401"/>
      <c r="K810" s="401"/>
      <c r="L810" s="401"/>
      <c r="M810" s="401"/>
      <c r="N810" s="401"/>
      <c r="O810" s="401"/>
      <c r="P810" s="401"/>
      <c r="Q810" s="401"/>
      <c r="R810" s="401"/>
      <c r="S810" s="401"/>
      <c r="T810" s="401"/>
      <c r="U810" s="401"/>
      <c r="V810" s="401"/>
      <c r="W810" s="401"/>
      <c r="X810" s="401"/>
    </row>
    <row r="811">
      <c r="A811" s="401"/>
      <c r="B811" s="401"/>
      <c r="C811" s="401"/>
      <c r="D811" s="401"/>
      <c r="E811" s="401"/>
      <c r="F811" s="401"/>
      <c r="G811" s="401"/>
      <c r="H811" s="401"/>
      <c r="I811" s="401"/>
      <c r="J811" s="401"/>
      <c r="K811" s="401"/>
      <c r="L811" s="401"/>
      <c r="M811" s="401"/>
      <c r="N811" s="401"/>
      <c r="O811" s="401"/>
      <c r="P811" s="401"/>
      <c r="Q811" s="401"/>
      <c r="R811" s="401"/>
      <c r="S811" s="401"/>
      <c r="T811" s="401"/>
      <c r="U811" s="401"/>
      <c r="V811" s="401"/>
      <c r="W811" s="401"/>
      <c r="X811" s="401"/>
    </row>
    <row r="812">
      <c r="A812" s="401"/>
      <c r="B812" s="401"/>
      <c r="C812" s="401"/>
      <c r="D812" s="401"/>
      <c r="E812" s="401"/>
      <c r="F812" s="401"/>
      <c r="G812" s="401"/>
      <c r="H812" s="401"/>
      <c r="I812" s="401"/>
      <c r="J812" s="401"/>
      <c r="K812" s="401"/>
      <c r="L812" s="401"/>
      <c r="M812" s="401"/>
      <c r="N812" s="401"/>
      <c r="O812" s="401"/>
      <c r="P812" s="401"/>
      <c r="Q812" s="401"/>
      <c r="R812" s="401"/>
      <c r="S812" s="401"/>
      <c r="T812" s="401"/>
      <c r="U812" s="401"/>
      <c r="V812" s="401"/>
      <c r="W812" s="401"/>
      <c r="X812" s="401"/>
    </row>
    <row r="813">
      <c r="A813" s="401"/>
      <c r="B813" s="401"/>
      <c r="C813" s="401"/>
      <c r="D813" s="401"/>
      <c r="E813" s="401"/>
      <c r="F813" s="401"/>
      <c r="G813" s="401"/>
      <c r="H813" s="401"/>
      <c r="I813" s="401"/>
      <c r="J813" s="401"/>
      <c r="K813" s="401"/>
      <c r="L813" s="401"/>
      <c r="M813" s="401"/>
      <c r="N813" s="401"/>
      <c r="O813" s="401"/>
      <c r="P813" s="401"/>
      <c r="Q813" s="401"/>
      <c r="R813" s="401"/>
      <c r="S813" s="401"/>
      <c r="T813" s="401"/>
      <c r="U813" s="401"/>
      <c r="V813" s="401"/>
      <c r="W813" s="401"/>
      <c r="X813" s="401"/>
    </row>
    <row r="814">
      <c r="A814" s="401"/>
      <c r="B814" s="401"/>
      <c r="C814" s="401"/>
      <c r="D814" s="401"/>
      <c r="E814" s="401"/>
      <c r="F814" s="401"/>
      <c r="G814" s="401"/>
      <c r="H814" s="401"/>
      <c r="I814" s="401"/>
      <c r="J814" s="401"/>
      <c r="K814" s="401"/>
      <c r="L814" s="401"/>
      <c r="M814" s="401"/>
      <c r="N814" s="401"/>
      <c r="O814" s="401"/>
      <c r="P814" s="401"/>
      <c r="Q814" s="401"/>
      <c r="R814" s="401"/>
      <c r="S814" s="401"/>
      <c r="T814" s="401"/>
      <c r="U814" s="401"/>
      <c r="V814" s="401"/>
      <c r="W814" s="401"/>
      <c r="X814" s="401"/>
    </row>
    <row r="815">
      <c r="A815" s="401"/>
      <c r="B815" s="401"/>
      <c r="C815" s="401"/>
      <c r="D815" s="401"/>
      <c r="E815" s="401"/>
      <c r="F815" s="401"/>
      <c r="G815" s="401"/>
      <c r="H815" s="401"/>
      <c r="I815" s="401"/>
      <c r="J815" s="401"/>
      <c r="K815" s="401"/>
      <c r="L815" s="401"/>
      <c r="M815" s="401"/>
      <c r="N815" s="401"/>
      <c r="O815" s="401"/>
      <c r="P815" s="401"/>
      <c r="Q815" s="401"/>
      <c r="R815" s="401"/>
      <c r="S815" s="401"/>
      <c r="T815" s="401"/>
      <c r="U815" s="401"/>
      <c r="V815" s="401"/>
      <c r="W815" s="401"/>
      <c r="X815" s="401"/>
    </row>
    <row r="816">
      <c r="A816" s="401"/>
      <c r="B816" s="401"/>
      <c r="C816" s="401"/>
      <c r="D816" s="401"/>
      <c r="E816" s="401"/>
      <c r="F816" s="401"/>
      <c r="G816" s="401"/>
      <c r="H816" s="401"/>
      <c r="I816" s="401"/>
      <c r="J816" s="401"/>
      <c r="K816" s="401"/>
      <c r="L816" s="401"/>
      <c r="M816" s="401"/>
      <c r="N816" s="401"/>
      <c r="O816" s="401"/>
      <c r="P816" s="401"/>
      <c r="Q816" s="401"/>
      <c r="R816" s="401"/>
      <c r="S816" s="401"/>
      <c r="T816" s="401"/>
      <c r="U816" s="401"/>
      <c r="V816" s="401"/>
      <c r="W816" s="401"/>
      <c r="X816" s="401"/>
    </row>
    <row r="817">
      <c r="A817" s="401"/>
      <c r="B817" s="401"/>
      <c r="C817" s="401"/>
      <c r="D817" s="401"/>
      <c r="E817" s="401"/>
      <c r="F817" s="401"/>
      <c r="G817" s="401"/>
      <c r="H817" s="401"/>
      <c r="I817" s="401"/>
      <c r="J817" s="401"/>
      <c r="K817" s="401"/>
      <c r="L817" s="401"/>
      <c r="M817" s="401"/>
      <c r="N817" s="401"/>
      <c r="O817" s="401"/>
      <c r="P817" s="401"/>
      <c r="Q817" s="401"/>
      <c r="R817" s="401"/>
      <c r="S817" s="401"/>
      <c r="T817" s="401"/>
      <c r="U817" s="401"/>
      <c r="V817" s="401"/>
      <c r="W817" s="401"/>
      <c r="X817" s="401"/>
    </row>
    <row r="818">
      <c r="A818" s="401"/>
      <c r="B818" s="401"/>
      <c r="C818" s="401"/>
      <c r="D818" s="401"/>
      <c r="E818" s="401"/>
      <c r="F818" s="401"/>
      <c r="G818" s="401"/>
      <c r="H818" s="401"/>
      <c r="I818" s="401"/>
      <c r="J818" s="401"/>
      <c r="K818" s="401"/>
      <c r="L818" s="401"/>
      <c r="M818" s="401"/>
      <c r="N818" s="401"/>
      <c r="O818" s="401"/>
      <c r="P818" s="401"/>
      <c r="Q818" s="401"/>
      <c r="R818" s="401"/>
      <c r="S818" s="401"/>
      <c r="T818" s="401"/>
      <c r="U818" s="401"/>
      <c r="V818" s="401"/>
      <c r="W818" s="401"/>
      <c r="X818" s="401"/>
    </row>
    <row r="819">
      <c r="A819" s="401"/>
      <c r="B819" s="401"/>
      <c r="C819" s="401"/>
      <c r="D819" s="401"/>
      <c r="E819" s="401"/>
      <c r="F819" s="401"/>
      <c r="G819" s="401"/>
      <c r="H819" s="401"/>
      <c r="I819" s="401"/>
      <c r="J819" s="401"/>
      <c r="K819" s="401"/>
      <c r="L819" s="401"/>
      <c r="M819" s="401"/>
      <c r="N819" s="401"/>
      <c r="O819" s="401"/>
      <c r="P819" s="401"/>
      <c r="Q819" s="401"/>
      <c r="R819" s="401"/>
      <c r="S819" s="401"/>
      <c r="T819" s="401"/>
      <c r="U819" s="401"/>
      <c r="V819" s="401"/>
      <c r="W819" s="401"/>
      <c r="X819" s="401"/>
    </row>
    <row r="820">
      <c r="A820" s="401"/>
      <c r="B820" s="401"/>
      <c r="C820" s="401"/>
      <c r="D820" s="401"/>
      <c r="E820" s="401"/>
      <c r="F820" s="401"/>
      <c r="G820" s="401"/>
      <c r="H820" s="401"/>
      <c r="I820" s="401"/>
      <c r="J820" s="401"/>
      <c r="K820" s="401"/>
      <c r="L820" s="401"/>
      <c r="M820" s="401"/>
      <c r="N820" s="401"/>
      <c r="O820" s="401"/>
      <c r="P820" s="401"/>
      <c r="Q820" s="401"/>
      <c r="R820" s="401"/>
      <c r="S820" s="401"/>
      <c r="T820" s="401"/>
      <c r="U820" s="401"/>
      <c r="V820" s="401"/>
      <c r="W820" s="401"/>
      <c r="X820" s="401"/>
    </row>
    <row r="821">
      <c r="A821" s="401"/>
      <c r="B821" s="401"/>
      <c r="C821" s="401"/>
      <c r="D821" s="401"/>
      <c r="E821" s="401"/>
      <c r="F821" s="401"/>
      <c r="G821" s="401"/>
      <c r="H821" s="401"/>
      <c r="I821" s="401"/>
      <c r="J821" s="401"/>
      <c r="K821" s="401"/>
      <c r="L821" s="401"/>
      <c r="M821" s="401"/>
      <c r="N821" s="401"/>
      <c r="O821" s="401"/>
      <c r="P821" s="401"/>
      <c r="Q821" s="401"/>
      <c r="R821" s="401"/>
      <c r="S821" s="401"/>
      <c r="T821" s="401"/>
      <c r="U821" s="401"/>
      <c r="V821" s="401"/>
      <c r="W821" s="401"/>
      <c r="X821" s="401"/>
    </row>
    <row r="822">
      <c r="A822" s="401"/>
      <c r="B822" s="401"/>
      <c r="C822" s="401"/>
      <c r="D822" s="401"/>
      <c r="E822" s="401"/>
      <c r="F822" s="401"/>
      <c r="G822" s="401"/>
      <c r="H822" s="401"/>
      <c r="I822" s="401"/>
      <c r="J822" s="401"/>
      <c r="K822" s="401"/>
      <c r="L822" s="401"/>
      <c r="M822" s="401"/>
      <c r="N822" s="401"/>
      <c r="O822" s="401"/>
      <c r="P822" s="401"/>
      <c r="Q822" s="401"/>
      <c r="R822" s="401"/>
      <c r="S822" s="401"/>
      <c r="T822" s="401"/>
      <c r="U822" s="401"/>
      <c r="V822" s="401"/>
      <c r="W822" s="401"/>
      <c r="X822" s="401"/>
    </row>
    <row r="823">
      <c r="A823" s="401"/>
      <c r="B823" s="401"/>
      <c r="C823" s="401"/>
      <c r="D823" s="401"/>
      <c r="E823" s="401"/>
      <c r="F823" s="401"/>
      <c r="G823" s="401"/>
      <c r="H823" s="401"/>
      <c r="I823" s="401"/>
      <c r="J823" s="401"/>
      <c r="K823" s="401"/>
      <c r="L823" s="401"/>
      <c r="M823" s="401"/>
      <c r="N823" s="401"/>
      <c r="O823" s="401"/>
      <c r="P823" s="401"/>
      <c r="Q823" s="401"/>
      <c r="R823" s="401"/>
      <c r="S823" s="401"/>
      <c r="T823" s="401"/>
      <c r="U823" s="401"/>
      <c r="V823" s="401"/>
      <c r="W823" s="401"/>
      <c r="X823" s="401"/>
    </row>
    <row r="824">
      <c r="A824" s="401"/>
      <c r="B824" s="401"/>
      <c r="C824" s="401"/>
      <c r="D824" s="401"/>
      <c r="E824" s="401"/>
      <c r="F824" s="401"/>
      <c r="G824" s="401"/>
      <c r="H824" s="401"/>
      <c r="I824" s="401"/>
      <c r="J824" s="401"/>
      <c r="K824" s="401"/>
      <c r="L824" s="401"/>
      <c r="M824" s="401"/>
      <c r="N824" s="401"/>
      <c r="O824" s="401"/>
      <c r="P824" s="401"/>
      <c r="Q824" s="401"/>
      <c r="R824" s="401"/>
      <c r="S824" s="401"/>
      <c r="T824" s="401"/>
      <c r="U824" s="401"/>
      <c r="V824" s="401"/>
      <c r="W824" s="401"/>
      <c r="X824" s="401"/>
    </row>
    <row r="825">
      <c r="A825" s="401"/>
      <c r="B825" s="401"/>
      <c r="C825" s="401"/>
      <c r="D825" s="401"/>
      <c r="E825" s="401"/>
      <c r="F825" s="401"/>
      <c r="G825" s="401"/>
      <c r="H825" s="401"/>
      <c r="I825" s="401"/>
      <c r="J825" s="401"/>
      <c r="K825" s="401"/>
      <c r="L825" s="401"/>
      <c r="M825" s="401"/>
      <c r="N825" s="401"/>
      <c r="O825" s="401"/>
      <c r="P825" s="401"/>
      <c r="Q825" s="401"/>
      <c r="R825" s="401"/>
      <c r="S825" s="401"/>
      <c r="T825" s="401"/>
      <c r="U825" s="401"/>
      <c r="V825" s="401"/>
      <c r="W825" s="401"/>
      <c r="X825" s="401"/>
    </row>
    <row r="826">
      <c r="A826" s="401"/>
      <c r="B826" s="401"/>
      <c r="C826" s="401"/>
      <c r="D826" s="401"/>
      <c r="E826" s="401"/>
      <c r="F826" s="401"/>
      <c r="G826" s="401"/>
      <c r="H826" s="401"/>
      <c r="I826" s="401"/>
      <c r="J826" s="401"/>
      <c r="K826" s="401"/>
      <c r="L826" s="401"/>
      <c r="M826" s="401"/>
      <c r="N826" s="401"/>
      <c r="O826" s="401"/>
      <c r="P826" s="401"/>
      <c r="Q826" s="401"/>
      <c r="R826" s="401"/>
      <c r="S826" s="401"/>
      <c r="T826" s="401"/>
      <c r="U826" s="401"/>
      <c r="V826" s="401"/>
      <c r="W826" s="401"/>
      <c r="X826" s="401"/>
    </row>
    <row r="827">
      <c r="A827" s="401"/>
      <c r="B827" s="401"/>
      <c r="C827" s="401"/>
      <c r="D827" s="401"/>
      <c r="E827" s="401"/>
      <c r="F827" s="401"/>
      <c r="G827" s="401"/>
      <c r="H827" s="401"/>
      <c r="I827" s="401"/>
      <c r="J827" s="401"/>
      <c r="K827" s="401"/>
      <c r="L827" s="401"/>
      <c r="M827" s="401"/>
      <c r="N827" s="401"/>
      <c r="O827" s="401"/>
      <c r="P827" s="401"/>
      <c r="Q827" s="401"/>
      <c r="R827" s="401"/>
      <c r="S827" s="401"/>
      <c r="T827" s="401"/>
      <c r="U827" s="401"/>
      <c r="V827" s="401"/>
      <c r="W827" s="401"/>
      <c r="X827" s="401"/>
    </row>
    <row r="828">
      <c r="A828" s="401"/>
      <c r="B828" s="401"/>
      <c r="C828" s="401"/>
      <c r="D828" s="401"/>
      <c r="E828" s="401"/>
      <c r="F828" s="401"/>
      <c r="G828" s="401"/>
      <c r="H828" s="401"/>
      <c r="I828" s="401"/>
      <c r="J828" s="401"/>
      <c r="K828" s="401"/>
      <c r="L828" s="401"/>
      <c r="M828" s="401"/>
      <c r="N828" s="401"/>
      <c r="O828" s="401"/>
      <c r="P828" s="401"/>
      <c r="Q828" s="401"/>
      <c r="R828" s="401"/>
      <c r="S828" s="401"/>
      <c r="T828" s="401"/>
      <c r="U828" s="401"/>
      <c r="V828" s="401"/>
      <c r="W828" s="401"/>
      <c r="X828" s="401"/>
    </row>
    <row r="829">
      <c r="A829" s="401"/>
      <c r="B829" s="401"/>
      <c r="C829" s="401"/>
      <c r="D829" s="401"/>
      <c r="E829" s="401"/>
      <c r="F829" s="401"/>
      <c r="G829" s="401"/>
      <c r="H829" s="401"/>
      <c r="I829" s="401"/>
      <c r="J829" s="401"/>
      <c r="K829" s="401"/>
      <c r="L829" s="401"/>
      <c r="M829" s="401"/>
      <c r="N829" s="401"/>
      <c r="O829" s="401"/>
      <c r="P829" s="401"/>
      <c r="Q829" s="401"/>
      <c r="R829" s="401"/>
      <c r="S829" s="401"/>
      <c r="T829" s="401"/>
      <c r="U829" s="401"/>
      <c r="V829" s="401"/>
      <c r="W829" s="401"/>
      <c r="X829" s="401"/>
    </row>
    <row r="830">
      <c r="A830" s="401"/>
      <c r="B830" s="401"/>
      <c r="C830" s="401"/>
      <c r="D830" s="401"/>
      <c r="E830" s="401"/>
      <c r="F830" s="401"/>
      <c r="G830" s="401"/>
      <c r="H830" s="401"/>
      <c r="I830" s="401"/>
      <c r="J830" s="401"/>
      <c r="K830" s="401"/>
      <c r="L830" s="401"/>
      <c r="M830" s="401"/>
      <c r="N830" s="401"/>
      <c r="O830" s="401"/>
      <c r="P830" s="401"/>
      <c r="Q830" s="401"/>
      <c r="R830" s="401"/>
      <c r="S830" s="401"/>
      <c r="T830" s="401"/>
      <c r="U830" s="401"/>
      <c r="V830" s="401"/>
      <c r="W830" s="401"/>
      <c r="X830" s="401"/>
    </row>
    <row r="831">
      <c r="A831" s="401"/>
      <c r="B831" s="401"/>
      <c r="C831" s="401"/>
      <c r="D831" s="401"/>
      <c r="E831" s="401"/>
      <c r="F831" s="401"/>
      <c r="G831" s="401"/>
      <c r="H831" s="401"/>
      <c r="I831" s="401"/>
      <c r="J831" s="401"/>
      <c r="K831" s="401"/>
      <c r="L831" s="401"/>
      <c r="M831" s="401"/>
      <c r="N831" s="401"/>
      <c r="O831" s="401"/>
      <c r="P831" s="401"/>
      <c r="Q831" s="401"/>
      <c r="R831" s="401"/>
      <c r="S831" s="401"/>
      <c r="T831" s="401"/>
      <c r="U831" s="401"/>
      <c r="V831" s="401"/>
      <c r="W831" s="401"/>
      <c r="X831" s="401"/>
    </row>
    <row r="832">
      <c r="A832" s="401"/>
      <c r="B832" s="401"/>
      <c r="C832" s="401"/>
      <c r="D832" s="401"/>
      <c r="E832" s="401"/>
      <c r="F832" s="401"/>
      <c r="G832" s="401"/>
      <c r="H832" s="401"/>
      <c r="I832" s="401"/>
      <c r="J832" s="401"/>
      <c r="K832" s="401"/>
      <c r="L832" s="401"/>
      <c r="M832" s="401"/>
      <c r="N832" s="401"/>
      <c r="O832" s="401"/>
      <c r="P832" s="401"/>
      <c r="Q832" s="401"/>
      <c r="R832" s="401"/>
      <c r="S832" s="401"/>
      <c r="T832" s="401"/>
      <c r="U832" s="401"/>
      <c r="V832" s="401"/>
      <c r="W832" s="401"/>
      <c r="X832" s="401"/>
    </row>
    <row r="833">
      <c r="A833" s="401"/>
      <c r="B833" s="401"/>
      <c r="C833" s="401"/>
      <c r="D833" s="401"/>
      <c r="E833" s="401"/>
      <c r="F833" s="401"/>
      <c r="G833" s="401"/>
      <c r="H833" s="401"/>
      <c r="I833" s="401"/>
      <c r="J833" s="401"/>
      <c r="K833" s="401"/>
      <c r="L833" s="401"/>
      <c r="M833" s="401"/>
      <c r="N833" s="401"/>
      <c r="O833" s="401"/>
      <c r="P833" s="401"/>
      <c r="Q833" s="401"/>
      <c r="R833" s="401"/>
      <c r="S833" s="401"/>
      <c r="T833" s="401"/>
      <c r="U833" s="401"/>
      <c r="V833" s="401"/>
      <c r="W833" s="401"/>
      <c r="X833" s="401"/>
    </row>
    <row r="834">
      <c r="A834" s="401"/>
      <c r="B834" s="401"/>
      <c r="C834" s="401"/>
      <c r="D834" s="401"/>
      <c r="E834" s="401"/>
      <c r="F834" s="401"/>
      <c r="G834" s="401"/>
      <c r="H834" s="401"/>
      <c r="I834" s="401"/>
      <c r="J834" s="401"/>
      <c r="K834" s="401"/>
      <c r="L834" s="401"/>
      <c r="M834" s="401"/>
      <c r="N834" s="401"/>
      <c r="O834" s="401"/>
      <c r="P834" s="401"/>
      <c r="Q834" s="401"/>
      <c r="R834" s="401"/>
      <c r="S834" s="401"/>
      <c r="T834" s="401"/>
      <c r="U834" s="401"/>
      <c r="V834" s="401"/>
      <c r="W834" s="401"/>
      <c r="X834" s="401"/>
    </row>
    <row r="835">
      <c r="A835" s="401"/>
      <c r="B835" s="401"/>
      <c r="C835" s="401"/>
      <c r="D835" s="401"/>
      <c r="E835" s="401"/>
      <c r="F835" s="401"/>
      <c r="G835" s="401"/>
      <c r="H835" s="401"/>
      <c r="I835" s="401"/>
      <c r="J835" s="401"/>
      <c r="K835" s="401"/>
      <c r="L835" s="401"/>
      <c r="M835" s="401"/>
      <c r="N835" s="401"/>
      <c r="O835" s="401"/>
      <c r="P835" s="401"/>
      <c r="Q835" s="401"/>
      <c r="R835" s="401"/>
      <c r="S835" s="401"/>
      <c r="T835" s="401"/>
      <c r="U835" s="401"/>
      <c r="V835" s="401"/>
      <c r="W835" s="401"/>
      <c r="X835" s="401"/>
    </row>
    <row r="836">
      <c r="A836" s="401"/>
      <c r="B836" s="401"/>
      <c r="C836" s="401"/>
      <c r="D836" s="401"/>
      <c r="E836" s="401"/>
      <c r="F836" s="401"/>
      <c r="G836" s="401"/>
      <c r="H836" s="401"/>
      <c r="I836" s="401"/>
      <c r="J836" s="401"/>
      <c r="K836" s="401"/>
      <c r="L836" s="401"/>
      <c r="M836" s="401"/>
      <c r="N836" s="401"/>
      <c r="O836" s="401"/>
      <c r="P836" s="401"/>
      <c r="Q836" s="401"/>
      <c r="R836" s="401"/>
      <c r="S836" s="401"/>
      <c r="T836" s="401"/>
      <c r="U836" s="401"/>
      <c r="V836" s="401"/>
      <c r="W836" s="401"/>
      <c r="X836" s="401"/>
    </row>
    <row r="837">
      <c r="A837" s="401"/>
      <c r="B837" s="401"/>
      <c r="C837" s="401"/>
      <c r="D837" s="401"/>
      <c r="E837" s="401"/>
      <c r="F837" s="401"/>
      <c r="G837" s="401"/>
      <c r="H837" s="401"/>
      <c r="I837" s="401"/>
      <c r="J837" s="401"/>
      <c r="K837" s="401"/>
      <c r="L837" s="401"/>
      <c r="M837" s="401"/>
      <c r="N837" s="401"/>
      <c r="O837" s="401"/>
      <c r="P837" s="401"/>
      <c r="Q837" s="401"/>
      <c r="R837" s="401"/>
      <c r="S837" s="401"/>
      <c r="T837" s="401"/>
      <c r="U837" s="401"/>
      <c r="V837" s="401"/>
      <c r="W837" s="401"/>
      <c r="X837" s="401"/>
    </row>
    <row r="838">
      <c r="A838" s="401"/>
      <c r="B838" s="401"/>
      <c r="C838" s="401"/>
      <c r="D838" s="401"/>
      <c r="E838" s="401"/>
      <c r="F838" s="401"/>
      <c r="G838" s="401"/>
      <c r="H838" s="401"/>
      <c r="I838" s="401"/>
      <c r="J838" s="401"/>
      <c r="K838" s="401"/>
      <c r="L838" s="401"/>
      <c r="M838" s="401"/>
      <c r="N838" s="401"/>
      <c r="O838" s="401"/>
      <c r="P838" s="401"/>
      <c r="Q838" s="401"/>
      <c r="R838" s="401"/>
      <c r="S838" s="401"/>
      <c r="T838" s="401"/>
      <c r="U838" s="401"/>
      <c r="V838" s="401"/>
      <c r="W838" s="401"/>
      <c r="X838" s="401"/>
    </row>
    <row r="839">
      <c r="A839" s="401"/>
      <c r="B839" s="401"/>
      <c r="C839" s="401"/>
      <c r="D839" s="401"/>
      <c r="E839" s="401"/>
      <c r="F839" s="401"/>
      <c r="G839" s="401"/>
      <c r="H839" s="401"/>
      <c r="I839" s="401"/>
      <c r="J839" s="401"/>
      <c r="K839" s="401"/>
      <c r="L839" s="401"/>
      <c r="M839" s="401"/>
      <c r="N839" s="401"/>
      <c r="O839" s="401"/>
      <c r="P839" s="401"/>
      <c r="Q839" s="401"/>
      <c r="R839" s="401"/>
      <c r="S839" s="401"/>
      <c r="T839" s="401"/>
      <c r="U839" s="401"/>
      <c r="V839" s="401"/>
      <c r="W839" s="401"/>
      <c r="X839" s="401"/>
    </row>
    <row r="840">
      <c r="A840" s="401"/>
      <c r="B840" s="401"/>
      <c r="C840" s="401"/>
      <c r="D840" s="401"/>
      <c r="E840" s="401"/>
      <c r="F840" s="401"/>
      <c r="G840" s="401"/>
      <c r="H840" s="401"/>
      <c r="I840" s="401"/>
      <c r="J840" s="401"/>
      <c r="K840" s="401"/>
      <c r="L840" s="401"/>
      <c r="M840" s="401"/>
      <c r="N840" s="401"/>
      <c r="O840" s="401"/>
      <c r="P840" s="401"/>
      <c r="Q840" s="401"/>
      <c r="R840" s="401"/>
      <c r="S840" s="401"/>
      <c r="T840" s="401"/>
      <c r="U840" s="401"/>
      <c r="V840" s="401"/>
      <c r="W840" s="401"/>
      <c r="X840" s="401"/>
    </row>
  </sheetData>
  <mergeCells>
    <mergeCell ref="F631:G631"/>
    <mergeCell ref="B631:C631"/>
    <mergeCell ref="B626:C626"/>
    <mergeCell ref="F626:G626"/>
    <mergeCell ref="F621:G621"/>
    <mergeCell ref="B621:C621"/>
    <mergeCell ref="F616:G616"/>
    <mergeCell ref="M615:R615"/>
    <mergeCell ref="S615:Y615"/>
    <mergeCell ref="D615:L615"/>
    <mergeCell ref="A615:C615"/>
    <mergeCell ref="B591:C591"/>
    <mergeCell ref="B590:C590"/>
    <mergeCell ref="B584:C584"/>
    <mergeCell ref="B579:C579"/>
    <mergeCell ref="B574:C574"/>
    <mergeCell ref="A570:A591"/>
    <mergeCell ref="R568:X568"/>
    <mergeCell ref="L568:Q568"/>
    <mergeCell ref="D568:K568"/>
    <mergeCell ref="A568:C568"/>
    <mergeCell ref="B567:C567"/>
    <mergeCell ref="B566:C566"/>
    <mergeCell ref="B560:C560"/>
    <mergeCell ref="B555:C555"/>
    <mergeCell ref="B550:C550"/>
    <mergeCell ref="A546:A567"/>
    <mergeCell ref="R544:X544"/>
    <mergeCell ref="L544:Q544"/>
    <mergeCell ref="D544:K544"/>
    <mergeCell ref="A544:C544"/>
    <mergeCell ref="F543:G543"/>
    <mergeCell ref="B543:C543"/>
    <mergeCell ref="F542:G542"/>
    <mergeCell ref="B542:C542"/>
    <mergeCell ref="A524:A543"/>
    <mergeCell ref="A500:A521"/>
    <mergeCell ref="F505:G505"/>
    <mergeCell ref="B505:C505"/>
    <mergeCell ref="B510:C510"/>
    <mergeCell ref="F510:G510"/>
    <mergeCell ref="F515:G515"/>
    <mergeCell ref="B515:C515"/>
    <mergeCell ref="B520:C520"/>
    <mergeCell ref="F520:G520"/>
    <mergeCell ref="B521:C521"/>
    <mergeCell ref="F521:G521"/>
    <mergeCell ref="F499:G499"/>
    <mergeCell ref="M498:R498"/>
    <mergeCell ref="S498:Y498"/>
    <mergeCell ref="D498:L498"/>
    <mergeCell ref="A498:C498"/>
    <mergeCell ref="F497:G497"/>
    <mergeCell ref="B497:C497"/>
    <mergeCell ref="F496:G496"/>
    <mergeCell ref="B496:C496"/>
    <mergeCell ref="B491:C491"/>
    <mergeCell ref="F491:G491"/>
    <mergeCell ref="F486:G486"/>
    <mergeCell ref="B486:C486"/>
    <mergeCell ref="B481:C481"/>
    <mergeCell ref="F481:G481"/>
    <mergeCell ref="A477:A497"/>
    <mergeCell ref="F476:G476"/>
    <mergeCell ref="M475:R475"/>
    <mergeCell ref="S475:Y475"/>
    <mergeCell ref="D475:L475"/>
    <mergeCell ref="A475:C475"/>
    <mergeCell ref="F473:G473"/>
    <mergeCell ref="F474:G474"/>
    <mergeCell ref="B474:C474"/>
    <mergeCell ref="B473:C473"/>
    <mergeCell ref="B467:C467"/>
    <mergeCell ref="F467:G467"/>
    <mergeCell ref="F462:G462"/>
    <mergeCell ref="B462:C462"/>
    <mergeCell ref="B457:C457"/>
    <mergeCell ref="F457:G457"/>
    <mergeCell ref="A453:A474"/>
    <mergeCell ref="F452:G452"/>
    <mergeCell ref="M451:R451"/>
    <mergeCell ref="S451:Y451"/>
    <mergeCell ref="D451:L451"/>
    <mergeCell ref="A451:C451"/>
    <mergeCell ref="F450:G450"/>
    <mergeCell ref="B450:C450"/>
    <mergeCell ref="B449:C449"/>
    <mergeCell ref="B445:C445"/>
    <mergeCell ref="F445:G445"/>
    <mergeCell ref="F440:G440"/>
    <mergeCell ref="B440:C440"/>
    <mergeCell ref="B435:C435"/>
    <mergeCell ref="F435:G435"/>
    <mergeCell ref="A431:A450"/>
    <mergeCell ref="F430:G430"/>
    <mergeCell ref="M429:R429"/>
    <mergeCell ref="S429:Y429"/>
    <mergeCell ref="D429:L429"/>
    <mergeCell ref="A429:C429"/>
    <mergeCell ref="F428:G428"/>
    <mergeCell ref="B428:C428"/>
    <mergeCell ref="B427:C427"/>
    <mergeCell ref="B421:C421"/>
    <mergeCell ref="F421:G421"/>
    <mergeCell ref="F416:G416"/>
    <mergeCell ref="B416:C416"/>
    <mergeCell ref="B411:C411"/>
    <mergeCell ref="F411:G411"/>
    <mergeCell ref="A407:A428"/>
    <mergeCell ref="F406:G406"/>
    <mergeCell ref="M405:R405"/>
    <mergeCell ref="S405:Y405"/>
    <mergeCell ref="D405:L405"/>
    <mergeCell ref="A405:C405"/>
    <mergeCell ref="A383:A404"/>
    <mergeCell ref="B403:C403"/>
    <mergeCell ref="F404:G404"/>
    <mergeCell ref="B404:C404"/>
    <mergeCell ref="B397:C397"/>
    <mergeCell ref="F397:G397"/>
    <mergeCell ref="F392:G392"/>
    <mergeCell ref="B392:C392"/>
    <mergeCell ref="B387:C387"/>
    <mergeCell ref="F387:G387"/>
    <mergeCell ref="F382:G382"/>
    <mergeCell ref="M381:R381"/>
    <mergeCell ref="S381:Y381"/>
    <mergeCell ref="D381:L381"/>
    <mergeCell ref="A381:C381"/>
    <mergeCell ref="B324:C324"/>
    <mergeCell ref="F324:G324"/>
    <mergeCell ref="B319:C319"/>
    <mergeCell ref="F319:G319"/>
    <mergeCell ref="F314:G314"/>
    <mergeCell ref="M313:R313"/>
    <mergeCell ref="S313:Y313"/>
    <mergeCell ref="D313:L313"/>
    <mergeCell ref="A313:C313"/>
    <mergeCell ref="A290:A312"/>
    <mergeCell ref="F311:G311"/>
    <mergeCell ref="B311:C311"/>
    <mergeCell ref="B312:C312"/>
    <mergeCell ref="F312:G312"/>
    <mergeCell ref="B305:C305"/>
    <mergeCell ref="F305:G305"/>
    <mergeCell ref="F300:G300"/>
    <mergeCell ref="B300:C300"/>
    <mergeCell ref="B295:C295"/>
    <mergeCell ref="F295:G295"/>
    <mergeCell ref="F289:G289"/>
    <mergeCell ref="M288:R288"/>
    <mergeCell ref="S288:Y288"/>
    <mergeCell ref="D288:L288"/>
    <mergeCell ref="A288:C288"/>
    <mergeCell ref="F287:G287"/>
    <mergeCell ref="B287:C287"/>
    <mergeCell ref="B286:C286"/>
    <mergeCell ref="F286:G286"/>
    <mergeCell ref="B281:C281"/>
    <mergeCell ref="F281:G281"/>
    <mergeCell ref="F276:G276"/>
    <mergeCell ref="B276:C276"/>
    <mergeCell ref="B271:C271"/>
    <mergeCell ref="F271:G271"/>
    <mergeCell ref="A266:A287"/>
    <mergeCell ref="F265:G265"/>
    <mergeCell ref="M264:R264"/>
    <mergeCell ref="S264:Y264"/>
    <mergeCell ref="D264:L264"/>
    <mergeCell ref="A264:C264"/>
    <mergeCell ref="A242:A263"/>
    <mergeCell ref="B247:C247"/>
    <mergeCell ref="F247:G247"/>
    <mergeCell ref="F252:G252"/>
    <mergeCell ref="B252:C252"/>
    <mergeCell ref="B257:C257"/>
    <mergeCell ref="F257:G257"/>
    <mergeCell ref="B262:C262"/>
    <mergeCell ref="F262:G262"/>
    <mergeCell ref="F263:G263"/>
    <mergeCell ref="B263:C263"/>
    <mergeCell ref="F241:G241"/>
    <mergeCell ref="M240:R240"/>
    <mergeCell ref="S240:Y240"/>
    <mergeCell ref="D240:L240"/>
    <mergeCell ref="A240:C240"/>
    <mergeCell ref="B204:C204"/>
    <mergeCell ref="F199:G199"/>
    <mergeCell ref="B199:C199"/>
    <mergeCell ref="F194:G194"/>
    <mergeCell ref="M193:R193"/>
    <mergeCell ref="S193:Y193"/>
    <mergeCell ref="D193:L193"/>
    <mergeCell ref="A193:C193"/>
    <mergeCell ref="F98:G98"/>
    <mergeCell ref="F101:G101"/>
    <mergeCell ref="F100:G100"/>
    <mergeCell ref="F93:G93"/>
    <mergeCell ref="F99:G99"/>
    <mergeCell ref="F97:G97"/>
    <mergeCell ref="F96:G96"/>
    <mergeCell ref="F95:G95"/>
    <mergeCell ref="F94:G94"/>
    <mergeCell ref="F92:G92"/>
    <mergeCell ref="F91:G91"/>
    <mergeCell ref="F90:G90"/>
    <mergeCell ref="F89:G89"/>
    <mergeCell ref="F141:G141"/>
    <mergeCell ref="F140:G140"/>
    <mergeCell ref="F139:G139"/>
    <mergeCell ref="F138:G138"/>
    <mergeCell ref="F136:G136"/>
    <mergeCell ref="F135:G135"/>
    <mergeCell ref="F143:G143"/>
    <mergeCell ref="F142:G142"/>
    <mergeCell ref="F137:G137"/>
    <mergeCell ref="F134:G134"/>
    <mergeCell ref="F129:G129"/>
    <mergeCell ref="F133:G133"/>
    <mergeCell ref="F132:G132"/>
    <mergeCell ref="F131:G131"/>
    <mergeCell ref="F130:G130"/>
    <mergeCell ref="F128:G128"/>
    <mergeCell ref="F127:G127"/>
    <mergeCell ref="F126:G126"/>
    <mergeCell ref="F125:G125"/>
    <mergeCell ref="F168:G168"/>
    <mergeCell ref="F167:G167"/>
    <mergeCell ref="F161:G161"/>
    <mergeCell ref="F156:G156"/>
    <mergeCell ref="F151:G151"/>
    <mergeCell ref="F192:G192"/>
    <mergeCell ref="F191:G191"/>
    <mergeCell ref="F176:G176"/>
    <mergeCell ref="F181:G181"/>
    <mergeCell ref="F186:G186"/>
    <mergeCell ref="F170:G170"/>
    <mergeCell ref="F145:G145"/>
    <mergeCell ref="F124:G124"/>
    <mergeCell ref="F103:G103"/>
    <mergeCell ref="F88:G88"/>
    <mergeCell ref="F75:G75"/>
    <mergeCell ref="F60:G60"/>
    <mergeCell ref="F38:G38"/>
    <mergeCell ref="F23:G23"/>
    <mergeCell ref="F2:G2"/>
    <mergeCell ref="M74:R74"/>
    <mergeCell ref="S74:Y74"/>
    <mergeCell ref="D74:L74"/>
    <mergeCell ref="M59:R59"/>
    <mergeCell ref="S59:Y59"/>
    <mergeCell ref="D59:L59"/>
    <mergeCell ref="M37:R37"/>
    <mergeCell ref="S37:Y37"/>
    <mergeCell ref="D37:L37"/>
    <mergeCell ref="M1:R1"/>
    <mergeCell ref="S1:Y1"/>
    <mergeCell ref="D1:L1"/>
    <mergeCell ref="M22:R22"/>
    <mergeCell ref="S22:Y22"/>
    <mergeCell ref="D22:L22"/>
    <mergeCell ref="M87:R87"/>
    <mergeCell ref="S87:Y87"/>
    <mergeCell ref="D87:L87"/>
    <mergeCell ref="M102:R102"/>
    <mergeCell ref="S102:Y102"/>
    <mergeCell ref="D102:L102"/>
    <mergeCell ref="M123:R123"/>
    <mergeCell ref="S123:Y123"/>
    <mergeCell ref="D123:L123"/>
    <mergeCell ref="M144:R144"/>
    <mergeCell ref="S144:Y144"/>
    <mergeCell ref="D144:L144"/>
    <mergeCell ref="M169:R169"/>
    <mergeCell ref="S169:Y169"/>
    <mergeCell ref="D169:L169"/>
    <mergeCell ref="A171:A192"/>
    <mergeCell ref="B176:C176"/>
    <mergeCell ref="B181:C181"/>
    <mergeCell ref="B186:C186"/>
    <mergeCell ref="B191:C191"/>
    <mergeCell ref="B192:C192"/>
    <mergeCell ref="A169:C169"/>
    <mergeCell ref="B168:C168"/>
    <mergeCell ref="B167:C167"/>
    <mergeCell ref="A146:A168"/>
    <mergeCell ref="B151:C151"/>
    <mergeCell ref="A144:C144"/>
    <mergeCell ref="B137:C137"/>
    <mergeCell ref="B134:C134"/>
    <mergeCell ref="B129:C129"/>
    <mergeCell ref="A123:C123"/>
    <mergeCell ref="B122:C122"/>
    <mergeCell ref="B121:C121"/>
    <mergeCell ref="A104:A122"/>
    <mergeCell ref="B112:C112"/>
    <mergeCell ref="B108:C108"/>
    <mergeCell ref="A102:C102"/>
    <mergeCell ref="B101:C101"/>
    <mergeCell ref="B100:C100"/>
    <mergeCell ref="B98:C98"/>
    <mergeCell ref="B93:C93"/>
    <mergeCell ref="A89:A101"/>
    <mergeCell ref="A87:C87"/>
    <mergeCell ref="A22:C22"/>
    <mergeCell ref="B32:C32"/>
    <mergeCell ref="B28:C28"/>
    <mergeCell ref="A1:C1"/>
    <mergeCell ref="B21:C21"/>
    <mergeCell ref="B20:C20"/>
    <mergeCell ref="B17:C17"/>
    <mergeCell ref="B13:C13"/>
    <mergeCell ref="B8:C8"/>
    <mergeCell ref="A3:A21"/>
    <mergeCell ref="A24:A36"/>
    <mergeCell ref="B35:C35"/>
    <mergeCell ref="B36:C36"/>
    <mergeCell ref="A37:C37"/>
    <mergeCell ref="B43:C43"/>
    <mergeCell ref="B53:C53"/>
    <mergeCell ref="B48:C48"/>
    <mergeCell ref="B57:C57"/>
    <mergeCell ref="B58:C58"/>
    <mergeCell ref="A39:A58"/>
    <mergeCell ref="A59:C59"/>
    <mergeCell ref="B65:C65"/>
    <mergeCell ref="B70:C70"/>
    <mergeCell ref="B72:C72"/>
    <mergeCell ref="B73:C73"/>
    <mergeCell ref="A61:A73"/>
    <mergeCell ref="A74:C74"/>
    <mergeCell ref="A76:A86"/>
    <mergeCell ref="B80:C80"/>
    <mergeCell ref="B85:C85"/>
    <mergeCell ref="B86:C86"/>
    <mergeCell ref="B116:C116"/>
    <mergeCell ref="A125:A143"/>
    <mergeCell ref="B142:C142"/>
    <mergeCell ref="B143:C143"/>
    <mergeCell ref="B161:C161"/>
    <mergeCell ref="B156:C156"/>
    <mergeCell ref="F204:G204"/>
    <mergeCell ref="F215:G215"/>
    <mergeCell ref="F210:G210"/>
    <mergeCell ref="A195:A216"/>
    <mergeCell ref="B210:C210"/>
    <mergeCell ref="B215:C215"/>
    <mergeCell ref="B216:C216"/>
    <mergeCell ref="F216:G216"/>
    <mergeCell ref="F8:G8"/>
    <mergeCell ref="F17:G17"/>
    <mergeCell ref="F20:G20"/>
    <mergeCell ref="F32:G32"/>
    <mergeCell ref="F35:G35"/>
    <mergeCell ref="F13:G13"/>
    <mergeCell ref="F28:G28"/>
    <mergeCell ref="F36:G36"/>
    <mergeCell ref="M217:R217"/>
    <mergeCell ref="S217:Y217"/>
    <mergeCell ref="D217:L217"/>
    <mergeCell ref="A217:C217"/>
    <mergeCell ref="F218:G218"/>
    <mergeCell ref="A219:A239"/>
    <mergeCell ref="F223:G223"/>
    <mergeCell ref="B223:C223"/>
    <mergeCell ref="B228:C228"/>
    <mergeCell ref="F228:G228"/>
    <mergeCell ref="F233:G233"/>
    <mergeCell ref="B233:C233"/>
    <mergeCell ref="F238:G238"/>
    <mergeCell ref="B238:C238"/>
    <mergeCell ref="B239:C239"/>
    <mergeCell ref="F239:G239"/>
    <mergeCell ref="B333:C333"/>
    <mergeCell ref="F333:G333"/>
    <mergeCell ref="F332:G332"/>
    <mergeCell ref="B332:C332"/>
    <mergeCell ref="B329:C329"/>
    <mergeCell ref="F329:G329"/>
    <mergeCell ref="A315:A333"/>
    <mergeCell ref="M334:R334"/>
    <mergeCell ref="S334:Y334"/>
    <mergeCell ref="D334:L334"/>
    <mergeCell ref="A334:C334"/>
    <mergeCell ref="F335:G335"/>
    <mergeCell ref="A336:A357"/>
    <mergeCell ref="B341:C341"/>
    <mergeCell ref="F341:G341"/>
    <mergeCell ref="F346:G346"/>
    <mergeCell ref="B346:C346"/>
    <mergeCell ref="B351:C351"/>
    <mergeCell ref="F351:G351"/>
    <mergeCell ref="F356:G356"/>
    <mergeCell ref="B356:C356"/>
    <mergeCell ref="B357:C357"/>
    <mergeCell ref="F357:G357"/>
    <mergeCell ref="M358:R358"/>
    <mergeCell ref="S358:Y358"/>
    <mergeCell ref="D358:L358"/>
    <mergeCell ref="A358:C358"/>
    <mergeCell ref="F359:G359"/>
    <mergeCell ref="A360:A380"/>
    <mergeCell ref="B364:C364"/>
    <mergeCell ref="F364:G364"/>
    <mergeCell ref="F369:G369"/>
    <mergeCell ref="B369:C369"/>
    <mergeCell ref="B374:C374"/>
    <mergeCell ref="F374:G374"/>
    <mergeCell ref="F379:G379"/>
    <mergeCell ref="B379:C379"/>
    <mergeCell ref="B380:C380"/>
    <mergeCell ref="F380:G380"/>
    <mergeCell ref="M522:R522"/>
    <mergeCell ref="S522:Y522"/>
    <mergeCell ref="D522:L522"/>
    <mergeCell ref="A522:C522"/>
    <mergeCell ref="F523:G523"/>
    <mergeCell ref="F528:G528"/>
    <mergeCell ref="B528:C528"/>
    <mergeCell ref="B533:C533"/>
    <mergeCell ref="F533:G533"/>
    <mergeCell ref="F538:G538"/>
    <mergeCell ref="B538:C538"/>
    <mergeCell ref="A617:A632"/>
    <mergeCell ref="F632:G632"/>
    <mergeCell ref="B632:C632"/>
    <mergeCell ref="F593:G593"/>
    <mergeCell ref="D592:L592"/>
    <mergeCell ref="M592:R592"/>
    <mergeCell ref="S592:Y592"/>
    <mergeCell ref="B614:C614"/>
    <mergeCell ref="B613:C613"/>
    <mergeCell ref="B608:C608"/>
    <mergeCell ref="B603:C603"/>
    <mergeCell ref="B598:C598"/>
    <mergeCell ref="A594:A614"/>
    <mergeCell ref="A592:C592"/>
    <mergeCell ref="F598:G598"/>
    <mergeCell ref="F603:G603"/>
    <mergeCell ref="F608:G608"/>
    <mergeCell ref="F613:G613"/>
    <mergeCell ref="F614:G614"/>
    <mergeCell ref="A633:C633"/>
    <mergeCell ref="D633:L633"/>
    <mergeCell ref="M633:R633"/>
    <mergeCell ref="S633:Y633"/>
    <mergeCell ref="F634:G634"/>
    <mergeCell ref="A635:A656"/>
    <mergeCell ref="B639:C639"/>
    <mergeCell ref="F639:G639"/>
    <mergeCell ref="B644:C644"/>
    <mergeCell ref="F644:G644"/>
    <mergeCell ref="B649:C649"/>
    <mergeCell ref="F649:G649"/>
    <mergeCell ref="B655:C655"/>
    <mergeCell ref="F655:G655"/>
    <mergeCell ref="B656:C656"/>
    <mergeCell ref="F656:G656"/>
    <mergeCell ref="A657:C657"/>
    <mergeCell ref="D657:L657"/>
    <mergeCell ref="M657:R657"/>
    <mergeCell ref="S657:Y657"/>
    <mergeCell ref="F658:G658"/>
    <mergeCell ref="A659:A680"/>
    <mergeCell ref="B663:C663"/>
    <mergeCell ref="F663:G663"/>
    <mergeCell ref="B668:C668"/>
    <mergeCell ref="F668:G668"/>
    <mergeCell ref="B673:C673"/>
    <mergeCell ref="F673:G673"/>
    <mergeCell ref="B679:C679"/>
    <mergeCell ref="F679:G679"/>
    <mergeCell ref="B680:C680"/>
    <mergeCell ref="F680:G680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  <col collapsed="false" customWidth="true" hidden="false" max="5" min="5" style="0" width="12.084507042253508"/>
  </cols>
  <sheetData>
    <row r="1">
      <c r="A1" s="463" t="s">
        <v>298</v>
      </c>
      <c r="B1" s="463"/>
      <c r="C1" s="463"/>
      <c r="D1" s="464" t="s">
        <v>299</v>
      </c>
      <c r="E1" s="464"/>
      <c r="F1" s="464"/>
      <c r="G1" s="464"/>
      <c r="H1" s="464"/>
      <c r="I1" s="464"/>
      <c r="J1" s="464"/>
      <c r="K1" s="464"/>
      <c r="L1" s="465" t="s">
        <v>300</v>
      </c>
      <c r="M1" s="465"/>
      <c r="N1" s="465"/>
      <c r="O1" s="465"/>
      <c r="P1" s="465"/>
      <c r="Q1" s="466" t="s">
        <v>301</v>
      </c>
      <c r="R1" s="466"/>
      <c r="S1" s="466"/>
      <c r="T1" s="466"/>
    </row>
    <row r="2">
      <c r="A2" s="467" t="s">
        <v>302</v>
      </c>
      <c r="B2" s="468" t="s">
        <v>303</v>
      </c>
      <c r="C2" s="469" t="s">
        <v>304</v>
      </c>
      <c r="D2" s="470" t="s">
        <v>305</v>
      </c>
      <c r="E2" s="471" t="s">
        <v>306</v>
      </c>
      <c r="F2" s="470" t="s">
        <v>307</v>
      </c>
      <c r="G2" s="472" t="s">
        <v>308</v>
      </c>
      <c r="H2" s="473" t="s">
        <v>309</v>
      </c>
      <c r="I2" s="474" t="s">
        <v>310</v>
      </c>
      <c r="J2" s="475" t="s">
        <v>311</v>
      </c>
      <c r="K2" s="476" t="s">
        <v>312</v>
      </c>
      <c r="L2" s="465" t="s">
        <v>313</v>
      </c>
      <c r="M2" s="465" t="s">
        <v>314</v>
      </c>
      <c r="N2" s="465" t="s">
        <v>315</v>
      </c>
      <c r="O2" s="477" t="s">
        <v>316</v>
      </c>
      <c r="P2" s="478" t="s">
        <v>317</v>
      </c>
      <c r="Q2" s="479" t="s">
        <v>318</v>
      </c>
      <c r="R2" s="479" t="s">
        <v>319</v>
      </c>
      <c r="S2" s="480" t="s">
        <v>320</v>
      </c>
      <c r="T2" s="479" t="s">
        <v>321</v>
      </c>
    </row>
    <row r="3">
      <c r="A3" s="481" t="s">
        <v>322</v>
      </c>
      <c r="B3" s="482" t="s">
        <v>323</v>
      </c>
      <c r="C3" s="483" t="s">
        <v>324</v>
      </c>
      <c r="D3" s="483">
        <f t="shared" ref="D3:D6" si="0">E3+F3</f>
      </c>
      <c r="E3" s="484">
        <v>3888.25</v>
      </c>
      <c r="F3" s="483">
        <v>3579.67</v>
      </c>
      <c r="G3" s="485">
        <v>16</v>
      </c>
      <c r="H3" s="483">
        <v>11662.58</v>
      </c>
      <c r="I3" s="486">
        <f t="shared" ref="I3:I13" si="82">H3/D3</f>
      </c>
      <c r="J3" s="486">
        <f t="shared" ref="J3:J13" si="111">D3/G3</f>
      </c>
      <c r="K3" s="487">
        <f t="shared" ref="K3:K13" si="140">H3/G3</f>
      </c>
      <c r="L3" s="488">
        <f t="shared" ref="L3:L13" si="169">R3/Q3</f>
      </c>
      <c r="M3" s="489">
        <f t="shared" ref="M3:M13" si="199">G3/S3</f>
      </c>
      <c r="N3" s="490">
        <f t="shared" ref="N3:N13" si="229">(T3*1000)/D3</f>
      </c>
      <c r="O3" s="491" t="s">
        <v>325</v>
      </c>
      <c r="P3" s="492" t="s">
        <v>326</v>
      </c>
      <c r="Q3" s="493">
        <v>108221</v>
      </c>
      <c r="R3" s="493">
        <v>9121</v>
      </c>
      <c r="S3" s="494">
        <v>27</v>
      </c>
      <c r="T3" s="494">
        <v>126</v>
      </c>
    </row>
    <row r="4">
      <c r="A4" s="495"/>
      <c r="B4" s="482" t="s">
        <v>323</v>
      </c>
      <c r="C4" s="496" t="s">
        <v>327</v>
      </c>
      <c r="D4" s="497">
        <f t="shared" si="0"/>
      </c>
      <c r="E4" s="498">
        <v>3707.96</v>
      </c>
      <c r="F4" s="496">
        <v>6527.24</v>
      </c>
      <c r="G4" s="499">
        <v>26</v>
      </c>
      <c r="H4" s="483">
        <v>12597.74</v>
      </c>
      <c r="I4" s="486">
        <f t="shared" si="82"/>
      </c>
      <c r="J4" s="486">
        <f t="shared" si="111"/>
      </c>
      <c r="K4" s="487">
        <f t="shared" si="140"/>
      </c>
      <c r="L4" s="488">
        <f t="shared" si="169"/>
      </c>
      <c r="M4" s="489">
        <f t="shared" si="199"/>
      </c>
      <c r="N4" s="490">
        <f t="shared" si="229"/>
      </c>
      <c r="O4" s="491" t="s">
        <v>325</v>
      </c>
      <c r="P4" s="492" t="s">
        <v>326</v>
      </c>
      <c r="Q4" s="494">
        <v>164210</v>
      </c>
      <c r="R4" s="494">
        <v>13800</v>
      </c>
      <c r="S4" s="494">
        <v>45</v>
      </c>
      <c r="T4" s="494">
        <v>192</v>
      </c>
    </row>
    <row r="5">
      <c r="A5" s="495"/>
      <c r="B5" s="482" t="s">
        <v>323</v>
      </c>
      <c r="C5" s="483" t="s">
        <v>328</v>
      </c>
      <c r="D5" s="500">
        <f t="shared" si="0"/>
      </c>
      <c r="E5" s="501">
        <v>8501.79</v>
      </c>
      <c r="F5" s="483">
        <v>5647.52</v>
      </c>
      <c r="G5" s="502">
        <v>70</v>
      </c>
      <c r="H5" s="503">
        <v>50587.49999999999</v>
      </c>
      <c r="I5" s="486">
        <f t="shared" si="82"/>
      </c>
      <c r="J5" s="486">
        <f t="shared" si="111"/>
      </c>
      <c r="K5" s="487">
        <f t="shared" si="140"/>
      </c>
      <c r="L5" s="488">
        <f t="shared" si="169"/>
      </c>
      <c r="M5" s="489">
        <f t="shared" si="199"/>
      </c>
      <c r="N5" s="490">
        <f t="shared" si="229"/>
      </c>
      <c r="O5" s="491" t="s">
        <v>325</v>
      </c>
      <c r="P5" s="492" t="s">
        <v>326</v>
      </c>
      <c r="Q5" s="494">
        <v>214097</v>
      </c>
      <c r="R5" s="494">
        <v>21076</v>
      </c>
      <c r="S5" s="494">
        <v>80</v>
      </c>
      <c r="T5" s="494">
        <v>228</v>
      </c>
    </row>
    <row r="6">
      <c r="A6" s="495"/>
      <c r="B6" s="482" t="s">
        <v>323</v>
      </c>
      <c r="C6" s="483" t="s">
        <v>329</v>
      </c>
      <c r="D6" s="500">
        <f t="shared" si="0"/>
      </c>
      <c r="E6" s="501">
        <v>15429.86</v>
      </c>
      <c r="F6" s="483">
        <v>4340.87</v>
      </c>
      <c r="G6" s="502">
        <v>72</v>
      </c>
      <c r="H6" s="503">
        <v>53499.09</v>
      </c>
      <c r="I6" s="486">
        <f t="shared" si="82"/>
      </c>
      <c r="J6" s="486">
        <f t="shared" si="111"/>
      </c>
      <c r="K6" s="487">
        <f t="shared" si="140"/>
      </c>
      <c r="L6" s="488">
        <f t="shared" si="169"/>
      </c>
      <c r="M6" s="489">
        <f t="shared" si="199"/>
      </c>
      <c r="N6" s="490">
        <f t="shared" si="229"/>
      </c>
      <c r="O6" s="491" t="s">
        <v>325</v>
      </c>
      <c r="P6" s="492" t="s">
        <v>326</v>
      </c>
      <c r="Q6" s="504">
        <v>307345</v>
      </c>
      <c r="R6" s="504">
        <v>31058</v>
      </c>
      <c r="S6" s="505">
        <v>101</v>
      </c>
      <c r="T6" s="505">
        <v>322</v>
      </c>
    </row>
    <row r="7">
      <c r="A7" s="495"/>
      <c r="B7" s="506" t="s">
        <v>330</v>
      </c>
      <c r="C7" s="506"/>
      <c r="D7" s="507">
        <f>SUM(D3:D6)</f>
      </c>
      <c r="E7" s="507">
        <f>SUM(E3:E6)</f>
      </c>
      <c r="F7" s="507">
        <f>SUM(F3:F6)</f>
      </c>
      <c r="G7" s="508">
        <f>SUM(G3:G6)</f>
      </c>
      <c r="H7" s="507">
        <f>SUM(H3:H6)</f>
      </c>
      <c r="I7" s="509">
        <f t="shared" si="82"/>
      </c>
      <c r="J7" s="510">
        <f t="shared" si="111"/>
      </c>
      <c r="K7" s="511">
        <f t="shared" si="140"/>
      </c>
      <c r="L7" s="512">
        <f t="shared" si="169"/>
      </c>
      <c r="M7" s="512">
        <f t="shared" si="199"/>
      </c>
      <c r="N7" s="513">
        <f t="shared" si="229"/>
      </c>
      <c r="O7" s="513"/>
      <c r="P7" s="513"/>
      <c r="Q7" s="508">
        <f>SUM(Q3:Q6)</f>
      </c>
      <c r="R7" s="508">
        <f>SUM(R3:R6)</f>
      </c>
      <c r="S7" s="508">
        <f>SUM(S3:S6)</f>
      </c>
      <c r="T7" s="508">
        <f>SUM(T3:T6)</f>
      </c>
    </row>
    <row r="8">
      <c r="A8" s="495"/>
      <c r="B8" s="482" t="s">
        <v>331</v>
      </c>
      <c r="C8" s="483" t="s">
        <v>332</v>
      </c>
      <c r="D8" s="500">
        <f t="shared" ref="D8:D11" si="1">E8+F8</f>
      </c>
      <c r="E8" s="483">
        <v>11456.6</v>
      </c>
      <c r="F8" s="483">
        <v>4310.78</v>
      </c>
      <c r="G8" s="499">
        <v>44</v>
      </c>
      <c r="H8" s="483">
        <v>27281.58000000003</v>
      </c>
      <c r="I8" s="486">
        <f t="shared" si="82"/>
      </c>
      <c r="J8" s="486">
        <f t="shared" si="111"/>
      </c>
      <c r="K8" s="487">
        <f t="shared" si="140"/>
      </c>
      <c r="L8" s="488">
        <f t="shared" si="169"/>
      </c>
      <c r="M8" s="489">
        <f t="shared" si="199"/>
      </c>
      <c r="N8" s="490">
        <f t="shared" si="229"/>
      </c>
      <c r="O8" s="491" t="s">
        <v>325</v>
      </c>
      <c r="P8" s="492" t="s">
        <v>326</v>
      </c>
      <c r="Q8" s="504">
        <v>241787</v>
      </c>
      <c r="R8" s="504">
        <v>20538</v>
      </c>
      <c r="S8" s="505">
        <v>58</v>
      </c>
      <c r="T8" s="505">
        <v>201</v>
      </c>
    </row>
    <row r="9">
      <c r="A9" s="495"/>
      <c r="B9" s="482" t="s">
        <v>331</v>
      </c>
      <c r="C9" s="483" t="s">
        <v>333</v>
      </c>
      <c r="D9" s="500">
        <f t="shared" si="1"/>
      </c>
      <c r="E9" s="483">
        <v>10172.21</v>
      </c>
      <c r="F9" s="483">
        <v>3114.41</v>
      </c>
      <c r="G9" s="499">
        <v>37</v>
      </c>
      <c r="H9" s="483">
        <v>26162.660000000003</v>
      </c>
      <c r="I9" s="486">
        <f t="shared" si="82"/>
      </c>
      <c r="J9" s="486">
        <f t="shared" si="111"/>
      </c>
      <c r="K9" s="487">
        <f t="shared" si="140"/>
      </c>
      <c r="L9" s="488">
        <f t="shared" si="169"/>
      </c>
      <c r="M9" s="489">
        <f t="shared" si="199"/>
      </c>
      <c r="N9" s="490">
        <f t="shared" si="229"/>
      </c>
      <c r="O9" s="491" t="s">
        <v>325</v>
      </c>
      <c r="P9" s="492" t="s">
        <v>326</v>
      </c>
      <c r="Q9" s="504">
        <v>13286.619999999999</v>
      </c>
      <c r="R9" s="504">
        <v>204104</v>
      </c>
      <c r="S9" s="505">
        <v>54</v>
      </c>
      <c r="T9" s="505">
        <v>173</v>
      </c>
    </row>
    <row r="10">
      <c r="A10" s="495"/>
      <c r="B10" s="482" t="s">
        <v>331</v>
      </c>
      <c r="C10" s="483" t="s">
        <v>334</v>
      </c>
      <c r="D10" s="500">
        <f t="shared" si="1"/>
      </c>
      <c r="E10" s="483">
        <v>7984.8</v>
      </c>
      <c r="F10" s="483">
        <v>3558.2</v>
      </c>
      <c r="G10" s="499">
        <v>45</v>
      </c>
      <c r="H10" s="483">
        <v>31280.929999999964</v>
      </c>
      <c r="I10" s="486">
        <f t="shared" si="82"/>
      </c>
      <c r="J10" s="486">
        <f t="shared" si="111"/>
      </c>
      <c r="K10" s="487">
        <f t="shared" si="140"/>
      </c>
      <c r="L10" s="488">
        <f t="shared" si="169"/>
      </c>
      <c r="M10" s="489">
        <f t="shared" si="199"/>
      </c>
      <c r="N10" s="490">
        <f t="shared" si="229"/>
      </c>
      <c r="O10" s="491" t="s">
        <v>325</v>
      </c>
      <c r="P10" s="492" t="s">
        <v>326</v>
      </c>
      <c r="Q10" s="504">
        <v>169606</v>
      </c>
      <c r="R10" s="504">
        <v>13639</v>
      </c>
      <c r="S10" s="505">
        <v>62</v>
      </c>
      <c r="T10" s="505">
        <v>178</v>
      </c>
    </row>
    <row r="11">
      <c r="A11" s="495"/>
      <c r="B11" s="482" t="s">
        <v>331</v>
      </c>
      <c r="C11" s="483" t="s">
        <v>335</v>
      </c>
      <c r="D11" s="500">
        <f t="shared" si="1"/>
      </c>
      <c r="E11" s="483">
        <v>5365.28</v>
      </c>
      <c r="F11" s="483">
        <v>4553.19</v>
      </c>
      <c r="G11" s="499">
        <v>35</v>
      </c>
      <c r="H11" s="483">
        <v>17205.619999999995</v>
      </c>
      <c r="I11" s="486">
        <f t="shared" si="82"/>
      </c>
      <c r="J11" s="486">
        <f t="shared" si="111"/>
      </c>
      <c r="K11" s="487">
        <f t="shared" si="140"/>
      </c>
      <c r="L11" s="488">
        <f t="shared" si="169"/>
      </c>
      <c r="M11" s="489">
        <f t="shared" si="199"/>
      </c>
      <c r="N11" s="490">
        <f t="shared" si="229"/>
      </c>
      <c r="O11" s="491" t="s">
        <v>325</v>
      </c>
      <c r="P11" s="492" t="s">
        <v>326</v>
      </c>
      <c r="Q11" s="504">
        <v>157570</v>
      </c>
      <c r="R11" s="504">
        <v>11004</v>
      </c>
      <c r="S11" s="505">
        <v>48</v>
      </c>
      <c r="T11" s="505">
        <v>126</v>
      </c>
    </row>
    <row r="12">
      <c r="A12" s="495"/>
      <c r="B12" s="514" t="s">
        <v>330</v>
      </c>
      <c r="C12" s="514"/>
      <c r="D12" s="507">
        <f>SUM(D8:D11)</f>
      </c>
      <c r="E12" s="507">
        <f>SUM(E8:E11)</f>
      </c>
      <c r="F12" s="507">
        <f>SUM(F8:F11)</f>
      </c>
      <c r="G12" s="508">
        <f>SUM(G8:G11)</f>
      </c>
      <c r="H12" s="507">
        <f>SUM(H8:H11)</f>
      </c>
      <c r="I12" s="515">
        <f t="shared" si="82"/>
      </c>
      <c r="J12" s="510">
        <f t="shared" si="111"/>
      </c>
      <c r="K12" s="511">
        <f t="shared" si="140"/>
      </c>
      <c r="L12" s="512">
        <f t="shared" si="169"/>
      </c>
      <c r="M12" s="512">
        <f t="shared" si="199"/>
      </c>
      <c r="N12" s="513">
        <f t="shared" si="229"/>
      </c>
      <c r="O12" s="513"/>
      <c r="P12" s="513"/>
      <c r="Q12" s="508">
        <f>SUM(Q8:Q11)</f>
      </c>
      <c r="R12" s="508">
        <f>SUM(R8:R11)</f>
      </c>
      <c r="S12" s="508">
        <f>SUM(S8:S11)</f>
      </c>
      <c r="T12" s="508">
        <f>SUM(T8:T11)</f>
      </c>
    </row>
    <row r="13">
      <c r="A13" s="495"/>
      <c r="B13" s="516" t="s">
        <v>336</v>
      </c>
      <c r="C13" s="516"/>
      <c r="D13" s="517">
        <f>D7+D12</f>
      </c>
      <c r="E13" s="517">
        <f>E7+E12</f>
      </c>
      <c r="F13" s="517">
        <f>F7+F12</f>
      </c>
      <c r="G13" s="518">
        <f>G7+G12</f>
      </c>
      <c r="H13" s="517">
        <f>H7+H12</f>
      </c>
      <c r="I13" s="519">
        <f t="shared" si="82"/>
      </c>
      <c r="J13" s="519">
        <f t="shared" si="111"/>
      </c>
      <c r="K13" s="520">
        <f t="shared" si="140"/>
      </c>
      <c r="L13" s="521">
        <f t="shared" si="169"/>
      </c>
      <c r="M13" s="521">
        <f t="shared" si="199"/>
      </c>
      <c r="N13" s="519">
        <f t="shared" si="229"/>
      </c>
      <c r="O13" s="522"/>
      <c r="P13" s="522"/>
      <c r="Q13" s="518">
        <f>Q7+Q12</f>
      </c>
      <c r="R13" s="518">
        <f>R7+R12</f>
      </c>
      <c r="S13" s="518">
        <f>S7+S12</f>
      </c>
      <c r="T13" s="518">
        <f>T7+T12</f>
      </c>
    </row>
    <row r="14">
      <c r="A14" s="463" t="s">
        <v>298</v>
      </c>
      <c r="B14" s="463"/>
      <c r="C14" s="463"/>
      <c r="D14" s="464" t="s">
        <v>299</v>
      </c>
      <c r="E14" s="464"/>
      <c r="F14" s="464"/>
      <c r="G14" s="464"/>
      <c r="H14" s="464"/>
      <c r="I14" s="464"/>
      <c r="J14" s="464"/>
      <c r="K14" s="464"/>
      <c r="L14" s="465" t="s">
        <v>300</v>
      </c>
      <c r="M14" s="465"/>
      <c r="N14" s="465"/>
      <c r="O14" s="465"/>
      <c r="P14" s="465"/>
      <c r="Q14" s="466" t="s">
        <v>301</v>
      </c>
      <c r="R14" s="466"/>
      <c r="S14" s="466"/>
      <c r="T14" s="466"/>
    </row>
    <row r="15">
      <c r="A15" s="467" t="s">
        <v>302</v>
      </c>
      <c r="B15" s="468" t="s">
        <v>303</v>
      </c>
      <c r="C15" s="469" t="s">
        <v>304</v>
      </c>
      <c r="D15" s="470" t="s">
        <v>305</v>
      </c>
      <c r="E15" s="471" t="s">
        <v>306</v>
      </c>
      <c r="F15" s="470" t="s">
        <v>307</v>
      </c>
      <c r="G15" s="472" t="s">
        <v>308</v>
      </c>
      <c r="H15" s="473" t="s">
        <v>309</v>
      </c>
      <c r="I15" s="474" t="s">
        <v>310</v>
      </c>
      <c r="J15" s="475" t="s">
        <v>311</v>
      </c>
      <c r="K15" s="476" t="s">
        <v>312</v>
      </c>
      <c r="L15" s="465" t="s">
        <v>313</v>
      </c>
      <c r="M15" s="465" t="s">
        <v>314</v>
      </c>
      <c r="N15" s="465" t="s">
        <v>315</v>
      </c>
      <c r="O15" s="477" t="s">
        <v>316</v>
      </c>
      <c r="P15" s="478" t="s">
        <v>317</v>
      </c>
      <c r="Q15" s="479" t="s">
        <v>318</v>
      </c>
      <c r="R15" s="479" t="s">
        <v>319</v>
      </c>
      <c r="S15" s="480" t="s">
        <v>320</v>
      </c>
      <c r="T15" s="479" t="s">
        <v>321</v>
      </c>
    </row>
    <row r="16">
      <c r="A16" s="481" t="s">
        <v>337</v>
      </c>
      <c r="B16" s="523" t="s">
        <v>338</v>
      </c>
      <c r="C16" s="483" t="s">
        <v>339</v>
      </c>
      <c r="D16" s="483">
        <v>9103.25</v>
      </c>
      <c r="E16" s="524">
        <v>4300.71</v>
      </c>
      <c r="F16" s="525">
        <v>4802.54</v>
      </c>
      <c r="G16" s="485">
        <v>22</v>
      </c>
      <c r="H16" s="483">
        <v>8393.52</v>
      </c>
      <c r="I16" s="486">
        <f t="shared" ref="I16:I36" si="83">H16/D16</f>
      </c>
      <c r="J16" s="486">
        <f t="shared" ref="J16:J36" si="112">D16/G16</f>
      </c>
      <c r="K16" s="487">
        <f t="shared" ref="K16:K36" si="141">H16/G16</f>
      </c>
      <c r="L16" s="488">
        <f t="shared" ref="L16:L36" si="170">R16/Q16</f>
      </c>
      <c r="M16" s="489">
        <f t="shared" ref="M16:M36" si="200">G16/S16</f>
      </c>
      <c r="N16" s="490">
        <f t="shared" ref="N16:N36" si="230">(T16*1000)/D16</f>
      </c>
      <c r="O16" s="491" t="s">
        <v>325</v>
      </c>
      <c r="P16" s="526" t="s">
        <v>340</v>
      </c>
      <c r="Q16" s="493">
        <v>112849</v>
      </c>
      <c r="R16" s="493">
        <v>11079</v>
      </c>
      <c r="S16" s="527">
        <v>33</v>
      </c>
      <c r="T16" s="527">
        <v>170</v>
      </c>
    </row>
    <row r="17">
      <c r="A17" s="481"/>
      <c r="B17" s="523" t="s">
        <v>338</v>
      </c>
      <c r="C17" s="496" t="s">
        <v>341</v>
      </c>
      <c r="D17" s="497">
        <v>15419.130000000001</v>
      </c>
      <c r="E17" s="528">
        <v>11115.77</v>
      </c>
      <c r="F17" s="528">
        <v>4303.36</v>
      </c>
      <c r="G17" s="529">
        <v>57</v>
      </c>
      <c r="H17" s="525">
        <v>28557.290000000005</v>
      </c>
      <c r="I17" s="486">
        <f t="shared" si="83"/>
      </c>
      <c r="J17" s="486">
        <f t="shared" si="112"/>
      </c>
      <c r="K17" s="487">
        <f t="shared" si="141"/>
      </c>
      <c r="L17" s="488">
        <f t="shared" si="170"/>
      </c>
      <c r="M17" s="489">
        <f t="shared" si="200"/>
      </c>
      <c r="N17" s="490">
        <f t="shared" si="230"/>
      </c>
      <c r="O17" s="491" t="s">
        <v>325</v>
      </c>
      <c r="P17" s="526" t="s">
        <v>340</v>
      </c>
      <c r="Q17" s="494">
        <v>193492</v>
      </c>
      <c r="R17" s="494">
        <v>17750</v>
      </c>
      <c r="S17" s="527">
        <v>70</v>
      </c>
      <c r="T17" s="527">
        <v>240</v>
      </c>
    </row>
    <row r="18">
      <c r="A18" s="481"/>
      <c r="B18" s="523" t="s">
        <v>338</v>
      </c>
      <c r="C18" s="483" t="s">
        <v>342</v>
      </c>
      <c r="D18" s="500">
        <v>13903.560000000001</v>
      </c>
      <c r="E18" s="501">
        <v>11017.78</v>
      </c>
      <c r="F18" s="483">
        <v>2885.78</v>
      </c>
      <c r="G18" s="502">
        <v>48</v>
      </c>
      <c r="H18" s="503">
        <v>29026.039999999986</v>
      </c>
      <c r="I18" s="486">
        <f t="shared" si="83"/>
      </c>
      <c r="J18" s="486">
        <f t="shared" si="112"/>
      </c>
      <c r="K18" s="487">
        <f t="shared" si="141"/>
      </c>
      <c r="L18" s="488">
        <f t="shared" si="170"/>
      </c>
      <c r="M18" s="489">
        <f t="shared" si="200"/>
      </c>
      <c r="N18" s="490">
        <f t="shared" si="230"/>
      </c>
      <c r="O18" s="491" t="s">
        <v>325</v>
      </c>
      <c r="P18" s="526" t="s">
        <v>343</v>
      </c>
      <c r="Q18" s="494">
        <v>164120</v>
      </c>
      <c r="R18" s="494">
        <v>17137</v>
      </c>
      <c r="S18" s="527">
        <v>63</v>
      </c>
      <c r="T18" s="527">
        <v>189</v>
      </c>
    </row>
    <row r="19">
      <c r="A19" s="481"/>
      <c r="B19" s="523" t="s">
        <v>338</v>
      </c>
      <c r="C19" s="483" t="s">
        <v>344</v>
      </c>
      <c r="D19" s="500">
        <v>5523.889999999999</v>
      </c>
      <c r="E19" s="501">
        <v>2744.48</v>
      </c>
      <c r="F19" s="483">
        <v>2779.41</v>
      </c>
      <c r="G19" s="502">
        <v>28</v>
      </c>
      <c r="H19" s="503">
        <v>13260.400000000009</v>
      </c>
      <c r="I19" s="486">
        <f t="shared" si="83"/>
      </c>
      <c r="J19" s="486">
        <f t="shared" si="112"/>
      </c>
      <c r="K19" s="487">
        <f t="shared" si="141"/>
      </c>
      <c r="L19" s="488">
        <f t="shared" si="170"/>
      </c>
      <c r="M19" s="489">
        <f t="shared" si="200"/>
      </c>
      <c r="N19" s="490">
        <f t="shared" si="230"/>
      </c>
      <c r="O19" s="491" t="s">
        <v>325</v>
      </c>
      <c r="P19" s="526" t="s">
        <v>343</v>
      </c>
      <c r="Q19" s="504">
        <v>62048</v>
      </c>
      <c r="R19" s="504">
        <v>5839</v>
      </c>
      <c r="S19" s="505">
        <v>37</v>
      </c>
      <c r="T19" s="505">
        <v>104</v>
      </c>
    </row>
    <row customHeight="true" ht="16.666666666666668" r="20">
      <c r="A20" s="481"/>
      <c r="B20" s="523" t="s">
        <v>338</v>
      </c>
      <c r="C20" s="483" t="s">
        <v>345</v>
      </c>
      <c r="D20" s="500">
        <v>6776.07</v>
      </c>
      <c r="E20" s="501">
        <v>3482.79</v>
      </c>
      <c r="F20" s="483">
        <v>3293.28</v>
      </c>
      <c r="G20" s="502">
        <v>22</v>
      </c>
      <c r="H20" s="503">
        <v>10586.660000000003</v>
      </c>
      <c r="I20" s="486">
        <f t="shared" si="83"/>
      </c>
      <c r="J20" s="486">
        <f t="shared" si="112"/>
      </c>
      <c r="K20" s="487">
        <f t="shared" si="141"/>
      </c>
      <c r="L20" s="488">
        <f t="shared" si="170"/>
      </c>
      <c r="M20" s="489">
        <f t="shared" si="200"/>
      </c>
      <c r="N20" s="490">
        <f t="shared" si="230"/>
      </c>
      <c r="O20" s="491" t="s">
        <v>325</v>
      </c>
      <c r="P20" s="526" t="s">
        <v>343</v>
      </c>
      <c r="Q20" s="504">
        <v>67179</v>
      </c>
      <c r="R20" s="504">
        <v>7148</v>
      </c>
      <c r="S20" s="505">
        <v>37</v>
      </c>
      <c r="T20" s="505">
        <v>113</v>
      </c>
    </row>
    <row r="21">
      <c r="A21" s="481"/>
      <c r="B21" s="506" t="s">
        <v>330</v>
      </c>
      <c r="C21" s="506"/>
      <c r="D21" s="507">
        <v>50725.9</v>
      </c>
      <c r="E21" s="507">
        <v>32661.530000000002</v>
      </c>
      <c r="F21" s="507">
        <v>18064.37</v>
      </c>
      <c r="G21" s="508">
        <v>177</v>
      </c>
      <c r="H21" s="507">
        <f>SUM(H16:H20)</f>
      </c>
      <c r="I21" s="509">
        <f t="shared" si="83"/>
      </c>
      <c r="J21" s="510">
        <f t="shared" si="112"/>
      </c>
      <c r="K21" s="511">
        <f t="shared" si="141"/>
      </c>
      <c r="L21" s="512">
        <f t="shared" si="170"/>
      </c>
      <c r="M21" s="512">
        <f t="shared" si="200"/>
      </c>
      <c r="N21" s="513">
        <f t="shared" si="230"/>
      </c>
      <c r="O21" s="513"/>
      <c r="P21" s="513"/>
      <c r="Q21" s="508">
        <f>SUM(Q16:Q20)</f>
      </c>
      <c r="R21" s="508">
        <f>SUM(R16:R20)</f>
      </c>
      <c r="S21" s="508">
        <f>SUM(S16:S20)</f>
      </c>
      <c r="T21" s="508">
        <f>SUM(T16:T20)</f>
      </c>
    </row>
    <row r="22">
      <c r="A22" s="481"/>
      <c r="B22" s="482" t="s">
        <v>323</v>
      </c>
      <c r="C22" s="483" t="s">
        <v>346</v>
      </c>
      <c r="D22" s="500">
        <v>8424.53</v>
      </c>
      <c r="E22" s="483">
        <v>5538.26</v>
      </c>
      <c r="F22" s="483">
        <v>2886.27</v>
      </c>
      <c r="G22" s="499">
        <v>27</v>
      </c>
      <c r="H22" s="483">
        <v>17277.600000000006</v>
      </c>
      <c r="I22" s="486">
        <f t="shared" si="83"/>
      </c>
      <c r="J22" s="486">
        <f t="shared" si="112"/>
      </c>
      <c r="K22" s="487">
        <f t="shared" si="141"/>
      </c>
      <c r="L22" s="488">
        <f t="shared" si="170"/>
      </c>
      <c r="M22" s="489">
        <f t="shared" si="200"/>
      </c>
      <c r="N22" s="490">
        <f t="shared" si="230"/>
      </c>
      <c r="O22" s="491" t="s">
        <v>325</v>
      </c>
      <c r="P22" s="526" t="s">
        <v>343</v>
      </c>
      <c r="Q22" s="504">
        <v>100134</v>
      </c>
      <c r="R22" s="504">
        <v>9517</v>
      </c>
      <c r="S22" s="505">
        <v>35</v>
      </c>
      <c r="T22" s="505">
        <v>97</v>
      </c>
    </row>
    <row r="23">
      <c r="A23" s="481"/>
      <c r="B23" s="482" t="s">
        <v>323</v>
      </c>
      <c r="C23" s="483" t="s">
        <v>347</v>
      </c>
      <c r="D23" s="500">
        <v>7483.17</v>
      </c>
      <c r="E23" s="483">
        <v>4628.8</v>
      </c>
      <c r="F23" s="483">
        <v>2854.37</v>
      </c>
      <c r="G23" s="499">
        <v>17</v>
      </c>
      <c r="H23" s="483">
        <v>10587.36</v>
      </c>
      <c r="I23" s="486">
        <f t="shared" si="83"/>
      </c>
      <c r="J23" s="486">
        <f t="shared" si="112"/>
      </c>
      <c r="K23" s="487">
        <f t="shared" si="141"/>
      </c>
      <c r="L23" s="488">
        <f t="shared" si="170"/>
      </c>
      <c r="M23" s="489">
        <f t="shared" si="200"/>
      </c>
      <c r="N23" s="490">
        <f t="shared" si="230"/>
      </c>
      <c r="O23" s="491" t="s">
        <v>325</v>
      </c>
      <c r="P23" s="526" t="s">
        <v>343</v>
      </c>
      <c r="Q23" s="504">
        <v>83894</v>
      </c>
      <c r="R23" s="504">
        <v>9273</v>
      </c>
      <c r="S23" s="505">
        <v>30</v>
      </c>
      <c r="T23" s="505">
        <v>116</v>
      </c>
    </row>
    <row r="24">
      <c r="A24" s="481"/>
      <c r="B24" s="482" t="s">
        <v>323</v>
      </c>
      <c r="C24" s="483" t="s">
        <v>348</v>
      </c>
      <c r="D24" s="500">
        <v>5573.4400000000005</v>
      </c>
      <c r="E24" s="483">
        <v>2969.15</v>
      </c>
      <c r="F24" s="483">
        <v>2604.29</v>
      </c>
      <c r="G24" s="499">
        <v>12</v>
      </c>
      <c r="H24" s="483">
        <v>7198.559999999998</v>
      </c>
      <c r="I24" s="486">
        <f t="shared" si="83"/>
      </c>
      <c r="J24" s="486">
        <f t="shared" si="112"/>
      </c>
      <c r="K24" s="487">
        <f t="shared" si="141"/>
      </c>
      <c r="L24" s="488">
        <f t="shared" si="170"/>
      </c>
      <c r="M24" s="489">
        <f t="shared" si="200"/>
      </c>
      <c r="N24" s="490">
        <f t="shared" si="230"/>
      </c>
      <c r="O24" s="491" t="s">
        <v>325</v>
      </c>
      <c r="P24" s="526" t="s">
        <v>343</v>
      </c>
      <c r="Q24" s="504">
        <v>52698</v>
      </c>
      <c r="R24" s="504">
        <v>6019</v>
      </c>
      <c r="S24" s="505">
        <v>20</v>
      </c>
      <c r="T24" s="505">
        <v>73</v>
      </c>
    </row>
    <row r="25">
      <c r="A25" s="481"/>
      <c r="B25" s="482" t="s">
        <v>323</v>
      </c>
      <c r="C25" s="483" t="s">
        <v>349</v>
      </c>
      <c r="D25" s="500">
        <v>4676.33</v>
      </c>
      <c r="E25" s="483">
        <v>2119.62</v>
      </c>
      <c r="F25" s="525">
        <v>2556.71</v>
      </c>
      <c r="G25" s="529">
        <v>14</v>
      </c>
      <c r="H25" s="483">
        <f>215.04+10804.54</f>
      </c>
      <c r="I25" s="486">
        <f t="shared" si="83"/>
      </c>
      <c r="J25" s="486">
        <f t="shared" si="112"/>
      </c>
      <c r="K25" s="487">
        <f t="shared" si="141"/>
      </c>
      <c r="L25" s="488">
        <f t="shared" si="170"/>
      </c>
      <c r="M25" s="489">
        <f t="shared" si="200"/>
      </c>
      <c r="N25" s="490">
        <f t="shared" si="230"/>
      </c>
      <c r="O25" s="491" t="s">
        <v>325</v>
      </c>
      <c r="P25" s="526" t="s">
        <v>343</v>
      </c>
      <c r="Q25" s="504">
        <v>38067</v>
      </c>
      <c r="R25" s="504">
        <v>4872</v>
      </c>
      <c r="S25" s="505">
        <v>22</v>
      </c>
      <c r="T25" s="505">
        <v>64</v>
      </c>
    </row>
    <row r="26">
      <c r="A26" s="481"/>
      <c r="B26" s="514" t="s">
        <v>330</v>
      </c>
      <c r="C26" s="514"/>
      <c r="D26" s="507">
        <v>26157.47</v>
      </c>
      <c r="E26" s="507">
        <v>15255.830000000002</v>
      </c>
      <c r="F26" s="507">
        <v>10901.64</v>
      </c>
      <c r="G26" s="508">
        <v>70</v>
      </c>
      <c r="H26" s="507">
        <f>SUM(H22:H25)</f>
      </c>
      <c r="I26" s="515">
        <f t="shared" si="83"/>
      </c>
      <c r="J26" s="510">
        <f t="shared" si="112"/>
      </c>
      <c r="K26" s="511">
        <f t="shared" si="141"/>
      </c>
      <c r="L26" s="512">
        <f t="shared" si="170"/>
      </c>
      <c r="M26" s="512">
        <f t="shared" si="200"/>
      </c>
      <c r="N26" s="513">
        <f t="shared" si="230"/>
      </c>
      <c r="O26" s="513"/>
      <c r="P26" s="513"/>
      <c r="Q26" s="508">
        <f>SUM(Q22:Q25)</f>
      </c>
      <c r="R26" s="508">
        <f>SUM(R22:R25)</f>
      </c>
      <c r="S26" s="508">
        <f>SUM(S22:S25)</f>
      </c>
      <c r="T26" s="508">
        <f>SUM(T22:T25)</f>
      </c>
    </row>
    <row customHeight="true" ht="16.666666666666668" r="27">
      <c r="A27" s="481"/>
      <c r="B27" s="482" t="s">
        <v>331</v>
      </c>
      <c r="C27" s="483" t="s">
        <v>350</v>
      </c>
      <c r="D27" s="500">
        <v>5230.08</v>
      </c>
      <c r="E27" s="483">
        <v>2347.2</v>
      </c>
      <c r="F27" s="483">
        <v>2882.88</v>
      </c>
      <c r="G27" s="499">
        <v>28</v>
      </c>
      <c r="H27" s="483">
        <v>16887.01999999999</v>
      </c>
      <c r="I27" s="486">
        <f t="shared" si="83"/>
      </c>
      <c r="J27" s="486">
        <f t="shared" si="112"/>
      </c>
      <c r="K27" s="487">
        <f t="shared" si="141"/>
      </c>
      <c r="L27" s="488">
        <f t="shared" si="170"/>
      </c>
      <c r="M27" s="489">
        <f t="shared" si="200"/>
      </c>
      <c r="N27" s="490">
        <f t="shared" si="230"/>
      </c>
      <c r="O27" s="491" t="s">
        <v>325</v>
      </c>
      <c r="P27" s="526" t="s">
        <v>343</v>
      </c>
      <c r="Q27" s="504">
        <v>42962</v>
      </c>
      <c r="R27" s="504">
        <v>5606</v>
      </c>
      <c r="S27" s="505">
        <v>43</v>
      </c>
      <c r="T27" s="505">
        <v>82</v>
      </c>
    </row>
    <row customHeight="true" ht="16.666666666666668" r="28">
      <c r="A28" s="481"/>
      <c r="B28" s="482" t="s">
        <v>331</v>
      </c>
      <c r="C28" s="483" t="s">
        <v>324</v>
      </c>
      <c r="D28" s="500">
        <v>13893.369999999999</v>
      </c>
      <c r="E28" s="483">
        <v>10233.55</v>
      </c>
      <c r="F28" s="483">
        <v>3659.82</v>
      </c>
      <c r="G28" s="499">
        <v>47</v>
      </c>
      <c r="H28" s="483">
        <v>30031.46000000002</v>
      </c>
      <c r="I28" s="486">
        <f t="shared" si="83"/>
      </c>
      <c r="J28" s="486">
        <f t="shared" si="112"/>
      </c>
      <c r="K28" s="487">
        <f t="shared" si="141"/>
      </c>
      <c r="L28" s="488">
        <f t="shared" si="170"/>
      </c>
      <c r="M28" s="489">
        <f t="shared" si="200"/>
      </c>
      <c r="N28" s="490">
        <f t="shared" si="230"/>
      </c>
      <c r="O28" s="491" t="s">
        <v>325</v>
      </c>
      <c r="P28" s="492" t="s">
        <v>326</v>
      </c>
      <c r="Q28" s="504">
        <v>139393</v>
      </c>
      <c r="R28" s="504">
        <v>18845</v>
      </c>
      <c r="S28" s="505">
        <v>61</v>
      </c>
      <c r="T28" s="505">
        <v>203</v>
      </c>
    </row>
    <row customHeight="true" ht="16.666666666666668" r="29">
      <c r="A29" s="481"/>
      <c r="B29" s="482" t="s">
        <v>331</v>
      </c>
      <c r="C29" s="525" t="s">
        <v>327</v>
      </c>
      <c r="D29" s="500">
        <v>9423.560000000001</v>
      </c>
      <c r="E29" s="483">
        <v>5087.84</v>
      </c>
      <c r="F29" s="483">
        <v>4335.72</v>
      </c>
      <c r="G29" s="499">
        <v>29</v>
      </c>
      <c r="H29" s="483">
        <v>12577.220000000001</v>
      </c>
      <c r="I29" s="486">
        <f t="shared" si="83"/>
      </c>
      <c r="J29" s="486">
        <f t="shared" si="112"/>
      </c>
      <c r="K29" s="487">
        <f t="shared" si="141"/>
      </c>
      <c r="L29" s="488">
        <f t="shared" si="170"/>
      </c>
      <c r="M29" s="489">
        <f t="shared" si="200"/>
      </c>
      <c r="N29" s="490">
        <f t="shared" si="230"/>
      </c>
      <c r="O29" s="491" t="s">
        <v>325</v>
      </c>
      <c r="P29" s="492" t="s">
        <v>326</v>
      </c>
      <c r="Q29" s="504">
        <v>100308</v>
      </c>
      <c r="R29" s="504">
        <v>12083</v>
      </c>
      <c r="S29" s="505">
        <v>52</v>
      </c>
      <c r="T29" s="505">
        <v>134</v>
      </c>
    </row>
    <row customHeight="true" ht="16.666666666666668" r="30">
      <c r="A30" s="481"/>
      <c r="B30" s="482" t="s">
        <v>331</v>
      </c>
      <c r="C30" s="483" t="s">
        <v>328</v>
      </c>
      <c r="D30" s="500">
        <v>7691.05</v>
      </c>
      <c r="E30" s="501">
        <v>2953.96</v>
      </c>
      <c r="F30" s="483">
        <v>4737.09</v>
      </c>
      <c r="G30" s="502">
        <v>25</v>
      </c>
      <c r="H30" s="503">
        <v>12337.479999999981</v>
      </c>
      <c r="I30" s="486">
        <f t="shared" si="83"/>
      </c>
      <c r="J30" s="486">
        <f t="shared" si="112"/>
      </c>
      <c r="K30" s="487">
        <f t="shared" si="141"/>
      </c>
      <c r="L30" s="488">
        <f t="shared" si="170"/>
      </c>
      <c r="M30" s="489">
        <f t="shared" si="200"/>
      </c>
      <c r="N30" s="490">
        <f t="shared" si="230"/>
      </c>
      <c r="O30" s="491" t="s">
        <v>325</v>
      </c>
      <c r="P30" s="492" t="s">
        <v>326</v>
      </c>
      <c r="Q30" s="504">
        <v>116029</v>
      </c>
      <c r="R30" s="504">
        <v>8288</v>
      </c>
      <c r="S30" s="505">
        <v>42</v>
      </c>
      <c r="T30" s="505">
        <v>107</v>
      </c>
    </row>
    <row customHeight="true" ht="16.666666666666668" r="31">
      <c r="A31" s="481"/>
      <c r="B31" s="482" t="s">
        <v>331</v>
      </c>
      <c r="C31" s="483" t="s">
        <v>329</v>
      </c>
      <c r="D31" s="500">
        <v>9640.07</v>
      </c>
      <c r="E31" s="501">
        <v>3716.54</v>
      </c>
      <c r="F31" s="483">
        <v>5923.53</v>
      </c>
      <c r="G31" s="502">
        <v>39</v>
      </c>
      <c r="H31" s="503">
        <v>18753.22999999998</v>
      </c>
      <c r="I31" s="486">
        <f t="shared" si="83"/>
      </c>
      <c r="J31" s="486">
        <f t="shared" si="112"/>
      </c>
      <c r="K31" s="487">
        <f t="shared" si="141"/>
      </c>
      <c r="L31" s="488">
        <f t="shared" si="170"/>
      </c>
      <c r="M31" s="489">
        <f t="shared" si="200"/>
      </c>
      <c r="N31" s="490">
        <f t="shared" si="230"/>
      </c>
      <c r="O31" s="491" t="s">
        <v>325</v>
      </c>
      <c r="P31" s="492" t="s">
        <v>326</v>
      </c>
      <c r="Q31" s="504">
        <v>161340</v>
      </c>
      <c r="R31" s="504">
        <v>9551</v>
      </c>
      <c r="S31" s="505">
        <v>43</v>
      </c>
      <c r="T31" s="505">
        <v>140</v>
      </c>
    </row>
    <row customHeight="true" ht="16.666666666666668" r="32">
      <c r="A32" s="481"/>
      <c r="B32" s="514" t="s">
        <v>330</v>
      </c>
      <c r="C32" s="514"/>
      <c r="D32" s="507">
        <v>45878.13</v>
      </c>
      <c r="E32" s="507">
        <v>24339.09</v>
      </c>
      <c r="F32" s="507">
        <v>21539.04</v>
      </c>
      <c r="G32" s="508">
        <v>168</v>
      </c>
      <c r="H32" s="507">
        <f>SUM(H27:H31)</f>
      </c>
      <c r="I32" s="515">
        <f t="shared" si="83"/>
      </c>
      <c r="J32" s="510">
        <f t="shared" si="112"/>
      </c>
      <c r="K32" s="511">
        <f t="shared" si="141"/>
      </c>
      <c r="L32" s="512">
        <f t="shared" si="170"/>
      </c>
      <c r="M32" s="512">
        <f t="shared" si="200"/>
      </c>
      <c r="N32" s="513">
        <f t="shared" si="230"/>
      </c>
      <c r="O32" s="513"/>
      <c r="P32" s="513"/>
      <c r="Q32" s="508">
        <f>SUM(Q27:Q31)</f>
      </c>
      <c r="R32" s="508">
        <f>SUM(R27:R31)</f>
      </c>
      <c r="S32" s="508">
        <f>SUM(S27:S31)</f>
      </c>
      <c r="T32" s="508">
        <f>SUM(T27:T31)</f>
      </c>
    </row>
    <row customHeight="true" ht="16.666666666666668" r="33">
      <c r="A33" s="481"/>
      <c r="B33" s="523" t="s">
        <v>351</v>
      </c>
      <c r="C33" s="483" t="s">
        <v>332</v>
      </c>
      <c r="D33" s="500">
        <v>6547.25</v>
      </c>
      <c r="E33" s="483">
        <v>2418.68</v>
      </c>
      <c r="F33" s="483">
        <v>4128.57</v>
      </c>
      <c r="G33" s="499">
        <v>14</v>
      </c>
      <c r="H33" s="483">
        <v>6934.120000000024</v>
      </c>
      <c r="I33" s="486">
        <f t="shared" si="83"/>
      </c>
      <c r="J33" s="486">
        <f t="shared" si="112"/>
      </c>
      <c r="K33" s="487">
        <f t="shared" si="141"/>
      </c>
      <c r="L33" s="488">
        <f t="shared" si="170"/>
      </c>
      <c r="M33" s="489">
        <f t="shared" si="200"/>
      </c>
      <c r="N33" s="490">
        <f t="shared" si="230"/>
      </c>
      <c r="O33" s="491" t="s">
        <v>325</v>
      </c>
      <c r="P33" s="492" t="s">
        <v>326</v>
      </c>
      <c r="Q33" s="504">
        <v>93514</v>
      </c>
      <c r="R33" s="504">
        <v>7456</v>
      </c>
      <c r="S33" s="505">
        <v>23</v>
      </c>
      <c r="T33" s="505">
        <v>97</v>
      </c>
    </row>
    <row customHeight="true" ht="16.666666666666668" r="34">
      <c r="A34" s="481"/>
      <c r="B34" s="523" t="s">
        <v>351</v>
      </c>
      <c r="C34" s="483" t="s">
        <v>333</v>
      </c>
      <c r="D34" s="500">
        <v>3321.27</v>
      </c>
      <c r="E34" s="525">
        <v>3.13</v>
      </c>
      <c r="F34" s="483">
        <v>3318.14</v>
      </c>
      <c r="G34" s="499">
        <v>13</v>
      </c>
      <c r="H34" s="483">
        <v>7822.1999999999825</v>
      </c>
      <c r="I34" s="486">
        <f t="shared" si="83"/>
      </c>
      <c r="J34" s="486">
        <f t="shared" si="112"/>
      </c>
      <c r="K34" s="487">
        <f t="shared" si="141"/>
      </c>
      <c r="L34" s="488">
        <f t="shared" si="170"/>
      </c>
      <c r="M34" s="489">
        <f t="shared" si="200"/>
      </c>
      <c r="N34" s="490">
        <f t="shared" si="230"/>
      </c>
      <c r="O34" s="491" t="s">
        <v>325</v>
      </c>
      <c r="P34" s="492" t="s">
        <v>326</v>
      </c>
      <c r="Q34" s="504">
        <v>35805</v>
      </c>
      <c r="R34" s="504">
        <v>3135</v>
      </c>
      <c r="S34" s="505">
        <v>20</v>
      </c>
      <c r="T34" s="505">
        <v>53</v>
      </c>
    </row>
    <row customHeight="true" ht="16.666666666666668" r="35">
      <c r="A35" s="481"/>
      <c r="B35" s="514" t="s">
        <v>330</v>
      </c>
      <c r="C35" s="514"/>
      <c r="D35" s="507">
        <f>SUM(D33:D34)</f>
      </c>
      <c r="E35" s="507">
        <f>SUM(E33:E34)</f>
      </c>
      <c r="F35" s="507">
        <f>SUM(F33:F34)</f>
      </c>
      <c r="G35" s="508">
        <f>SUM(G33:G34)</f>
      </c>
      <c r="H35" s="507">
        <f>SUM(H33:H34)</f>
      </c>
      <c r="I35" s="515">
        <f t="shared" si="83"/>
      </c>
      <c r="J35" s="510">
        <f t="shared" si="112"/>
      </c>
      <c r="K35" s="511">
        <f t="shared" si="141"/>
      </c>
      <c r="L35" s="512">
        <f t="shared" si="170"/>
      </c>
      <c r="M35" s="512">
        <f t="shared" si="200"/>
      </c>
      <c r="N35" s="513">
        <f t="shared" si="230"/>
      </c>
      <c r="O35" s="513"/>
      <c r="P35" s="513"/>
      <c r="Q35" s="508">
        <f>SUM(Q33:Q34)</f>
      </c>
      <c r="R35" s="508">
        <f>SUM(R33:R34)</f>
      </c>
      <c r="S35" s="508">
        <f>SUM(S33:S34)</f>
      </c>
      <c r="T35" s="508">
        <f>SUM(T33:T34)</f>
      </c>
    </row>
    <row r="36">
      <c r="A36" s="481"/>
      <c r="B36" s="516" t="s">
        <v>336</v>
      </c>
      <c r="C36" s="516"/>
      <c r="D36" s="517">
        <f>D21+D26+D32+D35</f>
      </c>
      <c r="E36" s="517">
        <f>E21+E26+E32+E35</f>
      </c>
      <c r="F36" s="517">
        <f>F21+F26+F32+F35</f>
      </c>
      <c r="G36" s="530">
        <f>G21+G26+G32+G35</f>
      </c>
      <c r="H36" s="517">
        <f>H21+H26+H32+H35</f>
      </c>
      <c r="I36" s="519">
        <f t="shared" si="83"/>
      </c>
      <c r="J36" s="519">
        <f t="shared" si="112"/>
      </c>
      <c r="K36" s="520">
        <f t="shared" si="141"/>
      </c>
      <c r="L36" s="521">
        <f t="shared" si="170"/>
      </c>
      <c r="M36" s="521">
        <f t="shared" si="200"/>
      </c>
      <c r="N36" s="519">
        <f t="shared" si="230"/>
      </c>
      <c r="O36" s="522"/>
      <c r="P36" s="522"/>
      <c r="Q36" s="530">
        <f>Q21+Q26+Q32+Q35</f>
      </c>
      <c r="R36" s="530">
        <f>R21+R26+R32+R35</f>
      </c>
      <c r="S36" s="530">
        <f>S21+S26+S32+S35</f>
      </c>
      <c r="T36" s="530">
        <f>T21+T26+T32+T35</f>
      </c>
    </row>
    <row r="37">
      <c r="A37" s="463" t="s">
        <v>298</v>
      </c>
      <c r="B37" s="463"/>
      <c r="C37" s="463"/>
      <c r="D37" s="464" t="s">
        <v>299</v>
      </c>
      <c r="E37" s="464"/>
      <c r="F37" s="464"/>
      <c r="G37" s="464"/>
      <c r="H37" s="464"/>
      <c r="I37" s="464"/>
      <c r="J37" s="464"/>
      <c r="K37" s="464"/>
      <c r="L37" s="465" t="s">
        <v>300</v>
      </c>
      <c r="M37" s="465"/>
      <c r="N37" s="465"/>
      <c r="O37" s="465"/>
      <c r="P37" s="465"/>
      <c r="Q37" s="466" t="s">
        <v>301</v>
      </c>
      <c r="R37" s="466"/>
      <c r="S37" s="466"/>
      <c r="T37" s="466"/>
    </row>
    <row r="38">
      <c r="A38" s="467" t="s">
        <v>302</v>
      </c>
      <c r="B38" s="468" t="s">
        <v>303</v>
      </c>
      <c r="C38" s="469" t="s">
        <v>304</v>
      </c>
      <c r="D38" s="470" t="s">
        <v>305</v>
      </c>
      <c r="E38" s="471" t="s">
        <v>306</v>
      </c>
      <c r="F38" s="470" t="s">
        <v>307</v>
      </c>
      <c r="G38" s="472" t="s">
        <v>308</v>
      </c>
      <c r="H38" s="473" t="s">
        <v>309</v>
      </c>
      <c r="I38" s="474" t="s">
        <v>310</v>
      </c>
      <c r="J38" s="475" t="s">
        <v>311</v>
      </c>
      <c r="K38" s="476" t="s">
        <v>312</v>
      </c>
      <c r="L38" s="465" t="s">
        <v>313</v>
      </c>
      <c r="M38" s="465" t="s">
        <v>314</v>
      </c>
      <c r="N38" s="465" t="s">
        <v>315</v>
      </c>
      <c r="O38" s="477" t="s">
        <v>316</v>
      </c>
      <c r="P38" s="478" t="s">
        <v>317</v>
      </c>
      <c r="Q38" s="479" t="s">
        <v>318</v>
      </c>
      <c r="R38" s="479" t="s">
        <v>319</v>
      </c>
      <c r="S38" s="480" t="s">
        <v>320</v>
      </c>
      <c r="T38" s="479" t="s">
        <v>321</v>
      </c>
    </row>
    <row r="39">
      <c r="A39" s="481" t="s">
        <v>352</v>
      </c>
      <c r="B39" s="523" t="s">
        <v>323</v>
      </c>
      <c r="C39" s="483" t="s">
        <v>339</v>
      </c>
      <c r="D39" s="483">
        <f t="shared" ref="D39:D43" si="2">E39+F39</f>
      </c>
      <c r="E39" s="524">
        <v>2794.15</v>
      </c>
      <c r="F39" s="525">
        <v>4465.04</v>
      </c>
      <c r="G39" s="485">
        <v>25</v>
      </c>
      <c r="H39" s="483">
        <v>17128.02</v>
      </c>
      <c r="I39" s="486">
        <f t="shared" ref="I39:I61" si="84">H39/D39</f>
      </c>
      <c r="J39" s="486">
        <f t="shared" ref="J39:J61" si="113">D39/G39</f>
      </c>
      <c r="K39" s="487">
        <f t="shared" ref="K39:K61" si="142">H39/G39</f>
      </c>
      <c r="L39" s="488">
        <f t="shared" ref="L39:L61" si="171">R39/Q39</f>
      </c>
      <c r="M39" s="489">
        <f t="shared" ref="M39:M61" si="201">G39/S39</f>
      </c>
      <c r="N39" s="490">
        <f t="shared" ref="N39:N61" si="231">(T39*1000)/D39</f>
      </c>
      <c r="O39" s="491" t="s">
        <v>325</v>
      </c>
      <c r="P39" s="526" t="s">
        <v>353</v>
      </c>
      <c r="Q39" s="493">
        <v>72750</v>
      </c>
      <c r="R39" s="493">
        <v>8391</v>
      </c>
      <c r="S39" s="527">
        <v>30</v>
      </c>
      <c r="T39" s="527">
        <v>116</v>
      </c>
    </row>
    <row r="40">
      <c r="A40" s="481"/>
      <c r="B40" s="523" t="s">
        <v>323</v>
      </c>
      <c r="C40" s="496" t="s">
        <v>341</v>
      </c>
      <c r="D40" s="497">
        <f t="shared" si="2"/>
      </c>
      <c r="E40" s="528">
        <v>8585</v>
      </c>
      <c r="F40" s="528">
        <v>8682.1</v>
      </c>
      <c r="G40" s="529">
        <v>54</v>
      </c>
      <c r="H40" s="525">
        <v>34951.380000000005</v>
      </c>
      <c r="I40" s="486">
        <f t="shared" si="84"/>
      </c>
      <c r="J40" s="486">
        <f t="shared" si="113"/>
      </c>
      <c r="K40" s="487">
        <f t="shared" si="142"/>
      </c>
      <c r="L40" s="488">
        <f t="shared" si="171"/>
      </c>
      <c r="M40" s="489">
        <f t="shared" si="201"/>
      </c>
      <c r="N40" s="490">
        <f t="shared" si="231"/>
      </c>
      <c r="O40" s="491" t="s">
        <v>325</v>
      </c>
      <c r="P40" s="526" t="s">
        <v>353</v>
      </c>
      <c r="Q40" s="494">
        <v>194163</v>
      </c>
      <c r="R40" s="494">
        <v>20998</v>
      </c>
      <c r="S40" s="527">
        <v>82</v>
      </c>
      <c r="T40" s="527">
        <v>273</v>
      </c>
    </row>
    <row r="41">
      <c r="A41" s="481"/>
      <c r="B41" s="523" t="s">
        <v>323</v>
      </c>
      <c r="C41" s="483" t="s">
        <v>342</v>
      </c>
      <c r="D41" s="500">
        <f t="shared" si="2"/>
      </c>
      <c r="E41" s="501">
        <v>7240.52</v>
      </c>
      <c r="F41" s="483">
        <v>3511.4</v>
      </c>
      <c r="G41" s="502">
        <v>36</v>
      </c>
      <c r="H41" s="503">
        <v>26785.61</v>
      </c>
      <c r="I41" s="486">
        <f t="shared" si="84"/>
      </c>
      <c r="J41" s="486">
        <f t="shared" si="113"/>
      </c>
      <c r="K41" s="487">
        <f t="shared" si="142"/>
      </c>
      <c r="L41" s="488">
        <f t="shared" si="171"/>
      </c>
      <c r="M41" s="489">
        <f t="shared" si="201"/>
      </c>
      <c r="N41" s="490">
        <f t="shared" si="231"/>
      </c>
      <c r="O41" s="491" t="s">
        <v>325</v>
      </c>
      <c r="P41" s="526" t="s">
        <v>353</v>
      </c>
      <c r="Q41" s="494">
        <v>119653</v>
      </c>
      <c r="R41" s="494">
        <v>12319</v>
      </c>
      <c r="S41" s="527">
        <v>48</v>
      </c>
      <c r="T41" s="527">
        <v>143</v>
      </c>
    </row>
    <row r="42">
      <c r="A42" s="481"/>
      <c r="B42" s="523" t="s">
        <v>323</v>
      </c>
      <c r="C42" s="483" t="s">
        <v>344</v>
      </c>
      <c r="D42" s="500">
        <f t="shared" si="2"/>
      </c>
      <c r="E42" s="501">
        <v>10041.02</v>
      </c>
      <c r="F42" s="483">
        <v>2420.29</v>
      </c>
      <c r="G42" s="502">
        <v>46</v>
      </c>
      <c r="H42" s="503">
        <v>32726.440000000002</v>
      </c>
      <c r="I42" s="486">
        <f t="shared" si="84"/>
      </c>
      <c r="J42" s="486">
        <f t="shared" si="113"/>
      </c>
      <c r="K42" s="487">
        <f t="shared" si="142"/>
      </c>
      <c r="L42" s="488">
        <f t="shared" si="171"/>
      </c>
      <c r="M42" s="489">
        <f t="shared" si="201"/>
      </c>
      <c r="N42" s="490">
        <f t="shared" si="231"/>
      </c>
      <c r="O42" s="491" t="s">
        <v>325</v>
      </c>
      <c r="P42" s="526" t="s">
        <v>353</v>
      </c>
      <c r="Q42" s="504">
        <v>114586</v>
      </c>
      <c r="R42" s="504">
        <v>14601</v>
      </c>
      <c r="S42" s="505">
        <v>64</v>
      </c>
      <c r="T42" s="505">
        <v>175</v>
      </c>
    </row>
    <row r="43">
      <c r="A43" s="481"/>
      <c r="B43" s="523" t="s">
        <v>323</v>
      </c>
      <c r="C43" s="483" t="s">
        <v>345</v>
      </c>
      <c r="D43" s="500">
        <f t="shared" si="2"/>
      </c>
      <c r="E43" s="501">
        <v>14064.33</v>
      </c>
      <c r="F43" s="483">
        <v>2350.28</v>
      </c>
      <c r="G43" s="531">
        <v>54</v>
      </c>
      <c r="H43" s="503">
        <v>37666.33</v>
      </c>
      <c r="I43" s="486">
        <f t="shared" si="84"/>
      </c>
      <c r="J43" s="486">
        <f t="shared" si="113"/>
      </c>
      <c r="K43" s="487">
        <f t="shared" si="142"/>
      </c>
      <c r="L43" s="488">
        <f t="shared" si="171"/>
      </c>
      <c r="M43" s="489">
        <f t="shared" si="201"/>
      </c>
      <c r="N43" s="490">
        <f t="shared" si="231"/>
      </c>
      <c r="O43" s="491" t="s">
        <v>325</v>
      </c>
      <c r="P43" s="526" t="s">
        <v>353</v>
      </c>
      <c r="Q43" s="504">
        <v>146410</v>
      </c>
      <c r="R43" s="504">
        <v>19604</v>
      </c>
      <c r="S43" s="505">
        <v>65</v>
      </c>
      <c r="T43" s="505">
        <v>210</v>
      </c>
    </row>
    <row r="44">
      <c r="A44" s="481"/>
      <c r="B44" s="506" t="s">
        <v>330</v>
      </c>
      <c r="C44" s="506"/>
      <c r="D44" s="507">
        <f>SUM(D39:D43)</f>
      </c>
      <c r="E44" s="507">
        <f>SUM(E39:E43)</f>
      </c>
      <c r="F44" s="507">
        <f>SUM(F39:F43)</f>
      </c>
      <c r="G44" s="508">
        <f>SUM(G39:G43)</f>
      </c>
      <c r="H44" s="507">
        <f>SUM(H39:H43)</f>
      </c>
      <c r="I44" s="509">
        <f t="shared" si="84"/>
      </c>
      <c r="J44" s="510">
        <f t="shared" si="113"/>
      </c>
      <c r="K44" s="511">
        <f t="shared" si="142"/>
      </c>
      <c r="L44" s="512">
        <f t="shared" si="171"/>
      </c>
      <c r="M44" s="512">
        <f t="shared" si="201"/>
      </c>
      <c r="N44" s="513">
        <f t="shared" si="231"/>
      </c>
      <c r="O44" s="513"/>
      <c r="P44" s="513"/>
      <c r="Q44" s="508">
        <f>SUM(Q39:Q43)</f>
      </c>
      <c r="R44" s="508">
        <f>SUM(R39:R43)</f>
      </c>
      <c r="S44" s="508">
        <f>SUM(S39:S43)</f>
      </c>
      <c r="T44" s="508">
        <f>SUM(T39:T43)</f>
      </c>
    </row>
    <row r="45">
      <c r="A45" s="481"/>
      <c r="B45" s="482" t="s">
        <v>331</v>
      </c>
      <c r="C45" s="483" t="s">
        <v>346</v>
      </c>
      <c r="D45" s="500">
        <f t="shared" ref="D45:D49" si="3">E45+F45</f>
      </c>
      <c r="E45" s="483">
        <v>7506.62</v>
      </c>
      <c r="F45" s="483">
        <v>2565.35</v>
      </c>
      <c r="G45" s="499">
        <v>24</v>
      </c>
      <c r="H45" s="483">
        <v>19726.939999999973</v>
      </c>
      <c r="I45" s="486">
        <f t="shared" si="84"/>
      </c>
      <c r="J45" s="486">
        <f t="shared" si="113"/>
      </c>
      <c r="K45" s="487">
        <f t="shared" si="142"/>
      </c>
      <c r="L45" s="488">
        <f t="shared" si="171"/>
      </c>
      <c r="M45" s="489">
        <f t="shared" si="201"/>
      </c>
      <c r="N45" s="490">
        <f t="shared" si="231"/>
      </c>
      <c r="O45" s="491" t="s">
        <v>325</v>
      </c>
      <c r="P45" s="526" t="s">
        <v>353</v>
      </c>
      <c r="Q45" s="504">
        <v>113290</v>
      </c>
      <c r="R45" s="504">
        <v>12014</v>
      </c>
      <c r="S45" s="505">
        <v>33</v>
      </c>
      <c r="T45" s="505">
        <v>128</v>
      </c>
    </row>
    <row r="46">
      <c r="A46" s="481"/>
      <c r="B46" s="482" t="s">
        <v>331</v>
      </c>
      <c r="C46" s="483" t="s">
        <v>347</v>
      </c>
      <c r="D46" s="500">
        <f t="shared" si="3"/>
      </c>
      <c r="E46" s="483">
        <v>6996.18</v>
      </c>
      <c r="F46" s="483">
        <v>2205.8</v>
      </c>
      <c r="G46" s="499">
        <v>33</v>
      </c>
      <c r="H46" s="483">
        <v>22479.300000000017</v>
      </c>
      <c r="I46" s="486">
        <f t="shared" si="84"/>
      </c>
      <c r="J46" s="486">
        <f t="shared" si="113"/>
      </c>
      <c r="K46" s="487">
        <f t="shared" si="142"/>
      </c>
      <c r="L46" s="488">
        <f t="shared" si="171"/>
      </c>
      <c r="M46" s="489">
        <f t="shared" si="201"/>
      </c>
      <c r="N46" s="490">
        <f t="shared" si="231"/>
      </c>
      <c r="O46" s="491" t="s">
        <v>325</v>
      </c>
      <c r="P46" s="492" t="s">
        <v>353</v>
      </c>
      <c r="Q46" s="504">
        <v>107986</v>
      </c>
      <c r="R46" s="504">
        <v>11531</v>
      </c>
      <c r="S46" s="505">
        <v>36</v>
      </c>
      <c r="T46" s="505">
        <v>113</v>
      </c>
    </row>
    <row r="47">
      <c r="A47" s="481"/>
      <c r="B47" s="482" t="s">
        <v>331</v>
      </c>
      <c r="C47" s="525" t="s">
        <v>348</v>
      </c>
      <c r="D47" s="500">
        <f t="shared" si="3"/>
      </c>
      <c r="E47" s="483">
        <v>7936.77</v>
      </c>
      <c r="F47" s="483">
        <v>2111.58</v>
      </c>
      <c r="G47" s="499">
        <v>32</v>
      </c>
      <c r="H47" s="483">
        <v>26308.47999999998</v>
      </c>
      <c r="I47" s="486">
        <f t="shared" si="84"/>
      </c>
      <c r="J47" s="486">
        <f t="shared" si="113"/>
      </c>
      <c r="K47" s="487">
        <f t="shared" si="142"/>
      </c>
      <c r="L47" s="488">
        <f t="shared" si="171"/>
      </c>
      <c r="M47" s="489">
        <f t="shared" si="201"/>
      </c>
      <c r="N47" s="490">
        <f t="shared" si="231"/>
      </c>
      <c r="O47" s="491" t="s">
        <v>325</v>
      </c>
      <c r="P47" s="492" t="s">
        <v>353</v>
      </c>
      <c r="Q47" s="504">
        <v>116518</v>
      </c>
      <c r="R47" s="504">
        <v>12496</v>
      </c>
      <c r="S47" s="505">
        <v>43</v>
      </c>
      <c r="T47" s="505">
        <v>140</v>
      </c>
    </row>
    <row r="48">
      <c r="A48" s="481"/>
      <c r="B48" s="482" t="s">
        <v>331</v>
      </c>
      <c r="C48" s="483" t="s">
        <v>349</v>
      </c>
      <c r="D48" s="500">
        <f t="shared" si="3"/>
      </c>
      <c r="E48" s="501">
        <v>9905.58</v>
      </c>
      <c r="F48" s="483">
        <v>2294.22</v>
      </c>
      <c r="G48" s="502">
        <v>36</v>
      </c>
      <c r="H48" s="503">
        <v>26794.5</v>
      </c>
      <c r="I48" s="486">
        <f t="shared" si="84"/>
      </c>
      <c r="J48" s="486">
        <f t="shared" si="113"/>
      </c>
      <c r="K48" s="487">
        <f t="shared" si="142"/>
      </c>
      <c r="L48" s="488">
        <f t="shared" si="171"/>
      </c>
      <c r="M48" s="489">
        <f t="shared" si="201"/>
      </c>
      <c r="N48" s="490">
        <f t="shared" si="231"/>
      </c>
      <c r="O48" s="491" t="s">
        <v>325</v>
      </c>
      <c r="P48" s="492" t="s">
        <v>353</v>
      </c>
      <c r="Q48" s="504">
        <v>142329</v>
      </c>
      <c r="R48" s="504">
        <v>15290</v>
      </c>
      <c r="S48" s="505">
        <v>47</v>
      </c>
      <c r="T48" s="505">
        <v>155</v>
      </c>
    </row>
    <row r="49">
      <c r="A49" s="481"/>
      <c r="B49" s="482" t="s">
        <v>331</v>
      </c>
      <c r="C49" s="483" t="s">
        <v>350</v>
      </c>
      <c r="D49" s="500">
        <f t="shared" si="3"/>
      </c>
      <c r="E49" s="501">
        <v>7290.26</v>
      </c>
      <c r="F49" s="483">
        <v>2145.12</v>
      </c>
      <c r="G49" s="502">
        <v>35</v>
      </c>
      <c r="H49" s="503">
        <v>23839.559999999998</v>
      </c>
      <c r="I49" s="486">
        <f t="shared" si="84"/>
      </c>
      <c r="J49" s="486">
        <f t="shared" si="113"/>
      </c>
      <c r="K49" s="487">
        <f t="shared" si="142"/>
      </c>
      <c r="L49" s="488">
        <f t="shared" si="171"/>
      </c>
      <c r="M49" s="489">
        <f t="shared" si="201"/>
      </c>
      <c r="N49" s="490">
        <f t="shared" si="231"/>
      </c>
      <c r="O49" s="491" t="s">
        <v>325</v>
      </c>
      <c r="P49" s="492" t="s">
        <v>353</v>
      </c>
      <c r="Q49" s="504">
        <v>96105</v>
      </c>
      <c r="R49" s="504">
        <v>12083</v>
      </c>
      <c r="S49" s="505">
        <v>50</v>
      </c>
      <c r="T49" s="505">
        <v>119</v>
      </c>
    </row>
    <row r="50">
      <c r="A50" s="481"/>
      <c r="B50" s="514" t="s">
        <v>330</v>
      </c>
      <c r="C50" s="514"/>
      <c r="D50" s="507">
        <f>SUM(D45:D49)</f>
      </c>
      <c r="E50" s="507">
        <f>SUM(E45:E49)</f>
      </c>
      <c r="F50" s="507">
        <f>SUM(F45:F49)</f>
      </c>
      <c r="G50" s="508">
        <f>SUM(G45:G49)</f>
      </c>
      <c r="H50" s="507">
        <f>SUM(H45:H49)</f>
      </c>
      <c r="I50" s="515">
        <f t="shared" si="84"/>
      </c>
      <c r="J50" s="510">
        <f t="shared" si="113"/>
      </c>
      <c r="K50" s="511">
        <f t="shared" si="142"/>
      </c>
      <c r="L50" s="512">
        <f t="shared" si="171"/>
      </c>
      <c r="M50" s="512">
        <f t="shared" si="201"/>
      </c>
      <c r="N50" s="513">
        <f t="shared" si="231"/>
      </c>
      <c r="O50" s="513"/>
      <c r="P50" s="513"/>
      <c r="Q50" s="508">
        <f>SUM(Q45:Q49)</f>
      </c>
      <c r="R50" s="508">
        <f>SUM(R45:R49)</f>
      </c>
      <c r="S50" s="508">
        <f>SUM(S45:S49)</f>
      </c>
      <c r="T50" s="508">
        <f>SUM(T45:T49)</f>
      </c>
    </row>
    <row r="51">
      <c r="A51" s="481"/>
      <c r="B51" s="523" t="s">
        <v>354</v>
      </c>
      <c r="C51" s="483" t="s">
        <v>324</v>
      </c>
      <c r="D51" s="500">
        <f t="shared" ref="D51:D54" si="4">E51+F51</f>
      </c>
      <c r="E51" s="483">
        <v>5937.64</v>
      </c>
      <c r="F51" s="483">
        <v>2062.8</v>
      </c>
      <c r="G51" s="499">
        <v>31</v>
      </c>
      <c r="H51" s="483">
        <v>25863.090000000026</v>
      </c>
      <c r="I51" s="486">
        <f t="shared" si="84"/>
      </c>
      <c r="J51" s="486">
        <f t="shared" si="113"/>
      </c>
      <c r="K51" s="487">
        <f t="shared" si="142"/>
      </c>
      <c r="L51" s="488">
        <f t="shared" si="171"/>
      </c>
      <c r="M51" s="489">
        <f t="shared" si="201"/>
      </c>
      <c r="N51" s="490">
        <f t="shared" si="231"/>
      </c>
      <c r="O51" s="491" t="s">
        <v>325</v>
      </c>
      <c r="P51" s="526" t="s">
        <v>326</v>
      </c>
      <c r="Q51" s="504">
        <v>98218</v>
      </c>
      <c r="R51" s="504">
        <v>10676</v>
      </c>
      <c r="S51" s="505">
        <v>45</v>
      </c>
      <c r="T51" s="505">
        <v>125</v>
      </c>
    </row>
    <row r="52">
      <c r="A52" s="481"/>
      <c r="B52" s="482" t="s">
        <v>354</v>
      </c>
      <c r="C52" s="483" t="s">
        <v>327</v>
      </c>
      <c r="D52" s="500">
        <f t="shared" si="4"/>
      </c>
      <c r="E52" s="483">
        <v>6442.1</v>
      </c>
      <c r="F52" s="483">
        <v>1610.19</v>
      </c>
      <c r="G52" s="499">
        <v>23</v>
      </c>
      <c r="H52" s="483">
        <v>15481.459999999963</v>
      </c>
      <c r="I52" s="486">
        <f t="shared" si="84"/>
      </c>
      <c r="J52" s="486">
        <f t="shared" si="113"/>
      </c>
      <c r="K52" s="487">
        <f t="shared" si="142"/>
      </c>
      <c r="L52" s="488">
        <f t="shared" si="171"/>
      </c>
      <c r="M52" s="489">
        <f t="shared" si="201"/>
      </c>
      <c r="N52" s="490">
        <f t="shared" si="231"/>
      </c>
      <c r="O52" s="491" t="s">
        <v>325</v>
      </c>
      <c r="P52" s="526" t="s">
        <v>326</v>
      </c>
      <c r="Q52" s="504">
        <v>113735</v>
      </c>
      <c r="R52" s="504">
        <v>11675</v>
      </c>
      <c r="S52" s="505">
        <v>39</v>
      </c>
      <c r="T52" s="505">
        <v>120</v>
      </c>
    </row>
    <row r="53">
      <c r="A53" s="481"/>
      <c r="B53" s="482" t="s">
        <v>354</v>
      </c>
      <c r="C53" s="483" t="s">
        <v>328</v>
      </c>
      <c r="D53" s="500">
        <f t="shared" si="4"/>
      </c>
      <c r="E53" s="483">
        <v>4480.19</v>
      </c>
      <c r="F53" s="483">
        <v>2739.14</v>
      </c>
      <c r="G53" s="499">
        <v>26</v>
      </c>
      <c r="H53" s="483">
        <v>15494.290000000037</v>
      </c>
      <c r="I53" s="486">
        <f t="shared" si="84"/>
      </c>
      <c r="J53" s="486">
        <f t="shared" si="113"/>
      </c>
      <c r="K53" s="487">
        <f t="shared" si="142"/>
      </c>
      <c r="L53" s="488">
        <f t="shared" si="171"/>
      </c>
      <c r="M53" s="489">
        <f t="shared" si="201"/>
      </c>
      <c r="N53" s="490">
        <f t="shared" si="231"/>
      </c>
      <c r="O53" s="491" t="s">
        <v>325</v>
      </c>
      <c r="P53" s="526" t="s">
        <v>326</v>
      </c>
      <c r="Q53" s="504">
        <v>105448</v>
      </c>
      <c r="R53" s="504">
        <v>9935</v>
      </c>
      <c r="S53" s="505">
        <v>34</v>
      </c>
      <c r="T53" s="505">
        <v>99</v>
      </c>
    </row>
    <row r="54">
      <c r="A54" s="481"/>
      <c r="B54" s="482" t="s">
        <v>354</v>
      </c>
      <c r="C54" s="483" t="s">
        <v>329</v>
      </c>
      <c r="D54" s="500">
        <f t="shared" si="4"/>
      </c>
      <c r="E54" s="483">
        <v>3769.32</v>
      </c>
      <c r="F54" s="525">
        <v>2307.96</v>
      </c>
      <c r="G54" s="529">
        <v>29</v>
      </c>
      <c r="H54" s="483">
        <v>19291.089999999967</v>
      </c>
      <c r="I54" s="486">
        <f t="shared" si="84"/>
      </c>
      <c r="J54" s="486">
        <f t="shared" si="113"/>
      </c>
      <c r="K54" s="487">
        <f t="shared" si="142"/>
      </c>
      <c r="L54" s="488">
        <f t="shared" si="171"/>
      </c>
      <c r="M54" s="489">
        <f t="shared" si="201"/>
      </c>
      <c r="N54" s="490">
        <f t="shared" si="231"/>
      </c>
      <c r="O54" s="491" t="s">
        <v>325</v>
      </c>
      <c r="P54" s="526" t="s">
        <v>326</v>
      </c>
      <c r="Q54" s="504">
        <v>100680</v>
      </c>
      <c r="R54" s="504">
        <v>7051</v>
      </c>
      <c r="S54" s="505">
        <v>31</v>
      </c>
      <c r="T54" s="505">
        <v>80</v>
      </c>
    </row>
    <row r="55">
      <c r="A55" s="481"/>
      <c r="B55" s="514" t="s">
        <v>330</v>
      </c>
      <c r="C55" s="514"/>
      <c r="D55" s="507">
        <f>SUM(D51:D54)</f>
      </c>
      <c r="E55" s="507">
        <f>SUM(E51:E54)</f>
      </c>
      <c r="F55" s="507">
        <f>SUM(F51:F54)</f>
      </c>
      <c r="G55" s="508">
        <f>SUM(G51:G54)</f>
      </c>
      <c r="H55" s="507">
        <f>SUM(H51:H54)</f>
      </c>
      <c r="I55" s="515">
        <f t="shared" si="84"/>
      </c>
      <c r="J55" s="510">
        <f t="shared" si="113"/>
      </c>
      <c r="K55" s="511">
        <f t="shared" si="142"/>
      </c>
      <c r="L55" s="512">
        <f t="shared" si="171"/>
      </c>
      <c r="M55" s="512">
        <f t="shared" si="201"/>
      </c>
      <c r="N55" s="513">
        <f t="shared" si="231"/>
      </c>
      <c r="O55" s="513"/>
      <c r="P55" s="513"/>
      <c r="Q55" s="508">
        <f>SUM(Q51:Q54)</f>
      </c>
      <c r="R55" s="508">
        <f>SUM(R51:R54)</f>
      </c>
      <c r="S55" s="508">
        <f>SUM(S51:S54)</f>
      </c>
      <c r="T55" s="508">
        <f>SUM(T51:T54)</f>
      </c>
    </row>
    <row r="56">
      <c r="A56" s="481"/>
      <c r="B56" s="523" t="s">
        <v>338</v>
      </c>
      <c r="C56" s="483" t="s">
        <v>332</v>
      </c>
      <c r="D56" s="500">
        <f t="shared" ref="D56:D59" si="5">E56+F56</f>
      </c>
      <c r="E56" s="483">
        <v>4066.99</v>
      </c>
      <c r="F56" s="483">
        <v>2999.09</v>
      </c>
      <c r="G56" s="499">
        <v>28</v>
      </c>
      <c r="H56" s="483">
        <v>12997.390000000014</v>
      </c>
      <c r="I56" s="486">
        <f t="shared" si="84"/>
      </c>
      <c r="J56" s="486">
        <f t="shared" si="113"/>
      </c>
      <c r="K56" s="487">
        <f t="shared" si="142"/>
      </c>
      <c r="L56" s="488">
        <f t="shared" si="171"/>
      </c>
      <c r="M56" s="489">
        <f t="shared" si="201"/>
      </c>
      <c r="N56" s="490">
        <f t="shared" si="231"/>
      </c>
      <c r="O56" s="491" t="s">
        <v>325</v>
      </c>
      <c r="P56" s="492" t="s">
        <v>326</v>
      </c>
      <c r="Q56" s="504">
        <v>98800</v>
      </c>
      <c r="R56" s="504">
        <v>7922</v>
      </c>
      <c r="S56" s="505">
        <v>32</v>
      </c>
      <c r="T56" s="505">
        <v>138</v>
      </c>
    </row>
    <row customHeight="true" ht="16.666666666666668" r="57">
      <c r="A57" s="481"/>
      <c r="B57" s="523" t="s">
        <v>338</v>
      </c>
      <c r="C57" s="483" t="s">
        <v>333</v>
      </c>
      <c r="D57" s="500">
        <f t="shared" si="5"/>
      </c>
      <c r="E57" s="483">
        <v>6171.95</v>
      </c>
      <c r="F57" s="483">
        <v>5016.32</v>
      </c>
      <c r="G57" s="499">
        <v>40</v>
      </c>
      <c r="H57" s="483">
        <v>17605.959999999963</v>
      </c>
      <c r="I57" s="486">
        <f t="shared" si="84"/>
      </c>
      <c r="J57" s="486">
        <f t="shared" si="113"/>
      </c>
      <c r="K57" s="487">
        <f t="shared" si="142"/>
      </c>
      <c r="L57" s="488">
        <f t="shared" si="171"/>
      </c>
      <c r="M57" s="489">
        <f t="shared" si="201"/>
      </c>
      <c r="N57" s="490">
        <f t="shared" si="231"/>
      </c>
      <c r="O57" s="491" t="s">
        <v>325</v>
      </c>
      <c r="P57" s="492" t="s">
        <v>326</v>
      </c>
      <c r="Q57" s="504">
        <v>126845</v>
      </c>
      <c r="R57" s="504">
        <v>13017</v>
      </c>
      <c r="S57" s="505">
        <v>53</v>
      </c>
      <c r="T57" s="505">
        <v>181</v>
      </c>
    </row>
    <row customHeight="true" ht="16.666666666666668" r="58">
      <c r="A58" s="481"/>
      <c r="B58" s="523" t="s">
        <v>338</v>
      </c>
      <c r="C58" s="525" t="s">
        <v>334</v>
      </c>
      <c r="D58" s="500">
        <f t="shared" si="5"/>
      </c>
      <c r="E58" s="483">
        <v>12224.31</v>
      </c>
      <c r="F58" s="483">
        <v>5048.82</v>
      </c>
      <c r="G58" s="499">
        <v>72</v>
      </c>
      <c r="H58" s="483">
        <v>42947.369999999995</v>
      </c>
      <c r="I58" s="486">
        <f t="shared" si="84"/>
      </c>
      <c r="J58" s="486">
        <f t="shared" si="113"/>
      </c>
      <c r="K58" s="487">
        <f t="shared" si="142"/>
      </c>
      <c r="L58" s="488">
        <f t="shared" si="171"/>
      </c>
      <c r="M58" s="489">
        <f t="shared" si="201"/>
      </c>
      <c r="N58" s="490">
        <f t="shared" si="231"/>
      </c>
      <c r="O58" s="491" t="s">
        <v>325</v>
      </c>
      <c r="P58" s="492" t="s">
        <v>326</v>
      </c>
      <c r="Q58" s="504">
        <v>199459</v>
      </c>
      <c r="R58" s="504">
        <v>22691</v>
      </c>
      <c r="S58" s="505">
        <v>105</v>
      </c>
      <c r="T58" s="505">
        <v>311</v>
      </c>
    </row>
    <row r="59">
      <c r="A59" s="481"/>
      <c r="B59" s="523" t="s">
        <v>338</v>
      </c>
      <c r="C59" s="525" t="s">
        <v>335</v>
      </c>
      <c r="D59" s="500">
        <f t="shared" si="5"/>
      </c>
      <c r="E59" s="525">
        <v>2923.85</v>
      </c>
      <c r="F59" s="483">
        <v>5225.48</v>
      </c>
      <c r="G59" s="499">
        <v>34</v>
      </c>
      <c r="H59" s="483">
        <v>19272.25</v>
      </c>
      <c r="I59" s="486">
        <f t="shared" si="84"/>
      </c>
      <c r="J59" s="486">
        <f t="shared" si="113"/>
      </c>
      <c r="K59" s="487">
        <f t="shared" si="142"/>
      </c>
      <c r="L59" s="488">
        <f t="shared" si="171"/>
      </c>
      <c r="M59" s="489">
        <f t="shared" si="201"/>
      </c>
      <c r="N59" s="490">
        <f t="shared" si="231"/>
      </c>
      <c r="O59" s="491" t="s">
        <v>325</v>
      </c>
      <c r="P59" s="492" t="s">
        <v>326</v>
      </c>
      <c r="Q59" s="504">
        <v>100512</v>
      </c>
      <c r="R59" s="504">
        <v>10962</v>
      </c>
      <c r="S59" s="505">
        <v>40</v>
      </c>
      <c r="T59" s="505">
        <v>146</v>
      </c>
    </row>
    <row r="60">
      <c r="A60" s="481"/>
      <c r="B60" s="514" t="s">
        <v>330</v>
      </c>
      <c r="C60" s="514"/>
      <c r="D60" s="507">
        <f>SUM(D56:D59)</f>
      </c>
      <c r="E60" s="507">
        <f>SUM(E56:E59)</f>
      </c>
      <c r="F60" s="507">
        <f>SUM(F56:F59)</f>
      </c>
      <c r="G60" s="508">
        <f>SUM(G56:G59)</f>
      </c>
      <c r="H60" s="507">
        <f>SUM(H56:H59)</f>
      </c>
      <c r="I60" s="515">
        <f t="shared" si="84"/>
      </c>
      <c r="J60" s="510">
        <f t="shared" si="113"/>
      </c>
      <c r="K60" s="511">
        <f t="shared" si="142"/>
      </c>
      <c r="L60" s="512">
        <f t="shared" si="171"/>
      </c>
      <c r="M60" s="512">
        <f t="shared" si="201"/>
      </c>
      <c r="N60" s="513">
        <f t="shared" si="231"/>
      </c>
      <c r="O60" s="513"/>
      <c r="P60" s="513"/>
      <c r="Q60" s="508">
        <f>SUM(Q56:Q59)</f>
      </c>
      <c r="R60" s="508">
        <f>SUM(R56:R59)</f>
      </c>
      <c r="S60" s="508">
        <f>SUM(S56:S59)</f>
      </c>
      <c r="T60" s="508">
        <f>SUM(T56:T59)</f>
      </c>
    </row>
    <row r="61">
      <c r="A61" s="481"/>
      <c r="B61" s="516" t="s">
        <v>336</v>
      </c>
      <c r="C61" s="516"/>
      <c r="D61" s="517">
        <f>D44+D55+D50+D60</f>
      </c>
      <c r="E61" s="517">
        <f>E44+E55+E50+E60</f>
      </c>
      <c r="F61" s="517">
        <f>F44+F55+F50+F60</f>
      </c>
      <c r="G61" s="530">
        <f>G44+G55+G50+G60</f>
      </c>
      <c r="H61" s="517">
        <f>H44+H55+H50+H60</f>
      </c>
      <c r="I61" s="519">
        <f t="shared" si="84"/>
      </c>
      <c r="J61" s="519">
        <f t="shared" si="113"/>
      </c>
      <c r="K61" s="520">
        <f t="shared" si="142"/>
      </c>
      <c r="L61" s="521">
        <f t="shared" si="171"/>
      </c>
      <c r="M61" s="521">
        <f t="shared" si="201"/>
      </c>
      <c r="N61" s="519">
        <f t="shared" si="231"/>
      </c>
      <c r="O61" s="522"/>
      <c r="P61" s="522"/>
      <c r="Q61" s="530">
        <f>Q44+Q55+Q50+Q60</f>
      </c>
      <c r="R61" s="530">
        <f>R44+R55+R50+R60</f>
      </c>
      <c r="S61" s="530">
        <f>S44+S55+S50+S60</f>
      </c>
      <c r="T61" s="530">
        <f>T44+T55+T50+T60</f>
      </c>
    </row>
    <row r="62">
      <c r="A62" s="463" t="s">
        <v>298</v>
      </c>
      <c r="B62" s="463"/>
      <c r="C62" s="463"/>
      <c r="D62" s="464" t="s">
        <v>299</v>
      </c>
      <c r="E62" s="464"/>
      <c r="F62" s="464"/>
      <c r="G62" s="464"/>
      <c r="H62" s="464"/>
      <c r="I62" s="464"/>
      <c r="J62" s="464"/>
      <c r="K62" s="464"/>
      <c r="L62" s="465" t="s">
        <v>300</v>
      </c>
      <c r="M62" s="465"/>
      <c r="N62" s="465"/>
      <c r="O62" s="465"/>
      <c r="P62" s="465"/>
      <c r="Q62" s="466" t="s">
        <v>301</v>
      </c>
      <c r="R62" s="466"/>
      <c r="S62" s="466"/>
      <c r="T62" s="466"/>
    </row>
    <row r="63">
      <c r="A63" s="467" t="s">
        <v>302</v>
      </c>
      <c r="B63" s="468" t="s">
        <v>303</v>
      </c>
      <c r="C63" s="469" t="s">
        <v>304</v>
      </c>
      <c r="D63" s="470" t="s">
        <v>305</v>
      </c>
      <c r="E63" s="471" t="s">
        <v>306</v>
      </c>
      <c r="F63" s="470" t="s">
        <v>307</v>
      </c>
      <c r="G63" s="472" t="s">
        <v>308</v>
      </c>
      <c r="H63" s="473" t="s">
        <v>309</v>
      </c>
      <c r="I63" s="474" t="s">
        <v>310</v>
      </c>
      <c r="J63" s="475" t="s">
        <v>311</v>
      </c>
      <c r="K63" s="476" t="s">
        <v>312</v>
      </c>
      <c r="L63" s="465" t="s">
        <v>313</v>
      </c>
      <c r="M63" s="465" t="s">
        <v>314</v>
      </c>
      <c r="N63" s="465" t="s">
        <v>315</v>
      </c>
      <c r="O63" s="477" t="s">
        <v>316</v>
      </c>
      <c r="P63" s="478" t="s">
        <v>317</v>
      </c>
      <c r="Q63" s="479" t="s">
        <v>318</v>
      </c>
      <c r="R63" s="479" t="s">
        <v>319</v>
      </c>
      <c r="S63" s="480" t="s">
        <v>320</v>
      </c>
      <c r="T63" s="479" t="s">
        <v>321</v>
      </c>
    </row>
    <row r="64">
      <c r="A64" s="481" t="s">
        <v>355</v>
      </c>
      <c r="B64" s="523" t="s">
        <v>331</v>
      </c>
      <c r="C64" s="483" t="s">
        <v>339</v>
      </c>
      <c r="D64" s="483">
        <f t="shared" ref="D64:D67" si="6">E64+F64</f>
      </c>
      <c r="E64" s="524">
        <v>8547.99</v>
      </c>
      <c r="F64" s="525">
        <v>6937.38</v>
      </c>
      <c r="G64" s="532">
        <v>46</v>
      </c>
      <c r="H64" s="483">
        <v>31726.42</v>
      </c>
      <c r="I64" s="486">
        <f t="shared" ref="I64:I84" si="85">H64/D64</f>
      </c>
      <c r="J64" s="486">
        <f t="shared" ref="J64:J84" si="114">D64/G64</f>
      </c>
      <c r="K64" s="487">
        <f t="shared" ref="K64:K84" si="143">H64/G64</f>
      </c>
      <c r="L64" s="488">
        <f t="shared" ref="L64:L84" si="172">R64/Q64</f>
      </c>
      <c r="M64" s="489">
        <f t="shared" ref="M64:M84" si="202">G64/S64</f>
      </c>
      <c r="N64" s="490">
        <f t="shared" ref="N64:N84" si="232">(T64*1000)/D64</f>
      </c>
      <c r="O64" s="491" t="s">
        <v>325</v>
      </c>
      <c r="P64" s="526" t="s">
        <v>353</v>
      </c>
      <c r="Q64" s="493">
        <v>146378</v>
      </c>
      <c r="R64" s="493">
        <v>21158</v>
      </c>
      <c r="S64" s="527">
        <v>55</v>
      </c>
      <c r="T64" s="527">
        <v>188</v>
      </c>
    </row>
    <row r="65">
      <c r="A65" s="481"/>
      <c r="B65" s="523" t="s">
        <v>331</v>
      </c>
      <c r="C65" s="496" t="s">
        <v>341</v>
      </c>
      <c r="D65" s="497">
        <f t="shared" si="6"/>
      </c>
      <c r="E65" s="528">
        <v>8148.65</v>
      </c>
      <c r="F65" s="528">
        <v>12328.21</v>
      </c>
      <c r="G65" s="529">
        <v>94</v>
      </c>
      <c r="H65" s="525">
        <v>71342.39</v>
      </c>
      <c r="I65" s="486">
        <f t="shared" si="85"/>
      </c>
      <c r="J65" s="486">
        <f t="shared" si="114"/>
      </c>
      <c r="K65" s="487">
        <f t="shared" si="143"/>
      </c>
      <c r="L65" s="488">
        <f t="shared" si="172"/>
      </c>
      <c r="M65" s="489">
        <f t="shared" si="202"/>
      </c>
      <c r="N65" s="490">
        <f t="shared" si="232"/>
      </c>
      <c r="O65" s="491" t="s">
        <v>325</v>
      </c>
      <c r="P65" s="526" t="s">
        <v>353</v>
      </c>
      <c r="Q65" s="494">
        <v>197875</v>
      </c>
      <c r="R65" s="494">
        <v>27437</v>
      </c>
      <c r="S65" s="527">
        <v>118</v>
      </c>
      <c r="T65" s="527">
        <v>364</v>
      </c>
    </row>
    <row r="66">
      <c r="A66" s="481"/>
      <c r="B66" s="523" t="s">
        <v>331</v>
      </c>
      <c r="C66" s="483" t="s">
        <v>342</v>
      </c>
      <c r="D66" s="500">
        <f t="shared" si="6"/>
      </c>
      <c r="E66" s="501">
        <v>15020.2</v>
      </c>
      <c r="F66" s="483">
        <v>11234.07</v>
      </c>
      <c r="G66" s="502">
        <v>93</v>
      </c>
      <c r="H66" s="503">
        <v>54995.72</v>
      </c>
      <c r="I66" s="486">
        <f t="shared" si="85"/>
      </c>
      <c r="J66" s="486">
        <f t="shared" si="114"/>
      </c>
      <c r="K66" s="487">
        <f t="shared" si="143"/>
      </c>
      <c r="L66" s="488">
        <f t="shared" si="172"/>
      </c>
      <c r="M66" s="489">
        <f t="shared" si="202"/>
      </c>
      <c r="N66" s="490">
        <f t="shared" si="232"/>
      </c>
      <c r="O66" s="491" t="s">
        <v>325</v>
      </c>
      <c r="P66" s="526" t="s">
        <v>353</v>
      </c>
      <c r="Q66" s="494">
        <v>263339</v>
      </c>
      <c r="R66" s="494">
        <v>33645</v>
      </c>
      <c r="S66" s="527">
        <v>113</v>
      </c>
      <c r="T66" s="527">
        <v>329</v>
      </c>
    </row>
    <row r="67">
      <c r="A67" s="481"/>
      <c r="B67" s="523" t="s">
        <v>331</v>
      </c>
      <c r="C67" s="483" t="s">
        <v>344</v>
      </c>
      <c r="D67" s="500">
        <f t="shared" si="6"/>
      </c>
      <c r="E67" s="501">
        <v>8842.27</v>
      </c>
      <c r="F67" s="483">
        <v>8152.32</v>
      </c>
      <c r="G67" s="502">
        <v>71</v>
      </c>
      <c r="H67" s="503">
        <v>40840.05000000002</v>
      </c>
      <c r="I67" s="486">
        <f t="shared" si="85"/>
      </c>
      <c r="J67" s="486">
        <f t="shared" si="114"/>
      </c>
      <c r="K67" s="487">
        <f t="shared" si="143"/>
      </c>
      <c r="L67" s="488">
        <f t="shared" si="172"/>
      </c>
      <c r="M67" s="489">
        <f t="shared" si="202"/>
      </c>
      <c r="N67" s="490">
        <f t="shared" si="232"/>
      </c>
      <c r="O67" s="491" t="s">
        <v>325</v>
      </c>
      <c r="P67" s="526" t="s">
        <v>353</v>
      </c>
      <c r="Q67" s="504">
        <v>157915</v>
      </c>
      <c r="R67" s="504">
        <v>19948</v>
      </c>
      <c r="S67" s="505">
        <v>92</v>
      </c>
      <c r="T67" s="505">
        <v>246</v>
      </c>
    </row>
    <row r="68">
      <c r="A68" s="481"/>
      <c r="B68" s="506" t="s">
        <v>330</v>
      </c>
      <c r="C68" s="506"/>
      <c r="D68" s="507">
        <f>SUM(D64:D67)</f>
      </c>
      <c r="E68" s="507">
        <f>SUM(E64:E67)</f>
      </c>
      <c r="F68" s="507">
        <f>SUM(F64:F67)</f>
      </c>
      <c r="G68" s="508">
        <f>SUM(G64:G67)</f>
      </c>
      <c r="H68" s="507">
        <f>SUM(H64:H67)</f>
      </c>
      <c r="I68" s="509">
        <f t="shared" si="85"/>
      </c>
      <c r="J68" s="510">
        <f t="shared" si="114"/>
      </c>
      <c r="K68" s="511">
        <f t="shared" si="143"/>
      </c>
      <c r="L68" s="512">
        <f t="shared" si="172"/>
      </c>
      <c r="M68" s="512">
        <f t="shared" si="202"/>
      </c>
      <c r="N68" s="513">
        <f t="shared" si="232"/>
      </c>
      <c r="O68" s="513"/>
      <c r="P68" s="513"/>
      <c r="Q68" s="508">
        <f>SUM(Q64:Q67)</f>
      </c>
      <c r="R68" s="508">
        <f>SUM(R64:R67)</f>
      </c>
      <c r="S68" s="508">
        <f>SUM(S64:S67)</f>
      </c>
      <c r="T68" s="508">
        <f>SUM(T64:T67)</f>
      </c>
    </row>
    <row r="69">
      <c r="A69" s="481"/>
      <c r="B69" s="523" t="s">
        <v>323</v>
      </c>
      <c r="C69" s="483" t="s">
        <v>345</v>
      </c>
      <c r="D69" s="500">
        <f t="shared" ref="D69:D72" si="7">E69+F69</f>
      </c>
      <c r="E69" s="483">
        <v>5391.36</v>
      </c>
      <c r="F69" s="483">
        <v>5130.09</v>
      </c>
      <c r="G69" s="499">
        <v>40</v>
      </c>
      <c r="H69" s="483">
        <v>32060.600000000006</v>
      </c>
      <c r="I69" s="486">
        <f t="shared" si="85"/>
      </c>
      <c r="J69" s="486">
        <f t="shared" si="114"/>
      </c>
      <c r="K69" s="487">
        <f t="shared" si="143"/>
      </c>
      <c r="L69" s="488">
        <f t="shared" si="172"/>
      </c>
      <c r="M69" s="489">
        <f t="shared" si="202"/>
      </c>
      <c r="N69" s="490">
        <f t="shared" si="232"/>
      </c>
      <c r="O69" s="491" t="s">
        <v>325</v>
      </c>
      <c r="P69" s="492" t="s">
        <v>353</v>
      </c>
      <c r="Q69" s="504">
        <v>100377</v>
      </c>
      <c r="R69" s="504">
        <v>11198</v>
      </c>
      <c r="S69" s="505">
        <v>50</v>
      </c>
      <c r="T69" s="505">
        <v>213</v>
      </c>
    </row>
    <row r="70">
      <c r="A70" s="481"/>
      <c r="B70" s="482" t="s">
        <v>323</v>
      </c>
      <c r="C70" s="525" t="s">
        <v>346</v>
      </c>
      <c r="D70" s="500">
        <f t="shared" si="7"/>
      </c>
      <c r="E70" s="483">
        <v>3674.54</v>
      </c>
      <c r="F70" s="483">
        <v>4934.52</v>
      </c>
      <c r="G70" s="499">
        <v>31</v>
      </c>
      <c r="H70" s="483">
        <v>11644.079999999987</v>
      </c>
      <c r="I70" s="486">
        <f t="shared" si="85"/>
      </c>
      <c r="J70" s="486">
        <f t="shared" si="114"/>
      </c>
      <c r="K70" s="487">
        <f t="shared" si="143"/>
      </c>
      <c r="L70" s="488">
        <f t="shared" si="172"/>
      </c>
      <c r="M70" s="489">
        <f t="shared" si="202"/>
      </c>
      <c r="N70" s="490">
        <f t="shared" si="232"/>
      </c>
      <c r="O70" s="491" t="s">
        <v>325</v>
      </c>
      <c r="P70" s="492" t="s">
        <v>353</v>
      </c>
      <c r="Q70" s="504">
        <v>49131</v>
      </c>
      <c r="R70" s="504">
        <v>10976</v>
      </c>
      <c r="S70" s="505">
        <v>41</v>
      </c>
      <c r="T70" s="505">
        <v>144</v>
      </c>
    </row>
    <row r="71">
      <c r="A71" s="481"/>
      <c r="B71" s="482" t="s">
        <v>323</v>
      </c>
      <c r="C71" s="483" t="s">
        <v>347</v>
      </c>
      <c r="D71" s="500">
        <f t="shared" si="7"/>
      </c>
      <c r="E71" s="501">
        <v>3592.49</v>
      </c>
      <c r="F71" s="483">
        <v>5791.06</v>
      </c>
      <c r="G71" s="502">
        <v>37</v>
      </c>
      <c r="H71" s="503">
        <v>21697.609999999986</v>
      </c>
      <c r="I71" s="486">
        <f t="shared" si="85"/>
      </c>
      <c r="J71" s="486">
        <f t="shared" si="114"/>
      </c>
      <c r="K71" s="487">
        <f t="shared" si="143"/>
      </c>
      <c r="L71" s="488">
        <f t="shared" si="172"/>
      </c>
      <c r="M71" s="489">
        <f t="shared" si="202"/>
      </c>
      <c r="N71" s="490">
        <f t="shared" si="232"/>
      </c>
      <c r="O71" s="491" t="s">
        <v>325</v>
      </c>
      <c r="P71" s="492" t="s">
        <v>353</v>
      </c>
      <c r="Q71" s="504">
        <v>81079</v>
      </c>
      <c r="R71" s="504">
        <v>10806</v>
      </c>
      <c r="S71" s="505">
        <v>41</v>
      </c>
      <c r="T71" s="505">
        <v>137</v>
      </c>
    </row>
    <row r="72">
      <c r="A72" s="481"/>
      <c r="B72" s="482" t="s">
        <v>323</v>
      </c>
      <c r="C72" s="483" t="s">
        <v>348</v>
      </c>
      <c r="D72" s="500">
        <f t="shared" si="7"/>
      </c>
      <c r="E72" s="501">
        <v>3493.81</v>
      </c>
      <c r="F72" s="483">
        <v>4515.48</v>
      </c>
      <c r="G72" s="502">
        <v>23</v>
      </c>
      <c r="H72" s="503">
        <v>12648.119999999995</v>
      </c>
      <c r="I72" s="486">
        <f t="shared" si="85"/>
      </c>
      <c r="J72" s="486">
        <f t="shared" si="114"/>
      </c>
      <c r="K72" s="487">
        <f t="shared" si="143"/>
      </c>
      <c r="L72" s="488">
        <f t="shared" si="172"/>
      </c>
      <c r="M72" s="489">
        <f t="shared" si="202"/>
      </c>
      <c r="N72" s="490">
        <f t="shared" si="232"/>
      </c>
      <c r="O72" s="491" t="s">
        <v>325</v>
      </c>
      <c r="P72" s="492" t="s">
        <v>353</v>
      </c>
      <c r="Q72" s="504">
        <v>61323</v>
      </c>
      <c r="R72" s="504">
        <v>8834</v>
      </c>
      <c r="S72" s="505">
        <v>27</v>
      </c>
      <c r="T72" s="505">
        <v>137</v>
      </c>
    </row>
    <row r="73">
      <c r="A73" s="481"/>
      <c r="B73" s="514" t="s">
        <v>330</v>
      </c>
      <c r="C73" s="514"/>
      <c r="D73" s="507">
        <f>SUM(D69:D72)</f>
      </c>
      <c r="E73" s="507">
        <f>SUM(E69:E72)</f>
      </c>
      <c r="F73" s="507">
        <f>SUM(F69:F72)</f>
      </c>
      <c r="G73" s="508">
        <f>SUM(G69:G72)</f>
      </c>
      <c r="H73" s="507">
        <f>SUM(H69:H72)</f>
      </c>
      <c r="I73" s="515">
        <f t="shared" si="85"/>
      </c>
      <c r="J73" s="510">
        <f t="shared" si="114"/>
      </c>
      <c r="K73" s="511">
        <f t="shared" si="143"/>
      </c>
      <c r="L73" s="512">
        <f t="shared" si="172"/>
      </c>
      <c r="M73" s="512">
        <f t="shared" si="202"/>
      </c>
      <c r="N73" s="513">
        <f t="shared" si="232"/>
      </c>
      <c r="O73" s="513"/>
      <c r="P73" s="513"/>
      <c r="Q73" s="508">
        <f>SUM(Q69:Q72)</f>
      </c>
      <c r="R73" s="508">
        <f>SUM(R69:R72)</f>
      </c>
      <c r="S73" s="508">
        <f>SUM(S69:S72)</f>
      </c>
      <c r="T73" s="508">
        <f>SUM(T69:T72)</f>
      </c>
    </row>
    <row r="74">
      <c r="A74" s="481"/>
      <c r="B74" s="523" t="s">
        <v>354</v>
      </c>
      <c r="C74" s="483" t="s">
        <v>349</v>
      </c>
      <c r="D74" s="500">
        <f t="shared" ref="D74:D77" si="8">E74+F74</f>
      </c>
      <c r="E74" s="483">
        <v>2842.54</v>
      </c>
      <c r="F74" s="483">
        <v>1941.57</v>
      </c>
      <c r="G74" s="499">
        <v>14</v>
      </c>
      <c r="H74" s="483">
        <v>6703.200000000012</v>
      </c>
      <c r="I74" s="486">
        <f t="shared" si="85"/>
      </c>
      <c r="J74" s="486">
        <f t="shared" si="114"/>
      </c>
      <c r="K74" s="487">
        <f t="shared" si="143"/>
      </c>
      <c r="L74" s="488">
        <f t="shared" si="172"/>
      </c>
      <c r="M74" s="489">
        <f t="shared" si="202"/>
      </c>
      <c r="N74" s="490">
        <f t="shared" si="232"/>
      </c>
      <c r="O74" s="491" t="s">
        <v>325</v>
      </c>
      <c r="P74" s="526" t="s">
        <v>353</v>
      </c>
      <c r="Q74" s="504">
        <v>39052</v>
      </c>
      <c r="R74" s="504">
        <v>5361</v>
      </c>
      <c r="S74" s="505">
        <v>17</v>
      </c>
      <c r="T74" s="505">
        <v>62</v>
      </c>
    </row>
    <row r="75">
      <c r="A75" s="481"/>
      <c r="B75" s="482" t="s">
        <v>354</v>
      </c>
      <c r="C75" s="483" t="s">
        <v>350</v>
      </c>
      <c r="D75" s="500">
        <f t="shared" si="8"/>
      </c>
      <c r="E75" s="483">
        <v>1774.63</v>
      </c>
      <c r="F75" s="483">
        <v>2414.36</v>
      </c>
      <c r="G75" s="499">
        <v>18</v>
      </c>
      <c r="H75" s="483">
        <v>10003.089999999967</v>
      </c>
      <c r="I75" s="486">
        <f t="shared" si="85"/>
      </c>
      <c r="J75" s="486">
        <f t="shared" si="114"/>
      </c>
      <c r="K75" s="487">
        <f t="shared" si="143"/>
      </c>
      <c r="L75" s="488">
        <f t="shared" si="172"/>
      </c>
      <c r="M75" s="489">
        <f t="shared" si="202"/>
      </c>
      <c r="N75" s="490">
        <f t="shared" si="232"/>
      </c>
      <c r="O75" s="491" t="s">
        <v>325</v>
      </c>
      <c r="P75" s="526" t="s">
        <v>353</v>
      </c>
      <c r="Q75" s="504">
        <v>32888</v>
      </c>
      <c r="R75" s="504">
        <v>4490</v>
      </c>
      <c r="S75" s="505">
        <v>25</v>
      </c>
      <c r="T75" s="505">
        <v>75</v>
      </c>
    </row>
    <row r="76">
      <c r="A76" s="481"/>
      <c r="B76" s="482" t="s">
        <v>354</v>
      </c>
      <c r="C76" s="483" t="s">
        <v>324</v>
      </c>
      <c r="D76" s="500">
        <f t="shared" si="8"/>
      </c>
      <c r="E76" s="483">
        <v>1496.97</v>
      </c>
      <c r="F76" s="483">
        <v>3641.65</v>
      </c>
      <c r="G76" s="499">
        <v>23</v>
      </c>
      <c r="H76" s="483">
        <v>13264.100000000035</v>
      </c>
      <c r="I76" s="486">
        <f t="shared" si="85"/>
      </c>
      <c r="J76" s="486">
        <f t="shared" si="114"/>
      </c>
      <c r="K76" s="487">
        <f t="shared" si="143"/>
      </c>
      <c r="L76" s="488">
        <f t="shared" si="172"/>
      </c>
      <c r="M76" s="489">
        <f t="shared" si="202"/>
      </c>
      <c r="N76" s="490">
        <f t="shared" si="232"/>
      </c>
      <c r="O76" s="491" t="s">
        <v>325</v>
      </c>
      <c r="P76" s="526" t="s">
        <v>326</v>
      </c>
      <c r="Q76" s="504">
        <v>39185</v>
      </c>
      <c r="R76" s="504">
        <v>5799</v>
      </c>
      <c r="S76" s="505">
        <v>32</v>
      </c>
      <c r="T76" s="505">
        <v>85</v>
      </c>
    </row>
    <row r="77">
      <c r="A77" s="481"/>
      <c r="B77" s="482" t="s">
        <v>354</v>
      </c>
      <c r="C77" s="483" t="s">
        <v>327</v>
      </c>
      <c r="D77" s="500">
        <f t="shared" si="8"/>
      </c>
      <c r="E77" s="483">
        <v>4275.72</v>
      </c>
      <c r="F77" s="525">
        <v>2648.26</v>
      </c>
      <c r="G77" s="529">
        <v>36</v>
      </c>
      <c r="H77" s="483">
        <v>22226.309999999998</v>
      </c>
      <c r="I77" s="486">
        <f t="shared" si="85"/>
      </c>
      <c r="J77" s="486">
        <f t="shared" si="114"/>
      </c>
      <c r="K77" s="487">
        <f t="shared" si="143"/>
      </c>
      <c r="L77" s="488">
        <f t="shared" si="172"/>
      </c>
      <c r="M77" s="489">
        <f t="shared" si="202"/>
      </c>
      <c r="N77" s="490">
        <f t="shared" si="232"/>
      </c>
      <c r="O77" s="491" t="s">
        <v>325</v>
      </c>
      <c r="P77" s="526" t="s">
        <v>326</v>
      </c>
      <c r="Q77" s="504">
        <v>58251</v>
      </c>
      <c r="R77" s="504">
        <v>8651</v>
      </c>
      <c r="S77" s="505">
        <v>45</v>
      </c>
      <c r="T77" s="505">
        <v>116</v>
      </c>
    </row>
    <row r="78">
      <c r="A78" s="481"/>
      <c r="B78" s="514" t="s">
        <v>330</v>
      </c>
      <c r="C78" s="514"/>
      <c r="D78" s="507">
        <f>SUM(D74:D77)</f>
      </c>
      <c r="E78" s="507">
        <f>SUM(E74:E77)</f>
      </c>
      <c r="F78" s="507">
        <f>SUM(F74:F77)</f>
      </c>
      <c r="G78" s="508">
        <f>SUM(G74:G77)</f>
      </c>
      <c r="H78" s="507">
        <f>SUM(H74:H77)</f>
      </c>
      <c r="I78" s="515">
        <f t="shared" si="85"/>
      </c>
      <c r="J78" s="510">
        <f t="shared" si="114"/>
      </c>
      <c r="K78" s="511">
        <f t="shared" si="143"/>
      </c>
      <c r="L78" s="512">
        <f t="shared" si="172"/>
      </c>
      <c r="M78" s="512">
        <f t="shared" si="202"/>
      </c>
      <c r="N78" s="513">
        <f t="shared" si="232"/>
      </c>
      <c r="O78" s="513"/>
      <c r="P78" s="513"/>
      <c r="Q78" s="508">
        <f>SUM(Q74:Q77)</f>
      </c>
      <c r="R78" s="508">
        <f>SUM(R74:R77)</f>
      </c>
      <c r="S78" s="508">
        <f>SUM(S74:S77)</f>
      </c>
      <c r="T78" s="508">
        <f>SUM(T74:T77)</f>
      </c>
    </row>
    <row r="79">
      <c r="A79" s="481"/>
      <c r="B79" s="523" t="s">
        <v>338</v>
      </c>
      <c r="C79" s="483" t="s">
        <v>328</v>
      </c>
      <c r="D79" s="500">
        <f t="shared" ref="D79:D82" si="9">E79+F79</f>
      </c>
      <c r="E79" s="483">
        <v>6540.14</v>
      </c>
      <c r="F79" s="483">
        <v>2680.66</v>
      </c>
      <c r="G79" s="499">
        <v>31</v>
      </c>
      <c r="H79" s="483">
        <v>17372.160000000033</v>
      </c>
      <c r="I79" s="486">
        <f t="shared" si="85"/>
      </c>
      <c r="J79" s="486">
        <f t="shared" si="114"/>
      </c>
      <c r="K79" s="487">
        <f t="shared" si="143"/>
      </c>
      <c r="L79" s="488">
        <f t="shared" si="172"/>
      </c>
      <c r="M79" s="489">
        <f t="shared" si="202"/>
      </c>
      <c r="N79" s="490">
        <f t="shared" si="232"/>
      </c>
      <c r="O79" s="491" t="s">
        <v>325</v>
      </c>
      <c r="P79" s="492" t="s">
        <v>326</v>
      </c>
      <c r="Q79" s="504">
        <v>81768</v>
      </c>
      <c r="R79" s="504">
        <v>11702</v>
      </c>
      <c r="S79" s="505">
        <v>45</v>
      </c>
      <c r="T79" s="505">
        <v>167</v>
      </c>
    </row>
    <row r="80">
      <c r="A80" s="481"/>
      <c r="B80" s="523" t="s">
        <v>338</v>
      </c>
      <c r="C80" s="483" t="s">
        <v>329</v>
      </c>
      <c r="D80" s="500">
        <f t="shared" si="9"/>
      </c>
      <c r="E80" s="483">
        <v>4791.72</v>
      </c>
      <c r="F80" s="483">
        <v>3539.04</v>
      </c>
      <c r="G80" s="499">
        <v>20</v>
      </c>
      <c r="H80" s="483">
        <v>7936.219999999972</v>
      </c>
      <c r="I80" s="486">
        <f t="shared" si="85"/>
      </c>
      <c r="J80" s="486">
        <f t="shared" si="114"/>
      </c>
      <c r="K80" s="487">
        <f t="shared" si="143"/>
      </c>
      <c r="L80" s="488">
        <f t="shared" si="172"/>
      </c>
      <c r="M80" s="489">
        <f t="shared" si="202"/>
      </c>
      <c r="N80" s="490">
        <f t="shared" si="232"/>
      </c>
      <c r="O80" s="491" t="s">
        <v>325</v>
      </c>
      <c r="P80" s="492" t="s">
        <v>326</v>
      </c>
      <c r="Q80" s="504">
        <v>75717</v>
      </c>
      <c r="R80" s="504">
        <v>11248</v>
      </c>
      <c r="S80" s="505">
        <v>27</v>
      </c>
      <c r="T80" s="505">
        <v>123</v>
      </c>
    </row>
    <row r="81">
      <c r="A81" s="481"/>
      <c r="B81" s="523" t="s">
        <v>338</v>
      </c>
      <c r="C81" s="525" t="s">
        <v>332</v>
      </c>
      <c r="D81" s="500">
        <f t="shared" si="9"/>
      </c>
      <c r="E81" s="483">
        <v>4076.94</v>
      </c>
      <c r="F81" s="483">
        <v>3820.76</v>
      </c>
      <c r="G81" s="499">
        <v>22</v>
      </c>
      <c r="H81" s="483">
        <v>13353.859999999986</v>
      </c>
      <c r="I81" s="486">
        <f t="shared" si="85"/>
      </c>
      <c r="J81" s="486">
        <f t="shared" si="114"/>
      </c>
      <c r="K81" s="487">
        <f t="shared" si="143"/>
      </c>
      <c r="L81" s="488">
        <f t="shared" si="172"/>
      </c>
      <c r="M81" s="489">
        <f t="shared" si="202"/>
      </c>
      <c r="N81" s="490">
        <f t="shared" si="232"/>
      </c>
      <c r="O81" s="491" t="s">
        <v>325</v>
      </c>
      <c r="P81" s="492" t="s">
        <v>326</v>
      </c>
      <c r="Q81" s="504">
        <v>69907</v>
      </c>
      <c r="R81" s="504">
        <v>10621</v>
      </c>
      <c r="S81" s="505">
        <v>28</v>
      </c>
      <c r="T81" s="505">
        <v>111</v>
      </c>
    </row>
    <row r="82">
      <c r="A82" s="481"/>
      <c r="B82" s="523" t="s">
        <v>338</v>
      </c>
      <c r="C82" s="525" t="s">
        <v>333</v>
      </c>
      <c r="D82" s="500">
        <f t="shared" si="9"/>
      </c>
      <c r="E82" s="525">
        <f>2371.87+0.15</f>
      </c>
      <c r="F82" s="525">
        <f>1686.48+0.42+0.03</f>
      </c>
      <c r="G82" s="499">
        <v>11</v>
      </c>
      <c r="H82" s="483">
        <v>5321.340000000026</v>
      </c>
      <c r="I82" s="486">
        <f t="shared" si="85"/>
      </c>
      <c r="J82" s="486">
        <f t="shared" si="114"/>
      </c>
      <c r="K82" s="487">
        <f t="shared" si="143"/>
      </c>
      <c r="L82" s="488">
        <f t="shared" si="172"/>
      </c>
      <c r="M82" s="489">
        <f t="shared" si="202"/>
      </c>
      <c r="N82" s="490">
        <f t="shared" si="232"/>
      </c>
      <c r="O82" s="491" t="s">
        <v>325</v>
      </c>
      <c r="P82" s="492" t="s">
        <v>326</v>
      </c>
      <c r="Q82" s="504">
        <v>35892</v>
      </c>
      <c r="R82" s="504">
        <v>5458</v>
      </c>
      <c r="S82" s="505">
        <v>15</v>
      </c>
      <c r="T82" s="505">
        <v>55</v>
      </c>
    </row>
    <row r="83">
      <c r="A83" s="481"/>
      <c r="B83" s="514" t="s">
        <v>330</v>
      </c>
      <c r="C83" s="514"/>
      <c r="D83" s="507">
        <f>SUM(D79:D82)</f>
      </c>
      <c r="E83" s="507">
        <f>SUM(E79:E82)</f>
      </c>
      <c r="F83" s="507">
        <f>SUM(F79:F82)</f>
      </c>
      <c r="G83" s="508">
        <f>SUM(G79:G82)</f>
      </c>
      <c r="H83" s="507">
        <f>SUM(H79:H82)</f>
      </c>
      <c r="I83" s="515">
        <f t="shared" si="85"/>
      </c>
      <c r="J83" s="510">
        <f t="shared" si="114"/>
      </c>
      <c r="K83" s="511">
        <f t="shared" si="143"/>
      </c>
      <c r="L83" s="512">
        <f t="shared" si="172"/>
      </c>
      <c r="M83" s="512">
        <f t="shared" si="202"/>
      </c>
      <c r="N83" s="513">
        <f t="shared" si="232"/>
      </c>
      <c r="O83" s="513"/>
      <c r="P83" s="513"/>
      <c r="Q83" s="508">
        <f>SUM(Q79:Q82)</f>
      </c>
      <c r="R83" s="508">
        <f>SUM(R79:R82)</f>
      </c>
      <c r="S83" s="508">
        <f>SUM(S79:S82)</f>
      </c>
      <c r="T83" s="508">
        <f>SUM(T79:T82)</f>
      </c>
    </row>
    <row r="84">
      <c r="A84" s="481"/>
      <c r="B84" s="516" t="s">
        <v>336</v>
      </c>
      <c r="C84" s="516"/>
      <c r="D84" s="517">
        <f>D68+D78+D73+D83</f>
      </c>
      <c r="E84" s="517">
        <f>E68+E78+E73+E83</f>
      </c>
      <c r="F84" s="517">
        <f>F68+F78+F73+F83</f>
      </c>
      <c r="G84" s="530">
        <f>G68+G78+G73+G83</f>
      </c>
      <c r="H84" s="517">
        <f>H68+H78+H73+H83</f>
      </c>
      <c r="I84" s="519">
        <f t="shared" si="85"/>
      </c>
      <c r="J84" s="519">
        <f t="shared" si="114"/>
      </c>
      <c r="K84" s="520">
        <f t="shared" si="143"/>
      </c>
      <c r="L84" s="521">
        <f t="shared" si="172"/>
      </c>
      <c r="M84" s="521">
        <f t="shared" si="202"/>
      </c>
      <c r="N84" s="519">
        <f t="shared" si="232"/>
      </c>
      <c r="O84" s="522"/>
      <c r="P84" s="522"/>
      <c r="Q84" s="530">
        <f>Q68+Q78+Q73+Q83</f>
      </c>
      <c r="R84" s="530">
        <f>R68+R78+R73+R83</f>
      </c>
      <c r="S84" s="530">
        <f>S68+S78+S73+S83</f>
      </c>
      <c r="T84" s="530">
        <f>T68+T78+T73+T83</f>
      </c>
    </row>
    <row r="85">
      <c r="A85" s="463" t="s">
        <v>298</v>
      </c>
      <c r="B85" s="463"/>
      <c r="C85" s="463"/>
      <c r="D85" s="464" t="s">
        <v>299</v>
      </c>
      <c r="E85" s="464"/>
      <c r="F85" s="464"/>
      <c r="G85" s="464"/>
      <c r="H85" s="464"/>
      <c r="I85" s="464"/>
      <c r="J85" s="464"/>
      <c r="K85" s="464"/>
      <c r="L85" s="465" t="s">
        <v>300</v>
      </c>
      <c r="M85" s="465"/>
      <c r="N85" s="465"/>
      <c r="O85" s="465"/>
      <c r="P85" s="465"/>
      <c r="Q85" s="466" t="s">
        <v>301</v>
      </c>
      <c r="R85" s="466"/>
      <c r="S85" s="466"/>
      <c r="T85" s="466"/>
    </row>
    <row r="86">
      <c r="A86" s="467" t="s">
        <v>302</v>
      </c>
      <c r="B86" s="468" t="s">
        <v>303</v>
      </c>
      <c r="C86" s="469" t="s">
        <v>304</v>
      </c>
      <c r="D86" s="470" t="s">
        <v>305</v>
      </c>
      <c r="E86" s="471" t="s">
        <v>306</v>
      </c>
      <c r="F86" s="470" t="s">
        <v>307</v>
      </c>
      <c r="G86" s="472" t="s">
        <v>308</v>
      </c>
      <c r="H86" s="473" t="s">
        <v>309</v>
      </c>
      <c r="I86" s="474" t="s">
        <v>310</v>
      </c>
      <c r="J86" s="475" t="s">
        <v>311</v>
      </c>
      <c r="K86" s="476" t="s">
        <v>312</v>
      </c>
      <c r="L86" s="465" t="s">
        <v>313</v>
      </c>
      <c r="M86" s="465" t="s">
        <v>314</v>
      </c>
      <c r="N86" s="465" t="s">
        <v>315</v>
      </c>
      <c r="O86" s="477" t="s">
        <v>316</v>
      </c>
      <c r="P86" s="478" t="s">
        <v>317</v>
      </c>
      <c r="Q86" s="479" t="s">
        <v>318</v>
      </c>
      <c r="R86" s="479" t="s">
        <v>319</v>
      </c>
      <c r="S86" s="480" t="s">
        <v>320</v>
      </c>
      <c r="T86" s="479" t="s">
        <v>321</v>
      </c>
    </row>
    <row r="87">
      <c r="A87" s="481" t="s">
        <v>356</v>
      </c>
      <c r="B87" s="523" t="s">
        <v>331</v>
      </c>
      <c r="C87" s="483" t="s">
        <v>339</v>
      </c>
      <c r="D87" s="483">
        <f t="shared" ref="D87:D91" si="10">E87+F87</f>
      </c>
      <c r="E87" s="524">
        <v>2612.84</v>
      </c>
      <c r="F87" s="525">
        <v>2228.24</v>
      </c>
      <c r="G87" s="532">
        <v>23</v>
      </c>
      <c r="H87" s="483">
        <v>16575.8</v>
      </c>
      <c r="I87" s="486">
        <f t="shared" ref="I87:I106" si="86">H87/D87</f>
      </c>
      <c r="J87" s="486">
        <f t="shared" ref="J87:J106" si="115">D87/G87</f>
      </c>
      <c r="K87" s="487">
        <f t="shared" ref="K87:K106" si="144">H87/G87</f>
      </c>
      <c r="L87" s="488">
        <f t="shared" ref="L87:L106" si="173">R87/Q87</f>
      </c>
      <c r="M87" s="489">
        <f t="shared" ref="M87:M106" si="203">G87/S87</f>
      </c>
      <c r="N87" s="490">
        <f t="shared" ref="N87:N106" si="233">(T87*1000)/D87</f>
      </c>
      <c r="O87" s="491" t="s">
        <v>325</v>
      </c>
      <c r="P87" s="526" t="s">
        <v>353</v>
      </c>
      <c r="Q87" s="493">
        <v>43792</v>
      </c>
      <c r="R87" s="493">
        <v>6893</v>
      </c>
      <c r="S87" s="527">
        <v>28</v>
      </c>
      <c r="T87" s="527">
        <v>92</v>
      </c>
    </row>
    <row r="88">
      <c r="A88" s="481"/>
      <c r="B88" s="523" t="s">
        <v>331</v>
      </c>
      <c r="C88" s="496" t="s">
        <v>341</v>
      </c>
      <c r="D88" s="497">
        <f t="shared" si="10"/>
      </c>
      <c r="E88" s="528">
        <v>8093.45</v>
      </c>
      <c r="F88" s="528">
        <v>3973.75</v>
      </c>
      <c r="G88" s="529">
        <v>31</v>
      </c>
      <c r="H88" s="525">
        <v>24030.780000000002</v>
      </c>
      <c r="I88" s="486">
        <f t="shared" si="86"/>
      </c>
      <c r="J88" s="486">
        <f t="shared" si="115"/>
      </c>
      <c r="K88" s="487">
        <f t="shared" si="144"/>
      </c>
      <c r="L88" s="488">
        <f t="shared" si="173"/>
      </c>
      <c r="M88" s="489">
        <f t="shared" si="203"/>
      </c>
      <c r="N88" s="490">
        <f t="shared" si="233"/>
      </c>
      <c r="O88" s="491" t="s">
        <v>325</v>
      </c>
      <c r="P88" s="526" t="s">
        <v>353</v>
      </c>
      <c r="Q88" s="494">
        <v>111223</v>
      </c>
      <c r="R88" s="494">
        <v>16870</v>
      </c>
      <c r="S88" s="527">
        <v>44</v>
      </c>
      <c r="T88" s="527">
        <v>185</v>
      </c>
    </row>
    <row r="89">
      <c r="A89" s="481"/>
      <c r="B89" s="523" t="s">
        <v>331</v>
      </c>
      <c r="C89" s="483" t="s">
        <v>342</v>
      </c>
      <c r="D89" s="500">
        <f t="shared" si="10"/>
      </c>
      <c r="E89" s="501">
        <v>4528</v>
      </c>
      <c r="F89" s="483">
        <v>2685.53</v>
      </c>
      <c r="G89" s="502">
        <v>22</v>
      </c>
      <c r="H89" s="503">
        <v>13662.129999999997</v>
      </c>
      <c r="I89" s="486">
        <f t="shared" si="86"/>
      </c>
      <c r="J89" s="486">
        <f t="shared" si="115"/>
      </c>
      <c r="K89" s="487">
        <f t="shared" si="144"/>
      </c>
      <c r="L89" s="488">
        <f t="shared" si="173"/>
      </c>
      <c r="M89" s="489">
        <f t="shared" si="203"/>
      </c>
      <c r="N89" s="490">
        <f t="shared" si="233"/>
      </c>
      <c r="O89" s="491" t="s">
        <v>325</v>
      </c>
      <c r="P89" s="526" t="s">
        <v>353</v>
      </c>
      <c r="Q89" s="494">
        <v>61488</v>
      </c>
      <c r="R89" s="494">
        <v>9003</v>
      </c>
      <c r="S89" s="527">
        <v>28</v>
      </c>
      <c r="T89" s="527">
        <v>111</v>
      </c>
    </row>
    <row r="90">
      <c r="A90" s="481"/>
      <c r="B90" s="523" t="s">
        <v>331</v>
      </c>
      <c r="C90" s="483" t="s">
        <v>344</v>
      </c>
      <c r="D90" s="500">
        <f t="shared" si="10"/>
      </c>
      <c r="E90" s="501">
        <v>3793.01</v>
      </c>
      <c r="F90" s="483">
        <v>1723.39</v>
      </c>
      <c r="G90" s="502">
        <v>16</v>
      </c>
      <c r="H90" s="503">
        <v>8875.720000000001</v>
      </c>
      <c r="I90" s="486">
        <f t="shared" si="86"/>
      </c>
      <c r="J90" s="486">
        <f t="shared" si="115"/>
      </c>
      <c r="K90" s="487">
        <f t="shared" si="144"/>
      </c>
      <c r="L90" s="488">
        <f t="shared" si="173"/>
      </c>
      <c r="M90" s="489">
        <f t="shared" si="203"/>
      </c>
      <c r="N90" s="490">
        <f t="shared" si="233"/>
      </c>
      <c r="O90" s="491" t="s">
        <v>325</v>
      </c>
      <c r="P90" s="526" t="s">
        <v>353</v>
      </c>
      <c r="Q90" s="504">
        <v>46768</v>
      </c>
      <c r="R90" s="504">
        <v>6481</v>
      </c>
      <c r="S90" s="505">
        <v>21</v>
      </c>
      <c r="T90" s="505">
        <v>87</v>
      </c>
    </row>
    <row customHeight="true" ht="16.666666666666668" r="91">
      <c r="A91" s="481"/>
      <c r="B91" s="523" t="s">
        <v>331</v>
      </c>
      <c r="C91" s="483" t="s">
        <v>345</v>
      </c>
      <c r="D91" s="500">
        <f t="shared" si="10"/>
      </c>
      <c r="E91" s="501">
        <v>2714.97</v>
      </c>
      <c r="F91" s="483">
        <v>1223.46</v>
      </c>
      <c r="G91" s="502">
        <v>12</v>
      </c>
      <c r="H91" s="503">
        <v>7085.459999999999</v>
      </c>
      <c r="I91" s="486">
        <f t="shared" si="86"/>
      </c>
      <c r="J91" s="486">
        <f t="shared" si="115"/>
      </c>
      <c r="K91" s="487">
        <f t="shared" si="144"/>
      </c>
      <c r="L91" s="488">
        <f t="shared" si="173"/>
      </c>
      <c r="M91" s="489">
        <f t="shared" si="203"/>
      </c>
      <c r="N91" s="490">
        <f t="shared" si="233"/>
      </c>
      <c r="O91" s="491" t="s">
        <v>325</v>
      </c>
      <c r="P91" s="526" t="s">
        <v>353</v>
      </c>
      <c r="Q91" s="504">
        <v>31936</v>
      </c>
      <c r="R91" s="504">
        <v>4178</v>
      </c>
      <c r="S91" s="505">
        <v>14</v>
      </c>
      <c r="T91" s="505">
        <v>72</v>
      </c>
    </row>
    <row r="92">
      <c r="A92" s="481"/>
      <c r="B92" s="506" t="s">
        <v>330</v>
      </c>
      <c r="C92" s="506"/>
      <c r="D92" s="507">
        <f>SUM(D87:D91)</f>
      </c>
      <c r="E92" s="507">
        <f>SUM(E87:E91)</f>
      </c>
      <c r="F92" s="507">
        <f>SUM(F87:F91)</f>
      </c>
      <c r="G92" s="507">
        <f>SUM(G87:G91)</f>
      </c>
      <c r="H92" s="507">
        <f>SUM(H87:H91)</f>
      </c>
      <c r="I92" s="509">
        <f t="shared" si="86"/>
      </c>
      <c r="J92" s="510">
        <f t="shared" si="115"/>
      </c>
      <c r="K92" s="511">
        <f t="shared" si="144"/>
      </c>
      <c r="L92" s="512">
        <f t="shared" si="173"/>
      </c>
      <c r="M92" s="512">
        <f t="shared" si="203"/>
      </c>
      <c r="N92" s="513">
        <f t="shared" si="233"/>
      </c>
      <c r="O92" s="513"/>
      <c r="P92" s="513"/>
      <c r="Q92" s="508">
        <f>SUM(Q87:Q91)</f>
      </c>
      <c r="R92" s="508">
        <f>SUM(R87:R91)</f>
      </c>
      <c r="S92" s="508">
        <f>SUM(S87:S91)</f>
      </c>
      <c r="T92" s="508">
        <f>SUM(T87:T91)</f>
      </c>
    </row>
    <row r="93">
      <c r="A93" s="481"/>
      <c r="B93" s="523" t="s">
        <v>323</v>
      </c>
      <c r="C93" s="483" t="s">
        <v>346</v>
      </c>
      <c r="D93" s="500">
        <f t="shared" ref="D93:D96" si="11">E93+F93</f>
      </c>
      <c r="E93" s="483">
        <v>1842.71</v>
      </c>
      <c r="F93" s="483">
        <v>1113.97</v>
      </c>
      <c r="G93" s="499">
        <v>7</v>
      </c>
      <c r="H93" s="483">
        <v>4666.080000000002</v>
      </c>
      <c r="I93" s="486">
        <f t="shared" si="86"/>
      </c>
      <c r="J93" s="486">
        <f t="shared" si="115"/>
      </c>
      <c r="K93" s="487">
        <f t="shared" si="144"/>
      </c>
      <c r="L93" s="488">
        <f t="shared" si="173"/>
      </c>
      <c r="M93" s="489">
        <f t="shared" si="203"/>
      </c>
      <c r="N93" s="490">
        <f t="shared" si="233"/>
      </c>
      <c r="O93" s="491" t="s">
        <v>325</v>
      </c>
      <c r="P93" s="492" t="s">
        <v>353</v>
      </c>
      <c r="Q93" s="504">
        <v>24134</v>
      </c>
      <c r="R93" s="504">
        <v>3423</v>
      </c>
      <c r="S93" s="505">
        <v>9</v>
      </c>
      <c r="T93" s="505">
        <v>46</v>
      </c>
    </row>
    <row r="94">
      <c r="A94" s="481"/>
      <c r="B94" s="482" t="s">
        <v>323</v>
      </c>
      <c r="C94" s="525" t="s">
        <v>347</v>
      </c>
      <c r="D94" s="500">
        <f t="shared" si="11"/>
      </c>
      <c r="E94" s="483">
        <v>1724.69</v>
      </c>
      <c r="F94" s="483">
        <v>1054.58</v>
      </c>
      <c r="G94" s="499">
        <v>6</v>
      </c>
      <c r="H94" s="483">
        <v>2673.7400000000052</v>
      </c>
      <c r="I94" s="486">
        <f t="shared" si="86"/>
      </c>
      <c r="J94" s="486">
        <f t="shared" si="115"/>
      </c>
      <c r="K94" s="487">
        <f t="shared" si="144"/>
      </c>
      <c r="L94" s="488">
        <f t="shared" si="173"/>
      </c>
      <c r="M94" s="489">
        <f t="shared" si="203"/>
      </c>
      <c r="N94" s="490">
        <f t="shared" si="233"/>
      </c>
      <c r="O94" s="491" t="s">
        <v>325</v>
      </c>
      <c r="P94" s="492" t="s">
        <v>353</v>
      </c>
      <c r="Q94" s="504">
        <v>22960</v>
      </c>
      <c r="R94" s="504">
        <v>3036</v>
      </c>
      <c r="S94" s="505">
        <v>7</v>
      </c>
      <c r="T94" s="505">
        <v>54</v>
      </c>
    </row>
    <row r="95">
      <c r="A95" s="481"/>
      <c r="B95" s="482" t="s">
        <v>323</v>
      </c>
      <c r="C95" s="483" t="s">
        <v>348</v>
      </c>
      <c r="D95" s="500">
        <f t="shared" si="11"/>
      </c>
      <c r="E95" s="501">
        <v>1250.87</v>
      </c>
      <c r="F95" s="483">
        <v>1517.68</v>
      </c>
      <c r="G95" s="502">
        <v>6</v>
      </c>
      <c r="H95" s="503">
        <v>4982.87999999999</v>
      </c>
      <c r="I95" s="486">
        <f t="shared" si="86"/>
      </c>
      <c r="J95" s="486">
        <f t="shared" si="115"/>
      </c>
      <c r="K95" s="487">
        <f t="shared" si="144"/>
      </c>
      <c r="L95" s="488">
        <f t="shared" si="173"/>
      </c>
      <c r="M95" s="489">
        <f t="shared" si="203"/>
      </c>
      <c r="N95" s="490">
        <f t="shared" si="233"/>
      </c>
      <c r="O95" s="491" t="s">
        <v>325</v>
      </c>
      <c r="P95" s="492" t="s">
        <v>353</v>
      </c>
      <c r="Q95" s="504">
        <v>29123</v>
      </c>
      <c r="R95" s="504">
        <v>3321</v>
      </c>
      <c r="S95" s="505">
        <v>8</v>
      </c>
      <c r="T95" s="505">
        <v>48</v>
      </c>
    </row>
    <row r="96">
      <c r="A96" s="481"/>
      <c r="B96" s="482" t="s">
        <v>323</v>
      </c>
      <c r="C96" s="483" t="s">
        <v>349</v>
      </c>
      <c r="D96" s="500">
        <f t="shared" si="11"/>
      </c>
      <c r="E96" s="501">
        <v>900.98</v>
      </c>
      <c r="F96" s="483">
        <v>940.69</v>
      </c>
      <c r="G96" s="502">
        <v>2</v>
      </c>
      <c r="H96" s="503">
        <v>2180.1600000000035</v>
      </c>
      <c r="I96" s="486">
        <f t="shared" si="86"/>
      </c>
      <c r="J96" s="486">
        <f t="shared" si="115"/>
      </c>
      <c r="K96" s="487">
        <f t="shared" si="144"/>
      </c>
      <c r="L96" s="488">
        <f t="shared" si="173"/>
      </c>
      <c r="M96" s="489">
        <f t="shared" si="203"/>
      </c>
      <c r="N96" s="490">
        <f t="shared" si="233"/>
      </c>
      <c r="O96" s="491" t="s">
        <v>325</v>
      </c>
      <c r="P96" s="492" t="s">
        <v>353</v>
      </c>
      <c r="Q96" s="504">
        <v>22366</v>
      </c>
      <c r="R96" s="504">
        <v>2114</v>
      </c>
      <c r="S96" s="505">
        <v>6</v>
      </c>
      <c r="T96" s="505">
        <v>57</v>
      </c>
    </row>
    <row r="97">
      <c r="A97" s="481"/>
      <c r="B97" s="514" t="s">
        <v>330</v>
      </c>
      <c r="C97" s="514"/>
      <c r="D97" s="507">
        <f>SUM(D93:D96)</f>
      </c>
      <c r="E97" s="507">
        <f>SUM(E93:E96)</f>
      </c>
      <c r="F97" s="507">
        <f>SUM(F93:F96)</f>
      </c>
      <c r="G97" s="508">
        <f>SUM(G93:G96)</f>
      </c>
      <c r="H97" s="507">
        <f>SUM(H93:H96)</f>
      </c>
      <c r="I97" s="515">
        <f t="shared" si="86"/>
      </c>
      <c r="J97" s="510">
        <f t="shared" si="115"/>
      </c>
      <c r="K97" s="511">
        <f t="shared" si="144"/>
      </c>
      <c r="L97" s="512">
        <f t="shared" si="173"/>
      </c>
      <c r="M97" s="512">
        <f t="shared" si="203"/>
      </c>
      <c r="N97" s="513">
        <f t="shared" si="233"/>
      </c>
      <c r="O97" s="513"/>
      <c r="P97" s="513"/>
      <c r="Q97" s="508">
        <f>SUM(Q93:Q96)</f>
      </c>
      <c r="R97" s="508">
        <f>SUM(R93:R96)</f>
      </c>
      <c r="S97" s="508">
        <f>SUM(S93:S96)</f>
      </c>
      <c r="T97" s="508">
        <f>SUM(T93:T96)</f>
      </c>
    </row>
    <row r="98">
      <c r="A98" s="481"/>
      <c r="B98" s="523" t="s">
        <v>338</v>
      </c>
      <c r="C98" s="483" t="s">
        <v>350</v>
      </c>
      <c r="D98" s="500">
        <f t="shared" ref="D98:D101" si="12">E98+F98</f>
      </c>
      <c r="E98" s="525">
        <v>810.53</v>
      </c>
      <c r="F98" s="525">
        <v>1007.2</v>
      </c>
      <c r="G98" s="529">
        <v>6</v>
      </c>
      <c r="H98" s="483">
        <v>3633.8399999999965</v>
      </c>
      <c r="I98" s="486">
        <f t="shared" si="86"/>
      </c>
      <c r="J98" s="486">
        <f t="shared" si="115"/>
      </c>
      <c r="K98" s="487">
        <f t="shared" si="144"/>
      </c>
      <c r="L98" s="488">
        <f t="shared" si="173"/>
      </c>
      <c r="M98" s="489">
        <f t="shared" si="203"/>
      </c>
      <c r="N98" s="490">
        <f t="shared" si="233"/>
      </c>
      <c r="O98" s="491" t="s">
        <v>325</v>
      </c>
      <c r="P98" s="526" t="s">
        <v>353</v>
      </c>
      <c r="Q98" s="504">
        <v>16863</v>
      </c>
      <c r="R98" s="504">
        <v>1990</v>
      </c>
      <c r="S98" s="505">
        <v>6</v>
      </c>
      <c r="T98" s="505">
        <v>52</v>
      </c>
    </row>
    <row r="99">
      <c r="A99" s="481"/>
      <c r="B99" s="482" t="s">
        <v>338</v>
      </c>
      <c r="C99" s="483" t="s">
        <v>324</v>
      </c>
      <c r="D99" s="500">
        <f t="shared" si="12"/>
      </c>
      <c r="E99" s="483">
        <v>1003.41</v>
      </c>
      <c r="F99" s="483">
        <v>1571.6</v>
      </c>
      <c r="G99" s="499">
        <v>12</v>
      </c>
      <c r="H99" s="483">
        <v>8527.940000000002</v>
      </c>
      <c r="I99" s="486">
        <f t="shared" si="86"/>
      </c>
      <c r="J99" s="486">
        <f t="shared" si="115"/>
      </c>
      <c r="K99" s="487">
        <f t="shared" si="144"/>
      </c>
      <c r="L99" s="488">
        <f t="shared" si="173"/>
      </c>
      <c r="M99" s="489">
        <f t="shared" si="203"/>
      </c>
      <c r="N99" s="490">
        <f t="shared" si="233"/>
      </c>
      <c r="O99" s="491" t="s">
        <v>325</v>
      </c>
      <c r="P99" s="526" t="s">
        <v>357</v>
      </c>
      <c r="Q99" s="504">
        <v>26736</v>
      </c>
      <c r="R99" s="504">
        <v>2922</v>
      </c>
      <c r="S99" s="505">
        <v>13</v>
      </c>
      <c r="T99" s="505">
        <v>59</v>
      </c>
    </row>
    <row r="100">
      <c r="A100" s="481"/>
      <c r="B100" s="482" t="s">
        <v>338</v>
      </c>
      <c r="C100" s="483" t="s">
        <v>327</v>
      </c>
      <c r="D100" s="500">
        <f t="shared" si="12"/>
      </c>
      <c r="E100" s="483">
        <v>1192.59</v>
      </c>
      <c r="F100" s="483">
        <v>2072.33</v>
      </c>
      <c r="G100" s="499">
        <v>4</v>
      </c>
      <c r="H100" s="483">
        <v>860.1600000000035</v>
      </c>
      <c r="I100" s="486">
        <f t="shared" si="86"/>
      </c>
      <c r="J100" s="486">
        <f t="shared" si="115"/>
      </c>
      <c r="K100" s="487">
        <f t="shared" si="144"/>
      </c>
      <c r="L100" s="488">
        <f t="shared" si="173"/>
      </c>
      <c r="M100" s="489">
        <f t="shared" si="203"/>
      </c>
      <c r="N100" s="490">
        <f t="shared" si="233"/>
      </c>
      <c r="O100" s="491" t="s">
        <v>325</v>
      </c>
      <c r="P100" s="526" t="s">
        <v>357</v>
      </c>
      <c r="Q100" s="504">
        <v>35783</v>
      </c>
      <c r="R100" s="504">
        <v>4096</v>
      </c>
      <c r="S100" s="505">
        <v>9</v>
      </c>
      <c r="T100" s="505">
        <v>88</v>
      </c>
    </row>
    <row r="101">
      <c r="A101" s="481"/>
      <c r="B101" s="482" t="s">
        <v>338</v>
      </c>
      <c r="C101" s="483" t="s">
        <v>328</v>
      </c>
      <c r="D101" s="500">
        <f t="shared" si="12"/>
      </c>
      <c r="E101" s="483">
        <v>1412.91</v>
      </c>
      <c r="F101" s="525">
        <v>1706.18</v>
      </c>
      <c r="G101" s="529">
        <v>5</v>
      </c>
      <c r="H101" s="483">
        <v>2724.949999999997</v>
      </c>
      <c r="I101" s="486">
        <f t="shared" si="86"/>
      </c>
      <c r="J101" s="486">
        <f t="shared" si="115"/>
      </c>
      <c r="K101" s="487">
        <f t="shared" si="144"/>
      </c>
      <c r="L101" s="488">
        <f t="shared" si="173"/>
      </c>
      <c r="M101" s="489">
        <f t="shared" si="203"/>
      </c>
      <c r="N101" s="490">
        <f t="shared" si="233"/>
      </c>
      <c r="O101" s="491" t="s">
        <v>325</v>
      </c>
      <c r="P101" s="526" t="s">
        <v>357</v>
      </c>
      <c r="Q101" s="504">
        <v>3119.09</v>
      </c>
      <c r="R101" s="504">
        <v>29659</v>
      </c>
      <c r="S101" s="505">
        <v>8</v>
      </c>
      <c r="T101" s="505">
        <v>53</v>
      </c>
    </row>
    <row r="102">
      <c r="A102" s="481"/>
      <c r="B102" s="514" t="s">
        <v>330</v>
      </c>
      <c r="C102" s="514"/>
      <c r="D102" s="507">
        <f>SUM(D98:D101)</f>
      </c>
      <c r="E102" s="507">
        <f>SUM(E98:E101)</f>
      </c>
      <c r="F102" s="507">
        <f>SUM(F98:F101)</f>
      </c>
      <c r="G102" s="508">
        <f>SUM(G98:G101)</f>
      </c>
      <c r="H102" s="507">
        <f>SUM(H98:H101)</f>
      </c>
      <c r="I102" s="515">
        <f t="shared" si="86"/>
      </c>
      <c r="J102" s="510">
        <f t="shared" si="115"/>
      </c>
      <c r="K102" s="511">
        <f t="shared" si="144"/>
      </c>
      <c r="L102" s="512">
        <f t="shared" si="173"/>
      </c>
      <c r="M102" s="512">
        <f t="shared" si="203"/>
      </c>
      <c r="N102" s="513">
        <f t="shared" si="233"/>
      </c>
      <c r="O102" s="513"/>
      <c r="P102" s="513"/>
      <c r="Q102" s="508">
        <f>SUM(Q98:Q101)</f>
      </c>
      <c r="R102" s="508">
        <f>SUM(R98:R101)</f>
      </c>
      <c r="S102" s="508">
        <f>SUM(S98:S101)</f>
      </c>
      <c r="T102" s="508">
        <f>SUM(T98:T101)</f>
      </c>
    </row>
    <row r="103">
      <c r="A103" s="481"/>
      <c r="B103" s="523" t="s">
        <v>351</v>
      </c>
      <c r="C103" s="483" t="s">
        <v>329</v>
      </c>
      <c r="D103" s="500">
        <f t="shared" ref="D103:D104" si="13">E103+F103</f>
      </c>
      <c r="E103" s="483">
        <v>602.65</v>
      </c>
      <c r="F103" s="483">
        <v>1933.33</v>
      </c>
      <c r="G103" s="499">
        <v>7</v>
      </c>
      <c r="H103" s="483">
        <v>2430.720000000001</v>
      </c>
      <c r="I103" s="486">
        <f t="shared" si="86"/>
      </c>
      <c r="J103" s="486">
        <f t="shared" si="115"/>
      </c>
      <c r="K103" s="487">
        <f t="shared" si="144"/>
      </c>
      <c r="L103" s="488">
        <f t="shared" si="173"/>
      </c>
      <c r="M103" s="489">
        <f t="shared" si="203"/>
      </c>
      <c r="N103" s="490">
        <f t="shared" si="233"/>
      </c>
      <c r="O103" s="491" t="s">
        <v>325</v>
      </c>
      <c r="P103" s="492" t="s">
        <v>357</v>
      </c>
      <c r="Q103" s="504">
        <v>22415</v>
      </c>
      <c r="R103" s="504">
        <v>3362</v>
      </c>
      <c r="S103" s="505">
        <v>8</v>
      </c>
      <c r="T103" s="505">
        <v>50</v>
      </c>
    </row>
    <row r="104">
      <c r="A104" s="481"/>
      <c r="B104" s="523" t="s">
        <v>351</v>
      </c>
      <c r="C104" s="483" t="s">
        <v>332</v>
      </c>
      <c r="D104" s="500">
        <f t="shared" si="13"/>
      </c>
      <c r="E104" s="525">
        <f>672.59+7.18</f>
      </c>
      <c r="F104" s="483">
        <f>961.22+6.18+0.07</f>
      </c>
      <c r="G104" s="529">
        <v>0</v>
      </c>
      <c r="H104" s="525">
        <v>0</v>
      </c>
      <c r="I104" s="486">
        <f t="shared" si="86"/>
      </c>
      <c r="J104" s="486">
        <f t="shared" si="115"/>
      </c>
      <c r="K104" s="487">
        <f t="shared" si="144"/>
      </c>
      <c r="L104" s="488">
        <f t="shared" si="173"/>
      </c>
      <c r="M104" s="489">
        <f t="shared" si="203"/>
      </c>
      <c r="N104" s="490">
        <f t="shared" si="233"/>
      </c>
      <c r="O104" s="491" t="s">
        <v>325</v>
      </c>
      <c r="P104" s="492" t="s">
        <v>357</v>
      </c>
      <c r="Q104" s="504">
        <v>16916</v>
      </c>
      <c r="R104" s="504">
        <v>2344</v>
      </c>
      <c r="S104" s="505">
        <v>1</v>
      </c>
      <c r="T104" s="505">
        <v>26</v>
      </c>
    </row>
    <row r="105">
      <c r="A105" s="481"/>
      <c r="B105" s="514" t="s">
        <v>330</v>
      </c>
      <c r="C105" s="514"/>
      <c r="D105" s="507">
        <f>SUM(D103:D104)</f>
      </c>
      <c r="E105" s="507">
        <f>SUM(E103:E104)</f>
      </c>
      <c r="F105" s="507">
        <f>SUM(F103:F104)</f>
      </c>
      <c r="G105" s="508">
        <f>SUM(G103:G104)</f>
      </c>
      <c r="H105" s="507">
        <f>SUM(H103:H104)</f>
      </c>
      <c r="I105" s="515">
        <f t="shared" si="86"/>
      </c>
      <c r="J105" s="510">
        <f t="shared" si="115"/>
      </c>
      <c r="K105" s="511">
        <f t="shared" si="144"/>
      </c>
      <c r="L105" s="512">
        <f t="shared" si="173"/>
      </c>
      <c r="M105" s="512">
        <f t="shared" si="203"/>
      </c>
      <c r="N105" s="513">
        <f t="shared" si="233"/>
      </c>
      <c r="O105" s="513"/>
      <c r="P105" s="513"/>
      <c r="Q105" s="508">
        <f>SUM(Q103:Q104)</f>
      </c>
      <c r="R105" s="508">
        <f>SUM(R103:R104)</f>
      </c>
      <c r="S105" s="508">
        <f>SUM(S103:S104)</f>
      </c>
      <c r="T105" s="508">
        <f>SUM(T103:T104)</f>
      </c>
    </row>
    <row r="106">
      <c r="A106" s="481"/>
      <c r="B106" s="516" t="s">
        <v>336</v>
      </c>
      <c r="C106" s="516"/>
      <c r="D106" s="517">
        <f>D92+D102+D97+D105</f>
      </c>
      <c r="E106" s="517">
        <f>E92+E102+E97+E105</f>
      </c>
      <c r="F106" s="517">
        <f>F92+F102+F97+F105</f>
      </c>
      <c r="G106" s="530">
        <f>G92+G102+G97+G105</f>
      </c>
      <c r="H106" s="517">
        <f>H92+H102+H97+H105</f>
      </c>
      <c r="I106" s="519">
        <f t="shared" si="86"/>
      </c>
      <c r="J106" s="519">
        <f t="shared" si="115"/>
      </c>
      <c r="K106" s="520">
        <f t="shared" si="144"/>
      </c>
      <c r="L106" s="521">
        <f t="shared" si="173"/>
      </c>
      <c r="M106" s="521">
        <f t="shared" si="203"/>
      </c>
      <c r="N106" s="519">
        <f t="shared" si="233"/>
      </c>
      <c r="O106" s="522"/>
      <c r="P106" s="522"/>
      <c r="Q106" s="530">
        <f>Q92+Q102+Q97+Q105</f>
      </c>
      <c r="R106" s="530">
        <f>R92+R102+R97+R105</f>
      </c>
      <c r="S106" s="530">
        <f>S92+S102+S97+S105</f>
      </c>
      <c r="T106" s="530">
        <f>T92+T102+T97+T105</f>
      </c>
    </row>
    <row r="107">
      <c r="A107" s="463" t="s">
        <v>298</v>
      </c>
      <c r="B107" s="463"/>
      <c r="C107" s="463"/>
      <c r="D107" s="464" t="s">
        <v>299</v>
      </c>
      <c r="E107" s="464"/>
      <c r="F107" s="464"/>
      <c r="G107" s="464"/>
      <c r="H107" s="464"/>
      <c r="I107" s="464"/>
      <c r="J107" s="464"/>
      <c r="K107" s="464"/>
      <c r="L107" s="465" t="s">
        <v>300</v>
      </c>
      <c r="M107" s="465"/>
      <c r="N107" s="465"/>
      <c r="O107" s="465"/>
      <c r="P107" s="465"/>
      <c r="Q107" s="466" t="s">
        <v>301</v>
      </c>
      <c r="R107" s="466"/>
      <c r="S107" s="466"/>
      <c r="T107" s="466"/>
    </row>
    <row r="108">
      <c r="A108" s="467" t="s">
        <v>302</v>
      </c>
      <c r="B108" s="468" t="s">
        <v>303</v>
      </c>
      <c r="C108" s="469" t="s">
        <v>304</v>
      </c>
      <c r="D108" s="470" t="s">
        <v>305</v>
      </c>
      <c r="E108" s="471" t="s">
        <v>306</v>
      </c>
      <c r="F108" s="470" t="s">
        <v>307</v>
      </c>
      <c r="G108" s="472" t="s">
        <v>308</v>
      </c>
      <c r="H108" s="473" t="s">
        <v>309</v>
      </c>
      <c r="I108" s="474" t="s">
        <v>310</v>
      </c>
      <c r="J108" s="475" t="s">
        <v>311</v>
      </c>
      <c r="K108" s="476" t="s">
        <v>312</v>
      </c>
      <c r="L108" s="465" t="s">
        <v>313</v>
      </c>
      <c r="M108" s="465" t="s">
        <v>314</v>
      </c>
      <c r="N108" s="465" t="s">
        <v>315</v>
      </c>
      <c r="O108" s="477" t="s">
        <v>316</v>
      </c>
      <c r="P108" s="478" t="s">
        <v>317</v>
      </c>
      <c r="Q108" s="479" t="s">
        <v>318</v>
      </c>
      <c r="R108" s="479" t="s">
        <v>319</v>
      </c>
      <c r="S108" s="480" t="s">
        <v>320</v>
      </c>
      <c r="T108" s="479" t="s">
        <v>321</v>
      </c>
    </row>
    <row r="109">
      <c r="A109" s="481" t="s">
        <v>358</v>
      </c>
      <c r="B109" s="523" t="s">
        <v>331</v>
      </c>
      <c r="C109" s="483" t="s">
        <v>339</v>
      </c>
      <c r="D109" s="483">
        <f t="shared" ref="D109:D113" si="14">E109+F109</f>
      </c>
      <c r="E109" s="524">
        <v>1880.35</v>
      </c>
      <c r="F109" s="525">
        <v>1907.01</v>
      </c>
      <c r="G109" s="532">
        <v>19</v>
      </c>
      <c r="H109" s="483">
        <v>14555.16</v>
      </c>
      <c r="I109" s="486">
        <f t="shared" ref="I109:I131" si="87">H109/D109</f>
      </c>
      <c r="J109" s="486">
        <f t="shared" ref="J109:J131" si="116">D109/G109</f>
      </c>
      <c r="K109" s="487">
        <f t="shared" ref="K109:K131" si="145">H109/G109</f>
      </c>
      <c r="L109" s="488">
        <f t="shared" ref="L109:L131" si="174">R109/Q109</f>
      </c>
      <c r="M109" s="489">
        <f t="shared" ref="M109:M131" si="204">G109/S109</f>
      </c>
      <c r="N109" s="490">
        <f t="shared" ref="N109:N131" si="234">(T109*1000)/D109</f>
      </c>
      <c r="O109" s="491" t="s">
        <v>325</v>
      </c>
      <c r="P109" s="526" t="s">
        <v>353</v>
      </c>
      <c r="Q109" s="493">
        <v>41883</v>
      </c>
      <c r="R109" s="493">
        <v>6430</v>
      </c>
      <c r="S109" s="527">
        <v>20</v>
      </c>
      <c r="T109" s="527">
        <v>92</v>
      </c>
    </row>
    <row r="110">
      <c r="A110" s="481"/>
      <c r="B110" s="523" t="s">
        <v>331</v>
      </c>
      <c r="C110" s="496" t="s">
        <v>341</v>
      </c>
      <c r="D110" s="497">
        <f t="shared" si="14"/>
      </c>
      <c r="E110" s="528">
        <v>5782.9</v>
      </c>
      <c r="F110" s="528">
        <v>2716.07</v>
      </c>
      <c r="G110" s="529">
        <v>22</v>
      </c>
      <c r="H110" s="525">
        <v>15215.07</v>
      </c>
      <c r="I110" s="486">
        <f t="shared" si="87"/>
      </c>
      <c r="J110" s="486">
        <f t="shared" si="116"/>
      </c>
      <c r="K110" s="487">
        <f t="shared" si="145"/>
      </c>
      <c r="L110" s="488">
        <f t="shared" si="174"/>
      </c>
      <c r="M110" s="489">
        <f t="shared" si="204"/>
      </c>
      <c r="N110" s="490">
        <f t="shared" si="234"/>
      </c>
      <c r="O110" s="491" t="s">
        <v>325</v>
      </c>
      <c r="P110" s="526" t="s">
        <v>353</v>
      </c>
      <c r="Q110" s="494">
        <v>86676</v>
      </c>
      <c r="R110" s="494">
        <v>12537</v>
      </c>
      <c r="S110" s="527">
        <v>35</v>
      </c>
      <c r="T110" s="527">
        <v>151</v>
      </c>
    </row>
    <row r="111">
      <c r="A111" s="481"/>
      <c r="B111" s="523" t="s">
        <v>331</v>
      </c>
      <c r="C111" s="483" t="s">
        <v>342</v>
      </c>
      <c r="D111" s="500">
        <f t="shared" si="14"/>
      </c>
      <c r="E111" s="501">
        <v>3170.29</v>
      </c>
      <c r="F111" s="483">
        <v>2068.4</v>
      </c>
      <c r="G111" s="502">
        <v>21</v>
      </c>
      <c r="H111" s="503">
        <v>14016.05</v>
      </c>
      <c r="I111" s="486">
        <f t="shared" si="87"/>
      </c>
      <c r="J111" s="486">
        <f t="shared" si="116"/>
      </c>
      <c r="K111" s="487">
        <f t="shared" si="145"/>
      </c>
      <c r="L111" s="488">
        <f t="shared" si="174"/>
      </c>
      <c r="M111" s="489">
        <f t="shared" si="204"/>
      </c>
      <c r="N111" s="490">
        <f t="shared" si="234"/>
      </c>
      <c r="O111" s="491" t="s">
        <v>325</v>
      </c>
      <c r="P111" s="526" t="s">
        <v>353</v>
      </c>
      <c r="Q111" s="494">
        <v>54823</v>
      </c>
      <c r="R111" s="494">
        <v>6241</v>
      </c>
      <c r="S111" s="527">
        <v>25</v>
      </c>
      <c r="T111" s="527">
        <v>122</v>
      </c>
    </row>
    <row r="112">
      <c r="A112" s="481"/>
      <c r="B112" s="523" t="s">
        <v>331</v>
      </c>
      <c r="C112" s="483" t="s">
        <v>344</v>
      </c>
      <c r="D112" s="500">
        <f t="shared" si="14"/>
      </c>
      <c r="E112" s="501">
        <v>4181.5</v>
      </c>
      <c r="F112" s="483">
        <v>2679.42</v>
      </c>
      <c r="G112" s="502">
        <v>27</v>
      </c>
      <c r="H112" s="503">
        <v>17433.870000000003</v>
      </c>
      <c r="I112" s="486">
        <f t="shared" si="87"/>
      </c>
      <c r="J112" s="486">
        <f t="shared" si="116"/>
      </c>
      <c r="K112" s="487">
        <f t="shared" si="145"/>
      </c>
      <c r="L112" s="488">
        <f t="shared" si="174"/>
      </c>
      <c r="M112" s="489">
        <f t="shared" si="204"/>
      </c>
      <c r="N112" s="490">
        <f t="shared" si="234"/>
      </c>
      <c r="O112" s="491" t="s">
        <v>325</v>
      </c>
      <c r="P112" s="526" t="s">
        <v>353</v>
      </c>
      <c r="Q112" s="504">
        <v>72624</v>
      </c>
      <c r="R112" s="504">
        <v>8688</v>
      </c>
      <c r="S112" s="505">
        <v>38</v>
      </c>
      <c r="T112" s="505">
        <v>122</v>
      </c>
    </row>
    <row r="113">
      <c r="A113" s="481"/>
      <c r="B113" s="523" t="s">
        <v>331</v>
      </c>
      <c r="C113" s="483" t="s">
        <v>345</v>
      </c>
      <c r="D113" s="500">
        <f t="shared" si="14"/>
      </c>
      <c r="E113" s="501">
        <v>4091.66</v>
      </c>
      <c r="F113" s="483">
        <v>3133.69</v>
      </c>
      <c r="G113" s="502">
        <v>31</v>
      </c>
      <c r="H113" s="503">
        <v>17237.370000000003</v>
      </c>
      <c r="I113" s="486">
        <f t="shared" si="87"/>
      </c>
      <c r="J113" s="486">
        <f t="shared" si="116"/>
      </c>
      <c r="K113" s="487">
        <f t="shared" si="145"/>
      </c>
      <c r="L113" s="488">
        <f t="shared" si="174"/>
      </c>
      <c r="M113" s="489">
        <f t="shared" si="204"/>
      </c>
      <c r="N113" s="490">
        <f t="shared" si="234"/>
      </c>
      <c r="O113" s="491" t="s">
        <v>325</v>
      </c>
      <c r="P113" s="526" t="s">
        <v>353</v>
      </c>
      <c r="Q113" s="504">
        <v>78560</v>
      </c>
      <c r="R113" s="504">
        <v>8842</v>
      </c>
      <c r="S113" s="505">
        <v>38</v>
      </c>
      <c r="T113" s="505">
        <v>144</v>
      </c>
    </row>
    <row r="114">
      <c r="A114" s="481"/>
      <c r="B114" s="506" t="s">
        <v>330</v>
      </c>
      <c r="C114" s="506"/>
      <c r="D114" s="507">
        <f>SUM(D109:D113)</f>
      </c>
      <c r="E114" s="507">
        <f>SUM(E109:E113)</f>
      </c>
      <c r="F114" s="507">
        <f>SUM(F109:F113)</f>
      </c>
      <c r="G114" s="507">
        <f>SUM(G109:G113)</f>
      </c>
      <c r="H114" s="507">
        <f>SUM(H109:H113)</f>
      </c>
      <c r="I114" s="509">
        <f t="shared" si="87"/>
      </c>
      <c r="J114" s="510">
        <f t="shared" si="116"/>
      </c>
      <c r="K114" s="511">
        <f t="shared" si="145"/>
      </c>
      <c r="L114" s="512">
        <f t="shared" si="174"/>
      </c>
      <c r="M114" s="512">
        <f t="shared" si="204"/>
      </c>
      <c r="N114" s="513">
        <f t="shared" si="234"/>
      </c>
      <c r="O114" s="513"/>
      <c r="P114" s="513"/>
      <c r="Q114" s="508">
        <f>SUM(Q109:Q113)</f>
      </c>
      <c r="R114" s="508">
        <f>SUM(R109:R113)</f>
      </c>
      <c r="S114" s="508">
        <f>SUM(S109:S113)</f>
      </c>
      <c r="T114" s="508">
        <f>SUM(T109:T113)</f>
      </c>
    </row>
    <row r="115">
      <c r="A115" s="481"/>
      <c r="B115" s="523" t="s">
        <v>323</v>
      </c>
      <c r="C115" s="483" t="s">
        <v>346</v>
      </c>
      <c r="D115" s="500">
        <f t="shared" ref="D115:D118" si="15">E115+F115</f>
      </c>
      <c r="E115" s="483">
        <v>6287.64</v>
      </c>
      <c r="F115" s="483">
        <v>2351.83</v>
      </c>
      <c r="G115" s="499">
        <v>22</v>
      </c>
      <c r="H115" s="483">
        <v>12769.149999999994</v>
      </c>
      <c r="I115" s="486">
        <f t="shared" si="87"/>
      </c>
      <c r="J115" s="486">
        <f t="shared" si="116"/>
      </c>
      <c r="K115" s="487">
        <f t="shared" si="145"/>
      </c>
      <c r="L115" s="488">
        <f t="shared" si="174"/>
      </c>
      <c r="M115" s="489">
        <f t="shared" si="204"/>
      </c>
      <c r="N115" s="490">
        <f t="shared" si="234"/>
      </c>
      <c r="O115" s="491" t="s">
        <v>325</v>
      </c>
      <c r="P115" s="492" t="s">
        <v>353</v>
      </c>
      <c r="Q115" s="504">
        <v>83573</v>
      </c>
      <c r="R115" s="504">
        <v>10391</v>
      </c>
      <c r="S115" s="505">
        <v>39</v>
      </c>
      <c r="T115" s="505">
        <v>157</v>
      </c>
    </row>
    <row r="116">
      <c r="A116" s="481"/>
      <c r="B116" s="482" t="s">
        <v>323</v>
      </c>
      <c r="C116" s="525" t="s">
        <v>347</v>
      </c>
      <c r="D116" s="500">
        <f t="shared" si="15"/>
      </c>
      <c r="E116" s="483">
        <v>6624.32</v>
      </c>
      <c r="F116" s="483">
        <v>4153.24</v>
      </c>
      <c r="G116" s="499">
        <v>36</v>
      </c>
      <c r="H116" s="483">
        <v>24955.84000000001</v>
      </c>
      <c r="I116" s="486">
        <f t="shared" si="87"/>
      </c>
      <c r="J116" s="486">
        <f t="shared" si="116"/>
      </c>
      <c r="K116" s="487">
        <f t="shared" si="145"/>
      </c>
      <c r="L116" s="488">
        <f t="shared" si="174"/>
      </c>
      <c r="M116" s="489">
        <f t="shared" si="204"/>
      </c>
      <c r="N116" s="490">
        <f t="shared" si="234"/>
      </c>
      <c r="O116" s="491" t="s">
        <v>325</v>
      </c>
      <c r="P116" s="492" t="s">
        <v>353</v>
      </c>
      <c r="Q116" s="504">
        <v>101036</v>
      </c>
      <c r="R116" s="504">
        <v>12544</v>
      </c>
      <c r="S116" s="505">
        <v>46</v>
      </c>
      <c r="T116" s="505">
        <v>162</v>
      </c>
    </row>
    <row r="117">
      <c r="A117" s="481"/>
      <c r="B117" s="482" t="s">
        <v>323</v>
      </c>
      <c r="C117" s="483" t="s">
        <v>348</v>
      </c>
      <c r="D117" s="500">
        <f t="shared" si="15"/>
      </c>
      <c r="E117" s="501">
        <v>4753.12</v>
      </c>
      <c r="F117" s="483">
        <v>2781.79</v>
      </c>
      <c r="G117" s="502">
        <v>23</v>
      </c>
      <c r="H117" s="503">
        <v>18969.169999999984</v>
      </c>
      <c r="I117" s="486">
        <f t="shared" si="87"/>
      </c>
      <c r="J117" s="486">
        <f t="shared" si="116"/>
      </c>
      <c r="K117" s="487">
        <f t="shared" si="145"/>
      </c>
      <c r="L117" s="488">
        <f t="shared" si="174"/>
      </c>
      <c r="M117" s="489">
        <f t="shared" si="204"/>
      </c>
      <c r="N117" s="490">
        <f t="shared" si="234"/>
      </c>
      <c r="O117" s="491" t="s">
        <v>325</v>
      </c>
      <c r="P117" s="492" t="s">
        <v>353</v>
      </c>
      <c r="Q117" s="504">
        <v>60666</v>
      </c>
      <c r="R117" s="504">
        <v>8355</v>
      </c>
      <c r="S117" s="505">
        <v>32</v>
      </c>
      <c r="T117" s="505">
        <v>115</v>
      </c>
    </row>
    <row r="118">
      <c r="A118" s="481"/>
      <c r="B118" s="482" t="s">
        <v>323</v>
      </c>
      <c r="C118" s="483" t="s">
        <v>349</v>
      </c>
      <c r="D118" s="500">
        <f t="shared" si="15"/>
      </c>
      <c r="E118" s="501">
        <v>2386.92</v>
      </c>
      <c r="F118" s="483">
        <v>1854.56</v>
      </c>
      <c r="G118" s="502">
        <v>14</v>
      </c>
      <c r="H118" s="503">
        <v>8344.839999999997</v>
      </c>
      <c r="I118" s="486">
        <f t="shared" si="87"/>
      </c>
      <c r="J118" s="486">
        <f t="shared" si="116"/>
      </c>
      <c r="K118" s="487">
        <f t="shared" si="145"/>
      </c>
      <c r="L118" s="488">
        <f t="shared" si="174"/>
      </c>
      <c r="M118" s="489">
        <f t="shared" si="204"/>
      </c>
      <c r="N118" s="490">
        <f t="shared" si="234"/>
      </c>
      <c r="O118" s="491" t="s">
        <v>325</v>
      </c>
      <c r="P118" s="492" t="s">
        <v>353</v>
      </c>
      <c r="Q118" s="504">
        <v>38719</v>
      </c>
      <c r="R118" s="504">
        <v>4629</v>
      </c>
      <c r="S118" s="505">
        <v>16</v>
      </c>
      <c r="T118" s="505">
        <v>70</v>
      </c>
    </row>
    <row r="119">
      <c r="A119" s="481"/>
      <c r="B119" s="514" t="s">
        <v>330</v>
      </c>
      <c r="C119" s="514"/>
      <c r="D119" s="507">
        <f>SUM(D115:D118)</f>
      </c>
      <c r="E119" s="507">
        <f>SUM(E115:E118)</f>
      </c>
      <c r="F119" s="507">
        <f>SUM(F115:F118)</f>
      </c>
      <c r="G119" s="508">
        <f>SUM(G115:G118)</f>
      </c>
      <c r="H119" s="507">
        <f>SUM(H115:H118)</f>
      </c>
      <c r="I119" s="515">
        <f t="shared" si="87"/>
      </c>
      <c r="J119" s="510">
        <f t="shared" si="116"/>
      </c>
      <c r="K119" s="511">
        <f t="shared" si="145"/>
      </c>
      <c r="L119" s="512">
        <f t="shared" si="174"/>
      </c>
      <c r="M119" s="512">
        <f t="shared" si="204"/>
      </c>
      <c r="N119" s="513">
        <f t="shared" si="234"/>
      </c>
      <c r="O119" s="513"/>
      <c r="P119" s="513"/>
      <c r="Q119" s="508">
        <f>SUM(Q115:Q118)</f>
      </c>
      <c r="R119" s="508">
        <f>SUM(R115:R118)</f>
      </c>
      <c r="S119" s="508">
        <f>SUM(S115:S118)</f>
      </c>
      <c r="T119" s="508">
        <f>SUM(T115:T118)</f>
      </c>
    </row>
    <row r="120">
      <c r="A120" s="481"/>
      <c r="B120" s="523" t="s">
        <v>338</v>
      </c>
      <c r="C120" s="483" t="s">
        <v>350</v>
      </c>
      <c r="D120" s="500">
        <f t="shared" ref="D120:D124" si="16">E120+F120</f>
      </c>
      <c r="E120" s="525">
        <v>2713</v>
      </c>
      <c r="F120" s="525">
        <v>1256.59</v>
      </c>
      <c r="G120" s="529">
        <v>20</v>
      </c>
      <c r="H120" s="483">
        <v>10245.360000000015</v>
      </c>
      <c r="I120" s="486">
        <f t="shared" si="87"/>
      </c>
      <c r="J120" s="486">
        <f t="shared" si="116"/>
      </c>
      <c r="K120" s="487">
        <f t="shared" si="145"/>
      </c>
      <c r="L120" s="488">
        <f t="shared" si="174"/>
      </c>
      <c r="M120" s="489">
        <f t="shared" si="204"/>
      </c>
      <c r="N120" s="490">
        <f t="shared" si="234"/>
      </c>
      <c r="O120" s="491" t="s">
        <v>325</v>
      </c>
      <c r="P120" s="526" t="s">
        <v>353</v>
      </c>
      <c r="Q120" s="504">
        <v>38360</v>
      </c>
      <c r="R120" s="504">
        <v>4742</v>
      </c>
      <c r="S120" s="505">
        <v>24</v>
      </c>
      <c r="T120" s="505">
        <v>96</v>
      </c>
    </row>
    <row r="121">
      <c r="A121" s="481"/>
      <c r="B121" s="482" t="s">
        <v>338</v>
      </c>
      <c r="C121" s="483" t="s">
        <v>324</v>
      </c>
      <c r="D121" s="500">
        <f t="shared" si="16"/>
      </c>
      <c r="E121" s="483">
        <v>5700.44</v>
      </c>
      <c r="F121" s="525">
        <v>1205.71</v>
      </c>
      <c r="G121" s="499">
        <v>21</v>
      </c>
      <c r="H121" s="483">
        <v>9808.100000000006</v>
      </c>
      <c r="I121" s="486">
        <f t="shared" si="87"/>
      </c>
      <c r="J121" s="486">
        <f t="shared" si="116"/>
      </c>
      <c r="K121" s="487">
        <f t="shared" si="145"/>
      </c>
      <c r="L121" s="488">
        <f t="shared" si="174"/>
      </c>
      <c r="M121" s="489">
        <f t="shared" si="204"/>
      </c>
      <c r="N121" s="490">
        <f t="shared" si="234"/>
      </c>
      <c r="O121" s="491" t="s">
        <v>325</v>
      </c>
      <c r="P121" s="526" t="s">
        <v>357</v>
      </c>
      <c r="Q121" s="504">
        <v>73887</v>
      </c>
      <c r="R121" s="504">
        <v>9443</v>
      </c>
      <c r="S121" s="505">
        <v>24</v>
      </c>
      <c r="T121" s="505">
        <v>157</v>
      </c>
    </row>
    <row r="122">
      <c r="A122" s="481"/>
      <c r="B122" s="482" t="s">
        <v>338</v>
      </c>
      <c r="C122" s="483" t="s">
        <v>327</v>
      </c>
      <c r="D122" s="500">
        <f t="shared" si="16"/>
      </c>
      <c r="E122" s="525">
        <v>3888.77</v>
      </c>
      <c r="F122" s="525">
        <v>1110.02</v>
      </c>
      <c r="G122" s="499">
        <v>5</v>
      </c>
      <c r="H122" s="483">
        <v>1498.5999999999767</v>
      </c>
      <c r="I122" s="486">
        <f t="shared" si="87"/>
      </c>
      <c r="J122" s="486">
        <f t="shared" si="116"/>
      </c>
      <c r="K122" s="487">
        <f t="shared" si="145"/>
      </c>
      <c r="L122" s="488">
        <f t="shared" si="174"/>
      </c>
      <c r="M122" s="489">
        <f t="shared" si="204"/>
      </c>
      <c r="N122" s="490">
        <f t="shared" si="234"/>
      </c>
      <c r="O122" s="491" t="s">
        <v>325</v>
      </c>
      <c r="P122" s="526" t="s">
        <v>357</v>
      </c>
      <c r="Q122" s="504">
        <v>50621</v>
      </c>
      <c r="R122" s="504">
        <v>6607</v>
      </c>
      <c r="S122" s="505">
        <v>13</v>
      </c>
      <c r="T122" s="505">
        <v>45</v>
      </c>
    </row>
    <row customHeight="true" ht="16.666666666666668" r="123">
      <c r="A123" s="481"/>
      <c r="B123" s="482" t="s">
        <v>338</v>
      </c>
      <c r="C123" s="483" t="s">
        <v>328</v>
      </c>
      <c r="D123" s="500">
        <f t="shared" si="16"/>
      </c>
      <c r="E123" s="483">
        <v>3069.39</v>
      </c>
      <c r="F123" s="483">
        <v>1587.55</v>
      </c>
      <c r="G123" s="499">
        <v>22</v>
      </c>
      <c r="H123" s="483">
        <v>8673.900000000023</v>
      </c>
      <c r="I123" s="486">
        <f t="shared" si="87"/>
      </c>
      <c r="J123" s="486">
        <f t="shared" si="116"/>
      </c>
      <c r="K123" s="487">
        <f t="shared" si="145"/>
      </c>
      <c r="L123" s="488">
        <f t="shared" si="174"/>
      </c>
      <c r="M123" s="489">
        <f t="shared" si="204"/>
      </c>
      <c r="N123" s="490">
        <f t="shared" si="234"/>
      </c>
      <c r="O123" s="491" t="s">
        <v>325</v>
      </c>
      <c r="P123" s="526" t="s">
        <v>357</v>
      </c>
      <c r="Q123" s="504">
        <v>46682</v>
      </c>
      <c r="R123" s="504">
        <v>6451</v>
      </c>
      <c r="S123" s="505">
        <v>24</v>
      </c>
      <c r="T123" s="505">
        <v>175</v>
      </c>
    </row>
    <row r="124">
      <c r="A124" s="481"/>
      <c r="B124" s="482" t="s">
        <v>338</v>
      </c>
      <c r="C124" s="483" t="s">
        <v>329</v>
      </c>
      <c r="D124" s="500">
        <f t="shared" si="16"/>
      </c>
      <c r="E124" s="483">
        <v>4346.5</v>
      </c>
      <c r="F124" s="525">
        <v>590.3</v>
      </c>
      <c r="G124" s="529">
        <v>16</v>
      </c>
      <c r="H124" s="483">
        <v>6616.239999999991</v>
      </c>
      <c r="I124" s="486">
        <f t="shared" si="87"/>
      </c>
      <c r="J124" s="486">
        <f t="shared" si="116"/>
      </c>
      <c r="K124" s="487">
        <f t="shared" si="145"/>
      </c>
      <c r="L124" s="488">
        <f t="shared" si="174"/>
      </c>
      <c r="M124" s="489">
        <f t="shared" si="204"/>
      </c>
      <c r="N124" s="490">
        <f t="shared" si="234"/>
      </c>
      <c r="O124" s="491" t="s">
        <v>325</v>
      </c>
      <c r="P124" s="526" t="s">
        <v>357</v>
      </c>
      <c r="Q124" s="504">
        <v>49079</v>
      </c>
      <c r="R124" s="504">
        <v>7057</v>
      </c>
      <c r="S124" s="505">
        <v>18</v>
      </c>
      <c r="T124" s="505">
        <v>107</v>
      </c>
    </row>
    <row r="125">
      <c r="A125" s="481"/>
      <c r="B125" s="514" t="s">
        <v>330</v>
      </c>
      <c r="C125" s="514"/>
      <c r="D125" s="507">
        <f>SUM(D120:D124)</f>
      </c>
      <c r="E125" s="507">
        <f>SUM(E120:E124)</f>
      </c>
      <c r="F125" s="507">
        <f>SUM(F120:F124)</f>
      </c>
      <c r="G125" s="508">
        <f>SUM(G120:G124)</f>
      </c>
      <c r="H125" s="507">
        <f>SUM(H120:H124)</f>
      </c>
      <c r="I125" s="515">
        <f t="shared" si="87"/>
      </c>
      <c r="J125" s="510">
        <f t="shared" si="116"/>
      </c>
      <c r="K125" s="511">
        <f t="shared" si="145"/>
      </c>
      <c r="L125" s="512">
        <f t="shared" si="174"/>
      </c>
      <c r="M125" s="512">
        <f t="shared" si="204"/>
      </c>
      <c r="N125" s="513">
        <f t="shared" si="234"/>
      </c>
      <c r="O125" s="513"/>
      <c r="P125" s="513"/>
      <c r="Q125" s="508">
        <f>SUM(Q120:Q124)</f>
      </c>
      <c r="R125" s="508">
        <f>SUM(R120:R124)</f>
      </c>
      <c r="S125" s="508">
        <f>SUM(S120:S124)</f>
      </c>
      <c r="T125" s="508">
        <f>SUM(T120:T124)</f>
      </c>
    </row>
    <row r="126">
      <c r="A126" s="481"/>
      <c r="B126" s="523" t="s">
        <v>351</v>
      </c>
      <c r="C126" s="483" t="s">
        <v>332</v>
      </c>
      <c r="D126" s="500">
        <f t="shared" ref="D126:D129" si="17">E126+F126</f>
      </c>
      <c r="E126" s="483">
        <v>2421.41</v>
      </c>
      <c r="F126" s="483">
        <v>234.18</v>
      </c>
      <c r="G126" s="499">
        <v>7</v>
      </c>
      <c r="H126" s="483">
        <v>5058.029999999999</v>
      </c>
      <c r="I126" s="486">
        <f t="shared" si="87"/>
      </c>
      <c r="J126" s="486">
        <f t="shared" si="116"/>
      </c>
      <c r="K126" s="487">
        <f t="shared" si="145"/>
      </c>
      <c r="L126" s="488">
        <f t="shared" si="174"/>
      </c>
      <c r="M126" s="489">
        <f t="shared" si="204"/>
      </c>
      <c r="N126" s="490">
        <f t="shared" si="234"/>
      </c>
      <c r="O126" s="491" t="s">
        <v>325</v>
      </c>
      <c r="P126" s="492" t="s">
        <v>357</v>
      </c>
      <c r="Q126" s="504">
        <v>26486</v>
      </c>
      <c r="R126" s="504">
        <v>3552</v>
      </c>
      <c r="S126" s="505">
        <v>8</v>
      </c>
      <c r="T126" s="505">
        <v>52</v>
      </c>
    </row>
    <row customHeight="true" ht="16.666666666666668" r="127">
      <c r="A127" s="481"/>
      <c r="B127" s="523" t="s">
        <v>351</v>
      </c>
      <c r="C127" s="483" t="s">
        <v>333</v>
      </c>
      <c r="D127" s="500">
        <f t="shared" si="17"/>
      </c>
      <c r="E127" s="483">
        <v>1616.88</v>
      </c>
      <c r="F127" s="483">
        <v>1690.39</v>
      </c>
      <c r="G127" s="499">
        <v>7</v>
      </c>
      <c r="H127" s="483">
        <v>3760.100000000006</v>
      </c>
      <c r="I127" s="486">
        <f t="shared" si="87"/>
      </c>
      <c r="J127" s="486">
        <f t="shared" si="116"/>
      </c>
      <c r="K127" s="487">
        <f t="shared" si="145"/>
      </c>
      <c r="L127" s="488">
        <f t="shared" si="174"/>
      </c>
      <c r="M127" s="489">
        <f t="shared" si="204"/>
      </c>
      <c r="N127" s="490">
        <f t="shared" si="234"/>
      </c>
      <c r="O127" s="491" t="s">
        <v>325</v>
      </c>
      <c r="P127" s="492" t="s">
        <v>357</v>
      </c>
      <c r="Q127" s="504">
        <v>34239</v>
      </c>
      <c r="R127" s="504">
        <v>4691</v>
      </c>
      <c r="S127" s="505">
        <v>10</v>
      </c>
      <c r="T127" s="505">
        <v>84</v>
      </c>
    </row>
    <row customHeight="true" ht="16.666666666666668" r="128">
      <c r="A128" s="481"/>
      <c r="B128" s="523" t="s">
        <v>351</v>
      </c>
      <c r="C128" s="483" t="s">
        <v>334</v>
      </c>
      <c r="D128" s="500">
        <f t="shared" si="17"/>
      </c>
      <c r="E128" s="525">
        <v>2871.17</v>
      </c>
      <c r="F128" s="525">
        <v>2641.11</v>
      </c>
      <c r="G128" s="499">
        <v>14</v>
      </c>
      <c r="H128" s="483">
        <v>7492.979999999981</v>
      </c>
      <c r="I128" s="486">
        <f t="shared" si="87"/>
      </c>
      <c r="J128" s="486">
        <f t="shared" si="116"/>
      </c>
      <c r="K128" s="487">
        <f t="shared" si="145"/>
      </c>
      <c r="L128" s="488">
        <f t="shared" si="174"/>
      </c>
      <c r="M128" s="489">
        <f t="shared" si="204"/>
      </c>
      <c r="N128" s="490">
        <f t="shared" si="234"/>
      </c>
      <c r="O128" s="491" t="s">
        <v>325</v>
      </c>
      <c r="P128" s="492" t="s">
        <v>357</v>
      </c>
      <c r="Q128" s="504">
        <v>57974</v>
      </c>
      <c r="R128" s="504">
        <v>7666</v>
      </c>
      <c r="S128" s="505">
        <v>20</v>
      </c>
      <c r="T128" s="505">
        <v>119</v>
      </c>
    </row>
    <row r="129">
      <c r="A129" s="481"/>
      <c r="B129" s="523" t="s">
        <v>351</v>
      </c>
      <c r="C129" s="483" t="s">
        <v>335</v>
      </c>
      <c r="D129" s="500">
        <f t="shared" si="17"/>
      </c>
      <c r="E129" s="483">
        <v>1597.48</v>
      </c>
      <c r="F129" s="525">
        <v>267.52</v>
      </c>
      <c r="G129" s="529">
        <v>12</v>
      </c>
      <c r="H129" s="525">
        <v>8832.840000000026</v>
      </c>
      <c r="I129" s="486">
        <f t="shared" si="87"/>
      </c>
      <c r="J129" s="486">
        <f t="shared" si="116"/>
      </c>
      <c r="K129" s="487">
        <f t="shared" si="145"/>
      </c>
      <c r="L129" s="488">
        <f t="shared" si="174"/>
      </c>
      <c r="M129" s="489">
        <f t="shared" si="204"/>
      </c>
      <c r="N129" s="490">
        <f t="shared" si="234"/>
      </c>
      <c r="O129" s="491" t="s">
        <v>325</v>
      </c>
      <c r="P129" s="492" t="s">
        <v>357</v>
      </c>
      <c r="Q129" s="504">
        <v>18759</v>
      </c>
      <c r="R129" s="504">
        <v>2341</v>
      </c>
      <c r="S129" s="505">
        <v>12</v>
      </c>
      <c r="T129" s="505">
        <v>50</v>
      </c>
    </row>
    <row r="130">
      <c r="A130" s="481"/>
      <c r="B130" s="514" t="s">
        <v>330</v>
      </c>
      <c r="C130" s="514"/>
      <c r="D130" s="507">
        <f>SUM(D126:D129)</f>
      </c>
      <c r="E130" s="507">
        <f>SUM(E126:E129)</f>
      </c>
      <c r="F130" s="507">
        <f>SUM(F126:F129)</f>
      </c>
      <c r="G130" s="508">
        <f>SUM(G126:G129)</f>
      </c>
      <c r="H130" s="507">
        <f>SUM(H126:H129)</f>
      </c>
      <c r="I130" s="515">
        <f t="shared" si="87"/>
      </c>
      <c r="J130" s="510">
        <f t="shared" si="116"/>
      </c>
      <c r="K130" s="511">
        <f t="shared" si="145"/>
      </c>
      <c r="L130" s="512">
        <f t="shared" si="174"/>
      </c>
      <c r="M130" s="512">
        <f t="shared" si="204"/>
      </c>
      <c r="N130" s="513">
        <f t="shared" si="234"/>
      </c>
      <c r="O130" s="513"/>
      <c r="P130" s="513"/>
      <c r="Q130" s="508">
        <f>SUM(Q126:Q129)</f>
      </c>
      <c r="R130" s="508">
        <f>SUM(R126:R129)</f>
      </c>
      <c r="S130" s="508">
        <f>SUM(S126:S129)</f>
      </c>
      <c r="T130" s="508">
        <f>SUM(T126:T129)</f>
      </c>
    </row>
    <row r="131">
      <c r="A131" s="481"/>
      <c r="B131" s="516" t="s">
        <v>336</v>
      </c>
      <c r="C131" s="516"/>
      <c r="D131" s="517">
        <f>D114+D125+D119+D130</f>
      </c>
      <c r="E131" s="517">
        <f>E114+E125+E119+E130</f>
      </c>
      <c r="F131" s="517">
        <f>F114+F125+F119+F130</f>
      </c>
      <c r="G131" s="530">
        <f>G114+G125+G119+G130</f>
      </c>
      <c r="H131" s="517">
        <f>H114+H125+H119+H130</f>
      </c>
      <c r="I131" s="519">
        <f t="shared" si="87"/>
      </c>
      <c r="J131" s="519">
        <f t="shared" si="116"/>
      </c>
      <c r="K131" s="520">
        <f t="shared" si="145"/>
      </c>
      <c r="L131" s="521">
        <f t="shared" si="174"/>
      </c>
      <c r="M131" s="521">
        <f t="shared" si="204"/>
      </c>
      <c r="N131" s="519">
        <f t="shared" si="234"/>
      </c>
      <c r="O131" s="522"/>
      <c r="P131" s="522"/>
      <c r="Q131" s="530">
        <f>Q114+Q125+Q119+Q130</f>
      </c>
      <c r="R131" s="530">
        <f>R114+R125+R119+R130</f>
      </c>
      <c r="S131" s="530">
        <f>S114+S125+S119+S130</f>
      </c>
      <c r="T131" s="530">
        <f>T114+T125+T119+T130</f>
      </c>
    </row>
    <row r="132">
      <c r="A132" s="463" t="s">
        <v>298</v>
      </c>
      <c r="B132" s="463"/>
      <c r="C132" s="463"/>
      <c r="D132" s="464" t="s">
        <v>299</v>
      </c>
      <c r="E132" s="464"/>
      <c r="F132" s="464"/>
      <c r="G132" s="464"/>
      <c r="H132" s="464"/>
      <c r="I132" s="464"/>
      <c r="J132" s="464"/>
      <c r="K132" s="464"/>
      <c r="L132" s="465" t="s">
        <v>300</v>
      </c>
      <c r="M132" s="465"/>
      <c r="N132" s="465"/>
      <c r="O132" s="465"/>
      <c r="P132" s="465"/>
      <c r="Q132" s="466" t="s">
        <v>301</v>
      </c>
      <c r="R132" s="466"/>
      <c r="S132" s="466"/>
      <c r="T132" s="466"/>
    </row>
    <row r="133">
      <c r="A133" s="467" t="s">
        <v>302</v>
      </c>
      <c r="B133" s="468" t="s">
        <v>303</v>
      </c>
      <c r="C133" s="469" t="s">
        <v>304</v>
      </c>
      <c r="D133" s="470" t="s">
        <v>305</v>
      </c>
      <c r="E133" s="471" t="s">
        <v>306</v>
      </c>
      <c r="F133" s="470" t="s">
        <v>307</v>
      </c>
      <c r="G133" s="472" t="s">
        <v>308</v>
      </c>
      <c r="H133" s="473" t="s">
        <v>309</v>
      </c>
      <c r="I133" s="474" t="s">
        <v>310</v>
      </c>
      <c r="J133" s="475" t="s">
        <v>311</v>
      </c>
      <c r="K133" s="476" t="s">
        <v>312</v>
      </c>
      <c r="L133" s="465" t="s">
        <v>313</v>
      </c>
      <c r="M133" s="465" t="s">
        <v>314</v>
      </c>
      <c r="N133" s="465" t="s">
        <v>315</v>
      </c>
      <c r="O133" s="477" t="s">
        <v>316</v>
      </c>
      <c r="P133" s="478" t="s">
        <v>317</v>
      </c>
      <c r="Q133" s="479" t="s">
        <v>318</v>
      </c>
      <c r="R133" s="479" t="s">
        <v>319</v>
      </c>
      <c r="S133" s="480" t="s">
        <v>320</v>
      </c>
      <c r="T133" s="479" t="s">
        <v>321</v>
      </c>
    </row>
    <row r="134">
      <c r="A134" s="481" t="s">
        <v>359</v>
      </c>
      <c r="B134" s="523" t="s">
        <v>323</v>
      </c>
      <c r="C134" s="483" t="s">
        <v>339</v>
      </c>
      <c r="D134" s="483">
        <f t="shared" ref="D134:D137" si="18">E134+F134</f>
      </c>
      <c r="E134" s="524">
        <v>2161.69</v>
      </c>
      <c r="F134" s="525">
        <v>3310.33</v>
      </c>
      <c r="G134" s="532">
        <v>25</v>
      </c>
      <c r="H134" s="483">
        <v>13681.66</v>
      </c>
      <c r="I134" s="486">
        <f t="shared" ref="I134:I155" si="88">H134/D134</f>
      </c>
      <c r="J134" s="486">
        <f t="shared" ref="J134:J155" si="117">D134/G134</f>
      </c>
      <c r="K134" s="487">
        <f t="shared" ref="K134:K155" si="146">H134/G134</f>
      </c>
      <c r="L134" s="488">
        <f t="shared" ref="L134:L155" si="175">R134/Q134</f>
      </c>
      <c r="M134" s="489">
        <f t="shared" ref="M134:M155" si="205">G134/S134</f>
      </c>
      <c r="N134" s="490">
        <f t="shared" ref="N134:N155" si="235">(T134*1000)/D134</f>
      </c>
      <c r="O134" s="491" t="s">
        <v>325</v>
      </c>
      <c r="P134" s="526" t="s">
        <v>353</v>
      </c>
      <c r="Q134" s="493">
        <v>55566</v>
      </c>
      <c r="R134" s="493">
        <v>8339</v>
      </c>
      <c r="S134" s="527">
        <v>30</v>
      </c>
      <c r="T134" s="527">
        <v>124</v>
      </c>
    </row>
    <row r="135">
      <c r="A135" s="481"/>
      <c r="B135" s="523" t="s">
        <v>323</v>
      </c>
      <c r="C135" s="496" t="s">
        <v>341</v>
      </c>
      <c r="D135" s="497">
        <f t="shared" si="18"/>
      </c>
      <c r="E135" s="528">
        <v>4058.91</v>
      </c>
      <c r="F135" s="528">
        <v>4729.44</v>
      </c>
      <c r="G135" s="529">
        <v>37</v>
      </c>
      <c r="H135" s="525">
        <v>21675.26</v>
      </c>
      <c r="I135" s="486">
        <f t="shared" si="88"/>
      </c>
      <c r="J135" s="486">
        <f t="shared" si="117"/>
      </c>
      <c r="K135" s="487">
        <f t="shared" si="146"/>
      </c>
      <c r="L135" s="488">
        <f t="shared" si="175"/>
      </c>
      <c r="M135" s="489">
        <f t="shared" si="205"/>
      </c>
      <c r="N135" s="490">
        <f t="shared" si="235"/>
      </c>
      <c r="O135" s="491" t="s">
        <v>325</v>
      </c>
      <c r="P135" s="526" t="s">
        <v>353</v>
      </c>
      <c r="Q135" s="494">
        <v>84565</v>
      </c>
      <c r="R135" s="494">
        <v>11055</v>
      </c>
      <c r="S135" s="527">
        <v>45</v>
      </c>
      <c r="T135" s="527">
        <v>175</v>
      </c>
    </row>
    <row r="136">
      <c r="A136" s="481"/>
      <c r="B136" s="523" t="s">
        <v>323</v>
      </c>
      <c r="C136" s="483" t="s">
        <v>342</v>
      </c>
      <c r="D136" s="500">
        <f t="shared" si="18"/>
      </c>
      <c r="E136" s="501">
        <v>2829.11</v>
      </c>
      <c r="F136" s="483">
        <v>7266.12</v>
      </c>
      <c r="G136" s="502">
        <v>27</v>
      </c>
      <c r="H136" s="503">
        <v>14359.940000000002</v>
      </c>
      <c r="I136" s="486">
        <f t="shared" si="88"/>
      </c>
      <c r="J136" s="486">
        <f t="shared" si="117"/>
      </c>
      <c r="K136" s="487">
        <f t="shared" si="146"/>
      </c>
      <c r="L136" s="488">
        <f t="shared" si="175"/>
      </c>
      <c r="M136" s="489">
        <f t="shared" si="205"/>
      </c>
      <c r="N136" s="490">
        <f t="shared" si="235"/>
      </c>
      <c r="O136" s="491" t="s">
        <v>325</v>
      </c>
      <c r="P136" s="526" t="s">
        <v>353</v>
      </c>
      <c r="Q136" s="494">
        <v>98895</v>
      </c>
      <c r="R136" s="494">
        <v>10247</v>
      </c>
      <c r="S136" s="527">
        <v>35</v>
      </c>
      <c r="T136" s="527">
        <v>108</v>
      </c>
    </row>
    <row r="137">
      <c r="A137" s="481"/>
      <c r="B137" s="523" t="s">
        <v>323</v>
      </c>
      <c r="C137" s="483" t="s">
        <v>344</v>
      </c>
      <c r="D137" s="500">
        <f t="shared" si="18"/>
      </c>
      <c r="E137" s="501">
        <v>3560.94</v>
      </c>
      <c r="F137" s="483">
        <v>3570.05</v>
      </c>
      <c r="G137" s="502">
        <v>22</v>
      </c>
      <c r="H137" s="503">
        <v>11747.169999999998</v>
      </c>
      <c r="I137" s="486">
        <f t="shared" si="88"/>
      </c>
      <c r="J137" s="486">
        <f t="shared" si="117"/>
      </c>
      <c r="K137" s="487">
        <f t="shared" si="146"/>
      </c>
      <c r="L137" s="488">
        <f t="shared" si="175"/>
      </c>
      <c r="M137" s="489">
        <f t="shared" si="205"/>
      </c>
      <c r="N137" s="490">
        <f t="shared" si="235"/>
      </c>
      <c r="O137" s="491" t="s">
        <v>325</v>
      </c>
      <c r="P137" s="526" t="s">
        <v>353</v>
      </c>
      <c r="Q137" s="504">
        <v>80037</v>
      </c>
      <c r="R137" s="504">
        <v>7358</v>
      </c>
      <c r="S137" s="505">
        <v>24</v>
      </c>
      <c r="T137" s="505">
        <v>136</v>
      </c>
    </row>
    <row r="138">
      <c r="A138" s="481"/>
      <c r="B138" s="506" t="s">
        <v>330</v>
      </c>
      <c r="C138" s="506"/>
      <c r="D138" s="507">
        <f>SUM(D134:D137)</f>
      </c>
      <c r="E138" s="507">
        <f>SUM(E134:E137)</f>
      </c>
      <c r="F138" s="507">
        <f>SUM(F134:F137)</f>
      </c>
      <c r="G138" s="507">
        <f>SUM(G134:G137)</f>
      </c>
      <c r="H138" s="507">
        <f>SUM(H134:H137)</f>
      </c>
      <c r="I138" s="509">
        <f t="shared" si="88"/>
      </c>
      <c r="J138" s="510">
        <f t="shared" si="117"/>
      </c>
      <c r="K138" s="511">
        <f t="shared" si="146"/>
      </c>
      <c r="L138" s="512">
        <f t="shared" si="175"/>
      </c>
      <c r="M138" s="512">
        <f t="shared" si="205"/>
      </c>
      <c r="N138" s="513">
        <f t="shared" si="235"/>
      </c>
      <c r="O138" s="513"/>
      <c r="P138" s="513"/>
      <c r="Q138" s="508">
        <f>SUM(Q134:Q137)</f>
      </c>
      <c r="R138" s="508">
        <f>SUM(R134:R137)</f>
      </c>
      <c r="S138" s="508">
        <f>SUM(S134:S137)</f>
      </c>
      <c r="T138" s="508">
        <f>SUM(T134:T137)</f>
      </c>
    </row>
    <row r="139">
      <c r="A139" s="481"/>
      <c r="B139" s="523" t="s">
        <v>331</v>
      </c>
      <c r="C139" s="525" t="s">
        <v>345</v>
      </c>
      <c r="D139" s="500">
        <f t="shared" ref="D139:D142" si="19">E139+F139</f>
      </c>
      <c r="E139" s="483">
        <v>1584.48</v>
      </c>
      <c r="F139" s="483">
        <v>3137.94</v>
      </c>
      <c r="G139" s="499">
        <v>21</v>
      </c>
      <c r="H139" s="483">
        <v>11866.460000000006</v>
      </c>
      <c r="I139" s="486">
        <f t="shared" si="88"/>
      </c>
      <c r="J139" s="486">
        <f t="shared" si="117"/>
      </c>
      <c r="K139" s="487">
        <f t="shared" si="146"/>
      </c>
      <c r="L139" s="488">
        <f t="shared" si="175"/>
      </c>
      <c r="M139" s="489">
        <f t="shared" si="205"/>
      </c>
      <c r="N139" s="490">
        <f t="shared" si="235"/>
      </c>
      <c r="O139" s="491" t="s">
        <v>325</v>
      </c>
      <c r="P139" s="492" t="s">
        <v>353</v>
      </c>
      <c r="Q139" s="504">
        <v>46681</v>
      </c>
      <c r="R139" s="504">
        <v>5152</v>
      </c>
      <c r="S139" s="505">
        <v>29</v>
      </c>
      <c r="T139" s="505">
        <v>71</v>
      </c>
    </row>
    <row r="140">
      <c r="A140" s="481"/>
      <c r="B140" s="482" t="s">
        <v>331</v>
      </c>
      <c r="C140" s="525" t="s">
        <v>346</v>
      </c>
      <c r="D140" s="500">
        <f t="shared" si="19"/>
      </c>
      <c r="E140" s="483">
        <v>1087.39</v>
      </c>
      <c r="F140" s="483">
        <v>5812.73</v>
      </c>
      <c r="G140" s="499">
        <v>22</v>
      </c>
      <c r="H140" s="483">
        <v>7502.539999999994</v>
      </c>
      <c r="I140" s="486">
        <f t="shared" si="88"/>
      </c>
      <c r="J140" s="486">
        <f t="shared" si="117"/>
      </c>
      <c r="K140" s="487">
        <f t="shared" si="146"/>
      </c>
      <c r="L140" s="488">
        <f t="shared" si="175"/>
      </c>
      <c r="M140" s="489">
        <f t="shared" si="205"/>
      </c>
      <c r="N140" s="490">
        <f t="shared" si="235"/>
      </c>
      <c r="O140" s="491" t="s">
        <v>325</v>
      </c>
      <c r="P140" s="492" t="s">
        <v>353</v>
      </c>
      <c r="Q140" s="504">
        <v>68595</v>
      </c>
      <c r="R140" s="504">
        <v>7939</v>
      </c>
      <c r="S140" s="505">
        <v>32</v>
      </c>
      <c r="T140" s="505">
        <v>119</v>
      </c>
    </row>
    <row r="141">
      <c r="A141" s="481"/>
      <c r="B141" s="482" t="s">
        <v>331</v>
      </c>
      <c r="C141" s="483" t="s">
        <v>347</v>
      </c>
      <c r="D141" s="500">
        <f t="shared" si="19"/>
      </c>
      <c r="E141" s="501">
        <v>1440.9</v>
      </c>
      <c r="F141" s="483">
        <v>4035.04</v>
      </c>
      <c r="G141" s="502">
        <v>13</v>
      </c>
      <c r="H141" s="503">
        <v>5089.460000000006</v>
      </c>
      <c r="I141" s="486">
        <f t="shared" si="88"/>
      </c>
      <c r="J141" s="486">
        <f t="shared" si="117"/>
      </c>
      <c r="K141" s="487">
        <f t="shared" si="146"/>
      </c>
      <c r="L141" s="488">
        <f t="shared" si="175"/>
      </c>
      <c r="M141" s="489">
        <f t="shared" si="205"/>
      </c>
      <c r="N141" s="490">
        <f t="shared" si="235"/>
      </c>
      <c r="O141" s="491" t="s">
        <v>325</v>
      </c>
      <c r="P141" s="492" t="s">
        <v>353</v>
      </c>
      <c r="Q141" s="504">
        <v>60908</v>
      </c>
      <c r="R141" s="504">
        <v>6768</v>
      </c>
      <c r="S141" s="505">
        <v>23</v>
      </c>
      <c r="T141" s="505">
        <v>61</v>
      </c>
    </row>
    <row r="142">
      <c r="A142" s="481"/>
      <c r="B142" s="482" t="s">
        <v>331</v>
      </c>
      <c r="C142" s="483" t="s">
        <v>348</v>
      </c>
      <c r="D142" s="500">
        <f t="shared" si="19"/>
      </c>
      <c r="E142" s="483">
        <v>2529.47</v>
      </c>
      <c r="F142" s="483">
        <v>4709.52</v>
      </c>
      <c r="G142" s="531">
        <v>27</v>
      </c>
      <c r="H142" s="503">
        <v>13875.33</v>
      </c>
      <c r="I142" s="486">
        <f t="shared" si="88"/>
      </c>
      <c r="J142" s="486">
        <f t="shared" si="117"/>
      </c>
      <c r="K142" s="487">
        <f t="shared" si="146"/>
      </c>
      <c r="L142" s="488">
        <f t="shared" si="175"/>
      </c>
      <c r="M142" s="489">
        <f t="shared" si="205"/>
      </c>
      <c r="N142" s="490">
        <f t="shared" si="235"/>
      </c>
      <c r="O142" s="491" t="s">
        <v>325</v>
      </c>
      <c r="P142" s="492" t="s">
        <v>353</v>
      </c>
      <c r="Q142" s="504">
        <v>71861</v>
      </c>
      <c r="R142" s="504">
        <v>9857</v>
      </c>
      <c r="S142" s="505">
        <v>30</v>
      </c>
      <c r="T142" s="505">
        <v>125</v>
      </c>
    </row>
    <row r="143">
      <c r="A143" s="481"/>
      <c r="B143" s="514" t="s">
        <v>330</v>
      </c>
      <c r="C143" s="514"/>
      <c r="D143" s="507">
        <f>SUM(D139:D142)</f>
      </c>
      <c r="E143" s="507">
        <f>SUM(E139:E142)</f>
      </c>
      <c r="F143" s="507">
        <f>SUM(F139:F142)</f>
      </c>
      <c r="G143" s="508">
        <f>SUM(G139:G142)</f>
      </c>
      <c r="H143" s="507">
        <f>SUM(H139:H142)</f>
      </c>
      <c r="I143" s="515">
        <f t="shared" si="88"/>
      </c>
      <c r="J143" s="510">
        <f t="shared" si="117"/>
      </c>
      <c r="K143" s="511">
        <f t="shared" si="146"/>
      </c>
      <c r="L143" s="512">
        <f t="shared" si="175"/>
      </c>
      <c r="M143" s="512">
        <f t="shared" si="205"/>
      </c>
      <c r="N143" s="513">
        <f t="shared" si="235"/>
      </c>
      <c r="O143" s="513"/>
      <c r="P143" s="513"/>
      <c r="Q143" s="508">
        <f>SUM(Q139:Q142)</f>
      </c>
      <c r="R143" s="508">
        <f>SUM(R139:R142)</f>
      </c>
      <c r="S143" s="508">
        <f>SUM(S139:S142)</f>
      </c>
      <c r="T143" s="508">
        <f>SUM(T139:T142)</f>
      </c>
    </row>
    <row customHeight="true" ht="16.666666666666668" r="144">
      <c r="A144" s="481"/>
      <c r="B144" s="523" t="s">
        <v>360</v>
      </c>
      <c r="C144" s="525" t="s">
        <v>349</v>
      </c>
      <c r="D144" s="500">
        <f t="shared" ref="D144:D145" si="20">E144+F144</f>
      </c>
      <c r="E144" s="525">
        <v>2254.09</v>
      </c>
      <c r="F144" s="525">
        <v>3309.29</v>
      </c>
      <c r="G144" s="529">
        <v>15</v>
      </c>
      <c r="H144" s="483">
        <v>6405.860000000001</v>
      </c>
      <c r="I144" s="486">
        <f t="shared" si="88"/>
      </c>
      <c r="J144" s="486">
        <f t="shared" si="117"/>
      </c>
      <c r="K144" s="487">
        <f t="shared" si="146"/>
      </c>
      <c r="L144" s="488">
        <f t="shared" si="175"/>
      </c>
      <c r="M144" s="489">
        <f t="shared" si="205"/>
      </c>
      <c r="N144" s="490">
        <f t="shared" si="235"/>
      </c>
      <c r="O144" s="491" t="s">
        <v>325</v>
      </c>
      <c r="P144" s="526" t="s">
        <v>353</v>
      </c>
      <c r="Q144" s="504">
        <v>74284</v>
      </c>
      <c r="R144" s="504">
        <v>6593</v>
      </c>
      <c r="S144" s="505">
        <v>18</v>
      </c>
      <c r="T144" s="505">
        <v>91</v>
      </c>
    </row>
    <row customHeight="true" ht="16.666666666666668" r="145">
      <c r="A145" s="481"/>
      <c r="B145" s="523" t="s">
        <v>360</v>
      </c>
      <c r="C145" s="483" t="s">
        <v>350</v>
      </c>
      <c r="D145" s="500">
        <f t="shared" si="20"/>
      </c>
      <c r="E145" s="525">
        <v>1833.01</v>
      </c>
      <c r="F145" s="525">
        <v>2214.74</v>
      </c>
      <c r="G145" s="529">
        <v>11</v>
      </c>
      <c r="H145" s="483">
        <v>3714.279999999999</v>
      </c>
      <c r="I145" s="486">
        <f t="shared" si="88"/>
      </c>
      <c r="J145" s="486">
        <f t="shared" si="117"/>
      </c>
      <c r="K145" s="487">
        <f t="shared" si="146"/>
      </c>
      <c r="L145" s="488">
        <f t="shared" si="175"/>
      </c>
      <c r="M145" s="489">
        <f t="shared" si="205"/>
      </c>
      <c r="N145" s="490">
        <f t="shared" si="235"/>
      </c>
      <c r="O145" s="491" t="s">
        <v>325</v>
      </c>
      <c r="P145" s="526" t="s">
        <v>353</v>
      </c>
      <c r="Q145" s="504">
        <v>42424</v>
      </c>
      <c r="R145" s="504">
        <v>5488</v>
      </c>
      <c r="S145" s="505">
        <v>16</v>
      </c>
      <c r="T145" s="505">
        <v>82</v>
      </c>
    </row>
    <row customHeight="true" ht="16.666666666666668" r="146">
      <c r="A146" s="481"/>
      <c r="B146" s="514" t="s">
        <v>330</v>
      </c>
      <c r="C146" s="514"/>
      <c r="D146" s="507">
        <f>SUM(D144:D145)</f>
      </c>
      <c r="E146" s="507">
        <f>SUM(E144:E145)</f>
      </c>
      <c r="F146" s="507">
        <f>SUM(F144:F145)</f>
      </c>
      <c r="G146" s="507">
        <f>SUM(G144:G145)</f>
      </c>
      <c r="H146" s="507">
        <f>SUM(H144:H145)</f>
      </c>
      <c r="I146" s="515">
        <f t="shared" si="88"/>
      </c>
      <c r="J146" s="510">
        <f t="shared" si="117"/>
      </c>
      <c r="K146" s="511">
        <f t="shared" si="146"/>
      </c>
      <c r="L146" s="512">
        <f t="shared" si="175"/>
      </c>
      <c r="M146" s="512">
        <f t="shared" si="205"/>
      </c>
      <c r="N146" s="513">
        <f t="shared" si="235"/>
      </c>
      <c r="O146" s="513"/>
      <c r="P146" s="513"/>
      <c r="Q146" s="508">
        <f>SUM(Q144:Q145)</f>
      </c>
      <c r="R146" s="508">
        <f>SUM(R144:R145)</f>
      </c>
      <c r="S146" s="508">
        <f>SUM(S144:S145)</f>
      </c>
      <c r="T146" s="508">
        <f>SUM(T144:T145)</f>
      </c>
    </row>
    <row r="147">
      <c r="A147" s="481"/>
      <c r="B147" s="482" t="s">
        <v>338</v>
      </c>
      <c r="C147" s="483" t="s">
        <v>324</v>
      </c>
      <c r="D147" s="500">
        <f t="shared" ref="D147:D150" si="21">E147+F147</f>
      </c>
      <c r="E147" s="483">
        <v>1467.55</v>
      </c>
      <c r="F147" s="525">
        <v>4632.32</v>
      </c>
      <c r="G147" s="499">
        <v>15</v>
      </c>
      <c r="H147" s="483">
        <v>12813.800000000003</v>
      </c>
      <c r="I147" s="486">
        <f t="shared" si="88"/>
      </c>
      <c r="J147" s="486">
        <f t="shared" si="117"/>
      </c>
      <c r="K147" s="487">
        <f t="shared" si="146"/>
      </c>
      <c r="L147" s="488">
        <f t="shared" si="175"/>
      </c>
      <c r="M147" s="489">
        <f t="shared" si="205"/>
      </c>
      <c r="N147" s="490">
        <f t="shared" si="235"/>
      </c>
      <c r="O147" s="491" t="s">
        <v>325</v>
      </c>
      <c r="P147" s="526" t="s">
        <v>357</v>
      </c>
      <c r="Q147" s="504">
        <v>77987</v>
      </c>
      <c r="R147" s="504">
        <v>6989</v>
      </c>
      <c r="S147" s="505">
        <v>24</v>
      </c>
      <c r="T147" s="505">
        <v>97</v>
      </c>
    </row>
    <row r="148">
      <c r="A148" s="481"/>
      <c r="B148" s="482" t="s">
        <v>338</v>
      </c>
      <c r="C148" s="483" t="s">
        <v>327</v>
      </c>
      <c r="D148" s="500">
        <f t="shared" si="21"/>
      </c>
      <c r="E148" s="525">
        <v>1929.24</v>
      </c>
      <c r="F148" s="525">
        <v>2976.06</v>
      </c>
      <c r="G148" s="499">
        <v>16</v>
      </c>
      <c r="H148" s="483">
        <v>6616.239999999991</v>
      </c>
      <c r="I148" s="486">
        <f t="shared" si="88"/>
      </c>
      <c r="J148" s="486">
        <f t="shared" si="117"/>
      </c>
      <c r="K148" s="487">
        <f t="shared" si="146"/>
      </c>
      <c r="L148" s="488">
        <f t="shared" si="175"/>
      </c>
      <c r="M148" s="489">
        <f t="shared" si="205"/>
      </c>
      <c r="N148" s="490">
        <f t="shared" si="235"/>
      </c>
      <c r="O148" s="491" t="s">
        <v>325</v>
      </c>
      <c r="P148" s="526" t="s">
        <v>357</v>
      </c>
      <c r="Q148" s="504">
        <v>63551</v>
      </c>
      <c r="R148" s="504">
        <v>5632</v>
      </c>
      <c r="S148" s="505">
        <v>19</v>
      </c>
      <c r="T148" s="505">
        <v>104</v>
      </c>
    </row>
    <row r="149">
      <c r="A149" s="481"/>
      <c r="B149" s="482" t="s">
        <v>338</v>
      </c>
      <c r="C149" s="483" t="s">
        <v>328</v>
      </c>
      <c r="D149" s="500">
        <f t="shared" si="21"/>
      </c>
      <c r="E149" s="483">
        <v>1977.77</v>
      </c>
      <c r="F149" s="483">
        <v>1696.4</v>
      </c>
      <c r="G149" s="499">
        <v>10</v>
      </c>
      <c r="H149" s="483">
        <v>4781.940000000002</v>
      </c>
      <c r="I149" s="486">
        <f t="shared" si="88"/>
      </c>
      <c r="J149" s="486">
        <f t="shared" si="117"/>
      </c>
      <c r="K149" s="487">
        <f t="shared" si="146"/>
      </c>
      <c r="L149" s="488">
        <f t="shared" si="175"/>
      </c>
      <c r="M149" s="489">
        <f t="shared" si="205"/>
      </c>
      <c r="N149" s="490">
        <f t="shared" si="235"/>
      </c>
      <c r="O149" s="491" t="s">
        <v>325</v>
      </c>
      <c r="P149" s="526" t="s">
        <v>357</v>
      </c>
      <c r="Q149" s="504">
        <v>42712</v>
      </c>
      <c r="R149" s="504">
        <v>5417</v>
      </c>
      <c r="S149" s="505">
        <v>10</v>
      </c>
      <c r="T149" s="505">
        <v>74</v>
      </c>
    </row>
    <row r="150">
      <c r="A150" s="481"/>
      <c r="B150" s="482" t="s">
        <v>338</v>
      </c>
      <c r="C150" s="483" t="s">
        <v>329</v>
      </c>
      <c r="D150" s="500">
        <f t="shared" si="21"/>
      </c>
      <c r="E150" s="483">
        <v>3085.73</v>
      </c>
      <c r="F150" s="525">
        <v>1129.41</v>
      </c>
      <c r="G150" s="529">
        <v>10</v>
      </c>
      <c r="H150" s="483">
        <v>2593.459999999992</v>
      </c>
      <c r="I150" s="486">
        <f t="shared" si="88"/>
      </c>
      <c r="J150" s="486">
        <f t="shared" si="117"/>
      </c>
      <c r="K150" s="487">
        <f t="shared" si="146"/>
      </c>
      <c r="L150" s="488">
        <f t="shared" si="175"/>
      </c>
      <c r="M150" s="489">
        <f t="shared" si="205"/>
      </c>
      <c r="N150" s="490">
        <f t="shared" si="235"/>
      </c>
      <c r="O150" s="491" t="s">
        <v>325</v>
      </c>
      <c r="P150" s="526" t="s">
        <v>357</v>
      </c>
      <c r="Q150" s="504">
        <v>43816</v>
      </c>
      <c r="R150" s="504">
        <v>6233</v>
      </c>
      <c r="S150" s="505">
        <v>14</v>
      </c>
      <c r="T150" s="505">
        <v>73</v>
      </c>
    </row>
    <row r="151">
      <c r="A151" s="481"/>
      <c r="B151" s="514" t="s">
        <v>330</v>
      </c>
      <c r="C151" s="514"/>
      <c r="D151" s="507">
        <f>SUM(D147:D150)</f>
      </c>
      <c r="E151" s="507">
        <f>SUM(E147:E150)</f>
      </c>
      <c r="F151" s="507">
        <f>SUM(F147:F150)</f>
      </c>
      <c r="G151" s="508">
        <f>SUM(G147:G150)</f>
      </c>
      <c r="H151" s="507">
        <f>SUM(H147:H150)</f>
      </c>
      <c r="I151" s="515">
        <f t="shared" si="88"/>
      </c>
      <c r="J151" s="510">
        <f t="shared" si="117"/>
      </c>
      <c r="K151" s="511">
        <f t="shared" si="146"/>
      </c>
      <c r="L151" s="512">
        <f t="shared" si="175"/>
      </c>
      <c r="M151" s="512">
        <f t="shared" si="205"/>
      </c>
      <c r="N151" s="513">
        <f t="shared" si="235"/>
      </c>
      <c r="O151" s="513"/>
      <c r="P151" s="513"/>
      <c r="Q151" s="508">
        <f>SUM(Q147:Q150)</f>
      </c>
      <c r="R151" s="508">
        <f>SUM(R147:R150)</f>
      </c>
      <c r="S151" s="508">
        <f>SUM(S147:S150)</f>
      </c>
      <c r="T151" s="508">
        <f>SUM(T147:T150)</f>
      </c>
    </row>
    <row r="152">
      <c r="A152" s="481"/>
      <c r="B152" s="523" t="s">
        <v>351</v>
      </c>
      <c r="C152" s="483" t="s">
        <v>332</v>
      </c>
      <c r="D152" s="500">
        <f t="shared" ref="D152:D153" si="22">E152+F152</f>
      </c>
      <c r="E152" s="525">
        <v>1291.14</v>
      </c>
      <c r="F152" s="525">
        <v>3893</v>
      </c>
      <c r="G152" s="499">
        <v>17</v>
      </c>
      <c r="H152" s="483">
        <v>14034.850000000006</v>
      </c>
      <c r="I152" s="486">
        <f t="shared" si="88"/>
      </c>
      <c r="J152" s="486">
        <f t="shared" si="117"/>
      </c>
      <c r="K152" s="487">
        <f t="shared" si="146"/>
      </c>
      <c r="L152" s="488">
        <f t="shared" si="175"/>
      </c>
      <c r="M152" s="489">
        <f t="shared" si="205"/>
      </c>
      <c r="N152" s="490">
        <f t="shared" si="235"/>
      </c>
      <c r="O152" s="491" t="s">
        <v>325</v>
      </c>
      <c r="P152" s="492" t="s">
        <v>357</v>
      </c>
      <c r="Q152" s="504">
        <v>52163</v>
      </c>
      <c r="R152" s="504">
        <v>7523</v>
      </c>
      <c r="S152" s="505">
        <v>20</v>
      </c>
      <c r="T152" s="505">
        <v>98</v>
      </c>
    </row>
    <row r="153">
      <c r="A153" s="481"/>
      <c r="B153" s="523" t="s">
        <v>351</v>
      </c>
      <c r="C153" s="483" t="s">
        <v>333</v>
      </c>
      <c r="D153" s="500">
        <f t="shared" si="22"/>
      </c>
      <c r="E153" s="525">
        <v>2834.5799999999995</v>
      </c>
      <c r="F153" s="483">
        <v>7027.160000000001</v>
      </c>
      <c r="G153" s="529">
        <v>30</v>
      </c>
      <c r="H153" s="525">
        <v>13693.380000000005</v>
      </c>
      <c r="I153" s="486">
        <f t="shared" si="88"/>
      </c>
      <c r="J153" s="486">
        <f t="shared" si="117"/>
      </c>
      <c r="K153" s="487">
        <f t="shared" si="146"/>
      </c>
      <c r="L153" s="488">
        <f t="shared" si="175"/>
      </c>
      <c r="M153" s="489">
        <f t="shared" si="205"/>
      </c>
      <c r="N153" s="490">
        <f t="shared" si="235"/>
      </c>
      <c r="O153" s="491" t="s">
        <v>325</v>
      </c>
      <c r="P153" s="492" t="s">
        <v>357</v>
      </c>
      <c r="Q153" s="504">
        <v>104564</v>
      </c>
      <c r="R153" s="504">
        <v>13955</v>
      </c>
      <c r="S153" s="505">
        <v>31</v>
      </c>
      <c r="T153" s="505">
        <v>191</v>
      </c>
    </row>
    <row r="154">
      <c r="A154" s="481"/>
      <c r="B154" s="514" t="s">
        <v>330</v>
      </c>
      <c r="C154" s="514"/>
      <c r="D154" s="507">
        <f>SUM(D152:D153)</f>
      </c>
      <c r="E154" s="507">
        <f>SUM(E152:E153)</f>
      </c>
      <c r="F154" s="507">
        <f>SUM(F152:F153)</f>
      </c>
      <c r="G154" s="508">
        <f>SUM(G152:G153)</f>
      </c>
      <c r="H154" s="507">
        <f>SUM(H152:H153)</f>
      </c>
      <c r="I154" s="515">
        <f t="shared" si="88"/>
      </c>
      <c r="J154" s="510">
        <f t="shared" si="117"/>
      </c>
      <c r="K154" s="511">
        <f t="shared" si="146"/>
      </c>
      <c r="L154" s="512">
        <f t="shared" si="175"/>
      </c>
      <c r="M154" s="512">
        <f t="shared" si="205"/>
      </c>
      <c r="N154" s="513">
        <f t="shared" si="235"/>
      </c>
      <c r="O154" s="513"/>
      <c r="P154" s="513"/>
      <c r="Q154" s="508">
        <f>SUM(Q152:Q153)</f>
      </c>
      <c r="R154" s="508">
        <f>SUM(R152:R153)</f>
      </c>
      <c r="S154" s="508">
        <f>SUM(S152:S153)</f>
      </c>
      <c r="T154" s="508">
        <f>SUM(T152:T153)</f>
      </c>
    </row>
    <row r="155">
      <c r="A155" s="481"/>
      <c r="B155" s="516" t="s">
        <v>336</v>
      </c>
      <c r="C155" s="516"/>
      <c r="D155" s="517">
        <f>D138+D151+D143+D154+D146</f>
      </c>
      <c r="E155" s="517">
        <f>E138+E151+E143+E154+E146</f>
      </c>
      <c r="F155" s="517">
        <f>F138+F151+F143+F154+F146</f>
      </c>
      <c r="G155" s="517">
        <f>G138+G151+G143+G154+G146</f>
      </c>
      <c r="H155" s="517">
        <f>H138+H151+H143+H154+H146</f>
      </c>
      <c r="I155" s="519">
        <f t="shared" si="88"/>
      </c>
      <c r="J155" s="519">
        <f t="shared" si="117"/>
      </c>
      <c r="K155" s="520">
        <f t="shared" si="146"/>
      </c>
      <c r="L155" s="521">
        <f t="shared" si="175"/>
      </c>
      <c r="M155" s="521">
        <f t="shared" si="205"/>
      </c>
      <c r="N155" s="519">
        <f t="shared" si="235"/>
      </c>
      <c r="O155" s="522"/>
      <c r="P155" s="522"/>
      <c r="Q155" s="530">
        <f>Q138+Q151+Q143+Q154+Q146</f>
      </c>
      <c r="R155" s="530">
        <f>R138+R151+R143+R154+R146</f>
      </c>
      <c r="S155" s="530">
        <f>S138+S151+S143+S154+S146</f>
      </c>
      <c r="T155" s="530">
        <f>T138+T151+T143+T154+T146</f>
      </c>
    </row>
    <row r="156">
      <c r="A156" s="463" t="s">
        <v>298</v>
      </c>
      <c r="B156" s="463"/>
      <c r="C156" s="463"/>
      <c r="D156" s="464" t="s">
        <v>299</v>
      </c>
      <c r="E156" s="464"/>
      <c r="F156" s="464"/>
      <c r="G156" s="464"/>
      <c r="H156" s="464"/>
      <c r="I156" s="464"/>
      <c r="J156" s="464"/>
      <c r="K156" s="464"/>
      <c r="L156" s="465" t="s">
        <v>300</v>
      </c>
      <c r="M156" s="465"/>
      <c r="N156" s="465"/>
      <c r="O156" s="465"/>
      <c r="P156" s="465"/>
      <c r="Q156" s="466" t="s">
        <v>301</v>
      </c>
      <c r="R156" s="466"/>
      <c r="S156" s="466"/>
      <c r="T156" s="466"/>
    </row>
    <row r="157">
      <c r="A157" s="467" t="s">
        <v>302</v>
      </c>
      <c r="B157" s="468" t="s">
        <v>303</v>
      </c>
      <c r="C157" s="469" t="s">
        <v>304</v>
      </c>
      <c r="D157" s="470" t="s">
        <v>305</v>
      </c>
      <c r="E157" s="471" t="s">
        <v>306</v>
      </c>
      <c r="F157" s="470" t="s">
        <v>307</v>
      </c>
      <c r="G157" s="472" t="s">
        <v>308</v>
      </c>
      <c r="H157" s="473" t="s">
        <v>309</v>
      </c>
      <c r="I157" s="474" t="s">
        <v>310</v>
      </c>
      <c r="J157" s="475" t="s">
        <v>311</v>
      </c>
      <c r="K157" s="476" t="s">
        <v>312</v>
      </c>
      <c r="L157" s="465" t="s">
        <v>313</v>
      </c>
      <c r="M157" s="465" t="s">
        <v>314</v>
      </c>
      <c r="N157" s="465" t="s">
        <v>315</v>
      </c>
      <c r="O157" s="477" t="s">
        <v>316</v>
      </c>
      <c r="P157" s="478" t="s">
        <v>317</v>
      </c>
      <c r="Q157" s="479" t="s">
        <v>318</v>
      </c>
      <c r="R157" s="479" t="s">
        <v>319</v>
      </c>
      <c r="S157" s="480" t="s">
        <v>320</v>
      </c>
      <c r="T157" s="479" t="s">
        <v>321</v>
      </c>
    </row>
    <row r="158">
      <c r="A158" s="481" t="s">
        <v>361</v>
      </c>
      <c r="B158" s="523" t="s">
        <v>323</v>
      </c>
      <c r="C158" s="483" t="s">
        <v>339</v>
      </c>
      <c r="D158" s="483">
        <f t="shared" ref="D158:D161" si="23">E158+F158</f>
      </c>
      <c r="E158" s="524">
        <v>702.6</v>
      </c>
      <c r="F158" s="525">
        <v>7705.65</v>
      </c>
      <c r="G158" s="532">
        <v>34</v>
      </c>
      <c r="H158" s="483">
        <v>18262.94</v>
      </c>
      <c r="I158" s="486">
        <f t="shared" ref="I158:I181" si="89">H158/D158</f>
      </c>
      <c r="J158" s="486">
        <f t="shared" ref="J158:J181" si="118">D158/G158</f>
      </c>
      <c r="K158" s="487">
        <f t="shared" ref="K158:K181" si="147">H158/G158</f>
      </c>
      <c r="L158" s="488">
        <f t="shared" ref="L158:L181" si="176">R158/Q158</f>
      </c>
      <c r="M158" s="489">
        <f t="shared" ref="M158:M181" si="206">G158/S158</f>
      </c>
      <c r="N158" s="490">
        <f t="shared" ref="N158:N181" si="236">(T158*1000)/D158</f>
      </c>
      <c r="O158" s="491" t="s">
        <v>325</v>
      </c>
      <c r="P158" s="526" t="s">
        <v>353</v>
      </c>
      <c r="Q158" s="493">
        <v>102406</v>
      </c>
      <c r="R158" s="493">
        <v>11496</v>
      </c>
      <c r="S158" s="527">
        <v>40</v>
      </c>
      <c r="T158" s="527">
        <v>154</v>
      </c>
    </row>
    <row r="159">
      <c r="A159" s="481"/>
      <c r="B159" s="523" t="s">
        <v>323</v>
      </c>
      <c r="C159" s="496" t="s">
        <v>341</v>
      </c>
      <c r="D159" s="497">
        <f t="shared" si="23"/>
      </c>
      <c r="E159" s="528">
        <v>1581.27</v>
      </c>
      <c r="F159" s="528">
        <v>6842.1</v>
      </c>
      <c r="G159" s="529">
        <v>26</v>
      </c>
      <c r="H159" s="525">
        <v>15555.619999999999</v>
      </c>
      <c r="I159" s="486">
        <f t="shared" si="89"/>
      </c>
      <c r="J159" s="486">
        <f t="shared" si="118"/>
      </c>
      <c r="K159" s="487">
        <f t="shared" si="147"/>
      </c>
      <c r="L159" s="488">
        <f t="shared" si="176"/>
      </c>
      <c r="M159" s="489">
        <f t="shared" si="206"/>
      </c>
      <c r="N159" s="490">
        <f t="shared" si="236"/>
      </c>
      <c r="O159" s="491" t="s">
        <v>325</v>
      </c>
      <c r="P159" s="526" t="s">
        <v>353</v>
      </c>
      <c r="Q159" s="494">
        <v>124652</v>
      </c>
      <c r="R159" s="494">
        <v>10445</v>
      </c>
      <c r="S159" s="527">
        <v>32</v>
      </c>
      <c r="T159" s="527">
        <v>161</v>
      </c>
    </row>
    <row r="160">
      <c r="A160" s="481"/>
      <c r="B160" s="523" t="s">
        <v>323</v>
      </c>
      <c r="C160" s="483" t="s">
        <v>342</v>
      </c>
      <c r="D160" s="500">
        <f t="shared" si="23"/>
      </c>
      <c r="E160" s="501">
        <v>1190.28</v>
      </c>
      <c r="F160" s="483">
        <v>2009.81</v>
      </c>
      <c r="G160" s="502">
        <v>16</v>
      </c>
      <c r="H160" s="503">
        <v>10227.970000000001</v>
      </c>
      <c r="I160" s="486">
        <f t="shared" si="89"/>
      </c>
      <c r="J160" s="486">
        <f t="shared" si="118"/>
      </c>
      <c r="K160" s="487">
        <f t="shared" si="147"/>
      </c>
      <c r="L160" s="488">
        <f t="shared" si="176"/>
      </c>
      <c r="M160" s="489">
        <f t="shared" si="206"/>
      </c>
      <c r="N160" s="490">
        <f t="shared" si="236"/>
      </c>
      <c r="O160" s="491" t="s">
        <v>325</v>
      </c>
      <c r="P160" s="526" t="s">
        <v>353</v>
      </c>
      <c r="Q160" s="494">
        <v>38787</v>
      </c>
      <c r="R160" s="494">
        <v>5177</v>
      </c>
      <c r="S160" s="527">
        <v>19</v>
      </c>
      <c r="T160" s="527">
        <v>86</v>
      </c>
    </row>
    <row r="161">
      <c r="A161" s="481"/>
      <c r="B161" s="523" t="s">
        <v>323</v>
      </c>
      <c r="C161" s="483" t="s">
        <v>344</v>
      </c>
      <c r="D161" s="500">
        <f t="shared" si="23"/>
      </c>
      <c r="E161" s="501">
        <v>665.19</v>
      </c>
      <c r="F161" s="483">
        <v>1543.33</v>
      </c>
      <c r="G161" s="502">
        <v>8</v>
      </c>
      <c r="H161" s="503">
        <v>7944.129999999997</v>
      </c>
      <c r="I161" s="486">
        <f t="shared" si="89"/>
      </c>
      <c r="J161" s="486">
        <f t="shared" si="118"/>
      </c>
      <c r="K161" s="487">
        <f t="shared" si="147"/>
      </c>
      <c r="L161" s="488">
        <f t="shared" si="176"/>
      </c>
      <c r="M161" s="489">
        <f t="shared" si="206"/>
      </c>
      <c r="N161" s="490">
        <f t="shared" si="236"/>
      </c>
      <c r="O161" s="491" t="s">
        <v>325</v>
      </c>
      <c r="P161" s="526" t="s">
        <v>353</v>
      </c>
      <c r="Q161" s="504">
        <v>22151</v>
      </c>
      <c r="R161" s="504">
        <v>2378</v>
      </c>
      <c r="S161" s="505">
        <v>13</v>
      </c>
      <c r="T161" s="505">
        <v>53</v>
      </c>
    </row>
    <row r="162">
      <c r="A162" s="481"/>
      <c r="B162" s="506" t="s">
        <v>330</v>
      </c>
      <c r="C162" s="506"/>
      <c r="D162" s="507">
        <f>SUM(D158:D161)</f>
      </c>
      <c r="E162" s="507">
        <f>SUM(E158:E161)</f>
      </c>
      <c r="F162" s="507">
        <f>SUM(F158:F161)</f>
      </c>
      <c r="G162" s="507">
        <f>SUM(G158:G161)</f>
      </c>
      <c r="H162" s="507">
        <f>SUM(H158:H161)</f>
      </c>
      <c r="I162" s="509">
        <f t="shared" si="89"/>
      </c>
      <c r="J162" s="510">
        <f t="shared" si="118"/>
      </c>
      <c r="K162" s="511">
        <f t="shared" si="147"/>
      </c>
      <c r="L162" s="512">
        <f t="shared" si="176"/>
      </c>
      <c r="M162" s="512">
        <f t="shared" si="206"/>
      </c>
      <c r="N162" s="513">
        <f t="shared" si="236"/>
      </c>
      <c r="O162" s="513"/>
      <c r="P162" s="513"/>
      <c r="Q162" s="508">
        <f>SUM(Q158:Q161)</f>
      </c>
      <c r="R162" s="508">
        <f>SUM(R158:R161)</f>
      </c>
      <c r="S162" s="508">
        <f>SUM(S158:S161)</f>
      </c>
      <c r="T162" s="508">
        <f>SUM(T158:T161)</f>
      </c>
    </row>
    <row r="163">
      <c r="A163" s="481"/>
      <c r="B163" s="523" t="s">
        <v>331</v>
      </c>
      <c r="C163" s="525" t="s">
        <v>345</v>
      </c>
      <c r="D163" s="500">
        <f t="shared" ref="D163:D166" si="24">E163+F163</f>
      </c>
      <c r="E163" s="483">
        <v>3811.84</v>
      </c>
      <c r="F163" s="483">
        <v>2074.34</v>
      </c>
      <c r="G163" s="499">
        <v>21</v>
      </c>
      <c r="H163" s="483">
        <v>8089.580000000002</v>
      </c>
      <c r="I163" s="486">
        <f t="shared" si="89"/>
      </c>
      <c r="J163" s="486">
        <f t="shared" si="118"/>
      </c>
      <c r="K163" s="487">
        <f t="shared" si="147"/>
      </c>
      <c r="L163" s="488">
        <f t="shared" si="176"/>
      </c>
      <c r="M163" s="489">
        <f t="shared" si="206"/>
      </c>
      <c r="N163" s="490">
        <f t="shared" si="236"/>
      </c>
      <c r="O163" s="491" t="s">
        <v>325</v>
      </c>
      <c r="P163" s="492" t="s">
        <v>353</v>
      </c>
      <c r="Q163" s="504">
        <v>58565</v>
      </c>
      <c r="R163" s="504">
        <v>6412</v>
      </c>
      <c r="S163" s="505">
        <v>24</v>
      </c>
      <c r="T163" s="505">
        <v>97</v>
      </c>
    </row>
    <row r="164">
      <c r="A164" s="481"/>
      <c r="B164" s="482" t="s">
        <v>331</v>
      </c>
      <c r="C164" s="525" t="s">
        <v>346</v>
      </c>
      <c r="D164" s="500">
        <f t="shared" si="24"/>
      </c>
      <c r="E164" s="483">
        <v>3049.37</v>
      </c>
      <c r="F164" s="483">
        <v>5147.99</v>
      </c>
      <c r="G164" s="499">
        <v>21</v>
      </c>
      <c r="H164" s="483">
        <v>11938.580000000009</v>
      </c>
      <c r="I164" s="486">
        <f t="shared" si="89"/>
      </c>
      <c r="J164" s="486">
        <f t="shared" si="118"/>
      </c>
      <c r="K164" s="487">
        <f t="shared" si="147"/>
      </c>
      <c r="L164" s="488">
        <f t="shared" si="176"/>
      </c>
      <c r="M164" s="489">
        <f t="shared" si="206"/>
      </c>
      <c r="N164" s="490">
        <f t="shared" si="236"/>
      </c>
      <c r="O164" s="491" t="s">
        <v>325</v>
      </c>
      <c r="P164" s="492" t="s">
        <v>353</v>
      </c>
      <c r="Q164" s="504">
        <v>93601</v>
      </c>
      <c r="R164" s="504">
        <v>9603</v>
      </c>
      <c r="S164" s="505">
        <v>29</v>
      </c>
      <c r="T164" s="505">
        <v>114</v>
      </c>
    </row>
    <row r="165">
      <c r="A165" s="481"/>
      <c r="B165" s="482" t="s">
        <v>331</v>
      </c>
      <c r="C165" s="483" t="s">
        <v>347</v>
      </c>
      <c r="D165" s="500">
        <f t="shared" si="24"/>
      </c>
      <c r="E165" s="501">
        <v>1442.78</v>
      </c>
      <c r="F165" s="483">
        <v>4891.28</v>
      </c>
      <c r="G165" s="502">
        <v>27</v>
      </c>
      <c r="H165" s="503">
        <v>19716.78</v>
      </c>
      <c r="I165" s="486">
        <f t="shared" si="89"/>
      </c>
      <c r="J165" s="486">
        <f t="shared" si="118"/>
      </c>
      <c r="K165" s="487">
        <f t="shared" si="147"/>
      </c>
      <c r="L165" s="488">
        <f t="shared" si="176"/>
      </c>
      <c r="M165" s="489">
        <f t="shared" si="206"/>
      </c>
      <c r="N165" s="490">
        <f t="shared" si="236"/>
      </c>
      <c r="O165" s="491" t="s">
        <v>325</v>
      </c>
      <c r="P165" s="492" t="s">
        <v>353</v>
      </c>
      <c r="Q165" s="504">
        <v>70425</v>
      </c>
      <c r="R165" s="504">
        <v>8959</v>
      </c>
      <c r="S165" s="505">
        <v>34</v>
      </c>
      <c r="T165" s="505">
        <v>107</v>
      </c>
    </row>
    <row r="166">
      <c r="A166" s="481"/>
      <c r="B166" s="482" t="s">
        <v>331</v>
      </c>
      <c r="C166" s="483" t="s">
        <v>348</v>
      </c>
      <c r="D166" s="500">
        <f t="shared" si="24"/>
      </c>
      <c r="E166" s="483">
        <v>3274.36</v>
      </c>
      <c r="F166" s="483">
        <v>5146.47</v>
      </c>
      <c r="G166" s="531">
        <v>23</v>
      </c>
      <c r="H166" s="503">
        <v>16554.92</v>
      </c>
      <c r="I166" s="486">
        <f t="shared" si="89"/>
      </c>
      <c r="J166" s="486">
        <f t="shared" si="118"/>
      </c>
      <c r="K166" s="487">
        <f t="shared" si="147"/>
      </c>
      <c r="L166" s="488">
        <f t="shared" si="176"/>
      </c>
      <c r="M166" s="489">
        <f t="shared" si="206"/>
      </c>
      <c r="N166" s="490">
        <f t="shared" si="236"/>
      </c>
      <c r="O166" s="491" t="s">
        <v>325</v>
      </c>
      <c r="P166" s="492" t="s">
        <v>353</v>
      </c>
      <c r="Q166" s="504">
        <v>88904</v>
      </c>
      <c r="R166" s="504">
        <v>11076</v>
      </c>
      <c r="S166" s="505">
        <v>27</v>
      </c>
      <c r="T166" s="505">
        <v>116</v>
      </c>
    </row>
    <row r="167">
      <c r="A167" s="481"/>
      <c r="B167" s="514" t="s">
        <v>330</v>
      </c>
      <c r="C167" s="514"/>
      <c r="D167" s="507">
        <f>SUM(D163:D166)</f>
      </c>
      <c r="E167" s="507">
        <f>SUM(E163:E166)</f>
      </c>
      <c r="F167" s="507">
        <f>SUM(F163:F166)</f>
      </c>
      <c r="G167" s="508">
        <f>SUM(G163:G166)</f>
      </c>
      <c r="H167" s="507">
        <f>SUM(H163:H166)</f>
      </c>
      <c r="I167" s="515">
        <f t="shared" si="89"/>
      </c>
      <c r="J167" s="510">
        <f t="shared" si="118"/>
      </c>
      <c r="K167" s="511">
        <f t="shared" si="147"/>
      </c>
      <c r="L167" s="512">
        <f t="shared" si="176"/>
      </c>
      <c r="M167" s="512">
        <f t="shared" si="206"/>
      </c>
      <c r="N167" s="513">
        <f t="shared" si="236"/>
      </c>
      <c r="O167" s="513"/>
      <c r="P167" s="513"/>
      <c r="Q167" s="508">
        <f>SUM(Q163:Q166)</f>
      </c>
      <c r="R167" s="508">
        <f>SUM(R163:R166)</f>
      </c>
      <c r="S167" s="508">
        <f>SUM(S163:S166)</f>
      </c>
      <c r="T167" s="508">
        <f>SUM(T163:T166)</f>
      </c>
    </row>
    <row r="168">
      <c r="A168" s="481"/>
      <c r="B168" s="523" t="s">
        <v>360</v>
      </c>
      <c r="C168" s="525" t="s">
        <v>349</v>
      </c>
      <c r="D168" s="500">
        <f t="shared" ref="D168:D169" si="25">E168+F168</f>
      </c>
      <c r="E168" s="525">
        <v>1866.22</v>
      </c>
      <c r="F168" s="525">
        <v>2991.66</v>
      </c>
      <c r="G168" s="529">
        <v>7</v>
      </c>
      <c r="H168" s="483">
        <v>4646.419999999998</v>
      </c>
      <c r="I168" s="486">
        <f t="shared" si="89"/>
      </c>
      <c r="J168" s="486">
        <f t="shared" si="118"/>
      </c>
      <c r="K168" s="487">
        <f t="shared" si="147"/>
      </c>
      <c r="L168" s="488">
        <f t="shared" si="176"/>
      </c>
      <c r="M168" s="489">
        <f t="shared" si="206"/>
      </c>
      <c r="N168" s="490">
        <f t="shared" si="236"/>
      </c>
      <c r="O168" s="491" t="s">
        <v>325</v>
      </c>
      <c r="P168" s="526" t="s">
        <v>353</v>
      </c>
      <c r="Q168" s="504">
        <v>50286</v>
      </c>
      <c r="R168" s="504">
        <v>5359</v>
      </c>
      <c r="S168" s="505">
        <v>11</v>
      </c>
      <c r="T168" s="505">
        <v>68</v>
      </c>
    </row>
    <row r="169">
      <c r="A169" s="481"/>
      <c r="B169" s="523" t="s">
        <v>360</v>
      </c>
      <c r="C169" s="483" t="s">
        <v>350</v>
      </c>
      <c r="D169" s="500">
        <f t="shared" si="25"/>
      </c>
      <c r="E169" s="525">
        <v>1386.29</v>
      </c>
      <c r="F169" s="525">
        <v>2383.56</v>
      </c>
      <c r="G169" s="529">
        <v>18</v>
      </c>
      <c r="H169" s="483">
        <v>8419.679999999993</v>
      </c>
      <c r="I169" s="486">
        <f t="shared" si="89"/>
      </c>
      <c r="J169" s="486">
        <f t="shared" si="118"/>
      </c>
      <c r="K169" s="487">
        <f t="shared" si="147"/>
      </c>
      <c r="L169" s="488">
        <f t="shared" si="176"/>
      </c>
      <c r="M169" s="489">
        <f t="shared" si="206"/>
      </c>
      <c r="N169" s="490">
        <f t="shared" si="236"/>
      </c>
      <c r="O169" s="491" t="s">
        <v>325</v>
      </c>
      <c r="P169" s="526" t="s">
        <v>353</v>
      </c>
      <c r="Q169" s="504">
        <v>43152</v>
      </c>
      <c r="R169" s="504">
        <v>4415</v>
      </c>
      <c r="S169" s="505">
        <v>21</v>
      </c>
      <c r="T169" s="505">
        <v>59</v>
      </c>
    </row>
    <row r="170">
      <c r="A170" s="481"/>
      <c r="B170" s="514" t="s">
        <v>330</v>
      </c>
      <c r="C170" s="514"/>
      <c r="D170" s="507">
        <f>SUM(D168:D169)</f>
      </c>
      <c r="E170" s="507">
        <f>SUM(E168:E169)</f>
      </c>
      <c r="F170" s="507">
        <f>SUM(F168:F169)</f>
      </c>
      <c r="G170" s="507">
        <f>SUM(G168:G169)</f>
      </c>
      <c r="H170" s="507">
        <f>SUM(H168:H169)</f>
      </c>
      <c r="I170" s="515">
        <f t="shared" si="89"/>
      </c>
      <c r="J170" s="510">
        <f t="shared" si="118"/>
      </c>
      <c r="K170" s="511">
        <f t="shared" si="147"/>
      </c>
      <c r="L170" s="512">
        <f t="shared" si="176"/>
      </c>
      <c r="M170" s="512">
        <f t="shared" si="206"/>
      </c>
      <c r="N170" s="513">
        <f t="shared" si="236"/>
      </c>
      <c r="O170" s="513"/>
      <c r="P170" s="513"/>
      <c r="Q170" s="508">
        <f>SUM(Q168:Q169)</f>
      </c>
      <c r="R170" s="508">
        <f>SUM(R168:R169)</f>
      </c>
      <c r="S170" s="508">
        <f>SUM(S168:S169)</f>
      </c>
      <c r="T170" s="508">
        <f>SUM(T168:T169)</f>
      </c>
    </row>
    <row r="171">
      <c r="A171" s="481"/>
      <c r="B171" s="482" t="s">
        <v>338</v>
      </c>
      <c r="C171" s="483" t="s">
        <v>324</v>
      </c>
      <c r="D171" s="500">
        <f t="shared" ref="D171:D174" si="26">E171+F171</f>
      </c>
      <c r="E171" s="525">
        <v>673.86</v>
      </c>
      <c r="F171" s="525">
        <v>3320.05</v>
      </c>
      <c r="G171" s="499">
        <v>13</v>
      </c>
      <c r="H171" s="483">
        <v>7655.289999999994</v>
      </c>
      <c r="I171" s="486">
        <f t="shared" si="89"/>
      </c>
      <c r="J171" s="486">
        <f t="shared" si="118"/>
      </c>
      <c r="K171" s="487">
        <f t="shared" si="147"/>
      </c>
      <c r="L171" s="488">
        <f t="shared" si="176"/>
      </c>
      <c r="M171" s="489">
        <f t="shared" si="206"/>
      </c>
      <c r="N171" s="490">
        <f t="shared" si="236"/>
      </c>
      <c r="O171" s="491" t="s">
        <v>325</v>
      </c>
      <c r="P171" s="526" t="s">
        <v>357</v>
      </c>
      <c r="Q171" s="504">
        <v>47897</v>
      </c>
      <c r="R171" s="504">
        <v>3012</v>
      </c>
      <c r="S171" s="505">
        <v>13</v>
      </c>
      <c r="T171" s="505">
        <v>58</v>
      </c>
    </row>
    <row r="172">
      <c r="A172" s="481"/>
      <c r="B172" s="482" t="s">
        <v>338</v>
      </c>
      <c r="C172" s="483" t="s">
        <v>327</v>
      </c>
      <c r="D172" s="500">
        <f t="shared" si="26"/>
      </c>
      <c r="E172" s="525">
        <v>977.32</v>
      </c>
      <c r="F172" s="525">
        <v>3602.54</v>
      </c>
      <c r="G172" s="499">
        <v>12</v>
      </c>
      <c r="H172" s="483">
        <v>4369.680000000008</v>
      </c>
      <c r="I172" s="486">
        <f t="shared" si="89"/>
      </c>
      <c r="J172" s="486">
        <f t="shared" si="118"/>
      </c>
      <c r="K172" s="487">
        <f t="shared" si="147"/>
      </c>
      <c r="L172" s="488">
        <f t="shared" si="176"/>
      </c>
      <c r="M172" s="489">
        <f t="shared" si="206"/>
      </c>
      <c r="N172" s="490">
        <f t="shared" si="236"/>
      </c>
      <c r="O172" s="491" t="s">
        <v>325</v>
      </c>
      <c r="P172" s="526" t="s">
        <v>357</v>
      </c>
      <c r="Q172" s="504">
        <v>58803</v>
      </c>
      <c r="R172" s="504">
        <v>4261</v>
      </c>
      <c r="S172" s="505">
        <v>18</v>
      </c>
      <c r="T172" s="505">
        <v>95</v>
      </c>
    </row>
    <row r="173">
      <c r="A173" s="481"/>
      <c r="B173" s="482" t="s">
        <v>338</v>
      </c>
      <c r="C173" s="483" t="s">
        <v>328</v>
      </c>
      <c r="D173" s="500">
        <f t="shared" si="26"/>
      </c>
      <c r="E173" s="483">
        <v>687.72</v>
      </c>
      <c r="F173" s="483">
        <v>1709.04</v>
      </c>
      <c r="G173" s="499">
        <v>5</v>
      </c>
      <c r="H173" s="483">
        <v>5161.440000000002</v>
      </c>
      <c r="I173" s="486">
        <f t="shared" si="89"/>
      </c>
      <c r="J173" s="486">
        <f t="shared" si="118"/>
      </c>
      <c r="K173" s="487">
        <f t="shared" si="147"/>
      </c>
      <c r="L173" s="488">
        <f t="shared" si="176"/>
      </c>
      <c r="M173" s="489">
        <f t="shared" si="206"/>
      </c>
      <c r="N173" s="490">
        <f t="shared" si="236"/>
      </c>
      <c r="O173" s="491" t="s">
        <v>325</v>
      </c>
      <c r="P173" s="526" t="s">
        <v>357</v>
      </c>
      <c r="Q173" s="504">
        <v>32291</v>
      </c>
      <c r="R173" s="504">
        <v>2475</v>
      </c>
      <c r="S173" s="505">
        <v>8</v>
      </c>
      <c r="T173" s="505">
        <v>42</v>
      </c>
    </row>
    <row r="174">
      <c r="A174" s="481"/>
      <c r="B174" s="482" t="s">
        <v>338</v>
      </c>
      <c r="C174" s="483" t="s">
        <v>329</v>
      </c>
      <c r="D174" s="500">
        <f t="shared" si="26"/>
      </c>
      <c r="E174" s="483">
        <v>551.54</v>
      </c>
      <c r="F174" s="525">
        <v>1883.68</v>
      </c>
      <c r="G174" s="529">
        <v>4</v>
      </c>
      <c r="H174" s="483">
        <v>1785.5999999999767</v>
      </c>
      <c r="I174" s="486">
        <f t="shared" si="89"/>
      </c>
      <c r="J174" s="486">
        <f t="shared" si="118"/>
      </c>
      <c r="K174" s="487">
        <f t="shared" si="147"/>
      </c>
      <c r="L174" s="488">
        <f t="shared" si="176"/>
      </c>
      <c r="M174" s="489">
        <f t="shared" si="206"/>
      </c>
      <c r="N174" s="490">
        <f t="shared" si="236"/>
      </c>
      <c r="O174" s="491" t="s">
        <v>325</v>
      </c>
      <c r="P174" s="526" t="s">
        <v>357</v>
      </c>
      <c r="Q174" s="504">
        <v>31528</v>
      </c>
      <c r="R174" s="504">
        <v>2731</v>
      </c>
      <c r="S174" s="505">
        <v>9</v>
      </c>
      <c r="T174" s="505">
        <v>48</v>
      </c>
    </row>
    <row r="175">
      <c r="A175" s="481"/>
      <c r="B175" s="514" t="s">
        <v>330</v>
      </c>
      <c r="C175" s="514"/>
      <c r="D175" s="507">
        <f>SUM(D171:D174)</f>
      </c>
      <c r="E175" s="507">
        <f>SUM(E171:E174)</f>
      </c>
      <c r="F175" s="507">
        <f>SUM(F171:F174)</f>
      </c>
      <c r="G175" s="508">
        <f>SUM(G171:G174)</f>
      </c>
      <c r="H175" s="507">
        <f>SUM(H171:H174)</f>
      </c>
      <c r="I175" s="515">
        <f t="shared" si="89"/>
      </c>
      <c r="J175" s="510">
        <f t="shared" si="118"/>
      </c>
      <c r="K175" s="511">
        <f t="shared" si="147"/>
      </c>
      <c r="L175" s="512">
        <f t="shared" si="176"/>
      </c>
      <c r="M175" s="512">
        <f t="shared" si="206"/>
      </c>
      <c r="N175" s="513">
        <f t="shared" si="236"/>
      </c>
      <c r="O175" s="513"/>
      <c r="P175" s="513"/>
      <c r="Q175" s="508">
        <f>SUM(Q171:Q174)</f>
      </c>
      <c r="R175" s="508">
        <f>SUM(R171:R174)</f>
      </c>
      <c r="S175" s="508">
        <f>SUM(S171:S174)</f>
      </c>
      <c r="T175" s="508">
        <f>SUM(T171:T174)</f>
      </c>
    </row>
    <row r="176">
      <c r="A176" s="481"/>
      <c r="B176" s="523" t="s">
        <v>351</v>
      </c>
      <c r="C176" s="483" t="s">
        <v>332</v>
      </c>
      <c r="D176" s="500">
        <f t="shared" ref="D176:D179" si="27">E176+F176</f>
      </c>
      <c r="E176" s="525">
        <v>274.77</v>
      </c>
      <c r="F176" s="525">
        <v>2335.97</v>
      </c>
      <c r="G176" s="499">
        <v>9</v>
      </c>
      <c r="H176" s="483">
        <v>8195.279999999999</v>
      </c>
      <c r="I176" s="486">
        <f t="shared" si="89"/>
      </c>
      <c r="J176" s="486">
        <f t="shared" si="118"/>
      </c>
      <c r="K176" s="487">
        <f t="shared" si="147"/>
      </c>
      <c r="L176" s="488">
        <f t="shared" si="176"/>
      </c>
      <c r="M176" s="489">
        <f t="shared" si="206"/>
      </c>
      <c r="N176" s="490">
        <f t="shared" si="236"/>
      </c>
      <c r="O176" s="491" t="s">
        <v>325</v>
      </c>
      <c r="P176" s="492" t="s">
        <v>357</v>
      </c>
      <c r="Q176" s="504">
        <v>34411</v>
      </c>
      <c r="R176" s="504">
        <v>2608</v>
      </c>
      <c r="S176" s="505">
        <v>11</v>
      </c>
      <c r="T176" s="505">
        <v>37</v>
      </c>
    </row>
    <row customHeight="true" ht="16.666666666666668" r="177">
      <c r="A177" s="481"/>
      <c r="B177" s="523" t="s">
        <v>351</v>
      </c>
      <c r="C177" s="525" t="s">
        <v>333</v>
      </c>
      <c r="D177" s="500">
        <f t="shared" si="27"/>
      </c>
      <c r="E177" s="525">
        <v>311.43</v>
      </c>
      <c r="F177" s="525">
        <v>4135.6</v>
      </c>
      <c r="G177" s="499">
        <v>10</v>
      </c>
      <c r="H177" s="483">
        <v>8063.400000000023</v>
      </c>
      <c r="I177" s="486">
        <f t="shared" si="89"/>
      </c>
      <c r="J177" s="486">
        <f t="shared" si="118"/>
      </c>
      <c r="K177" s="487">
        <f t="shared" si="147"/>
      </c>
      <c r="L177" s="488">
        <f t="shared" si="176"/>
      </c>
      <c r="M177" s="489">
        <f t="shared" si="206"/>
      </c>
      <c r="N177" s="490">
        <f t="shared" si="236"/>
      </c>
      <c r="O177" s="491" t="s">
        <v>325</v>
      </c>
      <c r="P177" s="492" t="s">
        <v>357</v>
      </c>
      <c r="Q177" s="504">
        <v>53516</v>
      </c>
      <c r="R177" s="504">
        <v>4987</v>
      </c>
      <c r="S177" s="505">
        <v>13</v>
      </c>
      <c r="T177" s="505">
        <v>169</v>
      </c>
    </row>
    <row customHeight="true" ht="16.666666666666668" r="178">
      <c r="A178" s="481"/>
      <c r="B178" s="523" t="s">
        <v>351</v>
      </c>
      <c r="C178" s="525" t="s">
        <v>334</v>
      </c>
      <c r="D178" s="500">
        <f t="shared" si="27"/>
      </c>
      <c r="E178" s="525">
        <v>424.67</v>
      </c>
      <c r="F178" s="525">
        <v>3996.19</v>
      </c>
      <c r="G178" s="499">
        <v>27</v>
      </c>
      <c r="H178" s="483">
        <v>15608.529999999999</v>
      </c>
      <c r="I178" s="486">
        <f t="shared" si="89"/>
      </c>
      <c r="J178" s="486">
        <f t="shared" si="118"/>
      </c>
      <c r="K178" s="487">
        <f t="shared" si="147"/>
      </c>
      <c r="L178" s="488">
        <f t="shared" si="176"/>
      </c>
      <c r="M178" s="489">
        <f t="shared" si="206"/>
      </c>
      <c r="N178" s="490">
        <f t="shared" si="236"/>
      </c>
      <c r="O178" s="491" t="s">
        <v>325</v>
      </c>
      <c r="P178" s="492" t="s">
        <v>357</v>
      </c>
      <c r="Q178" s="504">
        <v>55528</v>
      </c>
      <c r="R178" s="504">
        <v>4761</v>
      </c>
      <c r="S178" s="505">
        <v>29</v>
      </c>
      <c r="T178" s="505">
        <v>37</v>
      </c>
    </row>
    <row r="179">
      <c r="A179" s="481"/>
      <c r="B179" s="523" t="s">
        <v>351</v>
      </c>
      <c r="C179" s="525" t="s">
        <v>335</v>
      </c>
      <c r="D179" s="500">
        <f t="shared" si="27"/>
      </c>
      <c r="E179" s="525">
        <v>168.47</v>
      </c>
      <c r="F179" s="525">
        <v>3718.74</v>
      </c>
      <c r="G179" s="529">
        <v>10</v>
      </c>
      <c r="H179" s="525">
        <v>4868</v>
      </c>
      <c r="I179" s="486">
        <f t="shared" si="89"/>
      </c>
      <c r="J179" s="486">
        <f t="shared" si="118"/>
      </c>
      <c r="K179" s="487">
        <f t="shared" si="147"/>
      </c>
      <c r="L179" s="488">
        <f t="shared" si="176"/>
      </c>
      <c r="M179" s="489">
        <f t="shared" si="206"/>
      </c>
      <c r="N179" s="490">
        <f t="shared" si="236"/>
      </c>
      <c r="O179" s="491" t="s">
        <v>325</v>
      </c>
      <c r="P179" s="492" t="s">
        <v>357</v>
      </c>
      <c r="Q179" s="504">
        <v>48118</v>
      </c>
      <c r="R179" s="504">
        <v>5458</v>
      </c>
      <c r="S179" s="505">
        <v>11</v>
      </c>
      <c r="T179" s="505">
        <v>13</v>
      </c>
    </row>
    <row r="180">
      <c r="A180" s="481"/>
      <c r="B180" s="514" t="s">
        <v>330</v>
      </c>
      <c r="C180" s="514"/>
      <c r="D180" s="507">
        <f>SUM(D176:D179)</f>
      </c>
      <c r="E180" s="507">
        <f>SUM(E176:E179)</f>
      </c>
      <c r="F180" s="507">
        <f>SUM(F176:F179)</f>
      </c>
      <c r="G180" s="508">
        <f>SUM(G176:G179)</f>
      </c>
      <c r="H180" s="507">
        <f>SUM(H176:H179)</f>
      </c>
      <c r="I180" s="515">
        <f t="shared" si="89"/>
      </c>
      <c r="J180" s="510">
        <f t="shared" si="118"/>
      </c>
      <c r="K180" s="511">
        <f t="shared" si="147"/>
      </c>
      <c r="L180" s="512">
        <f t="shared" si="176"/>
      </c>
      <c r="M180" s="512">
        <f t="shared" si="206"/>
      </c>
      <c r="N180" s="513">
        <f t="shared" si="236"/>
      </c>
      <c r="O180" s="513"/>
      <c r="P180" s="513"/>
      <c r="Q180" s="508">
        <f>SUM(Q176:Q179)</f>
      </c>
      <c r="R180" s="508">
        <f>SUM(R176:R179)</f>
      </c>
      <c r="S180" s="508">
        <f>SUM(S176:S179)</f>
      </c>
      <c r="T180" s="508">
        <f>SUM(T176:T179)</f>
      </c>
    </row>
    <row r="181">
      <c r="A181" s="481"/>
      <c r="B181" s="516" t="s">
        <v>336</v>
      </c>
      <c r="C181" s="516"/>
      <c r="D181" s="517">
        <f>D162+D175+D167+D180+D170</f>
      </c>
      <c r="E181" s="517">
        <f>E162+E175+E167+E180+E170</f>
      </c>
      <c r="F181" s="517">
        <f>F162+F175+F167+F180+F170</f>
      </c>
      <c r="G181" s="517">
        <f>G162+G175+G167+G180+G170</f>
      </c>
      <c r="H181" s="517">
        <f>H162+H175+H167+H180+H170</f>
      </c>
      <c r="I181" s="519">
        <f t="shared" si="89"/>
      </c>
      <c r="J181" s="519">
        <f t="shared" si="118"/>
      </c>
      <c r="K181" s="520">
        <f t="shared" si="147"/>
      </c>
      <c r="L181" s="521">
        <f t="shared" si="176"/>
      </c>
      <c r="M181" s="521">
        <f t="shared" si="206"/>
      </c>
      <c r="N181" s="519">
        <f t="shared" si="236"/>
      </c>
      <c r="O181" s="522"/>
      <c r="P181" s="522"/>
      <c r="Q181" s="530">
        <f>Q162+Q175+Q167+Q180+Q170</f>
      </c>
      <c r="R181" s="530">
        <f>R162+R175+R167+R180+R170</f>
      </c>
      <c r="S181" s="530">
        <f>S162+S175+S167+S180+S170</f>
      </c>
      <c r="T181" s="530">
        <f>T162+T175+T167+T180+T170</f>
      </c>
    </row>
    <row r="182">
      <c r="A182" s="463" t="s">
        <v>298</v>
      </c>
      <c r="B182" s="463"/>
      <c r="C182" s="463"/>
      <c r="D182" s="464" t="s">
        <v>299</v>
      </c>
      <c r="E182" s="464"/>
      <c r="F182" s="464"/>
      <c r="G182" s="464"/>
      <c r="H182" s="464"/>
      <c r="I182" s="464"/>
      <c r="J182" s="464"/>
      <c r="K182" s="464"/>
      <c r="L182" s="465" t="s">
        <v>300</v>
      </c>
      <c r="M182" s="465"/>
      <c r="N182" s="465"/>
      <c r="O182" s="465"/>
      <c r="P182" s="465"/>
      <c r="Q182" s="466" t="s">
        <v>301</v>
      </c>
      <c r="R182" s="466"/>
      <c r="S182" s="466"/>
      <c r="T182" s="466"/>
    </row>
    <row r="183">
      <c r="A183" s="467" t="s">
        <v>302</v>
      </c>
      <c r="B183" s="468" t="s">
        <v>303</v>
      </c>
      <c r="C183" s="469" t="s">
        <v>304</v>
      </c>
      <c r="D183" s="470" t="s">
        <v>305</v>
      </c>
      <c r="E183" s="471" t="s">
        <v>306</v>
      </c>
      <c r="F183" s="470" t="s">
        <v>307</v>
      </c>
      <c r="G183" s="472" t="s">
        <v>308</v>
      </c>
      <c r="H183" s="473" t="s">
        <v>309</v>
      </c>
      <c r="I183" s="474" t="s">
        <v>310</v>
      </c>
      <c r="J183" s="475" t="s">
        <v>311</v>
      </c>
      <c r="K183" s="476" t="s">
        <v>312</v>
      </c>
      <c r="L183" s="465" t="s">
        <v>313</v>
      </c>
      <c r="M183" s="465" t="s">
        <v>314</v>
      </c>
      <c r="N183" s="465" t="s">
        <v>315</v>
      </c>
      <c r="O183" s="477" t="s">
        <v>316</v>
      </c>
      <c r="P183" s="478" t="s">
        <v>317</v>
      </c>
      <c r="Q183" s="479" t="s">
        <v>318</v>
      </c>
      <c r="R183" s="479" t="s">
        <v>319</v>
      </c>
      <c r="S183" s="480" t="s">
        <v>320</v>
      </c>
      <c r="T183" s="479" t="s">
        <v>321</v>
      </c>
    </row>
    <row r="184">
      <c r="A184" s="481" t="s">
        <v>362</v>
      </c>
      <c r="B184" s="523" t="s">
        <v>331</v>
      </c>
      <c r="C184" s="483" t="s">
        <v>339</v>
      </c>
      <c r="D184" s="483">
        <f t="shared" ref="D184:D188" si="28">E184+F184</f>
      </c>
      <c r="E184" s="524">
        <v>728.81</v>
      </c>
      <c r="F184" s="525">
        <v>2840.69</v>
      </c>
      <c r="G184" s="532">
        <v>13</v>
      </c>
      <c r="H184" s="525">
        <v>5924.24</v>
      </c>
      <c r="I184" s="486">
        <f t="shared" ref="I184:I204" si="90">H184/D184</f>
      </c>
      <c r="J184" s="486">
        <f t="shared" ref="J184:J204" si="119">D184/G184</f>
      </c>
      <c r="K184" s="487">
        <f t="shared" ref="K184:K204" si="148">H184/G184</f>
      </c>
      <c r="L184" s="488">
        <f t="shared" ref="L184:L204" si="177">R184/Q184</f>
      </c>
      <c r="M184" s="489">
        <f t="shared" ref="M184:M204" si="207">G184/S184</f>
      </c>
      <c r="N184" s="490">
        <f t="shared" ref="N184:N204" si="237">(T184*1000)/D184</f>
      </c>
      <c r="O184" s="491" t="s">
        <v>325</v>
      </c>
      <c r="P184" s="526" t="s">
        <v>363</v>
      </c>
      <c r="Q184" s="493">
        <v>36137</v>
      </c>
      <c r="R184" s="493">
        <v>3661</v>
      </c>
      <c r="S184" s="527">
        <v>14</v>
      </c>
      <c r="T184" s="527">
        <v>52</v>
      </c>
    </row>
    <row r="185">
      <c r="A185" s="481"/>
      <c r="B185" s="482" t="s">
        <v>331</v>
      </c>
      <c r="C185" s="496" t="s">
        <v>341</v>
      </c>
      <c r="D185" s="497">
        <f t="shared" si="28"/>
      </c>
      <c r="E185" s="528">
        <v>3681.02</v>
      </c>
      <c r="F185" s="528">
        <v>3944.23</v>
      </c>
      <c r="G185" s="529">
        <v>33</v>
      </c>
      <c r="H185" s="525">
        <v>23082.020000000004</v>
      </c>
      <c r="I185" s="486">
        <f t="shared" si="90"/>
      </c>
      <c r="J185" s="486">
        <f t="shared" si="119"/>
      </c>
      <c r="K185" s="487">
        <f t="shared" si="148"/>
      </c>
      <c r="L185" s="488">
        <f t="shared" si="177"/>
      </c>
      <c r="M185" s="489">
        <f t="shared" si="207"/>
      </c>
      <c r="N185" s="490">
        <f t="shared" si="237"/>
      </c>
      <c r="O185" s="491" t="s">
        <v>325</v>
      </c>
      <c r="P185" s="526" t="s">
        <v>363</v>
      </c>
      <c r="Q185" s="494">
        <v>100348</v>
      </c>
      <c r="R185" s="494">
        <v>9312</v>
      </c>
      <c r="S185" s="527">
        <v>38</v>
      </c>
      <c r="T185" s="527">
        <v>138</v>
      </c>
    </row>
    <row r="186">
      <c r="A186" s="481"/>
      <c r="B186" s="482" t="s">
        <v>331</v>
      </c>
      <c r="C186" s="483" t="s">
        <v>342</v>
      </c>
      <c r="D186" s="500">
        <f t="shared" si="28"/>
      </c>
      <c r="E186" s="501">
        <v>5318.38</v>
      </c>
      <c r="F186" s="483">
        <v>2454.65</v>
      </c>
      <c r="G186" s="502">
        <v>20</v>
      </c>
      <c r="H186" s="503">
        <v>12312.239999999998</v>
      </c>
      <c r="I186" s="486">
        <f t="shared" si="90"/>
      </c>
      <c r="J186" s="486">
        <f t="shared" si="119"/>
      </c>
      <c r="K186" s="487">
        <f t="shared" si="148"/>
      </c>
      <c r="L186" s="488">
        <f t="shared" si="177"/>
      </c>
      <c r="M186" s="489">
        <f t="shared" si="207"/>
      </c>
      <c r="N186" s="490">
        <f t="shared" si="237"/>
      </c>
      <c r="O186" s="491" t="s">
        <v>325</v>
      </c>
      <c r="P186" s="526" t="s">
        <v>363</v>
      </c>
      <c r="Q186" s="494">
        <v>104201</v>
      </c>
      <c r="R186" s="494">
        <v>10649</v>
      </c>
      <c r="S186" s="527">
        <v>29</v>
      </c>
      <c r="T186" s="527">
        <v>155</v>
      </c>
    </row>
    <row customHeight="true" ht="16.666666666666668" r="187">
      <c r="A187" s="481"/>
      <c r="B187" s="482" t="s">
        <v>331</v>
      </c>
      <c r="C187" s="483" t="s">
        <v>344</v>
      </c>
      <c r="D187" s="500">
        <f t="shared" si="28"/>
      </c>
      <c r="E187" s="501">
        <v>5114.59</v>
      </c>
      <c r="F187" s="483">
        <v>1101.49</v>
      </c>
      <c r="G187" s="502">
        <v>25</v>
      </c>
      <c r="H187" s="503">
        <v>18112.440000000002</v>
      </c>
      <c r="I187" s="486">
        <f t="shared" si="90"/>
      </c>
      <c r="J187" s="486">
        <f t="shared" si="119"/>
      </c>
      <c r="K187" s="487">
        <f t="shared" si="148"/>
      </c>
      <c r="L187" s="488">
        <f t="shared" si="177"/>
      </c>
      <c r="M187" s="489">
        <f t="shared" si="207"/>
      </c>
      <c r="N187" s="490">
        <f t="shared" si="237"/>
      </c>
      <c r="O187" s="491" t="s">
        <v>325</v>
      </c>
      <c r="P187" s="526" t="s">
        <v>363</v>
      </c>
      <c r="Q187" s="504">
        <v>66504</v>
      </c>
      <c r="R187" s="504">
        <v>8011</v>
      </c>
      <c r="S187" s="505">
        <v>33</v>
      </c>
      <c r="T187" s="505">
        <v>126</v>
      </c>
    </row>
    <row r="188">
      <c r="A188" s="481"/>
      <c r="B188" s="482" t="s">
        <v>331</v>
      </c>
      <c r="C188" s="525" t="s">
        <v>345</v>
      </c>
      <c r="D188" s="500">
        <f t="shared" si="28"/>
      </c>
      <c r="E188" s="501">
        <v>3059.18</v>
      </c>
      <c r="F188" s="483">
        <v>974.57</v>
      </c>
      <c r="G188" s="502">
        <v>12</v>
      </c>
      <c r="H188" s="503">
        <v>4889.419999999998</v>
      </c>
      <c r="I188" s="486">
        <f t="shared" si="90"/>
      </c>
      <c r="J188" s="486">
        <f t="shared" si="119"/>
      </c>
      <c r="K188" s="487">
        <f t="shared" si="148"/>
      </c>
      <c r="L188" s="488">
        <f t="shared" si="177"/>
      </c>
      <c r="M188" s="489">
        <f t="shared" si="207"/>
      </c>
      <c r="N188" s="490">
        <f t="shared" si="237"/>
      </c>
      <c r="O188" s="491" t="s">
        <v>325</v>
      </c>
      <c r="P188" s="526" t="s">
        <v>363</v>
      </c>
      <c r="Q188" s="504">
        <v>40494</v>
      </c>
      <c r="R188" s="504">
        <v>4971</v>
      </c>
      <c r="S188" s="505">
        <v>13</v>
      </c>
      <c r="T188" s="505">
        <v>84</v>
      </c>
    </row>
    <row r="189">
      <c r="A189" s="481"/>
      <c r="B189" s="506" t="s">
        <v>330</v>
      </c>
      <c r="C189" s="506"/>
      <c r="D189" s="507">
        <f>SUM(D184:D188)</f>
      </c>
      <c r="E189" s="507">
        <f>SUM(E184:E188)</f>
      </c>
      <c r="F189" s="507">
        <f>SUM(F184:F188)</f>
      </c>
      <c r="G189" s="507">
        <f>SUM(G184:G188)</f>
      </c>
      <c r="H189" s="507">
        <f>SUM(H184:H188)</f>
      </c>
      <c r="I189" s="509">
        <f t="shared" si="90"/>
      </c>
      <c r="J189" s="510">
        <f t="shared" si="119"/>
      </c>
      <c r="K189" s="511">
        <f t="shared" si="148"/>
      </c>
      <c r="L189" s="512">
        <f t="shared" si="177"/>
      </c>
      <c r="M189" s="512">
        <f t="shared" si="207"/>
      </c>
      <c r="N189" s="513">
        <f t="shared" si="237"/>
      </c>
      <c r="O189" s="513"/>
      <c r="P189" s="513"/>
      <c r="Q189" s="508">
        <f>SUM(Q184:Q188)</f>
      </c>
      <c r="R189" s="508">
        <f>SUM(R184:R188)</f>
      </c>
      <c r="S189" s="508">
        <f>SUM(S184:S188)</f>
      </c>
      <c r="T189" s="508">
        <f>SUM(T184:T188)</f>
      </c>
    </row>
    <row r="190">
      <c r="A190" s="481"/>
      <c r="B190" s="523" t="s">
        <v>323</v>
      </c>
      <c r="C190" s="525" t="s">
        <v>346</v>
      </c>
      <c r="D190" s="500">
        <f t="shared" ref="D190:D194" si="29">E190+F190</f>
      </c>
      <c r="E190" s="483">
        <v>2432.78</v>
      </c>
      <c r="F190" s="483">
        <v>1832.46</v>
      </c>
      <c r="G190" s="499">
        <v>15</v>
      </c>
      <c r="H190" s="483">
        <v>10421.099999999991</v>
      </c>
      <c r="I190" s="486">
        <f t="shared" si="90"/>
      </c>
      <c r="J190" s="486">
        <f t="shared" si="119"/>
      </c>
      <c r="K190" s="487">
        <f t="shared" si="148"/>
      </c>
      <c r="L190" s="488">
        <f t="shared" si="177"/>
      </c>
      <c r="M190" s="489">
        <f t="shared" si="207"/>
      </c>
      <c r="N190" s="490">
        <f t="shared" si="237"/>
      </c>
      <c r="O190" s="491" t="s">
        <v>325</v>
      </c>
      <c r="P190" s="526" t="s">
        <v>363</v>
      </c>
      <c r="Q190" s="504">
        <v>42513</v>
      </c>
      <c r="R190" s="504">
        <v>4962</v>
      </c>
      <c r="S190" s="505">
        <v>32</v>
      </c>
      <c r="T190" s="505">
        <v>86</v>
      </c>
    </row>
    <row r="191">
      <c r="A191" s="481"/>
      <c r="B191" s="523" t="s">
        <v>323</v>
      </c>
      <c r="C191" s="483" t="s">
        <v>347</v>
      </c>
      <c r="D191" s="500">
        <f t="shared" si="29"/>
      </c>
      <c r="E191" s="501">
        <v>3952.09</v>
      </c>
      <c r="F191" s="483">
        <v>2087.01</v>
      </c>
      <c r="G191" s="502">
        <v>14</v>
      </c>
      <c r="H191" s="503">
        <v>7165.720000000001</v>
      </c>
      <c r="I191" s="486">
        <f t="shared" si="90"/>
      </c>
      <c r="J191" s="486">
        <f t="shared" si="119"/>
      </c>
      <c r="K191" s="487">
        <f t="shared" si="148"/>
      </c>
      <c r="L191" s="488">
        <f t="shared" si="177"/>
      </c>
      <c r="M191" s="489">
        <f t="shared" si="207"/>
      </c>
      <c r="N191" s="490">
        <f t="shared" si="237"/>
      </c>
      <c r="O191" s="491" t="s">
        <v>325</v>
      </c>
      <c r="P191" s="526" t="s">
        <v>363</v>
      </c>
      <c r="Q191" s="504">
        <v>65335</v>
      </c>
      <c r="R191" s="504">
        <v>6872</v>
      </c>
      <c r="S191" s="505">
        <v>24</v>
      </c>
      <c r="T191" s="505">
        <v>118</v>
      </c>
    </row>
    <row customHeight="true" ht="16.666666666666668" r="192">
      <c r="A192" s="481"/>
      <c r="B192" s="523" t="s">
        <v>323</v>
      </c>
      <c r="C192" s="483" t="s">
        <v>348</v>
      </c>
      <c r="D192" s="500">
        <f t="shared" si="29"/>
      </c>
      <c r="E192" s="483">
        <v>2474.08</v>
      </c>
      <c r="F192" s="483">
        <v>1615.09</v>
      </c>
      <c r="G192" s="531">
        <v>14</v>
      </c>
      <c r="H192" s="503">
        <v>6688.200000000012</v>
      </c>
      <c r="I192" s="486">
        <f t="shared" si="90"/>
      </c>
      <c r="J192" s="486">
        <f t="shared" si="119"/>
      </c>
      <c r="K192" s="487">
        <f t="shared" si="148"/>
      </c>
      <c r="L192" s="488">
        <f t="shared" si="177"/>
      </c>
      <c r="M192" s="489">
        <f t="shared" si="207"/>
      </c>
      <c r="N192" s="490">
        <f t="shared" si="237"/>
      </c>
      <c r="O192" s="491" t="s">
        <v>325</v>
      </c>
      <c r="P192" s="526" t="s">
        <v>363</v>
      </c>
      <c r="Q192" s="504">
        <v>37150</v>
      </c>
      <c r="R192" s="504">
        <v>4857</v>
      </c>
      <c r="S192" s="505">
        <v>20</v>
      </c>
      <c r="T192" s="505">
        <v>79</v>
      </c>
    </row>
    <row customHeight="true" ht="16.666666666666668" r="193">
      <c r="A193" s="481"/>
      <c r="B193" s="523" t="s">
        <v>323</v>
      </c>
      <c r="C193" s="525" t="s">
        <v>349</v>
      </c>
      <c r="D193" s="500">
        <f t="shared" si="29"/>
      </c>
      <c r="E193" s="483">
        <v>1388.46</v>
      </c>
      <c r="F193" s="483">
        <v>594.35</v>
      </c>
      <c r="G193" s="531">
        <v>3</v>
      </c>
      <c r="H193" s="503">
        <v>645.1199999999953</v>
      </c>
      <c r="I193" s="486">
        <f t="shared" si="90"/>
      </c>
      <c r="J193" s="486">
        <f t="shared" si="119"/>
      </c>
      <c r="K193" s="487">
        <f t="shared" si="148"/>
      </c>
      <c r="L193" s="488">
        <f t="shared" si="177"/>
      </c>
      <c r="M193" s="489">
        <f t="shared" si="207"/>
      </c>
      <c r="N193" s="490">
        <f t="shared" si="237"/>
      </c>
      <c r="O193" s="491" t="s">
        <v>325</v>
      </c>
      <c r="P193" s="526" t="s">
        <v>363</v>
      </c>
      <c r="Q193" s="504">
        <v>21512</v>
      </c>
      <c r="R193" s="504">
        <v>2679</v>
      </c>
      <c r="S193" s="505">
        <v>6</v>
      </c>
      <c r="T193" s="505">
        <v>33</v>
      </c>
    </row>
    <row r="194">
      <c r="A194" s="481"/>
      <c r="B194" s="523" t="s">
        <v>323</v>
      </c>
      <c r="C194" s="483" t="s">
        <v>350</v>
      </c>
      <c r="D194" s="500">
        <f t="shared" si="29"/>
      </c>
      <c r="E194" s="483">
        <v>1517.39</v>
      </c>
      <c r="F194" s="483">
        <v>884.42</v>
      </c>
      <c r="G194" s="531">
        <v>7</v>
      </c>
      <c r="H194" s="503">
        <v>5872.7699999999895</v>
      </c>
      <c r="I194" s="486">
        <f t="shared" si="90"/>
      </c>
      <c r="J194" s="486">
        <f t="shared" si="119"/>
      </c>
      <c r="K194" s="487">
        <f t="shared" si="148"/>
      </c>
      <c r="L194" s="488">
        <f t="shared" si="177"/>
      </c>
      <c r="M194" s="489">
        <f t="shared" si="207"/>
      </c>
      <c r="N194" s="490">
        <f t="shared" si="237"/>
      </c>
      <c r="O194" s="491" t="s">
        <v>325</v>
      </c>
      <c r="P194" s="526" t="s">
        <v>363</v>
      </c>
      <c r="Q194" s="504">
        <v>29259</v>
      </c>
      <c r="R194" s="504">
        <v>3281</v>
      </c>
      <c r="S194" s="505">
        <v>10</v>
      </c>
      <c r="T194" s="505">
        <v>83</v>
      </c>
    </row>
    <row r="195">
      <c r="A195" s="481"/>
      <c r="B195" s="514" t="s">
        <v>330</v>
      </c>
      <c r="C195" s="514"/>
      <c r="D195" s="507">
        <f>SUM(D190:D194)</f>
      </c>
      <c r="E195" s="507">
        <f>SUM(E190:E194)</f>
      </c>
      <c r="F195" s="507">
        <f>SUM(F190:F194)</f>
      </c>
      <c r="G195" s="508">
        <f>SUM(G190:G194)</f>
      </c>
      <c r="H195" s="507">
        <f>SUM(H190:H194)</f>
      </c>
      <c r="I195" s="515">
        <f t="shared" si="90"/>
      </c>
      <c r="J195" s="510">
        <f t="shared" si="119"/>
      </c>
      <c r="K195" s="511">
        <f t="shared" si="148"/>
      </c>
      <c r="L195" s="512">
        <f t="shared" si="177"/>
      </c>
      <c r="M195" s="512">
        <f t="shared" si="207"/>
      </c>
      <c r="N195" s="513">
        <f t="shared" si="237"/>
      </c>
      <c r="O195" s="513"/>
      <c r="P195" s="513"/>
      <c r="Q195" s="508">
        <f>SUM(Q190:Q194)</f>
      </c>
      <c r="R195" s="508">
        <f>SUM(R190:R194)</f>
      </c>
      <c r="S195" s="508">
        <f>SUM(S190:S194)</f>
      </c>
      <c r="T195" s="508">
        <f>SUM(T190:T194)</f>
      </c>
    </row>
    <row r="196">
      <c r="A196" s="481"/>
      <c r="B196" s="523" t="s">
        <v>360</v>
      </c>
      <c r="C196" s="483" t="s">
        <v>324</v>
      </c>
      <c r="D196" s="500">
        <f t="shared" ref="D196:D197" si="30">E196+F196</f>
      </c>
      <c r="E196" s="525">
        <v>1176.89</v>
      </c>
      <c r="F196" s="525">
        <v>1281.59</v>
      </c>
      <c r="G196" s="529">
        <v>5</v>
      </c>
      <c r="H196" s="483">
        <v>4642.950000000012</v>
      </c>
      <c r="I196" s="486">
        <f t="shared" si="90"/>
      </c>
      <c r="J196" s="486">
        <f t="shared" si="119"/>
      </c>
      <c r="K196" s="487">
        <f t="shared" si="148"/>
      </c>
      <c r="L196" s="488">
        <f t="shared" si="177"/>
      </c>
      <c r="M196" s="489">
        <f t="shared" si="207"/>
      </c>
      <c r="N196" s="490">
        <f t="shared" si="237"/>
      </c>
      <c r="O196" s="491" t="s">
        <v>325</v>
      </c>
      <c r="P196" s="526" t="s">
        <v>357</v>
      </c>
      <c r="Q196" s="504">
        <v>31411</v>
      </c>
      <c r="R196" s="504">
        <v>3767</v>
      </c>
      <c r="S196" s="505">
        <v>5</v>
      </c>
      <c r="T196" s="505">
        <v>55</v>
      </c>
    </row>
    <row r="197">
      <c r="A197" s="481"/>
      <c r="B197" s="523" t="s">
        <v>360</v>
      </c>
      <c r="C197" s="483" t="s">
        <v>327</v>
      </c>
      <c r="D197" s="500">
        <f t="shared" si="30"/>
      </c>
      <c r="E197" s="525">
        <v>756.2</v>
      </c>
      <c r="F197" s="525">
        <v>1592.86</v>
      </c>
      <c r="G197" s="529">
        <v>4</v>
      </c>
      <c r="H197" s="483">
        <v>2263.320000000007</v>
      </c>
      <c r="I197" s="486">
        <f t="shared" si="90"/>
      </c>
      <c r="J197" s="486">
        <f t="shared" si="119"/>
      </c>
      <c r="K197" s="487">
        <f t="shared" si="148"/>
      </c>
      <c r="L197" s="488">
        <f t="shared" si="177"/>
      </c>
      <c r="M197" s="489">
        <f t="shared" si="207"/>
      </c>
      <c r="N197" s="490">
        <f t="shared" si="237"/>
      </c>
      <c r="O197" s="491" t="s">
        <v>325</v>
      </c>
      <c r="P197" s="526" t="s">
        <v>357</v>
      </c>
      <c r="Q197" s="504">
        <v>29928</v>
      </c>
      <c r="R197" s="504">
        <v>3747</v>
      </c>
      <c r="S197" s="505">
        <v>5</v>
      </c>
      <c r="T197" s="505">
        <v>65</v>
      </c>
    </row>
    <row r="198">
      <c r="A198" s="481"/>
      <c r="B198" s="514" t="s">
        <v>330</v>
      </c>
      <c r="C198" s="514"/>
      <c r="D198" s="507">
        <f>SUM(D196:D197)</f>
      </c>
      <c r="E198" s="507">
        <f>SUM(E196:E197)</f>
      </c>
      <c r="F198" s="507">
        <f>SUM(F196:F197)</f>
      </c>
      <c r="G198" s="507">
        <f>SUM(G196:G197)</f>
      </c>
      <c r="H198" s="507">
        <f>SUM(H196:H197)</f>
      </c>
      <c r="I198" s="515">
        <f t="shared" si="90"/>
      </c>
      <c r="J198" s="510">
        <f t="shared" si="119"/>
      </c>
      <c r="K198" s="511">
        <f t="shared" si="148"/>
      </c>
      <c r="L198" s="512">
        <f t="shared" si="177"/>
      </c>
      <c r="M198" s="512">
        <f t="shared" si="207"/>
      </c>
      <c r="N198" s="513">
        <f t="shared" si="237"/>
      </c>
      <c r="O198" s="513"/>
      <c r="P198" s="513"/>
      <c r="Q198" s="508">
        <f>SUM(Q196:Q197)</f>
      </c>
      <c r="R198" s="508">
        <f>SUM(R196:R197)</f>
      </c>
      <c r="S198" s="508">
        <f>SUM(S196:S197)</f>
      </c>
      <c r="T198" s="508">
        <f>SUM(T196:T197)</f>
      </c>
    </row>
    <row r="199">
      <c r="A199" s="481"/>
      <c r="B199" s="523" t="s">
        <v>351</v>
      </c>
      <c r="C199" s="483" t="s">
        <v>328</v>
      </c>
      <c r="D199" s="500">
        <f t="shared" ref="D199:D202" si="31">E199+F199</f>
      </c>
      <c r="E199" s="525">
        <v>580.81</v>
      </c>
      <c r="F199" s="525">
        <v>775.72</v>
      </c>
      <c r="G199" s="499">
        <v>6</v>
      </c>
      <c r="H199" s="483">
        <v>2960.6600000000035</v>
      </c>
      <c r="I199" s="486">
        <f t="shared" si="90"/>
      </c>
      <c r="J199" s="486">
        <f t="shared" si="119"/>
      </c>
      <c r="K199" s="487">
        <f t="shared" si="148"/>
      </c>
      <c r="L199" s="488">
        <f t="shared" si="177"/>
      </c>
      <c r="M199" s="489">
        <f t="shared" si="207"/>
      </c>
      <c r="N199" s="490">
        <f t="shared" si="237"/>
      </c>
      <c r="O199" s="491" t="s">
        <v>325</v>
      </c>
      <c r="P199" s="526" t="s">
        <v>357</v>
      </c>
      <c r="Q199" s="504">
        <v>20001</v>
      </c>
      <c r="R199" s="504">
        <v>2373</v>
      </c>
      <c r="S199" s="505">
        <v>7</v>
      </c>
      <c r="T199" s="505">
        <v>44</v>
      </c>
    </row>
    <row r="200">
      <c r="A200" s="481"/>
      <c r="B200" s="523" t="s">
        <v>351</v>
      </c>
      <c r="C200" s="483" t="s">
        <v>329</v>
      </c>
      <c r="D200" s="500">
        <f t="shared" si="31"/>
      </c>
      <c r="E200" s="525">
        <v>589.77</v>
      </c>
      <c r="F200" s="525">
        <v>383.73</v>
      </c>
      <c r="G200" s="499">
        <v>6</v>
      </c>
      <c r="H200" s="483">
        <v>3988.319999999978</v>
      </c>
      <c r="I200" s="486">
        <f t="shared" si="90"/>
      </c>
      <c r="J200" s="486">
        <f t="shared" si="119"/>
      </c>
      <c r="K200" s="487">
        <f t="shared" si="148"/>
      </c>
      <c r="L200" s="488">
        <f t="shared" si="177"/>
      </c>
      <c r="M200" s="489">
        <f t="shared" si="207"/>
      </c>
      <c r="N200" s="490">
        <f t="shared" si="237"/>
      </c>
      <c r="O200" s="491" t="s">
        <v>325</v>
      </c>
      <c r="P200" s="526" t="s">
        <v>357</v>
      </c>
      <c r="Q200" s="504">
        <v>15353</v>
      </c>
      <c r="R200" s="504">
        <v>1817</v>
      </c>
      <c r="S200" s="505">
        <v>7</v>
      </c>
      <c r="T200" s="505">
        <v>27</v>
      </c>
    </row>
    <row r="201">
      <c r="A201" s="481"/>
      <c r="B201" s="523" t="s">
        <v>351</v>
      </c>
      <c r="C201" s="483" t="s">
        <v>332</v>
      </c>
      <c r="D201" s="500">
        <f t="shared" si="31"/>
      </c>
      <c r="E201" s="525">
        <v>1459.12</v>
      </c>
      <c r="F201" s="525">
        <v>547.32</v>
      </c>
      <c r="G201" s="529">
        <v>5</v>
      </c>
      <c r="H201" s="525">
        <v>2744.610000000015</v>
      </c>
      <c r="I201" s="486">
        <f t="shared" si="90"/>
      </c>
      <c r="J201" s="486">
        <f t="shared" si="119"/>
      </c>
      <c r="K201" s="487">
        <f t="shared" si="148"/>
      </c>
      <c r="L201" s="488">
        <f t="shared" si="177"/>
      </c>
      <c r="M201" s="489">
        <f t="shared" si="207"/>
      </c>
      <c r="N201" s="490">
        <f t="shared" si="237"/>
      </c>
      <c r="O201" s="491" t="s">
        <v>325</v>
      </c>
      <c r="P201" s="526" t="s">
        <v>357</v>
      </c>
      <c r="Q201" s="504">
        <v>20016</v>
      </c>
      <c r="R201" s="504">
        <v>2805</v>
      </c>
      <c r="S201" s="505">
        <v>7</v>
      </c>
      <c r="T201" s="505">
        <v>50</v>
      </c>
    </row>
    <row r="202">
      <c r="A202" s="481"/>
      <c r="B202" s="523" t="s">
        <v>351</v>
      </c>
      <c r="C202" s="525" t="s">
        <v>333</v>
      </c>
      <c r="D202" s="500">
        <f t="shared" si="31"/>
      </c>
      <c r="E202" s="483">
        <f>1497.75+0.42+0.04</f>
      </c>
      <c r="F202" s="525">
        <v>609.8799999999899</v>
      </c>
      <c r="G202" s="529">
        <v>9</v>
      </c>
      <c r="H202" s="483">
        <v>6995.709999999992</v>
      </c>
      <c r="I202" s="486">
        <f t="shared" si="90"/>
      </c>
      <c r="J202" s="486">
        <f t="shared" si="119"/>
      </c>
      <c r="K202" s="487">
        <f t="shared" si="148"/>
      </c>
      <c r="L202" s="488">
        <f t="shared" si="177"/>
      </c>
      <c r="M202" s="489">
        <f t="shared" si="207"/>
      </c>
      <c r="N202" s="490">
        <f t="shared" si="237"/>
      </c>
      <c r="O202" s="491" t="s">
        <v>325</v>
      </c>
      <c r="P202" s="526" t="s">
        <v>357</v>
      </c>
      <c r="Q202" s="504">
        <v>24181</v>
      </c>
      <c r="R202" s="504">
        <v>3340</v>
      </c>
      <c r="S202" s="505">
        <v>10</v>
      </c>
      <c r="T202" s="505">
        <v>34</v>
      </c>
    </row>
    <row r="203">
      <c r="A203" s="481"/>
      <c r="B203" s="514" t="s">
        <v>330</v>
      </c>
      <c r="C203" s="514"/>
      <c r="D203" s="507">
        <f>SUM(D199:D202)</f>
      </c>
      <c r="E203" s="507">
        <f>SUM(E199:E202)</f>
      </c>
      <c r="F203" s="507">
        <f>SUM(F199:F202)</f>
      </c>
      <c r="G203" s="508">
        <f>SUM(G199:G202)</f>
      </c>
      <c r="H203" s="507">
        <f>SUM(H199:H202)</f>
      </c>
      <c r="I203" s="515">
        <f t="shared" si="90"/>
      </c>
      <c r="J203" s="510">
        <f t="shared" si="119"/>
      </c>
      <c r="K203" s="511">
        <f t="shared" si="148"/>
      </c>
      <c r="L203" s="512">
        <f t="shared" si="177"/>
      </c>
      <c r="M203" s="512">
        <f t="shared" si="207"/>
      </c>
      <c r="N203" s="513">
        <f t="shared" si="237"/>
      </c>
      <c r="O203" s="513"/>
      <c r="P203" s="513"/>
      <c r="Q203" s="508">
        <f>SUM(Q199:Q202)</f>
      </c>
      <c r="R203" s="508">
        <f>SUM(R199:R202)</f>
      </c>
      <c r="S203" s="508">
        <f>SUM(S199:S202)</f>
      </c>
      <c r="T203" s="508">
        <f>SUM(T199:T202)</f>
      </c>
    </row>
    <row r="204">
      <c r="A204" s="481"/>
      <c r="B204" s="516" t="s">
        <v>336</v>
      </c>
      <c r="C204" s="516"/>
      <c r="D204" s="517">
        <f>D189+D203+D195+D198</f>
      </c>
      <c r="E204" s="517">
        <f>E189+E203+E195+E198</f>
      </c>
      <c r="F204" s="517">
        <f>F189+F203+F195+F198</f>
      </c>
      <c r="G204" s="517">
        <f>G189+G203+G195+G198</f>
      </c>
      <c r="H204" s="517">
        <f>H189+H203+H195+H198</f>
      </c>
      <c r="I204" s="519">
        <f t="shared" si="90"/>
      </c>
      <c r="J204" s="519">
        <f t="shared" si="119"/>
      </c>
      <c r="K204" s="520">
        <f t="shared" si="148"/>
      </c>
      <c r="L204" s="521">
        <f t="shared" si="177"/>
      </c>
      <c r="M204" s="521">
        <f t="shared" si="207"/>
      </c>
      <c r="N204" s="519">
        <f t="shared" si="237"/>
      </c>
      <c r="O204" s="522"/>
      <c r="P204" s="522"/>
      <c r="Q204" s="530">
        <f>Q189+Q203+Q195+Q198</f>
      </c>
      <c r="R204" s="530">
        <f>R189+R203+R195+R198</f>
      </c>
      <c r="S204" s="530">
        <f>S189+S203+S195+S198</f>
      </c>
      <c r="T204" s="530">
        <f>T189+T203+T195+T198</f>
      </c>
    </row>
    <row r="205">
      <c r="A205" s="463" t="s">
        <v>298</v>
      </c>
      <c r="B205" s="463"/>
      <c r="C205" s="463"/>
      <c r="D205" s="464" t="s">
        <v>299</v>
      </c>
      <c r="E205" s="464"/>
      <c r="F205" s="464"/>
      <c r="G205" s="464"/>
      <c r="H205" s="464"/>
      <c r="I205" s="464"/>
      <c r="J205" s="464"/>
      <c r="K205" s="464"/>
      <c r="L205" s="465" t="s">
        <v>300</v>
      </c>
      <c r="M205" s="465"/>
      <c r="N205" s="465"/>
      <c r="O205" s="465"/>
      <c r="P205" s="465"/>
      <c r="Q205" s="466" t="s">
        <v>301</v>
      </c>
      <c r="R205" s="466"/>
      <c r="S205" s="466"/>
      <c r="T205" s="466"/>
    </row>
    <row r="206">
      <c r="A206" s="467" t="s">
        <v>302</v>
      </c>
      <c r="B206" s="468" t="s">
        <v>303</v>
      </c>
      <c r="C206" s="469" t="s">
        <v>304</v>
      </c>
      <c r="D206" s="470" t="s">
        <v>305</v>
      </c>
      <c r="E206" s="471" t="s">
        <v>306</v>
      </c>
      <c r="F206" s="470" t="s">
        <v>307</v>
      </c>
      <c r="G206" s="472" t="s">
        <v>308</v>
      </c>
      <c r="H206" s="473" t="s">
        <v>309</v>
      </c>
      <c r="I206" s="474" t="s">
        <v>310</v>
      </c>
      <c r="J206" s="475" t="s">
        <v>311</v>
      </c>
      <c r="K206" s="476" t="s">
        <v>312</v>
      </c>
      <c r="L206" s="465" t="s">
        <v>313</v>
      </c>
      <c r="M206" s="465" t="s">
        <v>314</v>
      </c>
      <c r="N206" s="465" t="s">
        <v>315</v>
      </c>
      <c r="O206" s="477" t="s">
        <v>316</v>
      </c>
      <c r="P206" s="478" t="s">
        <v>317</v>
      </c>
      <c r="Q206" s="479" t="s">
        <v>318</v>
      </c>
      <c r="R206" s="479" t="s">
        <v>319</v>
      </c>
      <c r="S206" s="480" t="s">
        <v>320</v>
      </c>
      <c r="T206" s="479" t="s">
        <v>321</v>
      </c>
    </row>
    <row r="207">
      <c r="A207" s="481" t="s">
        <v>364</v>
      </c>
      <c r="B207" s="523" t="s">
        <v>323</v>
      </c>
      <c r="C207" s="483" t="s">
        <v>339</v>
      </c>
      <c r="D207" s="483">
        <f t="shared" ref="D207:D211" si="32">E207+F207</f>
      </c>
      <c r="E207" s="524">
        <v>1421.2</v>
      </c>
      <c r="F207" s="525">
        <v>1440.25</v>
      </c>
      <c r="G207" s="532">
        <v>15</v>
      </c>
      <c r="H207" s="525">
        <v>9231.84</v>
      </c>
      <c r="I207" s="486">
        <f t="shared" ref="I207:I228" si="91">H207/D207</f>
      </c>
      <c r="J207" s="486">
        <f t="shared" ref="J207:J228" si="120">D207/G207</f>
      </c>
      <c r="K207" s="487">
        <f t="shared" ref="K207:K228" si="149">H207/G207</f>
      </c>
      <c r="L207" s="488">
        <f t="shared" ref="L207:L228" si="178">R207/Q207</f>
      </c>
      <c r="M207" s="489">
        <f t="shared" ref="M207:M228" si="208">G207/S207</f>
      </c>
      <c r="N207" s="490">
        <f t="shared" ref="N207:N228" si="238">(T207*1000)/D207</f>
      </c>
      <c r="O207" s="491" t="s">
        <v>325</v>
      </c>
      <c r="P207" s="526" t="s">
        <v>353</v>
      </c>
      <c r="Q207" s="493">
        <v>25816</v>
      </c>
      <c r="R207" s="493">
        <v>4153</v>
      </c>
      <c r="S207" s="527">
        <v>15</v>
      </c>
      <c r="T207" s="527">
        <v>62</v>
      </c>
    </row>
    <row r="208">
      <c r="A208" s="481"/>
      <c r="B208" s="482" t="s">
        <v>323</v>
      </c>
      <c r="C208" s="496" t="s">
        <v>341</v>
      </c>
      <c r="D208" s="497">
        <f t="shared" si="32"/>
      </c>
      <c r="E208" s="528">
        <v>3295.64</v>
      </c>
      <c r="F208" s="528">
        <v>2939.82</v>
      </c>
      <c r="G208" s="529">
        <v>25</v>
      </c>
      <c r="H208" s="525">
        <v>15732.3</v>
      </c>
      <c r="I208" s="486">
        <f t="shared" si="91"/>
      </c>
      <c r="J208" s="486">
        <f t="shared" si="120"/>
      </c>
      <c r="K208" s="487">
        <f t="shared" si="149"/>
      </c>
      <c r="L208" s="488">
        <f t="shared" si="178"/>
      </c>
      <c r="M208" s="489">
        <f t="shared" si="208"/>
      </c>
      <c r="N208" s="490">
        <f t="shared" si="238"/>
      </c>
      <c r="O208" s="491" t="s">
        <v>325</v>
      </c>
      <c r="P208" s="526" t="s">
        <v>353</v>
      </c>
      <c r="Q208" s="494">
        <v>51201</v>
      </c>
      <c r="R208" s="494">
        <v>8171</v>
      </c>
      <c r="S208" s="527">
        <v>31</v>
      </c>
      <c r="T208" s="527">
        <v>177</v>
      </c>
    </row>
    <row r="209">
      <c r="A209" s="481"/>
      <c r="B209" s="482" t="s">
        <v>323</v>
      </c>
      <c r="C209" s="483" t="s">
        <v>342</v>
      </c>
      <c r="D209" s="500">
        <f t="shared" si="32"/>
      </c>
      <c r="E209" s="501">
        <v>7302.65</v>
      </c>
      <c r="F209" s="483">
        <v>6448.56</v>
      </c>
      <c r="G209" s="502">
        <v>47</v>
      </c>
      <c r="H209" s="503">
        <v>20039.690000000002</v>
      </c>
      <c r="I209" s="486">
        <f t="shared" si="91"/>
      </c>
      <c r="J209" s="486">
        <f t="shared" si="120"/>
      </c>
      <c r="K209" s="487">
        <f t="shared" si="149"/>
      </c>
      <c r="L209" s="488">
        <f t="shared" si="178"/>
      </c>
      <c r="M209" s="489">
        <f t="shared" si="208"/>
      </c>
      <c r="N209" s="490">
        <f t="shared" si="238"/>
      </c>
      <c r="O209" s="491" t="s">
        <v>325</v>
      </c>
      <c r="P209" s="526" t="s">
        <v>353</v>
      </c>
      <c r="Q209" s="494">
        <v>105547</v>
      </c>
      <c r="R209" s="494">
        <v>15309</v>
      </c>
      <c r="S209" s="527">
        <v>56</v>
      </c>
      <c r="T209" s="527">
        <v>175</v>
      </c>
    </row>
    <row r="210">
      <c r="A210" s="481"/>
      <c r="B210" s="482" t="s">
        <v>323</v>
      </c>
      <c r="C210" s="483" t="s">
        <v>344</v>
      </c>
      <c r="D210" s="500">
        <f t="shared" si="32"/>
      </c>
      <c r="E210" s="501">
        <v>2795.58</v>
      </c>
      <c r="F210" s="483">
        <v>3604.82</v>
      </c>
      <c r="G210" s="502">
        <v>17</v>
      </c>
      <c r="H210" s="503">
        <v>9449.779999999999</v>
      </c>
      <c r="I210" s="486">
        <f t="shared" si="91"/>
      </c>
      <c r="J210" s="486">
        <f t="shared" si="120"/>
      </c>
      <c r="K210" s="487">
        <f t="shared" si="149"/>
      </c>
      <c r="L210" s="488">
        <f t="shared" si="178"/>
      </c>
      <c r="M210" s="489">
        <f t="shared" si="208"/>
      </c>
      <c r="N210" s="490">
        <f t="shared" si="238"/>
      </c>
      <c r="O210" s="491" t="s">
        <v>325</v>
      </c>
      <c r="P210" s="526" t="s">
        <v>353</v>
      </c>
      <c r="Q210" s="504">
        <v>53328</v>
      </c>
      <c r="R210" s="504">
        <v>6701</v>
      </c>
      <c r="S210" s="505">
        <v>20</v>
      </c>
      <c r="T210" s="505">
        <v>94</v>
      </c>
    </row>
    <row r="211">
      <c r="A211" s="481"/>
      <c r="B211" s="482" t="s">
        <v>323</v>
      </c>
      <c r="C211" s="525" t="s">
        <v>345</v>
      </c>
      <c r="D211" s="500">
        <f t="shared" si="32"/>
      </c>
      <c r="E211" s="501">
        <v>1544.64</v>
      </c>
      <c r="F211" s="483">
        <v>1537.77</v>
      </c>
      <c r="G211" s="502">
        <v>13</v>
      </c>
      <c r="H211" s="503">
        <v>9300.379999999997</v>
      </c>
      <c r="I211" s="486">
        <f t="shared" si="91"/>
      </c>
      <c r="J211" s="486">
        <f t="shared" si="120"/>
      </c>
      <c r="K211" s="487">
        <f t="shared" si="149"/>
      </c>
      <c r="L211" s="488">
        <f t="shared" si="178"/>
      </c>
      <c r="M211" s="489">
        <f t="shared" si="208"/>
      </c>
      <c r="N211" s="490">
        <f t="shared" si="238"/>
      </c>
      <c r="O211" s="491" t="s">
        <v>325</v>
      </c>
      <c r="P211" s="526" t="s">
        <v>353</v>
      </c>
      <c r="Q211" s="504">
        <v>28056</v>
      </c>
      <c r="R211" s="504">
        <v>3715</v>
      </c>
      <c r="S211" s="505">
        <v>19</v>
      </c>
      <c r="T211" s="505">
        <v>72</v>
      </c>
    </row>
    <row r="212">
      <c r="A212" s="481"/>
      <c r="B212" s="506" t="s">
        <v>330</v>
      </c>
      <c r="C212" s="506"/>
      <c r="D212" s="507">
        <f>SUM(D207:D211)</f>
      </c>
      <c r="E212" s="507">
        <f>SUM(E207:E211)</f>
      </c>
      <c r="F212" s="507">
        <f>SUM(F207:F211)</f>
      </c>
      <c r="G212" s="507">
        <f>SUM(G207:G211)</f>
      </c>
      <c r="H212" s="507">
        <f>SUM(H207:H211)</f>
      </c>
      <c r="I212" s="509">
        <f t="shared" si="91"/>
      </c>
      <c r="J212" s="510">
        <f t="shared" si="120"/>
      </c>
      <c r="K212" s="511">
        <f t="shared" si="149"/>
      </c>
      <c r="L212" s="512">
        <f t="shared" si="178"/>
      </c>
      <c r="M212" s="512">
        <f t="shared" si="208"/>
      </c>
      <c r="N212" s="513">
        <f t="shared" si="238"/>
      </c>
      <c r="O212" s="513"/>
      <c r="P212" s="513"/>
      <c r="Q212" s="508">
        <f>SUM(Q207:Q211)</f>
      </c>
      <c r="R212" s="508">
        <f>SUM(R207:R211)</f>
      </c>
      <c r="S212" s="508">
        <f>SUM(S207:S211)</f>
      </c>
      <c r="T212" s="508">
        <f>SUM(T207:T211)</f>
      </c>
    </row>
    <row r="213">
      <c r="A213" s="481"/>
      <c r="B213" s="523" t="s">
        <v>338</v>
      </c>
      <c r="C213" s="525" t="s">
        <v>346</v>
      </c>
      <c r="D213" s="500">
        <f t="shared" ref="D213:D217" si="33">E213+F213</f>
      </c>
      <c r="E213" s="483">
        <v>1346.47</v>
      </c>
      <c r="F213" s="483">
        <v>3676.94</v>
      </c>
      <c r="G213" s="499">
        <v>19</v>
      </c>
      <c r="H213" s="483">
        <v>14839.109999999993</v>
      </c>
      <c r="I213" s="486">
        <f t="shared" si="91"/>
      </c>
      <c r="J213" s="486">
        <f t="shared" si="120"/>
      </c>
      <c r="K213" s="487">
        <f t="shared" si="149"/>
      </c>
      <c r="L213" s="488">
        <f t="shared" si="178"/>
      </c>
      <c r="M213" s="489">
        <f t="shared" si="208"/>
      </c>
      <c r="N213" s="490">
        <f t="shared" si="238"/>
      </c>
      <c r="O213" s="491" t="s">
        <v>325</v>
      </c>
      <c r="P213" s="526" t="s">
        <v>353</v>
      </c>
      <c r="Q213" s="504">
        <v>46339</v>
      </c>
      <c r="R213" s="504">
        <v>5729</v>
      </c>
      <c r="S213" s="505">
        <v>24</v>
      </c>
      <c r="T213" s="505">
        <v>134</v>
      </c>
    </row>
    <row r="214">
      <c r="A214" s="481"/>
      <c r="B214" s="523" t="s">
        <v>338</v>
      </c>
      <c r="C214" s="483" t="s">
        <v>347</v>
      </c>
      <c r="D214" s="500">
        <f t="shared" si="33"/>
      </c>
      <c r="E214" s="501">
        <v>1079.68</v>
      </c>
      <c r="F214" s="483">
        <v>9052.27</v>
      </c>
      <c r="G214" s="502">
        <v>27</v>
      </c>
      <c r="H214" s="503">
        <v>19401.619999999995</v>
      </c>
      <c r="I214" s="486">
        <f t="shared" si="91"/>
      </c>
      <c r="J214" s="486">
        <f t="shared" si="120"/>
      </c>
      <c r="K214" s="487">
        <f t="shared" si="149"/>
      </c>
      <c r="L214" s="488">
        <f t="shared" si="178"/>
      </c>
      <c r="M214" s="489">
        <f t="shared" si="208"/>
      </c>
      <c r="N214" s="490">
        <f t="shared" si="238"/>
      </c>
      <c r="O214" s="491" t="s">
        <v>325</v>
      </c>
      <c r="P214" s="526" t="s">
        <v>353</v>
      </c>
      <c r="Q214" s="504">
        <v>114474</v>
      </c>
      <c r="R214" s="504">
        <v>8644</v>
      </c>
      <c r="S214" s="505">
        <v>38</v>
      </c>
      <c r="T214" s="505">
        <v>154</v>
      </c>
    </row>
    <row r="215">
      <c r="A215" s="481"/>
      <c r="B215" s="523" t="s">
        <v>338</v>
      </c>
      <c r="C215" s="483" t="s">
        <v>348</v>
      </c>
      <c r="D215" s="500">
        <f t="shared" si="33"/>
      </c>
      <c r="E215" s="483">
        <v>467.93</v>
      </c>
      <c r="F215" s="483">
        <v>5651.53</v>
      </c>
      <c r="G215" s="531">
        <v>18</v>
      </c>
      <c r="H215" s="503">
        <v>8778.5</v>
      </c>
      <c r="I215" s="486">
        <f t="shared" si="91"/>
      </c>
      <c r="J215" s="486">
        <f t="shared" si="120"/>
      </c>
      <c r="K215" s="487">
        <f t="shared" si="149"/>
      </c>
      <c r="L215" s="488">
        <f t="shared" si="178"/>
      </c>
      <c r="M215" s="489">
        <f t="shared" si="208"/>
      </c>
      <c r="N215" s="490">
        <f t="shared" si="238"/>
      </c>
      <c r="O215" s="491" t="s">
        <v>325</v>
      </c>
      <c r="P215" s="526" t="s">
        <v>353</v>
      </c>
      <c r="Q215" s="504">
        <v>71410</v>
      </c>
      <c r="R215" s="504">
        <v>4336</v>
      </c>
      <c r="S215" s="505">
        <v>22</v>
      </c>
      <c r="T215" s="505">
        <v>97</v>
      </c>
    </row>
    <row r="216">
      <c r="A216" s="481"/>
      <c r="B216" s="523" t="s">
        <v>338</v>
      </c>
      <c r="C216" s="525" t="s">
        <v>349</v>
      </c>
      <c r="D216" s="500">
        <f t="shared" si="33"/>
      </c>
      <c r="E216" s="483">
        <v>420.06</v>
      </c>
      <c r="F216" s="483">
        <v>3751.83</v>
      </c>
      <c r="G216" s="531">
        <v>13</v>
      </c>
      <c r="H216" s="503">
        <v>6237.37000000001</v>
      </c>
      <c r="I216" s="486">
        <f t="shared" si="91"/>
      </c>
      <c r="J216" s="486">
        <f t="shared" si="120"/>
      </c>
      <c r="K216" s="487">
        <f t="shared" si="149"/>
      </c>
      <c r="L216" s="488">
        <f t="shared" si="178"/>
      </c>
      <c r="M216" s="489">
        <f t="shared" si="208"/>
      </c>
      <c r="N216" s="490">
        <f t="shared" si="238"/>
      </c>
      <c r="O216" s="491" t="s">
        <v>325</v>
      </c>
      <c r="P216" s="526" t="s">
        <v>353</v>
      </c>
      <c r="Q216" s="504">
        <v>37813</v>
      </c>
      <c r="R216" s="504">
        <v>4361</v>
      </c>
      <c r="S216" s="505">
        <v>15</v>
      </c>
      <c r="T216" s="505">
        <v>79</v>
      </c>
    </row>
    <row r="217">
      <c r="A217" s="481"/>
      <c r="B217" s="523" t="s">
        <v>338</v>
      </c>
      <c r="C217" s="483" t="s">
        <v>350</v>
      </c>
      <c r="D217" s="500">
        <f t="shared" si="33"/>
      </c>
      <c r="E217" s="483">
        <v>333.58</v>
      </c>
      <c r="F217" s="483">
        <v>5524.48</v>
      </c>
      <c r="G217" s="531">
        <v>17</v>
      </c>
      <c r="H217" s="503">
        <v>10578.039999999994</v>
      </c>
      <c r="I217" s="486">
        <f t="shared" si="91"/>
      </c>
      <c r="J217" s="486">
        <f t="shared" si="120"/>
      </c>
      <c r="K217" s="487">
        <f t="shared" si="149"/>
      </c>
      <c r="L217" s="488">
        <f t="shared" si="178"/>
      </c>
      <c r="M217" s="489">
        <f t="shared" si="208"/>
      </c>
      <c r="N217" s="490">
        <f t="shared" si="238"/>
      </c>
      <c r="O217" s="491" t="s">
        <v>325</v>
      </c>
      <c r="P217" s="526" t="s">
        <v>353</v>
      </c>
      <c r="Q217" s="504">
        <v>55416</v>
      </c>
      <c r="R217" s="504">
        <v>6341</v>
      </c>
      <c r="S217" s="505">
        <v>67</v>
      </c>
      <c r="T217" s="505">
        <v>126</v>
      </c>
    </row>
    <row r="218">
      <c r="A218" s="481"/>
      <c r="B218" s="514" t="s">
        <v>330</v>
      </c>
      <c r="C218" s="514"/>
      <c r="D218" s="507">
        <f>SUM(D213:D217)</f>
      </c>
      <c r="E218" s="507">
        <f>SUM(E213:E217)</f>
      </c>
      <c r="F218" s="507">
        <f>SUM(F213:F217)</f>
      </c>
      <c r="G218" s="508">
        <f>SUM(G213:G217)</f>
      </c>
      <c r="H218" s="507">
        <f>SUM(H213:H217)</f>
      </c>
      <c r="I218" s="515">
        <f t="shared" si="91"/>
      </c>
      <c r="J218" s="510">
        <f t="shared" si="120"/>
      </c>
      <c r="K218" s="511">
        <f t="shared" si="149"/>
      </c>
      <c r="L218" s="512">
        <f t="shared" si="178"/>
      </c>
      <c r="M218" s="512">
        <f t="shared" si="208"/>
      </c>
      <c r="N218" s="513">
        <f t="shared" si="238"/>
      </c>
      <c r="O218" s="513"/>
      <c r="P218" s="513"/>
      <c r="Q218" s="508">
        <f>SUM(Q213:Q217)</f>
      </c>
      <c r="R218" s="508">
        <f>SUM(R213:R217)</f>
      </c>
      <c r="S218" s="508">
        <f>SUM(S213:S217)</f>
      </c>
      <c r="T218" s="508">
        <f>SUM(T213:T217)</f>
      </c>
    </row>
    <row r="219">
      <c r="A219" s="481"/>
      <c r="B219" s="523" t="s">
        <v>351</v>
      </c>
      <c r="C219" s="483" t="s">
        <v>324</v>
      </c>
      <c r="D219" s="500">
        <f t="shared" ref="D219:D222" si="34">E219+F219</f>
      </c>
      <c r="E219" s="525">
        <v>192.16</v>
      </c>
      <c r="F219" s="525">
        <v>1164.75</v>
      </c>
      <c r="G219" s="499">
        <v>7</v>
      </c>
      <c r="H219" s="483">
        <v>3829.220000000001</v>
      </c>
      <c r="I219" s="486">
        <f t="shared" si="91"/>
      </c>
      <c r="J219" s="486">
        <f t="shared" si="120"/>
      </c>
      <c r="K219" s="487">
        <f t="shared" si="149"/>
      </c>
      <c r="L219" s="488">
        <f t="shared" si="178"/>
      </c>
      <c r="M219" s="489">
        <f t="shared" si="208"/>
      </c>
      <c r="N219" s="490">
        <f t="shared" si="238"/>
      </c>
      <c r="O219" s="491" t="s">
        <v>325</v>
      </c>
      <c r="P219" s="526" t="s">
        <v>363</v>
      </c>
      <c r="Q219" s="504">
        <v>15831</v>
      </c>
      <c r="R219" s="504">
        <v>1552</v>
      </c>
      <c r="S219" s="505">
        <v>8</v>
      </c>
      <c r="T219" s="505">
        <v>22</v>
      </c>
    </row>
    <row r="220">
      <c r="A220" s="481"/>
      <c r="B220" s="523" t="s">
        <v>351</v>
      </c>
      <c r="C220" s="483" t="s">
        <v>327</v>
      </c>
      <c r="D220" s="500">
        <f t="shared" si="34"/>
      </c>
      <c r="E220" s="525">
        <v>228.57</v>
      </c>
      <c r="F220" s="525">
        <v>1973.3</v>
      </c>
      <c r="G220" s="499">
        <v>3</v>
      </c>
      <c r="H220" s="483">
        <v>1994.160000000018</v>
      </c>
      <c r="I220" s="486">
        <f t="shared" si="91"/>
      </c>
      <c r="J220" s="486">
        <f t="shared" si="120"/>
      </c>
      <c r="K220" s="487">
        <f t="shared" si="149"/>
      </c>
      <c r="L220" s="488">
        <f t="shared" si="178"/>
      </c>
      <c r="M220" s="489">
        <f t="shared" si="208"/>
      </c>
      <c r="N220" s="490">
        <f t="shared" si="238"/>
      </c>
      <c r="O220" s="491" t="s">
        <v>325</v>
      </c>
      <c r="P220" s="526" t="s">
        <v>363</v>
      </c>
      <c r="Q220" s="504">
        <v>28122</v>
      </c>
      <c r="R220" s="504">
        <v>2443</v>
      </c>
      <c r="S220" s="505">
        <v>7</v>
      </c>
      <c r="T220" s="505">
        <v>42</v>
      </c>
    </row>
    <row r="221">
      <c r="A221" s="481"/>
      <c r="B221" s="523" t="s">
        <v>351</v>
      </c>
      <c r="C221" s="483" t="s">
        <v>328</v>
      </c>
      <c r="D221" s="500">
        <f t="shared" si="34"/>
      </c>
      <c r="E221" s="525">
        <v>281.8</v>
      </c>
      <c r="F221" s="525">
        <v>2143.88</v>
      </c>
      <c r="G221" s="529">
        <v>10</v>
      </c>
      <c r="H221" s="525">
        <v>7177.079999999987</v>
      </c>
      <c r="I221" s="486">
        <f t="shared" si="91"/>
      </c>
      <c r="J221" s="486">
        <f t="shared" si="120"/>
      </c>
      <c r="K221" s="487">
        <f t="shared" si="149"/>
      </c>
      <c r="L221" s="488">
        <f t="shared" si="178"/>
      </c>
      <c r="M221" s="489">
        <f t="shared" si="208"/>
      </c>
      <c r="N221" s="490">
        <f t="shared" si="238"/>
      </c>
      <c r="O221" s="491" t="s">
        <v>325</v>
      </c>
      <c r="P221" s="526" t="s">
        <v>363</v>
      </c>
      <c r="Q221" s="504">
        <v>33608</v>
      </c>
      <c r="R221" s="504">
        <v>2552</v>
      </c>
      <c r="S221" s="505">
        <v>18</v>
      </c>
      <c r="T221" s="505">
        <v>44</v>
      </c>
    </row>
    <row r="222">
      <c r="A222" s="481"/>
      <c r="B222" s="523" t="s">
        <v>351</v>
      </c>
      <c r="C222" s="525" t="s">
        <v>329</v>
      </c>
      <c r="D222" s="500">
        <f t="shared" si="34"/>
      </c>
      <c r="E222" s="483">
        <v>490.57</v>
      </c>
      <c r="F222" s="525">
        <v>3209.83</v>
      </c>
      <c r="G222" s="529">
        <v>23</v>
      </c>
      <c r="H222" s="483">
        <v>16319.440000000002</v>
      </c>
      <c r="I222" s="486">
        <f t="shared" si="91"/>
      </c>
      <c r="J222" s="486">
        <f t="shared" si="120"/>
      </c>
      <c r="K222" s="487">
        <f t="shared" si="149"/>
      </c>
      <c r="L222" s="488">
        <f t="shared" si="178"/>
      </c>
      <c r="M222" s="489">
        <f t="shared" si="208"/>
      </c>
      <c r="N222" s="490">
        <f t="shared" si="238"/>
      </c>
      <c r="O222" s="491" t="s">
        <v>325</v>
      </c>
      <c r="P222" s="526" t="s">
        <v>363</v>
      </c>
      <c r="Q222" s="504">
        <v>60099</v>
      </c>
      <c r="R222" s="504">
        <v>3543</v>
      </c>
      <c r="S222" s="505">
        <v>35</v>
      </c>
      <c r="T222" s="505">
        <v>48</v>
      </c>
    </row>
    <row r="223">
      <c r="A223" s="481"/>
      <c r="B223" s="514" t="s">
        <v>330</v>
      </c>
      <c r="C223" s="514"/>
      <c r="D223" s="507">
        <f>SUM(D219:D222)</f>
      </c>
      <c r="E223" s="507">
        <f>SUM(E219:E222)</f>
      </c>
      <c r="F223" s="507">
        <f>SUM(F219:F222)</f>
      </c>
      <c r="G223" s="508">
        <f>SUM(G219:G222)</f>
      </c>
      <c r="H223" s="507">
        <f>SUM(H219:H222)</f>
      </c>
      <c r="I223" s="515">
        <f t="shared" si="91"/>
      </c>
      <c r="J223" s="510">
        <f t="shared" si="120"/>
      </c>
      <c r="K223" s="511">
        <f t="shared" si="149"/>
      </c>
      <c r="L223" s="512">
        <f t="shared" si="178"/>
      </c>
      <c r="M223" s="512">
        <f t="shared" si="208"/>
      </c>
      <c r="N223" s="513">
        <f t="shared" si="238"/>
      </c>
      <c r="O223" s="513"/>
      <c r="P223" s="513"/>
      <c r="Q223" s="508">
        <f>SUM(Q219:Q222)</f>
      </c>
      <c r="R223" s="508">
        <f>SUM(R219:R222)</f>
      </c>
      <c r="S223" s="508">
        <f>SUM(S219:S222)</f>
      </c>
      <c r="T223" s="508">
        <f>SUM(T219:T222)</f>
      </c>
    </row>
    <row r="224">
      <c r="A224" s="481"/>
      <c r="B224" s="523" t="s">
        <v>360</v>
      </c>
      <c r="C224" s="525" t="s">
        <v>332</v>
      </c>
      <c r="D224" s="500">
        <f t="shared" ref="D224:D226" si="35">E224+F224</f>
      </c>
      <c r="E224" s="525">
        <v>2118.62</v>
      </c>
      <c r="F224" s="525">
        <v>2805.65</v>
      </c>
      <c r="G224" s="529">
        <v>20</v>
      </c>
      <c r="H224" s="483">
        <v>10832.879999999976</v>
      </c>
      <c r="I224" s="486">
        <f t="shared" si="91"/>
      </c>
      <c r="J224" s="486">
        <f t="shared" si="120"/>
      </c>
      <c r="K224" s="487">
        <f t="shared" si="149"/>
      </c>
      <c r="L224" s="488">
        <f t="shared" si="178"/>
      </c>
      <c r="M224" s="489">
        <f t="shared" si="208"/>
      </c>
      <c r="N224" s="490">
        <f t="shared" si="238"/>
      </c>
      <c r="O224" s="491" t="s">
        <v>325</v>
      </c>
      <c r="P224" s="526" t="s">
        <v>363</v>
      </c>
      <c r="Q224" s="504">
        <v>61825</v>
      </c>
      <c r="R224" s="504">
        <v>6078</v>
      </c>
      <c r="S224" s="505">
        <v>27</v>
      </c>
      <c r="T224" s="505">
        <v>100</v>
      </c>
    </row>
    <row r="225">
      <c r="A225" s="481"/>
      <c r="B225" s="523" t="s">
        <v>360</v>
      </c>
      <c r="C225" s="525" t="s">
        <v>333</v>
      </c>
      <c r="D225" s="500">
        <f t="shared" si="35"/>
      </c>
      <c r="E225" s="525">
        <v>1245.3</v>
      </c>
      <c r="F225" s="525">
        <v>6483.95</v>
      </c>
      <c r="G225" s="529">
        <v>24</v>
      </c>
      <c r="H225" s="483">
        <v>17677.160000000003</v>
      </c>
      <c r="I225" s="486">
        <f t="shared" si="91"/>
      </c>
      <c r="J225" s="486">
        <f t="shared" si="120"/>
      </c>
      <c r="K225" s="487">
        <f t="shared" si="149"/>
      </c>
      <c r="L225" s="488">
        <f t="shared" si="178"/>
      </c>
      <c r="M225" s="489">
        <f t="shared" si="208"/>
      </c>
      <c r="N225" s="490">
        <f t="shared" si="238"/>
      </c>
      <c r="O225" s="491" t="s">
        <v>325</v>
      </c>
      <c r="P225" s="526" t="s">
        <v>363</v>
      </c>
      <c r="Q225" s="504">
        <v>95664</v>
      </c>
      <c r="R225" s="504">
        <v>7555</v>
      </c>
      <c r="S225" s="505">
        <v>30</v>
      </c>
      <c r="T225" s="505">
        <v>120</v>
      </c>
    </row>
    <row customHeight="true" ht="16.666666666666668" r="226">
      <c r="A226" s="481"/>
      <c r="B226" s="523" t="s">
        <v>360</v>
      </c>
      <c r="C226" s="525" t="s">
        <v>334</v>
      </c>
      <c r="D226" s="500">
        <f t="shared" si="35"/>
      </c>
      <c r="E226" s="525">
        <f>240.82+0.02</f>
      </c>
      <c r="F226" s="525">
        <f>5207.16+1.43</f>
      </c>
      <c r="G226" s="529">
        <v>13</v>
      </c>
      <c r="H226" s="483">
        <v>9136.580000000016</v>
      </c>
      <c r="I226" s="486">
        <f t="shared" si="91"/>
      </c>
      <c r="J226" s="486">
        <f t="shared" si="120"/>
      </c>
      <c r="K226" s="487">
        <f t="shared" si="149"/>
      </c>
      <c r="L226" s="488">
        <f t="shared" si="178"/>
      </c>
      <c r="M226" s="489">
        <f t="shared" si="208"/>
      </c>
      <c r="N226" s="490">
        <f t="shared" si="238"/>
      </c>
      <c r="O226" s="491" t="s">
        <v>325</v>
      </c>
      <c r="P226" s="526" t="s">
        <v>363</v>
      </c>
      <c r="Q226" s="504">
        <v>62154</v>
      </c>
      <c r="R226" s="504">
        <v>6631</v>
      </c>
      <c r="S226" s="505">
        <v>21</v>
      </c>
      <c r="T226" s="505">
        <v>116</v>
      </c>
    </row>
    <row r="227">
      <c r="A227" s="481"/>
      <c r="B227" s="514" t="s">
        <v>330</v>
      </c>
      <c r="C227" s="514"/>
      <c r="D227" s="507">
        <f>SUM(D224:D226)</f>
      </c>
      <c r="E227" s="507">
        <f>SUM(E224:E226)</f>
      </c>
      <c r="F227" s="507">
        <f>SUM(F224:F226)</f>
      </c>
      <c r="G227" s="507">
        <f>SUM(G224:G226)</f>
      </c>
      <c r="H227" s="507">
        <f>SUM(H224:H226)</f>
      </c>
      <c r="I227" s="515">
        <f t="shared" si="91"/>
      </c>
      <c r="J227" s="510">
        <f t="shared" si="120"/>
      </c>
      <c r="K227" s="511">
        <f t="shared" si="149"/>
      </c>
      <c r="L227" s="512">
        <f t="shared" si="178"/>
      </c>
      <c r="M227" s="512">
        <f t="shared" si="208"/>
      </c>
      <c r="N227" s="513">
        <f t="shared" si="238"/>
      </c>
      <c r="O227" s="513"/>
      <c r="P227" s="513"/>
      <c r="Q227" s="508">
        <f>SUM(Q224:Q226)</f>
      </c>
      <c r="R227" s="508">
        <f>SUM(R224:R226)</f>
      </c>
      <c r="S227" s="508">
        <f>SUM(S224:S226)</f>
      </c>
      <c r="T227" s="508">
        <f>SUM(T224:T226)</f>
      </c>
    </row>
    <row r="228">
      <c r="A228" s="481"/>
      <c r="B228" s="516" t="s">
        <v>336</v>
      </c>
      <c r="C228" s="516"/>
      <c r="D228" s="517">
        <f>D212+D223+D218+D227</f>
      </c>
      <c r="E228" s="517">
        <f>E212+E223+E218+E227</f>
      </c>
      <c r="F228" s="517">
        <f>F212+F223+F218+F227</f>
      </c>
      <c r="G228" s="517">
        <f>G212+G223+G218+G227</f>
      </c>
      <c r="H228" s="517">
        <f>H212+H223+H218+H227</f>
      </c>
      <c r="I228" s="519">
        <f t="shared" si="91"/>
      </c>
      <c r="J228" s="519">
        <f t="shared" si="120"/>
      </c>
      <c r="K228" s="520">
        <f t="shared" si="149"/>
      </c>
      <c r="L228" s="521">
        <f t="shared" si="178"/>
      </c>
      <c r="M228" s="521">
        <f t="shared" si="208"/>
      </c>
      <c r="N228" s="519">
        <f t="shared" si="238"/>
      </c>
      <c r="O228" s="522"/>
      <c r="P228" s="522"/>
      <c r="Q228" s="530">
        <f>Q212+Q223+Q218+Q227</f>
      </c>
      <c r="R228" s="530">
        <f>R212+R223+R218+R227</f>
      </c>
      <c r="S228" s="530">
        <f>S212+S223+S218+S227</f>
      </c>
      <c r="T228" s="530">
        <f>T212+T223+T218+T227</f>
      </c>
    </row>
    <row r="229">
      <c r="A229" s="463" t="s">
        <v>298</v>
      </c>
      <c r="B229" s="463"/>
      <c r="C229" s="463"/>
      <c r="D229" s="464" t="s">
        <v>299</v>
      </c>
      <c r="E229" s="464"/>
      <c r="F229" s="464"/>
      <c r="G229" s="464"/>
      <c r="H229" s="464"/>
      <c r="I229" s="464"/>
      <c r="J229" s="464"/>
      <c r="K229" s="464"/>
      <c r="L229" s="465" t="s">
        <v>300</v>
      </c>
      <c r="M229" s="465"/>
      <c r="N229" s="465"/>
      <c r="O229" s="465"/>
      <c r="P229" s="465"/>
      <c r="Q229" s="466" t="s">
        <v>301</v>
      </c>
      <c r="R229" s="466"/>
      <c r="S229" s="466"/>
      <c r="T229" s="466"/>
    </row>
    <row r="230">
      <c r="A230" s="467" t="s">
        <v>302</v>
      </c>
      <c r="B230" s="468" t="s">
        <v>303</v>
      </c>
      <c r="C230" s="469" t="s">
        <v>304</v>
      </c>
      <c r="D230" s="470" t="s">
        <v>305</v>
      </c>
      <c r="E230" s="471" t="s">
        <v>306</v>
      </c>
      <c r="F230" s="470" t="s">
        <v>307</v>
      </c>
      <c r="G230" s="472" t="s">
        <v>308</v>
      </c>
      <c r="H230" s="473" t="s">
        <v>309</v>
      </c>
      <c r="I230" s="474" t="s">
        <v>310</v>
      </c>
      <c r="J230" s="475" t="s">
        <v>311</v>
      </c>
      <c r="K230" s="476" t="s">
        <v>312</v>
      </c>
      <c r="L230" s="465" t="s">
        <v>313</v>
      </c>
      <c r="M230" s="465" t="s">
        <v>314</v>
      </c>
      <c r="N230" s="465" t="s">
        <v>315</v>
      </c>
      <c r="O230" s="477" t="s">
        <v>316</v>
      </c>
      <c r="P230" s="478" t="s">
        <v>317</v>
      </c>
      <c r="Q230" s="479" t="s">
        <v>318</v>
      </c>
      <c r="R230" s="479" t="s">
        <v>319</v>
      </c>
      <c r="S230" s="480" t="s">
        <v>320</v>
      </c>
      <c r="T230" s="479" t="s">
        <v>321</v>
      </c>
    </row>
    <row r="231">
      <c r="A231" s="481" t="s">
        <v>365</v>
      </c>
      <c r="B231" s="523" t="s">
        <v>323</v>
      </c>
      <c r="C231" s="483" t="s">
        <v>339</v>
      </c>
      <c r="D231" s="483">
        <f t="shared" ref="D231:D234" si="36">E231+F231</f>
      </c>
      <c r="E231" s="524">
        <v>1274.82</v>
      </c>
      <c r="F231" s="525">
        <v>2511.44</v>
      </c>
      <c r="G231" s="532">
        <v>7</v>
      </c>
      <c r="H231" s="525">
        <v>4119.12</v>
      </c>
      <c r="I231" s="486">
        <f t="shared" ref="I231:I243" si="92">H231/D231</f>
      </c>
      <c r="J231" s="486">
        <f t="shared" ref="J231:J243" si="121">D231/G231</f>
      </c>
      <c r="K231" s="487">
        <f t="shared" ref="K231:K243" si="150">H231/G231</f>
      </c>
      <c r="L231" s="488">
        <f t="shared" ref="L231:L243" si="179">R231/Q231</f>
      </c>
      <c r="M231" s="489">
        <f t="shared" ref="M231:M243" si="209">G231/S231</f>
      </c>
      <c r="N231" s="490">
        <f t="shared" ref="N231:N243" si="239">(T231*1000)/D231</f>
      </c>
      <c r="O231" s="491" t="s">
        <v>325</v>
      </c>
      <c r="P231" s="526" t="s">
        <v>353</v>
      </c>
      <c r="Q231" s="493">
        <v>35560</v>
      </c>
      <c r="R231" s="493">
        <v>6408</v>
      </c>
      <c r="S231" s="527">
        <v>9</v>
      </c>
      <c r="T231" s="527">
        <v>81</v>
      </c>
    </row>
    <row r="232">
      <c r="A232" s="481"/>
      <c r="B232" s="482" t="s">
        <v>323</v>
      </c>
      <c r="C232" s="496" t="s">
        <v>341</v>
      </c>
      <c r="D232" s="497">
        <f t="shared" si="36"/>
      </c>
      <c r="E232" s="528">
        <v>1285.85</v>
      </c>
      <c r="F232" s="528">
        <v>2143.91</v>
      </c>
      <c r="G232" s="529">
        <v>8</v>
      </c>
      <c r="H232" s="525">
        <v>4063.92</v>
      </c>
      <c r="I232" s="486">
        <f t="shared" si="92"/>
      </c>
      <c r="J232" s="486">
        <f t="shared" si="121"/>
      </c>
      <c r="K232" s="487">
        <f t="shared" si="150"/>
      </c>
      <c r="L232" s="488">
        <f t="shared" si="179"/>
      </c>
      <c r="M232" s="489">
        <f t="shared" si="209"/>
      </c>
      <c r="N232" s="490">
        <f t="shared" si="239"/>
      </c>
      <c r="O232" s="491" t="s">
        <v>325</v>
      </c>
      <c r="P232" s="526" t="s">
        <v>353</v>
      </c>
      <c r="Q232" s="494">
        <v>32574</v>
      </c>
      <c r="R232" s="494">
        <v>3699</v>
      </c>
      <c r="S232" s="527">
        <v>16</v>
      </c>
      <c r="T232" s="527">
        <v>83</v>
      </c>
    </row>
    <row r="233">
      <c r="A233" s="481"/>
      <c r="B233" s="482" t="s">
        <v>323</v>
      </c>
      <c r="C233" s="483" t="s">
        <v>342</v>
      </c>
      <c r="D233" s="500">
        <f t="shared" si="36"/>
      </c>
      <c r="E233" s="501">
        <v>1458.56</v>
      </c>
      <c r="F233" s="483">
        <v>645.14</v>
      </c>
      <c r="G233" s="502">
        <v>11</v>
      </c>
      <c r="H233" s="503">
        <v>8188.009999999999</v>
      </c>
      <c r="I233" s="486">
        <f t="shared" si="92"/>
      </c>
      <c r="J233" s="486">
        <f t="shared" si="121"/>
      </c>
      <c r="K233" s="487">
        <f t="shared" si="150"/>
      </c>
      <c r="L233" s="488">
        <f t="shared" si="179"/>
      </c>
      <c r="M233" s="489">
        <f t="shared" si="209"/>
      </c>
      <c r="N233" s="490">
        <f t="shared" si="239"/>
      </c>
      <c r="O233" s="491" t="s">
        <v>325</v>
      </c>
      <c r="P233" s="526" t="s">
        <v>353</v>
      </c>
      <c r="Q233" s="494">
        <v>20270</v>
      </c>
      <c r="R233" s="494">
        <v>2792</v>
      </c>
      <c r="S233" s="527">
        <v>13</v>
      </c>
      <c r="T233" s="527">
        <v>58</v>
      </c>
    </row>
    <row r="234">
      <c r="A234" s="481"/>
      <c r="B234" s="482" t="s">
        <v>323</v>
      </c>
      <c r="C234" s="483" t="s">
        <v>344</v>
      </c>
      <c r="D234" s="500">
        <f t="shared" si="36"/>
      </c>
      <c r="E234" s="501">
        <v>3348.71</v>
      </c>
      <c r="F234" s="483">
        <v>3247.55</v>
      </c>
      <c r="G234" s="502">
        <v>34</v>
      </c>
      <c r="H234" s="503">
        <v>21285.26</v>
      </c>
      <c r="I234" s="486">
        <f t="shared" si="92"/>
      </c>
      <c r="J234" s="486">
        <f t="shared" si="121"/>
      </c>
      <c r="K234" s="487">
        <f t="shared" si="150"/>
      </c>
      <c r="L234" s="488">
        <f t="shared" si="179"/>
      </c>
      <c r="M234" s="489">
        <f t="shared" si="209"/>
      </c>
      <c r="N234" s="490">
        <f t="shared" si="239"/>
      </c>
      <c r="O234" s="491" t="s">
        <v>325</v>
      </c>
      <c r="P234" s="526" t="s">
        <v>353</v>
      </c>
      <c r="Q234" s="504">
        <v>66253</v>
      </c>
      <c r="R234" s="504">
        <v>10024</v>
      </c>
      <c r="S234" s="505">
        <v>42</v>
      </c>
      <c r="T234" s="505">
        <v>168</v>
      </c>
    </row>
    <row r="235">
      <c r="A235" s="481"/>
      <c r="B235" s="506" t="s">
        <v>330</v>
      </c>
      <c r="C235" s="506"/>
      <c r="D235" s="507">
        <f>SUM(D231:D234)</f>
      </c>
      <c r="E235" s="507">
        <f>SUM(E231:E234)</f>
      </c>
      <c r="F235" s="507">
        <f>SUM(F231:F234)</f>
      </c>
      <c r="G235" s="507">
        <f>SUM(G231:G234)</f>
      </c>
      <c r="H235" s="507">
        <f>SUM(H231:H234)</f>
      </c>
      <c r="I235" s="509">
        <f t="shared" si="92"/>
      </c>
      <c r="J235" s="510">
        <f t="shared" si="121"/>
      </c>
      <c r="K235" s="511">
        <f t="shared" si="150"/>
      </c>
      <c r="L235" s="512">
        <f t="shared" si="179"/>
      </c>
      <c r="M235" s="512">
        <f t="shared" si="209"/>
      </c>
      <c r="N235" s="513">
        <f t="shared" si="239"/>
      </c>
      <c r="O235" s="513"/>
      <c r="P235" s="513"/>
      <c r="Q235" s="508">
        <f>SUM(Q231:Q234)</f>
      </c>
      <c r="R235" s="508">
        <f>SUM(R231:R234)</f>
      </c>
      <c r="S235" s="508">
        <f>SUM(S231:S234)</f>
      </c>
      <c r="T235" s="508">
        <f>SUM(T231:T234)</f>
      </c>
    </row>
    <row r="236">
      <c r="A236" s="481"/>
      <c r="B236" s="523" t="s">
        <v>338</v>
      </c>
      <c r="C236" s="525" t="s">
        <v>345</v>
      </c>
      <c r="D236" s="500">
        <f t="shared" ref="D236:D239" si="37">E236+F236</f>
      </c>
      <c r="E236" s="483">
        <v>13119.26</v>
      </c>
      <c r="F236" s="483">
        <v>4421.56</v>
      </c>
      <c r="G236" s="499">
        <v>53</v>
      </c>
      <c r="H236" s="483">
        <v>32565.350000000006</v>
      </c>
      <c r="I236" s="486">
        <f t="shared" si="92"/>
      </c>
      <c r="J236" s="486">
        <f t="shared" si="121"/>
      </c>
      <c r="K236" s="487">
        <f t="shared" si="150"/>
      </c>
      <c r="L236" s="488">
        <f t="shared" si="179"/>
      </c>
      <c r="M236" s="489">
        <f t="shared" si="209"/>
      </c>
      <c r="N236" s="490">
        <f t="shared" si="239"/>
      </c>
      <c r="O236" s="491" t="s">
        <v>325</v>
      </c>
      <c r="P236" s="526" t="s">
        <v>353</v>
      </c>
      <c r="Q236" s="504">
        <v>165828</v>
      </c>
      <c r="R236" s="504">
        <v>24341</v>
      </c>
      <c r="S236" s="505">
        <v>69</v>
      </c>
      <c r="T236" s="505">
        <v>397</v>
      </c>
    </row>
    <row r="237">
      <c r="A237" s="481"/>
      <c r="B237" s="523" t="s">
        <v>338</v>
      </c>
      <c r="C237" s="483" t="s">
        <v>346</v>
      </c>
      <c r="D237" s="500">
        <f t="shared" si="37"/>
      </c>
      <c r="E237" s="501">
        <v>7883.48</v>
      </c>
      <c r="F237" s="483">
        <v>2619.37</v>
      </c>
      <c r="G237" s="502">
        <v>37</v>
      </c>
      <c r="H237" s="503">
        <v>19241.430000000008</v>
      </c>
      <c r="I237" s="486">
        <f t="shared" si="92"/>
      </c>
      <c r="J237" s="486">
        <f t="shared" si="121"/>
      </c>
      <c r="K237" s="487">
        <f t="shared" si="150"/>
      </c>
      <c r="L237" s="488">
        <f t="shared" si="179"/>
      </c>
      <c r="M237" s="489">
        <f t="shared" si="209"/>
      </c>
      <c r="N237" s="490">
        <f t="shared" si="239"/>
      </c>
      <c r="O237" s="491" t="s">
        <v>325</v>
      </c>
      <c r="P237" s="526" t="s">
        <v>353</v>
      </c>
      <c r="Q237" s="504">
        <v>97011</v>
      </c>
      <c r="R237" s="504">
        <v>15362</v>
      </c>
      <c r="S237" s="505">
        <v>45</v>
      </c>
      <c r="T237" s="505">
        <v>156</v>
      </c>
    </row>
    <row r="238">
      <c r="A238" s="481"/>
      <c r="B238" s="523" t="s">
        <v>338</v>
      </c>
      <c r="C238" s="483" t="s">
        <v>347</v>
      </c>
      <c r="D238" s="500">
        <f t="shared" si="37"/>
      </c>
      <c r="E238" s="483">
        <v>5534.33</v>
      </c>
      <c r="F238" s="483">
        <v>1158.23</v>
      </c>
      <c r="G238" s="531">
        <v>23</v>
      </c>
      <c r="H238" s="503">
        <v>12626.499999999985</v>
      </c>
      <c r="I238" s="486">
        <f t="shared" si="92"/>
      </c>
      <c r="J238" s="486">
        <f t="shared" si="121"/>
      </c>
      <c r="K238" s="487">
        <f t="shared" si="150"/>
      </c>
      <c r="L238" s="488">
        <f t="shared" si="179"/>
      </c>
      <c r="M238" s="489">
        <f t="shared" si="209"/>
      </c>
      <c r="N238" s="490">
        <f t="shared" si="239"/>
      </c>
      <c r="O238" s="491" t="s">
        <v>325</v>
      </c>
      <c r="P238" s="526" t="s">
        <v>353</v>
      </c>
      <c r="Q238" s="504">
        <v>67421</v>
      </c>
      <c r="R238" s="504">
        <v>9216</v>
      </c>
      <c r="S238" s="505">
        <v>27</v>
      </c>
      <c r="T238" s="505">
        <v>120</v>
      </c>
    </row>
    <row r="239">
      <c r="A239" s="481"/>
      <c r="B239" s="523" t="s">
        <v>338</v>
      </c>
      <c r="C239" s="525" t="s">
        <v>348</v>
      </c>
      <c r="D239" s="500">
        <f t="shared" si="37"/>
      </c>
      <c r="E239" s="483">
        <v>3118.75</v>
      </c>
      <c r="F239" s="483">
        <v>928.6</v>
      </c>
      <c r="G239" s="531">
        <v>11</v>
      </c>
      <c r="H239" s="503">
        <v>4578.240000000005</v>
      </c>
      <c r="I239" s="486">
        <f t="shared" si="92"/>
      </c>
      <c r="J239" s="486">
        <f t="shared" si="121"/>
      </c>
      <c r="K239" s="487">
        <f t="shared" si="150"/>
      </c>
      <c r="L239" s="488">
        <f t="shared" si="179"/>
      </c>
      <c r="M239" s="489">
        <f t="shared" si="209"/>
      </c>
      <c r="N239" s="490">
        <f t="shared" si="239"/>
      </c>
      <c r="O239" s="491" t="s">
        <v>325</v>
      </c>
      <c r="P239" s="526" t="s">
        <v>353</v>
      </c>
      <c r="Q239" s="504">
        <v>36456</v>
      </c>
      <c r="R239" s="504">
        <v>4706</v>
      </c>
      <c r="S239" s="505">
        <v>13</v>
      </c>
      <c r="T239" s="505">
        <v>85</v>
      </c>
    </row>
    <row r="240">
      <c r="A240" s="481"/>
      <c r="B240" s="514" t="s">
        <v>330</v>
      </c>
      <c r="C240" s="514"/>
      <c r="D240" s="507">
        <f>SUM(D236:D239)</f>
      </c>
      <c r="E240" s="507">
        <f>SUM(E236:E239)</f>
      </c>
      <c r="F240" s="507">
        <f>SUM(F236:F239)</f>
      </c>
      <c r="G240" s="508">
        <f>SUM(G236:G239)</f>
      </c>
      <c r="H240" s="507">
        <f>SUM(H236:H239)</f>
      </c>
      <c r="I240" s="515">
        <f t="shared" si="92"/>
      </c>
      <c r="J240" s="510">
        <f t="shared" si="121"/>
      </c>
      <c r="K240" s="511">
        <f t="shared" si="150"/>
      </c>
      <c r="L240" s="512">
        <f t="shared" si="179"/>
      </c>
      <c r="M240" s="512">
        <f t="shared" si="209"/>
      </c>
      <c r="N240" s="513">
        <f t="shared" si="239"/>
      </c>
      <c r="O240" s="513"/>
      <c r="P240" s="513"/>
      <c r="Q240" s="508">
        <f>SUM(Q236:Q239)</f>
      </c>
      <c r="R240" s="508">
        <f>SUM(R236:R239)</f>
      </c>
      <c r="S240" s="508">
        <f>SUM(S236:S239)</f>
      </c>
      <c r="T240" s="508">
        <f>SUM(T236:T239)</f>
      </c>
    </row>
    <row r="241">
      <c r="A241" s="481"/>
      <c r="B241" s="523" t="s">
        <v>331</v>
      </c>
      <c r="C241" s="525" t="s">
        <v>366</v>
      </c>
      <c r="D241" s="500">
        <f>E241+F241</f>
      </c>
      <c r="E241" s="525">
        <v>1193.18</v>
      </c>
      <c r="F241" s="525">
        <v>410.17999999999995</v>
      </c>
      <c r="G241" s="499">
        <v>9</v>
      </c>
      <c r="H241" s="483">
        <v>3801.2399999999907</v>
      </c>
      <c r="I241" s="486">
        <f t="shared" si="92"/>
      </c>
      <c r="J241" s="486">
        <f t="shared" si="121"/>
      </c>
      <c r="K241" s="487">
        <f t="shared" si="150"/>
      </c>
      <c r="L241" s="488">
        <f t="shared" si="179"/>
      </c>
      <c r="M241" s="489">
        <f t="shared" si="209"/>
      </c>
      <c r="N241" s="490">
        <f t="shared" si="239"/>
      </c>
      <c r="O241" s="491" t="s">
        <v>325</v>
      </c>
      <c r="P241" s="526" t="s">
        <v>353</v>
      </c>
      <c r="Q241" s="504">
        <v>15661</v>
      </c>
      <c r="R241" s="504">
        <v>1962</v>
      </c>
      <c r="S241" s="505">
        <v>13</v>
      </c>
      <c r="T241" s="505">
        <v>36</v>
      </c>
    </row>
    <row r="242">
      <c r="A242" s="481"/>
      <c r="B242" s="514" t="s">
        <v>330</v>
      </c>
      <c r="C242" s="514"/>
      <c r="D242" s="507">
        <f>SUM(D241)</f>
      </c>
      <c r="E242" s="507">
        <f>SUM(E241)</f>
      </c>
      <c r="F242" s="507">
        <f>SUM(F241)</f>
      </c>
      <c r="G242" s="507">
        <f>SUM(G241)</f>
      </c>
      <c r="H242" s="507">
        <f>SUM(H241)</f>
      </c>
      <c r="I242" s="515">
        <f t="shared" si="92"/>
      </c>
      <c r="J242" s="510">
        <f t="shared" si="121"/>
      </c>
      <c r="K242" s="511">
        <f t="shared" si="150"/>
      </c>
      <c r="L242" s="512">
        <f t="shared" si="179"/>
      </c>
      <c r="M242" s="512">
        <f t="shared" si="209"/>
      </c>
      <c r="N242" s="513">
        <f t="shared" si="239"/>
      </c>
      <c r="O242" s="513"/>
      <c r="P242" s="513"/>
      <c r="Q242" s="508">
        <f>SUM(Q241)</f>
      </c>
      <c r="R242" s="508">
        <f>SUM(R241)</f>
      </c>
      <c r="S242" s="508">
        <f>SUM(S241)</f>
      </c>
      <c r="T242" s="508">
        <f>SUM(T241)</f>
      </c>
    </row>
    <row r="243">
      <c r="A243" s="481"/>
      <c r="B243" s="516" t="s">
        <v>336</v>
      </c>
      <c r="C243" s="516"/>
      <c r="D243" s="517">
        <f>D235+D240+D242</f>
      </c>
      <c r="E243" s="517">
        <f>E235+E240+E242</f>
      </c>
      <c r="F243" s="517">
        <f>F235+F240+F242</f>
      </c>
      <c r="G243" s="517">
        <f>G235+G240+G242</f>
      </c>
      <c r="H243" s="517">
        <f>H235+H240+H242</f>
      </c>
      <c r="I243" s="519">
        <f t="shared" si="92"/>
      </c>
      <c r="J243" s="519">
        <f t="shared" si="121"/>
      </c>
      <c r="K243" s="520">
        <f t="shared" si="150"/>
      </c>
      <c r="L243" s="521">
        <f t="shared" si="179"/>
      </c>
      <c r="M243" s="521">
        <f t="shared" si="209"/>
      </c>
      <c r="N243" s="519">
        <f t="shared" si="239"/>
      </c>
      <c r="O243" s="522"/>
      <c r="P243" s="522"/>
      <c r="Q243" s="530">
        <f>Q235+Q240+Q242</f>
      </c>
      <c r="R243" s="530">
        <f>R235+R240+R242</f>
      </c>
      <c r="S243" s="530">
        <f>S235+S240+S242</f>
      </c>
      <c r="T243" s="530">
        <f>T235+T240+T242</f>
      </c>
    </row>
    <row r="244">
      <c r="A244" s="463" t="s">
        <v>298</v>
      </c>
      <c r="B244" s="463"/>
      <c r="C244" s="463"/>
      <c r="D244" s="464" t="s">
        <v>299</v>
      </c>
      <c r="E244" s="464"/>
      <c r="F244" s="464"/>
      <c r="G244" s="464"/>
      <c r="H244" s="464"/>
      <c r="I244" s="464"/>
      <c r="J244" s="464"/>
      <c r="K244" s="464"/>
      <c r="L244" s="465" t="s">
        <v>300</v>
      </c>
      <c r="M244" s="465"/>
      <c r="N244" s="465"/>
      <c r="O244" s="465"/>
      <c r="P244" s="465"/>
      <c r="Q244" s="466" t="s">
        <v>301</v>
      </c>
      <c r="R244" s="466"/>
      <c r="S244" s="466"/>
      <c r="T244" s="466"/>
    </row>
    <row r="245">
      <c r="A245" s="467" t="s">
        <v>302</v>
      </c>
      <c r="B245" s="468" t="s">
        <v>303</v>
      </c>
      <c r="C245" s="469" t="s">
        <v>304</v>
      </c>
      <c r="D245" s="470" t="s">
        <v>305</v>
      </c>
      <c r="E245" s="471" t="s">
        <v>306</v>
      </c>
      <c r="F245" s="470" t="s">
        <v>307</v>
      </c>
      <c r="G245" s="472" t="s">
        <v>308</v>
      </c>
      <c r="H245" s="473" t="s">
        <v>309</v>
      </c>
      <c r="I245" s="474" t="s">
        <v>310</v>
      </c>
      <c r="J245" s="475" t="s">
        <v>311</v>
      </c>
      <c r="K245" s="476" t="s">
        <v>312</v>
      </c>
      <c r="L245" s="465" t="s">
        <v>313</v>
      </c>
      <c r="M245" s="465" t="s">
        <v>314</v>
      </c>
      <c r="N245" s="465" t="s">
        <v>315</v>
      </c>
      <c r="O245" s="477" t="s">
        <v>316</v>
      </c>
      <c r="P245" s="478" t="s">
        <v>317</v>
      </c>
      <c r="Q245" s="479" t="s">
        <v>318</v>
      </c>
      <c r="R245" s="479" t="s">
        <v>319</v>
      </c>
      <c r="S245" s="480" t="s">
        <v>320</v>
      </c>
      <c r="T245" s="479" t="s">
        <v>321</v>
      </c>
    </row>
    <row r="246">
      <c r="A246" s="481" t="s">
        <v>367</v>
      </c>
      <c r="B246" s="523" t="s">
        <v>331</v>
      </c>
      <c r="C246" s="483" t="s">
        <v>339</v>
      </c>
      <c r="D246" s="483">
        <v>2344.88</v>
      </c>
      <c r="E246" s="524">
        <v>598.7</v>
      </c>
      <c r="F246" s="525">
        <v>1746.18</v>
      </c>
      <c r="G246" s="532">
        <v>9</v>
      </c>
      <c r="H246" s="525">
        <v>3338.52</v>
      </c>
      <c r="I246" s="486">
        <v>1.4237487632629386</v>
      </c>
      <c r="J246" s="486">
        <f t="shared" ref="J246:J268" si="122">D246/G246</f>
      </c>
      <c r="K246" s="487">
        <f t="shared" ref="K246:K268" si="151">H246/G246</f>
      </c>
      <c r="L246" s="488">
        <f t="shared" ref="L246:L268" si="180">R246/Q246</f>
      </c>
      <c r="M246" s="489">
        <f t="shared" ref="M246:M268" si="210">G246/S246</f>
      </c>
      <c r="N246" s="490">
        <f t="shared" ref="N246:N268" si="240">(T246*1000)/D246</f>
      </c>
      <c r="O246" s="491" t="s">
        <v>325</v>
      </c>
      <c r="P246" s="526" t="s">
        <v>353</v>
      </c>
      <c r="Q246" s="493">
        <v>25813</v>
      </c>
      <c r="R246" s="493">
        <v>2723</v>
      </c>
      <c r="S246" s="527">
        <v>13</v>
      </c>
      <c r="T246" s="527">
        <v>36</v>
      </c>
    </row>
    <row r="247">
      <c r="A247" s="481"/>
      <c r="B247" s="482" t="s">
        <v>331</v>
      </c>
      <c r="C247" s="496" t="s">
        <v>341</v>
      </c>
      <c r="D247" s="497">
        <v>7841.860000000001</v>
      </c>
      <c r="E247" s="528">
        <v>1608.39</v>
      </c>
      <c r="F247" s="528">
        <v>6233.47</v>
      </c>
      <c r="G247" s="529">
        <v>31</v>
      </c>
      <c r="H247" s="525">
        <v>25785.29</v>
      </c>
      <c r="I247" s="486">
        <v>3.2881599518481583</v>
      </c>
      <c r="J247" s="486">
        <f t="shared" si="122"/>
      </c>
      <c r="K247" s="487">
        <f t="shared" si="151"/>
      </c>
      <c r="L247" s="488">
        <f t="shared" si="180"/>
      </c>
      <c r="M247" s="489">
        <f t="shared" si="210"/>
      </c>
      <c r="N247" s="490">
        <f t="shared" si="240"/>
      </c>
      <c r="O247" s="491" t="s">
        <v>325</v>
      </c>
      <c r="P247" s="526" t="s">
        <v>353</v>
      </c>
      <c r="Q247" s="494">
        <v>82431</v>
      </c>
      <c r="R247" s="494">
        <v>7730</v>
      </c>
      <c r="S247" s="527">
        <v>36</v>
      </c>
      <c r="T247" s="527">
        <v>143</v>
      </c>
    </row>
    <row r="248">
      <c r="A248" s="481"/>
      <c r="B248" s="482" t="s">
        <v>331</v>
      </c>
      <c r="C248" s="483" t="s">
        <v>342</v>
      </c>
      <c r="D248" s="500">
        <v>8591.42</v>
      </c>
      <c r="E248" s="501">
        <v>1370.39</v>
      </c>
      <c r="F248" s="483">
        <v>7221.03</v>
      </c>
      <c r="G248" s="502">
        <v>32</v>
      </c>
      <c r="H248" s="503">
        <v>19931.229999999992</v>
      </c>
      <c r="I248" s="486">
        <v>2.3198993879940675</v>
      </c>
      <c r="J248" s="486">
        <f t="shared" si="122"/>
      </c>
      <c r="K248" s="487">
        <f t="shared" si="151"/>
      </c>
      <c r="L248" s="488">
        <f t="shared" si="180"/>
      </c>
      <c r="M248" s="489">
        <f t="shared" si="210"/>
      </c>
      <c r="N248" s="490">
        <f t="shared" si="240"/>
      </c>
      <c r="O248" s="491" t="s">
        <v>325</v>
      </c>
      <c r="P248" s="526" t="s">
        <v>353</v>
      </c>
      <c r="Q248" s="494">
        <v>98652</v>
      </c>
      <c r="R248" s="494">
        <v>7891</v>
      </c>
      <c r="S248" s="527">
        <v>42</v>
      </c>
      <c r="T248" s="527">
        <v>96</v>
      </c>
    </row>
    <row r="249">
      <c r="A249" s="481"/>
      <c r="B249" s="482" t="s">
        <v>331</v>
      </c>
      <c r="C249" s="483" t="s">
        <v>344</v>
      </c>
      <c r="D249" s="500">
        <v>6118.94</v>
      </c>
      <c r="E249" s="501">
        <v>746.54</v>
      </c>
      <c r="F249" s="483">
        <v>5372.4</v>
      </c>
      <c r="G249" s="502">
        <v>24</v>
      </c>
      <c r="H249" s="503">
        <v>13201.43</v>
      </c>
      <c r="I249" s="486">
        <v>2.157470084687871</v>
      </c>
      <c r="J249" s="486">
        <f t="shared" si="122"/>
      </c>
      <c r="K249" s="487">
        <f t="shared" si="151"/>
      </c>
      <c r="L249" s="488">
        <f t="shared" si="180"/>
      </c>
      <c r="M249" s="489">
        <f t="shared" si="210"/>
      </c>
      <c r="N249" s="490">
        <f t="shared" si="240"/>
      </c>
      <c r="O249" s="491" t="s">
        <v>325</v>
      </c>
      <c r="P249" s="526" t="s">
        <v>353</v>
      </c>
      <c r="Q249" s="504">
        <v>75501</v>
      </c>
      <c r="R249" s="504">
        <v>4111</v>
      </c>
      <c r="S249" s="505">
        <v>32</v>
      </c>
      <c r="T249" s="505">
        <v>85</v>
      </c>
    </row>
    <row r="250">
      <c r="A250" s="481"/>
      <c r="B250" s="482" t="s">
        <v>331</v>
      </c>
      <c r="C250" s="525" t="s">
        <v>345</v>
      </c>
      <c r="D250" s="500">
        <v>5393.629999999999</v>
      </c>
      <c r="E250" s="501">
        <v>593.52</v>
      </c>
      <c r="F250" s="483">
        <v>4800.11</v>
      </c>
      <c r="G250" s="502">
        <v>14</v>
      </c>
      <c r="H250" s="503">
        <v>4799.760000000002</v>
      </c>
      <c r="I250" s="486">
        <v>0.8898941899982021</v>
      </c>
      <c r="J250" s="486">
        <f t="shared" si="122"/>
      </c>
      <c r="K250" s="487">
        <f t="shared" si="151"/>
      </c>
      <c r="L250" s="488">
        <f t="shared" si="180"/>
      </c>
      <c r="M250" s="489">
        <f t="shared" si="210"/>
      </c>
      <c r="N250" s="490">
        <f t="shared" si="240"/>
      </c>
      <c r="O250" s="491" t="s">
        <v>325</v>
      </c>
      <c r="P250" s="526" t="s">
        <v>353</v>
      </c>
      <c r="Q250" s="504">
        <v>75941</v>
      </c>
      <c r="R250" s="504">
        <v>3833</v>
      </c>
      <c r="S250" s="505">
        <v>16</v>
      </c>
      <c r="T250" s="505">
        <v>75</v>
      </c>
    </row>
    <row r="251">
      <c r="A251" s="481"/>
      <c r="B251" s="506" t="s">
        <v>330</v>
      </c>
      <c r="C251" s="506"/>
      <c r="D251" s="507">
        <v>30290.730000000003</v>
      </c>
      <c r="E251" s="507">
        <v>4917.540000000001</v>
      </c>
      <c r="F251" s="507">
        <v>25373.190000000002</v>
      </c>
      <c r="G251" s="507">
        <v>110</v>
      </c>
      <c r="H251" s="507">
        <v>67056.23</v>
      </c>
      <c r="I251" s="509">
        <v>2.2137541749571565</v>
      </c>
      <c r="J251" s="510">
        <f t="shared" si="122"/>
      </c>
      <c r="K251" s="511">
        <f t="shared" si="151"/>
      </c>
      <c r="L251" s="512">
        <f t="shared" si="180"/>
      </c>
      <c r="M251" s="512">
        <f t="shared" si="210"/>
      </c>
      <c r="N251" s="513">
        <f t="shared" si="240"/>
      </c>
      <c r="O251" s="513"/>
      <c r="P251" s="513"/>
      <c r="Q251" s="508">
        <f>SUM(Q246:Q250)</f>
      </c>
      <c r="R251" s="508">
        <f>SUM(R246:R250)</f>
      </c>
      <c r="S251" s="508">
        <f>SUM(S246:S250)</f>
      </c>
      <c r="T251" s="508">
        <f>SUM(T246:T250)</f>
      </c>
    </row>
    <row r="252">
      <c r="A252" s="481"/>
      <c r="B252" s="523" t="s">
        <v>323</v>
      </c>
      <c r="C252" s="525" t="s">
        <v>346</v>
      </c>
      <c r="D252" s="500">
        <v>2792.5699999999997</v>
      </c>
      <c r="E252" s="483">
        <v>331.76</v>
      </c>
      <c r="F252" s="483">
        <v>2460.81</v>
      </c>
      <c r="G252" s="499">
        <v>11</v>
      </c>
      <c r="H252" s="483">
        <v>5046.87000000001</v>
      </c>
      <c r="I252" s="486">
        <v>1.807249236366505</v>
      </c>
      <c r="J252" s="486">
        <f t="shared" si="122"/>
      </c>
      <c r="K252" s="487">
        <f t="shared" si="151"/>
      </c>
      <c r="L252" s="488">
        <f t="shared" si="180"/>
      </c>
      <c r="M252" s="489">
        <f t="shared" si="210"/>
      </c>
      <c r="N252" s="490">
        <f t="shared" si="240"/>
      </c>
      <c r="O252" s="491" t="s">
        <v>325</v>
      </c>
      <c r="P252" s="526" t="s">
        <v>353</v>
      </c>
      <c r="Q252" s="504">
        <v>26204</v>
      </c>
      <c r="R252" s="504">
        <v>2949</v>
      </c>
      <c r="S252" s="505">
        <v>11</v>
      </c>
      <c r="T252" s="505">
        <v>60</v>
      </c>
    </row>
    <row r="253">
      <c r="A253" s="481"/>
      <c r="B253" s="523" t="s">
        <v>323</v>
      </c>
      <c r="C253" s="483" t="s">
        <v>347</v>
      </c>
      <c r="D253" s="500">
        <v>2333.54</v>
      </c>
      <c r="E253" s="501">
        <v>501.19</v>
      </c>
      <c r="F253" s="483">
        <v>1832.35</v>
      </c>
      <c r="G253" s="502">
        <v>5</v>
      </c>
      <c r="H253" s="503">
        <v>2443.699999999997</v>
      </c>
      <c r="I253" s="486">
        <v>1.04720724735809</v>
      </c>
      <c r="J253" s="486">
        <f t="shared" si="122"/>
      </c>
      <c r="K253" s="487">
        <f t="shared" si="151"/>
      </c>
      <c r="L253" s="488">
        <f t="shared" si="180"/>
      </c>
      <c r="M253" s="489">
        <f t="shared" si="210"/>
      </c>
      <c r="N253" s="490">
        <f t="shared" si="240"/>
      </c>
      <c r="O253" s="491" t="s">
        <v>325</v>
      </c>
      <c r="P253" s="526" t="s">
        <v>353</v>
      </c>
      <c r="Q253" s="504">
        <v>23816</v>
      </c>
      <c r="R253" s="504">
        <v>2306</v>
      </c>
      <c r="S253" s="505">
        <v>7</v>
      </c>
      <c r="T253" s="505">
        <v>52</v>
      </c>
    </row>
    <row r="254">
      <c r="A254" s="481"/>
      <c r="B254" s="523" t="s">
        <v>323</v>
      </c>
      <c r="C254" s="483" t="s">
        <v>348</v>
      </c>
      <c r="D254" s="500">
        <v>1913.95</v>
      </c>
      <c r="E254" s="483">
        <v>644.78</v>
      </c>
      <c r="F254" s="483">
        <v>1269.17</v>
      </c>
      <c r="G254" s="531">
        <v>0</v>
      </c>
      <c r="H254" s="533">
        <v>0</v>
      </c>
      <c r="I254" s="486">
        <v>0</v>
      </c>
      <c r="J254" s="486">
        <f t="shared" si="122"/>
      </c>
      <c r="K254" s="487">
        <f t="shared" si="151"/>
      </c>
      <c r="L254" s="488">
        <f t="shared" si="180"/>
      </c>
      <c r="M254" s="489">
        <f t="shared" si="210"/>
      </c>
      <c r="N254" s="490">
        <f t="shared" si="240"/>
      </c>
      <c r="O254" s="491" t="s">
        <v>325</v>
      </c>
      <c r="P254" s="526" t="s">
        <v>353</v>
      </c>
      <c r="Q254" s="504">
        <v>20153</v>
      </c>
      <c r="R254" s="504">
        <v>2511</v>
      </c>
      <c r="S254" s="505">
        <v>3</v>
      </c>
      <c r="T254" s="505">
        <v>46</v>
      </c>
    </row>
    <row r="255">
      <c r="A255" s="481"/>
      <c r="B255" s="523" t="s">
        <v>323</v>
      </c>
      <c r="C255" s="525" t="s">
        <v>349</v>
      </c>
      <c r="D255" s="500">
        <v>1118.59</v>
      </c>
      <c r="E255" s="483">
        <v>254.98</v>
      </c>
      <c r="F255" s="483">
        <v>863.61</v>
      </c>
      <c r="G255" s="531">
        <v>0</v>
      </c>
      <c r="H255" s="503">
        <v>0</v>
      </c>
      <c r="I255" s="486">
        <v>0</v>
      </c>
      <c r="J255" s="486">
        <f t="shared" si="122"/>
      </c>
      <c r="K255" s="487">
        <f t="shared" si="151"/>
      </c>
      <c r="L255" s="488">
        <f t="shared" si="180"/>
      </c>
      <c r="M255" s="489">
        <f t="shared" si="210"/>
      </c>
      <c r="N255" s="490">
        <f t="shared" si="240"/>
      </c>
      <c r="O255" s="491" t="s">
        <v>325</v>
      </c>
      <c r="P255" s="526" t="s">
        <v>353</v>
      </c>
      <c r="Q255" s="504">
        <v>12044</v>
      </c>
      <c r="R255" s="504">
        <v>1411</v>
      </c>
      <c r="S255" s="505">
        <v>20</v>
      </c>
      <c r="T255" s="505">
        <v>34</v>
      </c>
    </row>
    <row r="256">
      <c r="A256" s="481"/>
      <c r="B256" s="523" t="s">
        <v>323</v>
      </c>
      <c r="C256" s="483" t="s">
        <v>350</v>
      </c>
      <c r="D256" s="500">
        <v>1460.79</v>
      </c>
      <c r="E256" s="483">
        <v>462.7</v>
      </c>
      <c r="F256" s="483">
        <v>998.09</v>
      </c>
      <c r="G256" s="531">
        <v>5</v>
      </c>
      <c r="H256" s="503">
        <v>2424.2399999999907</v>
      </c>
      <c r="I256" s="486">
        <v>1.659540385681714</v>
      </c>
      <c r="J256" s="486">
        <f t="shared" si="122"/>
      </c>
      <c r="K256" s="487">
        <f t="shared" si="151"/>
      </c>
      <c r="L256" s="488">
        <f t="shared" si="180"/>
      </c>
      <c r="M256" s="489">
        <f t="shared" si="210"/>
      </c>
      <c r="N256" s="490">
        <f t="shared" si="240"/>
      </c>
      <c r="O256" s="491" t="s">
        <v>325</v>
      </c>
      <c r="P256" s="526" t="s">
        <v>363</v>
      </c>
      <c r="Q256" s="504">
        <v>15807</v>
      </c>
      <c r="R256" s="504">
        <v>1402</v>
      </c>
      <c r="S256" s="505">
        <v>7</v>
      </c>
      <c r="T256" s="505">
        <v>36</v>
      </c>
    </row>
    <row r="257">
      <c r="A257" s="481"/>
      <c r="B257" s="514" t="s">
        <v>330</v>
      </c>
      <c r="C257" s="514"/>
      <c r="D257" s="507">
        <v>9619.439999999999</v>
      </c>
      <c r="E257" s="507">
        <v>2195.41</v>
      </c>
      <c r="F257" s="507">
        <v>7424.03</v>
      </c>
      <c r="G257" s="508">
        <v>21</v>
      </c>
      <c r="H257" s="507">
        <v>9914.809999999998</v>
      </c>
      <c r="I257" s="515">
        <v>1.0307055296358207</v>
      </c>
      <c r="J257" s="510">
        <f t="shared" si="122"/>
      </c>
      <c r="K257" s="511">
        <f t="shared" si="151"/>
      </c>
      <c r="L257" s="512">
        <f t="shared" si="180"/>
      </c>
      <c r="M257" s="512">
        <f t="shared" si="210"/>
      </c>
      <c r="N257" s="513">
        <f t="shared" si="240"/>
      </c>
      <c r="O257" s="513"/>
      <c r="P257" s="513"/>
      <c r="Q257" s="508">
        <f>SUM(Q252:Q256)</f>
      </c>
      <c r="R257" s="508">
        <f>SUM(R252:R256)</f>
      </c>
      <c r="S257" s="508">
        <f>SUM(S252:S256)</f>
      </c>
      <c r="T257" s="508">
        <f>SUM(T252:T256)</f>
      </c>
    </row>
    <row r="258">
      <c r="A258" s="481"/>
      <c r="B258" s="523" t="s">
        <v>338</v>
      </c>
      <c r="C258" s="483" t="s">
        <v>324</v>
      </c>
      <c r="D258" s="500">
        <v>1670.6100000000001</v>
      </c>
      <c r="E258" s="525">
        <v>741.15</v>
      </c>
      <c r="F258" s="525">
        <v>929.46</v>
      </c>
      <c r="G258" s="499">
        <v>9</v>
      </c>
      <c r="H258" s="483">
        <v>3538.560000000012</v>
      </c>
      <c r="I258" s="486">
        <v>2.118124517391858</v>
      </c>
      <c r="J258" s="486">
        <f t="shared" si="122"/>
      </c>
      <c r="K258" s="487">
        <f t="shared" si="151"/>
      </c>
      <c r="L258" s="488">
        <f t="shared" si="180"/>
      </c>
      <c r="M258" s="489">
        <f t="shared" si="210"/>
      </c>
      <c r="N258" s="490">
        <f t="shared" si="240"/>
      </c>
      <c r="O258" s="491" t="s">
        <v>325</v>
      </c>
      <c r="P258" s="526" t="s">
        <v>363</v>
      </c>
      <c r="Q258" s="504">
        <v>18755</v>
      </c>
      <c r="R258" s="504">
        <v>1523</v>
      </c>
      <c r="S258" s="505">
        <v>17</v>
      </c>
      <c r="T258" s="505">
        <v>45</v>
      </c>
    </row>
    <row r="259">
      <c r="A259" s="481"/>
      <c r="B259" s="523" t="s">
        <v>338</v>
      </c>
      <c r="C259" s="483" t="s">
        <v>327</v>
      </c>
      <c r="D259" s="500">
        <v>2004.4</v>
      </c>
      <c r="E259" s="525">
        <v>774.46</v>
      </c>
      <c r="F259" s="525">
        <v>1229.94</v>
      </c>
      <c r="G259" s="499">
        <v>9</v>
      </c>
      <c r="H259" s="483">
        <v>3123.479999999996</v>
      </c>
      <c r="I259" s="486">
        <v>1.5583117142286949</v>
      </c>
      <c r="J259" s="486">
        <f t="shared" si="122"/>
      </c>
      <c r="K259" s="487">
        <f t="shared" si="151"/>
      </c>
      <c r="L259" s="488">
        <f t="shared" si="180"/>
      </c>
      <c r="M259" s="489">
        <f t="shared" si="210"/>
      </c>
      <c r="N259" s="490">
        <f t="shared" si="240"/>
      </c>
      <c r="O259" s="491" t="s">
        <v>325</v>
      </c>
      <c r="P259" s="526" t="s">
        <v>363</v>
      </c>
      <c r="Q259" s="504">
        <v>28816</v>
      </c>
      <c r="R259" s="504">
        <v>2151</v>
      </c>
      <c r="S259" s="505">
        <v>18</v>
      </c>
      <c r="T259" s="505">
        <v>44</v>
      </c>
    </row>
    <row r="260">
      <c r="A260" s="481"/>
      <c r="B260" s="523" t="s">
        <v>338</v>
      </c>
      <c r="C260" s="483" t="s">
        <v>328</v>
      </c>
      <c r="D260" s="500">
        <v>4740.57</v>
      </c>
      <c r="E260" s="525">
        <v>1547.39</v>
      </c>
      <c r="F260" s="525">
        <v>3193.18</v>
      </c>
      <c r="G260" s="529">
        <v>13</v>
      </c>
      <c r="H260" s="525">
        <v>4159.360000000001</v>
      </c>
      <c r="I260" s="486">
        <v>0.8773965999869215</v>
      </c>
      <c r="J260" s="486">
        <f t="shared" si="122"/>
      </c>
      <c r="K260" s="487">
        <f t="shared" si="151"/>
      </c>
      <c r="L260" s="488">
        <f t="shared" si="180"/>
      </c>
      <c r="M260" s="489">
        <f t="shared" si="210"/>
      </c>
      <c r="N260" s="490">
        <f t="shared" si="240"/>
      </c>
      <c r="O260" s="491" t="s">
        <v>325</v>
      </c>
      <c r="P260" s="526" t="s">
        <v>363</v>
      </c>
      <c r="Q260" s="504">
        <v>85141</v>
      </c>
      <c r="R260" s="504">
        <v>4564</v>
      </c>
      <c r="S260" s="505">
        <v>16</v>
      </c>
      <c r="T260" s="505">
        <v>106</v>
      </c>
    </row>
    <row r="261">
      <c r="A261" s="481"/>
      <c r="B261" s="523" t="s">
        <v>338</v>
      </c>
      <c r="C261" s="525" t="s">
        <v>329</v>
      </c>
      <c r="D261" s="500">
        <v>8619.36</v>
      </c>
      <c r="E261" s="483">
        <v>3853.92</v>
      </c>
      <c r="F261" s="525">
        <v>4765.44</v>
      </c>
      <c r="G261" s="529">
        <v>24</v>
      </c>
      <c r="H261" s="483">
        <v>8356.01999999999</v>
      </c>
      <c r="I261" s="486">
        <v>0.9694478476360181</v>
      </c>
      <c r="J261" s="486">
        <f t="shared" si="122"/>
      </c>
      <c r="K261" s="487">
        <f t="shared" si="151"/>
      </c>
      <c r="L261" s="488">
        <f t="shared" si="180"/>
      </c>
      <c r="M261" s="489">
        <f t="shared" si="210"/>
      </c>
      <c r="N261" s="490">
        <f t="shared" si="240"/>
      </c>
      <c r="O261" s="491" t="s">
        <v>325</v>
      </c>
      <c r="P261" s="526" t="s">
        <v>363</v>
      </c>
      <c r="Q261" s="504">
        <v>171442</v>
      </c>
      <c r="R261" s="504">
        <v>10516</v>
      </c>
      <c r="S261" s="505">
        <v>38</v>
      </c>
      <c r="T261" s="505">
        <v>162</v>
      </c>
    </row>
    <row r="262">
      <c r="A262" s="481"/>
      <c r="B262" s="514" t="s">
        <v>330</v>
      </c>
      <c r="C262" s="514"/>
      <c r="D262" s="507">
        <v>17034.940000000002</v>
      </c>
      <c r="E262" s="507">
        <v>6916.92</v>
      </c>
      <c r="F262" s="507">
        <v>10118.02</v>
      </c>
      <c r="G262" s="508">
        <v>55</v>
      </c>
      <c r="H262" s="507">
        <v>19177.42</v>
      </c>
      <c r="I262" s="515">
        <v>1.125769741484267</v>
      </c>
      <c r="J262" s="510">
        <f t="shared" si="122"/>
      </c>
      <c r="K262" s="511">
        <f t="shared" si="151"/>
      </c>
      <c r="L262" s="512">
        <f t="shared" si="180"/>
      </c>
      <c r="M262" s="512">
        <f t="shared" si="210"/>
      </c>
      <c r="N262" s="513">
        <f t="shared" si="240"/>
      </c>
      <c r="O262" s="513"/>
      <c r="P262" s="513"/>
      <c r="Q262" s="508">
        <f>SUM(Q258:Q261)</f>
      </c>
      <c r="R262" s="508">
        <f>SUM(R258:R261)</f>
      </c>
      <c r="S262" s="508">
        <f>SUM(S258:S261)</f>
      </c>
      <c r="T262" s="508">
        <f>SUM(T258:T261)</f>
      </c>
    </row>
    <row r="263">
      <c r="A263" s="481"/>
      <c r="B263" s="523" t="s">
        <v>351</v>
      </c>
      <c r="C263" s="525" t="s">
        <v>332</v>
      </c>
      <c r="D263" s="500">
        <v>5287.04</v>
      </c>
      <c r="E263" s="525">
        <v>1804.97</v>
      </c>
      <c r="F263" s="525">
        <v>3482.07</v>
      </c>
      <c r="G263" s="529">
        <v>22</v>
      </c>
      <c r="H263" s="483">
        <v>12785.600000000006</v>
      </c>
      <c r="I263" s="486">
        <v>2.4182907638300457</v>
      </c>
      <c r="J263" s="486">
        <f t="shared" si="122"/>
      </c>
      <c r="K263" s="487">
        <f t="shared" si="151"/>
      </c>
      <c r="L263" s="488">
        <f t="shared" si="180"/>
      </c>
      <c r="M263" s="489">
        <f t="shared" si="210"/>
      </c>
      <c r="N263" s="490">
        <f t="shared" si="240"/>
      </c>
      <c r="O263" s="491" t="s">
        <v>325</v>
      </c>
      <c r="P263" s="526" t="s">
        <v>363</v>
      </c>
      <c r="Q263" s="504">
        <v>99560</v>
      </c>
      <c r="R263" s="504">
        <v>7105</v>
      </c>
      <c r="S263" s="505">
        <v>36</v>
      </c>
      <c r="T263" s="505">
        <v>127</v>
      </c>
    </row>
    <row r="264">
      <c r="A264" s="481"/>
      <c r="B264" s="523" t="s">
        <v>351</v>
      </c>
      <c r="C264" s="525" t="s">
        <v>333</v>
      </c>
      <c r="D264" s="500">
        <v>6257.09</v>
      </c>
      <c r="E264" s="525">
        <v>1292.92</v>
      </c>
      <c r="F264" s="525">
        <v>4964.17</v>
      </c>
      <c r="G264" s="529">
        <v>14</v>
      </c>
      <c r="H264" s="483">
        <v>8495.300000000003</v>
      </c>
      <c r="I264" s="486">
        <v>1.3577078162532428</v>
      </c>
      <c r="J264" s="486">
        <f t="shared" si="122"/>
      </c>
      <c r="K264" s="487">
        <f t="shared" si="151"/>
      </c>
      <c r="L264" s="488">
        <f t="shared" si="180"/>
      </c>
      <c r="M264" s="489">
        <f t="shared" si="210"/>
      </c>
      <c r="N264" s="490">
        <f t="shared" si="240"/>
      </c>
      <c r="O264" s="491" t="s">
        <v>325</v>
      </c>
      <c r="P264" s="526" t="s">
        <v>363</v>
      </c>
      <c r="Q264" s="504">
        <v>115929</v>
      </c>
      <c r="R264" s="504">
        <v>8154</v>
      </c>
      <c r="S264" s="505">
        <v>25</v>
      </c>
      <c r="T264" s="505">
        <v>116</v>
      </c>
    </row>
    <row customHeight="true" ht="16.666666666666668" r="265">
      <c r="A265" s="481"/>
      <c r="B265" s="523" t="s">
        <v>351</v>
      </c>
      <c r="C265" s="525" t="s">
        <v>334</v>
      </c>
      <c r="D265" s="500">
        <v>4347.08</v>
      </c>
      <c r="E265" s="525">
        <v>799.33</v>
      </c>
      <c r="F265" s="525">
        <v>3547.75</v>
      </c>
      <c r="G265" s="529">
        <v>10</v>
      </c>
      <c r="H265" s="483">
        <v>4902.599999999991</v>
      </c>
      <c r="I265" s="486">
        <v>1.127791529026379</v>
      </c>
      <c r="J265" s="486">
        <f t="shared" si="122"/>
      </c>
      <c r="K265" s="487">
        <f t="shared" si="151"/>
      </c>
      <c r="L265" s="488">
        <f t="shared" si="180"/>
      </c>
      <c r="M265" s="489">
        <f t="shared" si="210"/>
      </c>
      <c r="N265" s="490">
        <f t="shared" si="240"/>
      </c>
      <c r="O265" s="491" t="s">
        <v>325</v>
      </c>
      <c r="P265" s="526" t="s">
        <v>363</v>
      </c>
      <c r="Q265" s="504">
        <v>63579</v>
      </c>
      <c r="R265" s="504">
        <v>4067</v>
      </c>
      <c r="S265" s="505">
        <v>16</v>
      </c>
      <c r="T265" s="505">
        <v>239</v>
      </c>
    </row>
    <row r="266">
      <c r="A266" s="481"/>
      <c r="B266" s="523" t="s">
        <v>351</v>
      </c>
      <c r="C266" s="525" t="s">
        <v>335</v>
      </c>
      <c r="D266" s="500">
        <v>1412.08</v>
      </c>
      <c r="E266" s="525">
        <v>448.16</v>
      </c>
      <c r="F266" s="525">
        <v>963.92</v>
      </c>
      <c r="G266" s="529">
        <v>4</v>
      </c>
      <c r="H266" s="483">
        <v>1723.9200000000128</v>
      </c>
      <c r="I266" s="486">
        <v>1.2208373463259963</v>
      </c>
      <c r="J266" s="486">
        <f t="shared" si="122"/>
      </c>
      <c r="K266" s="487">
        <f t="shared" si="151"/>
      </c>
      <c r="L266" s="488">
        <f t="shared" si="180"/>
      </c>
      <c r="M266" s="489">
        <f t="shared" si="210"/>
      </c>
      <c r="N266" s="490">
        <f t="shared" si="240"/>
      </c>
      <c r="O266" s="491" t="s">
        <v>325</v>
      </c>
      <c r="P266" s="526" t="s">
        <v>363</v>
      </c>
      <c r="Q266" s="504">
        <v>15817</v>
      </c>
      <c r="R266" s="504">
        <v>1501</v>
      </c>
      <c r="S266" s="505">
        <v>9</v>
      </c>
      <c r="T266" s="505">
        <v>137</v>
      </c>
    </row>
    <row r="267">
      <c r="A267" s="481"/>
      <c r="B267" s="514" t="s">
        <v>330</v>
      </c>
      <c r="C267" s="514"/>
      <c r="D267" s="507">
        <f>SUM(D263:D266)</f>
      </c>
      <c r="E267" s="507">
        <f>SUM(E263:E266)</f>
      </c>
      <c r="F267" s="507">
        <f>SUM(F263:F266)</f>
      </c>
      <c r="G267" s="507">
        <f>SUM(G263:G266)</f>
      </c>
      <c r="H267" s="507">
        <f>SUM(H263:H266)</f>
      </c>
      <c r="I267" s="515">
        <f t="shared" ref="I267:I268" si="93">H267/D267</f>
      </c>
      <c r="J267" s="510">
        <f t="shared" si="122"/>
      </c>
      <c r="K267" s="511">
        <f t="shared" si="151"/>
      </c>
      <c r="L267" s="512">
        <f t="shared" si="180"/>
      </c>
      <c r="M267" s="512">
        <f t="shared" si="210"/>
      </c>
      <c r="N267" s="513">
        <f t="shared" si="240"/>
      </c>
      <c r="O267" s="513"/>
      <c r="P267" s="513"/>
      <c r="Q267" s="508">
        <f>SUM(Q263:Q266)</f>
      </c>
      <c r="R267" s="508">
        <f>SUM(R263:R266)</f>
      </c>
      <c r="S267" s="508">
        <f>SUM(S263:S266)</f>
      </c>
      <c r="T267" s="508">
        <f>SUM(T263:T266)</f>
      </c>
    </row>
    <row r="268">
      <c r="A268" s="481"/>
      <c r="B268" s="516" t="s">
        <v>336</v>
      </c>
      <c r="C268" s="516"/>
      <c r="D268" s="517">
        <f>D251+D262+D257+D267</f>
      </c>
      <c r="E268" s="517">
        <f>E251+E262+E257+E267</f>
      </c>
      <c r="F268" s="517">
        <f>F251+F262+F257+F267</f>
      </c>
      <c r="G268" s="517">
        <f>G251+G262+G257+G267</f>
      </c>
      <c r="H268" s="517">
        <f>H251+H262+H257+H267</f>
      </c>
      <c r="I268" s="519">
        <f t="shared" si="93"/>
      </c>
      <c r="J268" s="519">
        <f t="shared" si="122"/>
      </c>
      <c r="K268" s="520">
        <f t="shared" si="151"/>
      </c>
      <c r="L268" s="521">
        <f t="shared" si="180"/>
      </c>
      <c r="M268" s="521">
        <f t="shared" si="210"/>
      </c>
      <c r="N268" s="519">
        <f t="shared" si="240"/>
      </c>
      <c r="O268" s="522"/>
      <c r="P268" s="522"/>
      <c r="Q268" s="530">
        <f>Q251+Q262+Q257+Q267</f>
      </c>
      <c r="R268" s="530">
        <f>R251+R262+R257+R267</f>
      </c>
      <c r="S268" s="530">
        <f>S251+S262+S257+S267</f>
      </c>
      <c r="T268" s="530">
        <f>T251+T262+T257+T267</f>
      </c>
    </row>
    <row r="269">
      <c r="A269" s="463" t="s">
        <v>298</v>
      </c>
      <c r="B269" s="463"/>
      <c r="C269" s="463"/>
      <c r="D269" s="464" t="s">
        <v>299</v>
      </c>
      <c r="E269" s="464"/>
      <c r="F269" s="464"/>
      <c r="G269" s="464"/>
      <c r="H269" s="464"/>
      <c r="I269" s="464"/>
      <c r="J269" s="464"/>
      <c r="K269" s="464"/>
      <c r="L269" s="465" t="s">
        <v>300</v>
      </c>
      <c r="M269" s="465"/>
      <c r="N269" s="465"/>
      <c r="O269" s="465"/>
      <c r="P269" s="465"/>
      <c r="Q269" s="466" t="s">
        <v>301</v>
      </c>
      <c r="R269" s="466"/>
      <c r="S269" s="466"/>
      <c r="T269" s="466"/>
    </row>
    <row r="270">
      <c r="A270" s="467" t="s">
        <v>302</v>
      </c>
      <c r="B270" s="468" t="s">
        <v>303</v>
      </c>
      <c r="C270" s="469" t="s">
        <v>304</v>
      </c>
      <c r="D270" s="470" t="s">
        <v>305</v>
      </c>
      <c r="E270" s="471" t="s">
        <v>306</v>
      </c>
      <c r="F270" s="470" t="s">
        <v>307</v>
      </c>
      <c r="G270" s="472" t="s">
        <v>308</v>
      </c>
      <c r="H270" s="473" t="s">
        <v>309</v>
      </c>
      <c r="I270" s="474" t="s">
        <v>310</v>
      </c>
      <c r="J270" s="475" t="s">
        <v>311</v>
      </c>
      <c r="K270" s="476" t="s">
        <v>312</v>
      </c>
      <c r="L270" s="465" t="s">
        <v>313</v>
      </c>
      <c r="M270" s="465" t="s">
        <v>314</v>
      </c>
      <c r="N270" s="465" t="s">
        <v>315</v>
      </c>
      <c r="O270" s="477" t="s">
        <v>316</v>
      </c>
      <c r="P270" s="478" t="s">
        <v>317</v>
      </c>
      <c r="Q270" s="479" t="s">
        <v>318</v>
      </c>
      <c r="R270" s="479" t="s">
        <v>319</v>
      </c>
      <c r="S270" s="480" t="s">
        <v>320</v>
      </c>
      <c r="T270" s="479" t="s">
        <v>321</v>
      </c>
    </row>
    <row r="271">
      <c r="A271" s="481" t="s">
        <v>368</v>
      </c>
      <c r="B271" s="523" t="s">
        <v>331</v>
      </c>
      <c r="C271" s="483" t="s">
        <v>339</v>
      </c>
      <c r="D271" s="483">
        <v>3591.76</v>
      </c>
      <c r="E271" s="524">
        <v>1458.63</v>
      </c>
      <c r="F271" s="525">
        <v>2133.13</v>
      </c>
      <c r="G271" s="532">
        <v>16</v>
      </c>
      <c r="H271" s="525">
        <v>7588.44</v>
      </c>
      <c r="I271" s="486">
        <f t="shared" ref="I271:I295" si="94">H271/D271</f>
      </c>
      <c r="J271" s="486">
        <f t="shared" ref="J271:J295" si="123">D271/G271</f>
      </c>
      <c r="K271" s="487">
        <f t="shared" ref="K271:K295" si="152">H271/G271</f>
      </c>
      <c r="L271" s="488">
        <f t="shared" ref="L271:L295" si="181">R271/Q271</f>
      </c>
      <c r="M271" s="489">
        <f t="shared" ref="M271:M295" si="211">G271/S271</f>
      </c>
      <c r="N271" s="490">
        <f t="shared" ref="N271:N295" si="241">(T271*1000)/D271</f>
      </c>
      <c r="O271" s="491" t="s">
        <v>325</v>
      </c>
      <c r="P271" s="526" t="s">
        <v>353</v>
      </c>
      <c r="Q271" s="493">
        <v>41635</v>
      </c>
      <c r="R271" s="493">
        <v>4773</v>
      </c>
      <c r="S271" s="527">
        <v>19</v>
      </c>
      <c r="T271" s="527">
        <v>65</v>
      </c>
    </row>
    <row r="272">
      <c r="A272" s="481"/>
      <c r="B272" s="482" t="s">
        <v>331</v>
      </c>
      <c r="C272" s="496" t="s">
        <v>341</v>
      </c>
      <c r="D272" s="497">
        <v>8129.67</v>
      </c>
      <c r="E272" s="528">
        <v>3991.65</v>
      </c>
      <c r="F272" s="528">
        <v>4138.02</v>
      </c>
      <c r="G272" s="529">
        <v>26</v>
      </c>
      <c r="H272" s="525">
        <v>14541.95</v>
      </c>
      <c r="I272" s="486">
        <f t="shared" si="94"/>
      </c>
      <c r="J272" s="486">
        <f t="shared" si="123"/>
      </c>
      <c r="K272" s="487">
        <f t="shared" si="152"/>
      </c>
      <c r="L272" s="488">
        <f t="shared" si="181"/>
      </c>
      <c r="M272" s="489">
        <f t="shared" si="211"/>
      </c>
      <c r="N272" s="490">
        <f t="shared" si="241"/>
      </c>
      <c r="O272" s="491" t="s">
        <v>325</v>
      </c>
      <c r="P272" s="526" t="s">
        <v>353</v>
      </c>
      <c r="Q272" s="494">
        <v>99401</v>
      </c>
      <c r="R272" s="494">
        <v>10139</v>
      </c>
      <c r="S272" s="527">
        <v>33</v>
      </c>
      <c r="T272" s="527">
        <v>91</v>
      </c>
    </row>
    <row r="273">
      <c r="A273" s="481"/>
      <c r="B273" s="482" t="s">
        <v>331</v>
      </c>
      <c r="C273" s="483" t="s">
        <v>342</v>
      </c>
      <c r="D273" s="500">
        <v>5381.37</v>
      </c>
      <c r="E273" s="501">
        <v>2777.73</v>
      </c>
      <c r="F273" s="483">
        <v>2603.64</v>
      </c>
      <c r="G273" s="502">
        <v>25</v>
      </c>
      <c r="H273" s="503">
        <v>12714.629999999997</v>
      </c>
      <c r="I273" s="486">
        <f t="shared" si="94"/>
      </c>
      <c r="J273" s="486">
        <f t="shared" si="123"/>
      </c>
      <c r="K273" s="487">
        <f t="shared" si="152"/>
      </c>
      <c r="L273" s="488">
        <f t="shared" si="181"/>
      </c>
      <c r="M273" s="489">
        <f t="shared" si="211"/>
      </c>
      <c r="N273" s="490">
        <f t="shared" si="241"/>
      </c>
      <c r="O273" s="491" t="s">
        <v>325</v>
      </c>
      <c r="P273" s="526" t="s">
        <v>353</v>
      </c>
      <c r="Q273" s="494">
        <v>61562</v>
      </c>
      <c r="R273" s="494">
        <v>6531</v>
      </c>
      <c r="S273" s="527">
        <v>30</v>
      </c>
      <c r="T273" s="527">
        <v>97</v>
      </c>
    </row>
    <row r="274">
      <c r="A274" s="481"/>
      <c r="B274" s="482" t="s">
        <v>331</v>
      </c>
      <c r="C274" s="483" t="s">
        <v>344</v>
      </c>
      <c r="D274" s="500">
        <v>9097.82</v>
      </c>
      <c r="E274" s="501">
        <v>4606.87</v>
      </c>
      <c r="F274" s="483">
        <v>4490.95</v>
      </c>
      <c r="G274" s="502">
        <v>36</v>
      </c>
      <c r="H274" s="503">
        <v>17370.800000000003</v>
      </c>
      <c r="I274" s="486">
        <f t="shared" si="94"/>
      </c>
      <c r="J274" s="486">
        <f t="shared" si="123"/>
      </c>
      <c r="K274" s="487">
        <f t="shared" si="152"/>
      </c>
      <c r="L274" s="488">
        <f t="shared" si="181"/>
      </c>
      <c r="M274" s="489">
        <f t="shared" si="211"/>
      </c>
      <c r="N274" s="490">
        <f t="shared" si="241"/>
      </c>
      <c r="O274" s="491" t="s">
        <v>325</v>
      </c>
      <c r="P274" s="526" t="s">
        <v>353</v>
      </c>
      <c r="Q274" s="504">
        <v>93395</v>
      </c>
      <c r="R274" s="504">
        <v>10306</v>
      </c>
      <c r="S274" s="505">
        <v>40</v>
      </c>
      <c r="T274" s="505">
        <v>156</v>
      </c>
    </row>
    <row r="275">
      <c r="A275" s="481"/>
      <c r="B275" s="506" t="s">
        <v>330</v>
      </c>
      <c r="C275" s="506"/>
      <c r="D275" s="507">
        <v>26200.62</v>
      </c>
      <c r="E275" s="507">
        <v>12834.880000000001</v>
      </c>
      <c r="F275" s="507">
        <v>13365.740000000002</v>
      </c>
      <c r="G275" s="507">
        <v>103</v>
      </c>
      <c r="H275" s="507">
        <f>SUM(H271:H274)</f>
      </c>
      <c r="I275" s="509">
        <f t="shared" si="94"/>
      </c>
      <c r="J275" s="510">
        <f t="shared" si="123"/>
      </c>
      <c r="K275" s="511">
        <f t="shared" si="152"/>
      </c>
      <c r="L275" s="512">
        <f t="shared" si="181"/>
      </c>
      <c r="M275" s="512">
        <f t="shared" si="211"/>
      </c>
      <c r="N275" s="513">
        <f t="shared" si="241"/>
      </c>
      <c r="O275" s="513"/>
      <c r="P275" s="513"/>
      <c r="Q275" s="508">
        <f>SUM(Q271:Q274)</f>
      </c>
      <c r="R275" s="508">
        <f>SUM(R271:R274)</f>
      </c>
      <c r="S275" s="508">
        <f>SUM(S271:S274)</f>
      </c>
      <c r="T275" s="508">
        <f>SUM(T271:T274)</f>
      </c>
    </row>
    <row r="276">
      <c r="A276" s="481"/>
      <c r="B276" s="523" t="s">
        <v>338</v>
      </c>
      <c r="C276" s="525" t="s">
        <v>345</v>
      </c>
      <c r="D276" s="500">
        <v>7940.23</v>
      </c>
      <c r="E276" s="483">
        <v>4310.95</v>
      </c>
      <c r="F276" s="483">
        <v>3629.28</v>
      </c>
      <c r="G276" s="499">
        <v>15</v>
      </c>
      <c r="H276" s="483">
        <v>6373.980000000003</v>
      </c>
      <c r="I276" s="486">
        <f t="shared" si="94"/>
      </c>
      <c r="J276" s="486">
        <f t="shared" si="123"/>
      </c>
      <c r="K276" s="487">
        <f t="shared" si="152"/>
      </c>
      <c r="L276" s="488">
        <f t="shared" si="181"/>
      </c>
      <c r="M276" s="489">
        <f t="shared" si="211"/>
      </c>
      <c r="N276" s="490">
        <f t="shared" si="241"/>
      </c>
      <c r="O276" s="491" t="s">
        <v>325</v>
      </c>
      <c r="P276" s="526" t="s">
        <v>353</v>
      </c>
      <c r="Q276" s="504">
        <v>87072</v>
      </c>
      <c r="R276" s="504">
        <v>9419</v>
      </c>
      <c r="S276" s="505">
        <v>23</v>
      </c>
      <c r="T276" s="505">
        <v>138</v>
      </c>
    </row>
    <row r="277">
      <c r="A277" s="481"/>
      <c r="B277" s="523" t="s">
        <v>338</v>
      </c>
      <c r="C277" s="483" t="s">
        <v>346</v>
      </c>
      <c r="D277" s="500">
        <v>3543.13</v>
      </c>
      <c r="E277" s="501">
        <v>2452.08</v>
      </c>
      <c r="F277" s="483">
        <v>1091.05</v>
      </c>
      <c r="G277" s="502">
        <v>18</v>
      </c>
      <c r="H277" s="503">
        <v>10139.559999999998</v>
      </c>
      <c r="I277" s="486">
        <f t="shared" si="94"/>
      </c>
      <c r="J277" s="486">
        <f t="shared" si="123"/>
      </c>
      <c r="K277" s="487">
        <f t="shared" si="152"/>
      </c>
      <c r="L277" s="488">
        <f t="shared" si="181"/>
      </c>
      <c r="M277" s="489">
        <f t="shared" si="211"/>
      </c>
      <c r="N277" s="490">
        <f t="shared" si="241"/>
      </c>
      <c r="O277" s="491" t="s">
        <v>325</v>
      </c>
      <c r="P277" s="526" t="s">
        <v>353</v>
      </c>
      <c r="Q277" s="504">
        <v>33783</v>
      </c>
      <c r="R277" s="504">
        <v>4371</v>
      </c>
      <c r="S277" s="505">
        <v>25</v>
      </c>
      <c r="T277" s="505">
        <v>96</v>
      </c>
    </row>
    <row r="278">
      <c r="A278" s="481"/>
      <c r="B278" s="523" t="s">
        <v>338</v>
      </c>
      <c r="C278" s="483" t="s">
        <v>347</v>
      </c>
      <c r="D278" s="500">
        <v>5451.85</v>
      </c>
      <c r="E278" s="483">
        <v>3737.17</v>
      </c>
      <c r="F278" s="483">
        <v>1714.68</v>
      </c>
      <c r="G278" s="531">
        <v>24</v>
      </c>
      <c r="H278" s="533">
        <v>14213.449999999997</v>
      </c>
      <c r="I278" s="486">
        <f t="shared" si="94"/>
      </c>
      <c r="J278" s="486">
        <f t="shared" si="123"/>
      </c>
      <c r="K278" s="487">
        <f t="shared" si="152"/>
      </c>
      <c r="L278" s="488">
        <f t="shared" si="181"/>
      </c>
      <c r="M278" s="489">
        <f t="shared" si="211"/>
      </c>
      <c r="N278" s="490">
        <f t="shared" si="241"/>
      </c>
      <c r="O278" s="491" t="s">
        <v>325</v>
      </c>
      <c r="P278" s="526" t="s">
        <v>353</v>
      </c>
      <c r="Q278" s="504">
        <v>57607</v>
      </c>
      <c r="R278" s="504">
        <v>6952</v>
      </c>
      <c r="S278" s="505">
        <v>30</v>
      </c>
      <c r="T278" s="505">
        <v>114</v>
      </c>
    </row>
    <row r="279">
      <c r="A279" s="481"/>
      <c r="B279" s="523" t="s">
        <v>338</v>
      </c>
      <c r="C279" s="525" t="s">
        <v>348</v>
      </c>
      <c r="D279" s="500">
        <v>4790.17</v>
      </c>
      <c r="E279" s="483">
        <v>3132.08</v>
      </c>
      <c r="F279" s="483">
        <v>1658.09</v>
      </c>
      <c r="G279" s="531">
        <v>30</v>
      </c>
      <c r="H279" s="503">
        <v>15894.630000000005</v>
      </c>
      <c r="I279" s="486">
        <f t="shared" si="94"/>
      </c>
      <c r="J279" s="486">
        <f t="shared" si="123"/>
      </c>
      <c r="K279" s="487">
        <f t="shared" si="152"/>
      </c>
      <c r="L279" s="488">
        <f t="shared" si="181"/>
      </c>
      <c r="M279" s="489">
        <f t="shared" si="211"/>
      </c>
      <c r="N279" s="490">
        <f t="shared" si="241"/>
      </c>
      <c r="O279" s="491" t="s">
        <v>325</v>
      </c>
      <c r="P279" s="526" t="s">
        <v>353</v>
      </c>
      <c r="Q279" s="504">
        <v>54639</v>
      </c>
      <c r="R279" s="504">
        <v>7295</v>
      </c>
      <c r="S279" s="505">
        <v>34</v>
      </c>
      <c r="T279" s="505">
        <v>100</v>
      </c>
    </row>
    <row customHeight="true" ht="16.666666666666668" r="280">
      <c r="A280" s="481"/>
      <c r="B280" s="514" t="s">
        <v>330</v>
      </c>
      <c r="C280" s="514"/>
      <c r="D280" s="507">
        <v>21725.379999999997</v>
      </c>
      <c r="E280" s="507">
        <v>13632.28</v>
      </c>
      <c r="F280" s="507">
        <v>8093.1</v>
      </c>
      <c r="G280" s="508">
        <v>87</v>
      </c>
      <c r="H280" s="507">
        <f>SUM(H276:H279)</f>
      </c>
      <c r="I280" s="515">
        <f t="shared" si="94"/>
      </c>
      <c r="J280" s="510">
        <f t="shared" si="123"/>
      </c>
      <c r="K280" s="511">
        <f t="shared" si="152"/>
      </c>
      <c r="L280" s="512">
        <f t="shared" si="181"/>
      </c>
      <c r="M280" s="512">
        <f t="shared" si="211"/>
      </c>
      <c r="N280" s="513">
        <f t="shared" si="241"/>
      </c>
      <c r="O280" s="513"/>
      <c r="P280" s="513"/>
      <c r="Q280" s="508">
        <f>SUM(Q276:Q279)</f>
      </c>
      <c r="R280" s="508">
        <f>SUM(R276:R279)</f>
      </c>
      <c r="S280" s="508">
        <f>SUM(S276:S279)</f>
      </c>
      <c r="T280" s="508">
        <f>SUM(T276:T279)</f>
      </c>
    </row>
    <row customHeight="true" ht="16.666666666666668" r="281">
      <c r="A281" s="481"/>
      <c r="B281" s="523" t="s">
        <v>369</v>
      </c>
      <c r="C281" s="525" t="s">
        <v>349</v>
      </c>
      <c r="D281" s="500">
        <v>7328.65</v>
      </c>
      <c r="E281" s="525">
        <v>6217.5</v>
      </c>
      <c r="F281" s="525">
        <v>1111.15</v>
      </c>
      <c r="G281" s="499">
        <v>15</v>
      </c>
      <c r="H281" s="483">
        <v>8693.26000000001</v>
      </c>
      <c r="I281" s="486">
        <f t="shared" si="94"/>
      </c>
      <c r="J281" s="486">
        <f t="shared" si="123"/>
      </c>
      <c r="K281" s="487">
        <f t="shared" si="152"/>
      </c>
      <c r="L281" s="488">
        <f t="shared" si="181"/>
      </c>
      <c r="M281" s="489">
        <f t="shared" si="211"/>
      </c>
      <c r="N281" s="490">
        <f t="shared" si="241"/>
      </c>
      <c r="O281" s="491" t="s">
        <v>325</v>
      </c>
      <c r="P281" s="526" t="s">
        <v>353</v>
      </c>
      <c r="Q281" s="504">
        <v>77566</v>
      </c>
      <c r="R281" s="504">
        <v>9853</v>
      </c>
      <c r="S281" s="505">
        <v>43</v>
      </c>
      <c r="T281" s="505">
        <v>124</v>
      </c>
    </row>
    <row customHeight="true" ht="16.666666666666668" r="282">
      <c r="A282" s="481"/>
      <c r="B282" s="514" t="s">
        <v>330</v>
      </c>
      <c r="C282" s="514"/>
      <c r="D282" s="507">
        <v>7328.65</v>
      </c>
      <c r="E282" s="507">
        <v>6217.5</v>
      </c>
      <c r="F282" s="507">
        <v>1111.15</v>
      </c>
      <c r="G282" s="507">
        <v>15</v>
      </c>
      <c r="H282" s="507">
        <f>SUM(H281)</f>
      </c>
      <c r="I282" s="515">
        <f t="shared" si="94"/>
      </c>
      <c r="J282" s="510">
        <f t="shared" si="123"/>
      </c>
      <c r="K282" s="511">
        <f t="shared" si="152"/>
      </c>
      <c r="L282" s="512">
        <f t="shared" si="181"/>
      </c>
      <c r="M282" s="512">
        <f t="shared" si="211"/>
      </c>
      <c r="N282" s="513">
        <f t="shared" si="241"/>
      </c>
      <c r="O282" s="513"/>
      <c r="P282" s="513"/>
      <c r="Q282" s="508">
        <f>SUM(Q281)</f>
      </c>
      <c r="R282" s="508">
        <f>SUM(R281)</f>
      </c>
      <c r="S282" s="508">
        <f>SUM(S281)</f>
      </c>
      <c r="T282" s="508">
        <f>SUM(T281)</f>
      </c>
    </row>
    <row customHeight="true" ht="16.666666666666668" r="283">
      <c r="A283" s="481"/>
      <c r="B283" s="523" t="s">
        <v>331</v>
      </c>
      <c r="C283" s="525" t="s">
        <v>350</v>
      </c>
      <c r="D283" s="500">
        <v>6039.879999999999</v>
      </c>
      <c r="E283" s="525">
        <v>4586.23</v>
      </c>
      <c r="F283" s="525">
        <v>1453.65</v>
      </c>
      <c r="G283" s="499">
        <v>22</v>
      </c>
      <c r="H283" s="483">
        <v>13432.589999999997</v>
      </c>
      <c r="I283" s="486">
        <f t="shared" si="94"/>
      </c>
      <c r="J283" s="486">
        <f t="shared" si="123"/>
      </c>
      <c r="K283" s="487">
        <f t="shared" si="152"/>
      </c>
      <c r="L283" s="488">
        <f t="shared" si="181"/>
      </c>
      <c r="M283" s="489">
        <f t="shared" si="211"/>
      </c>
      <c r="N283" s="490">
        <f t="shared" si="241"/>
      </c>
      <c r="O283" s="491" t="s">
        <v>325</v>
      </c>
      <c r="P283" s="526" t="s">
        <v>363</v>
      </c>
      <c r="Q283" s="504">
        <v>66554</v>
      </c>
      <c r="R283" s="504">
        <v>8252</v>
      </c>
      <c r="S283" s="505">
        <v>34</v>
      </c>
      <c r="T283" s="505">
        <v>98</v>
      </c>
    </row>
    <row customHeight="true" ht="16.666666666666668" r="284">
      <c r="A284" s="481"/>
      <c r="B284" s="514" t="s">
        <v>330</v>
      </c>
      <c r="C284" s="514"/>
      <c r="D284" s="507">
        <v>6039.879999999999</v>
      </c>
      <c r="E284" s="507">
        <v>4586.23</v>
      </c>
      <c r="F284" s="507">
        <v>1453.65</v>
      </c>
      <c r="G284" s="507">
        <v>22</v>
      </c>
      <c r="H284" s="507">
        <f>SUM(H283)</f>
      </c>
      <c r="I284" s="515">
        <f t="shared" si="94"/>
      </c>
      <c r="J284" s="510">
        <f t="shared" si="123"/>
      </c>
      <c r="K284" s="511">
        <f t="shared" si="152"/>
      </c>
      <c r="L284" s="512">
        <f t="shared" si="181"/>
      </c>
      <c r="M284" s="512">
        <f t="shared" si="211"/>
      </c>
      <c r="N284" s="513">
        <f t="shared" si="241"/>
      </c>
      <c r="O284" s="513"/>
      <c r="P284" s="513"/>
      <c r="Q284" s="508">
        <f>SUM(Q283)</f>
      </c>
      <c r="R284" s="508">
        <f>SUM(R283)</f>
      </c>
      <c r="S284" s="508">
        <f>SUM(S283)</f>
      </c>
      <c r="T284" s="508">
        <f>SUM(T283)</f>
      </c>
    </row>
    <row r="285">
      <c r="A285" s="481"/>
      <c r="B285" s="523" t="s">
        <v>351</v>
      </c>
      <c r="C285" s="483" t="s">
        <v>324</v>
      </c>
      <c r="D285" s="500">
        <v>4369.57</v>
      </c>
      <c r="E285" s="525">
        <v>2861.73</v>
      </c>
      <c r="F285" s="525">
        <v>1507.84</v>
      </c>
      <c r="G285" s="499">
        <v>12</v>
      </c>
      <c r="H285" s="483">
        <v>7482.270000000004</v>
      </c>
      <c r="I285" s="486">
        <f t="shared" si="94"/>
      </c>
      <c r="J285" s="486">
        <f t="shared" si="123"/>
      </c>
      <c r="K285" s="487">
        <f t="shared" si="152"/>
      </c>
      <c r="L285" s="488">
        <f t="shared" si="181"/>
      </c>
      <c r="M285" s="489">
        <f t="shared" si="211"/>
      </c>
      <c r="N285" s="490">
        <f t="shared" si="241"/>
      </c>
      <c r="O285" s="491" t="s">
        <v>325</v>
      </c>
      <c r="P285" s="526" t="s">
        <v>363</v>
      </c>
      <c r="Q285" s="504">
        <v>50351</v>
      </c>
      <c r="R285" s="504">
        <v>5538</v>
      </c>
      <c r="S285" s="505">
        <v>24</v>
      </c>
      <c r="T285" s="505">
        <v>71</v>
      </c>
    </row>
    <row r="286">
      <c r="A286" s="481"/>
      <c r="B286" s="523" t="s">
        <v>351</v>
      </c>
      <c r="C286" s="483" t="s">
        <v>327</v>
      </c>
      <c r="D286" s="500">
        <v>3450.48</v>
      </c>
      <c r="E286" s="525">
        <v>2535.62</v>
      </c>
      <c r="F286" s="525">
        <v>914.86</v>
      </c>
      <c r="G286" s="499">
        <v>13</v>
      </c>
      <c r="H286" s="483">
        <v>7807.199999999968</v>
      </c>
      <c r="I286" s="486">
        <f t="shared" si="94"/>
      </c>
      <c r="J286" s="486">
        <f t="shared" si="123"/>
      </c>
      <c r="K286" s="487">
        <f t="shared" si="152"/>
      </c>
      <c r="L286" s="488">
        <f t="shared" si="181"/>
      </c>
      <c r="M286" s="489">
        <f t="shared" si="211"/>
      </c>
      <c r="N286" s="490">
        <f t="shared" si="241"/>
      </c>
      <c r="O286" s="491" t="s">
        <v>325</v>
      </c>
      <c r="P286" s="526" t="s">
        <v>363</v>
      </c>
      <c r="Q286" s="504">
        <v>40706</v>
      </c>
      <c r="R286" s="504">
        <v>4679</v>
      </c>
      <c r="S286" s="505">
        <v>16</v>
      </c>
      <c r="T286" s="505">
        <v>65</v>
      </c>
    </row>
    <row r="287">
      <c r="A287" s="481"/>
      <c r="B287" s="523" t="s">
        <v>351</v>
      </c>
      <c r="C287" s="483" t="s">
        <v>328</v>
      </c>
      <c r="D287" s="500">
        <v>5613.2699999999995</v>
      </c>
      <c r="E287" s="525">
        <v>4173.15</v>
      </c>
      <c r="F287" s="525">
        <v>1440.12</v>
      </c>
      <c r="G287" s="529">
        <v>21</v>
      </c>
      <c r="H287" s="525">
        <v>15116.70000000004</v>
      </c>
      <c r="I287" s="486">
        <f t="shared" si="94"/>
      </c>
      <c r="J287" s="486">
        <f t="shared" si="123"/>
      </c>
      <c r="K287" s="487">
        <f t="shared" si="152"/>
      </c>
      <c r="L287" s="488">
        <f t="shared" si="181"/>
      </c>
      <c r="M287" s="489">
        <f t="shared" si="211"/>
      </c>
      <c r="N287" s="490">
        <f t="shared" si="241"/>
      </c>
      <c r="O287" s="491" t="s">
        <v>325</v>
      </c>
      <c r="P287" s="526" t="s">
        <v>363</v>
      </c>
      <c r="Q287" s="504">
        <v>74427</v>
      </c>
      <c r="R287" s="504">
        <v>8732</v>
      </c>
      <c r="S287" s="505">
        <v>30</v>
      </c>
      <c r="T287" s="505">
        <v>97</v>
      </c>
    </row>
    <row r="288">
      <c r="A288" s="481"/>
      <c r="B288" s="523" t="s">
        <v>351</v>
      </c>
      <c r="C288" s="525" t="s">
        <v>329</v>
      </c>
      <c r="D288" s="500">
        <v>6868.44</v>
      </c>
      <c r="E288" s="483">
        <v>5208.62</v>
      </c>
      <c r="F288" s="525">
        <v>1659.82</v>
      </c>
      <c r="G288" s="529">
        <v>25</v>
      </c>
      <c r="H288" s="483">
        <v>12583.51999999999</v>
      </c>
      <c r="I288" s="486">
        <f t="shared" si="94"/>
      </c>
      <c r="J288" s="486">
        <f t="shared" si="123"/>
      </c>
      <c r="K288" s="487">
        <f t="shared" si="152"/>
      </c>
      <c r="L288" s="488">
        <f t="shared" si="181"/>
      </c>
      <c r="M288" s="489">
        <f t="shared" si="211"/>
      </c>
      <c r="N288" s="490">
        <f t="shared" si="241"/>
      </c>
      <c r="O288" s="491" t="s">
        <v>325</v>
      </c>
      <c r="P288" s="526" t="s">
        <v>363</v>
      </c>
      <c r="Q288" s="504">
        <v>83067</v>
      </c>
      <c r="R288" s="504">
        <v>9537</v>
      </c>
      <c r="S288" s="505">
        <v>30</v>
      </c>
      <c r="T288" s="505">
        <v>110</v>
      </c>
    </row>
    <row r="289">
      <c r="A289" s="481"/>
      <c r="B289" s="514" t="s">
        <v>330</v>
      </c>
      <c r="C289" s="514"/>
      <c r="D289" s="507">
        <v>20301.76</v>
      </c>
      <c r="E289" s="507">
        <v>14779.119999999999</v>
      </c>
      <c r="F289" s="507">
        <v>5522.639999999999</v>
      </c>
      <c r="G289" s="508">
        <v>71</v>
      </c>
      <c r="H289" s="507">
        <f>SUM(H285:H288)</f>
      </c>
      <c r="I289" s="515">
        <f t="shared" si="94"/>
      </c>
      <c r="J289" s="510">
        <f t="shared" si="123"/>
      </c>
      <c r="K289" s="511">
        <f t="shared" si="152"/>
      </c>
      <c r="L289" s="512">
        <f t="shared" si="181"/>
      </c>
      <c r="M289" s="512">
        <f t="shared" si="211"/>
      </c>
      <c r="N289" s="513">
        <f t="shared" si="241"/>
      </c>
      <c r="O289" s="513"/>
      <c r="P289" s="513"/>
      <c r="Q289" s="508">
        <f>SUM(Q285:Q288)</f>
      </c>
      <c r="R289" s="508">
        <f>SUM(R285:R288)</f>
      </c>
      <c r="S289" s="508">
        <f>SUM(S285:S288)</f>
      </c>
      <c r="T289" s="508">
        <f>SUM(T285:T288)</f>
      </c>
    </row>
    <row r="290">
      <c r="A290" s="481"/>
      <c r="B290" s="523" t="s">
        <v>360</v>
      </c>
      <c r="C290" s="525" t="s">
        <v>332</v>
      </c>
      <c r="D290" s="500">
        <v>6482.719999999999</v>
      </c>
      <c r="E290" s="525">
        <v>4144.65</v>
      </c>
      <c r="F290" s="525">
        <v>2338.07</v>
      </c>
      <c r="G290" s="529">
        <v>21</v>
      </c>
      <c r="H290" s="483">
        <v>7656.579999999987</v>
      </c>
      <c r="I290" s="486">
        <f t="shared" si="94"/>
      </c>
      <c r="J290" s="486">
        <f t="shared" si="123"/>
      </c>
      <c r="K290" s="487">
        <f t="shared" si="152"/>
      </c>
      <c r="L290" s="488">
        <f t="shared" si="181"/>
      </c>
      <c r="M290" s="489">
        <f t="shared" si="211"/>
      </c>
      <c r="N290" s="490">
        <f t="shared" si="241"/>
      </c>
      <c r="O290" s="491" t="s">
        <v>325</v>
      </c>
      <c r="P290" s="526" t="s">
        <v>363</v>
      </c>
      <c r="Q290" s="504">
        <v>76644</v>
      </c>
      <c r="R290" s="504">
        <v>7508</v>
      </c>
      <c r="S290" s="505">
        <v>31</v>
      </c>
      <c r="T290" s="505">
        <v>81</v>
      </c>
    </row>
    <row r="291">
      <c r="A291" s="481"/>
      <c r="B291" s="523" t="s">
        <v>360</v>
      </c>
      <c r="C291" s="525" t="s">
        <v>333</v>
      </c>
      <c r="D291" s="500">
        <v>4808.75</v>
      </c>
      <c r="E291" s="525">
        <v>1957.03</v>
      </c>
      <c r="F291" s="525">
        <v>2851.72</v>
      </c>
      <c r="G291" s="529">
        <v>17</v>
      </c>
      <c r="H291" s="483">
        <v>8273.76000000001</v>
      </c>
      <c r="I291" s="486">
        <f t="shared" si="94"/>
      </c>
      <c r="J291" s="486">
        <f t="shared" si="123"/>
      </c>
      <c r="K291" s="487">
        <f t="shared" si="152"/>
      </c>
      <c r="L291" s="488">
        <f t="shared" si="181"/>
      </c>
      <c r="M291" s="489">
        <f t="shared" si="211"/>
      </c>
      <c r="N291" s="490">
        <f t="shared" si="241"/>
      </c>
      <c r="O291" s="491" t="s">
        <v>325</v>
      </c>
      <c r="P291" s="526" t="s">
        <v>363</v>
      </c>
      <c r="Q291" s="504">
        <v>55998</v>
      </c>
      <c r="R291" s="504">
        <v>4243</v>
      </c>
      <c r="S291" s="505">
        <v>21</v>
      </c>
      <c r="T291" s="505">
        <v>66</v>
      </c>
    </row>
    <row r="292">
      <c r="A292" s="481"/>
      <c r="B292" s="523" t="s">
        <v>360</v>
      </c>
      <c r="C292" s="525" t="s">
        <v>334</v>
      </c>
      <c r="D292" s="500">
        <v>8028.42</v>
      </c>
      <c r="E292" s="525">
        <v>4331.47</v>
      </c>
      <c r="F292" s="525">
        <v>3696.95</v>
      </c>
      <c r="G292" s="529">
        <v>33</v>
      </c>
      <c r="H292" s="483">
        <v>18538.76000000001</v>
      </c>
      <c r="I292" s="486">
        <f t="shared" si="94"/>
      </c>
      <c r="J292" s="486">
        <f t="shared" si="123"/>
      </c>
      <c r="K292" s="487">
        <f t="shared" si="152"/>
      </c>
      <c r="L292" s="488">
        <f t="shared" si="181"/>
      </c>
      <c r="M292" s="489">
        <f t="shared" si="211"/>
      </c>
      <c r="N292" s="490">
        <f t="shared" si="241"/>
      </c>
      <c r="O292" s="491" t="s">
        <v>325</v>
      </c>
      <c r="P292" s="526" t="s">
        <v>363</v>
      </c>
      <c r="Q292" s="504">
        <v>98004</v>
      </c>
      <c r="R292" s="504">
        <v>7638</v>
      </c>
      <c r="S292" s="505">
        <v>45</v>
      </c>
      <c r="T292" s="505">
        <v>102</v>
      </c>
    </row>
    <row r="293">
      <c r="A293" s="481"/>
      <c r="B293" s="523" t="s">
        <v>360</v>
      </c>
      <c r="C293" s="525" t="s">
        <v>335</v>
      </c>
      <c r="D293" s="500">
        <v>16156.29</v>
      </c>
      <c r="E293" s="525">
        <v>9595.45</v>
      </c>
      <c r="F293" s="525">
        <v>6560.84</v>
      </c>
      <c r="G293" s="529">
        <v>72</v>
      </c>
      <c r="H293" s="483">
        <v>50361.19</v>
      </c>
      <c r="I293" s="486">
        <f t="shared" si="94"/>
      </c>
      <c r="J293" s="486">
        <f t="shared" si="123"/>
      </c>
      <c r="K293" s="487">
        <f t="shared" si="152"/>
      </c>
      <c r="L293" s="488">
        <f t="shared" si="181"/>
      </c>
      <c r="M293" s="489">
        <f t="shared" si="211"/>
      </c>
      <c r="N293" s="490">
        <f t="shared" si="241"/>
      </c>
      <c r="O293" s="491" t="s">
        <v>325</v>
      </c>
      <c r="P293" s="526" t="s">
        <v>363</v>
      </c>
      <c r="Q293" s="504">
        <v>256921</v>
      </c>
      <c r="R293" s="504">
        <v>21629</v>
      </c>
      <c r="S293" s="505">
        <v>79</v>
      </c>
      <c r="T293" s="505">
        <v>330</v>
      </c>
    </row>
    <row r="294">
      <c r="A294" s="481"/>
      <c r="B294" s="514" t="s">
        <v>330</v>
      </c>
      <c r="C294" s="514"/>
      <c r="D294" s="507">
        <f>SUM(D290:D293)</f>
      </c>
      <c r="E294" s="507">
        <f>SUM(E290:E293)</f>
      </c>
      <c r="F294" s="507">
        <f>SUM(F290:F293)</f>
      </c>
      <c r="G294" s="507">
        <f>SUM(G290:G293)</f>
      </c>
      <c r="H294" s="507">
        <f>SUM(H290:H293)</f>
      </c>
      <c r="I294" s="515">
        <f t="shared" si="94"/>
      </c>
      <c r="J294" s="510">
        <f t="shared" si="123"/>
      </c>
      <c r="K294" s="511">
        <f t="shared" si="152"/>
      </c>
      <c r="L294" s="512">
        <f t="shared" si="181"/>
      </c>
      <c r="M294" s="512">
        <f t="shared" si="211"/>
      </c>
      <c r="N294" s="513">
        <f t="shared" si="241"/>
      </c>
      <c r="O294" s="513"/>
      <c r="P294" s="513"/>
      <c r="Q294" s="508">
        <f>SUM(Q290:Q293)</f>
      </c>
      <c r="R294" s="508">
        <f>SUM(R290:R293)</f>
      </c>
      <c r="S294" s="508">
        <f>SUM(S290:S293)</f>
      </c>
      <c r="T294" s="508">
        <f>SUM(T290:T293)</f>
      </c>
    </row>
    <row r="295">
      <c r="A295" s="481"/>
      <c r="B295" s="516" t="s">
        <v>336</v>
      </c>
      <c r="C295" s="516"/>
      <c r="D295" s="517">
        <f>D275+D289+D280+D294+D282+D284</f>
      </c>
      <c r="E295" s="517">
        <f>E275+E289+E280+E294+E282+E284</f>
      </c>
      <c r="F295" s="517">
        <f>F275+F289+F280+F294+F282+F284</f>
      </c>
      <c r="G295" s="517">
        <f>G275+G289+G280+G294+G282+G284</f>
      </c>
      <c r="H295" s="517">
        <f>H275+H289+H280+H294+H282+H284</f>
      </c>
      <c r="I295" s="519">
        <f t="shared" si="94"/>
      </c>
      <c r="J295" s="519">
        <f t="shared" si="123"/>
      </c>
      <c r="K295" s="520">
        <f t="shared" si="152"/>
      </c>
      <c r="L295" s="521">
        <f t="shared" si="181"/>
      </c>
      <c r="M295" s="521">
        <f t="shared" si="211"/>
      </c>
      <c r="N295" s="519">
        <f t="shared" si="241"/>
      </c>
      <c r="O295" s="522"/>
      <c r="P295" s="522"/>
      <c r="Q295" s="530">
        <f>Q275+Q289+Q280+Q294+Q282+Q284</f>
      </c>
      <c r="R295" s="530">
        <f>R275+R289+R280+R294+R282+R284</f>
      </c>
      <c r="S295" s="530">
        <f>S275+S289+S280+S294+S282+S284</f>
      </c>
      <c r="T295" s="530">
        <f>T275+T289+T280+T294+T282+T284</f>
      </c>
    </row>
    <row r="296">
      <c r="A296" s="534" t="s">
        <v>298</v>
      </c>
      <c r="B296" s="534"/>
      <c r="C296" s="534"/>
      <c r="D296" s="464" t="s">
        <v>299</v>
      </c>
      <c r="E296" s="464"/>
      <c r="F296" s="464"/>
      <c r="G296" s="464"/>
      <c r="H296" s="464"/>
      <c r="I296" s="464"/>
      <c r="J296" s="464"/>
      <c r="K296" s="464"/>
      <c r="L296" s="465" t="s">
        <v>300</v>
      </c>
      <c r="M296" s="465"/>
      <c r="N296" s="465"/>
      <c r="O296" s="465"/>
      <c r="P296" s="465"/>
      <c r="Q296" s="466" t="s">
        <v>301</v>
      </c>
      <c r="R296" s="466"/>
      <c r="S296" s="466"/>
      <c r="T296" s="466"/>
      <c r="U296" s="535"/>
    </row>
    <row r="297">
      <c r="A297" s="467" t="s">
        <v>302</v>
      </c>
      <c r="B297" s="468" t="s">
        <v>303</v>
      </c>
      <c r="C297" s="469" t="s">
        <v>304</v>
      </c>
      <c r="D297" s="470" t="s">
        <v>305</v>
      </c>
      <c r="E297" s="471" t="s">
        <v>306</v>
      </c>
      <c r="F297" s="470" t="s">
        <v>307</v>
      </c>
      <c r="G297" s="472" t="s">
        <v>308</v>
      </c>
      <c r="H297" s="473" t="s">
        <v>309</v>
      </c>
      <c r="I297" s="474" t="s">
        <v>310</v>
      </c>
      <c r="J297" s="475" t="s">
        <v>311</v>
      </c>
      <c r="K297" s="476" t="s">
        <v>312</v>
      </c>
      <c r="L297" s="465" t="s">
        <v>313</v>
      </c>
      <c r="M297" s="465" t="s">
        <v>314</v>
      </c>
      <c r="N297" s="465" t="s">
        <v>315</v>
      </c>
      <c r="O297" s="477" t="s">
        <v>316</v>
      </c>
      <c r="P297" s="478" t="s">
        <v>317</v>
      </c>
      <c r="Q297" s="479" t="s">
        <v>318</v>
      </c>
      <c r="R297" s="479" t="s">
        <v>319</v>
      </c>
      <c r="S297" s="480" t="s">
        <v>320</v>
      </c>
      <c r="T297" s="479" t="s">
        <v>321</v>
      </c>
      <c r="U297" s="535"/>
    </row>
    <row r="298">
      <c r="A298" s="481" t="s">
        <v>370</v>
      </c>
      <c r="B298" s="536" t="s">
        <v>331</v>
      </c>
      <c r="C298" s="483" t="s">
        <v>339</v>
      </c>
      <c r="D298" s="483">
        <v>12642.58</v>
      </c>
      <c r="E298" s="484">
        <v>8050.09</v>
      </c>
      <c r="F298" s="483">
        <v>4592.49</v>
      </c>
      <c r="G298" s="532">
        <v>37</v>
      </c>
      <c r="H298" s="483">
        <v>24451.58</v>
      </c>
      <c r="I298" s="486">
        <v>1.9340656733040251</v>
      </c>
      <c r="J298" s="537">
        <v>341.69135135135133</v>
      </c>
      <c r="K298" s="487">
        <v>660.8535135135136</v>
      </c>
      <c r="L298" s="488">
        <f t="shared" ref="L298:L321" si="182">R298/Q298</f>
      </c>
      <c r="M298" s="489">
        <f t="shared" ref="M298:M321" si="212">G298/S298</f>
      </c>
      <c r="N298" s="490">
        <f t="shared" ref="N298:N321" si="242">(T298*1000)/D298</f>
      </c>
      <c r="O298" s="491" t="s">
        <v>325</v>
      </c>
      <c r="P298" s="492" t="s">
        <v>353</v>
      </c>
      <c r="Q298" s="493">
        <v>128027</v>
      </c>
      <c r="R298" s="493">
        <v>18386</v>
      </c>
      <c r="S298" s="527">
        <v>50</v>
      </c>
      <c r="T298" s="527">
        <v>146</v>
      </c>
      <c r="U298" s="535"/>
    </row>
    <row r="299">
      <c r="A299" s="495"/>
      <c r="B299" s="536" t="s">
        <v>331</v>
      </c>
      <c r="C299" s="496" t="s">
        <v>341</v>
      </c>
      <c r="D299" s="497">
        <v>15330.08</v>
      </c>
      <c r="E299" s="498">
        <v>10308.76</v>
      </c>
      <c r="F299" s="496">
        <v>5021.32</v>
      </c>
      <c r="G299" s="499">
        <v>49</v>
      </c>
      <c r="H299" s="483">
        <v>27784.479999999996</v>
      </c>
      <c r="I299" s="486">
        <v>1.8124158517111455</v>
      </c>
      <c r="J299" s="486">
        <v>312.85877551020405</v>
      </c>
      <c r="K299" s="487">
        <v>567.0302040816325</v>
      </c>
      <c r="L299" s="488">
        <f t="shared" si="182"/>
      </c>
      <c r="M299" s="489">
        <f t="shared" si="212"/>
      </c>
      <c r="N299" s="490">
        <f t="shared" si="242"/>
      </c>
      <c r="O299" s="491" t="s">
        <v>325</v>
      </c>
      <c r="P299" s="492" t="s">
        <v>353</v>
      </c>
      <c r="Q299" s="494">
        <v>177301</v>
      </c>
      <c r="R299" s="494">
        <v>23568</v>
      </c>
      <c r="S299" s="527">
        <v>59</v>
      </c>
      <c r="T299" s="494">
        <v>242</v>
      </c>
      <c r="U299" s="535"/>
    </row>
    <row r="300">
      <c r="A300" s="495"/>
      <c r="B300" s="536" t="s">
        <v>331</v>
      </c>
      <c r="C300" s="483" t="s">
        <v>342</v>
      </c>
      <c r="D300" s="500">
        <v>9742.77</v>
      </c>
      <c r="E300" s="501">
        <v>7189.27</v>
      </c>
      <c r="F300" s="483">
        <v>2553.5</v>
      </c>
      <c r="G300" s="502">
        <v>40</v>
      </c>
      <c r="H300" s="503">
        <v>24432.300000000003</v>
      </c>
      <c r="I300" s="486">
        <v>2.5077365061476358</v>
      </c>
      <c r="J300" s="486">
        <v>243.56925</v>
      </c>
      <c r="K300" s="487">
        <v>610.8075000000001</v>
      </c>
      <c r="L300" s="488">
        <f t="shared" si="182"/>
      </c>
      <c r="M300" s="489">
        <f t="shared" si="212"/>
      </c>
      <c r="N300" s="490">
        <f t="shared" si="242"/>
      </c>
      <c r="O300" s="491" t="s">
        <v>325</v>
      </c>
      <c r="P300" s="492" t="s">
        <v>353</v>
      </c>
      <c r="Q300" s="494">
        <v>110109</v>
      </c>
      <c r="R300" s="494">
        <v>14894</v>
      </c>
      <c r="S300" s="527">
        <v>54</v>
      </c>
      <c r="T300" s="494">
        <v>158</v>
      </c>
      <c r="U300" s="535"/>
    </row>
    <row r="301">
      <c r="A301" s="495"/>
      <c r="B301" s="536" t="s">
        <v>331</v>
      </c>
      <c r="C301" s="483" t="s">
        <v>344</v>
      </c>
      <c r="D301" s="500">
        <v>9705.51</v>
      </c>
      <c r="E301" s="501">
        <v>6399.54</v>
      </c>
      <c r="F301" s="483">
        <v>3305.97</v>
      </c>
      <c r="G301" s="531">
        <v>33</v>
      </c>
      <c r="H301" s="503">
        <v>18321.039999999997</v>
      </c>
      <c r="I301" s="486">
        <v>1.8876947218641777</v>
      </c>
      <c r="J301" s="486">
        <v>294.10636363636365</v>
      </c>
      <c r="K301" s="487">
        <v>555.1830303030303</v>
      </c>
      <c r="L301" s="488">
        <f t="shared" si="182"/>
      </c>
      <c r="M301" s="489">
        <f t="shared" si="212"/>
      </c>
      <c r="N301" s="490">
        <f t="shared" si="242"/>
      </c>
      <c r="O301" s="491" t="s">
        <v>325</v>
      </c>
      <c r="P301" s="492" t="s">
        <v>353</v>
      </c>
      <c r="Q301" s="504">
        <v>93329</v>
      </c>
      <c r="R301" s="504">
        <v>13158</v>
      </c>
      <c r="S301" s="505">
        <v>44</v>
      </c>
      <c r="T301" s="504">
        <v>193</v>
      </c>
      <c r="U301" s="535"/>
    </row>
    <row r="302">
      <c r="A302" s="495"/>
      <c r="B302" s="506" t="s">
        <v>330</v>
      </c>
      <c r="C302" s="506"/>
      <c r="D302" s="507">
        <v>47420.94</v>
      </c>
      <c r="E302" s="507">
        <v>31947.66</v>
      </c>
      <c r="F302" s="507">
        <v>15473.279999999999</v>
      </c>
      <c r="G302" s="507">
        <v>159</v>
      </c>
      <c r="H302" s="507">
        <v>94989.4</v>
      </c>
      <c r="I302" s="509">
        <v>2.0031108619947218</v>
      </c>
      <c r="J302" s="510">
        <v>298.24490566037736</v>
      </c>
      <c r="K302" s="511">
        <v>597.417610062893</v>
      </c>
      <c r="L302" s="512">
        <f t="shared" si="182"/>
      </c>
      <c r="M302" s="512">
        <f t="shared" si="212"/>
      </c>
      <c r="N302" s="513">
        <f t="shared" si="242"/>
      </c>
      <c r="O302" s="513"/>
      <c r="P302" s="513"/>
      <c r="Q302" s="508">
        <f>SUM(Q298:Q301)</f>
      </c>
      <c r="R302" s="508">
        <f>SUM(R298:R301)</f>
      </c>
      <c r="S302" s="508">
        <f>SUM(S298:S301)</f>
      </c>
      <c r="T302" s="508">
        <f>SUM(T298:T301)</f>
      </c>
      <c r="U302" s="535"/>
    </row>
    <row r="303">
      <c r="A303" s="495"/>
      <c r="B303" s="482" t="s">
        <v>338</v>
      </c>
      <c r="C303" s="483" t="s">
        <v>345</v>
      </c>
      <c r="D303" s="500">
        <v>6644.21</v>
      </c>
      <c r="E303" s="483">
        <v>3781.05</v>
      </c>
      <c r="F303" s="483">
        <v>2863.16</v>
      </c>
      <c r="G303" s="499">
        <v>16</v>
      </c>
      <c r="H303" s="483">
        <v>6601.240000000005</v>
      </c>
      <c r="I303" s="486">
        <v>0.9935327149503109</v>
      </c>
      <c r="J303" s="486">
        <v>415.263125</v>
      </c>
      <c r="K303" s="487">
        <v>412.5775000000003</v>
      </c>
      <c r="L303" s="488">
        <f t="shared" si="182"/>
      </c>
      <c r="M303" s="489">
        <f t="shared" si="212"/>
      </c>
      <c r="N303" s="490">
        <f t="shared" si="242"/>
      </c>
      <c r="O303" s="491" t="s">
        <v>325</v>
      </c>
      <c r="P303" s="492" t="s">
        <v>353</v>
      </c>
      <c r="Q303" s="504">
        <v>67327</v>
      </c>
      <c r="R303" s="504">
        <v>9051</v>
      </c>
      <c r="S303" s="505">
        <v>31</v>
      </c>
      <c r="T303" s="504">
        <v>72</v>
      </c>
      <c r="U303" s="535"/>
    </row>
    <row r="304">
      <c r="A304" s="495"/>
      <c r="B304" s="482" t="s">
        <v>338</v>
      </c>
      <c r="C304" s="483" t="s">
        <v>346</v>
      </c>
      <c r="D304" s="500">
        <v>5960.19</v>
      </c>
      <c r="E304" s="501">
        <v>4116.49</v>
      </c>
      <c r="F304" s="483">
        <v>1843.7</v>
      </c>
      <c r="G304" s="502">
        <v>25</v>
      </c>
      <c r="H304" s="503">
        <v>11323.259999999995</v>
      </c>
      <c r="I304" s="486">
        <v>1.89981527434528</v>
      </c>
      <c r="J304" s="486">
        <v>238.40759999999997</v>
      </c>
      <c r="K304" s="487">
        <v>452.9303999999998</v>
      </c>
      <c r="L304" s="488">
        <f t="shared" si="182"/>
      </c>
      <c r="M304" s="489">
        <f t="shared" si="212"/>
      </c>
      <c r="N304" s="490">
        <f t="shared" si="242"/>
      </c>
      <c r="O304" s="491" t="s">
        <v>325</v>
      </c>
      <c r="P304" s="492" t="s">
        <v>353</v>
      </c>
      <c r="Q304" s="504">
        <v>65335</v>
      </c>
      <c r="R304" s="504">
        <v>8925</v>
      </c>
      <c r="S304" s="505">
        <v>33</v>
      </c>
      <c r="T304" s="504">
        <v>102</v>
      </c>
      <c r="U304" s="535"/>
    </row>
    <row r="305">
      <c r="A305" s="495"/>
      <c r="B305" s="482" t="s">
        <v>338</v>
      </c>
      <c r="C305" s="483" t="s">
        <v>347</v>
      </c>
      <c r="D305" s="500">
        <v>6752.41</v>
      </c>
      <c r="E305" s="483">
        <v>3094.04</v>
      </c>
      <c r="F305" s="483">
        <v>3658.37</v>
      </c>
      <c r="G305" s="502">
        <v>29</v>
      </c>
      <c r="H305" s="503">
        <v>16057.520000000004</v>
      </c>
      <c r="I305" s="486">
        <v>2.378042802495702</v>
      </c>
      <c r="J305" s="486">
        <v>232.84172413793104</v>
      </c>
      <c r="K305" s="487">
        <v>553.7075862068967</v>
      </c>
      <c r="L305" s="488">
        <f t="shared" si="182"/>
      </c>
      <c r="M305" s="489">
        <f t="shared" si="212"/>
      </c>
      <c r="N305" s="490">
        <f t="shared" si="242"/>
      </c>
      <c r="O305" s="491" t="s">
        <v>325</v>
      </c>
      <c r="P305" s="492" t="s">
        <v>353</v>
      </c>
      <c r="Q305" s="504">
        <v>79345</v>
      </c>
      <c r="R305" s="504">
        <v>9988</v>
      </c>
      <c r="S305" s="505">
        <v>33</v>
      </c>
      <c r="T305" s="504">
        <v>138</v>
      </c>
      <c r="U305" s="535"/>
    </row>
    <row r="306">
      <c r="A306" s="495"/>
      <c r="B306" s="482" t="s">
        <v>338</v>
      </c>
      <c r="C306" s="525" t="s">
        <v>371</v>
      </c>
      <c r="D306" s="500">
        <v>4801.14</v>
      </c>
      <c r="E306" s="483">
        <v>1381.2</v>
      </c>
      <c r="F306" s="483">
        <v>3419.94</v>
      </c>
      <c r="G306" s="502">
        <v>2</v>
      </c>
      <c r="H306" s="503">
        <v>1370.520000000004</v>
      </c>
      <c r="I306" s="486">
        <v>0.28545720391407126</v>
      </c>
      <c r="J306" s="486">
        <v>2400.57</v>
      </c>
      <c r="K306" s="487">
        <v>685.260000000002</v>
      </c>
      <c r="L306" s="488">
        <f t="shared" si="182"/>
      </c>
      <c r="M306" s="489">
        <f t="shared" si="212"/>
      </c>
      <c r="N306" s="490">
        <f t="shared" si="242"/>
      </c>
      <c r="O306" s="491" t="s">
        <v>325</v>
      </c>
      <c r="P306" s="492" t="s">
        <v>353</v>
      </c>
      <c r="Q306" s="504">
        <v>54422</v>
      </c>
      <c r="R306" s="504">
        <v>6681</v>
      </c>
      <c r="S306" s="505">
        <v>3</v>
      </c>
      <c r="T306" s="504">
        <v>69</v>
      </c>
      <c r="U306" s="535"/>
    </row>
    <row r="307">
      <c r="A307" s="495"/>
      <c r="B307" s="514" t="s">
        <v>330</v>
      </c>
      <c r="C307" s="514"/>
      <c r="D307" s="507">
        <v>24157.949999999997</v>
      </c>
      <c r="E307" s="507">
        <v>12372.78</v>
      </c>
      <c r="F307" s="507">
        <v>11785.17</v>
      </c>
      <c r="G307" s="508">
        <v>72</v>
      </c>
      <c r="H307" s="507">
        <v>35352.54000000001</v>
      </c>
      <c r="I307" s="515">
        <v>1.4633915543330462</v>
      </c>
      <c r="J307" s="510">
        <v>335.5270833333333</v>
      </c>
      <c r="K307" s="511">
        <v>491.0075000000001</v>
      </c>
      <c r="L307" s="512">
        <f t="shared" si="182"/>
      </c>
      <c r="M307" s="512">
        <f t="shared" si="212"/>
      </c>
      <c r="N307" s="513">
        <f t="shared" si="242"/>
      </c>
      <c r="O307" s="513"/>
      <c r="P307" s="513"/>
      <c r="Q307" s="508">
        <f>SUM(Q303:Q306)</f>
      </c>
      <c r="R307" s="508">
        <f>SUM(R303:R306)</f>
      </c>
      <c r="S307" s="508">
        <f>SUM(S303:S306)</f>
      </c>
      <c r="T307" s="508">
        <f>SUM(T303:T306)</f>
      </c>
      <c r="U307" s="535"/>
    </row>
    <row r="308">
      <c r="A308" s="495"/>
      <c r="B308" s="482" t="s">
        <v>369</v>
      </c>
      <c r="C308" s="483" t="s">
        <v>349</v>
      </c>
      <c r="D308" s="500">
        <v>3581.38</v>
      </c>
      <c r="E308" s="525">
        <v>1023.82</v>
      </c>
      <c r="F308" s="525">
        <v>2557.56</v>
      </c>
      <c r="G308" s="499">
        <v>9</v>
      </c>
      <c r="H308" s="483">
        <v>4224.8399999999965</v>
      </c>
      <c r="I308" s="486">
        <v>1.1796681726038556</v>
      </c>
      <c r="J308" s="486">
        <v>397.93111111111114</v>
      </c>
      <c r="K308" s="487">
        <v>469.4266666666663</v>
      </c>
      <c r="L308" s="488">
        <f t="shared" si="182"/>
      </c>
      <c r="M308" s="489">
        <f t="shared" si="212"/>
      </c>
      <c r="N308" s="490">
        <f t="shared" si="242"/>
      </c>
      <c r="O308" s="491" t="s">
        <v>325</v>
      </c>
      <c r="P308" s="492" t="s">
        <v>353</v>
      </c>
      <c r="Q308" s="504">
        <v>47894</v>
      </c>
      <c r="R308" s="504">
        <v>5577</v>
      </c>
      <c r="S308" s="504">
        <v>35</v>
      </c>
      <c r="T308" s="504">
        <v>60</v>
      </c>
      <c r="U308" s="535"/>
    </row>
    <row r="309">
      <c r="A309" s="495"/>
      <c r="B309" s="482" t="s">
        <v>369</v>
      </c>
      <c r="C309" s="483" t="s">
        <v>350</v>
      </c>
      <c r="D309" s="500">
        <v>3286.9700000000003</v>
      </c>
      <c r="E309" s="483">
        <v>865.69</v>
      </c>
      <c r="F309" s="483">
        <v>2421.28</v>
      </c>
      <c r="G309" s="499">
        <v>7</v>
      </c>
      <c r="H309" s="483">
        <v>2873.779999999999</v>
      </c>
      <c r="I309" s="486">
        <v>0.8742945630778494</v>
      </c>
      <c r="J309" s="486">
        <v>469.56714285714287</v>
      </c>
      <c r="K309" s="487">
        <v>410.53999999999985</v>
      </c>
      <c r="L309" s="488">
        <f t="shared" si="182"/>
      </c>
      <c r="M309" s="489">
        <f t="shared" si="212"/>
      </c>
      <c r="N309" s="490">
        <f t="shared" si="242"/>
      </c>
      <c r="O309" s="491" t="s">
        <v>325</v>
      </c>
      <c r="P309" s="492" t="s">
        <v>363</v>
      </c>
      <c r="Q309" s="504">
        <v>35474</v>
      </c>
      <c r="R309" s="504">
        <v>3368</v>
      </c>
      <c r="S309" s="505">
        <v>9</v>
      </c>
      <c r="T309" s="505">
        <v>81</v>
      </c>
      <c r="U309" s="535"/>
    </row>
    <row r="310">
      <c r="A310" s="495"/>
      <c r="B310" s="514" t="s">
        <v>330</v>
      </c>
      <c r="C310" s="514"/>
      <c r="D310" s="507">
        <v>6868.35</v>
      </c>
      <c r="E310" s="507">
        <v>1889.5100000000002</v>
      </c>
      <c r="F310" s="507">
        <v>4978.84</v>
      </c>
      <c r="G310" s="507">
        <v>16</v>
      </c>
      <c r="H310" s="507">
        <v>7098.619999999995</v>
      </c>
      <c r="I310" s="515">
        <v>1.033526247206388</v>
      </c>
      <c r="J310" s="510">
        <v>429.271875</v>
      </c>
      <c r="K310" s="511">
        <v>443.6637499999997</v>
      </c>
      <c r="L310" s="512">
        <f t="shared" si="182"/>
      </c>
      <c r="M310" s="512">
        <f t="shared" si="212"/>
      </c>
      <c r="N310" s="513">
        <f t="shared" si="242"/>
      </c>
      <c r="O310" s="513"/>
      <c r="P310" s="513"/>
      <c r="Q310" s="508">
        <f>SUM(Q308:Q309)</f>
      </c>
      <c r="R310" s="508">
        <f>SUM(R308:R309)</f>
      </c>
      <c r="S310" s="508">
        <f>SUM(S308:S309)</f>
      </c>
      <c r="T310" s="508">
        <f>SUM(T308:T309)</f>
      </c>
      <c r="U310" s="535"/>
    </row>
    <row r="311">
      <c r="A311" s="495"/>
      <c r="B311" s="482" t="s">
        <v>351</v>
      </c>
      <c r="C311" s="483" t="s">
        <v>324</v>
      </c>
      <c r="D311" s="500">
        <v>5838.82</v>
      </c>
      <c r="E311" s="483">
        <v>2235.78</v>
      </c>
      <c r="F311" s="483">
        <v>3603.04</v>
      </c>
      <c r="G311" s="499">
        <v>14</v>
      </c>
      <c r="H311" s="483">
        <v>8037.24000000002</v>
      </c>
      <c r="I311" s="486">
        <v>1.376517858060365</v>
      </c>
      <c r="J311" s="486">
        <v>417.0585714285714</v>
      </c>
      <c r="K311" s="487">
        <v>574.0885714285729</v>
      </c>
      <c r="L311" s="488">
        <f t="shared" si="182"/>
      </c>
      <c r="M311" s="489">
        <f t="shared" si="212"/>
      </c>
      <c r="N311" s="490">
        <f t="shared" si="242"/>
      </c>
      <c r="O311" s="491" t="s">
        <v>325</v>
      </c>
      <c r="P311" s="492" t="s">
        <v>363</v>
      </c>
      <c r="Q311" s="504">
        <v>84859</v>
      </c>
      <c r="R311" s="504">
        <v>7528</v>
      </c>
      <c r="S311" s="504">
        <v>21</v>
      </c>
      <c r="T311" s="504">
        <v>92</v>
      </c>
      <c r="U311" s="535"/>
    </row>
    <row r="312">
      <c r="A312" s="495"/>
      <c r="B312" s="482" t="s">
        <v>351</v>
      </c>
      <c r="C312" s="483" t="s">
        <v>327</v>
      </c>
      <c r="D312" s="500">
        <v>3853.0699999999997</v>
      </c>
      <c r="E312" s="483">
        <v>2148.02</v>
      </c>
      <c r="F312" s="483">
        <v>1705.05</v>
      </c>
      <c r="G312" s="499">
        <v>6</v>
      </c>
      <c r="H312" s="483">
        <v>2693.399999999994</v>
      </c>
      <c r="I312" s="486">
        <v>0.6990270096312796</v>
      </c>
      <c r="J312" s="486">
        <v>642.1783333333333</v>
      </c>
      <c r="K312" s="487">
        <v>448.899999999999</v>
      </c>
      <c r="L312" s="488">
        <f t="shared" si="182"/>
      </c>
      <c r="M312" s="489">
        <f t="shared" si="212"/>
      </c>
      <c r="N312" s="490">
        <f t="shared" si="242"/>
      </c>
      <c r="O312" s="491" t="s">
        <v>325</v>
      </c>
      <c r="P312" s="492" t="s">
        <v>363</v>
      </c>
      <c r="Q312" s="504">
        <v>47087</v>
      </c>
      <c r="R312" s="504">
        <v>5026</v>
      </c>
      <c r="S312" s="505">
        <v>9</v>
      </c>
      <c r="T312" s="505">
        <v>93</v>
      </c>
      <c r="U312" s="535"/>
    </row>
    <row r="313">
      <c r="A313" s="495"/>
      <c r="B313" s="482" t="s">
        <v>351</v>
      </c>
      <c r="C313" s="483" t="s">
        <v>328</v>
      </c>
      <c r="D313" s="500">
        <v>3425.4300000000003</v>
      </c>
      <c r="E313" s="483">
        <v>1777.28</v>
      </c>
      <c r="F313" s="483">
        <v>1648.15</v>
      </c>
      <c r="G313" s="499">
        <v>19</v>
      </c>
      <c r="H313" s="483">
        <v>10884.880000000005</v>
      </c>
      <c r="I313" s="486">
        <v>3.1776682051596454</v>
      </c>
      <c r="J313" s="486">
        <v>180.28578947368422</v>
      </c>
      <c r="K313" s="487">
        <v>572.8884210526318</v>
      </c>
      <c r="L313" s="488">
        <f t="shared" si="182"/>
      </c>
      <c r="M313" s="489">
        <f t="shared" si="212"/>
      </c>
      <c r="N313" s="490">
        <f t="shared" si="242"/>
      </c>
      <c r="O313" s="491" t="s">
        <v>325</v>
      </c>
      <c r="P313" s="492" t="s">
        <v>363</v>
      </c>
      <c r="Q313" s="504">
        <v>41596</v>
      </c>
      <c r="R313" s="504">
        <v>4887</v>
      </c>
      <c r="S313" s="505">
        <v>28</v>
      </c>
      <c r="T313" s="505">
        <v>66</v>
      </c>
      <c r="U313" s="535"/>
    </row>
    <row r="314">
      <c r="A314" s="495"/>
      <c r="B314" s="482" t="s">
        <v>351</v>
      </c>
      <c r="C314" s="483" t="s">
        <v>329</v>
      </c>
      <c r="D314" s="500">
        <v>4123.43</v>
      </c>
      <c r="E314" s="483">
        <v>2571.73</v>
      </c>
      <c r="F314" s="483">
        <v>1551.7</v>
      </c>
      <c r="G314" s="499">
        <v>6</v>
      </c>
      <c r="H314" s="483">
        <v>2580.2999999999884</v>
      </c>
      <c r="I314" s="486">
        <v>0.6257654428473354</v>
      </c>
      <c r="J314" s="486">
        <v>687.2383333333333</v>
      </c>
      <c r="K314" s="487">
        <v>430.0499999999981</v>
      </c>
      <c r="L314" s="488">
        <f t="shared" si="182"/>
      </c>
      <c r="M314" s="489">
        <f t="shared" si="212"/>
      </c>
      <c r="N314" s="490">
        <f t="shared" si="242"/>
      </c>
      <c r="O314" s="491" t="s">
        <v>325</v>
      </c>
      <c r="P314" s="492" t="s">
        <v>363</v>
      </c>
      <c r="Q314" s="504">
        <v>58204</v>
      </c>
      <c r="R314" s="504">
        <v>7248</v>
      </c>
      <c r="S314" s="505">
        <v>8</v>
      </c>
      <c r="T314" s="505">
        <v>65</v>
      </c>
      <c r="U314" s="535"/>
    </row>
    <row r="315">
      <c r="A315" s="495"/>
      <c r="B315" s="514" t="s">
        <v>330</v>
      </c>
      <c r="C315" s="514"/>
      <c r="D315" s="507">
        <v>17240.75</v>
      </c>
      <c r="E315" s="507">
        <v>8732.81</v>
      </c>
      <c r="F315" s="507">
        <v>8507.94</v>
      </c>
      <c r="G315" s="508">
        <v>45</v>
      </c>
      <c r="H315" s="507">
        <v>24195.820000000007</v>
      </c>
      <c r="I315" s="515">
        <v>1.4034087844206318</v>
      </c>
      <c r="J315" s="510">
        <v>383.1277777777778</v>
      </c>
      <c r="K315" s="511">
        <v>537.6848888888891</v>
      </c>
      <c r="L315" s="512">
        <f t="shared" si="182"/>
      </c>
      <c r="M315" s="512">
        <f t="shared" si="212"/>
      </c>
      <c r="N315" s="513">
        <f t="shared" si="242"/>
      </c>
      <c r="O315" s="513"/>
      <c r="P315" s="513"/>
      <c r="Q315" s="508">
        <f>SUM(Q311:Q314)</f>
      </c>
      <c r="R315" s="508">
        <f>SUM(R311:R314)</f>
      </c>
      <c r="S315" s="508">
        <f>SUM(S311:S314)</f>
      </c>
      <c r="T315" s="508">
        <f>SUM(T311:T314)</f>
      </c>
      <c r="U315" s="535"/>
    </row>
    <row r="316">
      <c r="A316" s="495"/>
      <c r="B316" s="482" t="s">
        <v>360</v>
      </c>
      <c r="C316" s="483" t="s">
        <v>332</v>
      </c>
      <c r="D316" s="500">
        <v>2497.959999999989</v>
      </c>
      <c r="E316" s="483">
        <v>1622.04</v>
      </c>
      <c r="F316" s="483">
        <v>875.9199999999889</v>
      </c>
      <c r="G316" s="499">
        <v>8</v>
      </c>
      <c r="H316" s="483">
        <v>3480.970000000001</v>
      </c>
      <c r="I316" s="486">
        <v>1.3935251164950666</v>
      </c>
      <c r="J316" s="486">
        <v>312.24499999999864</v>
      </c>
      <c r="K316" s="487">
        <v>435.12125000000015</v>
      </c>
      <c r="L316" s="488">
        <f t="shared" si="182"/>
      </c>
      <c r="M316" s="489">
        <f t="shared" si="212"/>
      </c>
      <c r="N316" s="490">
        <f t="shared" si="242"/>
      </c>
      <c r="O316" s="491" t="s">
        <v>325</v>
      </c>
      <c r="P316" s="492" t="s">
        <v>363</v>
      </c>
      <c r="Q316" s="504">
        <v>32074</v>
      </c>
      <c r="R316" s="504">
        <v>4184</v>
      </c>
      <c r="S316" s="505">
        <v>17</v>
      </c>
      <c r="T316" s="505">
        <v>54</v>
      </c>
      <c r="U316" s="535"/>
    </row>
    <row hidden="true" r="317">
      <c r="A317" s="495"/>
      <c r="B317" s="482" t="s">
        <v>360</v>
      </c>
      <c r="C317" s="483" t="s">
        <v>333</v>
      </c>
      <c r="D317" s="500">
        <v>0</v>
      </c>
      <c r="E317" s="483"/>
      <c r="F317" s="483"/>
      <c r="G317" s="499"/>
      <c r="H317" s="483"/>
      <c r="I317" s="486" t="str">
        <v>#DIV/0!</v>
      </c>
      <c r="J317" s="486" t="str">
        <v>#DIV/0!</v>
      </c>
      <c r="K317" s="487" t="str">
        <v>#DIV/0!</v>
      </c>
      <c r="L317" s="488">
        <f t="shared" si="182"/>
      </c>
      <c r="M317" s="489">
        <f t="shared" si="212"/>
      </c>
      <c r="N317" s="490">
        <f t="shared" si="242"/>
      </c>
      <c r="O317" s="491" t="s">
        <v>325</v>
      </c>
      <c r="P317" s="492" t="s">
        <v>363</v>
      </c>
      <c r="Q317" s="504"/>
      <c r="R317" s="504"/>
      <c r="S317" s="504"/>
      <c r="T317" s="504"/>
      <c r="U317" s="535"/>
    </row>
    <row hidden="true" r="318">
      <c r="A318" s="495"/>
      <c r="B318" s="482" t="s">
        <v>360</v>
      </c>
      <c r="C318" s="483" t="s">
        <v>334</v>
      </c>
      <c r="D318" s="500">
        <v>0</v>
      </c>
      <c r="E318" s="483"/>
      <c r="F318" s="483"/>
      <c r="G318" s="499"/>
      <c r="H318" s="483"/>
      <c r="I318" s="486" t="str">
        <v>#DIV/0!</v>
      </c>
      <c r="J318" s="486" t="str">
        <v>#DIV/0!</v>
      </c>
      <c r="K318" s="487" t="str">
        <v>#DIV/0!</v>
      </c>
      <c r="L318" s="488">
        <f t="shared" si="182"/>
      </c>
      <c r="M318" s="489">
        <f t="shared" si="212"/>
      </c>
      <c r="N318" s="490">
        <f t="shared" si="242"/>
      </c>
      <c r="O318" s="491" t="s">
        <v>325</v>
      </c>
      <c r="P318" s="492" t="s">
        <v>363</v>
      </c>
      <c r="Q318" s="504"/>
      <c r="R318" s="504"/>
      <c r="S318" s="504"/>
      <c r="T318" s="504"/>
      <c r="U318" s="535"/>
    </row>
    <row hidden="true" r="319">
      <c r="A319" s="495"/>
      <c r="B319" s="482" t="s">
        <v>360</v>
      </c>
      <c r="C319" s="483" t="s">
        <v>335</v>
      </c>
      <c r="D319" s="500">
        <v>0</v>
      </c>
      <c r="E319" s="483"/>
      <c r="F319" s="483"/>
      <c r="G319" s="499"/>
      <c r="H319" s="483"/>
      <c r="I319" s="486" t="str">
        <v>#DIV/0!</v>
      </c>
      <c r="J319" s="486" t="str">
        <v>#DIV/0!</v>
      </c>
      <c r="K319" s="487" t="str">
        <v>#DIV/0!</v>
      </c>
      <c r="L319" s="488">
        <f t="shared" si="182"/>
      </c>
      <c r="M319" s="489">
        <f t="shared" si="212"/>
      </c>
      <c r="N319" s="490">
        <f t="shared" si="242"/>
      </c>
      <c r="O319" s="491" t="s">
        <v>325</v>
      </c>
      <c r="P319" s="492" t="s">
        <v>363</v>
      </c>
      <c r="Q319" s="504"/>
      <c r="R319" s="504"/>
      <c r="S319" s="504"/>
      <c r="T319" s="504"/>
      <c r="U319" s="535"/>
    </row>
    <row r="320">
      <c r="A320" s="495"/>
      <c r="B320" s="514" t="s">
        <v>330</v>
      </c>
      <c r="C320" s="514"/>
      <c r="D320" s="507">
        <v>2497.959999999989</v>
      </c>
      <c r="E320" s="507">
        <v>1622.04</v>
      </c>
      <c r="F320" s="507">
        <v>875.9199999999889</v>
      </c>
      <c r="G320" s="507">
        <v>8</v>
      </c>
      <c r="H320" s="507">
        <v>3480.970000000001</v>
      </c>
      <c r="I320" s="515">
        <v>1.3935251164950666</v>
      </c>
      <c r="J320" s="510">
        <v>312.24499999999864</v>
      </c>
      <c r="K320" s="511">
        <v>435.12125000000015</v>
      </c>
      <c r="L320" s="512">
        <f t="shared" si="182"/>
      </c>
      <c r="M320" s="512">
        <f t="shared" si="212"/>
      </c>
      <c r="N320" s="513">
        <f t="shared" si="242"/>
      </c>
      <c r="O320" s="513"/>
      <c r="P320" s="513"/>
      <c r="Q320" s="508">
        <f>SUM(Q316:Q319)</f>
      </c>
      <c r="R320" s="508">
        <f>SUM(R316:R319)</f>
      </c>
      <c r="S320" s="508">
        <f>SUM(S316:S319)</f>
      </c>
      <c r="T320" s="508">
        <f>SUM(T316:T319)</f>
      </c>
      <c r="U320" s="535"/>
    </row>
    <row r="321">
      <c r="A321" s="495"/>
      <c r="B321" s="516" t="s">
        <v>336</v>
      </c>
      <c r="C321" s="516"/>
      <c r="D321" s="517">
        <v>98185.95</v>
      </c>
      <c r="E321" s="517">
        <v>56564.8</v>
      </c>
      <c r="F321" s="517">
        <v>41621.149999999994</v>
      </c>
      <c r="G321" s="517">
        <v>300</v>
      </c>
      <c r="H321" s="517">
        <v>165117.35</v>
      </c>
      <c r="I321" s="519">
        <v>1.6816800163363497</v>
      </c>
      <c r="J321" s="519">
        <v>327.2865</v>
      </c>
      <c r="K321" s="520">
        <v>550.3911666666667</v>
      </c>
      <c r="L321" s="521">
        <f t="shared" si="182"/>
      </c>
      <c r="M321" s="521">
        <f t="shared" si="212"/>
      </c>
      <c r="N321" s="519">
        <f t="shared" si="242"/>
      </c>
      <c r="O321" s="522"/>
      <c r="P321" s="522"/>
      <c r="Q321" s="530">
        <f>Q302+Q315+Q307+Q320+Q310</f>
      </c>
      <c r="R321" s="530">
        <f>R302+R315+R307+R320+R310</f>
      </c>
      <c r="S321" s="530">
        <f>S302+S315+S307+S320+S310</f>
      </c>
      <c r="T321" s="530">
        <f>T302+T315+T307+T320+T310</f>
      </c>
      <c r="U321" s="535"/>
    </row>
    <row r="322">
      <c r="A322" s="534" t="s">
        <v>298</v>
      </c>
      <c r="B322" s="534"/>
      <c r="C322" s="534"/>
      <c r="D322" s="464" t="s">
        <v>299</v>
      </c>
      <c r="E322" s="464"/>
      <c r="F322" s="464"/>
      <c r="G322" s="464"/>
      <c r="H322" s="464"/>
      <c r="I322" s="464"/>
      <c r="J322" s="464"/>
      <c r="K322" s="464"/>
      <c r="L322" s="465" t="s">
        <v>300</v>
      </c>
      <c r="M322" s="465"/>
      <c r="N322" s="465"/>
      <c r="O322" s="465"/>
      <c r="P322" s="465"/>
      <c r="Q322" s="466" t="s">
        <v>301</v>
      </c>
      <c r="R322" s="466"/>
      <c r="S322" s="466"/>
      <c r="T322" s="466"/>
      <c r="U322" s="535"/>
    </row>
    <row r="323">
      <c r="A323" s="467" t="s">
        <v>302</v>
      </c>
      <c r="B323" s="468" t="s">
        <v>303</v>
      </c>
      <c r="C323" s="469" t="s">
        <v>304</v>
      </c>
      <c r="D323" s="470" t="s">
        <v>305</v>
      </c>
      <c r="E323" s="471" t="s">
        <v>306</v>
      </c>
      <c r="F323" s="470" t="s">
        <v>307</v>
      </c>
      <c r="G323" s="472" t="s">
        <v>308</v>
      </c>
      <c r="H323" s="473" t="s">
        <v>309</v>
      </c>
      <c r="I323" s="474" t="s">
        <v>310</v>
      </c>
      <c r="J323" s="475" t="s">
        <v>311</v>
      </c>
      <c r="K323" s="476" t="s">
        <v>312</v>
      </c>
      <c r="L323" s="465" t="s">
        <v>313</v>
      </c>
      <c r="M323" s="465" t="s">
        <v>314</v>
      </c>
      <c r="N323" s="465" t="s">
        <v>315</v>
      </c>
      <c r="O323" s="477" t="s">
        <v>316</v>
      </c>
      <c r="P323" s="478" t="s">
        <v>317</v>
      </c>
      <c r="Q323" s="479" t="s">
        <v>318</v>
      </c>
      <c r="R323" s="479" t="s">
        <v>319</v>
      </c>
      <c r="S323" s="480" t="s">
        <v>320</v>
      </c>
      <c r="T323" s="479" t="s">
        <v>321</v>
      </c>
      <c r="U323" s="535"/>
    </row>
    <row r="324">
      <c r="A324" s="481" t="s">
        <v>372</v>
      </c>
      <c r="B324" s="536" t="s">
        <v>331</v>
      </c>
      <c r="C324" s="483" t="s">
        <v>339</v>
      </c>
      <c r="D324" s="483">
        <f t="shared" ref="D324:D328" si="38">E324+F324</f>
      </c>
      <c r="E324" s="484">
        <v>4371.67</v>
      </c>
      <c r="F324" s="483">
        <v>5512.58</v>
      </c>
      <c r="G324" s="532">
        <v>34</v>
      </c>
      <c r="H324" s="483">
        <v>21866.8</v>
      </c>
      <c r="I324" s="486">
        <f t="shared" ref="I324:I337" si="95">H324/D324</f>
      </c>
      <c r="J324" s="537">
        <f t="shared" ref="J324:J337" si="124">D324/G324</f>
      </c>
      <c r="K324" s="487">
        <f t="shared" ref="K324:K337" si="153">H324/G324</f>
      </c>
      <c r="L324" s="488">
        <f t="shared" ref="L324:L337" si="183">R324/Q324</f>
      </c>
      <c r="M324" s="489">
        <f t="shared" ref="M324:M337" si="213">G324/S324</f>
      </c>
      <c r="N324" s="490">
        <f t="shared" ref="N324:N337" si="243">(T324*1000)/D324</f>
      </c>
      <c r="O324" s="491" t="s">
        <v>373</v>
      </c>
      <c r="P324" s="492" t="s">
        <v>353</v>
      </c>
      <c r="Q324" s="493">
        <v>107796</v>
      </c>
      <c r="R324" s="493">
        <v>13619</v>
      </c>
      <c r="S324" s="527">
        <v>45</v>
      </c>
      <c r="T324" s="527">
        <v>172</v>
      </c>
      <c r="U324" s="535"/>
    </row>
    <row r="325">
      <c r="A325" s="481"/>
      <c r="B325" s="536" t="s">
        <v>331</v>
      </c>
      <c r="C325" s="496" t="s">
        <v>341</v>
      </c>
      <c r="D325" s="497">
        <f t="shared" si="38"/>
      </c>
      <c r="E325" s="498">
        <v>5915.23</v>
      </c>
      <c r="F325" s="496">
        <v>9295.56</v>
      </c>
      <c r="G325" s="499">
        <v>44</v>
      </c>
      <c r="H325" s="483">
        <v>34922.06999999999</v>
      </c>
      <c r="I325" s="486">
        <f t="shared" si="95"/>
      </c>
      <c r="J325" s="486">
        <f t="shared" si="124"/>
      </c>
      <c r="K325" s="487">
        <f t="shared" si="153"/>
      </c>
      <c r="L325" s="488">
        <f t="shared" si="183"/>
      </c>
      <c r="M325" s="489">
        <f t="shared" si="213"/>
      </c>
      <c r="N325" s="490">
        <f t="shared" si="243"/>
      </c>
      <c r="O325" s="491" t="s">
        <v>373</v>
      </c>
      <c r="P325" s="492" t="s">
        <v>353</v>
      </c>
      <c r="Q325" s="494">
        <v>177477</v>
      </c>
      <c r="R325" s="494">
        <v>22048</v>
      </c>
      <c r="S325" s="527">
        <v>54</v>
      </c>
      <c r="T325" s="494">
        <v>285</v>
      </c>
      <c r="U325" s="535"/>
    </row>
    <row r="326">
      <c r="A326" s="481"/>
      <c r="B326" s="536" t="s">
        <v>331</v>
      </c>
      <c r="C326" s="483" t="s">
        <v>342</v>
      </c>
      <c r="D326" s="500">
        <f t="shared" si="38"/>
      </c>
      <c r="E326" s="501">
        <v>2744.95</v>
      </c>
      <c r="F326" s="483">
        <v>5931.44</v>
      </c>
      <c r="G326" s="502">
        <v>19</v>
      </c>
      <c r="H326" s="503">
        <v>11625.950000000012</v>
      </c>
      <c r="I326" s="486">
        <f t="shared" si="95"/>
      </c>
      <c r="J326" s="486">
        <f t="shared" si="124"/>
      </c>
      <c r="K326" s="487">
        <f t="shared" si="153"/>
      </c>
      <c r="L326" s="488">
        <f t="shared" si="183"/>
      </c>
      <c r="M326" s="489">
        <f t="shared" si="213"/>
      </c>
      <c r="N326" s="490">
        <f t="shared" si="243"/>
      </c>
      <c r="O326" s="491" t="s">
        <v>373</v>
      </c>
      <c r="P326" s="492" t="s">
        <v>353</v>
      </c>
      <c r="Q326" s="494">
        <v>103166</v>
      </c>
      <c r="R326" s="494">
        <v>10945</v>
      </c>
      <c r="S326" s="527">
        <v>21</v>
      </c>
      <c r="T326" s="494">
        <v>225</v>
      </c>
      <c r="U326" s="535"/>
    </row>
    <row customHeight="true" ht="16.666666666666668" r="327">
      <c r="A327" s="481"/>
      <c r="B327" s="536" t="s">
        <v>331</v>
      </c>
      <c r="C327" s="483" t="s">
        <v>344</v>
      </c>
      <c r="D327" s="500">
        <f t="shared" si="38"/>
      </c>
      <c r="E327" s="501">
        <v>1024.24</v>
      </c>
      <c r="F327" s="483">
        <v>4018.01</v>
      </c>
      <c r="G327" s="502">
        <v>22</v>
      </c>
      <c r="H327" s="503">
        <v>12377</v>
      </c>
      <c r="I327" s="486">
        <f t="shared" si="95"/>
      </c>
      <c r="J327" s="486">
        <f t="shared" si="124"/>
      </c>
      <c r="K327" s="487">
        <f t="shared" si="153"/>
      </c>
      <c r="L327" s="488">
        <f t="shared" si="183"/>
      </c>
      <c r="M327" s="489">
        <f t="shared" si="213"/>
      </c>
      <c r="N327" s="490">
        <f t="shared" si="243"/>
      </c>
      <c r="O327" s="491" t="s">
        <v>373</v>
      </c>
      <c r="P327" s="492" t="s">
        <v>353</v>
      </c>
      <c r="Q327" s="494">
        <v>53509</v>
      </c>
      <c r="R327" s="494">
        <v>4824</v>
      </c>
      <c r="S327" s="527">
        <v>26</v>
      </c>
      <c r="T327" s="494">
        <v>149</v>
      </c>
      <c r="U327" s="535"/>
    </row>
    <row r="328">
      <c r="A328" s="481"/>
      <c r="B328" s="536" t="s">
        <v>331</v>
      </c>
      <c r="C328" s="483" t="s">
        <v>345</v>
      </c>
      <c r="D328" s="500">
        <f t="shared" si="38"/>
      </c>
      <c r="E328" s="501">
        <v>1243.22</v>
      </c>
      <c r="F328" s="483">
        <v>4120.91</v>
      </c>
      <c r="G328" s="531">
        <v>14</v>
      </c>
      <c r="H328" s="503">
        <v>7015.459999999992</v>
      </c>
      <c r="I328" s="486">
        <f t="shared" si="95"/>
      </c>
      <c r="J328" s="486">
        <f t="shared" si="124"/>
      </c>
      <c r="K328" s="487">
        <f t="shared" si="153"/>
      </c>
      <c r="L328" s="488">
        <f t="shared" si="183"/>
      </c>
      <c r="M328" s="489">
        <f t="shared" si="213"/>
      </c>
      <c r="N328" s="490">
        <f t="shared" si="243"/>
      </c>
      <c r="O328" s="491" t="s">
        <v>373</v>
      </c>
      <c r="P328" s="492" t="s">
        <v>353</v>
      </c>
      <c r="Q328" s="504">
        <v>64878</v>
      </c>
      <c r="R328" s="504">
        <v>4530</v>
      </c>
      <c r="S328" s="505">
        <v>22</v>
      </c>
      <c r="T328" s="504">
        <v>121</v>
      </c>
      <c r="U328" s="535"/>
    </row>
    <row r="329">
      <c r="A329" s="481"/>
      <c r="B329" s="506" t="s">
        <v>330</v>
      </c>
      <c r="C329" s="506"/>
      <c r="D329" s="507">
        <f>SUM(D324:D328)</f>
      </c>
      <c r="E329" s="507">
        <f>SUM(E324:E328)</f>
      </c>
      <c r="F329" s="507">
        <f>SUM(F324:F328)</f>
      </c>
      <c r="G329" s="507">
        <f>SUM(G324:G328)</f>
      </c>
      <c r="H329" s="507">
        <f>SUM(H324:H328)</f>
      </c>
      <c r="I329" s="509">
        <f t="shared" si="95"/>
      </c>
      <c r="J329" s="510">
        <f t="shared" si="124"/>
      </c>
      <c r="K329" s="511">
        <f t="shared" si="153"/>
      </c>
      <c r="L329" s="512">
        <f t="shared" si="183"/>
      </c>
      <c r="M329" s="512">
        <f t="shared" si="213"/>
      </c>
      <c r="N329" s="513">
        <f t="shared" si="243"/>
      </c>
      <c r="O329" s="513"/>
      <c r="P329" s="513"/>
      <c r="Q329" s="508">
        <f>SUM(Q324:Q328)</f>
      </c>
      <c r="R329" s="508">
        <f>SUM(R324:R328)</f>
      </c>
      <c r="S329" s="508">
        <f>SUM(S324:S328)</f>
      </c>
      <c r="T329" s="508">
        <f>SUM(T324:T328)</f>
      </c>
      <c r="U329" s="535"/>
    </row>
    <row r="330">
      <c r="A330" s="481"/>
      <c r="B330" s="482" t="s">
        <v>351</v>
      </c>
      <c r="C330" s="483" t="s">
        <v>346</v>
      </c>
      <c r="D330" s="500">
        <v>3663.2799999999997</v>
      </c>
      <c r="E330" s="483">
        <v>789.3</v>
      </c>
      <c r="F330" s="483">
        <v>2873.98</v>
      </c>
      <c r="G330" s="499">
        <v>5</v>
      </c>
      <c r="H330" s="483">
        <v>2886.9600000000064</v>
      </c>
      <c r="I330" s="486">
        <f t="shared" si="95"/>
      </c>
      <c r="J330" s="486">
        <f t="shared" si="124"/>
      </c>
      <c r="K330" s="487">
        <f t="shared" si="153"/>
      </c>
      <c r="L330" s="488">
        <f t="shared" si="183"/>
      </c>
      <c r="M330" s="489">
        <f t="shared" si="213"/>
      </c>
      <c r="N330" s="490">
        <f t="shared" si="243"/>
      </c>
      <c r="O330" s="491" t="s">
        <v>373</v>
      </c>
      <c r="P330" s="492" t="s">
        <v>353</v>
      </c>
      <c r="Q330" s="504">
        <v>47670</v>
      </c>
      <c r="R330" s="504">
        <v>3070</v>
      </c>
      <c r="S330" s="505">
        <v>8</v>
      </c>
      <c r="T330" s="504">
        <v>80</v>
      </c>
      <c r="U330" s="535"/>
    </row>
    <row r="331">
      <c r="A331" s="481"/>
      <c r="B331" s="482" t="s">
        <v>351</v>
      </c>
      <c r="C331" s="483" t="s">
        <v>347</v>
      </c>
      <c r="D331" s="500">
        <v>2562.37</v>
      </c>
      <c r="E331" s="501">
        <v>918.34</v>
      </c>
      <c r="F331" s="483">
        <v>1644.03</v>
      </c>
      <c r="G331" s="502">
        <v>4</v>
      </c>
      <c r="H331" s="503">
        <v>2189.5399999999936</v>
      </c>
      <c r="I331" s="486">
        <f t="shared" si="95"/>
      </c>
      <c r="J331" s="486">
        <f t="shared" si="124"/>
      </c>
      <c r="K331" s="487">
        <f t="shared" si="153"/>
      </c>
      <c r="L331" s="488">
        <f t="shared" si="183"/>
      </c>
      <c r="M331" s="489">
        <f t="shared" si="213"/>
      </c>
      <c r="N331" s="490">
        <f t="shared" si="243"/>
      </c>
      <c r="O331" s="491" t="s">
        <v>373</v>
      </c>
      <c r="P331" s="492" t="s">
        <v>353</v>
      </c>
      <c r="Q331" s="504">
        <v>30309</v>
      </c>
      <c r="R331" s="504">
        <v>2513</v>
      </c>
      <c r="S331" s="505">
        <v>7</v>
      </c>
      <c r="T331" s="504">
        <v>70</v>
      </c>
      <c r="U331" s="535"/>
    </row>
    <row r="332">
      <c r="A332" s="481"/>
      <c r="B332" s="482" t="s">
        <v>351</v>
      </c>
      <c r="C332" s="525" t="s">
        <v>348</v>
      </c>
      <c r="D332" s="500">
        <v>2071.26</v>
      </c>
      <c r="E332" s="525">
        <v>908</v>
      </c>
      <c r="F332" s="483">
        <v>1163.26</v>
      </c>
      <c r="G332" s="502">
        <v>10</v>
      </c>
      <c r="H332" s="503">
        <v>3922.8399999999965</v>
      </c>
      <c r="I332" s="486">
        <f t="shared" si="95"/>
      </c>
      <c r="J332" s="486">
        <f t="shared" si="124"/>
      </c>
      <c r="K332" s="487">
        <f t="shared" si="153"/>
      </c>
      <c r="L332" s="488">
        <f t="shared" si="183"/>
      </c>
      <c r="M332" s="489">
        <f t="shared" si="213"/>
      </c>
      <c r="N332" s="490">
        <f t="shared" si="243"/>
      </c>
      <c r="O332" s="491" t="s">
        <v>373</v>
      </c>
      <c r="P332" s="492" t="s">
        <v>353</v>
      </c>
      <c r="Q332" s="504">
        <v>18820</v>
      </c>
      <c r="R332" s="504">
        <v>2515</v>
      </c>
      <c r="S332" s="505">
        <v>14</v>
      </c>
      <c r="T332" s="504">
        <v>33</v>
      </c>
      <c r="U332" s="535"/>
    </row>
    <row r="333">
      <c r="A333" s="481"/>
      <c r="B333" s="482" t="s">
        <v>351</v>
      </c>
      <c r="C333" s="525" t="s">
        <v>349</v>
      </c>
      <c r="D333" s="500">
        <v>3372.49</v>
      </c>
      <c r="E333" s="525">
        <v>578.51</v>
      </c>
      <c r="F333" s="525">
        <v>2793.98</v>
      </c>
      <c r="G333" s="502">
        <v>10</v>
      </c>
      <c r="H333" s="503">
        <v>5365.320000000007</v>
      </c>
      <c r="I333" s="486">
        <f t="shared" si="95"/>
      </c>
      <c r="J333" s="486">
        <f t="shared" si="124"/>
      </c>
      <c r="K333" s="487">
        <f t="shared" si="153"/>
      </c>
      <c r="L333" s="488">
        <f t="shared" si="183"/>
      </c>
      <c r="M333" s="489">
        <f t="shared" si="213"/>
      </c>
      <c r="N333" s="490">
        <f t="shared" si="243"/>
      </c>
      <c r="O333" s="491" t="s">
        <v>373</v>
      </c>
      <c r="P333" s="492" t="s">
        <v>353</v>
      </c>
      <c r="Q333" s="504">
        <v>31158</v>
      </c>
      <c r="R333" s="504">
        <v>3416</v>
      </c>
      <c r="S333" s="505">
        <v>13</v>
      </c>
      <c r="T333" s="504">
        <v>53</v>
      </c>
      <c r="U333" s="535"/>
    </row>
    <row r="334">
      <c r="A334" s="481"/>
      <c r="B334" s="514" t="s">
        <v>330</v>
      </c>
      <c r="C334" s="514"/>
      <c r="D334" s="507">
        <v>11669.4</v>
      </c>
      <c r="E334" s="507">
        <v>3194.1499999999996</v>
      </c>
      <c r="F334" s="507">
        <v>8475.25</v>
      </c>
      <c r="G334" s="507">
        <v>29</v>
      </c>
      <c r="H334" s="507">
        <f>SUM(H330:H333)</f>
      </c>
      <c r="I334" s="515">
        <f t="shared" si="95"/>
      </c>
      <c r="J334" s="510">
        <f t="shared" si="124"/>
      </c>
      <c r="K334" s="511">
        <f t="shared" si="153"/>
      </c>
      <c r="L334" s="512">
        <f t="shared" si="183"/>
      </c>
      <c r="M334" s="512">
        <f t="shared" si="213"/>
      </c>
      <c r="N334" s="513">
        <f t="shared" si="243"/>
      </c>
      <c r="O334" s="513"/>
      <c r="P334" s="513"/>
      <c r="Q334" s="508">
        <f>SUM(Q330:Q333)</f>
      </c>
      <c r="R334" s="508">
        <f>SUM(R330:R333)</f>
      </c>
      <c r="S334" s="508">
        <f>SUM(S330:S333)</f>
      </c>
      <c r="T334" s="508">
        <f>SUM(T330:T333)</f>
      </c>
      <c r="U334" s="535"/>
    </row>
    <row r="335">
      <c r="A335" s="481"/>
      <c r="B335" s="482" t="s">
        <v>360</v>
      </c>
      <c r="C335" s="525" t="s">
        <v>350</v>
      </c>
      <c r="D335" s="500">
        <v>2414.3</v>
      </c>
      <c r="E335" s="483">
        <v>337.76</v>
      </c>
      <c r="F335" s="483">
        <v>2076.54</v>
      </c>
      <c r="G335" s="499">
        <v>7</v>
      </c>
      <c r="H335" s="483">
        <v>2445.720000000001</v>
      </c>
      <c r="I335" s="486">
        <f t="shared" si="95"/>
      </c>
      <c r="J335" s="486">
        <f t="shared" si="124"/>
      </c>
      <c r="K335" s="487">
        <f t="shared" si="153"/>
      </c>
      <c r="L335" s="488">
        <f t="shared" si="183"/>
      </c>
      <c r="M335" s="489">
        <f t="shared" si="213"/>
      </c>
      <c r="N335" s="490">
        <f t="shared" si="243"/>
      </c>
      <c r="O335" s="491" t="s">
        <v>373</v>
      </c>
      <c r="P335" s="526" t="s">
        <v>353</v>
      </c>
      <c r="Q335" s="504">
        <v>26114</v>
      </c>
      <c r="R335" s="504">
        <v>2337</v>
      </c>
      <c r="S335" s="505">
        <v>11</v>
      </c>
      <c r="T335" s="504">
        <v>48</v>
      </c>
      <c r="U335" s="535"/>
    </row>
    <row r="336">
      <c r="A336" s="481"/>
      <c r="B336" s="514" t="s">
        <v>330</v>
      </c>
      <c r="C336" s="514"/>
      <c r="D336" s="507">
        <v>2414.3</v>
      </c>
      <c r="E336" s="507">
        <v>337.76</v>
      </c>
      <c r="F336" s="507">
        <v>2076.54</v>
      </c>
      <c r="G336" s="508">
        <v>7</v>
      </c>
      <c r="H336" s="507">
        <f>SUM(H335)</f>
      </c>
      <c r="I336" s="515">
        <f t="shared" si="95"/>
      </c>
      <c r="J336" s="510">
        <f t="shared" si="124"/>
      </c>
      <c r="K336" s="511">
        <f t="shared" si="153"/>
      </c>
      <c r="L336" s="512">
        <f t="shared" si="183"/>
      </c>
      <c r="M336" s="512">
        <f t="shared" si="213"/>
      </c>
      <c r="N336" s="513">
        <f t="shared" si="243"/>
      </c>
      <c r="O336" s="513"/>
      <c r="P336" s="513"/>
      <c r="Q336" s="508">
        <f>SUM(Q335)</f>
      </c>
      <c r="R336" s="508">
        <f>SUM(R335)</f>
      </c>
      <c r="S336" s="508">
        <f>SUM(S335)</f>
      </c>
      <c r="T336" s="508">
        <f>SUM(T335)</f>
      </c>
      <c r="U336" s="535"/>
    </row>
    <row r="337">
      <c r="A337" s="481"/>
      <c r="B337" s="516" t="s">
        <v>336</v>
      </c>
      <c r="C337" s="516"/>
      <c r="D337" s="517">
        <f>D329+D336+D334</f>
      </c>
      <c r="E337" s="517">
        <f>E329+E336+E334</f>
      </c>
      <c r="F337" s="517">
        <f>F329+F336+F334</f>
      </c>
      <c r="G337" s="517">
        <f>G329+G336+G334</f>
      </c>
      <c r="H337" s="517">
        <f>H329+H336+H334</f>
      </c>
      <c r="I337" s="519">
        <f t="shared" si="95"/>
      </c>
      <c r="J337" s="519">
        <f t="shared" si="124"/>
      </c>
      <c r="K337" s="520">
        <f t="shared" si="153"/>
      </c>
      <c r="L337" s="521">
        <f t="shared" si="183"/>
      </c>
      <c r="M337" s="521">
        <f t="shared" si="213"/>
      </c>
      <c r="N337" s="519">
        <f t="shared" si="243"/>
      </c>
      <c r="O337" s="522"/>
      <c r="P337" s="522"/>
      <c r="Q337" s="530">
        <f>Q329+Q336+Q334</f>
      </c>
      <c r="R337" s="530">
        <f>R329+R336+R334</f>
      </c>
      <c r="S337" s="530">
        <f>S329+S336+S334</f>
      </c>
      <c r="T337" s="530">
        <f>T329+T336+T334</f>
      </c>
      <c r="U337" s="535"/>
    </row>
    <row r="338">
      <c r="A338" s="534" t="s">
        <v>298</v>
      </c>
      <c r="B338" s="534"/>
      <c r="C338" s="534"/>
      <c r="D338" s="464" t="s">
        <v>299</v>
      </c>
      <c r="E338" s="464"/>
      <c r="F338" s="464"/>
      <c r="G338" s="464"/>
      <c r="H338" s="464"/>
      <c r="I338" s="464"/>
      <c r="J338" s="464"/>
      <c r="K338" s="464"/>
      <c r="L338" s="465" t="s">
        <v>300</v>
      </c>
      <c r="M338" s="465"/>
      <c r="N338" s="465"/>
      <c r="O338" s="465"/>
      <c r="P338" s="465"/>
      <c r="Q338" s="466" t="s">
        <v>301</v>
      </c>
      <c r="R338" s="466"/>
      <c r="S338" s="466"/>
      <c r="T338" s="466"/>
      <c r="U338" s="535"/>
    </row>
    <row r="339">
      <c r="A339" s="467" t="s">
        <v>302</v>
      </c>
      <c r="B339" s="468" t="s">
        <v>303</v>
      </c>
      <c r="C339" s="469" t="s">
        <v>304</v>
      </c>
      <c r="D339" s="470" t="s">
        <v>305</v>
      </c>
      <c r="E339" s="471" t="s">
        <v>306</v>
      </c>
      <c r="F339" s="470" t="s">
        <v>307</v>
      </c>
      <c r="G339" s="472" t="s">
        <v>308</v>
      </c>
      <c r="H339" s="473" t="s">
        <v>309</v>
      </c>
      <c r="I339" s="474" t="s">
        <v>310</v>
      </c>
      <c r="J339" s="475" t="s">
        <v>311</v>
      </c>
      <c r="K339" s="476" t="s">
        <v>312</v>
      </c>
      <c r="L339" s="465" t="s">
        <v>313</v>
      </c>
      <c r="M339" s="465" t="s">
        <v>314</v>
      </c>
      <c r="N339" s="465" t="s">
        <v>315</v>
      </c>
      <c r="O339" s="477" t="s">
        <v>316</v>
      </c>
      <c r="P339" s="478" t="s">
        <v>317</v>
      </c>
      <c r="Q339" s="479" t="s">
        <v>318</v>
      </c>
      <c r="R339" s="479" t="s">
        <v>319</v>
      </c>
      <c r="S339" s="480" t="s">
        <v>320</v>
      </c>
      <c r="T339" s="479" t="s">
        <v>321</v>
      </c>
      <c r="U339" s="535"/>
    </row>
    <row r="340">
      <c r="A340" s="481" t="s">
        <v>374</v>
      </c>
      <c r="B340" s="536" t="s">
        <v>338</v>
      </c>
      <c r="C340" s="483" t="s">
        <v>339</v>
      </c>
      <c r="D340" s="483">
        <f t="shared" ref="D340:D343" si="39">E340+F340</f>
      </c>
      <c r="E340" s="484">
        <v>857.8</v>
      </c>
      <c r="F340" s="483">
        <v>2018.21</v>
      </c>
      <c r="G340" s="532">
        <v>9</v>
      </c>
      <c r="H340" s="483">
        <v>5189.4</v>
      </c>
      <c r="I340" s="486">
        <f t="shared" ref="I340:I349" si="96">H340/D340</f>
      </c>
      <c r="J340" s="537">
        <f t="shared" ref="J340:J361" si="125">D340/G340</f>
      </c>
      <c r="K340" s="487">
        <f t="shared" ref="K340:K361" si="154">H340/G340</f>
      </c>
      <c r="L340" s="488">
        <f t="shared" ref="L340:L361" si="184">R340/Q340</f>
      </c>
      <c r="M340" s="489">
        <f t="shared" ref="M340:M361" si="214">G340/S340</f>
      </c>
      <c r="N340" s="490">
        <f t="shared" ref="N340:N361" si="244">(T340*1000)/D340</f>
      </c>
      <c r="O340" s="491" t="s">
        <v>373</v>
      </c>
      <c r="P340" s="492" t="s">
        <v>353</v>
      </c>
      <c r="Q340" s="493">
        <v>34539</v>
      </c>
      <c r="R340" s="493">
        <v>3557</v>
      </c>
      <c r="S340" s="527">
        <v>12</v>
      </c>
      <c r="T340" s="527">
        <v>60</v>
      </c>
      <c r="U340" s="535"/>
    </row>
    <row r="341">
      <c r="A341" s="481"/>
      <c r="B341" s="536" t="s">
        <v>338</v>
      </c>
      <c r="C341" s="496" t="s">
        <v>341</v>
      </c>
      <c r="D341" s="497">
        <f t="shared" si="39"/>
      </c>
      <c r="E341" s="498">
        <v>1391.25</v>
      </c>
      <c r="F341" s="496">
        <v>2691</v>
      </c>
      <c r="G341" s="499">
        <v>8</v>
      </c>
      <c r="H341" s="483">
        <v>3069.3600000000006</v>
      </c>
      <c r="I341" s="486">
        <f t="shared" si="96"/>
      </c>
      <c r="J341" s="486">
        <f t="shared" si="125"/>
      </c>
      <c r="K341" s="487">
        <f t="shared" si="154"/>
      </c>
      <c r="L341" s="488">
        <f t="shared" si="184"/>
      </c>
      <c r="M341" s="489">
        <f t="shared" si="214"/>
      </c>
      <c r="N341" s="490">
        <f t="shared" si="244"/>
      </c>
      <c r="O341" s="491" t="s">
        <v>373</v>
      </c>
      <c r="P341" s="492" t="s">
        <v>353</v>
      </c>
      <c r="Q341" s="494">
        <v>51837</v>
      </c>
      <c r="R341" s="494">
        <v>6122</v>
      </c>
      <c r="S341" s="527">
        <v>11</v>
      </c>
      <c r="T341" s="494">
        <v>78</v>
      </c>
    </row>
    <row r="342">
      <c r="A342" s="481"/>
      <c r="B342" s="536" t="s">
        <v>338</v>
      </c>
      <c r="C342" s="483" t="s">
        <v>342</v>
      </c>
      <c r="D342" s="500">
        <f t="shared" si="39"/>
      </c>
      <c r="E342" s="525">
        <v>1477.48</v>
      </c>
      <c r="F342" s="483">
        <v>2853.32</v>
      </c>
      <c r="G342" s="502">
        <v>9</v>
      </c>
      <c r="H342" s="503">
        <v>5667.119999999999</v>
      </c>
      <c r="I342" s="486">
        <f t="shared" si="96"/>
      </c>
      <c r="J342" s="486">
        <f t="shared" si="125"/>
      </c>
      <c r="K342" s="487">
        <f t="shared" si="154"/>
      </c>
      <c r="L342" s="488">
        <f t="shared" si="184"/>
      </c>
      <c r="M342" s="489">
        <f t="shared" si="214"/>
      </c>
      <c r="N342" s="490">
        <f t="shared" si="244"/>
      </c>
      <c r="O342" s="491" t="s">
        <v>373</v>
      </c>
      <c r="P342" s="492" t="s">
        <v>353</v>
      </c>
      <c r="Q342" s="494">
        <v>50156</v>
      </c>
      <c r="R342" s="494">
        <v>5310</v>
      </c>
      <c r="S342" s="527">
        <v>15</v>
      </c>
      <c r="T342" s="494">
        <v>76</v>
      </c>
    </row>
    <row r="343">
      <c r="A343" s="481"/>
      <c r="B343" s="536" t="s">
        <v>338</v>
      </c>
      <c r="C343" s="483" t="s">
        <v>344</v>
      </c>
      <c r="D343" s="500">
        <f t="shared" si="39"/>
      </c>
      <c r="E343" s="501">
        <v>939.06</v>
      </c>
      <c r="F343" s="483">
        <v>1417.25</v>
      </c>
      <c r="G343" s="531">
        <v>5</v>
      </c>
      <c r="H343" s="503">
        <v>4600.930000000002</v>
      </c>
      <c r="I343" s="486">
        <f t="shared" si="96"/>
      </c>
      <c r="J343" s="486">
        <f t="shared" si="125"/>
      </c>
      <c r="K343" s="487">
        <f t="shared" si="154"/>
      </c>
      <c r="L343" s="488">
        <f t="shared" si="184"/>
      </c>
      <c r="M343" s="489">
        <f t="shared" si="214"/>
      </c>
      <c r="N343" s="490">
        <f t="shared" si="244"/>
      </c>
      <c r="O343" s="491" t="s">
        <v>373</v>
      </c>
      <c r="P343" s="492" t="s">
        <v>353</v>
      </c>
      <c r="Q343" s="504">
        <v>21211</v>
      </c>
      <c r="R343" s="504">
        <v>2276</v>
      </c>
      <c r="S343" s="505">
        <v>8</v>
      </c>
      <c r="T343" s="504">
        <v>39</v>
      </c>
    </row>
    <row r="344">
      <c r="A344" s="481"/>
      <c r="B344" s="506" t="s">
        <v>330</v>
      </c>
      <c r="C344" s="506"/>
      <c r="D344" s="507">
        <f>SUM(D340:D343)</f>
      </c>
      <c r="E344" s="507">
        <f>SUM(E340:E343)</f>
      </c>
      <c r="F344" s="507">
        <f>SUM(F340:F343)</f>
      </c>
      <c r="G344" s="507">
        <f>SUM(G340:G343)</f>
      </c>
      <c r="H344" s="507">
        <f>SUM(H340:H343)</f>
      </c>
      <c r="I344" s="509">
        <f t="shared" si="96"/>
      </c>
      <c r="J344" s="510">
        <f t="shared" si="125"/>
      </c>
      <c r="K344" s="511">
        <f t="shared" si="154"/>
      </c>
      <c r="L344" s="512">
        <f t="shared" si="184"/>
      </c>
      <c r="M344" s="512">
        <f t="shared" si="214"/>
      </c>
      <c r="N344" s="513">
        <f t="shared" si="244"/>
      </c>
      <c r="O344" s="513"/>
      <c r="P344" s="513"/>
      <c r="Q344" s="508">
        <f>SUM(Q340:Q343)</f>
      </c>
      <c r="R344" s="508">
        <f>SUM(R340:R343)</f>
      </c>
      <c r="S344" s="508">
        <f>SUM(S340:S343)</f>
      </c>
      <c r="T344" s="508">
        <f>SUM(T340:T343)</f>
      </c>
    </row>
    <row r="345">
      <c r="A345" s="481"/>
      <c r="B345" s="482" t="s">
        <v>331</v>
      </c>
      <c r="C345" s="483" t="s">
        <v>345</v>
      </c>
      <c r="D345" s="500">
        <f t="shared" ref="D345:D348" si="40">E345+F345</f>
      </c>
      <c r="E345" s="483">
        <v>1680.62</v>
      </c>
      <c r="F345" s="483">
        <v>980.32</v>
      </c>
      <c r="G345" s="499">
        <v>8</v>
      </c>
      <c r="H345" s="483">
        <v>4844.809999999998</v>
      </c>
      <c r="I345" s="486">
        <f t="shared" si="96"/>
      </c>
      <c r="J345" s="486">
        <f t="shared" si="125"/>
      </c>
      <c r="K345" s="487">
        <f t="shared" si="154"/>
      </c>
      <c r="L345" s="488">
        <f t="shared" si="184"/>
      </c>
      <c r="M345" s="489">
        <f t="shared" si="214"/>
      </c>
      <c r="N345" s="490">
        <f t="shared" si="244"/>
      </c>
      <c r="O345" s="491" t="s">
        <v>373</v>
      </c>
      <c r="P345" s="492" t="s">
        <v>353</v>
      </c>
      <c r="Q345" s="504">
        <v>24786</v>
      </c>
      <c r="R345" s="504">
        <v>3173</v>
      </c>
      <c r="S345" s="505">
        <v>8</v>
      </c>
      <c r="T345" s="504">
        <v>57</v>
      </c>
    </row>
    <row r="346">
      <c r="A346" s="481"/>
      <c r="B346" s="482" t="s">
        <v>331</v>
      </c>
      <c r="C346" s="483" t="s">
        <v>346</v>
      </c>
      <c r="D346" s="500">
        <f t="shared" si="40"/>
      </c>
      <c r="E346" s="501">
        <v>1689.09</v>
      </c>
      <c r="F346" s="483">
        <v>2114.12</v>
      </c>
      <c r="G346" s="502">
        <v>14</v>
      </c>
      <c r="H346" s="503">
        <v>7551.960000000003</v>
      </c>
      <c r="I346" s="486">
        <f t="shared" si="96"/>
      </c>
      <c r="J346" s="486">
        <f t="shared" si="125"/>
      </c>
      <c r="K346" s="487">
        <f t="shared" si="154"/>
      </c>
      <c r="L346" s="488">
        <f t="shared" si="184"/>
      </c>
      <c r="M346" s="489">
        <f t="shared" si="214"/>
      </c>
      <c r="N346" s="490">
        <f t="shared" si="244"/>
      </c>
      <c r="O346" s="491" t="s">
        <v>373</v>
      </c>
      <c r="P346" s="492" t="s">
        <v>353</v>
      </c>
      <c r="Q346" s="504">
        <v>40040</v>
      </c>
      <c r="R346" s="504">
        <v>4980</v>
      </c>
      <c r="S346" s="505">
        <v>18</v>
      </c>
      <c r="T346" s="504">
        <v>81</v>
      </c>
    </row>
    <row r="347">
      <c r="A347" s="481"/>
      <c r="B347" s="482" t="s">
        <v>331</v>
      </c>
      <c r="C347" s="483" t="s">
        <v>347</v>
      </c>
      <c r="D347" s="500">
        <f t="shared" si="40"/>
      </c>
      <c r="E347" s="483">
        <v>1191.78</v>
      </c>
      <c r="F347" s="483">
        <v>1371.69</v>
      </c>
      <c r="G347" s="502">
        <v>10</v>
      </c>
      <c r="H347" s="503">
        <v>3895.6199999999953</v>
      </c>
      <c r="I347" s="486">
        <f t="shared" si="96"/>
      </c>
      <c r="J347" s="486">
        <f t="shared" si="125"/>
      </c>
      <c r="K347" s="487">
        <f t="shared" si="154"/>
      </c>
      <c r="L347" s="488">
        <f t="shared" si="184"/>
      </c>
      <c r="M347" s="489">
        <f t="shared" si="214"/>
      </c>
      <c r="N347" s="490">
        <f t="shared" si="244"/>
      </c>
      <c r="O347" s="491" t="s">
        <v>373</v>
      </c>
      <c r="P347" s="492" t="s">
        <v>353</v>
      </c>
      <c r="Q347" s="504">
        <v>31746</v>
      </c>
      <c r="R347" s="504">
        <v>3123</v>
      </c>
      <c r="S347" s="505">
        <v>14</v>
      </c>
      <c r="T347" s="504">
        <v>69</v>
      </c>
    </row>
    <row r="348">
      <c r="A348" s="481"/>
      <c r="B348" s="482" t="s">
        <v>331</v>
      </c>
      <c r="C348" s="525" t="s">
        <v>348</v>
      </c>
      <c r="D348" s="500">
        <f t="shared" si="40"/>
      </c>
      <c r="E348" s="483">
        <v>726.7</v>
      </c>
      <c r="F348" s="483">
        <v>2056.22</v>
      </c>
      <c r="G348" s="502">
        <v>10</v>
      </c>
      <c r="H348" s="503">
        <v>8472</v>
      </c>
      <c r="I348" s="486">
        <f t="shared" si="96"/>
      </c>
      <c r="J348" s="486">
        <f t="shared" si="125"/>
      </c>
      <c r="K348" s="487">
        <f t="shared" si="154"/>
      </c>
      <c r="L348" s="488">
        <f t="shared" si="184"/>
      </c>
      <c r="M348" s="489">
        <f t="shared" si="214"/>
      </c>
      <c r="N348" s="490">
        <f t="shared" si="244"/>
      </c>
      <c r="O348" s="491" t="s">
        <v>373</v>
      </c>
      <c r="P348" s="492" t="s">
        <v>353</v>
      </c>
      <c r="Q348" s="504">
        <v>40703</v>
      </c>
      <c r="R348" s="504">
        <v>2231</v>
      </c>
      <c r="S348" s="505">
        <v>17</v>
      </c>
      <c r="T348" s="504">
        <v>55</v>
      </c>
    </row>
    <row r="349">
      <c r="A349" s="481"/>
      <c r="B349" s="514" t="s">
        <v>330</v>
      </c>
      <c r="C349" s="514"/>
      <c r="D349" s="507">
        <f>SUM(D345:D348)</f>
      </c>
      <c r="E349" s="507">
        <f>SUM(E345:E348)</f>
      </c>
      <c r="F349" s="507">
        <f>SUM(F345:F348)</f>
      </c>
      <c r="G349" s="508">
        <f>SUM(G345:G348)</f>
      </c>
      <c r="H349" s="507">
        <f>SUM(H345:H348)</f>
      </c>
      <c r="I349" s="515">
        <f t="shared" si="96"/>
      </c>
      <c r="J349" s="510">
        <f t="shared" si="125"/>
      </c>
      <c r="K349" s="511">
        <f t="shared" si="154"/>
      </c>
      <c r="L349" s="512">
        <f t="shared" si="184"/>
      </c>
      <c r="M349" s="512">
        <f t="shared" si="214"/>
      </c>
      <c r="N349" s="513">
        <f t="shared" si="244"/>
      </c>
      <c r="O349" s="513"/>
      <c r="P349" s="513"/>
      <c r="Q349" s="508">
        <f>SUM(Q345:Q348)</f>
      </c>
      <c r="R349" s="508">
        <f>SUM(R345:R348)</f>
      </c>
      <c r="S349" s="508">
        <f>SUM(S345:S348)</f>
      </c>
      <c r="T349" s="508">
        <f>SUM(T345:T348)</f>
      </c>
    </row>
    <row r="350">
      <c r="A350" s="481"/>
      <c r="B350" s="482" t="s">
        <v>369</v>
      </c>
      <c r="C350" s="483" t="s">
        <v>349</v>
      </c>
      <c r="D350" s="500">
        <v>3287.67</v>
      </c>
      <c r="E350" s="525">
        <v>1169</v>
      </c>
      <c r="F350" s="525">
        <v>2118.67</v>
      </c>
      <c r="G350" s="499">
        <v>13</v>
      </c>
      <c r="H350" s="483">
        <v>6896.760000000002</v>
      </c>
      <c r="I350" s="486">
        <v>2.097765286661983</v>
      </c>
      <c r="J350" s="486">
        <f t="shared" si="125"/>
      </c>
      <c r="K350" s="487">
        <f t="shared" si="154"/>
      </c>
      <c r="L350" s="488">
        <f t="shared" si="184"/>
      </c>
      <c r="M350" s="489">
        <f t="shared" si="214"/>
      </c>
      <c r="N350" s="490">
        <f t="shared" si="244"/>
      </c>
      <c r="O350" s="491" t="s">
        <v>373</v>
      </c>
      <c r="P350" s="526" t="s">
        <v>363</v>
      </c>
      <c r="Q350" s="504">
        <v>49697</v>
      </c>
      <c r="R350" s="504">
        <v>2805</v>
      </c>
      <c r="S350" s="505">
        <v>23</v>
      </c>
      <c r="T350" s="505">
        <v>46</v>
      </c>
    </row>
    <row r="351">
      <c r="A351" s="481"/>
      <c r="B351" s="482" t="s">
        <v>369</v>
      </c>
      <c r="C351" s="483" t="s">
        <v>350</v>
      </c>
      <c r="D351" s="500">
        <v>2417.52</v>
      </c>
      <c r="E351" s="483">
        <v>766.04</v>
      </c>
      <c r="F351" s="483">
        <v>1651.48</v>
      </c>
      <c r="G351" s="499">
        <v>8</v>
      </c>
      <c r="H351" s="483">
        <v>5679.209999999999</v>
      </c>
      <c r="I351" s="486">
        <v>2.349188424501141</v>
      </c>
      <c r="J351" s="486">
        <f t="shared" si="125"/>
      </c>
      <c r="K351" s="487">
        <f t="shared" si="154"/>
      </c>
      <c r="L351" s="488">
        <f t="shared" si="184"/>
      </c>
      <c r="M351" s="489">
        <f t="shared" si="214"/>
      </c>
      <c r="N351" s="490">
        <f t="shared" si="244"/>
      </c>
      <c r="O351" s="491" t="s">
        <v>373</v>
      </c>
      <c r="P351" s="492" t="s">
        <v>363</v>
      </c>
      <c r="Q351" s="504">
        <v>29483</v>
      </c>
      <c r="R351" s="504">
        <v>2029</v>
      </c>
      <c r="S351" s="505">
        <v>13</v>
      </c>
      <c r="T351" s="505">
        <v>33</v>
      </c>
    </row>
    <row r="352">
      <c r="A352" s="481"/>
      <c r="B352" s="514" t="s">
        <v>330</v>
      </c>
      <c r="C352" s="514"/>
      <c r="D352" s="507">
        <v>5705.1900000000005</v>
      </c>
      <c r="E352" s="507">
        <v>1935.04</v>
      </c>
      <c r="F352" s="507">
        <v>3770.15</v>
      </c>
      <c r="G352" s="507">
        <v>21</v>
      </c>
      <c r="H352" s="507">
        <v>12575.970000000001</v>
      </c>
      <c r="I352" s="515">
        <v>2.204303450016564</v>
      </c>
      <c r="J352" s="510">
        <f t="shared" si="125"/>
      </c>
      <c r="K352" s="511">
        <f t="shared" si="154"/>
      </c>
      <c r="L352" s="512">
        <f t="shared" si="184"/>
      </c>
      <c r="M352" s="512">
        <f t="shared" si="214"/>
      </c>
      <c r="N352" s="513">
        <f t="shared" si="244"/>
      </c>
      <c r="O352" s="513"/>
      <c r="P352" s="513"/>
      <c r="Q352" s="508">
        <f>SUM(Q350:Q351)</f>
      </c>
      <c r="R352" s="508">
        <f>SUM(R350:R351)</f>
      </c>
      <c r="S352" s="508">
        <f>SUM(S350:S351)</f>
      </c>
      <c r="T352" s="508">
        <f>SUM(T350:T351)</f>
      </c>
    </row>
    <row r="353">
      <c r="A353" s="481"/>
      <c r="B353" s="482" t="s">
        <v>360</v>
      </c>
      <c r="C353" s="483" t="s">
        <v>324</v>
      </c>
      <c r="D353" s="500">
        <v>3720.33</v>
      </c>
      <c r="E353" s="483">
        <v>272.39</v>
      </c>
      <c r="F353" s="483">
        <v>3447.94</v>
      </c>
      <c r="G353" s="499">
        <v>9</v>
      </c>
      <c r="H353" s="483">
        <v>2841.1399999999994</v>
      </c>
      <c r="I353" s="486">
        <v>0.7636795660599999</v>
      </c>
      <c r="J353" s="486">
        <f t="shared" si="125"/>
      </c>
      <c r="K353" s="487">
        <f t="shared" si="154"/>
      </c>
      <c r="L353" s="488">
        <f t="shared" si="184"/>
      </c>
      <c r="M353" s="489">
        <f t="shared" si="214"/>
      </c>
      <c r="N353" s="490">
        <f t="shared" si="244"/>
      </c>
      <c r="O353" s="491" t="s">
        <v>373</v>
      </c>
      <c r="P353" s="492" t="s">
        <v>363</v>
      </c>
      <c r="Q353" s="504">
        <v>55972</v>
      </c>
      <c r="R353" s="504">
        <v>3013</v>
      </c>
      <c r="S353" s="505">
        <v>10</v>
      </c>
      <c r="T353" s="505">
        <v>51</v>
      </c>
    </row>
    <row r="354">
      <c r="A354" s="481"/>
      <c r="B354" s="482" t="s">
        <v>360</v>
      </c>
      <c r="C354" s="483" t="s">
        <v>327</v>
      </c>
      <c r="D354" s="500">
        <v>3718.65</v>
      </c>
      <c r="E354" s="483">
        <v>522.67</v>
      </c>
      <c r="F354" s="483">
        <v>3195.98</v>
      </c>
      <c r="G354" s="499">
        <v>13</v>
      </c>
      <c r="H354" s="483">
        <v>8607.520000000004</v>
      </c>
      <c r="I354" s="486">
        <v>2.314689470641228</v>
      </c>
      <c r="J354" s="486">
        <f t="shared" si="125"/>
      </c>
      <c r="K354" s="487">
        <f t="shared" si="154"/>
      </c>
      <c r="L354" s="488">
        <f t="shared" si="184"/>
      </c>
      <c r="M354" s="489">
        <f t="shared" si="214"/>
      </c>
      <c r="N354" s="490">
        <f t="shared" si="244"/>
      </c>
      <c r="O354" s="491" t="s">
        <v>325</v>
      </c>
      <c r="P354" s="492" t="s">
        <v>363</v>
      </c>
      <c r="Q354" s="504">
        <v>63828</v>
      </c>
      <c r="R354" s="504">
        <v>2611</v>
      </c>
      <c r="S354" s="505">
        <v>21</v>
      </c>
      <c r="T354" s="505">
        <v>74</v>
      </c>
    </row>
    <row r="355">
      <c r="A355" s="481"/>
      <c r="B355" s="482" t="s">
        <v>360</v>
      </c>
      <c r="C355" s="483" t="s">
        <v>328</v>
      </c>
      <c r="D355" s="500">
        <v>3951.87</v>
      </c>
      <c r="E355" s="483">
        <v>644.49</v>
      </c>
      <c r="F355" s="483">
        <v>3307.38</v>
      </c>
      <c r="G355" s="499">
        <v>9</v>
      </c>
      <c r="H355" s="483">
        <v>4633.240000000005</v>
      </c>
      <c r="I355" s="486">
        <v>1.172417108862388</v>
      </c>
      <c r="J355" s="486">
        <f t="shared" si="125"/>
      </c>
      <c r="K355" s="487">
        <f t="shared" si="154"/>
      </c>
      <c r="L355" s="488">
        <f t="shared" si="184"/>
      </c>
      <c r="M355" s="489">
        <f t="shared" si="214"/>
      </c>
      <c r="N355" s="490">
        <f t="shared" si="244"/>
      </c>
      <c r="O355" s="491" t="s">
        <v>325</v>
      </c>
      <c r="P355" s="492" t="s">
        <v>363</v>
      </c>
      <c r="Q355" s="504">
        <v>60702</v>
      </c>
      <c r="R355" s="504">
        <v>3279</v>
      </c>
      <c r="S355" s="505">
        <v>13</v>
      </c>
      <c r="T355" s="505">
        <v>57</v>
      </c>
    </row>
    <row r="356">
      <c r="A356" s="481"/>
      <c r="B356" s="514" t="s">
        <v>330</v>
      </c>
      <c r="C356" s="514"/>
      <c r="D356" s="507">
        <v>11390.849999999999</v>
      </c>
      <c r="E356" s="507">
        <v>1439.55</v>
      </c>
      <c r="F356" s="507">
        <v>9951.3</v>
      </c>
      <c r="G356" s="507">
        <v>31</v>
      </c>
      <c r="H356" s="507">
        <v>16081.900000000009</v>
      </c>
      <c r="I356" s="515">
        <v>1.41182615871511</v>
      </c>
      <c r="J356" s="510">
        <f t="shared" si="125"/>
      </c>
      <c r="K356" s="511">
        <f t="shared" si="154"/>
      </c>
      <c r="L356" s="512">
        <f t="shared" si="184"/>
      </c>
      <c r="M356" s="512">
        <f t="shared" si="214"/>
      </c>
      <c r="N356" s="513">
        <f t="shared" si="244"/>
      </c>
      <c r="O356" s="513"/>
      <c r="P356" s="513"/>
      <c r="Q356" s="508">
        <f>SUM(Q353:Q355)</f>
      </c>
      <c r="R356" s="508">
        <f>SUM(R353:R355)</f>
      </c>
      <c r="S356" s="508">
        <f>SUM(S353:S355)</f>
      </c>
      <c r="T356" s="508">
        <f>SUM(T353:T355)</f>
      </c>
    </row>
    <row r="357">
      <c r="A357" s="481"/>
      <c r="B357" s="482" t="s">
        <v>375</v>
      </c>
      <c r="C357" s="483" t="s">
        <v>329</v>
      </c>
      <c r="D357" s="500">
        <v>4120.66</v>
      </c>
      <c r="E357" s="483">
        <v>856.66</v>
      </c>
      <c r="F357" s="483">
        <v>3264</v>
      </c>
      <c r="G357" s="499">
        <v>11</v>
      </c>
      <c r="H357" s="483">
        <v>5102.639999999999</v>
      </c>
      <c r="I357" s="486">
        <v>1.2383064848834895</v>
      </c>
      <c r="J357" s="486">
        <f t="shared" si="125"/>
      </c>
      <c r="K357" s="487">
        <f t="shared" si="154"/>
      </c>
      <c r="L357" s="488">
        <f t="shared" si="184"/>
      </c>
      <c r="M357" s="489">
        <f t="shared" si="214"/>
      </c>
      <c r="N357" s="490">
        <f t="shared" si="244"/>
      </c>
      <c r="O357" s="491" t="s">
        <v>325</v>
      </c>
      <c r="P357" s="492" t="s">
        <v>363</v>
      </c>
      <c r="Q357" s="504">
        <v>71922</v>
      </c>
      <c r="R357" s="504">
        <v>4284</v>
      </c>
      <c r="S357" s="505">
        <v>12</v>
      </c>
      <c r="T357" s="505">
        <v>76</v>
      </c>
    </row>
    <row r="358">
      <c r="A358" s="481"/>
      <c r="B358" s="523" t="s">
        <v>375</v>
      </c>
      <c r="C358" s="483" t="s">
        <v>332</v>
      </c>
      <c r="D358" s="500">
        <v>4374.24</v>
      </c>
      <c r="E358" s="483">
        <v>575.86</v>
      </c>
      <c r="F358" s="483">
        <v>3798.38</v>
      </c>
      <c r="G358" s="499">
        <v>16</v>
      </c>
      <c r="H358" s="483">
        <v>8083.860000000001</v>
      </c>
      <c r="I358" s="486">
        <v>1.8480604630747286</v>
      </c>
      <c r="J358" s="486">
        <f t="shared" si="125"/>
      </c>
      <c r="K358" s="487">
        <f t="shared" si="154"/>
      </c>
      <c r="L358" s="488">
        <f t="shared" si="184"/>
      </c>
      <c r="M358" s="489">
        <f t="shared" si="214"/>
      </c>
      <c r="N358" s="490">
        <f t="shared" si="244"/>
      </c>
      <c r="O358" s="491" t="s">
        <v>325</v>
      </c>
      <c r="P358" s="492" t="s">
        <v>363</v>
      </c>
      <c r="Q358" s="504">
        <v>74609</v>
      </c>
      <c r="R358" s="504">
        <v>4173</v>
      </c>
      <c r="S358" s="505">
        <v>27</v>
      </c>
      <c r="T358" s="505">
        <v>63</v>
      </c>
    </row>
    <row r="359">
      <c r="A359" s="481"/>
      <c r="B359" s="482" t="s">
        <v>375</v>
      </c>
      <c r="C359" s="483" t="s">
        <v>333</v>
      </c>
      <c r="D359" s="500">
        <v>4798.160000000001</v>
      </c>
      <c r="E359" s="483">
        <v>586.7099999999999</v>
      </c>
      <c r="F359" s="483">
        <v>4211.450000000001</v>
      </c>
      <c r="G359" s="499">
        <v>14</v>
      </c>
      <c r="H359" s="483">
        <v>8827.219999999987</v>
      </c>
      <c r="I359" s="486">
        <v>1.83970938859896</v>
      </c>
      <c r="J359" s="486">
        <f t="shared" si="125"/>
      </c>
      <c r="K359" s="487">
        <f t="shared" si="154"/>
      </c>
      <c r="L359" s="488">
        <f t="shared" si="184"/>
      </c>
      <c r="M359" s="489">
        <f t="shared" si="214"/>
      </c>
      <c r="N359" s="490">
        <f t="shared" si="244"/>
      </c>
      <c r="O359" s="491" t="s">
        <v>325</v>
      </c>
      <c r="P359" s="492" t="s">
        <v>363</v>
      </c>
      <c r="Q359" s="504">
        <v>81391</v>
      </c>
      <c r="R359" s="504">
        <v>4557</v>
      </c>
      <c r="S359" s="505">
        <v>17</v>
      </c>
      <c r="T359" s="505">
        <v>57</v>
      </c>
    </row>
    <row r="360">
      <c r="A360" s="481"/>
      <c r="B360" s="514" t="s">
        <v>330</v>
      </c>
      <c r="C360" s="514"/>
      <c r="D360" s="507">
        <v>13293.060000000001</v>
      </c>
      <c r="E360" s="507">
        <v>2019.23</v>
      </c>
      <c r="F360" s="507">
        <v>11273.830000000002</v>
      </c>
      <c r="G360" s="507">
        <v>41</v>
      </c>
      <c r="H360" s="507">
        <v>22013.719999999987</v>
      </c>
      <c r="I360" s="515">
        <v>1.65603104176164</v>
      </c>
      <c r="J360" s="510">
        <f t="shared" si="125"/>
      </c>
      <c r="K360" s="511">
        <f t="shared" si="154"/>
      </c>
      <c r="L360" s="512">
        <f t="shared" si="184"/>
      </c>
      <c r="M360" s="512">
        <f t="shared" si="214"/>
      </c>
      <c r="N360" s="513">
        <f t="shared" si="244"/>
      </c>
      <c r="O360" s="513"/>
      <c r="P360" s="513"/>
      <c r="Q360" s="508">
        <f>SUM(Q357:Q359)</f>
      </c>
      <c r="R360" s="508">
        <f>SUM(R357:R359)</f>
      </c>
      <c r="S360" s="508">
        <f>SUM(S357:S359)</f>
      </c>
      <c r="T360" s="508">
        <f>SUM(T357:T359)</f>
      </c>
    </row>
    <row r="361">
      <c r="A361" s="481"/>
      <c r="B361" s="516" t="s">
        <v>336</v>
      </c>
      <c r="C361" s="516"/>
      <c r="D361" s="517">
        <f>D344+D356+D349+D360+D352</f>
      </c>
      <c r="E361" s="517">
        <f>E344+E356+E349+E360+E352</f>
      </c>
      <c r="F361" s="517">
        <f>F344+F356+F349+F360+F352</f>
      </c>
      <c r="G361" s="517">
        <f>G344+G356+G349+G360+G352</f>
      </c>
      <c r="H361" s="517">
        <f>H344+H356+H349+H360+H352</f>
      </c>
      <c r="I361" s="519">
        <f>H361/D361</f>
      </c>
      <c r="J361" s="519">
        <f t="shared" si="125"/>
      </c>
      <c r="K361" s="520">
        <f t="shared" si="154"/>
      </c>
      <c r="L361" s="521">
        <f t="shared" si="184"/>
      </c>
      <c r="M361" s="521">
        <f t="shared" si="214"/>
      </c>
      <c r="N361" s="519">
        <f t="shared" si="244"/>
      </c>
      <c r="O361" s="522"/>
      <c r="P361" s="522"/>
      <c r="Q361" s="530">
        <f>Q344+Q356+Q349+Q360+Q352</f>
      </c>
      <c r="R361" s="530">
        <f>R344+R356+R349+R360+R352</f>
      </c>
      <c r="S361" s="530">
        <f>S344+S356+S349+S360+S352</f>
      </c>
      <c r="T361" s="530">
        <f>T344+T356+T349+T360+T352</f>
      </c>
    </row>
    <row r="362">
      <c r="A362" s="534" t="s">
        <v>298</v>
      </c>
      <c r="B362" s="534"/>
      <c r="C362" s="534"/>
      <c r="D362" s="464" t="s">
        <v>299</v>
      </c>
      <c r="E362" s="464"/>
      <c r="F362" s="464"/>
      <c r="G362" s="464"/>
      <c r="H362" s="464"/>
      <c r="I362" s="464"/>
      <c r="J362" s="464"/>
      <c r="K362" s="464"/>
      <c r="L362" s="465" t="s">
        <v>300</v>
      </c>
      <c r="M362" s="465"/>
      <c r="N362" s="465"/>
      <c r="O362" s="465"/>
      <c r="P362" s="465"/>
      <c r="Q362" s="466" t="s">
        <v>301</v>
      </c>
      <c r="R362" s="466"/>
      <c r="S362" s="466"/>
      <c r="T362" s="466"/>
      <c r="U362" s="535"/>
    </row>
    <row r="363">
      <c r="A363" s="467" t="s">
        <v>302</v>
      </c>
      <c r="B363" s="468" t="s">
        <v>303</v>
      </c>
      <c r="C363" s="469" t="s">
        <v>304</v>
      </c>
      <c r="D363" s="470" t="s">
        <v>305</v>
      </c>
      <c r="E363" s="471" t="s">
        <v>306</v>
      </c>
      <c r="F363" s="470" t="s">
        <v>307</v>
      </c>
      <c r="G363" s="472" t="s">
        <v>308</v>
      </c>
      <c r="H363" s="473" t="s">
        <v>309</v>
      </c>
      <c r="I363" s="474" t="s">
        <v>310</v>
      </c>
      <c r="J363" s="475" t="s">
        <v>311</v>
      </c>
      <c r="K363" s="476" t="s">
        <v>312</v>
      </c>
      <c r="L363" s="465" t="s">
        <v>313</v>
      </c>
      <c r="M363" s="465" t="s">
        <v>314</v>
      </c>
      <c r="N363" s="465" t="s">
        <v>315</v>
      </c>
      <c r="O363" s="477" t="s">
        <v>316</v>
      </c>
      <c r="P363" s="478" t="s">
        <v>317</v>
      </c>
      <c r="Q363" s="479" t="s">
        <v>318</v>
      </c>
      <c r="R363" s="479" t="s">
        <v>319</v>
      </c>
      <c r="S363" s="480" t="s">
        <v>320</v>
      </c>
      <c r="T363" s="479" t="s">
        <v>321</v>
      </c>
      <c r="U363" s="535"/>
    </row>
    <row r="364">
      <c r="A364" s="481" t="s">
        <v>376</v>
      </c>
      <c r="B364" s="536" t="s">
        <v>331</v>
      </c>
      <c r="C364" s="483" t="s">
        <v>339</v>
      </c>
      <c r="D364" s="483">
        <f t="shared" ref="D364:D368" si="41">E364+F364</f>
      </c>
      <c r="E364" s="484">
        <v>873.09</v>
      </c>
      <c r="F364" s="483">
        <v>2846.61</v>
      </c>
      <c r="G364" s="532">
        <v>12</v>
      </c>
      <c r="H364" s="483">
        <v>4407.04</v>
      </c>
      <c r="I364" s="486">
        <f t="shared" ref="I364:I384" si="97">H364/D364</f>
      </c>
      <c r="J364" s="537">
        <f t="shared" ref="J364:J384" si="126">D364/G364</f>
      </c>
      <c r="K364" s="487">
        <f t="shared" ref="K364:K384" si="155">H364/G364</f>
      </c>
      <c r="L364" s="488">
        <f t="shared" ref="L364:L384" si="185">R364/Q364</f>
      </c>
      <c r="M364" s="489">
        <f t="shared" ref="M364:M384" si="215">G364/S364</f>
      </c>
      <c r="N364" s="490">
        <f t="shared" ref="N364:N384" si="245">(T364*1000)/D364</f>
      </c>
      <c r="O364" s="491" t="s">
        <v>373</v>
      </c>
      <c r="P364" s="492" t="s">
        <v>353</v>
      </c>
      <c r="Q364" s="493">
        <v>44619</v>
      </c>
      <c r="R364" s="493">
        <v>4922</v>
      </c>
      <c r="S364" s="527">
        <v>15</v>
      </c>
      <c r="T364" s="527">
        <v>55</v>
      </c>
      <c r="U364" s="535"/>
    </row>
    <row r="365">
      <c r="A365" s="481"/>
      <c r="B365" s="536" t="s">
        <v>331</v>
      </c>
      <c r="C365" s="496" t="s">
        <v>341</v>
      </c>
      <c r="D365" s="497">
        <f t="shared" si="41"/>
      </c>
      <c r="E365" s="498">
        <v>1203.52</v>
      </c>
      <c r="F365" s="496">
        <v>2575.87</v>
      </c>
      <c r="G365" s="499">
        <v>9</v>
      </c>
      <c r="H365" s="483">
        <v>6868.599999999999</v>
      </c>
      <c r="I365" s="486">
        <f t="shared" si="97"/>
      </c>
      <c r="J365" s="486">
        <f t="shared" si="126"/>
      </c>
      <c r="K365" s="487">
        <f t="shared" si="155"/>
      </c>
      <c r="L365" s="488">
        <f t="shared" si="185"/>
      </c>
      <c r="M365" s="489">
        <f t="shared" si="215"/>
      </c>
      <c r="N365" s="490">
        <f t="shared" si="245"/>
      </c>
      <c r="O365" s="491" t="s">
        <v>373</v>
      </c>
      <c r="P365" s="492" t="s">
        <v>353</v>
      </c>
      <c r="Q365" s="494">
        <v>49592</v>
      </c>
      <c r="R365" s="494">
        <v>4777</v>
      </c>
      <c r="S365" s="527">
        <v>14</v>
      </c>
      <c r="T365" s="494">
        <v>65</v>
      </c>
    </row>
    <row r="366">
      <c r="A366" s="481"/>
      <c r="B366" s="536" t="s">
        <v>331</v>
      </c>
      <c r="C366" s="483" t="s">
        <v>342</v>
      </c>
      <c r="D366" s="500">
        <f t="shared" si="41"/>
      </c>
      <c r="E366" s="525">
        <v>700.77</v>
      </c>
      <c r="F366" s="483">
        <v>2073.81</v>
      </c>
      <c r="G366" s="502">
        <v>9</v>
      </c>
      <c r="H366" s="503">
        <v>6445.200000000001</v>
      </c>
      <c r="I366" s="486">
        <f t="shared" si="97"/>
      </c>
      <c r="J366" s="486">
        <f t="shared" si="126"/>
      </c>
      <c r="K366" s="487">
        <f t="shared" si="155"/>
      </c>
      <c r="L366" s="488">
        <f t="shared" si="185"/>
      </c>
      <c r="M366" s="489">
        <f t="shared" si="215"/>
      </c>
      <c r="N366" s="490">
        <f t="shared" si="245"/>
      </c>
      <c r="O366" s="491" t="s">
        <v>373</v>
      </c>
      <c r="P366" s="492" t="s">
        <v>353</v>
      </c>
      <c r="Q366" s="494">
        <v>31786</v>
      </c>
      <c r="R366" s="494">
        <v>2596</v>
      </c>
      <c r="S366" s="527">
        <v>10</v>
      </c>
      <c r="T366" s="494">
        <v>55</v>
      </c>
    </row>
    <row customHeight="true" ht="16.666666666666668" r="367">
      <c r="A367" s="481"/>
      <c r="B367" s="536" t="s">
        <v>331</v>
      </c>
      <c r="C367" s="525" t="s">
        <v>344</v>
      </c>
      <c r="D367" s="500">
        <f t="shared" si="41"/>
      </c>
      <c r="E367" s="525">
        <v>890.56</v>
      </c>
      <c r="F367" s="483">
        <v>1329.14</v>
      </c>
      <c r="G367" s="502">
        <v>7</v>
      </c>
      <c r="H367" s="503">
        <v>3309.4799999999996</v>
      </c>
      <c r="I367" s="486">
        <f t="shared" si="97"/>
      </c>
      <c r="J367" s="486">
        <f t="shared" si="126"/>
      </c>
      <c r="K367" s="487">
        <f t="shared" si="155"/>
      </c>
      <c r="L367" s="488">
        <f t="shared" si="185"/>
      </c>
      <c r="M367" s="489">
        <f t="shared" si="215"/>
      </c>
      <c r="N367" s="490">
        <f t="shared" si="245"/>
      </c>
      <c r="O367" s="491" t="s">
        <v>373</v>
      </c>
      <c r="P367" s="492" t="s">
        <v>353</v>
      </c>
      <c r="Q367" s="494">
        <v>28361</v>
      </c>
      <c r="R367" s="494">
        <v>2164</v>
      </c>
      <c r="S367" s="527">
        <v>11</v>
      </c>
      <c r="T367" s="494">
        <v>30</v>
      </c>
    </row>
    <row r="368">
      <c r="A368" s="481"/>
      <c r="B368" s="536" t="s">
        <v>331</v>
      </c>
      <c r="C368" s="483" t="s">
        <v>345</v>
      </c>
      <c r="D368" s="500">
        <f t="shared" si="41"/>
      </c>
      <c r="E368" s="525">
        <v>536.89</v>
      </c>
      <c r="F368" s="483">
        <v>1814</v>
      </c>
      <c r="G368" s="502">
        <v>11</v>
      </c>
      <c r="H368" s="503">
        <v>9218.879999999997</v>
      </c>
      <c r="I368" s="486">
        <f t="shared" si="97"/>
      </c>
      <c r="J368" s="486">
        <f t="shared" si="126"/>
      </c>
      <c r="K368" s="487">
        <f t="shared" si="155"/>
      </c>
      <c r="L368" s="488">
        <f t="shared" si="185"/>
      </c>
      <c r="M368" s="489">
        <f t="shared" si="215"/>
      </c>
      <c r="N368" s="490">
        <f t="shared" si="245"/>
      </c>
      <c r="O368" s="491" t="s">
        <v>373</v>
      </c>
      <c r="P368" s="492" t="s">
        <v>353</v>
      </c>
      <c r="Q368" s="494">
        <v>23478</v>
      </c>
      <c r="R368" s="494">
        <v>1867</v>
      </c>
      <c r="S368" s="527">
        <v>11</v>
      </c>
      <c r="T368" s="494">
        <v>39</v>
      </c>
    </row>
    <row r="369">
      <c r="A369" s="481"/>
      <c r="B369" s="506" t="s">
        <v>330</v>
      </c>
      <c r="C369" s="506"/>
      <c r="D369" s="507">
        <f>SUM(D364:D368)</f>
      </c>
      <c r="E369" s="507">
        <f>SUM(E364:E368)</f>
      </c>
      <c r="F369" s="507">
        <f>SUM(F364:F368)</f>
      </c>
      <c r="G369" s="507">
        <f>SUM(G364:G368)</f>
      </c>
      <c r="H369" s="507">
        <f>SUM(H364:H368)</f>
      </c>
      <c r="I369" s="509">
        <f t="shared" si="97"/>
      </c>
      <c r="J369" s="510">
        <f t="shared" si="126"/>
      </c>
      <c r="K369" s="511">
        <f t="shared" si="155"/>
      </c>
      <c r="L369" s="512">
        <f t="shared" si="185"/>
      </c>
      <c r="M369" s="512">
        <f t="shared" si="215"/>
      </c>
      <c r="N369" s="513">
        <f t="shared" si="245"/>
      </c>
      <c r="O369" s="513"/>
      <c r="P369" s="513"/>
      <c r="Q369" s="508">
        <f>SUM(Q364:Q368)</f>
      </c>
      <c r="R369" s="508">
        <f>SUM(R364:R368)</f>
      </c>
      <c r="S369" s="508">
        <f>SUM(S364:S368)</f>
      </c>
      <c r="T369" s="508">
        <f>SUM(T364:T368)</f>
      </c>
    </row>
    <row r="370">
      <c r="A370" s="481"/>
      <c r="B370" s="523" t="s">
        <v>354</v>
      </c>
      <c r="C370" s="483" t="s">
        <v>346</v>
      </c>
      <c r="D370" s="500">
        <f t="shared" ref="D370:D373" si="42">E370+F370</f>
      </c>
      <c r="E370" s="483">
        <v>761.37</v>
      </c>
      <c r="F370" s="483">
        <v>2062.4</v>
      </c>
      <c r="G370" s="499">
        <v>6</v>
      </c>
      <c r="H370" s="483">
        <v>2496.9300000000003</v>
      </c>
      <c r="I370" s="486">
        <f t="shared" si="97"/>
      </c>
      <c r="J370" s="486">
        <f t="shared" si="126"/>
      </c>
      <c r="K370" s="487">
        <f t="shared" si="155"/>
      </c>
      <c r="L370" s="488">
        <f t="shared" si="185"/>
      </c>
      <c r="M370" s="489">
        <f t="shared" si="215"/>
      </c>
      <c r="N370" s="490">
        <f t="shared" si="245"/>
      </c>
      <c r="O370" s="491" t="s">
        <v>373</v>
      </c>
      <c r="P370" s="492" t="s">
        <v>353</v>
      </c>
      <c r="Q370" s="504">
        <v>43784</v>
      </c>
      <c r="R370" s="504">
        <v>2502</v>
      </c>
      <c r="S370" s="505">
        <v>12</v>
      </c>
      <c r="T370" s="504">
        <v>43</v>
      </c>
    </row>
    <row r="371">
      <c r="A371" s="481"/>
      <c r="B371" s="482" t="s">
        <v>354</v>
      </c>
      <c r="C371" s="483" t="s">
        <v>347</v>
      </c>
      <c r="D371" s="500">
        <f t="shared" si="42"/>
      </c>
      <c r="E371" s="501">
        <v>502.9</v>
      </c>
      <c r="F371" s="483">
        <v>1753.92</v>
      </c>
      <c r="G371" s="502">
        <v>7</v>
      </c>
      <c r="H371" s="503">
        <v>2430.720000000001</v>
      </c>
      <c r="I371" s="486">
        <f t="shared" si="97"/>
      </c>
      <c r="J371" s="486">
        <f t="shared" si="126"/>
      </c>
      <c r="K371" s="487">
        <f t="shared" si="155"/>
      </c>
      <c r="L371" s="488">
        <f t="shared" si="185"/>
      </c>
      <c r="M371" s="489">
        <f t="shared" si="215"/>
      </c>
      <c r="N371" s="490">
        <f t="shared" si="245"/>
      </c>
      <c r="O371" s="491" t="s">
        <v>373</v>
      </c>
      <c r="P371" s="492" t="s">
        <v>353</v>
      </c>
      <c r="Q371" s="504">
        <v>24208</v>
      </c>
      <c r="R371" s="504">
        <v>2238</v>
      </c>
      <c r="S371" s="505">
        <v>10</v>
      </c>
      <c r="T371" s="504">
        <v>44</v>
      </c>
    </row>
    <row r="372">
      <c r="A372" s="481"/>
      <c r="B372" s="482" t="s">
        <v>354</v>
      </c>
      <c r="C372" s="483" t="s">
        <v>348</v>
      </c>
      <c r="D372" s="500">
        <f t="shared" si="42"/>
      </c>
      <c r="E372" s="525">
        <v>352.52</v>
      </c>
      <c r="F372" s="483">
        <v>1871.96</v>
      </c>
      <c r="G372" s="502">
        <v>5</v>
      </c>
      <c r="H372" s="503">
        <v>3364.6800000000003</v>
      </c>
      <c r="I372" s="486">
        <f t="shared" si="97"/>
      </c>
      <c r="J372" s="486">
        <f t="shared" si="126"/>
      </c>
      <c r="K372" s="487">
        <f t="shared" si="155"/>
      </c>
      <c r="L372" s="488">
        <f t="shared" si="185"/>
      </c>
      <c r="M372" s="489">
        <f t="shared" si="215"/>
      </c>
      <c r="N372" s="490">
        <f t="shared" si="245"/>
      </c>
      <c r="O372" s="491" t="s">
        <v>373</v>
      </c>
      <c r="P372" s="492" t="s">
        <v>353</v>
      </c>
      <c r="Q372" s="504">
        <v>24140</v>
      </c>
      <c r="R372" s="504">
        <v>2312</v>
      </c>
      <c r="S372" s="505">
        <v>8</v>
      </c>
      <c r="T372" s="504">
        <v>51</v>
      </c>
    </row>
    <row r="373">
      <c r="A373" s="481"/>
      <c r="B373" s="482" t="s">
        <v>354</v>
      </c>
      <c r="C373" s="525" t="s">
        <v>349</v>
      </c>
      <c r="D373" s="500">
        <f t="shared" si="42"/>
      </c>
      <c r="E373" s="483">
        <v>727.41</v>
      </c>
      <c r="F373" s="483">
        <v>1842.37</v>
      </c>
      <c r="G373" s="502">
        <v>9</v>
      </c>
      <c r="H373" s="503">
        <v>5189.4000000000015</v>
      </c>
      <c r="I373" s="486">
        <f t="shared" si="97"/>
      </c>
      <c r="J373" s="486">
        <f t="shared" si="126"/>
      </c>
      <c r="K373" s="487">
        <f t="shared" si="155"/>
      </c>
      <c r="L373" s="488">
        <f t="shared" si="185"/>
      </c>
      <c r="M373" s="489">
        <f t="shared" si="215"/>
      </c>
      <c r="N373" s="490">
        <f t="shared" si="245"/>
      </c>
      <c r="O373" s="491" t="s">
        <v>373</v>
      </c>
      <c r="P373" s="492" t="s">
        <v>353</v>
      </c>
      <c r="Q373" s="504">
        <v>31732</v>
      </c>
      <c r="R373" s="504">
        <v>3130</v>
      </c>
      <c r="S373" s="505">
        <v>31</v>
      </c>
      <c r="T373" s="505">
        <v>85</v>
      </c>
    </row>
    <row r="374">
      <c r="A374" s="481"/>
      <c r="B374" s="514" t="s">
        <v>330</v>
      </c>
      <c r="C374" s="514"/>
      <c r="D374" s="507">
        <f>SUM(D370:D373)</f>
      </c>
      <c r="E374" s="507">
        <f>SUM(E370:E373)</f>
      </c>
      <c r="F374" s="507">
        <f>SUM(F370:F373)</f>
      </c>
      <c r="G374" s="508">
        <f>SUM(G370:G373)</f>
      </c>
      <c r="H374" s="507">
        <f>SUM(H370:H373)</f>
      </c>
      <c r="I374" s="515">
        <f t="shared" si="97"/>
      </c>
      <c r="J374" s="510">
        <f t="shared" si="126"/>
      </c>
      <c r="K374" s="511">
        <f t="shared" si="155"/>
      </c>
      <c r="L374" s="512">
        <f t="shared" si="185"/>
      </c>
      <c r="M374" s="512">
        <f t="shared" si="215"/>
      </c>
      <c r="N374" s="513">
        <f t="shared" si="245"/>
      </c>
      <c r="O374" s="513"/>
      <c r="P374" s="513"/>
      <c r="Q374" s="508">
        <f>SUM(Q370:Q373)</f>
      </c>
      <c r="R374" s="508">
        <f>SUM(R370:R373)</f>
      </c>
      <c r="S374" s="508">
        <f>SUM(S370:S373)</f>
      </c>
      <c r="T374" s="508">
        <f>SUM(T370:T373)</f>
      </c>
    </row>
    <row r="375">
      <c r="A375" s="481"/>
      <c r="B375" s="482" t="s">
        <v>360</v>
      </c>
      <c r="C375" s="483" t="s">
        <v>350</v>
      </c>
      <c r="D375" s="500">
        <f t="shared" ref="D375:D377" si="43">E375+F375</f>
      </c>
      <c r="E375" s="525">
        <v>949.16</v>
      </c>
      <c r="F375" s="525">
        <v>1852.26</v>
      </c>
      <c r="G375" s="499">
        <v>5</v>
      </c>
      <c r="H375" s="483">
        <v>3418.800000000003</v>
      </c>
      <c r="I375" s="486">
        <f t="shared" si="97"/>
      </c>
      <c r="J375" s="486">
        <f t="shared" si="126"/>
      </c>
      <c r="K375" s="487">
        <f t="shared" si="155"/>
      </c>
      <c r="L375" s="488">
        <f t="shared" si="185"/>
      </c>
      <c r="M375" s="489">
        <f t="shared" si="215"/>
      </c>
      <c r="N375" s="490">
        <f t="shared" si="245"/>
      </c>
      <c r="O375" s="491" t="s">
        <v>373</v>
      </c>
      <c r="P375" s="526" t="s">
        <v>363</v>
      </c>
      <c r="Q375" s="504">
        <v>33278</v>
      </c>
      <c r="R375" s="504">
        <v>3428</v>
      </c>
      <c r="S375" s="505">
        <v>9</v>
      </c>
      <c r="T375" s="505">
        <v>39</v>
      </c>
    </row>
    <row r="376">
      <c r="A376" s="481"/>
      <c r="B376" s="482" t="s">
        <v>360</v>
      </c>
      <c r="C376" s="483" t="s">
        <v>324</v>
      </c>
      <c r="D376" s="500">
        <f t="shared" si="43"/>
      </c>
      <c r="E376" s="483">
        <v>428.6</v>
      </c>
      <c r="F376" s="483">
        <v>1243.03</v>
      </c>
      <c r="G376" s="499">
        <v>2</v>
      </c>
      <c r="H376" s="483">
        <v>430.08000000000175</v>
      </c>
      <c r="I376" s="486">
        <f t="shared" si="97"/>
      </c>
      <c r="J376" s="486">
        <f t="shared" si="126"/>
      </c>
      <c r="K376" s="487">
        <f t="shared" si="155"/>
      </c>
      <c r="L376" s="488">
        <f t="shared" si="185"/>
      </c>
      <c r="M376" s="489">
        <f t="shared" si="215"/>
      </c>
      <c r="N376" s="490">
        <f t="shared" si="245"/>
      </c>
      <c r="O376" s="491" t="s">
        <v>373</v>
      </c>
      <c r="P376" s="492" t="s">
        <v>363</v>
      </c>
      <c r="Q376" s="504">
        <v>19802</v>
      </c>
      <c r="R376" s="504">
        <v>1748</v>
      </c>
      <c r="S376" s="505">
        <v>9</v>
      </c>
      <c r="T376" s="505">
        <v>44</v>
      </c>
    </row>
    <row r="377">
      <c r="A377" s="481"/>
      <c r="B377" s="482" t="s">
        <v>360</v>
      </c>
      <c r="C377" s="483" t="s">
        <v>327</v>
      </c>
      <c r="D377" s="500">
        <f t="shared" si="43"/>
      </c>
      <c r="E377" s="483">
        <v>388.92</v>
      </c>
      <c r="F377" s="483">
        <v>1668.31</v>
      </c>
      <c r="G377" s="499">
        <v>7</v>
      </c>
      <c r="H377" s="483">
        <v>2893.439999999995</v>
      </c>
      <c r="I377" s="486">
        <f t="shared" si="97"/>
      </c>
      <c r="J377" s="486">
        <f t="shared" si="126"/>
      </c>
      <c r="K377" s="487">
        <f t="shared" si="155"/>
      </c>
      <c r="L377" s="488">
        <f t="shared" si="185"/>
      </c>
      <c r="M377" s="489">
        <f t="shared" si="215"/>
      </c>
      <c r="N377" s="490">
        <f t="shared" si="245"/>
      </c>
      <c r="O377" s="491" t="s">
        <v>325</v>
      </c>
      <c r="P377" s="492" t="s">
        <v>363</v>
      </c>
      <c r="Q377" s="504">
        <v>19107</v>
      </c>
      <c r="R377" s="504">
        <v>1645</v>
      </c>
      <c r="S377" s="505">
        <v>15</v>
      </c>
      <c r="T377" s="505">
        <v>58</v>
      </c>
    </row>
    <row r="378">
      <c r="A378" s="481"/>
      <c r="B378" s="514" t="s">
        <v>330</v>
      </c>
      <c r="C378" s="514"/>
      <c r="D378" s="507">
        <f>SUM(D375:D377)</f>
      </c>
      <c r="E378" s="507">
        <f>SUM(E375:E377)</f>
      </c>
      <c r="F378" s="507">
        <f>SUM(F375:F377)</f>
      </c>
      <c r="G378" s="507">
        <f>SUM(G375:G377)</f>
      </c>
      <c r="H378" s="507">
        <f>SUM(H375:H377)</f>
      </c>
      <c r="I378" s="515">
        <f t="shared" si="97"/>
      </c>
      <c r="J378" s="510">
        <f t="shared" si="126"/>
      </c>
      <c r="K378" s="511">
        <f t="shared" si="155"/>
      </c>
      <c r="L378" s="512">
        <f t="shared" si="185"/>
      </c>
      <c r="M378" s="512">
        <f t="shared" si="215"/>
      </c>
      <c r="N378" s="513">
        <f t="shared" si="245"/>
      </c>
      <c r="O378" s="513"/>
      <c r="P378" s="513"/>
      <c r="Q378" s="508">
        <f>SUM(Q375:Q377)</f>
      </c>
      <c r="R378" s="508">
        <f>SUM(R375:R377)</f>
      </c>
      <c r="S378" s="508">
        <f>SUM(S375:S377)</f>
      </c>
      <c r="T378" s="508">
        <f>SUM(T375:T377)</f>
      </c>
    </row>
    <row hidden="true" r="379">
      <c r="A379" s="481"/>
      <c r="B379" s="482" t="s">
        <v>375</v>
      </c>
      <c r="C379" s="483" t="s">
        <v>329</v>
      </c>
      <c r="D379" s="500">
        <f t="shared" ref="D379:D382" si="44">E379+F379</f>
      </c>
      <c r="E379" s="483"/>
      <c r="F379" s="483"/>
      <c r="G379" s="499"/>
      <c r="H379" s="483"/>
      <c r="I379" s="486">
        <f t="shared" si="97"/>
      </c>
      <c r="J379" s="486">
        <f t="shared" si="126"/>
      </c>
      <c r="K379" s="487">
        <f t="shared" si="155"/>
      </c>
      <c r="L379" s="488">
        <f t="shared" si="185"/>
      </c>
      <c r="M379" s="489">
        <f t="shared" si="215"/>
      </c>
      <c r="N379" s="490">
        <f t="shared" si="245"/>
      </c>
      <c r="O379" s="491" t="s">
        <v>325</v>
      </c>
      <c r="P379" s="492" t="s">
        <v>363</v>
      </c>
      <c r="Q379" s="504"/>
      <c r="R379" s="504"/>
      <c r="S379" s="505"/>
      <c r="T379" s="505"/>
    </row>
    <row hidden="true" r="380">
      <c r="A380" s="481"/>
      <c r="B380" s="523" t="s">
        <v>375</v>
      </c>
      <c r="C380" s="483" t="s">
        <v>332</v>
      </c>
      <c r="D380" s="500">
        <f t="shared" si="44"/>
      </c>
      <c r="E380" s="483"/>
      <c r="F380" s="483"/>
      <c r="G380" s="499"/>
      <c r="H380" s="483"/>
      <c r="I380" s="486">
        <f t="shared" si="97"/>
      </c>
      <c r="J380" s="486">
        <f t="shared" si="126"/>
      </c>
      <c r="K380" s="487">
        <f t="shared" si="155"/>
      </c>
      <c r="L380" s="488">
        <f t="shared" si="185"/>
      </c>
      <c r="M380" s="489">
        <f t="shared" si="215"/>
      </c>
      <c r="N380" s="490">
        <f t="shared" si="245"/>
      </c>
      <c r="O380" s="491" t="s">
        <v>325</v>
      </c>
      <c r="P380" s="492" t="s">
        <v>363</v>
      </c>
      <c r="Q380" s="504"/>
      <c r="R380" s="504"/>
      <c r="S380" s="505"/>
      <c r="T380" s="505"/>
    </row>
    <row customHeight="true" hidden="true" ht="16.666666666666668" r="381">
      <c r="A381" s="481"/>
      <c r="B381" s="523" t="s">
        <v>375</v>
      </c>
      <c r="C381" s="483" t="s">
        <v>333</v>
      </c>
      <c r="D381" s="500">
        <f t="shared" si="44"/>
      </c>
      <c r="E381" s="483"/>
      <c r="F381" s="483"/>
      <c r="G381" s="499"/>
      <c r="H381" s="483"/>
      <c r="I381" s="486">
        <f t="shared" si="97"/>
      </c>
      <c r="J381" s="486">
        <f t="shared" si="126"/>
      </c>
      <c r="K381" s="487">
        <f t="shared" si="155"/>
      </c>
      <c r="L381" s="488">
        <f t="shared" si="185"/>
      </c>
      <c r="M381" s="489">
        <f t="shared" si="215"/>
      </c>
      <c r="N381" s="490">
        <f t="shared" si="245"/>
      </c>
      <c r="O381" s="491" t="s">
        <v>325</v>
      </c>
      <c r="P381" s="492" t="s">
        <v>363</v>
      </c>
      <c r="Q381" s="504"/>
      <c r="R381" s="504"/>
      <c r="S381" s="505"/>
      <c r="T381" s="505"/>
    </row>
    <row hidden="true" r="382">
      <c r="A382" s="481"/>
      <c r="B382" s="482" t="s">
        <v>375</v>
      </c>
      <c r="C382" s="525" t="s">
        <v>334</v>
      </c>
      <c r="D382" s="500">
        <f t="shared" si="44"/>
      </c>
      <c r="E382" s="483"/>
      <c r="F382" s="483"/>
      <c r="G382" s="499"/>
      <c r="H382" s="483"/>
      <c r="I382" s="486">
        <f t="shared" si="97"/>
      </c>
      <c r="J382" s="486">
        <f t="shared" si="126"/>
      </c>
      <c r="K382" s="487">
        <f t="shared" si="155"/>
      </c>
      <c r="L382" s="488">
        <f t="shared" si="185"/>
      </c>
      <c r="M382" s="489">
        <f t="shared" si="215"/>
      </c>
      <c r="N382" s="490">
        <f t="shared" si="245"/>
      </c>
      <c r="O382" s="491" t="s">
        <v>325</v>
      </c>
      <c r="P382" s="492" t="s">
        <v>363</v>
      </c>
      <c r="Q382" s="504"/>
      <c r="R382" s="504"/>
      <c r="S382" s="505"/>
      <c r="T382" s="505"/>
    </row>
    <row hidden="true" r="383">
      <c r="A383" s="481"/>
      <c r="B383" s="514" t="s">
        <v>330</v>
      </c>
      <c r="C383" s="514"/>
      <c r="D383" s="507">
        <f>SUM(D379:D382)</f>
      </c>
      <c r="E383" s="507">
        <f>SUM(E379:E382)</f>
      </c>
      <c r="F383" s="507">
        <f>SUM(F379:F382)</f>
      </c>
      <c r="G383" s="507">
        <f>SUM(G379:G382)</f>
      </c>
      <c r="H383" s="507">
        <f>SUM(H379:H382)</f>
      </c>
      <c r="I383" s="515">
        <f t="shared" si="97"/>
      </c>
      <c r="J383" s="510">
        <f t="shared" si="126"/>
      </c>
      <c r="K383" s="511">
        <f t="shared" si="155"/>
      </c>
      <c r="L383" s="512">
        <f t="shared" si="185"/>
      </c>
      <c r="M383" s="512">
        <f t="shared" si="215"/>
      </c>
      <c r="N383" s="513">
        <f t="shared" si="245"/>
      </c>
      <c r="O383" s="513"/>
      <c r="P383" s="513"/>
      <c r="Q383" s="508">
        <f>SUM(Q379:Q382)</f>
      </c>
      <c r="R383" s="508">
        <f>SUM(R379:R382)</f>
      </c>
      <c r="S383" s="508">
        <f>SUM(S379:S382)</f>
      </c>
      <c r="T383" s="508">
        <f>SUM(T379:T382)</f>
      </c>
    </row>
    <row r="384">
      <c r="A384" s="481"/>
      <c r="B384" s="516" t="s">
        <v>336</v>
      </c>
      <c r="C384" s="516"/>
      <c r="D384" s="517">
        <f>D369+D378+D374+D383</f>
      </c>
      <c r="E384" s="517">
        <f>E369+E378+E374+E383</f>
      </c>
      <c r="F384" s="517">
        <f>F369+F378+F374+F383</f>
      </c>
      <c r="G384" s="517">
        <f>G369+G378+G374+G383</f>
      </c>
      <c r="H384" s="517">
        <f>H369+H378+H374+H383</f>
      </c>
      <c r="I384" s="519">
        <f t="shared" si="97"/>
      </c>
      <c r="J384" s="519">
        <f t="shared" si="126"/>
      </c>
      <c r="K384" s="520">
        <f t="shared" si="155"/>
      </c>
      <c r="L384" s="521">
        <f t="shared" si="185"/>
      </c>
      <c r="M384" s="521">
        <f t="shared" si="215"/>
      </c>
      <c r="N384" s="519">
        <f t="shared" si="245"/>
      </c>
      <c r="O384" s="522"/>
      <c r="P384" s="522"/>
      <c r="Q384" s="530">
        <f>Q369+Q378+Q374+Q383</f>
      </c>
      <c r="R384" s="530">
        <f>R369+R378+R374+R383</f>
      </c>
      <c r="S384" s="530">
        <f>S369+S378+S374+S383</f>
      </c>
      <c r="T384" s="530">
        <f>T369+T378+T374+T383</f>
      </c>
    </row>
    <row r="385">
      <c r="A385" s="534" t="s">
        <v>298</v>
      </c>
      <c r="B385" s="534"/>
      <c r="C385" s="534"/>
      <c r="D385" s="464" t="s">
        <v>299</v>
      </c>
      <c r="E385" s="464"/>
      <c r="F385" s="464"/>
      <c r="G385" s="464"/>
      <c r="H385" s="464"/>
      <c r="I385" s="464"/>
      <c r="J385" s="464"/>
      <c r="K385" s="464"/>
      <c r="L385" s="465" t="s">
        <v>300</v>
      </c>
      <c r="M385" s="465"/>
      <c r="N385" s="465"/>
      <c r="O385" s="465"/>
      <c r="P385" s="465"/>
      <c r="Q385" s="466" t="s">
        <v>301</v>
      </c>
      <c r="R385" s="466"/>
      <c r="S385" s="466"/>
      <c r="T385" s="466"/>
      <c r="U385" s="535"/>
    </row>
    <row r="386">
      <c r="A386" s="467" t="s">
        <v>302</v>
      </c>
      <c r="B386" s="468" t="s">
        <v>303</v>
      </c>
      <c r="C386" s="469" t="s">
        <v>304</v>
      </c>
      <c r="D386" s="470" t="s">
        <v>305</v>
      </c>
      <c r="E386" s="471" t="s">
        <v>306</v>
      </c>
      <c r="F386" s="470" t="s">
        <v>307</v>
      </c>
      <c r="G386" s="472" t="s">
        <v>308</v>
      </c>
      <c r="H386" s="473" t="s">
        <v>309</v>
      </c>
      <c r="I386" s="474" t="s">
        <v>310</v>
      </c>
      <c r="J386" s="475" t="s">
        <v>311</v>
      </c>
      <c r="K386" s="476" t="s">
        <v>312</v>
      </c>
      <c r="L386" s="465" t="s">
        <v>313</v>
      </c>
      <c r="M386" s="465" t="s">
        <v>314</v>
      </c>
      <c r="N386" s="465" t="s">
        <v>315</v>
      </c>
      <c r="O386" s="477" t="s">
        <v>316</v>
      </c>
      <c r="P386" s="478" t="s">
        <v>317</v>
      </c>
      <c r="Q386" s="479" t="s">
        <v>318</v>
      </c>
      <c r="R386" s="479" t="s">
        <v>319</v>
      </c>
      <c r="S386" s="480" t="s">
        <v>320</v>
      </c>
      <c r="T386" s="479" t="s">
        <v>321</v>
      </c>
      <c r="U386" s="535"/>
    </row>
    <row r="387">
      <c r="A387" s="481" t="s">
        <v>377</v>
      </c>
      <c r="B387" s="536" t="s">
        <v>331</v>
      </c>
      <c r="C387" s="483" t="s">
        <v>339</v>
      </c>
      <c r="D387" s="483">
        <f t="shared" ref="D387:D391" si="45">E387+F387</f>
      </c>
      <c r="E387" s="484">
        <v>897.92</v>
      </c>
      <c r="F387" s="483">
        <v>3702.27</v>
      </c>
      <c r="G387" s="532">
        <v>13</v>
      </c>
      <c r="H387" s="483">
        <v>7871.66</v>
      </c>
      <c r="I387" s="486">
        <f t="shared" ref="I387:I407" si="98">H387/D387</f>
      </c>
      <c r="J387" s="537">
        <f t="shared" ref="J387:J407" si="127">D387/G387</f>
      </c>
      <c r="K387" s="487">
        <f t="shared" ref="K387:K407" si="156">H387/G387</f>
      </c>
      <c r="L387" s="488">
        <f t="shared" ref="L387:L407" si="186">R387/Q387</f>
      </c>
      <c r="M387" s="489">
        <f t="shared" ref="M387:M407" si="216">G387/S387</f>
      </c>
      <c r="N387" s="490">
        <f t="shared" ref="N387:N407" si="246">(T387*1000)/D387</f>
      </c>
      <c r="O387" s="491" t="s">
        <v>373</v>
      </c>
      <c r="P387" s="492" t="s">
        <v>353</v>
      </c>
      <c r="Q387" s="493">
        <v>53367</v>
      </c>
      <c r="R387" s="493">
        <v>4143</v>
      </c>
      <c r="S387" s="527">
        <v>18</v>
      </c>
      <c r="T387" s="527">
        <v>100</v>
      </c>
      <c r="U387" s="535"/>
    </row>
    <row r="388">
      <c r="A388" s="495"/>
      <c r="B388" s="536" t="s">
        <v>331</v>
      </c>
      <c r="C388" s="496" t="s">
        <v>341</v>
      </c>
      <c r="D388" s="497">
        <f t="shared" si="45"/>
      </c>
      <c r="E388" s="498">
        <v>1031.67</v>
      </c>
      <c r="F388" s="498">
        <v>2613.03</v>
      </c>
      <c r="G388" s="499">
        <v>6</v>
      </c>
      <c r="H388" s="483">
        <v>2678.3999999999996</v>
      </c>
      <c r="I388" s="486">
        <f t="shared" si="98"/>
      </c>
      <c r="J388" s="486">
        <f t="shared" si="127"/>
      </c>
      <c r="K388" s="538">
        <f t="shared" si="156"/>
      </c>
      <c r="L388" s="488">
        <f t="shared" si="186"/>
      </c>
      <c r="M388" s="489">
        <f t="shared" si="216"/>
      </c>
      <c r="N388" s="490">
        <f t="shared" si="246"/>
      </c>
      <c r="O388" s="491" t="s">
        <v>373</v>
      </c>
      <c r="P388" s="492" t="s">
        <v>353</v>
      </c>
      <c r="Q388" s="494">
        <v>45786</v>
      </c>
      <c r="R388" s="494">
        <v>3653</v>
      </c>
      <c r="S388" s="527">
        <v>9</v>
      </c>
      <c r="T388" s="494">
        <v>74</v>
      </c>
      <c r="U388" s="535"/>
    </row>
    <row r="389">
      <c r="A389" s="495"/>
      <c r="B389" s="536" t="s">
        <v>331</v>
      </c>
      <c r="C389" s="483" t="s">
        <v>342</v>
      </c>
      <c r="D389" s="500">
        <f t="shared" si="45"/>
      </c>
      <c r="E389" s="483">
        <v>606.47</v>
      </c>
      <c r="F389" s="483">
        <v>1369.91</v>
      </c>
      <c r="G389" s="502">
        <v>5</v>
      </c>
      <c r="H389" s="503">
        <v>2397.0200000000004</v>
      </c>
      <c r="I389" s="486">
        <f t="shared" si="98"/>
      </c>
      <c r="J389" s="486">
        <f t="shared" si="127"/>
      </c>
      <c r="K389" s="487">
        <f t="shared" si="156"/>
      </c>
      <c r="L389" s="488">
        <f t="shared" si="186"/>
      </c>
      <c r="M389" s="489">
        <f t="shared" si="216"/>
      </c>
      <c r="N389" s="490">
        <f t="shared" si="246"/>
      </c>
      <c r="O389" s="491" t="s">
        <v>373</v>
      </c>
      <c r="P389" s="492" t="s">
        <v>353</v>
      </c>
      <c r="Q389" s="494">
        <v>21426</v>
      </c>
      <c r="R389" s="494">
        <v>2031</v>
      </c>
      <c r="S389" s="527">
        <v>7</v>
      </c>
      <c r="T389" s="494">
        <v>45</v>
      </c>
      <c r="U389" s="535"/>
    </row>
    <row r="390">
      <c r="A390" s="495"/>
      <c r="B390" s="536" t="s">
        <v>331</v>
      </c>
      <c r="C390" s="483" t="s">
        <v>344</v>
      </c>
      <c r="D390" s="500">
        <f t="shared" si="45"/>
      </c>
      <c r="E390" s="483">
        <v>509.73</v>
      </c>
      <c r="F390" s="483">
        <v>1113.84</v>
      </c>
      <c r="G390" s="502">
        <v>4</v>
      </c>
      <c r="H390" s="503">
        <v>3470.01</v>
      </c>
      <c r="I390" s="486">
        <f t="shared" si="98"/>
      </c>
      <c r="J390" s="486">
        <f t="shared" si="127"/>
      </c>
      <c r="K390" s="487">
        <f t="shared" si="156"/>
      </c>
      <c r="L390" s="488">
        <f t="shared" si="186"/>
      </c>
      <c r="M390" s="489">
        <f t="shared" si="216"/>
      </c>
      <c r="N390" s="490">
        <f t="shared" si="246"/>
      </c>
      <c r="O390" s="491" t="s">
        <v>373</v>
      </c>
      <c r="P390" s="492" t="s">
        <v>353</v>
      </c>
      <c r="Q390" s="494">
        <v>19842</v>
      </c>
      <c r="R390" s="494">
        <v>2226</v>
      </c>
      <c r="S390" s="527">
        <v>5</v>
      </c>
      <c r="T390" s="494">
        <v>31</v>
      </c>
      <c r="U390" s="535"/>
    </row>
    <row r="391">
      <c r="A391" s="495"/>
      <c r="B391" s="536" t="s">
        <v>331</v>
      </c>
      <c r="C391" s="483" t="s">
        <v>345</v>
      </c>
      <c r="D391" s="500">
        <f t="shared" si="45"/>
      </c>
      <c r="E391" s="483">
        <v>922.55</v>
      </c>
      <c r="F391" s="483">
        <v>1457.95</v>
      </c>
      <c r="G391" s="502">
        <v>11</v>
      </c>
      <c r="H391" s="503">
        <v>6867.52</v>
      </c>
      <c r="I391" s="486">
        <f t="shared" si="98"/>
      </c>
      <c r="J391" s="486">
        <f t="shared" si="127"/>
      </c>
      <c r="K391" s="487">
        <f t="shared" si="156"/>
      </c>
      <c r="L391" s="488">
        <f t="shared" si="186"/>
      </c>
      <c r="M391" s="489">
        <f t="shared" si="216"/>
      </c>
      <c r="N391" s="490">
        <f t="shared" si="246"/>
      </c>
      <c r="O391" s="491" t="s">
        <v>373</v>
      </c>
      <c r="P391" s="492" t="s">
        <v>353</v>
      </c>
      <c r="Q391" s="494">
        <v>25150</v>
      </c>
      <c r="R391" s="494">
        <v>2579</v>
      </c>
      <c r="S391" s="527">
        <v>15</v>
      </c>
      <c r="T391" s="494">
        <v>61</v>
      </c>
      <c r="U391" s="535"/>
    </row>
    <row r="392">
      <c r="A392" s="495"/>
      <c r="B392" s="506" t="s">
        <v>330</v>
      </c>
      <c r="C392" s="506"/>
      <c r="D392" s="507">
        <f>SUM(D387:D391)</f>
      </c>
      <c r="E392" s="507">
        <f>SUM(E387:E391)</f>
      </c>
      <c r="F392" s="507">
        <f>SUM(F387:F391)</f>
      </c>
      <c r="G392" s="507">
        <f>SUM(G387:G391)</f>
      </c>
      <c r="H392" s="507">
        <f>SUM(H387:H391)</f>
      </c>
      <c r="I392" s="509">
        <f t="shared" si="98"/>
      </c>
      <c r="J392" s="510">
        <f t="shared" si="127"/>
      </c>
      <c r="K392" s="511">
        <f t="shared" si="156"/>
      </c>
      <c r="L392" s="512">
        <f t="shared" si="186"/>
      </c>
      <c r="M392" s="512">
        <f t="shared" si="216"/>
      </c>
      <c r="N392" s="513">
        <f t="shared" si="246"/>
      </c>
      <c r="O392" s="513"/>
      <c r="P392" s="513"/>
      <c r="Q392" s="508">
        <f>SUM(Q387:Q391)</f>
      </c>
      <c r="R392" s="508">
        <f>SUM(R387:R391)</f>
      </c>
      <c r="S392" s="508">
        <f>SUM(S387:S391)</f>
      </c>
      <c r="T392" s="508">
        <f>SUM(T387:T391)</f>
      </c>
      <c r="U392" s="535"/>
    </row>
    <row r="393">
      <c r="A393" s="495"/>
      <c r="B393" s="536" t="s">
        <v>354</v>
      </c>
      <c r="C393" s="483" t="s">
        <v>346</v>
      </c>
      <c r="D393" s="500">
        <f t="shared" ref="D393:D396" si="46">E393+F393</f>
      </c>
      <c r="E393" s="483">
        <v>1404.01</v>
      </c>
      <c r="F393" s="483">
        <v>1929.18</v>
      </c>
      <c r="G393" s="499">
        <v>8</v>
      </c>
      <c r="H393" s="483">
        <v>4915.579999999998</v>
      </c>
      <c r="I393" s="486">
        <f t="shared" si="98"/>
      </c>
      <c r="J393" s="486">
        <f t="shared" si="127"/>
      </c>
      <c r="K393" s="487">
        <f t="shared" si="156"/>
      </c>
      <c r="L393" s="488">
        <f t="shared" si="186"/>
      </c>
      <c r="M393" s="489">
        <f t="shared" si="216"/>
      </c>
      <c r="N393" s="490">
        <f t="shared" si="246"/>
      </c>
      <c r="O393" s="491" t="s">
        <v>373</v>
      </c>
      <c r="P393" s="492" t="s">
        <v>353</v>
      </c>
      <c r="Q393" s="504">
        <v>45090</v>
      </c>
      <c r="R393" s="504">
        <v>3963</v>
      </c>
      <c r="S393" s="505">
        <v>14</v>
      </c>
      <c r="T393" s="504">
        <v>58</v>
      </c>
      <c r="U393" s="535"/>
    </row>
    <row r="394">
      <c r="A394" s="495"/>
      <c r="B394" s="536" t="s">
        <v>354</v>
      </c>
      <c r="C394" s="483" t="s">
        <v>347</v>
      </c>
      <c r="D394" s="500">
        <f t="shared" si="46"/>
      </c>
      <c r="E394" s="501">
        <v>3352.13</v>
      </c>
      <c r="F394" s="483">
        <v>2168.67</v>
      </c>
      <c r="G394" s="502">
        <v>23</v>
      </c>
      <c r="H394" s="503">
        <v>15816.280000000002</v>
      </c>
      <c r="I394" s="486">
        <f t="shared" si="98"/>
      </c>
      <c r="J394" s="486">
        <f t="shared" si="127"/>
      </c>
      <c r="K394" s="487">
        <f t="shared" si="156"/>
      </c>
      <c r="L394" s="488">
        <f t="shared" si="186"/>
      </c>
      <c r="M394" s="489">
        <f t="shared" si="216"/>
      </c>
      <c r="N394" s="490">
        <f t="shared" si="246"/>
      </c>
      <c r="O394" s="491" t="s">
        <v>373</v>
      </c>
      <c r="P394" s="492" t="s">
        <v>353</v>
      </c>
      <c r="Q394" s="504">
        <v>79576</v>
      </c>
      <c r="R394" s="504">
        <v>7890</v>
      </c>
      <c r="S394" s="505">
        <v>27</v>
      </c>
      <c r="T394" s="504">
        <v>116</v>
      </c>
      <c r="U394" s="535"/>
    </row>
    <row r="395">
      <c r="A395" s="495"/>
      <c r="B395" s="536" t="s">
        <v>354</v>
      </c>
      <c r="C395" s="483" t="s">
        <v>348</v>
      </c>
      <c r="D395" s="500">
        <f t="shared" si="46"/>
      </c>
      <c r="E395" s="483">
        <v>1568.48</v>
      </c>
      <c r="F395" s="483">
        <v>3811.92</v>
      </c>
      <c r="G395" s="502">
        <v>23</v>
      </c>
      <c r="H395" s="503">
        <v>13128.54</v>
      </c>
      <c r="I395" s="486">
        <f t="shared" si="98"/>
      </c>
      <c r="J395" s="486">
        <f t="shared" si="127"/>
      </c>
      <c r="K395" s="487">
        <f t="shared" si="156"/>
      </c>
      <c r="L395" s="488">
        <f t="shared" si="186"/>
      </c>
      <c r="M395" s="489">
        <f t="shared" si="216"/>
      </c>
      <c r="N395" s="490">
        <f t="shared" si="246"/>
      </c>
      <c r="O395" s="491" t="s">
        <v>373</v>
      </c>
      <c r="P395" s="492" t="s">
        <v>353</v>
      </c>
      <c r="Q395" s="504">
        <v>73307</v>
      </c>
      <c r="R395" s="504">
        <v>5061</v>
      </c>
      <c r="S395" s="505">
        <v>29</v>
      </c>
      <c r="T395" s="504">
        <v>98</v>
      </c>
      <c r="U395" s="535"/>
    </row>
    <row r="396">
      <c r="A396" s="495"/>
      <c r="B396" s="536" t="s">
        <v>354</v>
      </c>
      <c r="C396" s="483" t="s">
        <v>349</v>
      </c>
      <c r="D396" s="500">
        <f t="shared" si="46"/>
      </c>
      <c r="E396" s="483">
        <v>2286</v>
      </c>
      <c r="F396" s="483">
        <v>3733.38</v>
      </c>
      <c r="G396" s="502">
        <v>20</v>
      </c>
      <c r="H396" s="503">
        <v>11247.479999999989</v>
      </c>
      <c r="I396" s="486">
        <f t="shared" si="98"/>
      </c>
      <c r="J396" s="486">
        <f t="shared" si="127"/>
      </c>
      <c r="K396" s="487">
        <f t="shared" si="156"/>
      </c>
      <c r="L396" s="488">
        <f t="shared" si="186"/>
      </c>
      <c r="M396" s="489">
        <f t="shared" si="216"/>
      </c>
      <c r="N396" s="490">
        <f t="shared" si="246"/>
      </c>
      <c r="O396" s="491" t="s">
        <v>373</v>
      </c>
      <c r="P396" s="492" t="s">
        <v>353</v>
      </c>
      <c r="Q396" s="504">
        <v>81470</v>
      </c>
      <c r="R396" s="504">
        <v>5816</v>
      </c>
      <c r="S396" s="505">
        <v>51</v>
      </c>
      <c r="T396" s="505">
        <v>110</v>
      </c>
      <c r="U396" s="535"/>
    </row>
    <row r="397">
      <c r="A397" s="495"/>
      <c r="B397" s="506" t="s">
        <v>330</v>
      </c>
      <c r="C397" s="506"/>
      <c r="D397" s="507">
        <f>SUM(D393:D396)</f>
      </c>
      <c r="E397" s="507">
        <f>SUM(E393:E396)</f>
      </c>
      <c r="F397" s="507">
        <f>SUM(F393:F396)</f>
      </c>
      <c r="G397" s="508">
        <f>SUM(G393:G396)</f>
      </c>
      <c r="H397" s="507">
        <f>SUM(H393:H396)</f>
      </c>
      <c r="I397" s="515">
        <f t="shared" si="98"/>
      </c>
      <c r="J397" s="510">
        <f t="shared" si="127"/>
      </c>
      <c r="K397" s="511">
        <f t="shared" si="156"/>
      </c>
      <c r="L397" s="512">
        <f t="shared" si="186"/>
      </c>
      <c r="M397" s="512">
        <f t="shared" si="216"/>
      </c>
      <c r="N397" s="513">
        <f t="shared" si="246"/>
      </c>
      <c r="O397" s="513"/>
      <c r="P397" s="513"/>
      <c r="Q397" s="508">
        <f>SUM(Q393:Q396)</f>
      </c>
      <c r="R397" s="508">
        <f>SUM(R393:R396)</f>
      </c>
      <c r="S397" s="508">
        <f>SUM(S393:S396)</f>
      </c>
      <c r="T397" s="508">
        <f>SUM(T393:T396)</f>
      </c>
      <c r="U397" s="535"/>
    </row>
    <row r="398">
      <c r="A398" s="495"/>
      <c r="B398" s="523" t="s">
        <v>351</v>
      </c>
      <c r="C398" s="483" t="s">
        <v>350</v>
      </c>
      <c r="D398" s="500">
        <f t="shared" ref="D398:D401" si="47">E398+F398</f>
      </c>
      <c r="E398" s="483">
        <v>1817.23</v>
      </c>
      <c r="F398" s="483">
        <v>2920.2</v>
      </c>
      <c r="G398" s="499">
        <v>14</v>
      </c>
      <c r="H398" s="483">
        <v>8887.449999999997</v>
      </c>
      <c r="I398" s="486">
        <f t="shared" si="98"/>
      </c>
      <c r="J398" s="486">
        <f t="shared" si="127"/>
      </c>
      <c r="K398" s="487">
        <f t="shared" si="156"/>
      </c>
      <c r="L398" s="488">
        <f t="shared" si="186"/>
      </c>
      <c r="M398" s="489">
        <f t="shared" si="216"/>
      </c>
      <c r="N398" s="490">
        <f t="shared" si="246"/>
      </c>
      <c r="O398" s="491" t="s">
        <v>325</v>
      </c>
      <c r="P398" s="492" t="s">
        <v>363</v>
      </c>
      <c r="Q398" s="504">
        <v>65643</v>
      </c>
      <c r="R398" s="504">
        <v>4663</v>
      </c>
      <c r="S398" s="505">
        <v>21</v>
      </c>
      <c r="T398" s="505">
        <v>82</v>
      </c>
      <c r="U398" s="535"/>
    </row>
    <row r="399">
      <c r="A399" s="495"/>
      <c r="B399" s="536" t="s">
        <v>351</v>
      </c>
      <c r="C399" s="483" t="s">
        <v>324</v>
      </c>
      <c r="D399" s="500">
        <f t="shared" si="47"/>
      </c>
      <c r="E399" s="483">
        <v>2146.32</v>
      </c>
      <c r="F399" s="483">
        <v>1443.51</v>
      </c>
      <c r="G399" s="499">
        <v>16</v>
      </c>
      <c r="H399" s="483">
        <v>5695.460000000006</v>
      </c>
      <c r="I399" s="486">
        <f t="shared" si="98"/>
      </c>
      <c r="J399" s="486">
        <f t="shared" si="127"/>
      </c>
      <c r="K399" s="487">
        <f t="shared" si="156"/>
      </c>
      <c r="L399" s="488">
        <f t="shared" si="186"/>
      </c>
      <c r="M399" s="489">
        <f t="shared" si="216"/>
      </c>
      <c r="N399" s="490">
        <f t="shared" si="246"/>
      </c>
      <c r="O399" s="491" t="s">
        <v>325</v>
      </c>
      <c r="P399" s="492" t="s">
        <v>363</v>
      </c>
      <c r="Q399" s="504">
        <v>46001</v>
      </c>
      <c r="R399" s="504">
        <v>4154</v>
      </c>
      <c r="S399" s="505">
        <v>22</v>
      </c>
      <c r="T399" s="505">
        <v>61</v>
      </c>
      <c r="U399" s="535"/>
    </row>
    <row r="400">
      <c r="A400" s="495"/>
      <c r="B400" s="536" t="s">
        <v>351</v>
      </c>
      <c r="C400" s="483" t="s">
        <v>327</v>
      </c>
      <c r="D400" s="500">
        <f t="shared" si="47"/>
      </c>
      <c r="E400" s="483">
        <v>2017.18</v>
      </c>
      <c r="F400" s="483">
        <v>1851.37</v>
      </c>
      <c r="G400" s="499">
        <v>15</v>
      </c>
      <c r="H400" s="483">
        <v>7188.479999999996</v>
      </c>
      <c r="I400" s="486">
        <f t="shared" si="98"/>
      </c>
      <c r="J400" s="486">
        <f t="shared" si="127"/>
      </c>
      <c r="K400" s="487">
        <f t="shared" si="156"/>
      </c>
      <c r="L400" s="488">
        <f t="shared" si="186"/>
      </c>
      <c r="M400" s="489">
        <f t="shared" si="216"/>
      </c>
      <c r="N400" s="490">
        <f t="shared" si="246"/>
      </c>
      <c r="O400" s="491" t="s">
        <v>325</v>
      </c>
      <c r="P400" s="492" t="s">
        <v>363</v>
      </c>
      <c r="Q400" s="504">
        <v>54485</v>
      </c>
      <c r="R400" s="504">
        <v>5140</v>
      </c>
      <c r="S400" s="505">
        <v>20</v>
      </c>
      <c r="T400" s="505">
        <v>79</v>
      </c>
      <c r="U400" s="535"/>
    </row>
    <row r="401">
      <c r="A401" s="495"/>
      <c r="B401" s="536" t="s">
        <v>351</v>
      </c>
      <c r="C401" s="483" t="s">
        <v>328</v>
      </c>
      <c r="D401" s="500">
        <f t="shared" si="47"/>
      </c>
      <c r="E401" s="483">
        <v>2453.51</v>
      </c>
      <c r="F401" s="483">
        <v>2570.35</v>
      </c>
      <c r="G401" s="499">
        <v>18</v>
      </c>
      <c r="H401" s="483">
        <v>10506.37000000001</v>
      </c>
      <c r="I401" s="486">
        <f t="shared" si="98"/>
      </c>
      <c r="J401" s="486">
        <f t="shared" si="127"/>
      </c>
      <c r="K401" s="487">
        <f t="shared" si="156"/>
      </c>
      <c r="L401" s="488">
        <f t="shared" si="186"/>
      </c>
      <c r="M401" s="489">
        <f t="shared" si="216"/>
      </c>
      <c r="N401" s="490">
        <f t="shared" si="246"/>
      </c>
      <c r="O401" s="491" t="s">
        <v>325</v>
      </c>
      <c r="P401" s="492" t="s">
        <v>363</v>
      </c>
      <c r="Q401" s="504">
        <v>68937</v>
      </c>
      <c r="R401" s="504">
        <v>6408</v>
      </c>
      <c r="S401" s="505">
        <v>23</v>
      </c>
      <c r="T401" s="505">
        <v>104</v>
      </c>
      <c r="U401" s="535"/>
    </row>
    <row r="402">
      <c r="A402" s="495"/>
      <c r="B402" s="506" t="s">
        <v>330</v>
      </c>
      <c r="C402" s="506"/>
      <c r="D402" s="507">
        <f>SUM(D398:D401)</f>
      </c>
      <c r="E402" s="507">
        <f>SUM(E398:E401)</f>
      </c>
      <c r="F402" s="507">
        <f>SUM(F398:F401)</f>
      </c>
      <c r="G402" s="507">
        <f>SUM(G398:G401)</f>
      </c>
      <c r="H402" s="507">
        <f>SUM(H398:H401)</f>
      </c>
      <c r="I402" s="515">
        <f t="shared" si="98"/>
      </c>
      <c r="J402" s="510">
        <f t="shared" si="127"/>
      </c>
      <c r="K402" s="511">
        <f t="shared" si="156"/>
      </c>
      <c r="L402" s="512">
        <f t="shared" si="186"/>
      </c>
      <c r="M402" s="512">
        <f t="shared" si="216"/>
      </c>
      <c r="N402" s="513">
        <f t="shared" si="246"/>
      </c>
      <c r="O402" s="513"/>
      <c r="P402" s="513"/>
      <c r="Q402" s="508">
        <f>SUM(Q398:Q401)</f>
      </c>
      <c r="R402" s="508">
        <f>SUM(R398:R401)</f>
      </c>
      <c r="S402" s="508">
        <f>SUM(S398:S401)</f>
      </c>
      <c r="T402" s="508">
        <f>SUM(T398:T401)</f>
      </c>
      <c r="U402" s="535"/>
    </row>
    <row r="403">
      <c r="A403" s="495"/>
      <c r="B403" s="536" t="s">
        <v>375</v>
      </c>
      <c r="C403" s="483" t="s">
        <v>329</v>
      </c>
      <c r="D403" s="500">
        <f t="shared" ref="D403:D405" si="48">E403+F403</f>
      </c>
      <c r="E403" s="483">
        <v>1689.57</v>
      </c>
      <c r="F403" s="483">
        <v>3731.94</v>
      </c>
      <c r="G403" s="499">
        <v>15</v>
      </c>
      <c r="H403" s="483">
        <v>5460.759999999995</v>
      </c>
      <c r="I403" s="486">
        <f t="shared" si="98"/>
      </c>
      <c r="J403" s="486">
        <f t="shared" si="127"/>
      </c>
      <c r="K403" s="487">
        <f t="shared" si="156"/>
      </c>
      <c r="L403" s="488">
        <f t="shared" si="186"/>
      </c>
      <c r="M403" s="489">
        <f t="shared" si="216"/>
      </c>
      <c r="N403" s="490">
        <f t="shared" si="246"/>
      </c>
      <c r="O403" s="491" t="s">
        <v>325</v>
      </c>
      <c r="P403" s="492" t="s">
        <v>363</v>
      </c>
      <c r="Q403" s="504">
        <v>80139</v>
      </c>
      <c r="R403" s="504">
        <v>5932</v>
      </c>
      <c r="S403" s="505">
        <v>19</v>
      </c>
      <c r="T403" s="505">
        <v>94</v>
      </c>
      <c r="U403" s="535"/>
    </row>
    <row r="404">
      <c r="A404" s="495"/>
      <c r="B404" s="536" t="s">
        <v>375</v>
      </c>
      <c r="C404" s="483" t="s">
        <v>332</v>
      </c>
      <c r="D404" s="500">
        <f t="shared" si="48"/>
      </c>
      <c r="E404" s="483">
        <v>463.91</v>
      </c>
      <c r="F404" s="483">
        <v>1989.91</v>
      </c>
      <c r="G404" s="499">
        <v>8</v>
      </c>
      <c r="H404" s="483">
        <v>6315.840000000011</v>
      </c>
      <c r="I404" s="486">
        <f t="shared" si="98"/>
      </c>
      <c r="J404" s="486">
        <f t="shared" si="127"/>
      </c>
      <c r="K404" s="487">
        <f t="shared" si="156"/>
      </c>
      <c r="L404" s="488">
        <f t="shared" si="186"/>
      </c>
      <c r="M404" s="489">
        <f t="shared" si="216"/>
      </c>
      <c r="N404" s="490">
        <f t="shared" si="246"/>
      </c>
      <c r="O404" s="491" t="s">
        <v>325</v>
      </c>
      <c r="P404" s="492" t="s">
        <v>363</v>
      </c>
      <c r="Q404" s="504">
        <v>38103</v>
      </c>
      <c r="R404" s="504">
        <v>2744</v>
      </c>
      <c r="S404" s="505">
        <v>14</v>
      </c>
      <c r="T404" s="505">
        <v>41</v>
      </c>
      <c r="U404" s="535"/>
    </row>
    <row r="405">
      <c r="A405" s="495"/>
      <c r="B405" s="536" t="s">
        <v>375</v>
      </c>
      <c r="C405" s="483" t="s">
        <v>333</v>
      </c>
      <c r="D405" s="500">
        <f t="shared" si="48"/>
      </c>
      <c r="E405" s="483">
        <v>346.13</v>
      </c>
      <c r="F405" s="483">
        <v>2246.3700000000003</v>
      </c>
      <c r="G405" s="499">
        <v>8</v>
      </c>
      <c r="H405" s="483">
        <v>2645.7599999999948</v>
      </c>
      <c r="I405" s="486">
        <f t="shared" si="98"/>
      </c>
      <c r="J405" s="486">
        <f t="shared" si="127"/>
      </c>
      <c r="K405" s="487">
        <f t="shared" si="156"/>
      </c>
      <c r="L405" s="488">
        <f t="shared" si="186"/>
      </c>
      <c r="M405" s="489">
        <f t="shared" si="216"/>
      </c>
      <c r="N405" s="490">
        <f t="shared" si="246"/>
      </c>
      <c r="O405" s="491" t="s">
        <v>325</v>
      </c>
      <c r="P405" s="492" t="s">
        <v>363</v>
      </c>
      <c r="Q405" s="504">
        <v>35795</v>
      </c>
      <c r="R405" s="504">
        <v>2238</v>
      </c>
      <c r="S405" s="505">
        <v>13</v>
      </c>
      <c r="T405" s="505">
        <v>59</v>
      </c>
      <c r="U405" s="535"/>
    </row>
    <row r="406">
      <c r="A406" s="495"/>
      <c r="B406" s="506" t="s">
        <v>330</v>
      </c>
      <c r="C406" s="506"/>
      <c r="D406" s="507">
        <f>SUM(D403:D405)</f>
      </c>
      <c r="E406" s="507">
        <f>SUM(E403:E405)</f>
      </c>
      <c r="F406" s="507">
        <f>SUM(F403:F405)</f>
      </c>
      <c r="G406" s="507">
        <f>SUM(G403:G405)</f>
      </c>
      <c r="H406" s="507">
        <f>SUM(H403:H405)</f>
      </c>
      <c r="I406" s="515">
        <f t="shared" si="98"/>
      </c>
      <c r="J406" s="510">
        <f t="shared" si="127"/>
      </c>
      <c r="K406" s="511">
        <f t="shared" si="156"/>
      </c>
      <c r="L406" s="512">
        <f t="shared" si="186"/>
      </c>
      <c r="M406" s="512">
        <f t="shared" si="216"/>
      </c>
      <c r="N406" s="513">
        <f t="shared" si="246"/>
      </c>
      <c r="O406" s="513"/>
      <c r="P406" s="513"/>
      <c r="Q406" s="508">
        <f>SUM(Q403:Q405)</f>
      </c>
      <c r="R406" s="508">
        <f>SUM(R403:R405)</f>
      </c>
      <c r="S406" s="508">
        <f>SUM(S403:S405)</f>
      </c>
      <c r="T406" s="508">
        <f>SUM(T403:T405)</f>
      </c>
      <c r="U406" s="535"/>
    </row>
    <row r="407">
      <c r="A407" s="495"/>
      <c r="B407" s="516" t="s">
        <v>336</v>
      </c>
      <c r="C407" s="516"/>
      <c r="D407" s="517">
        <f>D392+D402+D397+D406</f>
      </c>
      <c r="E407" s="517">
        <f>E392+E402+E397+E406</f>
      </c>
      <c r="F407" s="517">
        <f>F392+F402+F397+F406</f>
      </c>
      <c r="G407" s="517">
        <f>G392+G402+G397+G406</f>
      </c>
      <c r="H407" s="517">
        <f>H392+H402+H397+H406</f>
      </c>
      <c r="I407" s="519">
        <f t="shared" si="98"/>
      </c>
      <c r="J407" s="519">
        <f t="shared" si="127"/>
      </c>
      <c r="K407" s="520">
        <f t="shared" si="156"/>
      </c>
      <c r="L407" s="521">
        <f t="shared" si="186"/>
      </c>
      <c r="M407" s="521">
        <f t="shared" si="216"/>
      </c>
      <c r="N407" s="519">
        <f t="shared" si="246"/>
      </c>
      <c r="O407" s="522"/>
      <c r="P407" s="522"/>
      <c r="Q407" s="530">
        <f>Q392+Q402+Q397+Q406</f>
      </c>
      <c r="R407" s="530">
        <f>R392+R402+R397+R406</f>
      </c>
      <c r="S407" s="530">
        <f>S392+S402+S397+S406</f>
      </c>
      <c r="T407" s="530">
        <f>T392+T402+T397+T406</f>
      </c>
      <c r="U407" s="535"/>
    </row>
    <row r="408">
      <c r="A408" s="534" t="s">
        <v>298</v>
      </c>
      <c r="B408" s="534"/>
      <c r="C408" s="534"/>
      <c r="D408" s="464" t="s">
        <v>299</v>
      </c>
      <c r="E408" s="464"/>
      <c r="F408" s="464"/>
      <c r="G408" s="464"/>
      <c r="H408" s="464"/>
      <c r="I408" s="464"/>
      <c r="J408" s="464"/>
      <c r="K408" s="464"/>
      <c r="L408" s="465" t="s">
        <v>300</v>
      </c>
      <c r="M408" s="465"/>
      <c r="N408" s="465"/>
      <c r="O408" s="465"/>
      <c r="P408" s="465"/>
      <c r="Q408" s="466" t="s">
        <v>301</v>
      </c>
      <c r="R408" s="466"/>
      <c r="S408" s="466"/>
      <c r="T408" s="466"/>
      <c r="U408" s="535"/>
    </row>
    <row r="409">
      <c r="A409" s="467" t="s">
        <v>302</v>
      </c>
      <c r="B409" s="468" t="s">
        <v>303</v>
      </c>
      <c r="C409" s="469" t="s">
        <v>304</v>
      </c>
      <c r="D409" s="470" t="s">
        <v>305</v>
      </c>
      <c r="E409" s="471" t="s">
        <v>306</v>
      </c>
      <c r="F409" s="470" t="s">
        <v>307</v>
      </c>
      <c r="G409" s="472" t="s">
        <v>308</v>
      </c>
      <c r="H409" s="473" t="s">
        <v>309</v>
      </c>
      <c r="I409" s="474" t="s">
        <v>310</v>
      </c>
      <c r="J409" s="475" t="s">
        <v>311</v>
      </c>
      <c r="K409" s="476" t="s">
        <v>312</v>
      </c>
      <c r="L409" s="465" t="s">
        <v>313</v>
      </c>
      <c r="M409" s="465" t="s">
        <v>314</v>
      </c>
      <c r="N409" s="465" t="s">
        <v>315</v>
      </c>
      <c r="O409" s="477" t="s">
        <v>316</v>
      </c>
      <c r="P409" s="478" t="s">
        <v>317</v>
      </c>
      <c r="Q409" s="479" t="s">
        <v>318</v>
      </c>
      <c r="R409" s="479" t="s">
        <v>319</v>
      </c>
      <c r="S409" s="480" t="s">
        <v>320</v>
      </c>
      <c r="T409" s="479" t="s">
        <v>321</v>
      </c>
      <c r="U409" s="535"/>
    </row>
    <row r="410">
      <c r="A410" s="481" t="s">
        <v>378</v>
      </c>
      <c r="B410" s="536" t="s">
        <v>331</v>
      </c>
      <c r="C410" s="483" t="s">
        <v>339</v>
      </c>
      <c r="D410" s="483">
        <f t="shared" ref="D410:D413" si="49">E410+F410</f>
      </c>
      <c r="E410" s="484">
        <v>803.34</v>
      </c>
      <c r="F410" s="483">
        <v>2214.22</v>
      </c>
      <c r="G410" s="532">
        <v>12</v>
      </c>
      <c r="H410" s="483">
        <v>8084.88</v>
      </c>
      <c r="I410" s="486">
        <f t="shared" ref="I410:I432" si="99">H410/D410</f>
      </c>
      <c r="J410" s="537">
        <f t="shared" ref="J410:J432" si="128">D410/G410</f>
      </c>
      <c r="K410" s="487">
        <f t="shared" ref="K410:K432" si="157">H410/G410</f>
      </c>
      <c r="L410" s="488">
        <f t="shared" ref="L410:L432" si="187">R410/Q410</f>
      </c>
      <c r="M410" s="489">
        <f t="shared" ref="M410:M432" si="217">G410/S410</f>
      </c>
      <c r="N410" s="490">
        <f t="shared" ref="N410:N432" si="247">(T410*1000)/D410</f>
      </c>
      <c r="O410" s="491" t="s">
        <v>373</v>
      </c>
      <c r="P410" s="526" t="s">
        <v>343</v>
      </c>
      <c r="Q410" s="493">
        <v>34913</v>
      </c>
      <c r="R410" s="493">
        <v>3204</v>
      </c>
      <c r="S410" s="527">
        <v>18</v>
      </c>
      <c r="T410" s="527">
        <v>65</v>
      </c>
      <c r="U410" s="535"/>
    </row>
    <row r="411">
      <c r="A411" s="481"/>
      <c r="B411" s="536" t="s">
        <v>331</v>
      </c>
      <c r="C411" s="496" t="s">
        <v>341</v>
      </c>
      <c r="D411" s="497">
        <f t="shared" si="49"/>
      </c>
      <c r="E411" s="498">
        <v>1063.35</v>
      </c>
      <c r="F411" s="498">
        <v>2324.79</v>
      </c>
      <c r="G411" s="499">
        <v>10</v>
      </c>
      <c r="H411" s="483">
        <v>3533.9000000000005</v>
      </c>
      <c r="I411" s="486">
        <f t="shared" si="99"/>
      </c>
      <c r="J411" s="486">
        <f t="shared" si="128"/>
      </c>
      <c r="K411" s="538">
        <f t="shared" si="157"/>
      </c>
      <c r="L411" s="488">
        <f t="shared" si="187"/>
      </c>
      <c r="M411" s="489">
        <f t="shared" si="217"/>
      </c>
      <c r="N411" s="490">
        <f t="shared" si="247"/>
      </c>
      <c r="O411" s="491" t="s">
        <v>373</v>
      </c>
      <c r="P411" s="526" t="s">
        <v>343</v>
      </c>
      <c r="Q411" s="494">
        <v>40490</v>
      </c>
      <c r="R411" s="494">
        <v>3924</v>
      </c>
      <c r="S411" s="527">
        <v>21</v>
      </c>
      <c r="T411" s="494">
        <v>63</v>
      </c>
      <c r="U411" s="535"/>
    </row>
    <row r="412">
      <c r="A412" s="481"/>
      <c r="B412" s="536" t="s">
        <v>331</v>
      </c>
      <c r="C412" s="483" t="s">
        <v>342</v>
      </c>
      <c r="D412" s="500">
        <f t="shared" si="49"/>
      </c>
      <c r="E412" s="483">
        <v>382.52</v>
      </c>
      <c r="F412" s="483">
        <v>3014.71</v>
      </c>
      <c r="G412" s="502">
        <v>9</v>
      </c>
      <c r="H412" s="503">
        <v>6244.1799999999985</v>
      </c>
      <c r="I412" s="486">
        <f t="shared" si="99"/>
      </c>
      <c r="J412" s="486">
        <f t="shared" si="128"/>
      </c>
      <c r="K412" s="487">
        <f t="shared" si="157"/>
      </c>
      <c r="L412" s="488">
        <f t="shared" si="187"/>
      </c>
      <c r="M412" s="489">
        <f t="shared" si="217"/>
      </c>
      <c r="N412" s="490">
        <f t="shared" si="247"/>
      </c>
      <c r="O412" s="491" t="s">
        <v>373</v>
      </c>
      <c r="P412" s="526" t="s">
        <v>343</v>
      </c>
      <c r="Q412" s="494">
        <v>42280</v>
      </c>
      <c r="R412" s="494">
        <v>3118</v>
      </c>
      <c r="S412" s="527">
        <v>13</v>
      </c>
      <c r="T412" s="527">
        <v>70</v>
      </c>
      <c r="U412" s="535"/>
    </row>
    <row r="413">
      <c r="A413" s="481"/>
      <c r="B413" s="536" t="s">
        <v>331</v>
      </c>
      <c r="C413" s="483" t="s">
        <v>344</v>
      </c>
      <c r="D413" s="500">
        <f t="shared" si="49"/>
      </c>
      <c r="E413" s="483">
        <v>753.25</v>
      </c>
      <c r="F413" s="483">
        <v>1186.96</v>
      </c>
      <c r="G413" s="502">
        <v>12</v>
      </c>
      <c r="H413" s="503">
        <v>12132</v>
      </c>
      <c r="I413" s="486">
        <f t="shared" si="99"/>
      </c>
      <c r="J413" s="486">
        <f t="shared" si="128"/>
      </c>
      <c r="K413" s="487">
        <f t="shared" si="157"/>
      </c>
      <c r="L413" s="488">
        <f t="shared" si="187"/>
      </c>
      <c r="M413" s="489">
        <f t="shared" si="217"/>
      </c>
      <c r="N413" s="490">
        <f t="shared" si="247"/>
      </c>
      <c r="O413" s="491" t="s">
        <v>373</v>
      </c>
      <c r="P413" s="526" t="s">
        <v>343</v>
      </c>
      <c r="Q413" s="494">
        <v>24203</v>
      </c>
      <c r="R413" s="494">
        <v>2614</v>
      </c>
      <c r="S413" s="527">
        <v>14</v>
      </c>
      <c r="T413" s="527">
        <v>46</v>
      </c>
      <c r="U413" s="539"/>
    </row>
    <row r="414">
      <c r="A414" s="481"/>
      <c r="B414" s="506" t="s">
        <v>330</v>
      </c>
      <c r="C414" s="506"/>
      <c r="D414" s="507">
        <f>SUM(D410:D413)</f>
      </c>
      <c r="E414" s="507">
        <f>SUM(E410:E413)</f>
      </c>
      <c r="F414" s="507">
        <f>SUM(F410:F413)</f>
      </c>
      <c r="G414" s="508">
        <f>SUM(G410:G413)</f>
      </c>
      <c r="H414" s="507">
        <f>SUM(H410:H413)</f>
      </c>
      <c r="I414" s="509">
        <f t="shared" si="99"/>
      </c>
      <c r="J414" s="510">
        <f t="shared" si="128"/>
      </c>
      <c r="K414" s="511">
        <f t="shared" si="157"/>
      </c>
      <c r="L414" s="512">
        <f t="shared" si="187"/>
      </c>
      <c r="M414" s="512">
        <f t="shared" si="217"/>
      </c>
      <c r="N414" s="513">
        <f t="shared" si="247"/>
      </c>
      <c r="O414" s="513"/>
      <c r="P414" s="513"/>
      <c r="Q414" s="508">
        <f>SUM(Q410:Q413)</f>
      </c>
      <c r="R414" s="508">
        <f>SUM(R410:R413)</f>
      </c>
      <c r="S414" s="508">
        <f>SUM(S410:S413)</f>
      </c>
      <c r="T414" s="508">
        <f>SUM(T410:T413)</f>
      </c>
      <c r="U414" s="535"/>
    </row>
    <row r="415">
      <c r="A415" s="481"/>
      <c r="B415" s="523" t="s">
        <v>338</v>
      </c>
      <c r="C415" s="483" t="s">
        <v>345</v>
      </c>
      <c r="D415" s="500">
        <f t="shared" ref="D415:D418" si="50">E415+F415</f>
      </c>
      <c r="E415" s="483">
        <v>1516.83</v>
      </c>
      <c r="F415" s="483">
        <v>1736.23</v>
      </c>
      <c r="G415" s="499">
        <v>6</v>
      </c>
      <c r="H415" s="483">
        <v>5314.799999999996</v>
      </c>
      <c r="I415" s="486">
        <f t="shared" si="99"/>
      </c>
      <c r="J415" s="486">
        <f t="shared" si="128"/>
      </c>
      <c r="K415" s="487">
        <f t="shared" si="157"/>
      </c>
      <c r="L415" s="488">
        <f t="shared" si="187"/>
      </c>
      <c r="M415" s="489">
        <f t="shared" si="217"/>
      </c>
      <c r="N415" s="490">
        <f t="shared" si="247"/>
      </c>
      <c r="O415" s="491" t="s">
        <v>373</v>
      </c>
      <c r="P415" s="526" t="s">
        <v>343</v>
      </c>
      <c r="Q415" s="504">
        <v>33510</v>
      </c>
      <c r="R415" s="504">
        <v>4054</v>
      </c>
      <c r="S415" s="505">
        <v>11</v>
      </c>
      <c r="T415" s="505">
        <v>68</v>
      </c>
      <c r="U415" s="535"/>
    </row>
    <row r="416">
      <c r="A416" s="481"/>
      <c r="B416" s="523" t="s">
        <v>338</v>
      </c>
      <c r="C416" s="483" t="s">
        <v>346</v>
      </c>
      <c r="D416" s="500">
        <f t="shared" si="50"/>
      </c>
      <c r="E416" s="501">
        <v>935.79</v>
      </c>
      <c r="F416" s="483">
        <v>1757.22</v>
      </c>
      <c r="G416" s="502">
        <v>9</v>
      </c>
      <c r="H416" s="503">
        <v>5497.200000000012</v>
      </c>
      <c r="I416" s="486">
        <f t="shared" si="99"/>
      </c>
      <c r="J416" s="486">
        <f t="shared" si="128"/>
      </c>
      <c r="K416" s="487">
        <f t="shared" si="157"/>
      </c>
      <c r="L416" s="488">
        <f t="shared" si="187"/>
      </c>
      <c r="M416" s="489">
        <f t="shared" si="217"/>
      </c>
      <c r="N416" s="490">
        <f t="shared" si="247"/>
      </c>
      <c r="O416" s="491" t="s">
        <v>373</v>
      </c>
      <c r="P416" s="526" t="s">
        <v>343</v>
      </c>
      <c r="Q416" s="504">
        <v>27343</v>
      </c>
      <c r="R416" s="504">
        <v>3005</v>
      </c>
      <c r="S416" s="505">
        <v>13</v>
      </c>
      <c r="T416" s="505">
        <v>57</v>
      </c>
      <c r="U416" s="535"/>
    </row>
    <row r="417">
      <c r="A417" s="481"/>
      <c r="B417" s="523" t="s">
        <v>338</v>
      </c>
      <c r="C417" s="483" t="s">
        <v>347</v>
      </c>
      <c r="D417" s="500">
        <f t="shared" si="50"/>
      </c>
      <c r="E417" s="483">
        <v>520.44</v>
      </c>
      <c r="F417" s="483">
        <v>1808.53</v>
      </c>
      <c r="G417" s="502">
        <v>9</v>
      </c>
      <c r="H417" s="503">
        <v>5096.159999999989</v>
      </c>
      <c r="I417" s="486">
        <f t="shared" si="99"/>
      </c>
      <c r="J417" s="486">
        <f t="shared" si="128"/>
      </c>
      <c r="K417" s="487">
        <f t="shared" si="157"/>
      </c>
      <c r="L417" s="488">
        <f t="shared" si="187"/>
      </c>
      <c r="M417" s="489">
        <f t="shared" si="217"/>
      </c>
      <c r="N417" s="490">
        <f t="shared" si="247"/>
      </c>
      <c r="O417" s="491" t="s">
        <v>373</v>
      </c>
      <c r="P417" s="526" t="s">
        <v>343</v>
      </c>
      <c r="Q417" s="504">
        <v>23196</v>
      </c>
      <c r="R417" s="504">
        <v>2397</v>
      </c>
      <c r="S417" s="505">
        <v>12</v>
      </c>
      <c r="T417" s="504">
        <v>38</v>
      </c>
      <c r="U417" s="535"/>
    </row>
    <row r="418">
      <c r="A418" s="481"/>
      <c r="B418" s="523" t="s">
        <v>338</v>
      </c>
      <c r="C418" s="483" t="s">
        <v>348</v>
      </c>
      <c r="D418" s="500">
        <f t="shared" si="50"/>
      </c>
      <c r="E418" s="483">
        <v>680.15</v>
      </c>
      <c r="F418" s="483">
        <v>1892.34</v>
      </c>
      <c r="G418" s="502">
        <v>6</v>
      </c>
      <c r="H418" s="503">
        <v>2215.6800000000003</v>
      </c>
      <c r="I418" s="486">
        <f t="shared" si="99"/>
      </c>
      <c r="J418" s="486">
        <f t="shared" si="128"/>
      </c>
      <c r="K418" s="487">
        <f t="shared" si="157"/>
      </c>
      <c r="L418" s="488">
        <f t="shared" si="187"/>
      </c>
      <c r="M418" s="489">
        <f t="shared" si="217"/>
      </c>
      <c r="N418" s="490">
        <f t="shared" si="247"/>
      </c>
      <c r="O418" s="491" t="s">
        <v>373</v>
      </c>
      <c r="P418" s="526" t="s">
        <v>343</v>
      </c>
      <c r="Q418" s="504">
        <v>23237</v>
      </c>
      <c r="R418" s="504">
        <v>2398</v>
      </c>
      <c r="S418" s="505">
        <v>12</v>
      </c>
      <c r="T418" s="505">
        <v>53</v>
      </c>
      <c r="U418" s="535"/>
    </row>
    <row r="419">
      <c r="A419" s="481"/>
      <c r="B419" s="506" t="s">
        <v>330</v>
      </c>
      <c r="C419" s="506"/>
      <c r="D419" s="507">
        <f>SUM(D415:D418)</f>
      </c>
      <c r="E419" s="507">
        <f>SUM(E415:E418)</f>
      </c>
      <c r="F419" s="507">
        <f>SUM(F415:F418)</f>
      </c>
      <c r="G419" s="508">
        <f>SUM(G415:G418)</f>
      </c>
      <c r="H419" s="507">
        <f>SUM(H415:H418)</f>
      </c>
      <c r="I419" s="515">
        <f t="shared" si="99"/>
      </c>
      <c r="J419" s="510">
        <f t="shared" si="128"/>
      </c>
      <c r="K419" s="511">
        <f t="shared" si="157"/>
      </c>
      <c r="L419" s="512">
        <f t="shared" si="187"/>
      </c>
      <c r="M419" s="512">
        <f t="shared" si="217"/>
      </c>
      <c r="N419" s="513">
        <f t="shared" si="247"/>
      </c>
      <c r="O419" s="513"/>
      <c r="P419" s="513"/>
      <c r="Q419" s="508">
        <f>SUM(Q415:Q418)</f>
      </c>
      <c r="R419" s="508">
        <f>SUM(R415:R418)</f>
      </c>
      <c r="S419" s="508">
        <f>SUM(S415:S418)</f>
      </c>
      <c r="T419" s="508">
        <f>SUM(T415:T418)</f>
      </c>
      <c r="U419" s="535"/>
    </row>
    <row r="420">
      <c r="A420" s="481"/>
      <c r="B420" s="523" t="s">
        <v>351</v>
      </c>
      <c r="C420" s="483" t="s">
        <v>349</v>
      </c>
      <c r="D420" s="500">
        <v>2486.19</v>
      </c>
      <c r="E420" s="483">
        <v>897.57</v>
      </c>
      <c r="F420" s="483">
        <v>1588.62</v>
      </c>
      <c r="G420" s="499">
        <v>16</v>
      </c>
      <c r="H420" s="483">
        <v>11219.520000000004</v>
      </c>
      <c r="I420" s="486">
        <f t="shared" si="99"/>
      </c>
      <c r="J420" s="486">
        <f t="shared" si="128"/>
      </c>
      <c r="K420" s="487">
        <f t="shared" si="157"/>
      </c>
      <c r="L420" s="488">
        <f t="shared" si="187"/>
      </c>
      <c r="M420" s="489">
        <f t="shared" si="217"/>
      </c>
      <c r="N420" s="490">
        <f t="shared" si="247"/>
      </c>
      <c r="O420" s="491" t="s">
        <v>373</v>
      </c>
      <c r="P420" s="526" t="s">
        <v>343</v>
      </c>
      <c r="Q420" s="504">
        <v>23995</v>
      </c>
      <c r="R420" s="504">
        <v>2863</v>
      </c>
      <c r="S420" s="505">
        <v>21</v>
      </c>
      <c r="T420" s="505">
        <v>52</v>
      </c>
      <c r="U420" s="535"/>
    </row>
    <row r="421">
      <c r="A421" s="481"/>
      <c r="B421" s="536" t="s">
        <v>351</v>
      </c>
      <c r="C421" s="483" t="s">
        <v>350</v>
      </c>
      <c r="D421" s="500">
        <v>4127.530000000001</v>
      </c>
      <c r="E421" s="483">
        <v>2120.11</v>
      </c>
      <c r="F421" s="483">
        <v>2007.42</v>
      </c>
      <c r="G421" s="499">
        <v>7</v>
      </c>
      <c r="H421" s="483">
        <v>4152.25</v>
      </c>
      <c r="I421" s="486">
        <f t="shared" si="99"/>
      </c>
      <c r="J421" s="486">
        <f t="shared" si="128"/>
      </c>
      <c r="K421" s="487">
        <f t="shared" si="157"/>
      </c>
      <c r="L421" s="488">
        <f t="shared" si="187"/>
      </c>
      <c r="M421" s="489">
        <f t="shared" si="217"/>
      </c>
      <c r="N421" s="490">
        <f t="shared" si="247"/>
      </c>
      <c r="O421" s="491" t="s">
        <v>325</v>
      </c>
      <c r="P421" s="492" t="s">
        <v>363</v>
      </c>
      <c r="Q421" s="504">
        <v>50985</v>
      </c>
      <c r="R421" s="504">
        <v>5052</v>
      </c>
      <c r="S421" s="505">
        <v>15</v>
      </c>
      <c r="T421" s="505">
        <v>73</v>
      </c>
      <c r="U421" s="535"/>
    </row>
    <row r="422">
      <c r="A422" s="481"/>
      <c r="B422" s="536" t="s">
        <v>351</v>
      </c>
      <c r="C422" s="483" t="s">
        <v>324</v>
      </c>
      <c r="D422" s="500">
        <v>3377.26</v>
      </c>
      <c r="E422" s="483">
        <v>662.34</v>
      </c>
      <c r="F422" s="483">
        <v>2714.92</v>
      </c>
      <c r="G422" s="499">
        <v>10</v>
      </c>
      <c r="H422" s="483">
        <v>4016.280000000006</v>
      </c>
      <c r="I422" s="486">
        <f t="shared" si="99"/>
      </c>
      <c r="J422" s="486">
        <f t="shared" si="128"/>
      </c>
      <c r="K422" s="487">
        <f t="shared" si="157"/>
      </c>
      <c r="L422" s="488">
        <f t="shared" si="187"/>
      </c>
      <c r="M422" s="489">
        <f t="shared" si="217"/>
      </c>
      <c r="N422" s="490">
        <f t="shared" si="247"/>
      </c>
      <c r="O422" s="491" t="s">
        <v>325</v>
      </c>
      <c r="P422" s="492" t="s">
        <v>363</v>
      </c>
      <c r="Q422" s="504">
        <v>43607</v>
      </c>
      <c r="R422" s="504">
        <v>3785</v>
      </c>
      <c r="S422" s="505">
        <v>16</v>
      </c>
      <c r="T422" s="505">
        <v>76</v>
      </c>
      <c r="U422" s="535"/>
    </row>
    <row r="423">
      <c r="A423" s="481"/>
      <c r="B423" s="536" t="s">
        <v>351</v>
      </c>
      <c r="C423" s="483" t="s">
        <v>327</v>
      </c>
      <c r="D423" s="500">
        <v>2970.1400000000003</v>
      </c>
      <c r="E423" s="483">
        <v>530.22</v>
      </c>
      <c r="F423" s="483">
        <v>2439.92</v>
      </c>
      <c r="G423" s="499">
        <v>19</v>
      </c>
      <c r="H423" s="483">
        <v>8132.679999999993</v>
      </c>
      <c r="I423" s="486">
        <f t="shared" si="99"/>
      </c>
      <c r="J423" s="486">
        <f t="shared" si="128"/>
      </c>
      <c r="K423" s="487">
        <f t="shared" si="157"/>
      </c>
      <c r="L423" s="488">
        <f t="shared" si="187"/>
      </c>
      <c r="M423" s="489">
        <f t="shared" si="217"/>
      </c>
      <c r="N423" s="490">
        <f t="shared" si="247"/>
      </c>
      <c r="O423" s="491" t="s">
        <v>325</v>
      </c>
      <c r="P423" s="492" t="s">
        <v>363</v>
      </c>
      <c r="Q423" s="504">
        <v>48270</v>
      </c>
      <c r="R423" s="504">
        <v>3023</v>
      </c>
      <c r="S423" s="505">
        <v>24</v>
      </c>
      <c r="T423" s="505">
        <v>46</v>
      </c>
      <c r="U423" s="535"/>
    </row>
    <row r="424">
      <c r="A424" s="481"/>
      <c r="B424" s="506" t="s">
        <v>330</v>
      </c>
      <c r="C424" s="506"/>
      <c r="D424" s="507">
        <v>12961.120000000003</v>
      </c>
      <c r="E424" s="507">
        <v>4210.240000000001</v>
      </c>
      <c r="F424" s="507">
        <v>8750.880000000001</v>
      </c>
      <c r="G424" s="508">
        <v>52</v>
      </c>
      <c r="H424" s="507">
        <v>27520.730000000003</v>
      </c>
      <c r="I424" s="515">
        <f t="shared" si="99"/>
      </c>
      <c r="J424" s="510">
        <f t="shared" si="128"/>
      </c>
      <c r="K424" s="511">
        <f t="shared" si="157"/>
      </c>
      <c r="L424" s="512">
        <f t="shared" si="187"/>
      </c>
      <c r="M424" s="512">
        <f t="shared" si="217"/>
      </c>
      <c r="N424" s="513">
        <f t="shared" si="247"/>
      </c>
      <c r="O424" s="513"/>
      <c r="P424" s="513"/>
      <c r="Q424" s="508">
        <f>SUM(Q420:Q423)</f>
      </c>
      <c r="R424" s="508">
        <f>SUM(R420:R423)</f>
      </c>
      <c r="S424" s="508">
        <f>SUM(S420:S423)</f>
      </c>
      <c r="T424" s="508">
        <f>SUM(T420:T423)</f>
      </c>
      <c r="U424" s="535"/>
    </row>
    <row customHeight="true" ht="16.666666666666668" r="425">
      <c r="A425" s="481"/>
      <c r="B425" s="523" t="s">
        <v>369</v>
      </c>
      <c r="C425" s="483" t="s">
        <v>328</v>
      </c>
      <c r="D425" s="500">
        <v>2745.08</v>
      </c>
      <c r="E425" s="483">
        <v>1381.04</v>
      </c>
      <c r="F425" s="483">
        <v>1364.04</v>
      </c>
      <c r="G425" s="499">
        <v>11</v>
      </c>
      <c r="H425" s="483">
        <v>4527.130000000005</v>
      </c>
      <c r="I425" s="486">
        <f t="shared" si="99"/>
      </c>
      <c r="J425" s="486">
        <f t="shared" si="128"/>
      </c>
      <c r="K425" s="487">
        <f t="shared" si="157"/>
      </c>
      <c r="L425" s="488">
        <f t="shared" si="187"/>
      </c>
      <c r="M425" s="489">
        <f t="shared" si="217"/>
      </c>
      <c r="N425" s="490">
        <f t="shared" si="247"/>
      </c>
      <c r="O425" s="491" t="s">
        <v>325</v>
      </c>
      <c r="P425" s="492" t="s">
        <v>363</v>
      </c>
      <c r="Q425" s="504">
        <v>40290</v>
      </c>
      <c r="R425" s="504">
        <v>3735</v>
      </c>
      <c r="S425" s="505">
        <v>12</v>
      </c>
      <c r="T425" s="505">
        <v>73</v>
      </c>
      <c r="U425" s="535"/>
    </row>
    <row customHeight="true" ht="16.666666666666668" r="426">
      <c r="A426" s="481"/>
      <c r="B426" s="523" t="s">
        <v>369</v>
      </c>
      <c r="C426" s="483" t="s">
        <v>329</v>
      </c>
      <c r="D426" s="500">
        <v>5725.57</v>
      </c>
      <c r="E426" s="483">
        <v>3111.07</v>
      </c>
      <c r="F426" s="483">
        <v>2614.5</v>
      </c>
      <c r="G426" s="499">
        <v>16</v>
      </c>
      <c r="H426" s="483">
        <v>10328.540000000008</v>
      </c>
      <c r="I426" s="486">
        <f t="shared" si="99"/>
      </c>
      <c r="J426" s="486">
        <f t="shared" si="128"/>
      </c>
      <c r="K426" s="487">
        <f t="shared" si="157"/>
      </c>
      <c r="L426" s="488">
        <f t="shared" si="187"/>
      </c>
      <c r="M426" s="489">
        <f t="shared" si="217"/>
      </c>
      <c r="N426" s="490">
        <f t="shared" si="247"/>
      </c>
      <c r="O426" s="491" t="s">
        <v>325</v>
      </c>
      <c r="P426" s="492" t="s">
        <v>363</v>
      </c>
      <c r="Q426" s="504">
        <v>79983</v>
      </c>
      <c r="R426" s="504">
        <v>8400</v>
      </c>
      <c r="S426" s="505">
        <v>25</v>
      </c>
      <c r="T426" s="505">
        <v>106</v>
      </c>
      <c r="U426" s="535"/>
    </row>
    <row customHeight="true" ht="16.666666666666668" r="427">
      <c r="A427" s="481"/>
      <c r="B427" s="506" t="s">
        <v>330</v>
      </c>
      <c r="C427" s="506"/>
      <c r="D427" s="540">
        <v>8470.65</v>
      </c>
      <c r="E427" s="540">
        <v>4492.110000000001</v>
      </c>
      <c r="F427" s="507">
        <v>3978.54</v>
      </c>
      <c r="G427" s="508">
        <v>27</v>
      </c>
      <c r="H427" s="507">
        <v>14855.670000000013</v>
      </c>
      <c r="I427" s="515">
        <f t="shared" si="99"/>
      </c>
      <c r="J427" s="510">
        <f t="shared" si="128"/>
      </c>
      <c r="K427" s="511">
        <f t="shared" si="157"/>
      </c>
      <c r="L427" s="512">
        <f t="shared" si="187"/>
      </c>
      <c r="M427" s="512">
        <f t="shared" si="217"/>
      </c>
      <c r="N427" s="513">
        <f t="shared" si="247"/>
      </c>
      <c r="O427" s="513"/>
      <c r="P427" s="513"/>
      <c r="Q427" s="508">
        <f>SUM(Q425:Q426)</f>
      </c>
      <c r="R427" s="508">
        <f>SUM(R425:R426)</f>
      </c>
      <c r="S427" s="508">
        <f>SUM(S425:S426)</f>
      </c>
      <c r="T427" s="508">
        <f>SUM(T425:T426)</f>
      </c>
      <c r="U427" s="535"/>
    </row>
    <row r="428">
      <c r="A428" s="481"/>
      <c r="B428" s="536" t="s">
        <v>375</v>
      </c>
      <c r="C428" s="500" t="s">
        <v>332</v>
      </c>
      <c r="D428" s="541">
        <v>4948.389999999999</v>
      </c>
      <c r="E428" s="541">
        <v>2001.92</v>
      </c>
      <c r="F428" s="484">
        <v>2946.47</v>
      </c>
      <c r="G428" s="499">
        <v>17</v>
      </c>
      <c r="H428" s="483">
        <v>12513.149999999994</v>
      </c>
      <c r="I428" s="486">
        <f t="shared" si="99"/>
      </c>
      <c r="J428" s="486">
        <f t="shared" si="128"/>
      </c>
      <c r="K428" s="487">
        <f t="shared" si="157"/>
      </c>
      <c r="L428" s="488">
        <f t="shared" si="187"/>
      </c>
      <c r="M428" s="489">
        <f t="shared" si="217"/>
      </c>
      <c r="N428" s="490">
        <f t="shared" si="247"/>
      </c>
      <c r="O428" s="491" t="s">
        <v>325</v>
      </c>
      <c r="P428" s="492" t="s">
        <v>363</v>
      </c>
      <c r="Q428" s="504">
        <v>63561</v>
      </c>
      <c r="R428" s="504">
        <v>6285</v>
      </c>
      <c r="S428" s="505">
        <v>24</v>
      </c>
      <c r="T428" s="505">
        <v>96</v>
      </c>
      <c r="U428" s="535"/>
    </row>
    <row customHeight="true" ht="16.666666666666668" r="429">
      <c r="A429" s="481"/>
      <c r="B429" s="536" t="s">
        <v>375</v>
      </c>
      <c r="C429" s="500" t="s">
        <v>333</v>
      </c>
      <c r="D429" s="541">
        <v>2582.8500000000004</v>
      </c>
      <c r="E429" s="541">
        <v>1553.17</v>
      </c>
      <c r="F429" s="484">
        <v>1029.68</v>
      </c>
      <c r="G429" s="499">
        <v>3</v>
      </c>
      <c r="H429" s="483">
        <v>2437.220000000001</v>
      </c>
      <c r="I429" s="486">
        <f t="shared" si="99"/>
      </c>
      <c r="J429" s="486">
        <f t="shared" si="128"/>
      </c>
      <c r="K429" s="487">
        <f t="shared" si="157"/>
      </c>
      <c r="L429" s="488">
        <f t="shared" si="187"/>
      </c>
      <c r="M429" s="489">
        <f t="shared" si="217"/>
      </c>
      <c r="N429" s="490">
        <f t="shared" si="247"/>
      </c>
      <c r="O429" s="491" t="s">
        <v>325</v>
      </c>
      <c r="P429" s="492" t="s">
        <v>363</v>
      </c>
      <c r="Q429" s="504">
        <v>32187</v>
      </c>
      <c r="R429" s="504">
        <v>2862</v>
      </c>
      <c r="S429" s="505">
        <v>8</v>
      </c>
      <c r="T429" s="505">
        <v>44</v>
      </c>
      <c r="U429" s="535"/>
    </row>
    <row r="430">
      <c r="A430" s="481"/>
      <c r="B430" s="536" t="s">
        <v>375</v>
      </c>
      <c r="C430" s="542" t="s">
        <v>379</v>
      </c>
      <c r="D430" s="541">
        <v>2039.49</v>
      </c>
      <c r="E430" s="541">
        <v>934.47</v>
      </c>
      <c r="F430" s="484">
        <v>1105.02</v>
      </c>
      <c r="G430" s="499">
        <v>2</v>
      </c>
      <c r="H430" s="483">
        <v>430.08000000000175</v>
      </c>
      <c r="I430" s="486">
        <f t="shared" si="99"/>
      </c>
      <c r="J430" s="486">
        <f t="shared" si="128"/>
      </c>
      <c r="K430" s="487">
        <f t="shared" si="157"/>
      </c>
      <c r="L430" s="488">
        <f t="shared" si="187"/>
      </c>
      <c r="M430" s="489">
        <f t="shared" si="217"/>
      </c>
      <c r="N430" s="490">
        <f t="shared" si="247"/>
      </c>
      <c r="O430" s="491" t="s">
        <v>325</v>
      </c>
      <c r="P430" s="492" t="s">
        <v>363</v>
      </c>
      <c r="Q430" s="504">
        <v>30883</v>
      </c>
      <c r="R430" s="504">
        <v>2310</v>
      </c>
      <c r="S430" s="505">
        <v>5</v>
      </c>
      <c r="T430" s="505">
        <v>33</v>
      </c>
      <c r="U430" s="535"/>
    </row>
    <row r="431">
      <c r="A431" s="481"/>
      <c r="B431" s="506" t="s">
        <v>330</v>
      </c>
      <c r="C431" s="506"/>
      <c r="D431" s="543">
        <f>SUM(D428:D430)</f>
      </c>
      <c r="E431" s="543">
        <f>SUM(E428:E430)</f>
      </c>
      <c r="F431" s="507">
        <f>SUM(F428:F430)</f>
      </c>
      <c r="G431" s="508">
        <f>SUM(G428:G430)</f>
      </c>
      <c r="H431" s="507">
        <f>SUM(H428:H430)</f>
      </c>
      <c r="I431" s="515">
        <f t="shared" si="99"/>
      </c>
      <c r="J431" s="510">
        <f t="shared" si="128"/>
      </c>
      <c r="K431" s="511">
        <f t="shared" si="157"/>
      </c>
      <c r="L431" s="512">
        <f t="shared" si="187"/>
      </c>
      <c r="M431" s="512">
        <f t="shared" si="217"/>
      </c>
      <c r="N431" s="513">
        <f t="shared" si="247"/>
      </c>
      <c r="O431" s="513"/>
      <c r="P431" s="513"/>
      <c r="Q431" s="508">
        <f>SUM(Q428:Q430)</f>
      </c>
      <c r="R431" s="508">
        <f>SUM(R428:R430)</f>
      </c>
      <c r="S431" s="508">
        <f>SUM(S428:S430)</f>
      </c>
      <c r="T431" s="508">
        <f>SUM(T428:T430)</f>
      </c>
      <c r="U431" s="535"/>
    </row>
    <row r="432">
      <c r="A432" s="481"/>
      <c r="B432" s="516" t="s">
        <v>336</v>
      </c>
      <c r="C432" s="516"/>
      <c r="D432" s="517">
        <f>D414+D419+D424+D427+D431</f>
      </c>
      <c r="E432" s="517">
        <f>E414+E419+E424+E427+E431</f>
      </c>
      <c r="F432" s="517">
        <f>F414+F419+F424+F427+F431</f>
      </c>
      <c r="G432" s="544">
        <f>G414+G419+G424+G427+G431</f>
      </c>
      <c r="H432" s="517">
        <f>H414+H419+H424+H427+H431</f>
      </c>
      <c r="I432" s="519">
        <f t="shared" si="99"/>
      </c>
      <c r="J432" s="519">
        <f t="shared" si="128"/>
      </c>
      <c r="K432" s="520">
        <f t="shared" si="157"/>
      </c>
      <c r="L432" s="521">
        <f t="shared" si="187"/>
      </c>
      <c r="M432" s="521">
        <f t="shared" si="217"/>
      </c>
      <c r="N432" s="519">
        <f t="shared" si="247"/>
      </c>
      <c r="O432" s="522"/>
      <c r="P432" s="522"/>
      <c r="Q432" s="544">
        <f>Q414+Q419+Q424+Q427+Q431</f>
      </c>
      <c r="R432" s="544">
        <f>R414+R419+R424+R427+R431</f>
      </c>
      <c r="S432" s="544">
        <f>S414+S419+S424+S427+S431</f>
      </c>
      <c r="T432" s="544">
        <f>T414+T419+T424+T427+T431</f>
      </c>
      <c r="U432" s="535"/>
    </row>
    <row r="433">
      <c r="A433" s="534" t="s">
        <v>298</v>
      </c>
      <c r="B433" s="534"/>
      <c r="C433" s="534"/>
      <c r="D433" s="464" t="s">
        <v>299</v>
      </c>
      <c r="E433" s="464"/>
      <c r="F433" s="464"/>
      <c r="G433" s="464"/>
      <c r="H433" s="464"/>
      <c r="I433" s="464"/>
      <c r="J433" s="464"/>
      <c r="K433" s="464"/>
      <c r="L433" s="465" t="s">
        <v>300</v>
      </c>
      <c r="M433" s="465"/>
      <c r="N433" s="465"/>
      <c r="O433" s="465"/>
      <c r="P433" s="465"/>
      <c r="Q433" s="466" t="s">
        <v>301</v>
      </c>
      <c r="R433" s="466"/>
      <c r="S433" s="466"/>
      <c r="T433" s="466"/>
      <c r="U433" s="535"/>
    </row>
    <row r="434">
      <c r="A434" s="467" t="s">
        <v>302</v>
      </c>
      <c r="B434" s="468" t="s">
        <v>303</v>
      </c>
      <c r="C434" s="469" t="s">
        <v>304</v>
      </c>
      <c r="D434" s="470" t="s">
        <v>305</v>
      </c>
      <c r="E434" s="471" t="s">
        <v>306</v>
      </c>
      <c r="F434" s="470" t="s">
        <v>307</v>
      </c>
      <c r="G434" s="472" t="s">
        <v>308</v>
      </c>
      <c r="H434" s="473" t="s">
        <v>309</v>
      </c>
      <c r="I434" s="474" t="s">
        <v>310</v>
      </c>
      <c r="J434" s="475" t="s">
        <v>311</v>
      </c>
      <c r="K434" s="476" t="s">
        <v>312</v>
      </c>
      <c r="L434" s="465" t="s">
        <v>313</v>
      </c>
      <c r="M434" s="465" t="s">
        <v>314</v>
      </c>
      <c r="N434" s="465" t="s">
        <v>315</v>
      </c>
      <c r="O434" s="477" t="s">
        <v>316</v>
      </c>
      <c r="P434" s="478" t="s">
        <v>317</v>
      </c>
      <c r="Q434" s="479" t="s">
        <v>318</v>
      </c>
      <c r="R434" s="479" t="s">
        <v>319</v>
      </c>
      <c r="S434" s="480" t="s">
        <v>320</v>
      </c>
      <c r="T434" s="479" t="s">
        <v>321</v>
      </c>
      <c r="U434" s="535"/>
    </row>
    <row r="435">
      <c r="A435" s="481" t="s">
        <v>380</v>
      </c>
      <c r="B435" s="523" t="s">
        <v>338</v>
      </c>
      <c r="C435" s="483" t="s">
        <v>339</v>
      </c>
      <c r="D435" s="483">
        <f t="shared" ref="D435:D438" si="51">E435+F435</f>
      </c>
      <c r="E435" s="484">
        <v>1172.62</v>
      </c>
      <c r="F435" s="483">
        <v>2108.22</v>
      </c>
      <c r="G435" s="532">
        <v>8</v>
      </c>
      <c r="H435" s="483">
        <v>5875.68</v>
      </c>
      <c r="I435" s="486">
        <f t="shared" ref="I435:I450" si="100">H435/D435</f>
      </c>
      <c r="J435" s="537">
        <f t="shared" ref="J435:J450" si="129">D435/G435</f>
      </c>
      <c r="K435" s="487">
        <f t="shared" ref="K435:K450" si="158">H435/G435</f>
      </c>
      <c r="L435" s="488">
        <f t="shared" ref="L435:L450" si="188">R435/Q435</f>
      </c>
      <c r="M435" s="489">
        <f t="shared" ref="M435:M450" si="218">G435/S435</f>
      </c>
      <c r="N435" s="490">
        <f t="shared" ref="N435:N450" si="248">(T435*1000)/D435</f>
      </c>
      <c r="O435" s="491" t="s">
        <v>373</v>
      </c>
      <c r="P435" s="526" t="s">
        <v>343</v>
      </c>
      <c r="Q435" s="493">
        <v>41286</v>
      </c>
      <c r="R435" s="493">
        <v>3605</v>
      </c>
      <c r="S435" s="527">
        <v>12</v>
      </c>
      <c r="T435" s="527">
        <v>55</v>
      </c>
      <c r="U435" s="535"/>
    </row>
    <row r="436">
      <c r="A436" s="481"/>
      <c r="B436" s="523" t="s">
        <v>338</v>
      </c>
      <c r="C436" s="496" t="s">
        <v>341</v>
      </c>
      <c r="D436" s="497">
        <f t="shared" si="51"/>
      </c>
      <c r="E436" s="498">
        <v>1582.36</v>
      </c>
      <c r="F436" s="498">
        <v>1947.95</v>
      </c>
      <c r="G436" s="499">
        <v>10</v>
      </c>
      <c r="H436" s="483">
        <v>3051.5200000000004</v>
      </c>
      <c r="I436" s="486">
        <f t="shared" si="100"/>
      </c>
      <c r="J436" s="486">
        <f t="shared" si="129"/>
      </c>
      <c r="K436" s="538">
        <f t="shared" si="158"/>
      </c>
      <c r="L436" s="488">
        <f t="shared" si="188"/>
      </c>
      <c r="M436" s="489">
        <f t="shared" si="218"/>
      </c>
      <c r="N436" s="490">
        <f t="shared" si="248"/>
      </c>
      <c r="O436" s="491" t="s">
        <v>373</v>
      </c>
      <c r="P436" s="526" t="s">
        <v>343</v>
      </c>
      <c r="Q436" s="494">
        <v>52630</v>
      </c>
      <c r="R436" s="494">
        <v>4552</v>
      </c>
      <c r="S436" s="527">
        <v>17</v>
      </c>
      <c r="T436" s="527">
        <v>78</v>
      </c>
      <c r="U436" s="535"/>
    </row>
    <row r="437">
      <c r="A437" s="481"/>
      <c r="B437" s="523" t="s">
        <v>338</v>
      </c>
      <c r="C437" s="483" t="s">
        <v>342</v>
      </c>
      <c r="D437" s="500">
        <f t="shared" si="51"/>
      </c>
      <c r="E437" s="483">
        <v>1256.02</v>
      </c>
      <c r="F437" s="483">
        <v>1555.25</v>
      </c>
      <c r="G437" s="502">
        <v>4</v>
      </c>
      <c r="H437" s="503">
        <v>860.1599999999999</v>
      </c>
      <c r="I437" s="486">
        <f t="shared" si="100"/>
      </c>
      <c r="J437" s="486">
        <f t="shared" si="129"/>
      </c>
      <c r="K437" s="487">
        <f t="shared" si="158"/>
      </c>
      <c r="L437" s="488">
        <f t="shared" si="188"/>
      </c>
      <c r="M437" s="489">
        <f t="shared" si="218"/>
      </c>
      <c r="N437" s="490">
        <f t="shared" si="248"/>
      </c>
      <c r="O437" s="491" t="s">
        <v>373</v>
      </c>
      <c r="P437" s="526" t="s">
        <v>343</v>
      </c>
      <c r="Q437" s="494">
        <v>35849</v>
      </c>
      <c r="R437" s="494">
        <v>3795</v>
      </c>
      <c r="S437" s="527">
        <v>7</v>
      </c>
      <c r="T437" s="527">
        <v>57</v>
      </c>
      <c r="U437" s="535"/>
    </row>
    <row r="438">
      <c r="A438" s="481"/>
      <c r="B438" s="523" t="s">
        <v>338</v>
      </c>
      <c r="C438" s="483" t="s">
        <v>344</v>
      </c>
      <c r="D438" s="500">
        <f t="shared" si="51"/>
      </c>
      <c r="E438" s="483">
        <v>849.1</v>
      </c>
      <c r="F438" s="483">
        <v>1398.13</v>
      </c>
      <c r="G438" s="502">
        <v>11</v>
      </c>
      <c r="H438" s="503">
        <v>5102.639999999999</v>
      </c>
      <c r="I438" s="486">
        <f t="shared" si="100"/>
      </c>
      <c r="J438" s="486">
        <f t="shared" si="129"/>
      </c>
      <c r="K438" s="487">
        <f t="shared" si="158"/>
      </c>
      <c r="L438" s="488">
        <f t="shared" si="188"/>
      </c>
      <c r="M438" s="489">
        <f t="shared" si="218"/>
      </c>
      <c r="N438" s="490">
        <f t="shared" si="248"/>
      </c>
      <c r="O438" s="491" t="s">
        <v>373</v>
      </c>
      <c r="P438" s="526" t="s">
        <v>343</v>
      </c>
      <c r="Q438" s="494">
        <v>32418</v>
      </c>
      <c r="R438" s="494">
        <v>2645</v>
      </c>
      <c r="S438" s="527">
        <v>12</v>
      </c>
      <c r="T438" s="527">
        <v>43</v>
      </c>
      <c r="U438" s="539"/>
    </row>
    <row r="439">
      <c r="A439" s="481"/>
      <c r="B439" s="506" t="s">
        <v>330</v>
      </c>
      <c r="C439" s="506"/>
      <c r="D439" s="507">
        <f>SUM(D435:D438)</f>
      </c>
      <c r="E439" s="507">
        <f>SUM(E435:E438)</f>
      </c>
      <c r="F439" s="507">
        <f>SUM(F435:F438)</f>
      </c>
      <c r="G439" s="508">
        <f>SUM(G435:G438)</f>
      </c>
      <c r="H439" s="507">
        <f>SUM(H435:H438)</f>
      </c>
      <c r="I439" s="509">
        <f t="shared" si="100"/>
      </c>
      <c r="J439" s="510">
        <f t="shared" si="129"/>
      </c>
      <c r="K439" s="511">
        <f t="shared" si="158"/>
      </c>
      <c r="L439" s="512">
        <f t="shared" si="188"/>
      </c>
      <c r="M439" s="512">
        <f t="shared" si="218"/>
      </c>
      <c r="N439" s="513">
        <f t="shared" si="248"/>
      </c>
      <c r="O439" s="513"/>
      <c r="P439" s="513"/>
      <c r="Q439" s="508">
        <f>SUM(Q435:Q438)</f>
      </c>
      <c r="R439" s="508">
        <f>SUM(R435:R438)</f>
      </c>
      <c r="S439" s="508">
        <f>SUM(S435:S438)</f>
      </c>
      <c r="T439" s="508">
        <f>SUM(T435:T438)</f>
      </c>
      <c r="U439" s="535"/>
    </row>
    <row r="440">
      <c r="A440" s="481"/>
      <c r="B440" s="536" t="s">
        <v>331</v>
      </c>
      <c r="C440" s="483" t="s">
        <v>345</v>
      </c>
      <c r="D440" s="500">
        <f t="shared" ref="D440:D443" si="52">E440+F440</f>
      </c>
      <c r="E440" s="483">
        <v>697.73</v>
      </c>
      <c r="F440" s="483">
        <v>1809.78</v>
      </c>
      <c r="G440" s="499">
        <v>8</v>
      </c>
      <c r="H440" s="483">
        <v>3532.0800000000017</v>
      </c>
      <c r="I440" s="486">
        <f t="shared" si="100"/>
      </c>
      <c r="J440" s="486">
        <f t="shared" si="129"/>
      </c>
      <c r="K440" s="487">
        <f t="shared" si="158"/>
      </c>
      <c r="L440" s="488">
        <f t="shared" si="188"/>
      </c>
      <c r="M440" s="489">
        <f t="shared" si="218"/>
      </c>
      <c r="N440" s="490">
        <f t="shared" si="248"/>
      </c>
      <c r="O440" s="491" t="s">
        <v>373</v>
      </c>
      <c r="P440" s="526" t="s">
        <v>343</v>
      </c>
      <c r="Q440" s="504">
        <v>35825</v>
      </c>
      <c r="R440" s="504">
        <v>2104</v>
      </c>
      <c r="S440" s="505">
        <v>10</v>
      </c>
      <c r="T440" s="505">
        <v>50</v>
      </c>
      <c r="U440" s="535"/>
    </row>
    <row r="441">
      <c r="A441" s="481"/>
      <c r="B441" s="536" t="s">
        <v>331</v>
      </c>
      <c r="C441" s="483" t="s">
        <v>346</v>
      </c>
      <c r="D441" s="500">
        <f t="shared" si="52"/>
      </c>
      <c r="E441" s="501">
        <v>1434.01</v>
      </c>
      <c r="F441" s="483">
        <v>1493.2</v>
      </c>
      <c r="G441" s="502">
        <v>10</v>
      </c>
      <c r="H441" s="503">
        <v>5350.32</v>
      </c>
      <c r="I441" s="486">
        <f t="shared" si="100"/>
      </c>
      <c r="J441" s="486">
        <f t="shared" si="129"/>
      </c>
      <c r="K441" s="487">
        <f t="shared" si="158"/>
      </c>
      <c r="L441" s="488">
        <f t="shared" si="188"/>
      </c>
      <c r="M441" s="489">
        <f t="shared" si="218"/>
      </c>
      <c r="N441" s="490">
        <f t="shared" si="248"/>
      </c>
      <c r="O441" s="491" t="s">
        <v>373</v>
      </c>
      <c r="P441" s="526" t="s">
        <v>343</v>
      </c>
      <c r="Q441" s="504">
        <v>32421</v>
      </c>
      <c r="R441" s="504">
        <v>3676</v>
      </c>
      <c r="S441" s="505">
        <v>15</v>
      </c>
      <c r="T441" s="505">
        <v>66</v>
      </c>
      <c r="U441" s="535"/>
    </row>
    <row r="442">
      <c r="A442" s="481"/>
      <c r="B442" s="536" t="s">
        <v>331</v>
      </c>
      <c r="C442" s="483" t="s">
        <v>347</v>
      </c>
      <c r="D442" s="500">
        <f t="shared" si="52"/>
      </c>
      <c r="E442" s="483">
        <v>2096.32</v>
      </c>
      <c r="F442" s="483">
        <v>3710.71</v>
      </c>
      <c r="G442" s="502">
        <v>20</v>
      </c>
      <c r="H442" s="503">
        <v>10634.300000000003</v>
      </c>
      <c r="I442" s="486">
        <f t="shared" si="100"/>
      </c>
      <c r="J442" s="486">
        <f t="shared" si="129"/>
      </c>
      <c r="K442" s="487">
        <f t="shared" si="158"/>
      </c>
      <c r="L442" s="488">
        <f t="shared" si="188"/>
      </c>
      <c r="M442" s="489">
        <f t="shared" si="218"/>
      </c>
      <c r="N442" s="490">
        <f t="shared" si="248"/>
      </c>
      <c r="O442" s="491" t="s">
        <v>373</v>
      </c>
      <c r="P442" s="526" t="s">
        <v>343</v>
      </c>
      <c r="Q442" s="504">
        <v>69974</v>
      </c>
      <c r="R442" s="504">
        <v>6079</v>
      </c>
      <c r="S442" s="505">
        <v>31</v>
      </c>
      <c r="T442" s="505">
        <v>98</v>
      </c>
      <c r="U442" s="535"/>
    </row>
    <row r="443">
      <c r="A443" s="481"/>
      <c r="B443" s="536" t="s">
        <v>331</v>
      </c>
      <c r="C443" s="483" t="s">
        <v>348</v>
      </c>
      <c r="D443" s="500">
        <f t="shared" si="52"/>
      </c>
      <c r="E443" s="483">
        <v>628.11</v>
      </c>
      <c r="F443" s="483">
        <v>1622.48</v>
      </c>
      <c r="G443" s="502">
        <v>11</v>
      </c>
      <c r="H443" s="503">
        <v>8721.5</v>
      </c>
      <c r="I443" s="486">
        <f t="shared" si="100"/>
      </c>
      <c r="J443" s="486">
        <f t="shared" si="129"/>
      </c>
      <c r="K443" s="487">
        <f t="shared" si="158"/>
      </c>
      <c r="L443" s="488">
        <f t="shared" si="188"/>
      </c>
      <c r="M443" s="489">
        <f t="shared" si="218"/>
      </c>
      <c r="N443" s="490">
        <f t="shared" si="248"/>
      </c>
      <c r="O443" s="491" t="s">
        <v>373</v>
      </c>
      <c r="P443" s="526" t="s">
        <v>343</v>
      </c>
      <c r="Q443" s="504">
        <v>28772</v>
      </c>
      <c r="R443" s="504">
        <v>2050</v>
      </c>
      <c r="S443" s="505">
        <v>14</v>
      </c>
      <c r="T443" s="505">
        <v>49</v>
      </c>
      <c r="U443" s="535"/>
    </row>
    <row r="444">
      <c r="A444" s="481"/>
      <c r="B444" s="506" t="s">
        <v>330</v>
      </c>
      <c r="C444" s="506"/>
      <c r="D444" s="507">
        <f>SUM(D440:D443)</f>
      </c>
      <c r="E444" s="507">
        <f>SUM(E440:E443)</f>
      </c>
      <c r="F444" s="507">
        <f>SUM(F440:F443)</f>
      </c>
      <c r="G444" s="508">
        <f>SUM(G440:G443)</f>
      </c>
      <c r="H444" s="507">
        <f>SUM(H440:H443)</f>
      </c>
      <c r="I444" s="515">
        <f t="shared" si="100"/>
      </c>
      <c r="J444" s="510">
        <f t="shared" si="129"/>
      </c>
      <c r="K444" s="511">
        <f t="shared" si="158"/>
      </c>
      <c r="L444" s="512">
        <f t="shared" si="188"/>
      </c>
      <c r="M444" s="512">
        <f t="shared" si="218"/>
      </c>
      <c r="N444" s="513">
        <f t="shared" si="248"/>
      </c>
      <c r="O444" s="513"/>
      <c r="P444" s="513"/>
      <c r="Q444" s="508">
        <f>SUM(Q440:Q443)</f>
      </c>
      <c r="R444" s="508">
        <f>SUM(R440:R443)</f>
      </c>
      <c r="S444" s="508">
        <f>SUM(S440:S443)</f>
      </c>
      <c r="T444" s="508">
        <f>SUM(T440:T443)</f>
      </c>
      <c r="U444" s="535"/>
    </row>
    <row r="445">
      <c r="A445" s="481"/>
      <c r="B445" s="523" t="s">
        <v>351</v>
      </c>
      <c r="C445" s="483" t="s">
        <v>349</v>
      </c>
      <c r="D445" s="500">
        <f t="shared" ref="D445:D448" si="53">E445+F445</f>
      </c>
      <c r="E445" s="483">
        <v>355.85</v>
      </c>
      <c r="F445" s="483">
        <v>1531.78</v>
      </c>
      <c r="G445" s="499">
        <v>7</v>
      </c>
      <c r="H445" s="483">
        <v>4592.8499999999985</v>
      </c>
      <c r="I445" s="486">
        <f t="shared" si="100"/>
      </c>
      <c r="J445" s="486">
        <f t="shared" si="129"/>
      </c>
      <c r="K445" s="487">
        <f t="shared" si="158"/>
      </c>
      <c r="L445" s="488">
        <f t="shared" si="188"/>
      </c>
      <c r="M445" s="489">
        <f t="shared" si="218"/>
      </c>
      <c r="N445" s="490">
        <f t="shared" si="248"/>
      </c>
      <c r="O445" s="491" t="s">
        <v>373</v>
      </c>
      <c r="P445" s="526" t="s">
        <v>343</v>
      </c>
      <c r="Q445" s="504">
        <v>21453</v>
      </c>
      <c r="R445" s="504">
        <v>1442</v>
      </c>
      <c r="S445" s="505">
        <v>13</v>
      </c>
      <c r="T445" s="505">
        <v>35</v>
      </c>
      <c r="U445" s="535"/>
    </row>
    <row r="446">
      <c r="A446" s="481"/>
      <c r="B446" s="536" t="s">
        <v>351</v>
      </c>
      <c r="C446" s="483" t="s">
        <v>350</v>
      </c>
      <c r="D446" s="500">
        <f t="shared" si="53"/>
      </c>
      <c r="E446" s="483">
        <v>773.03</v>
      </c>
      <c r="F446" s="483">
        <v>1773.35</v>
      </c>
      <c r="G446" s="499">
        <v>12</v>
      </c>
      <c r="H446" s="483">
        <v>11603.169999999998</v>
      </c>
      <c r="I446" s="486">
        <f t="shared" si="100"/>
      </c>
      <c r="J446" s="486">
        <f t="shared" si="129"/>
      </c>
      <c r="K446" s="487">
        <f t="shared" si="158"/>
      </c>
      <c r="L446" s="488">
        <f t="shared" si="188"/>
      </c>
      <c r="M446" s="489">
        <f t="shared" si="218"/>
      </c>
      <c r="N446" s="490">
        <f t="shared" si="248"/>
      </c>
      <c r="O446" s="491" t="s">
        <v>325</v>
      </c>
      <c r="P446" s="492" t="s">
        <v>363</v>
      </c>
      <c r="Q446" s="504">
        <v>28401</v>
      </c>
      <c r="R446" s="504">
        <v>1967</v>
      </c>
      <c r="S446" s="505">
        <v>17</v>
      </c>
      <c r="T446" s="505">
        <v>51</v>
      </c>
      <c r="U446" s="535"/>
    </row>
    <row r="447">
      <c r="A447" s="481"/>
      <c r="B447" s="536" t="s">
        <v>351</v>
      </c>
      <c r="C447" s="483" t="s">
        <v>324</v>
      </c>
      <c r="D447" s="500">
        <f t="shared" si="53"/>
      </c>
      <c r="E447" s="483">
        <v>407.44</v>
      </c>
      <c r="F447" s="483">
        <v>3896.54</v>
      </c>
      <c r="G447" s="499">
        <v>9</v>
      </c>
      <c r="H447" s="483">
        <v>4170.520000000004</v>
      </c>
      <c r="I447" s="486">
        <f t="shared" si="100"/>
      </c>
      <c r="J447" s="486">
        <f t="shared" si="129"/>
      </c>
      <c r="K447" s="487">
        <f t="shared" si="158"/>
      </c>
      <c r="L447" s="488">
        <f t="shared" si="188"/>
      </c>
      <c r="M447" s="489">
        <f t="shared" si="218"/>
      </c>
      <c r="N447" s="490">
        <f t="shared" si="248"/>
      </c>
      <c r="O447" s="491" t="s">
        <v>325</v>
      </c>
      <c r="P447" s="492" t="s">
        <v>363</v>
      </c>
      <c r="Q447" s="504">
        <v>62801</v>
      </c>
      <c r="R447" s="504">
        <v>3428</v>
      </c>
      <c r="S447" s="505">
        <v>13</v>
      </c>
      <c r="T447" s="505">
        <v>60</v>
      </c>
      <c r="U447" s="535"/>
    </row>
    <row r="448">
      <c r="A448" s="481"/>
      <c r="B448" s="536" t="s">
        <v>351</v>
      </c>
      <c r="C448" s="483" t="s">
        <v>327</v>
      </c>
      <c r="D448" s="500">
        <f t="shared" si="53"/>
      </c>
      <c r="E448" s="483">
        <v>380.52</v>
      </c>
      <c r="F448" s="483">
        <v>1110.4199999999998</v>
      </c>
      <c r="G448" s="499">
        <v>2</v>
      </c>
      <c r="H448" s="483">
        <v>430.07999999999447</v>
      </c>
      <c r="I448" s="486">
        <f t="shared" si="100"/>
      </c>
      <c r="J448" s="486">
        <f t="shared" si="129"/>
      </c>
      <c r="K448" s="487">
        <f t="shared" si="158"/>
      </c>
      <c r="L448" s="488">
        <f t="shared" si="188"/>
      </c>
      <c r="M448" s="489">
        <f t="shared" si="218"/>
      </c>
      <c r="N448" s="490">
        <f t="shared" si="248"/>
      </c>
      <c r="O448" s="491" t="s">
        <v>325</v>
      </c>
      <c r="P448" s="492" t="s">
        <v>363</v>
      </c>
      <c r="Q448" s="504">
        <v>17758</v>
      </c>
      <c r="R448" s="504">
        <v>1320</v>
      </c>
      <c r="S448" s="505">
        <v>2</v>
      </c>
      <c r="T448" s="505">
        <v>24</v>
      </c>
      <c r="U448" s="535"/>
    </row>
    <row r="449">
      <c r="A449" s="481"/>
      <c r="B449" s="506" t="s">
        <v>330</v>
      </c>
      <c r="C449" s="506"/>
      <c r="D449" s="507">
        <f>SUM(D445:D448)</f>
      </c>
      <c r="E449" s="507">
        <f>SUM(E445:E448)</f>
      </c>
      <c r="F449" s="507">
        <f>SUM(F445:F448)</f>
      </c>
      <c r="G449" s="508">
        <f>SUM(G445:G448)</f>
      </c>
      <c r="H449" s="507">
        <f>SUM(H445:H448)</f>
      </c>
      <c r="I449" s="515">
        <f t="shared" si="100"/>
      </c>
      <c r="J449" s="510">
        <f t="shared" si="129"/>
      </c>
      <c r="K449" s="511">
        <f t="shared" si="158"/>
      </c>
      <c r="L449" s="512">
        <f t="shared" si="188"/>
      </c>
      <c r="M449" s="512">
        <f t="shared" si="218"/>
      </c>
      <c r="N449" s="513">
        <f t="shared" si="248"/>
      </c>
      <c r="O449" s="513"/>
      <c r="P449" s="513"/>
      <c r="Q449" s="508">
        <f>SUM(Q445:Q448)</f>
      </c>
      <c r="R449" s="508">
        <f>SUM(R445:R448)</f>
      </c>
      <c r="S449" s="508">
        <f>SUM(S445:S448)</f>
      </c>
      <c r="T449" s="508">
        <f>SUM(T445:T448)</f>
      </c>
      <c r="U449" s="535"/>
    </row>
    <row r="450">
      <c r="A450" s="481"/>
      <c r="B450" s="516" t="s">
        <v>336</v>
      </c>
      <c r="C450" s="516"/>
      <c r="D450" s="517">
        <f>D439+D444+D449</f>
      </c>
      <c r="E450" s="517">
        <f>E439+E444+E449</f>
      </c>
      <c r="F450" s="517">
        <f>F439+F444+F449</f>
      </c>
      <c r="G450" s="530">
        <f>G439+G444+G449</f>
      </c>
      <c r="H450" s="517">
        <f>H439+H444+H449</f>
      </c>
      <c r="I450" s="519">
        <f t="shared" si="100"/>
      </c>
      <c r="J450" s="519">
        <f t="shared" si="129"/>
      </c>
      <c r="K450" s="520">
        <f t="shared" si="158"/>
      </c>
      <c r="L450" s="521">
        <f t="shared" si="188"/>
      </c>
      <c r="M450" s="521">
        <f t="shared" si="218"/>
      </c>
      <c r="N450" s="519">
        <f t="shared" si="248"/>
      </c>
      <c r="O450" s="522"/>
      <c r="P450" s="522"/>
      <c r="Q450" s="530">
        <f>Q439+Q444+Q449</f>
      </c>
      <c r="R450" s="530">
        <f>R439+R444+R449</f>
      </c>
      <c r="S450" s="530">
        <f>S439+S444+S449</f>
      </c>
      <c r="T450" s="530">
        <f>T439+T444+T449</f>
      </c>
      <c r="U450" s="535"/>
    </row>
    <row r="451">
      <c r="A451" s="534" t="s">
        <v>298</v>
      </c>
      <c r="B451" s="534"/>
      <c r="C451" s="534"/>
      <c r="D451" s="464" t="s">
        <v>299</v>
      </c>
      <c r="E451" s="464"/>
      <c r="F451" s="464"/>
      <c r="G451" s="464"/>
      <c r="H451" s="464"/>
      <c r="I451" s="464"/>
      <c r="J451" s="464"/>
      <c r="K451" s="464"/>
      <c r="L451" s="465" t="s">
        <v>300</v>
      </c>
      <c r="M451" s="465"/>
      <c r="N451" s="465"/>
      <c r="O451" s="465"/>
      <c r="P451" s="465"/>
      <c r="Q451" s="466" t="s">
        <v>301</v>
      </c>
      <c r="R451" s="466"/>
      <c r="S451" s="466"/>
      <c r="T451" s="466"/>
      <c r="U451" s="535"/>
    </row>
    <row r="452">
      <c r="A452" s="467" t="s">
        <v>302</v>
      </c>
      <c r="B452" s="468" t="s">
        <v>303</v>
      </c>
      <c r="C452" s="469" t="s">
        <v>304</v>
      </c>
      <c r="D452" s="470" t="s">
        <v>305</v>
      </c>
      <c r="E452" s="471" t="s">
        <v>306</v>
      </c>
      <c r="F452" s="470" t="s">
        <v>307</v>
      </c>
      <c r="G452" s="472" t="s">
        <v>308</v>
      </c>
      <c r="H452" s="473" t="s">
        <v>309</v>
      </c>
      <c r="I452" s="474" t="s">
        <v>310</v>
      </c>
      <c r="J452" s="475" t="s">
        <v>311</v>
      </c>
      <c r="K452" s="476" t="s">
        <v>312</v>
      </c>
      <c r="L452" s="465" t="s">
        <v>313</v>
      </c>
      <c r="M452" s="465" t="s">
        <v>314</v>
      </c>
      <c r="N452" s="465" t="s">
        <v>315</v>
      </c>
      <c r="O452" s="477" t="s">
        <v>316</v>
      </c>
      <c r="P452" s="478" t="s">
        <v>317</v>
      </c>
      <c r="Q452" s="479" t="s">
        <v>318</v>
      </c>
      <c r="R452" s="479" t="s">
        <v>319</v>
      </c>
      <c r="S452" s="480" t="s">
        <v>320</v>
      </c>
      <c r="T452" s="479" t="s">
        <v>321</v>
      </c>
      <c r="U452" s="535"/>
    </row>
    <row r="453">
      <c r="A453" s="481" t="s">
        <v>381</v>
      </c>
      <c r="B453" s="536" t="s">
        <v>331</v>
      </c>
      <c r="C453" s="483" t="s">
        <v>339</v>
      </c>
      <c r="D453" s="483">
        <f t="shared" ref="D453:D456" si="54">E453+F453</f>
      </c>
      <c r="E453" s="484">
        <v>1433.07</v>
      </c>
      <c r="F453" s="483">
        <v>3933.65</v>
      </c>
      <c r="G453" s="532">
        <v>18</v>
      </c>
      <c r="H453" s="483">
        <v>13530.48</v>
      </c>
      <c r="I453" s="486">
        <f t="shared" ref="I453:I476" si="101">H453/D453</f>
      </c>
      <c r="J453" s="537">
        <f t="shared" ref="J453:J476" si="130">D453/G453</f>
      </c>
      <c r="K453" s="487">
        <f t="shared" ref="K453:K476" si="159">H453/G453</f>
      </c>
      <c r="L453" s="488">
        <f t="shared" ref="L453:L476" si="189">R453/Q453</f>
      </c>
      <c r="M453" s="489">
        <f t="shared" ref="M453:M476" si="219">G453/S453</f>
      </c>
      <c r="N453" s="490">
        <f t="shared" ref="N453:N476" si="249">(T453*1000)/D453</f>
      </c>
      <c r="O453" s="491" t="s">
        <v>373</v>
      </c>
      <c r="P453" s="526" t="s">
        <v>343</v>
      </c>
      <c r="Q453" s="493">
        <v>70114</v>
      </c>
      <c r="R453" s="493">
        <v>5052</v>
      </c>
      <c r="S453" s="527">
        <v>27</v>
      </c>
      <c r="T453" s="527">
        <v>83</v>
      </c>
      <c r="U453" s="535"/>
    </row>
    <row r="454">
      <c r="A454" s="481"/>
      <c r="B454" s="536" t="s">
        <v>331</v>
      </c>
      <c r="C454" s="496" t="s">
        <v>341</v>
      </c>
      <c r="D454" s="497">
        <f t="shared" si="54"/>
      </c>
      <c r="E454" s="498">
        <v>1382.47</v>
      </c>
      <c r="F454" s="498">
        <v>4456.1</v>
      </c>
      <c r="G454" s="499">
        <v>23</v>
      </c>
      <c r="H454" s="483">
        <v>14938.849999999999</v>
      </c>
      <c r="I454" s="486">
        <f t="shared" si="101"/>
      </c>
      <c r="J454" s="486">
        <f t="shared" si="130"/>
      </c>
      <c r="K454" s="538">
        <f t="shared" si="159"/>
      </c>
      <c r="L454" s="488">
        <f t="shared" si="189"/>
      </c>
      <c r="M454" s="489">
        <f t="shared" si="219"/>
      </c>
      <c r="N454" s="490">
        <f t="shared" si="249"/>
      </c>
      <c r="O454" s="491" t="s">
        <v>373</v>
      </c>
      <c r="P454" s="526" t="s">
        <v>343</v>
      </c>
      <c r="Q454" s="494">
        <v>94661</v>
      </c>
      <c r="R454" s="494">
        <v>4774</v>
      </c>
      <c r="S454" s="527">
        <v>32</v>
      </c>
      <c r="T454" s="527">
        <v>91</v>
      </c>
      <c r="U454" s="535"/>
    </row>
    <row r="455">
      <c r="A455" s="481"/>
      <c r="B455" s="536" t="s">
        <v>331</v>
      </c>
      <c r="C455" s="483" t="s">
        <v>342</v>
      </c>
      <c r="D455" s="500">
        <f t="shared" si="54"/>
      </c>
      <c r="E455" s="483">
        <v>1248.87</v>
      </c>
      <c r="F455" s="483">
        <v>5273.49</v>
      </c>
      <c r="G455" s="502">
        <v>26</v>
      </c>
      <c r="H455" s="503">
        <v>15213.240000000002</v>
      </c>
      <c r="I455" s="486">
        <f t="shared" si="101"/>
      </c>
      <c r="J455" s="486">
        <f t="shared" si="130"/>
      </c>
      <c r="K455" s="487">
        <f t="shared" si="159"/>
      </c>
      <c r="L455" s="488">
        <f t="shared" si="189"/>
      </c>
      <c r="M455" s="489">
        <f t="shared" si="219"/>
      </c>
      <c r="N455" s="490">
        <f t="shared" si="249"/>
      </c>
      <c r="O455" s="491" t="s">
        <v>373</v>
      </c>
      <c r="P455" s="526" t="s">
        <v>343</v>
      </c>
      <c r="Q455" s="494">
        <v>101896</v>
      </c>
      <c r="R455" s="494">
        <v>4418</v>
      </c>
      <c r="S455" s="527">
        <v>37</v>
      </c>
      <c r="T455" s="527">
        <v>99</v>
      </c>
      <c r="U455" s="535"/>
    </row>
    <row r="456">
      <c r="A456" s="481"/>
      <c r="B456" s="536" t="s">
        <v>331</v>
      </c>
      <c r="C456" s="483" t="s">
        <v>344</v>
      </c>
      <c r="D456" s="500">
        <f t="shared" si="54"/>
      </c>
      <c r="E456" s="483">
        <v>2597.17</v>
      </c>
      <c r="F456" s="483">
        <v>5299.57</v>
      </c>
      <c r="G456" s="502">
        <v>20</v>
      </c>
      <c r="H456" s="503">
        <v>10664.300000000003</v>
      </c>
      <c r="I456" s="486">
        <f t="shared" si="101"/>
      </c>
      <c r="J456" s="486">
        <f t="shared" si="130"/>
      </c>
      <c r="K456" s="487">
        <f t="shared" si="159"/>
      </c>
      <c r="L456" s="488">
        <f t="shared" si="189"/>
      </c>
      <c r="M456" s="489">
        <f t="shared" si="219"/>
      </c>
      <c r="N456" s="490">
        <f t="shared" si="249"/>
      </c>
      <c r="O456" s="491" t="s">
        <v>373</v>
      </c>
      <c r="P456" s="526" t="s">
        <v>343</v>
      </c>
      <c r="Q456" s="494">
        <v>123261</v>
      </c>
      <c r="R456" s="494">
        <v>6007</v>
      </c>
      <c r="S456" s="527">
        <v>33</v>
      </c>
      <c r="T456" s="527">
        <v>116</v>
      </c>
      <c r="U456" s="539"/>
    </row>
    <row r="457">
      <c r="A457" s="481"/>
      <c r="B457" s="506" t="s">
        <v>330</v>
      </c>
      <c r="C457" s="506"/>
      <c r="D457" s="507">
        <f>SUM(D453:D456)</f>
      </c>
      <c r="E457" s="507">
        <f>SUM(E453:E456)</f>
      </c>
      <c r="F457" s="507">
        <f>SUM(F453:F456)</f>
      </c>
      <c r="G457" s="508">
        <f>SUM(G453:G456)</f>
      </c>
      <c r="H457" s="507">
        <f>SUM(H453:H456)</f>
      </c>
      <c r="I457" s="509">
        <f t="shared" si="101"/>
      </c>
      <c r="J457" s="510">
        <f t="shared" si="130"/>
      </c>
      <c r="K457" s="511">
        <f t="shared" si="159"/>
      </c>
      <c r="L457" s="512">
        <f t="shared" si="189"/>
      </c>
      <c r="M457" s="512">
        <f t="shared" si="219"/>
      </c>
      <c r="N457" s="513">
        <f t="shared" si="249"/>
      </c>
      <c r="O457" s="513"/>
      <c r="P457" s="513"/>
      <c r="Q457" s="508">
        <f>SUM(Q453:Q456)</f>
      </c>
      <c r="R457" s="508">
        <f>SUM(R453:R456)</f>
      </c>
      <c r="S457" s="508">
        <f>SUM(S453:S456)</f>
      </c>
      <c r="T457" s="508">
        <f>SUM(T453:T456)</f>
      </c>
      <c r="U457" s="535"/>
    </row>
    <row r="458">
      <c r="A458" s="481"/>
      <c r="B458" s="523" t="s">
        <v>338</v>
      </c>
      <c r="C458" s="483" t="s">
        <v>345</v>
      </c>
      <c r="D458" s="500">
        <f t="shared" ref="D458:D461" si="55">E458+F458</f>
      </c>
      <c r="E458" s="483">
        <v>1676.43</v>
      </c>
      <c r="F458" s="483">
        <v>3372.79</v>
      </c>
      <c r="G458" s="499">
        <v>13</v>
      </c>
      <c r="H458" s="483">
        <v>8615.080000000002</v>
      </c>
      <c r="I458" s="486">
        <f t="shared" si="101"/>
      </c>
      <c r="J458" s="486">
        <f t="shared" si="130"/>
      </c>
      <c r="K458" s="487">
        <f t="shared" si="159"/>
      </c>
      <c r="L458" s="488">
        <f t="shared" si="189"/>
      </c>
      <c r="M458" s="489">
        <f t="shared" si="219"/>
      </c>
      <c r="N458" s="490">
        <f t="shared" si="249"/>
      </c>
      <c r="O458" s="491" t="s">
        <v>373</v>
      </c>
      <c r="P458" s="526" t="s">
        <v>343</v>
      </c>
      <c r="Q458" s="504">
        <v>73336</v>
      </c>
      <c r="R458" s="504">
        <v>3782</v>
      </c>
      <c r="S458" s="505">
        <v>15</v>
      </c>
      <c r="T458" s="505">
        <v>76</v>
      </c>
      <c r="U458" s="535"/>
    </row>
    <row r="459">
      <c r="A459" s="481"/>
      <c r="B459" s="523" t="s">
        <v>338</v>
      </c>
      <c r="C459" s="483" t="s">
        <v>346</v>
      </c>
      <c r="D459" s="500">
        <f t="shared" si="55"/>
      </c>
      <c r="E459" s="501">
        <v>1919.1</v>
      </c>
      <c r="F459" s="483">
        <v>4346.06</v>
      </c>
      <c r="G459" s="502">
        <v>24</v>
      </c>
      <c r="H459" s="503">
        <v>10472.679999999986</v>
      </c>
      <c r="I459" s="486">
        <f t="shared" si="101"/>
      </c>
      <c r="J459" s="486">
        <f t="shared" si="130"/>
      </c>
      <c r="K459" s="487">
        <f t="shared" si="159"/>
      </c>
      <c r="L459" s="488">
        <f t="shared" si="189"/>
      </c>
      <c r="M459" s="489">
        <f t="shared" si="219"/>
      </c>
      <c r="N459" s="490">
        <f t="shared" si="249"/>
      </c>
      <c r="O459" s="491" t="s">
        <v>373</v>
      </c>
      <c r="P459" s="526" t="s">
        <v>343</v>
      </c>
      <c r="Q459" s="504">
        <v>96306</v>
      </c>
      <c r="R459" s="504">
        <v>5054</v>
      </c>
      <c r="S459" s="505">
        <v>29</v>
      </c>
      <c r="T459" s="505">
        <v>77</v>
      </c>
      <c r="U459" s="535"/>
    </row>
    <row r="460">
      <c r="A460" s="481"/>
      <c r="B460" s="523" t="s">
        <v>338</v>
      </c>
      <c r="C460" s="483" t="s">
        <v>347</v>
      </c>
      <c r="D460" s="500">
        <f t="shared" si="55"/>
      </c>
      <c r="E460" s="483">
        <v>6655.85</v>
      </c>
      <c r="F460" s="483">
        <v>5034.24</v>
      </c>
      <c r="G460" s="502">
        <v>42</v>
      </c>
      <c r="H460" s="503">
        <v>23537.110000000015</v>
      </c>
      <c r="I460" s="486">
        <f t="shared" si="101"/>
      </c>
      <c r="J460" s="486">
        <f t="shared" si="130"/>
      </c>
      <c r="K460" s="487">
        <f t="shared" si="159"/>
      </c>
      <c r="L460" s="488">
        <f t="shared" si="189"/>
      </c>
      <c r="M460" s="489">
        <f t="shared" si="219"/>
      </c>
      <c r="N460" s="490">
        <f t="shared" si="249"/>
      </c>
      <c r="O460" s="491" t="s">
        <v>373</v>
      </c>
      <c r="P460" s="526" t="s">
        <v>343</v>
      </c>
      <c r="Q460" s="504">
        <v>170060</v>
      </c>
      <c r="R460" s="504">
        <v>16128</v>
      </c>
      <c r="S460" s="505">
        <v>59</v>
      </c>
      <c r="T460" s="505">
        <v>191</v>
      </c>
      <c r="U460" s="535"/>
    </row>
    <row r="461">
      <c r="A461" s="481"/>
      <c r="B461" s="523" t="s">
        <v>338</v>
      </c>
      <c r="C461" s="483" t="s">
        <v>348</v>
      </c>
      <c r="D461" s="500">
        <f t="shared" si="55"/>
      </c>
      <c r="E461" s="483">
        <v>1240.89</v>
      </c>
      <c r="F461" s="483">
        <v>5573.78</v>
      </c>
      <c r="G461" s="502">
        <v>24</v>
      </c>
      <c r="H461" s="503">
        <v>15598.599999999991</v>
      </c>
      <c r="I461" s="486">
        <f t="shared" si="101"/>
      </c>
      <c r="J461" s="486">
        <f t="shared" si="130"/>
      </c>
      <c r="K461" s="487">
        <f t="shared" si="159"/>
      </c>
      <c r="L461" s="488">
        <f t="shared" si="189"/>
      </c>
      <c r="M461" s="489">
        <f t="shared" si="219"/>
      </c>
      <c r="N461" s="490">
        <f t="shared" si="249"/>
      </c>
      <c r="O461" s="491" t="s">
        <v>373</v>
      </c>
      <c r="P461" s="526" t="s">
        <v>343</v>
      </c>
      <c r="Q461" s="504">
        <v>99992</v>
      </c>
      <c r="R461" s="504">
        <v>6407</v>
      </c>
      <c r="S461" s="505">
        <v>35</v>
      </c>
      <c r="T461" s="505">
        <v>143</v>
      </c>
      <c r="U461" s="535"/>
    </row>
    <row r="462">
      <c r="A462" s="481"/>
      <c r="B462" s="506" t="s">
        <v>330</v>
      </c>
      <c r="C462" s="506"/>
      <c r="D462" s="507">
        <f>SUM(D458:D461)</f>
      </c>
      <c r="E462" s="507">
        <f>SUM(E458:E461)</f>
      </c>
      <c r="F462" s="507">
        <f>SUM(F458:F461)</f>
      </c>
      <c r="G462" s="508">
        <f>SUM(G458:G461)</f>
      </c>
      <c r="H462" s="507">
        <f>SUM(H458:H461)</f>
      </c>
      <c r="I462" s="515">
        <f t="shared" si="101"/>
      </c>
      <c r="J462" s="510">
        <f t="shared" si="130"/>
      </c>
      <c r="K462" s="511">
        <f t="shared" si="159"/>
      </c>
      <c r="L462" s="512">
        <f t="shared" si="189"/>
      </c>
      <c r="M462" s="512">
        <f t="shared" si="219"/>
      </c>
      <c r="N462" s="513">
        <f t="shared" si="249"/>
      </c>
      <c r="O462" s="513"/>
      <c r="P462" s="513"/>
      <c r="Q462" s="508">
        <f>SUM(Q458:Q461)</f>
      </c>
      <c r="R462" s="508">
        <f>SUM(R458:R461)</f>
      </c>
      <c r="S462" s="508">
        <f>SUM(S458:S461)</f>
      </c>
      <c r="T462" s="508">
        <f>SUM(T458:T461)</f>
      </c>
      <c r="U462" s="535"/>
    </row>
    <row r="463">
      <c r="A463" s="481"/>
      <c r="B463" s="523" t="s">
        <v>351</v>
      </c>
      <c r="C463" s="483" t="s">
        <v>349</v>
      </c>
      <c r="D463" s="500">
        <f t="shared" ref="D463:D466" si="56">E463+F463</f>
      </c>
      <c r="E463" s="483">
        <v>901.37</v>
      </c>
      <c r="F463" s="483">
        <v>4140.29</v>
      </c>
      <c r="G463" s="499">
        <v>16</v>
      </c>
      <c r="H463" s="483">
        <v>9323.520000000004</v>
      </c>
      <c r="I463" s="486">
        <f t="shared" si="101"/>
      </c>
      <c r="J463" s="486">
        <f t="shared" si="130"/>
      </c>
      <c r="K463" s="487">
        <f t="shared" si="159"/>
      </c>
      <c r="L463" s="488">
        <f t="shared" si="189"/>
      </c>
      <c r="M463" s="489">
        <f t="shared" si="219"/>
      </c>
      <c r="N463" s="490">
        <f t="shared" si="249"/>
      </c>
      <c r="O463" s="491" t="s">
        <v>373</v>
      </c>
      <c r="P463" s="492" t="s">
        <v>363</v>
      </c>
      <c r="Q463" s="504">
        <v>84055</v>
      </c>
      <c r="R463" s="504">
        <v>4194</v>
      </c>
      <c r="S463" s="505">
        <v>33</v>
      </c>
      <c r="T463" s="505">
        <v>74</v>
      </c>
      <c r="U463" s="535"/>
    </row>
    <row r="464">
      <c r="A464" s="481"/>
      <c r="B464" s="536" t="s">
        <v>351</v>
      </c>
      <c r="C464" s="483" t="s">
        <v>350</v>
      </c>
      <c r="D464" s="500">
        <f t="shared" si="56"/>
      </c>
      <c r="E464" s="483">
        <v>810.27</v>
      </c>
      <c r="F464" s="483">
        <v>4781.48</v>
      </c>
      <c r="G464" s="499">
        <v>22</v>
      </c>
      <c r="H464" s="483">
        <v>13819.479999999996</v>
      </c>
      <c r="I464" s="486">
        <f t="shared" si="101"/>
      </c>
      <c r="J464" s="486">
        <f t="shared" si="130"/>
      </c>
      <c r="K464" s="487">
        <f t="shared" si="159"/>
      </c>
      <c r="L464" s="488">
        <f t="shared" si="189"/>
      </c>
      <c r="M464" s="489">
        <f t="shared" si="219"/>
      </c>
      <c r="N464" s="490">
        <f t="shared" si="249"/>
      </c>
      <c r="O464" s="491" t="s">
        <v>373</v>
      </c>
      <c r="P464" s="492" t="s">
        <v>363</v>
      </c>
      <c r="Q464" s="504">
        <v>100453</v>
      </c>
      <c r="R464" s="504">
        <v>4400</v>
      </c>
      <c r="S464" s="505">
        <v>32</v>
      </c>
      <c r="T464" s="505">
        <v>85</v>
      </c>
      <c r="U464" s="535"/>
    </row>
    <row r="465">
      <c r="A465" s="481"/>
      <c r="B465" s="536" t="s">
        <v>351</v>
      </c>
      <c r="C465" s="483" t="s">
        <v>324</v>
      </c>
      <c r="D465" s="500">
        <f t="shared" si="56"/>
      </c>
      <c r="E465" s="483">
        <v>671.34</v>
      </c>
      <c r="F465" s="483">
        <v>2368.77</v>
      </c>
      <c r="G465" s="499">
        <v>10</v>
      </c>
      <c r="H465" s="483">
        <v>5661.130000000005</v>
      </c>
      <c r="I465" s="486">
        <f t="shared" si="101"/>
      </c>
      <c r="J465" s="486">
        <f t="shared" si="130"/>
      </c>
      <c r="K465" s="487">
        <f t="shared" si="159"/>
      </c>
      <c r="L465" s="488">
        <f t="shared" si="189"/>
      </c>
      <c r="M465" s="489">
        <f t="shared" si="219"/>
      </c>
      <c r="N465" s="490">
        <f t="shared" si="249"/>
      </c>
      <c r="O465" s="491" t="s">
        <v>325</v>
      </c>
      <c r="P465" s="492" t="s">
        <v>363</v>
      </c>
      <c r="Q465" s="504">
        <v>62017</v>
      </c>
      <c r="R465" s="504">
        <v>3044</v>
      </c>
      <c r="S465" s="505">
        <v>18</v>
      </c>
      <c r="T465" s="505">
        <v>50</v>
      </c>
      <c r="U465" s="535"/>
    </row>
    <row r="466">
      <c r="A466" s="481"/>
      <c r="B466" s="536" t="s">
        <v>351</v>
      </c>
      <c r="C466" s="483" t="s">
        <v>327</v>
      </c>
      <c r="D466" s="500">
        <f t="shared" si="56"/>
      </c>
      <c r="E466" s="483">
        <v>677.67</v>
      </c>
      <c r="F466" s="483">
        <v>2551.98</v>
      </c>
      <c r="G466" s="499">
        <v>10</v>
      </c>
      <c r="H466" s="483">
        <v>7157.419999999984</v>
      </c>
      <c r="I466" s="486">
        <f t="shared" si="101"/>
      </c>
      <c r="J466" s="486">
        <f t="shared" si="130"/>
      </c>
      <c r="K466" s="487">
        <f t="shared" si="159"/>
      </c>
      <c r="L466" s="488">
        <f t="shared" si="189"/>
      </c>
      <c r="M466" s="489">
        <f t="shared" si="219"/>
      </c>
      <c r="N466" s="490">
        <f t="shared" si="249"/>
      </c>
      <c r="O466" s="491" t="s">
        <v>325</v>
      </c>
      <c r="P466" s="492" t="s">
        <v>363</v>
      </c>
      <c r="Q466" s="504">
        <v>47463</v>
      </c>
      <c r="R466" s="504">
        <v>3154</v>
      </c>
      <c r="S466" s="505">
        <v>13</v>
      </c>
      <c r="T466" s="505">
        <v>53</v>
      </c>
      <c r="U466" s="535"/>
    </row>
    <row r="467">
      <c r="A467" s="481"/>
      <c r="B467" s="506" t="s">
        <v>330</v>
      </c>
      <c r="C467" s="506"/>
      <c r="D467" s="507">
        <f>SUM(D463:D466)</f>
      </c>
      <c r="E467" s="507">
        <f>SUM(E463:E466)</f>
      </c>
      <c r="F467" s="507">
        <f>SUM(F463:F466)</f>
      </c>
      <c r="G467" s="508">
        <f>SUM(G463:G466)</f>
      </c>
      <c r="H467" s="507">
        <f>SUM(H463:H466)</f>
      </c>
      <c r="I467" s="515">
        <f t="shared" si="101"/>
      </c>
      <c r="J467" s="510">
        <f t="shared" si="130"/>
      </c>
      <c r="K467" s="511">
        <f t="shared" si="159"/>
      </c>
      <c r="L467" s="512">
        <f t="shared" si="189"/>
      </c>
      <c r="M467" s="512">
        <f t="shared" si="219"/>
      </c>
      <c r="N467" s="513">
        <f t="shared" si="249"/>
      </c>
      <c r="O467" s="513"/>
      <c r="P467" s="513"/>
      <c r="Q467" s="508">
        <f>SUM(Q463:Q466)</f>
      </c>
      <c r="R467" s="508">
        <f>SUM(R463:R466)</f>
      </c>
      <c r="S467" s="508">
        <f>SUM(S463:S466)</f>
      </c>
      <c r="T467" s="508">
        <f>SUM(T463:T466)</f>
      </c>
      <c r="U467" s="535"/>
    </row>
    <row r="468">
      <c r="A468" s="481"/>
      <c r="B468" s="523" t="s">
        <v>369</v>
      </c>
      <c r="C468" s="483" t="s">
        <v>328</v>
      </c>
      <c r="D468" s="500">
        <v>2819.6800000000003</v>
      </c>
      <c r="E468" s="483">
        <v>815.95</v>
      </c>
      <c r="F468" s="483">
        <v>2003.73</v>
      </c>
      <c r="G468" s="499">
        <v>5</v>
      </c>
      <c r="H468" s="483">
        <v>2458.7000000000116</v>
      </c>
      <c r="I468" s="486">
        <f t="shared" si="101"/>
      </c>
      <c r="J468" s="486">
        <f t="shared" si="130"/>
      </c>
      <c r="K468" s="487">
        <f t="shared" si="159"/>
      </c>
      <c r="L468" s="488">
        <f t="shared" si="189"/>
      </c>
      <c r="M468" s="489">
        <f t="shared" si="219"/>
      </c>
      <c r="N468" s="490">
        <f t="shared" si="249"/>
      </c>
      <c r="O468" s="491" t="s">
        <v>325</v>
      </c>
      <c r="P468" s="492" t="s">
        <v>363</v>
      </c>
      <c r="Q468" s="504">
        <v>44174</v>
      </c>
      <c r="R468" s="504">
        <v>3338</v>
      </c>
      <c r="S468" s="505">
        <v>8</v>
      </c>
      <c r="T468" s="505">
        <v>54</v>
      </c>
      <c r="U468" s="535"/>
    </row>
    <row r="469">
      <c r="A469" s="481"/>
      <c r="B469" s="523" t="s">
        <v>369</v>
      </c>
      <c r="C469" s="483" t="s">
        <v>329</v>
      </c>
      <c r="D469" s="500">
        <v>2855.63</v>
      </c>
      <c r="E469" s="483">
        <v>383.06</v>
      </c>
      <c r="F469" s="483">
        <v>2472.57</v>
      </c>
      <c r="G469" s="499">
        <v>4</v>
      </c>
      <c r="H469" s="483">
        <v>1765.9400000000023</v>
      </c>
      <c r="I469" s="486">
        <f t="shared" si="101"/>
      </c>
      <c r="J469" s="486">
        <f t="shared" si="130"/>
      </c>
      <c r="K469" s="487">
        <f t="shared" si="159"/>
      </c>
      <c r="L469" s="488">
        <f t="shared" si="189"/>
      </c>
      <c r="M469" s="489">
        <f t="shared" si="219"/>
      </c>
      <c r="N469" s="490">
        <f t="shared" si="249"/>
      </c>
      <c r="O469" s="491" t="s">
        <v>325</v>
      </c>
      <c r="P469" s="492" t="s">
        <v>363</v>
      </c>
      <c r="Q469" s="504">
        <v>42910</v>
      </c>
      <c r="R469" s="504">
        <v>3960</v>
      </c>
      <c r="S469" s="505">
        <v>9</v>
      </c>
      <c r="T469" s="505">
        <v>48</v>
      </c>
      <c r="U469" s="535"/>
    </row>
    <row r="470">
      <c r="A470" s="481"/>
      <c r="B470" s="506" t="s">
        <v>330</v>
      </c>
      <c r="C470" s="506"/>
      <c r="D470" s="540">
        <v>5675.31</v>
      </c>
      <c r="E470" s="540">
        <v>1199.01</v>
      </c>
      <c r="F470" s="507">
        <v>4476.3</v>
      </c>
      <c r="G470" s="508">
        <f>SUM(G468:G469)</f>
      </c>
      <c r="H470" s="507">
        <f>SUM(H468:H469)</f>
      </c>
      <c r="I470" s="515">
        <f t="shared" si="101"/>
      </c>
      <c r="J470" s="510">
        <f t="shared" si="130"/>
      </c>
      <c r="K470" s="511">
        <f t="shared" si="159"/>
      </c>
      <c r="L470" s="512">
        <f t="shared" si="189"/>
      </c>
      <c r="M470" s="512">
        <f t="shared" si="219"/>
      </c>
      <c r="N470" s="513">
        <f t="shared" si="249"/>
      </c>
      <c r="O470" s="513"/>
      <c r="P470" s="513"/>
      <c r="Q470" s="508">
        <f>SUM(Q468:Q469)</f>
      </c>
      <c r="R470" s="508">
        <f>SUM(R468:R469)</f>
      </c>
      <c r="S470" s="508">
        <f>SUM(S468:S469)</f>
      </c>
      <c r="T470" s="508">
        <f>SUM(T468:T469)</f>
      </c>
      <c r="U470" s="535"/>
    </row>
    <row r="471">
      <c r="A471" s="481"/>
      <c r="B471" s="536" t="s">
        <v>375</v>
      </c>
      <c r="C471" s="500" t="s">
        <v>332</v>
      </c>
      <c r="D471" s="541">
        <v>2213.5299999999997</v>
      </c>
      <c r="E471" s="541">
        <v>254.25</v>
      </c>
      <c r="F471" s="484">
        <v>1959.28</v>
      </c>
      <c r="G471" s="499">
        <v>5</v>
      </c>
      <c r="H471" s="483">
        <v>2478.359999999986</v>
      </c>
      <c r="I471" s="486">
        <f t="shared" si="101"/>
      </c>
      <c r="J471" s="486">
        <f t="shared" si="130"/>
      </c>
      <c r="K471" s="487">
        <f t="shared" si="159"/>
      </c>
      <c r="L471" s="488">
        <f t="shared" si="189"/>
      </c>
      <c r="M471" s="489">
        <f t="shared" si="219"/>
      </c>
      <c r="N471" s="490">
        <f t="shared" si="249"/>
      </c>
      <c r="O471" s="491" t="s">
        <v>325</v>
      </c>
      <c r="P471" s="492" t="s">
        <v>363</v>
      </c>
      <c r="Q471" s="504">
        <v>34183</v>
      </c>
      <c r="R471" s="504">
        <v>2685</v>
      </c>
      <c r="S471" s="505">
        <v>9</v>
      </c>
      <c r="T471" s="505">
        <v>40</v>
      </c>
      <c r="U471" s="535"/>
    </row>
    <row r="472">
      <c r="A472" s="481"/>
      <c r="B472" s="536" t="s">
        <v>375</v>
      </c>
      <c r="C472" s="500" t="s">
        <v>333</v>
      </c>
      <c r="D472" s="541">
        <v>2931.3900000000003</v>
      </c>
      <c r="E472" s="541">
        <v>315.03</v>
      </c>
      <c r="F472" s="484">
        <v>2616.36</v>
      </c>
      <c r="G472" s="499">
        <v>11</v>
      </c>
      <c r="H472" s="483">
        <v>6331.330000000016</v>
      </c>
      <c r="I472" s="486">
        <f t="shared" si="101"/>
      </c>
      <c r="J472" s="486">
        <f t="shared" si="130"/>
      </c>
      <c r="K472" s="487">
        <f t="shared" si="159"/>
      </c>
      <c r="L472" s="488">
        <f t="shared" si="189"/>
      </c>
      <c r="M472" s="489">
        <f t="shared" si="219"/>
      </c>
      <c r="N472" s="490">
        <f t="shared" si="249"/>
      </c>
      <c r="O472" s="491" t="s">
        <v>325</v>
      </c>
      <c r="P472" s="492" t="s">
        <v>363</v>
      </c>
      <c r="Q472" s="504">
        <v>54552</v>
      </c>
      <c r="R472" s="504">
        <v>2956</v>
      </c>
      <c r="S472" s="505">
        <v>17</v>
      </c>
      <c r="T472" s="505">
        <v>53</v>
      </c>
      <c r="U472" s="535"/>
    </row>
    <row r="473">
      <c r="A473" s="481"/>
      <c r="B473" s="536" t="s">
        <v>375</v>
      </c>
      <c r="C473" s="542" t="s">
        <v>334</v>
      </c>
      <c r="D473" s="541">
        <v>5451.53</v>
      </c>
      <c r="E473" s="541">
        <v>2008.83</v>
      </c>
      <c r="F473" s="484">
        <v>3442.7</v>
      </c>
      <c r="G473" s="499">
        <v>13</v>
      </c>
      <c r="H473" s="483">
        <v>7359.479999999981</v>
      </c>
      <c r="I473" s="486">
        <f t="shared" si="101"/>
      </c>
      <c r="J473" s="486">
        <f t="shared" si="130"/>
      </c>
      <c r="K473" s="487">
        <f t="shared" si="159"/>
      </c>
      <c r="L473" s="488">
        <f t="shared" si="189"/>
      </c>
      <c r="M473" s="489">
        <f t="shared" si="219"/>
      </c>
      <c r="N473" s="490">
        <f t="shared" si="249"/>
      </c>
      <c r="O473" s="491" t="s">
        <v>325</v>
      </c>
      <c r="P473" s="492" t="s">
        <v>363</v>
      </c>
      <c r="Q473" s="504">
        <v>89673</v>
      </c>
      <c r="R473" s="504">
        <v>6148</v>
      </c>
      <c r="S473" s="505">
        <v>21</v>
      </c>
      <c r="T473" s="505">
        <v>93</v>
      </c>
      <c r="U473" s="535"/>
    </row>
    <row r="474">
      <c r="A474" s="481"/>
      <c r="B474" s="536" t="s">
        <v>375</v>
      </c>
      <c r="C474" s="542" t="s">
        <v>335</v>
      </c>
      <c r="D474" s="541">
        <v>2342.7200000000003</v>
      </c>
      <c r="E474" s="541">
        <v>628.24</v>
      </c>
      <c r="F474" s="484">
        <v>1714.48</v>
      </c>
      <c r="G474" s="499">
        <v>8</v>
      </c>
      <c r="H474" s="483">
        <v>4873.559999999998</v>
      </c>
      <c r="I474" s="486">
        <f t="shared" si="101"/>
      </c>
      <c r="J474" s="486">
        <f t="shared" si="130"/>
      </c>
      <c r="K474" s="487">
        <f t="shared" si="159"/>
      </c>
      <c r="L474" s="488">
        <f t="shared" si="189"/>
      </c>
      <c r="M474" s="489">
        <f t="shared" si="219"/>
      </c>
      <c r="N474" s="490">
        <f t="shared" si="249"/>
      </c>
      <c r="O474" s="491" t="s">
        <v>325</v>
      </c>
      <c r="P474" s="492" t="s">
        <v>363</v>
      </c>
      <c r="Q474" s="504">
        <v>34521</v>
      </c>
      <c r="R474" s="504">
        <v>2478</v>
      </c>
      <c r="S474" s="505">
        <v>14</v>
      </c>
      <c r="T474" s="505">
        <v>47</v>
      </c>
      <c r="U474" s="535"/>
    </row>
    <row r="475">
      <c r="A475" s="481"/>
      <c r="B475" s="506" t="s">
        <v>330</v>
      </c>
      <c r="C475" s="506"/>
      <c r="D475" s="543">
        <f>SUM(D471:D474)</f>
      </c>
      <c r="E475" s="543">
        <f>SUM(E471:E474)</f>
      </c>
      <c r="F475" s="507">
        <f>SUM(F471:F474)</f>
      </c>
      <c r="G475" s="508">
        <f>SUM(G471:G474)</f>
      </c>
      <c r="H475" s="507">
        <f>SUM(H471:H474)</f>
      </c>
      <c r="I475" s="515">
        <f t="shared" si="101"/>
      </c>
      <c r="J475" s="510">
        <f t="shared" si="130"/>
      </c>
      <c r="K475" s="511">
        <f t="shared" si="159"/>
      </c>
      <c r="L475" s="512">
        <f t="shared" si="189"/>
      </c>
      <c r="M475" s="512">
        <f t="shared" si="219"/>
      </c>
      <c r="N475" s="513">
        <f t="shared" si="249"/>
      </c>
      <c r="O475" s="513"/>
      <c r="P475" s="513"/>
      <c r="Q475" s="508">
        <f>SUM(Q471:Q474)</f>
      </c>
      <c r="R475" s="508">
        <f>SUM(R471:R474)</f>
      </c>
      <c r="S475" s="508">
        <f>SUM(S471:S474)</f>
      </c>
      <c r="T475" s="508">
        <f>SUM(T471:T474)</f>
      </c>
      <c r="U475" s="535"/>
    </row>
    <row r="476">
      <c r="A476" s="481"/>
      <c r="B476" s="516" t="s">
        <v>336</v>
      </c>
      <c r="C476" s="516"/>
      <c r="D476" s="517">
        <f>D457+D462+D467+D470+D475</f>
      </c>
      <c r="E476" s="517">
        <f>E457+E462+E467+E470+E475</f>
      </c>
      <c r="F476" s="517">
        <f>F457+F462+F467+F470+F475</f>
      </c>
      <c r="G476" s="544">
        <f>G457+G462+G467+G470+G475</f>
      </c>
      <c r="H476" s="517">
        <f>H457+H462+H467+H470+H475</f>
      </c>
      <c r="I476" s="519">
        <f t="shared" si="101"/>
      </c>
      <c r="J476" s="519">
        <f t="shared" si="130"/>
      </c>
      <c r="K476" s="520">
        <f t="shared" si="159"/>
      </c>
      <c r="L476" s="521">
        <f t="shared" si="189"/>
      </c>
      <c r="M476" s="521">
        <f t="shared" si="219"/>
      </c>
      <c r="N476" s="519">
        <f t="shared" si="249"/>
      </c>
      <c r="O476" s="522"/>
      <c r="P476" s="522"/>
      <c r="Q476" s="544">
        <f>Q457+Q462+Q467+Q470+Q475</f>
      </c>
      <c r="R476" s="544">
        <f>R457+R462+R467+R470+R475</f>
      </c>
      <c r="S476" s="544">
        <f>S457+S462+S467+S470+S475</f>
      </c>
      <c r="T476" s="544">
        <f>T457+T462+T467+T470+T475</f>
      </c>
      <c r="U476" s="535"/>
    </row>
    <row r="477">
      <c r="A477" s="534" t="s">
        <v>298</v>
      </c>
      <c r="B477" s="534"/>
      <c r="C477" s="534"/>
      <c r="D477" s="464" t="s">
        <v>299</v>
      </c>
      <c r="E477" s="464"/>
      <c r="F477" s="464"/>
      <c r="G477" s="464"/>
      <c r="H477" s="464"/>
      <c r="I477" s="464"/>
      <c r="J477" s="464"/>
      <c r="K477" s="464"/>
      <c r="L477" s="465" t="s">
        <v>300</v>
      </c>
      <c r="M477" s="465"/>
      <c r="N477" s="465"/>
      <c r="O477" s="465"/>
      <c r="P477" s="465"/>
      <c r="Q477" s="466" t="s">
        <v>301</v>
      </c>
      <c r="R477" s="466"/>
      <c r="S477" s="466"/>
      <c r="T477" s="466"/>
      <c r="U477" s="535"/>
    </row>
    <row r="478">
      <c r="A478" s="467" t="s">
        <v>302</v>
      </c>
      <c r="B478" s="468" t="s">
        <v>303</v>
      </c>
      <c r="C478" s="469" t="s">
        <v>304</v>
      </c>
      <c r="D478" s="470" t="s">
        <v>305</v>
      </c>
      <c r="E478" s="471" t="s">
        <v>306</v>
      </c>
      <c r="F478" s="470" t="s">
        <v>307</v>
      </c>
      <c r="G478" s="472" t="s">
        <v>308</v>
      </c>
      <c r="H478" s="473" t="s">
        <v>309</v>
      </c>
      <c r="I478" s="474" t="s">
        <v>310</v>
      </c>
      <c r="J478" s="475" t="s">
        <v>311</v>
      </c>
      <c r="K478" s="476" t="s">
        <v>312</v>
      </c>
      <c r="L478" s="465" t="s">
        <v>313</v>
      </c>
      <c r="M478" s="465" t="s">
        <v>314</v>
      </c>
      <c r="N478" s="465" t="s">
        <v>315</v>
      </c>
      <c r="O478" s="477" t="s">
        <v>316</v>
      </c>
      <c r="P478" s="478" t="s">
        <v>317</v>
      </c>
      <c r="Q478" s="479" t="s">
        <v>318</v>
      </c>
      <c r="R478" s="479" t="s">
        <v>319</v>
      </c>
      <c r="S478" s="480" t="s">
        <v>320</v>
      </c>
      <c r="T478" s="479" t="s">
        <v>321</v>
      </c>
      <c r="U478" s="535"/>
    </row>
    <row r="479">
      <c r="A479" s="481" t="s">
        <v>382</v>
      </c>
      <c r="B479" s="536" t="s">
        <v>331</v>
      </c>
      <c r="C479" s="483" t="s">
        <v>339</v>
      </c>
      <c r="D479" s="483">
        <f t="shared" ref="D479:D483" si="57">E479+F479</f>
      </c>
      <c r="E479" s="484">
        <v>1590.89</v>
      </c>
      <c r="F479" s="483">
        <v>3642.29</v>
      </c>
      <c r="G479" s="545">
        <v>12</v>
      </c>
      <c r="H479" s="503">
        <v>8023</v>
      </c>
      <c r="I479" s="486">
        <f t="shared" ref="I479:I494" si="102">H479/D479</f>
      </c>
      <c r="J479" s="537">
        <f t="shared" ref="J479:J494" si="131">D479/G479</f>
      </c>
      <c r="K479" s="487">
        <f t="shared" ref="K479:K494" si="160">H479/G479</f>
      </c>
      <c r="L479" s="488">
        <f t="shared" ref="L479:L494" si="190">R479/Q479</f>
      </c>
      <c r="M479" s="489">
        <f t="shared" ref="M479:M494" si="220">G479/S479</f>
      </c>
      <c r="N479" s="490">
        <f t="shared" ref="N479:N494" si="250">(T479*1000)/D479</f>
      </c>
      <c r="O479" s="491" t="s">
        <v>373</v>
      </c>
      <c r="P479" s="526" t="s">
        <v>343</v>
      </c>
      <c r="Q479" s="493">
        <v>63632</v>
      </c>
      <c r="R479" s="493">
        <v>5498</v>
      </c>
      <c r="S479" s="527">
        <v>21</v>
      </c>
      <c r="T479" s="527">
        <v>67</v>
      </c>
      <c r="U479" s="535"/>
    </row>
    <row r="480">
      <c r="A480" s="481"/>
      <c r="B480" s="536" t="s">
        <v>331</v>
      </c>
      <c r="C480" s="496" t="s">
        <v>341</v>
      </c>
      <c r="D480" s="497">
        <f t="shared" si="57"/>
      </c>
      <c r="E480" s="498">
        <v>2346.48</v>
      </c>
      <c r="F480" s="546">
        <v>5483.69</v>
      </c>
      <c r="G480" s="499">
        <v>24</v>
      </c>
      <c r="H480" s="483">
        <v>11536.48</v>
      </c>
      <c r="I480" s="547">
        <f t="shared" si="102"/>
      </c>
      <c r="J480" s="486">
        <f t="shared" si="131"/>
      </c>
      <c r="K480" s="538">
        <f t="shared" si="160"/>
      </c>
      <c r="L480" s="488">
        <f t="shared" si="190"/>
      </c>
      <c r="M480" s="489">
        <f t="shared" si="220"/>
      </c>
      <c r="N480" s="490">
        <f t="shared" si="250"/>
      </c>
      <c r="O480" s="491" t="s">
        <v>373</v>
      </c>
      <c r="P480" s="526" t="s">
        <v>343</v>
      </c>
      <c r="Q480" s="494">
        <v>101679</v>
      </c>
      <c r="R480" s="494">
        <v>8243</v>
      </c>
      <c r="S480" s="527">
        <v>31</v>
      </c>
      <c r="T480" s="527">
        <v>118</v>
      </c>
      <c r="U480" s="535"/>
    </row>
    <row r="481">
      <c r="A481" s="481"/>
      <c r="B481" s="536" t="s">
        <v>331</v>
      </c>
      <c r="C481" s="483" t="s">
        <v>342</v>
      </c>
      <c r="D481" s="500">
        <f t="shared" si="57"/>
      </c>
      <c r="E481" s="483">
        <v>1062.9</v>
      </c>
      <c r="F481" s="500">
        <v>2801.9</v>
      </c>
      <c r="G481" s="502">
        <v>19</v>
      </c>
      <c r="H481" s="503">
        <v>7797.860000000004</v>
      </c>
      <c r="I481" s="547">
        <f t="shared" si="102"/>
      </c>
      <c r="J481" s="486">
        <f t="shared" si="131"/>
      </c>
      <c r="K481" s="487">
        <f t="shared" si="160"/>
      </c>
      <c r="L481" s="488">
        <f t="shared" si="190"/>
      </c>
      <c r="M481" s="489">
        <f t="shared" si="220"/>
      </c>
      <c r="N481" s="490">
        <f t="shared" si="250"/>
      </c>
      <c r="O481" s="491" t="s">
        <v>373</v>
      </c>
      <c r="P481" s="526" t="s">
        <v>343</v>
      </c>
      <c r="Q481" s="494">
        <v>56986</v>
      </c>
      <c r="R481" s="494">
        <v>3599</v>
      </c>
      <c r="S481" s="527">
        <v>19</v>
      </c>
      <c r="T481" s="527">
        <v>57</v>
      </c>
      <c r="U481" s="535"/>
    </row>
    <row r="482">
      <c r="A482" s="481"/>
      <c r="B482" s="536" t="s">
        <v>331</v>
      </c>
      <c r="C482" s="483" t="s">
        <v>344</v>
      </c>
      <c r="D482" s="500">
        <f t="shared" si="57"/>
      </c>
      <c r="E482" s="483">
        <v>1247.46</v>
      </c>
      <c r="F482" s="500">
        <v>2309.06</v>
      </c>
      <c r="G482" s="502">
        <v>13</v>
      </c>
      <c r="H482" s="503">
        <v>8206.479999999996</v>
      </c>
      <c r="I482" s="547">
        <f t="shared" si="102"/>
      </c>
      <c r="J482" s="486">
        <f t="shared" si="131"/>
      </c>
      <c r="K482" s="487">
        <f t="shared" si="160"/>
      </c>
      <c r="L482" s="488">
        <f t="shared" si="190"/>
      </c>
      <c r="M482" s="489">
        <f t="shared" si="220"/>
      </c>
      <c r="N482" s="490">
        <f t="shared" si="250"/>
      </c>
      <c r="O482" s="491" t="s">
        <v>373</v>
      </c>
      <c r="P482" s="526" t="s">
        <v>343</v>
      </c>
      <c r="Q482" s="494">
        <v>46532</v>
      </c>
      <c r="R482" s="494">
        <v>3464</v>
      </c>
      <c r="S482" s="527">
        <v>18</v>
      </c>
      <c r="T482" s="527">
        <v>70</v>
      </c>
      <c r="U482" s="535"/>
    </row>
    <row r="483">
      <c r="A483" s="481"/>
      <c r="B483" s="536" t="s">
        <v>331</v>
      </c>
      <c r="C483" s="483" t="s">
        <v>345</v>
      </c>
      <c r="D483" s="500">
        <f t="shared" si="57"/>
      </c>
      <c r="E483" s="483">
        <v>1085.17</v>
      </c>
      <c r="F483" s="483">
        <v>3049.71</v>
      </c>
      <c r="G483" s="548">
        <v>13</v>
      </c>
      <c r="H483" s="549">
        <v>7822.199999999997</v>
      </c>
      <c r="I483" s="486">
        <f t="shared" si="102"/>
      </c>
      <c r="J483" s="486">
        <f t="shared" si="131"/>
      </c>
      <c r="K483" s="487">
        <f t="shared" si="160"/>
      </c>
      <c r="L483" s="488">
        <f t="shared" si="190"/>
      </c>
      <c r="M483" s="489">
        <f t="shared" si="220"/>
      </c>
      <c r="N483" s="490">
        <f t="shared" si="250"/>
      </c>
      <c r="O483" s="491" t="s">
        <v>373</v>
      </c>
      <c r="P483" s="526" t="s">
        <v>343</v>
      </c>
      <c r="Q483" s="494">
        <v>54236</v>
      </c>
      <c r="R483" s="494">
        <v>3652</v>
      </c>
      <c r="S483" s="527">
        <v>15</v>
      </c>
      <c r="T483" s="527">
        <v>62</v>
      </c>
      <c r="U483" s="535"/>
    </row>
    <row r="484">
      <c r="A484" s="481"/>
      <c r="B484" s="506" t="s">
        <v>330</v>
      </c>
      <c r="C484" s="506"/>
      <c r="D484" s="507">
        <f>SUM(D479:D483)</f>
      </c>
      <c r="E484" s="507">
        <f>SUM(E479:E483)</f>
      </c>
      <c r="F484" s="507">
        <f>SUM(F479:F483)</f>
      </c>
      <c r="G484" s="508">
        <f>SUM(G479:G483)</f>
      </c>
      <c r="H484" s="507">
        <f>SUM(H479:H483)</f>
      </c>
      <c r="I484" s="509">
        <f t="shared" si="102"/>
      </c>
      <c r="J484" s="510">
        <f t="shared" si="131"/>
      </c>
      <c r="K484" s="511">
        <f t="shared" si="160"/>
      </c>
      <c r="L484" s="512">
        <f t="shared" si="190"/>
      </c>
      <c r="M484" s="512">
        <f t="shared" si="220"/>
      </c>
      <c r="N484" s="513">
        <f t="shared" si="250"/>
      </c>
      <c r="O484" s="513"/>
      <c r="P484" s="513"/>
      <c r="Q484" s="508">
        <f>SUM(Q479:Q483)</f>
      </c>
      <c r="R484" s="508">
        <f>SUM(R479:R483)</f>
      </c>
      <c r="S484" s="508">
        <f>SUM(S479:S483)</f>
      </c>
      <c r="T484" s="508">
        <f>SUM(T479:T483)</f>
      </c>
      <c r="U484" s="535"/>
    </row>
    <row r="485">
      <c r="A485" s="481"/>
      <c r="B485" s="523" t="s">
        <v>338</v>
      </c>
      <c r="C485" s="483" t="s">
        <v>346</v>
      </c>
      <c r="D485" s="500">
        <f t="shared" ref="D485:D489" si="58">E485+F485</f>
      </c>
      <c r="E485" s="483">
        <v>917.99</v>
      </c>
      <c r="F485" s="483">
        <v>2967.62</v>
      </c>
      <c r="G485" s="499">
        <v>6</v>
      </c>
      <c r="H485" s="483">
        <v>3880.4300000000003</v>
      </c>
      <c r="I485" s="486">
        <f t="shared" si="102"/>
      </c>
      <c r="J485" s="486">
        <f t="shared" si="131"/>
      </c>
      <c r="K485" s="487">
        <f t="shared" si="160"/>
      </c>
      <c r="L485" s="488">
        <f t="shared" si="190"/>
      </c>
      <c r="M485" s="489">
        <f t="shared" si="220"/>
      </c>
      <c r="N485" s="490">
        <f t="shared" si="250"/>
      </c>
      <c r="O485" s="491" t="s">
        <v>373</v>
      </c>
      <c r="P485" s="526" t="s">
        <v>343</v>
      </c>
      <c r="Q485" s="504">
        <v>44091</v>
      </c>
      <c r="R485" s="504">
        <v>4636</v>
      </c>
      <c r="S485" s="505">
        <v>12</v>
      </c>
      <c r="T485" s="505">
        <v>61</v>
      </c>
      <c r="U485" s="535"/>
    </row>
    <row r="486">
      <c r="A486" s="481"/>
      <c r="B486" s="523" t="s">
        <v>338</v>
      </c>
      <c r="C486" s="483" t="s">
        <v>347</v>
      </c>
      <c r="D486" s="500">
        <f t="shared" si="58"/>
      </c>
      <c r="E486" s="501">
        <v>1568.51</v>
      </c>
      <c r="F486" s="483">
        <v>2347.27</v>
      </c>
      <c r="G486" s="502">
        <v>10</v>
      </c>
      <c r="H486" s="503">
        <v>4786.600000000006</v>
      </c>
      <c r="I486" s="486">
        <f t="shared" si="102"/>
      </c>
      <c r="J486" s="486">
        <f t="shared" si="131"/>
      </c>
      <c r="K486" s="487">
        <f t="shared" si="160"/>
      </c>
      <c r="L486" s="488">
        <f t="shared" si="190"/>
      </c>
      <c r="M486" s="489">
        <f t="shared" si="220"/>
      </c>
      <c r="N486" s="490">
        <f t="shared" si="250"/>
      </c>
      <c r="O486" s="491" t="s">
        <v>373</v>
      </c>
      <c r="P486" s="526" t="s">
        <v>343</v>
      </c>
      <c r="Q486" s="504">
        <v>43352</v>
      </c>
      <c r="R486" s="504">
        <v>6359</v>
      </c>
      <c r="S486" s="505">
        <v>11</v>
      </c>
      <c r="T486" s="505">
        <v>78</v>
      </c>
      <c r="U486" s="535"/>
    </row>
    <row r="487">
      <c r="A487" s="481"/>
      <c r="B487" s="523" t="s">
        <v>338</v>
      </c>
      <c r="C487" s="483" t="s">
        <v>348</v>
      </c>
      <c r="D487" s="500">
        <f t="shared" si="58"/>
      </c>
      <c r="E487" s="483">
        <v>505.47</v>
      </c>
      <c r="F487" s="483">
        <v>2320.99</v>
      </c>
      <c r="G487" s="502">
        <v>6</v>
      </c>
      <c r="H487" s="503">
        <v>3094.439999999995</v>
      </c>
      <c r="I487" s="486">
        <f t="shared" si="102"/>
      </c>
      <c r="J487" s="486">
        <f t="shared" si="131"/>
      </c>
      <c r="K487" s="487">
        <f t="shared" si="160"/>
      </c>
      <c r="L487" s="488">
        <f t="shared" si="190"/>
      </c>
      <c r="M487" s="489">
        <f t="shared" si="220"/>
      </c>
      <c r="N487" s="490">
        <f t="shared" si="250"/>
      </c>
      <c r="O487" s="491" t="s">
        <v>373</v>
      </c>
      <c r="P487" s="526" t="s">
        <v>343</v>
      </c>
      <c r="Q487" s="504">
        <v>36230</v>
      </c>
      <c r="R487" s="504">
        <v>2412</v>
      </c>
      <c r="S487" s="505">
        <v>10</v>
      </c>
      <c r="T487" s="505">
        <v>51</v>
      </c>
      <c r="U487" s="535"/>
    </row>
    <row customHeight="true" ht="16.666666666666668" r="488">
      <c r="A488" s="481"/>
      <c r="B488" s="523" t="s">
        <v>338</v>
      </c>
      <c r="C488" s="483" t="s">
        <v>349</v>
      </c>
      <c r="D488" s="500">
        <f t="shared" si="58"/>
      </c>
      <c r="E488" s="483">
        <v>378.03</v>
      </c>
      <c r="F488" s="483">
        <v>2097.18</v>
      </c>
      <c r="G488" s="502">
        <v>5</v>
      </c>
      <c r="H488" s="503">
        <v>3345.020000000004</v>
      </c>
      <c r="I488" s="486">
        <f t="shared" si="102"/>
      </c>
      <c r="J488" s="486">
        <f t="shared" si="131"/>
      </c>
      <c r="K488" s="487">
        <f t="shared" si="160"/>
      </c>
      <c r="L488" s="488">
        <f t="shared" si="190"/>
      </c>
      <c r="M488" s="489">
        <f t="shared" si="220"/>
      </c>
      <c r="N488" s="490">
        <f t="shared" si="250"/>
      </c>
      <c r="O488" s="491" t="s">
        <v>373</v>
      </c>
      <c r="P488" s="492" t="s">
        <v>363</v>
      </c>
      <c r="Q488" s="504">
        <v>27021</v>
      </c>
      <c r="R488" s="504">
        <v>2082</v>
      </c>
      <c r="S488" s="505">
        <v>12</v>
      </c>
      <c r="T488" s="505">
        <v>44</v>
      </c>
      <c r="U488" s="535"/>
    </row>
    <row r="489">
      <c r="A489" s="481"/>
      <c r="B489" s="523" t="s">
        <v>338</v>
      </c>
      <c r="C489" s="483" t="s">
        <v>350</v>
      </c>
      <c r="D489" s="500">
        <f t="shared" si="58"/>
      </c>
      <c r="E489" s="483">
        <v>325.38</v>
      </c>
      <c r="F489" s="483">
        <v>1500.85</v>
      </c>
      <c r="G489" s="531">
        <v>4</v>
      </c>
      <c r="H489" s="533">
        <v>1761.2799999999984</v>
      </c>
      <c r="I489" s="486">
        <f t="shared" si="102"/>
      </c>
      <c r="J489" s="486">
        <f t="shared" si="131"/>
      </c>
      <c r="K489" s="487">
        <f t="shared" si="160"/>
      </c>
      <c r="L489" s="488">
        <f t="shared" si="190"/>
      </c>
      <c r="M489" s="489">
        <f t="shared" si="220"/>
      </c>
      <c r="N489" s="490">
        <f t="shared" si="250"/>
      </c>
      <c r="O489" s="491" t="s">
        <v>373</v>
      </c>
      <c r="P489" s="492" t="s">
        <v>363</v>
      </c>
      <c r="Q489" s="504">
        <v>23686</v>
      </c>
      <c r="R489" s="504">
        <v>1333</v>
      </c>
      <c r="S489" s="505">
        <v>4</v>
      </c>
      <c r="T489" s="505">
        <v>24</v>
      </c>
      <c r="U489" s="535"/>
    </row>
    <row r="490">
      <c r="A490" s="481"/>
      <c r="B490" s="506" t="s">
        <v>330</v>
      </c>
      <c r="C490" s="506"/>
      <c r="D490" s="507">
        <f>SUM(D485:D489)</f>
      </c>
      <c r="E490" s="507">
        <f>SUM(E485:E489)</f>
      </c>
      <c r="F490" s="507">
        <f>SUM(F485:F489)</f>
      </c>
      <c r="G490" s="508">
        <f>SUM(G485:G489)</f>
      </c>
      <c r="H490" s="507">
        <f>SUM(H485:H489)</f>
      </c>
      <c r="I490" s="515">
        <f t="shared" si="102"/>
      </c>
      <c r="J490" s="510">
        <f t="shared" si="131"/>
      </c>
      <c r="K490" s="511">
        <f t="shared" si="160"/>
      </c>
      <c r="L490" s="512">
        <f t="shared" si="190"/>
      </c>
      <c r="M490" s="512">
        <f t="shared" si="220"/>
      </c>
      <c r="N490" s="513">
        <f t="shared" si="250"/>
      </c>
      <c r="O490" s="513"/>
      <c r="P490" s="513"/>
      <c r="Q490" s="508">
        <f>SUM(Q485:Q489)</f>
      </c>
      <c r="R490" s="508">
        <f>SUM(R485:R489)</f>
      </c>
      <c r="S490" s="508">
        <f>SUM(S485:S489)</f>
      </c>
      <c r="T490" s="508">
        <f>SUM(T485:T489)</f>
      </c>
      <c r="U490" s="535"/>
    </row>
    <row r="491">
      <c r="A491" s="481"/>
      <c r="B491" s="523" t="s">
        <v>351</v>
      </c>
      <c r="C491" s="483" t="s">
        <v>324</v>
      </c>
      <c r="D491" s="500">
        <f t="shared" ref="D491:D492" si="59">E491+F491</f>
      </c>
      <c r="E491" s="483">
        <v>287.45</v>
      </c>
      <c r="F491" s="483">
        <v>1441.04</v>
      </c>
      <c r="G491" s="499">
        <v>9</v>
      </c>
      <c r="H491" s="483">
        <v>3781.5800000000017</v>
      </c>
      <c r="I491" s="486">
        <f t="shared" si="102"/>
      </c>
      <c r="J491" s="486">
        <f t="shared" si="131"/>
      </c>
      <c r="K491" s="487">
        <f t="shared" si="160"/>
      </c>
      <c r="L491" s="488">
        <f t="shared" si="190"/>
      </c>
      <c r="M491" s="489">
        <f t="shared" si="220"/>
      </c>
      <c r="N491" s="490">
        <f t="shared" si="250"/>
      </c>
      <c r="O491" s="491" t="s">
        <v>325</v>
      </c>
      <c r="P491" s="492" t="s">
        <v>363</v>
      </c>
      <c r="Q491" s="504">
        <v>25300</v>
      </c>
      <c r="R491" s="504">
        <v>1071</v>
      </c>
      <c r="S491" s="505">
        <v>11</v>
      </c>
      <c r="T491" s="505">
        <v>31</v>
      </c>
      <c r="U491" s="535"/>
    </row>
    <row r="492">
      <c r="A492" s="481"/>
      <c r="B492" s="536" t="s">
        <v>351</v>
      </c>
      <c r="C492" s="483" t="s">
        <v>327</v>
      </c>
      <c r="D492" s="500">
        <f t="shared" si="59"/>
      </c>
      <c r="E492" s="483">
        <v>144.07</v>
      </c>
      <c r="F492" s="483">
        <v>1290.27</v>
      </c>
      <c r="G492" s="499">
        <v>4</v>
      </c>
      <c r="H492" s="483">
        <v>1322.8799999999974</v>
      </c>
      <c r="I492" s="486">
        <f t="shared" si="102"/>
      </c>
      <c r="J492" s="486">
        <f t="shared" si="131"/>
      </c>
      <c r="K492" s="487">
        <f t="shared" si="160"/>
      </c>
      <c r="L492" s="488">
        <f t="shared" si="190"/>
      </c>
      <c r="M492" s="489">
        <f t="shared" si="220"/>
      </c>
      <c r="N492" s="490">
        <f t="shared" si="250"/>
      </c>
      <c r="O492" s="491" t="s">
        <v>325</v>
      </c>
      <c r="P492" s="492" t="s">
        <v>363</v>
      </c>
      <c r="Q492" s="504">
        <v>25873</v>
      </c>
      <c r="R492" s="504">
        <v>867</v>
      </c>
      <c r="S492" s="505">
        <v>4</v>
      </c>
      <c r="T492" s="505">
        <v>18</v>
      </c>
      <c r="U492" s="535"/>
    </row>
    <row r="493">
      <c r="A493" s="481"/>
      <c r="B493" s="506" t="s">
        <v>330</v>
      </c>
      <c r="C493" s="506"/>
      <c r="D493" s="507">
        <f>SUM(D491:D492)</f>
      </c>
      <c r="E493" s="507">
        <f>SUM(E491:E492)</f>
      </c>
      <c r="F493" s="507">
        <f>SUM(F491:F492)</f>
      </c>
      <c r="G493" s="508">
        <f>SUM(G491:G492)</f>
      </c>
      <c r="H493" s="507">
        <f>SUM(H491:H492)</f>
      </c>
      <c r="I493" s="515">
        <f t="shared" si="102"/>
      </c>
      <c r="J493" s="510">
        <f t="shared" si="131"/>
      </c>
      <c r="K493" s="511">
        <f t="shared" si="160"/>
      </c>
      <c r="L493" s="512">
        <f t="shared" si="190"/>
      </c>
      <c r="M493" s="512">
        <f t="shared" si="220"/>
      </c>
      <c r="N493" s="513">
        <f t="shared" si="250"/>
      </c>
      <c r="O493" s="513"/>
      <c r="P493" s="513"/>
      <c r="Q493" s="508">
        <f>SUM(Q491:Q492)</f>
      </c>
      <c r="R493" s="508">
        <f>SUM(R491:R492)</f>
      </c>
      <c r="S493" s="508">
        <f>SUM(S491:S492)</f>
      </c>
      <c r="T493" s="508">
        <f>SUM(T491:T492)</f>
      </c>
      <c r="U493" s="535"/>
    </row>
    <row r="494">
      <c r="A494" s="481"/>
      <c r="B494" s="516" t="s">
        <v>336</v>
      </c>
      <c r="C494" s="516"/>
      <c r="D494" s="517">
        <f>D484+D490+D493</f>
      </c>
      <c r="E494" s="517">
        <f>E484+E490+E493</f>
      </c>
      <c r="F494" s="517">
        <f>F484+F490+F493</f>
      </c>
      <c r="G494" s="530">
        <f>G484+G490+G493</f>
      </c>
      <c r="H494" s="517">
        <f>H484+H490+H493</f>
      </c>
      <c r="I494" s="519">
        <f t="shared" si="102"/>
      </c>
      <c r="J494" s="519">
        <f t="shared" si="131"/>
      </c>
      <c r="K494" s="520">
        <f t="shared" si="160"/>
      </c>
      <c r="L494" s="521">
        <f t="shared" si="190"/>
      </c>
      <c r="M494" s="521">
        <f t="shared" si="220"/>
      </c>
      <c r="N494" s="519">
        <f t="shared" si="250"/>
      </c>
      <c r="O494" s="522"/>
      <c r="P494" s="522"/>
      <c r="Q494" s="530">
        <f>Q484+Q490+Q493</f>
      </c>
      <c r="R494" s="530">
        <f>R484+R490+R493</f>
      </c>
      <c r="S494" s="530">
        <f>S484+S490+S493</f>
      </c>
      <c r="T494" s="530">
        <f>T484+T490+T493</f>
      </c>
      <c r="U494" s="535"/>
    </row>
    <row r="495">
      <c r="A495" s="534" t="s">
        <v>298</v>
      </c>
      <c r="B495" s="534"/>
      <c r="C495" s="534"/>
      <c r="D495" s="464" t="s">
        <v>299</v>
      </c>
      <c r="E495" s="464"/>
      <c r="F495" s="464"/>
      <c r="G495" s="464"/>
      <c r="H495" s="464"/>
      <c r="I495" s="464"/>
      <c r="J495" s="464"/>
      <c r="K495" s="464"/>
      <c r="L495" s="465" t="s">
        <v>300</v>
      </c>
      <c r="M495" s="465"/>
      <c r="N495" s="465"/>
      <c r="O495" s="465"/>
      <c r="P495" s="465"/>
      <c r="Q495" s="466" t="s">
        <v>301</v>
      </c>
      <c r="R495" s="466"/>
      <c r="S495" s="466"/>
      <c r="T495" s="466"/>
      <c r="U495" s="535"/>
    </row>
    <row r="496">
      <c r="A496" s="467" t="s">
        <v>302</v>
      </c>
      <c r="B496" s="468" t="s">
        <v>303</v>
      </c>
      <c r="C496" s="469" t="s">
        <v>304</v>
      </c>
      <c r="D496" s="470" t="s">
        <v>305</v>
      </c>
      <c r="E496" s="471" t="s">
        <v>306</v>
      </c>
      <c r="F496" s="470" t="s">
        <v>307</v>
      </c>
      <c r="G496" s="472" t="s">
        <v>308</v>
      </c>
      <c r="H496" s="473" t="s">
        <v>309</v>
      </c>
      <c r="I496" s="474" t="s">
        <v>310</v>
      </c>
      <c r="J496" s="475" t="s">
        <v>311</v>
      </c>
      <c r="K496" s="476" t="s">
        <v>312</v>
      </c>
      <c r="L496" s="465" t="s">
        <v>313</v>
      </c>
      <c r="M496" s="465" t="s">
        <v>314</v>
      </c>
      <c r="N496" s="465" t="s">
        <v>315</v>
      </c>
      <c r="O496" s="477" t="s">
        <v>316</v>
      </c>
      <c r="P496" s="478" t="s">
        <v>317</v>
      </c>
      <c r="Q496" s="479" t="s">
        <v>318</v>
      </c>
      <c r="R496" s="479" t="s">
        <v>319</v>
      </c>
      <c r="S496" s="480" t="s">
        <v>320</v>
      </c>
      <c r="T496" s="479" t="s">
        <v>321</v>
      </c>
      <c r="U496" s="535"/>
    </row>
    <row r="497">
      <c r="A497" s="481" t="s">
        <v>383</v>
      </c>
      <c r="B497" s="536" t="s">
        <v>331</v>
      </c>
      <c r="C497" s="483" t="s">
        <v>339</v>
      </c>
      <c r="D497" s="483">
        <f t="shared" ref="D497:D500" si="60">E497+F497</f>
      </c>
      <c r="E497" s="484">
        <v>430.68</v>
      </c>
      <c r="F497" s="483">
        <v>1647.22</v>
      </c>
      <c r="G497" s="532">
        <v>9</v>
      </c>
      <c r="H497" s="483">
        <v>6056.06</v>
      </c>
      <c r="I497" s="486">
        <f t="shared" ref="I497:I511" si="103">H497/D497</f>
      </c>
      <c r="J497" s="537">
        <f t="shared" ref="J497:J511" si="132">D497/G497</f>
      </c>
      <c r="K497" s="487">
        <f t="shared" ref="K497:K511" si="161">H497/G497</f>
      </c>
      <c r="L497" s="488">
        <f t="shared" ref="L497:L511" si="191">R497/Q497</f>
      </c>
      <c r="M497" s="489">
        <f t="shared" ref="M497:M511" si="221">G497/S497</f>
      </c>
      <c r="N497" s="490">
        <f t="shared" ref="N497:N511" si="251">(T497*1000)/D497</f>
      </c>
      <c r="O497" s="491" t="s">
        <v>373</v>
      </c>
      <c r="P497" s="526" t="s">
        <v>343</v>
      </c>
      <c r="Q497" s="493">
        <v>23726</v>
      </c>
      <c r="R497" s="493">
        <v>1741</v>
      </c>
      <c r="S497" s="527">
        <v>15</v>
      </c>
      <c r="T497" s="527">
        <v>35</v>
      </c>
      <c r="U497" s="535"/>
    </row>
    <row r="498">
      <c r="A498" s="481"/>
      <c r="B498" s="536" t="s">
        <v>331</v>
      </c>
      <c r="C498" s="496" t="s">
        <v>341</v>
      </c>
      <c r="D498" s="497">
        <f t="shared" si="60"/>
      </c>
      <c r="E498" s="498">
        <v>502.58</v>
      </c>
      <c r="F498" s="498">
        <v>908.32</v>
      </c>
      <c r="G498" s="499">
        <v>6</v>
      </c>
      <c r="H498" s="483">
        <v>2639.2799999999997</v>
      </c>
      <c r="I498" s="486">
        <f t="shared" si="103"/>
      </c>
      <c r="J498" s="486">
        <f t="shared" si="132"/>
      </c>
      <c r="K498" s="538">
        <f t="shared" si="161"/>
      </c>
      <c r="L498" s="488">
        <f t="shared" si="191"/>
      </c>
      <c r="M498" s="489">
        <f t="shared" si="221"/>
      </c>
      <c r="N498" s="490">
        <f t="shared" si="251"/>
      </c>
      <c r="O498" s="491" t="s">
        <v>373</v>
      </c>
      <c r="P498" s="526" t="s">
        <v>343</v>
      </c>
      <c r="Q498" s="494">
        <v>21476</v>
      </c>
      <c r="R498" s="494">
        <v>2194</v>
      </c>
      <c r="S498" s="527">
        <v>9</v>
      </c>
      <c r="T498" s="527">
        <v>30</v>
      </c>
      <c r="U498" s="535"/>
    </row>
    <row r="499">
      <c r="A499" s="481"/>
      <c r="B499" s="536" t="s">
        <v>331</v>
      </c>
      <c r="C499" s="483" t="s">
        <v>342</v>
      </c>
      <c r="D499" s="500">
        <f t="shared" si="60"/>
      </c>
      <c r="E499" s="483">
        <v>1141.9</v>
      </c>
      <c r="F499" s="483">
        <v>1063.17</v>
      </c>
      <c r="G499" s="502">
        <v>7</v>
      </c>
      <c r="H499" s="503">
        <v>3317.040000000001</v>
      </c>
      <c r="I499" s="486">
        <f t="shared" si="103"/>
      </c>
      <c r="J499" s="486">
        <f t="shared" si="132"/>
      </c>
      <c r="K499" s="487">
        <f t="shared" si="161"/>
      </c>
      <c r="L499" s="488">
        <f t="shared" si="191"/>
      </c>
      <c r="M499" s="489">
        <f t="shared" si="221"/>
      </c>
      <c r="N499" s="490">
        <f t="shared" si="251"/>
      </c>
      <c r="O499" s="491" t="s">
        <v>373</v>
      </c>
      <c r="P499" s="526" t="s">
        <v>343</v>
      </c>
      <c r="Q499" s="494">
        <v>27126</v>
      </c>
      <c r="R499" s="494">
        <v>2702</v>
      </c>
      <c r="S499" s="527">
        <v>13</v>
      </c>
      <c r="T499" s="527">
        <v>52</v>
      </c>
      <c r="U499" s="535"/>
    </row>
    <row r="500">
      <c r="A500" s="481"/>
      <c r="B500" s="536" t="s">
        <v>331</v>
      </c>
      <c r="C500" s="483" t="s">
        <v>344</v>
      </c>
      <c r="D500" s="500">
        <f t="shared" si="60"/>
      </c>
      <c r="E500" s="483">
        <v>769.47</v>
      </c>
      <c r="F500" s="483">
        <v>1216.99</v>
      </c>
      <c r="G500" s="502">
        <v>2</v>
      </c>
      <c r="H500" s="503">
        <v>410.4200000000001</v>
      </c>
      <c r="I500" s="486">
        <f t="shared" si="103"/>
      </c>
      <c r="J500" s="486">
        <f t="shared" si="132"/>
      </c>
      <c r="K500" s="487">
        <f t="shared" si="161"/>
      </c>
      <c r="L500" s="488">
        <f t="shared" si="191"/>
      </c>
      <c r="M500" s="489">
        <f t="shared" si="221"/>
      </c>
      <c r="N500" s="490">
        <f t="shared" si="251"/>
      </c>
      <c r="O500" s="491" t="s">
        <v>373</v>
      </c>
      <c r="P500" s="526" t="s">
        <v>343</v>
      </c>
      <c r="Q500" s="494">
        <v>24437</v>
      </c>
      <c r="R500" s="494">
        <v>2369</v>
      </c>
      <c r="S500" s="527">
        <v>4</v>
      </c>
      <c r="T500" s="527">
        <v>47</v>
      </c>
      <c r="U500" s="539"/>
    </row>
    <row r="501">
      <c r="A501" s="481"/>
      <c r="B501" s="506" t="s">
        <v>330</v>
      </c>
      <c r="C501" s="506"/>
      <c r="D501" s="507">
        <f>SUM(D497:D500)</f>
      </c>
      <c r="E501" s="507">
        <f>SUM(E497:E500)</f>
      </c>
      <c r="F501" s="507">
        <f>SUM(F497:F500)</f>
      </c>
      <c r="G501" s="508">
        <f>SUM(G497:G500)</f>
      </c>
      <c r="H501" s="507">
        <f>SUM(H497:H500)</f>
      </c>
      <c r="I501" s="509">
        <f t="shared" si="103"/>
      </c>
      <c r="J501" s="510">
        <f t="shared" si="132"/>
      </c>
      <c r="K501" s="511">
        <f t="shared" si="161"/>
      </c>
      <c r="L501" s="512">
        <f t="shared" si="191"/>
      </c>
      <c r="M501" s="512">
        <f t="shared" si="221"/>
      </c>
      <c r="N501" s="513">
        <f t="shared" si="251"/>
      </c>
      <c r="O501" s="513"/>
      <c r="P501" s="513"/>
      <c r="Q501" s="508">
        <f>SUM(Q497:Q500)</f>
      </c>
      <c r="R501" s="508">
        <f>SUM(R497:R500)</f>
      </c>
      <c r="S501" s="508">
        <f>SUM(S497:S500)</f>
      </c>
      <c r="T501" s="508">
        <f>SUM(T497:T500)</f>
      </c>
      <c r="U501" s="535"/>
    </row>
    <row r="502">
      <c r="A502" s="481"/>
      <c r="B502" s="523" t="s">
        <v>338</v>
      </c>
      <c r="C502" s="483" t="s">
        <v>345</v>
      </c>
      <c r="D502" s="500">
        <f t="shared" ref="D502:D505" si="61">E502+F502</f>
      </c>
      <c r="E502" s="483">
        <v>760.45</v>
      </c>
      <c r="F502" s="483">
        <v>1289.82</v>
      </c>
      <c r="G502" s="529">
        <v>5</v>
      </c>
      <c r="H502" s="483">
        <v>1075.199999999999</v>
      </c>
      <c r="I502" s="486">
        <f t="shared" si="103"/>
      </c>
      <c r="J502" s="486">
        <f t="shared" si="132"/>
      </c>
      <c r="K502" s="487">
        <f t="shared" si="161"/>
      </c>
      <c r="L502" s="488">
        <f t="shared" si="191"/>
      </c>
      <c r="M502" s="489">
        <f t="shared" si="221"/>
      </c>
      <c r="N502" s="490">
        <f t="shared" si="251"/>
      </c>
      <c r="O502" s="491" t="s">
        <v>373</v>
      </c>
      <c r="P502" s="526" t="s">
        <v>343</v>
      </c>
      <c r="Q502" s="504">
        <v>24288</v>
      </c>
      <c r="R502" s="504">
        <v>2453</v>
      </c>
      <c r="S502" s="505">
        <v>6</v>
      </c>
      <c r="T502" s="505">
        <v>50</v>
      </c>
      <c r="U502" s="535"/>
    </row>
    <row r="503">
      <c r="A503" s="481"/>
      <c r="B503" s="523" t="s">
        <v>338</v>
      </c>
      <c r="C503" s="483" t="s">
        <v>346</v>
      </c>
      <c r="D503" s="500">
        <f t="shared" si="61"/>
      </c>
      <c r="E503" s="501">
        <v>966.06</v>
      </c>
      <c r="F503" s="483">
        <v>1607.02</v>
      </c>
      <c r="G503" s="502">
        <v>6</v>
      </c>
      <c r="H503" s="503">
        <v>2211.0200000000004</v>
      </c>
      <c r="I503" s="486">
        <f t="shared" si="103"/>
      </c>
      <c r="J503" s="486">
        <f t="shared" si="132"/>
      </c>
      <c r="K503" s="487">
        <f t="shared" si="161"/>
      </c>
      <c r="L503" s="488">
        <f t="shared" si="191"/>
      </c>
      <c r="M503" s="489">
        <f t="shared" si="221"/>
      </c>
      <c r="N503" s="490">
        <f t="shared" si="251"/>
      </c>
      <c r="O503" s="491" t="s">
        <v>373</v>
      </c>
      <c r="P503" s="526" t="s">
        <v>343</v>
      </c>
      <c r="Q503" s="504">
        <v>34215</v>
      </c>
      <c r="R503" s="504">
        <v>2682</v>
      </c>
      <c r="S503" s="505">
        <v>10</v>
      </c>
      <c r="T503" s="505">
        <v>56</v>
      </c>
      <c r="U503" s="535"/>
    </row>
    <row r="504">
      <c r="A504" s="481"/>
      <c r="B504" s="523" t="s">
        <v>338</v>
      </c>
      <c r="C504" s="483" t="s">
        <v>347</v>
      </c>
      <c r="D504" s="500">
        <f t="shared" si="61"/>
      </c>
      <c r="E504" s="483">
        <v>2047.17</v>
      </c>
      <c r="F504" s="483">
        <v>1706.63</v>
      </c>
      <c r="G504" s="502">
        <v>12</v>
      </c>
      <c r="H504" s="503">
        <v>6148.23</v>
      </c>
      <c r="I504" s="486">
        <f t="shared" si="103"/>
      </c>
      <c r="J504" s="486">
        <f t="shared" si="132"/>
      </c>
      <c r="K504" s="487">
        <f t="shared" si="161"/>
      </c>
      <c r="L504" s="488">
        <f t="shared" si="191"/>
      </c>
      <c r="M504" s="489">
        <f t="shared" si="221"/>
      </c>
      <c r="N504" s="490">
        <f t="shared" si="251"/>
      </c>
      <c r="O504" s="491" t="s">
        <v>373</v>
      </c>
      <c r="P504" s="526" t="s">
        <v>343</v>
      </c>
      <c r="Q504" s="504">
        <v>46513</v>
      </c>
      <c r="R504" s="504">
        <v>3644</v>
      </c>
      <c r="S504" s="505">
        <v>15</v>
      </c>
      <c r="T504" s="505">
        <v>60</v>
      </c>
      <c r="U504" s="535"/>
    </row>
    <row r="505">
      <c r="A505" s="481"/>
      <c r="B505" s="523" t="s">
        <v>338</v>
      </c>
      <c r="C505" s="483" t="s">
        <v>348</v>
      </c>
      <c r="D505" s="500">
        <f t="shared" si="61"/>
      </c>
      <c r="E505" s="483">
        <v>1213.5</v>
      </c>
      <c r="F505" s="483">
        <v>1287.24</v>
      </c>
      <c r="G505" s="502">
        <v>7</v>
      </c>
      <c r="H505" s="503">
        <v>1968</v>
      </c>
      <c r="I505" s="486">
        <f t="shared" si="103"/>
      </c>
      <c r="J505" s="486">
        <f t="shared" si="132"/>
      </c>
      <c r="K505" s="487">
        <f t="shared" si="161"/>
      </c>
      <c r="L505" s="488">
        <f t="shared" si="191"/>
      </c>
      <c r="M505" s="489">
        <f t="shared" si="221"/>
      </c>
      <c r="N505" s="490">
        <f t="shared" si="251"/>
      </c>
      <c r="O505" s="491" t="s">
        <v>373</v>
      </c>
      <c r="P505" s="526" t="s">
        <v>343</v>
      </c>
      <c r="Q505" s="504">
        <v>36501</v>
      </c>
      <c r="R505" s="504">
        <v>2337</v>
      </c>
      <c r="S505" s="505">
        <v>15</v>
      </c>
      <c r="T505" s="505">
        <v>62</v>
      </c>
      <c r="U505" s="535"/>
    </row>
    <row r="506">
      <c r="A506" s="481"/>
      <c r="B506" s="506" t="s">
        <v>330</v>
      </c>
      <c r="C506" s="506"/>
      <c r="D506" s="507">
        <f>SUM(D502:D505)</f>
      </c>
      <c r="E506" s="507">
        <f>SUM(E502:E505)</f>
      </c>
      <c r="F506" s="507">
        <f>SUM(F502:F505)</f>
      </c>
      <c r="G506" s="508">
        <f>SUM(G502:G505)</f>
      </c>
      <c r="H506" s="507">
        <f>SUM(H502:H505)</f>
      </c>
      <c r="I506" s="515">
        <f t="shared" si="103"/>
      </c>
      <c r="J506" s="510">
        <f t="shared" si="132"/>
      </c>
      <c r="K506" s="511">
        <f t="shared" si="161"/>
      </c>
      <c r="L506" s="512">
        <f t="shared" si="191"/>
      </c>
      <c r="M506" s="512">
        <f t="shared" si="221"/>
      </c>
      <c r="N506" s="513">
        <f t="shared" si="251"/>
      </c>
      <c r="O506" s="513"/>
      <c r="P506" s="513"/>
      <c r="Q506" s="508">
        <f>SUM(Q502:Q505)</f>
      </c>
      <c r="R506" s="508">
        <f>SUM(R502:R505)</f>
      </c>
      <c r="S506" s="508">
        <f>SUM(S502:S505)</f>
      </c>
      <c r="T506" s="508">
        <f>SUM(T502:T505)</f>
      </c>
      <c r="U506" s="535"/>
    </row>
    <row r="507">
      <c r="A507" s="481"/>
      <c r="B507" s="523" t="s">
        <v>351</v>
      </c>
      <c r="C507" s="483" t="s">
        <v>349</v>
      </c>
      <c r="D507" s="500">
        <f t="shared" ref="D507:D509" si="62">E507+F507</f>
      </c>
      <c r="E507" s="483">
        <v>1626.27</v>
      </c>
      <c r="F507" s="483">
        <v>1787.81</v>
      </c>
      <c r="G507" s="499">
        <v>10</v>
      </c>
      <c r="H507" s="483">
        <v>5241.959999999999</v>
      </c>
      <c r="I507" s="486">
        <f t="shared" si="103"/>
      </c>
      <c r="J507" s="486">
        <f t="shared" si="132"/>
      </c>
      <c r="K507" s="487">
        <f t="shared" si="161"/>
      </c>
      <c r="L507" s="488">
        <f t="shared" si="191"/>
      </c>
      <c r="M507" s="489">
        <f t="shared" si="221"/>
      </c>
      <c r="N507" s="490">
        <f t="shared" si="251"/>
      </c>
      <c r="O507" s="491" t="s">
        <v>373</v>
      </c>
      <c r="P507" s="492" t="s">
        <v>363</v>
      </c>
      <c r="Q507" s="504">
        <v>40042</v>
      </c>
      <c r="R507" s="504">
        <v>3450</v>
      </c>
      <c r="S507" s="505">
        <v>13</v>
      </c>
      <c r="T507" s="505">
        <v>61</v>
      </c>
      <c r="U507" s="535"/>
    </row>
    <row r="508">
      <c r="A508" s="481"/>
      <c r="B508" s="536" t="s">
        <v>351</v>
      </c>
      <c r="C508" s="483" t="s">
        <v>350</v>
      </c>
      <c r="D508" s="500">
        <f t="shared" si="62"/>
      </c>
      <c r="E508" s="483">
        <v>1843.63</v>
      </c>
      <c r="F508" s="483">
        <v>2156.14</v>
      </c>
      <c r="G508" s="499">
        <v>13</v>
      </c>
      <c r="H508" s="483">
        <v>5983.220000000001</v>
      </c>
      <c r="I508" s="486">
        <f t="shared" si="103"/>
      </c>
      <c r="J508" s="486">
        <f t="shared" si="132"/>
      </c>
      <c r="K508" s="487">
        <f t="shared" si="161"/>
      </c>
      <c r="L508" s="488">
        <f t="shared" si="191"/>
      </c>
      <c r="M508" s="489">
        <f t="shared" si="221"/>
      </c>
      <c r="N508" s="490">
        <f t="shared" si="251"/>
      </c>
      <c r="O508" s="491" t="s">
        <v>373</v>
      </c>
      <c r="P508" s="492" t="s">
        <v>363</v>
      </c>
      <c r="Q508" s="504">
        <v>54575</v>
      </c>
      <c r="R508" s="504">
        <v>4759</v>
      </c>
      <c r="S508" s="505">
        <v>22</v>
      </c>
      <c r="T508" s="505">
        <v>74</v>
      </c>
      <c r="U508" s="535"/>
    </row>
    <row r="509">
      <c r="A509" s="481"/>
      <c r="B509" s="536" t="s">
        <v>351</v>
      </c>
      <c r="C509" s="483" t="s">
        <v>324</v>
      </c>
      <c r="D509" s="500">
        <f t="shared" si="62"/>
      </c>
      <c r="E509" s="483">
        <v>3183.78</v>
      </c>
      <c r="F509" s="483">
        <v>1743.56</v>
      </c>
      <c r="G509" s="499">
        <v>11</v>
      </c>
      <c r="H509" s="483">
        <v>4694.040000000001</v>
      </c>
      <c r="I509" s="486">
        <f t="shared" si="103"/>
      </c>
      <c r="J509" s="486">
        <f t="shared" si="132"/>
      </c>
      <c r="K509" s="487">
        <f t="shared" si="161"/>
      </c>
      <c r="L509" s="488">
        <f t="shared" si="191"/>
      </c>
      <c r="M509" s="489">
        <f t="shared" si="221"/>
      </c>
      <c r="N509" s="490">
        <f t="shared" si="251"/>
      </c>
      <c r="O509" s="491" t="s">
        <v>325</v>
      </c>
      <c r="P509" s="492" t="s">
        <v>363</v>
      </c>
      <c r="Q509" s="504">
        <v>71374</v>
      </c>
      <c r="R509" s="504">
        <v>6358</v>
      </c>
      <c r="S509" s="505">
        <v>19</v>
      </c>
      <c r="T509" s="505">
        <v>68</v>
      </c>
      <c r="U509" s="535"/>
    </row>
    <row r="510">
      <c r="A510" s="481"/>
      <c r="B510" s="506" t="s">
        <v>330</v>
      </c>
      <c r="C510" s="506"/>
      <c r="D510" s="507">
        <f>SUM(D507:D509)</f>
      </c>
      <c r="E510" s="507">
        <f>SUM(E507:E509)</f>
      </c>
      <c r="F510" s="507">
        <f>SUM(F507:F509)</f>
      </c>
      <c r="G510" s="508">
        <f>SUM(G507:G509)</f>
      </c>
      <c r="H510" s="507">
        <f>SUM(H507:H509)</f>
      </c>
      <c r="I510" s="515">
        <f t="shared" si="103"/>
      </c>
      <c r="J510" s="510">
        <f t="shared" si="132"/>
      </c>
      <c r="K510" s="511">
        <f t="shared" si="161"/>
      </c>
      <c r="L510" s="512">
        <f t="shared" si="191"/>
      </c>
      <c r="M510" s="512">
        <f t="shared" si="221"/>
      </c>
      <c r="N510" s="513">
        <f t="shared" si="251"/>
      </c>
      <c r="O510" s="513"/>
      <c r="P510" s="513"/>
      <c r="Q510" s="508">
        <f>SUM(Q507:Q509)</f>
      </c>
      <c r="R510" s="508">
        <f>SUM(R507:R509)</f>
      </c>
      <c r="S510" s="508">
        <f>SUM(S507:S509)</f>
      </c>
      <c r="T510" s="508">
        <f>SUM(T507:T509)</f>
      </c>
      <c r="U510" s="535"/>
    </row>
    <row r="511">
      <c r="A511" s="481"/>
      <c r="B511" s="516" t="s">
        <v>336</v>
      </c>
      <c r="C511" s="516"/>
      <c r="D511" s="517">
        <f>D501+D506+D510</f>
      </c>
      <c r="E511" s="517">
        <f>E501+E506+E510</f>
      </c>
      <c r="F511" s="517">
        <f>F501+F506+F510</f>
      </c>
      <c r="G511" s="544">
        <f>G510+G506+G501</f>
      </c>
      <c r="H511" s="517">
        <f>H501+H506+H510</f>
      </c>
      <c r="I511" s="519">
        <f t="shared" si="103"/>
      </c>
      <c r="J511" s="519">
        <f t="shared" si="132"/>
      </c>
      <c r="K511" s="520">
        <f t="shared" si="161"/>
      </c>
      <c r="L511" s="521">
        <f t="shared" si="191"/>
      </c>
      <c r="M511" s="521">
        <f t="shared" si="221"/>
      </c>
      <c r="N511" s="519">
        <f t="shared" si="251"/>
      </c>
      <c r="O511" s="522"/>
      <c r="P511" s="522"/>
      <c r="Q511" s="544">
        <f>Q510+Q506+Q501</f>
      </c>
      <c r="R511" s="544">
        <f>R510+R506+R501</f>
      </c>
      <c r="S511" s="544">
        <f>S510+S506+S501</f>
      </c>
      <c r="T511" s="544">
        <f>T510+T506+T501</f>
      </c>
      <c r="U511" s="535"/>
    </row>
    <row r="512">
      <c r="A512" s="534" t="s">
        <v>298</v>
      </c>
      <c r="B512" s="534"/>
      <c r="C512" s="534"/>
      <c r="D512" s="464" t="s">
        <v>299</v>
      </c>
      <c r="E512" s="464"/>
      <c r="F512" s="464"/>
      <c r="G512" s="464"/>
      <c r="H512" s="464"/>
      <c r="I512" s="464"/>
      <c r="J512" s="464"/>
      <c r="K512" s="464"/>
      <c r="L512" s="465" t="s">
        <v>300</v>
      </c>
      <c r="M512" s="465"/>
      <c r="N512" s="465"/>
      <c r="O512" s="465"/>
      <c r="P512" s="465"/>
      <c r="Q512" s="466" t="s">
        <v>301</v>
      </c>
      <c r="R512" s="466"/>
      <c r="S512" s="466"/>
      <c r="T512" s="466"/>
      <c r="U512" s="535"/>
    </row>
    <row r="513">
      <c r="A513" s="467" t="s">
        <v>302</v>
      </c>
      <c r="B513" s="468" t="s">
        <v>303</v>
      </c>
      <c r="C513" s="469" t="s">
        <v>304</v>
      </c>
      <c r="D513" s="470" t="s">
        <v>305</v>
      </c>
      <c r="E513" s="471" t="s">
        <v>306</v>
      </c>
      <c r="F513" s="470" t="s">
        <v>307</v>
      </c>
      <c r="G513" s="472" t="s">
        <v>308</v>
      </c>
      <c r="H513" s="473" t="s">
        <v>309</v>
      </c>
      <c r="I513" s="474" t="s">
        <v>310</v>
      </c>
      <c r="J513" s="475" t="s">
        <v>311</v>
      </c>
      <c r="K513" s="476" t="s">
        <v>312</v>
      </c>
      <c r="L513" s="465" t="s">
        <v>313</v>
      </c>
      <c r="M513" s="465" t="s">
        <v>314</v>
      </c>
      <c r="N513" s="465" t="s">
        <v>315</v>
      </c>
      <c r="O513" s="477" t="s">
        <v>316</v>
      </c>
      <c r="P513" s="478" t="s">
        <v>317</v>
      </c>
      <c r="Q513" s="479" t="s">
        <v>318</v>
      </c>
      <c r="R513" s="479" t="s">
        <v>319</v>
      </c>
      <c r="S513" s="480" t="s">
        <v>320</v>
      </c>
      <c r="T513" s="479" t="s">
        <v>321</v>
      </c>
      <c r="U513" s="535"/>
    </row>
    <row r="514">
      <c r="A514" s="481" t="s">
        <v>384</v>
      </c>
      <c r="B514" s="536" t="s">
        <v>331</v>
      </c>
      <c r="C514" s="483" t="s">
        <v>339</v>
      </c>
      <c r="D514" s="483">
        <v>2051.46</v>
      </c>
      <c r="E514" s="484">
        <v>344.36</v>
      </c>
      <c r="F514" s="483">
        <v>1707.1</v>
      </c>
      <c r="G514" s="532">
        <v>6</v>
      </c>
      <c r="H514" s="483">
        <v>1752.96</v>
      </c>
      <c r="I514" s="486">
        <f t="shared" ref="I514:I533" si="104">H514/D514</f>
      </c>
      <c r="J514" s="537">
        <f t="shared" ref="J514:J533" si="133">D514/G514</f>
      </c>
      <c r="K514" s="487">
        <f t="shared" ref="K514:K533" si="162">H514/G514</f>
      </c>
      <c r="L514" s="488">
        <f t="shared" ref="L514:L533" si="192">R514/Q514</f>
      </c>
      <c r="M514" s="489">
        <f t="shared" ref="M514:M533" si="222">G514/S514</f>
      </c>
      <c r="N514" s="490">
        <f t="shared" ref="N514:N533" si="252">(T514*1000)/D514</f>
      </c>
      <c r="O514" s="491" t="s">
        <v>325</v>
      </c>
      <c r="P514" s="526" t="s">
        <v>343</v>
      </c>
      <c r="Q514" s="493">
        <v>28481</v>
      </c>
      <c r="R514" s="493">
        <v>1599</v>
      </c>
      <c r="S514" s="527">
        <v>9</v>
      </c>
      <c r="T514" s="527">
        <v>36</v>
      </c>
      <c r="U514" s="535"/>
    </row>
    <row r="515">
      <c r="A515" s="481"/>
      <c r="B515" s="536" t="s">
        <v>331</v>
      </c>
      <c r="C515" s="496" t="s">
        <v>341</v>
      </c>
      <c r="D515" s="497">
        <v>6801.38</v>
      </c>
      <c r="E515" s="498">
        <v>313.03</v>
      </c>
      <c r="F515" s="498">
        <v>6488.35</v>
      </c>
      <c r="G515" s="499">
        <v>24</v>
      </c>
      <c r="H515" s="483">
        <v>9665.740000000002</v>
      </c>
      <c r="I515" s="486">
        <f t="shared" si="104"/>
      </c>
      <c r="J515" s="486">
        <f t="shared" si="133"/>
      </c>
      <c r="K515" s="538">
        <f t="shared" si="162"/>
      </c>
      <c r="L515" s="488">
        <f t="shared" si="192"/>
      </c>
      <c r="M515" s="489">
        <f t="shared" si="222"/>
      </c>
      <c r="N515" s="490">
        <f t="shared" si="252"/>
      </c>
      <c r="O515" s="491" t="s">
        <v>325</v>
      </c>
      <c r="P515" s="526" t="s">
        <v>343</v>
      </c>
      <c r="Q515" s="494">
        <v>103561</v>
      </c>
      <c r="R515" s="494">
        <v>4142</v>
      </c>
      <c r="S515" s="527">
        <v>39</v>
      </c>
      <c r="T515" s="527">
        <v>84</v>
      </c>
      <c r="U515" s="535"/>
    </row>
    <row customHeight="true" ht="16.666666666666668" r="516">
      <c r="A516" s="481"/>
      <c r="B516" s="536" t="s">
        <v>331</v>
      </c>
      <c r="C516" s="483" t="s">
        <v>342</v>
      </c>
      <c r="D516" s="497">
        <v>4645.41</v>
      </c>
      <c r="E516" s="483">
        <v>256.97</v>
      </c>
      <c r="F516" s="483">
        <v>4388.44</v>
      </c>
      <c r="G516" s="502">
        <v>15</v>
      </c>
      <c r="H516" s="503">
        <v>8533.330000000002</v>
      </c>
      <c r="I516" s="486">
        <f t="shared" si="104"/>
      </c>
      <c r="J516" s="486">
        <f t="shared" si="133"/>
      </c>
      <c r="K516" s="487">
        <f t="shared" si="162"/>
      </c>
      <c r="L516" s="488">
        <f t="shared" si="192"/>
      </c>
      <c r="M516" s="489">
        <f t="shared" si="222"/>
      </c>
      <c r="N516" s="490">
        <f t="shared" si="252"/>
      </c>
      <c r="O516" s="491" t="s">
        <v>325</v>
      </c>
      <c r="P516" s="526" t="s">
        <v>343</v>
      </c>
      <c r="Q516" s="494">
        <v>94922</v>
      </c>
      <c r="R516" s="494">
        <v>2981</v>
      </c>
      <c r="S516" s="527">
        <v>20</v>
      </c>
      <c r="T516" s="527">
        <v>62</v>
      </c>
      <c r="U516" s="535"/>
    </row>
    <row r="517">
      <c r="A517" s="481"/>
      <c r="B517" s="536" t="s">
        <v>331</v>
      </c>
      <c r="C517" s="483" t="s">
        <v>344</v>
      </c>
      <c r="D517" s="500">
        <v>3550.13</v>
      </c>
      <c r="E517" s="483">
        <v>347.65</v>
      </c>
      <c r="F517" s="483">
        <v>3202.48</v>
      </c>
      <c r="G517" s="502">
        <v>12</v>
      </c>
      <c r="H517" s="503">
        <v>7607.16</v>
      </c>
      <c r="I517" s="486">
        <f t="shared" si="104"/>
      </c>
      <c r="J517" s="486">
        <f t="shared" si="133"/>
      </c>
      <c r="K517" s="487">
        <f t="shared" si="162"/>
      </c>
      <c r="L517" s="488">
        <f t="shared" si="192"/>
      </c>
      <c r="M517" s="489">
        <f t="shared" si="222"/>
      </c>
      <c r="N517" s="490">
        <f t="shared" si="252"/>
      </c>
      <c r="O517" s="491" t="s">
        <v>325</v>
      </c>
      <c r="P517" s="526" t="s">
        <v>343</v>
      </c>
      <c r="Q517" s="494">
        <v>70369</v>
      </c>
      <c r="R517" s="494">
        <v>2490</v>
      </c>
      <c r="S517" s="527">
        <v>19</v>
      </c>
      <c r="T517" s="527">
        <v>54</v>
      </c>
      <c r="U517" s="535"/>
    </row>
    <row r="518">
      <c r="A518" s="481"/>
      <c r="B518" s="536" t="s">
        <v>331</v>
      </c>
      <c r="C518" s="483" t="s">
        <v>345</v>
      </c>
      <c r="D518" s="500">
        <v>3209.64</v>
      </c>
      <c r="E518" s="483">
        <v>596.4</v>
      </c>
      <c r="F518" s="483">
        <v>2613.24</v>
      </c>
      <c r="G518" s="502">
        <v>2</v>
      </c>
      <c r="H518" s="503">
        <v>1370.5200000000004</v>
      </c>
      <c r="I518" s="486">
        <f t="shared" si="104"/>
      </c>
      <c r="J518" s="486">
        <f t="shared" si="133"/>
      </c>
      <c r="K518" s="487">
        <f t="shared" si="162"/>
      </c>
      <c r="L518" s="488">
        <f t="shared" si="192"/>
      </c>
      <c r="M518" s="489">
        <f t="shared" si="222"/>
      </c>
      <c r="N518" s="490">
        <f t="shared" si="252"/>
      </c>
      <c r="O518" s="491" t="s">
        <v>325</v>
      </c>
      <c r="P518" s="526" t="s">
        <v>343</v>
      </c>
      <c r="Q518" s="494">
        <v>56096</v>
      </c>
      <c r="R518" s="494">
        <v>2399</v>
      </c>
      <c r="S518" s="527">
        <v>7</v>
      </c>
      <c r="T518" s="527">
        <v>54</v>
      </c>
      <c r="U518" s="539"/>
    </row>
    <row r="519">
      <c r="A519" s="481"/>
      <c r="B519" s="506" t="s">
        <v>330</v>
      </c>
      <c r="C519" s="506"/>
      <c r="D519" s="507">
        <v>20258.02</v>
      </c>
      <c r="E519" s="507">
        <v>1858.4099999999999</v>
      </c>
      <c r="F519" s="507">
        <v>18399.61</v>
      </c>
      <c r="G519" s="508">
        <v>59</v>
      </c>
      <c r="H519" s="507">
        <f>SUM(H514:H518)</f>
      </c>
      <c r="I519" s="509">
        <f t="shared" si="104"/>
      </c>
      <c r="J519" s="510">
        <f t="shared" si="133"/>
      </c>
      <c r="K519" s="511">
        <f t="shared" si="162"/>
      </c>
      <c r="L519" s="512">
        <f t="shared" si="192"/>
      </c>
      <c r="M519" s="512">
        <f t="shared" si="222"/>
      </c>
      <c r="N519" s="513">
        <f t="shared" si="252"/>
      </c>
      <c r="O519" s="513"/>
      <c r="P519" s="513"/>
      <c r="Q519" s="508">
        <f>SUM(Q514:Q518)</f>
      </c>
      <c r="R519" s="508">
        <f>SUM(R514:R518)</f>
      </c>
      <c r="S519" s="508">
        <f>SUM(S514:S518)</f>
      </c>
      <c r="T519" s="508">
        <f>SUM(T514:T518)</f>
      </c>
      <c r="U519" s="535"/>
    </row>
    <row r="520">
      <c r="A520" s="481"/>
      <c r="B520" s="523" t="s">
        <v>338</v>
      </c>
      <c r="C520" s="483" t="s">
        <v>346</v>
      </c>
      <c r="D520" s="500">
        <v>1503.41</v>
      </c>
      <c r="E520" s="483">
        <v>677.58</v>
      </c>
      <c r="F520" s="483">
        <v>825.83</v>
      </c>
      <c r="G520" s="499">
        <v>2</v>
      </c>
      <c r="H520" s="483">
        <v>390.7599999999984</v>
      </c>
      <c r="I520" s="486">
        <f t="shared" si="104"/>
      </c>
      <c r="J520" s="486">
        <f t="shared" si="133"/>
      </c>
      <c r="K520" s="487">
        <f t="shared" si="162"/>
      </c>
      <c r="L520" s="488">
        <f t="shared" si="192"/>
      </c>
      <c r="M520" s="489">
        <f t="shared" si="222"/>
      </c>
      <c r="N520" s="490">
        <f t="shared" si="252"/>
      </c>
      <c r="O520" s="491" t="s">
        <v>325</v>
      </c>
      <c r="P520" s="526" t="s">
        <v>343</v>
      </c>
      <c r="Q520" s="504">
        <v>19608</v>
      </c>
      <c r="R520" s="504">
        <v>1439</v>
      </c>
      <c r="S520" s="505">
        <v>2</v>
      </c>
      <c r="T520" s="505">
        <v>28</v>
      </c>
      <c r="U520" s="535"/>
    </row>
    <row r="521">
      <c r="A521" s="481"/>
      <c r="B521" s="523" t="s">
        <v>338</v>
      </c>
      <c r="C521" s="483" t="s">
        <v>347</v>
      </c>
      <c r="D521" s="500">
        <v>1808.45</v>
      </c>
      <c r="E521" s="501">
        <v>997.22</v>
      </c>
      <c r="F521" s="483">
        <v>811.23</v>
      </c>
      <c r="G521" s="502">
        <v>6</v>
      </c>
      <c r="H521" s="503">
        <v>3941.439999999995</v>
      </c>
      <c r="I521" s="486">
        <f t="shared" si="104"/>
      </c>
      <c r="J521" s="486">
        <f t="shared" si="133"/>
      </c>
      <c r="K521" s="487">
        <f t="shared" si="162"/>
      </c>
      <c r="L521" s="488">
        <f t="shared" si="192"/>
      </c>
      <c r="M521" s="489">
        <f t="shared" si="222"/>
      </c>
      <c r="N521" s="490">
        <f t="shared" si="252"/>
      </c>
      <c r="O521" s="491" t="s">
        <v>325</v>
      </c>
      <c r="P521" s="526" t="s">
        <v>343</v>
      </c>
      <c r="Q521" s="504">
        <v>23104</v>
      </c>
      <c r="R521" s="504">
        <v>2050</v>
      </c>
      <c r="S521" s="505">
        <v>9</v>
      </c>
      <c r="T521" s="505">
        <v>36</v>
      </c>
      <c r="U521" s="535"/>
    </row>
    <row customHeight="true" ht="16.666666666666668" r="522">
      <c r="A522" s="481"/>
      <c r="B522" s="523" t="s">
        <v>338</v>
      </c>
      <c r="C522" s="483" t="s">
        <v>348</v>
      </c>
      <c r="D522" s="497">
        <v>2736.56</v>
      </c>
      <c r="E522" s="483">
        <v>1298.1100000000001</v>
      </c>
      <c r="F522" s="483">
        <v>1438.4499999999998</v>
      </c>
      <c r="G522" s="502">
        <v>6</v>
      </c>
      <c r="H522" s="503">
        <v>4042.4400000000023</v>
      </c>
      <c r="I522" s="486">
        <f t="shared" si="104"/>
      </c>
      <c r="J522" s="486">
        <f t="shared" si="133"/>
      </c>
      <c r="K522" s="487">
        <f t="shared" si="162"/>
      </c>
      <c r="L522" s="488">
        <f t="shared" si="192"/>
      </c>
      <c r="M522" s="489">
        <f t="shared" si="222"/>
      </c>
      <c r="N522" s="490">
        <f t="shared" si="252"/>
      </c>
      <c r="O522" s="491" t="s">
        <v>325</v>
      </c>
      <c r="P522" s="526" t="s">
        <v>343</v>
      </c>
      <c r="Q522" s="504">
        <v>33508</v>
      </c>
      <c r="R522" s="504">
        <v>2434</v>
      </c>
      <c r="S522" s="505">
        <v>10</v>
      </c>
      <c r="T522" s="505">
        <v>54</v>
      </c>
      <c r="U522" s="535"/>
    </row>
    <row r="523">
      <c r="A523" s="481"/>
      <c r="B523" s="506" t="s">
        <v>330</v>
      </c>
      <c r="C523" s="506"/>
      <c r="D523" s="507">
        <v>6048.42</v>
      </c>
      <c r="E523" s="507">
        <v>2972.9100000000003</v>
      </c>
      <c r="F523" s="507">
        <v>3075.5099999999998</v>
      </c>
      <c r="G523" s="508">
        <v>14</v>
      </c>
      <c r="H523" s="507">
        <f>SUM(H520:H522)</f>
      </c>
      <c r="I523" s="515">
        <f t="shared" si="104"/>
      </c>
      <c r="J523" s="510">
        <f t="shared" si="133"/>
      </c>
      <c r="K523" s="511">
        <f t="shared" si="162"/>
      </c>
      <c r="L523" s="512">
        <f t="shared" si="192"/>
      </c>
      <c r="M523" s="512">
        <f t="shared" si="222"/>
      </c>
      <c r="N523" s="513">
        <f t="shared" si="252"/>
      </c>
      <c r="O523" s="513"/>
      <c r="P523" s="513"/>
      <c r="Q523" s="508">
        <f>SUM(Q520:Q522)</f>
      </c>
      <c r="R523" s="508">
        <f>SUM(R520:R522)</f>
      </c>
      <c r="S523" s="508">
        <f>SUM(S520:S522)</f>
      </c>
      <c r="T523" s="508">
        <f>SUM(T520:T522)</f>
      </c>
      <c r="U523" s="535"/>
    </row>
    <row r="524">
      <c r="A524" s="481"/>
      <c r="B524" s="523" t="s">
        <v>351</v>
      </c>
      <c r="C524" s="483" t="s">
        <v>324</v>
      </c>
      <c r="D524" s="500">
        <v>898.76</v>
      </c>
      <c r="E524" s="483">
        <v>557.22</v>
      </c>
      <c r="F524" s="483">
        <v>341.54</v>
      </c>
      <c r="G524" s="499">
        <v>7</v>
      </c>
      <c r="H524" s="483">
        <v>2873.779999999999</v>
      </c>
      <c r="I524" s="486">
        <f t="shared" si="104"/>
      </c>
      <c r="J524" s="486">
        <f t="shared" si="133"/>
      </c>
      <c r="K524" s="487">
        <f t="shared" si="162"/>
      </c>
      <c r="L524" s="488">
        <f t="shared" si="192"/>
      </c>
      <c r="M524" s="489">
        <f t="shared" si="222"/>
      </c>
      <c r="N524" s="490">
        <f t="shared" si="252"/>
      </c>
      <c r="O524" s="491" t="s">
        <v>325</v>
      </c>
      <c r="P524" s="492" t="s">
        <v>363</v>
      </c>
      <c r="Q524" s="504">
        <v>11899</v>
      </c>
      <c r="R524" s="504">
        <v>914</v>
      </c>
      <c r="S524" s="505">
        <v>10</v>
      </c>
      <c r="T524" s="505">
        <v>23</v>
      </c>
      <c r="U524" s="535"/>
    </row>
    <row r="525">
      <c r="A525" s="481"/>
      <c r="B525" s="536" t="s">
        <v>351</v>
      </c>
      <c r="C525" s="483" t="s">
        <v>327</v>
      </c>
      <c r="D525" s="500">
        <v>736.74</v>
      </c>
      <c r="E525" s="483">
        <v>513.69</v>
      </c>
      <c r="F525" s="483">
        <v>223.05</v>
      </c>
      <c r="G525" s="499">
        <v>7</v>
      </c>
      <c r="H525" s="483">
        <v>4257.480000000003</v>
      </c>
      <c r="I525" s="486">
        <f t="shared" si="104"/>
      </c>
      <c r="J525" s="486">
        <f t="shared" si="133"/>
      </c>
      <c r="K525" s="487">
        <f t="shared" si="162"/>
      </c>
      <c r="L525" s="488">
        <f t="shared" si="192"/>
      </c>
      <c r="M525" s="489">
        <f t="shared" si="222"/>
      </c>
      <c r="N525" s="490">
        <f t="shared" si="252"/>
      </c>
      <c r="O525" s="491" t="s">
        <v>325</v>
      </c>
      <c r="P525" s="492" t="s">
        <v>363</v>
      </c>
      <c r="Q525" s="504">
        <v>11970</v>
      </c>
      <c r="R525" s="504">
        <v>1021</v>
      </c>
      <c r="S525" s="505">
        <v>8</v>
      </c>
      <c r="T525" s="505">
        <v>30</v>
      </c>
      <c r="U525" s="535"/>
    </row>
    <row r="526">
      <c r="A526" s="481"/>
      <c r="B526" s="536" t="s">
        <v>351</v>
      </c>
      <c r="C526" s="483" t="s">
        <v>328</v>
      </c>
      <c r="D526" s="500">
        <v>687.77</v>
      </c>
      <c r="E526" s="483">
        <v>331.92</v>
      </c>
      <c r="F526" s="483">
        <v>355.85</v>
      </c>
      <c r="G526" s="499">
        <v>2</v>
      </c>
      <c r="H526" s="483">
        <v>892.7999999999956</v>
      </c>
      <c r="I526" s="486">
        <f t="shared" si="104"/>
      </c>
      <c r="J526" s="486">
        <f t="shared" si="133"/>
      </c>
      <c r="K526" s="487">
        <f t="shared" si="162"/>
      </c>
      <c r="L526" s="488">
        <f t="shared" si="192"/>
      </c>
      <c r="M526" s="489">
        <f t="shared" si="222"/>
      </c>
      <c r="N526" s="490">
        <f t="shared" si="252"/>
      </c>
      <c r="O526" s="491" t="s">
        <v>325</v>
      </c>
      <c r="P526" s="492" t="s">
        <v>363</v>
      </c>
      <c r="Q526" s="504">
        <v>10435</v>
      </c>
      <c r="R526" s="504">
        <v>799</v>
      </c>
      <c r="S526" s="505">
        <v>3</v>
      </c>
      <c r="T526" s="505">
        <v>22</v>
      </c>
      <c r="U526" s="535"/>
    </row>
    <row r="527">
      <c r="A527" s="481"/>
      <c r="B527" s="536" t="s">
        <v>351</v>
      </c>
      <c r="C527" s="483" t="s">
        <v>329</v>
      </c>
      <c r="D527" s="500">
        <v>2704.37</v>
      </c>
      <c r="E527" s="483">
        <v>1042.25</v>
      </c>
      <c r="F527" s="483">
        <v>1662.12</v>
      </c>
      <c r="G527" s="499">
        <v>9</v>
      </c>
      <c r="H527" s="483">
        <v>5150.279999999999</v>
      </c>
      <c r="I527" s="486">
        <f t="shared" si="104"/>
      </c>
      <c r="J527" s="486">
        <f t="shared" si="133"/>
      </c>
      <c r="K527" s="487">
        <f t="shared" si="162"/>
      </c>
      <c r="L527" s="488">
        <f t="shared" si="192"/>
      </c>
      <c r="M527" s="489">
        <f t="shared" si="222"/>
      </c>
      <c r="N527" s="490">
        <f t="shared" si="252"/>
      </c>
      <c r="O527" s="491" t="s">
        <v>325</v>
      </c>
      <c r="P527" s="492" t="s">
        <v>363</v>
      </c>
      <c r="Q527" s="504">
        <v>39016</v>
      </c>
      <c r="R527" s="504">
        <v>3009</v>
      </c>
      <c r="S527" s="505">
        <v>13</v>
      </c>
      <c r="T527" s="505">
        <v>59</v>
      </c>
      <c r="U527" s="535"/>
    </row>
    <row r="528">
      <c r="A528" s="481"/>
      <c r="B528" s="506" t="s">
        <v>330</v>
      </c>
      <c r="C528" s="506"/>
      <c r="D528" s="508">
        <v>5027.639999999999</v>
      </c>
      <c r="E528" s="508">
        <v>2445.08</v>
      </c>
      <c r="F528" s="508">
        <v>2582.56</v>
      </c>
      <c r="G528" s="508">
        <v>25</v>
      </c>
      <c r="H528" s="508">
        <f>SUM(H524:H527)</f>
      </c>
      <c r="I528" s="515">
        <f t="shared" si="104"/>
      </c>
      <c r="J528" s="510">
        <f t="shared" si="133"/>
      </c>
      <c r="K528" s="511">
        <f t="shared" si="162"/>
      </c>
      <c r="L528" s="512">
        <f t="shared" si="192"/>
      </c>
      <c r="M528" s="512">
        <f t="shared" si="222"/>
      </c>
      <c r="N528" s="513">
        <f t="shared" si="252"/>
      </c>
      <c r="O528" s="513"/>
      <c r="P528" s="513"/>
      <c r="Q528" s="508">
        <f>SUM(Q524:Q527)</f>
      </c>
      <c r="R528" s="508">
        <f>SUM(R524:R527)</f>
      </c>
      <c r="S528" s="508">
        <f>SUM(S524:S527)</f>
      </c>
      <c r="T528" s="508">
        <f>SUM(T524:T527)</f>
      </c>
      <c r="U528" s="535"/>
    </row>
    <row r="529">
      <c r="A529" s="481"/>
      <c r="B529" s="523" t="s">
        <v>375</v>
      </c>
      <c r="C529" s="500" t="s">
        <v>332</v>
      </c>
      <c r="D529" s="541">
        <v>3342.3100000000004</v>
      </c>
      <c r="E529" s="541">
        <v>1042.53</v>
      </c>
      <c r="F529" s="484">
        <v>2299.78</v>
      </c>
      <c r="G529" s="499">
        <v>12</v>
      </c>
      <c r="H529" s="483">
        <v>9857.520000000004</v>
      </c>
      <c r="I529" s="486">
        <f t="shared" si="104"/>
      </c>
      <c r="J529" s="486">
        <f t="shared" si="133"/>
      </c>
      <c r="K529" s="487">
        <f t="shared" si="162"/>
      </c>
      <c r="L529" s="488">
        <f t="shared" si="192"/>
      </c>
      <c r="M529" s="489">
        <f t="shared" si="222"/>
      </c>
      <c r="N529" s="490">
        <f t="shared" si="252"/>
      </c>
      <c r="O529" s="491" t="s">
        <v>325</v>
      </c>
      <c r="P529" s="492" t="s">
        <v>363</v>
      </c>
      <c r="Q529" s="504">
        <v>56532</v>
      </c>
      <c r="R529" s="504">
        <v>3234</v>
      </c>
      <c r="S529" s="505">
        <v>26</v>
      </c>
      <c r="T529" s="505">
        <v>72</v>
      </c>
      <c r="U529" s="535"/>
    </row>
    <row r="530">
      <c r="A530" s="481"/>
      <c r="B530" s="523" t="s">
        <v>375</v>
      </c>
      <c r="C530" s="500" t="s">
        <v>333</v>
      </c>
      <c r="D530" s="541">
        <v>4203.73</v>
      </c>
      <c r="E530" s="541">
        <v>1174.83</v>
      </c>
      <c r="F530" s="484">
        <v>3028.9</v>
      </c>
      <c r="G530" s="499">
        <v>14</v>
      </c>
      <c r="H530" s="483">
        <v>6244.939999999995</v>
      </c>
      <c r="I530" s="486">
        <f t="shared" si="104"/>
      </c>
      <c r="J530" s="486">
        <f t="shared" si="133"/>
      </c>
      <c r="K530" s="487">
        <f t="shared" si="162"/>
      </c>
      <c r="L530" s="488">
        <f t="shared" si="192"/>
      </c>
      <c r="M530" s="489">
        <f t="shared" si="222"/>
      </c>
      <c r="N530" s="490">
        <f t="shared" si="252"/>
      </c>
      <c r="O530" s="491" t="s">
        <v>325</v>
      </c>
      <c r="P530" s="492" t="s">
        <v>363</v>
      </c>
      <c r="Q530" s="504">
        <v>75441</v>
      </c>
      <c r="R530" s="504">
        <v>4186</v>
      </c>
      <c r="S530" s="505">
        <v>25</v>
      </c>
      <c r="T530" s="505">
        <v>94</v>
      </c>
      <c r="U530" s="535"/>
    </row>
    <row r="531">
      <c r="A531" s="481"/>
      <c r="B531" s="523" t="s">
        <v>375</v>
      </c>
      <c r="C531" s="542" t="s">
        <v>334</v>
      </c>
      <c r="D531" s="541">
        <v>4028.1600000000003</v>
      </c>
      <c r="E531" s="541">
        <v>418.07</v>
      </c>
      <c r="F531" s="484">
        <v>3610.09</v>
      </c>
      <c r="G531" s="499">
        <v>9</v>
      </c>
      <c r="H531" s="483">
        <v>4687.559999999998</v>
      </c>
      <c r="I531" s="486">
        <f t="shared" si="104"/>
      </c>
      <c r="J531" s="486">
        <f t="shared" si="133"/>
      </c>
      <c r="K531" s="487">
        <f t="shared" si="162"/>
      </c>
      <c r="L531" s="488">
        <f t="shared" si="192"/>
      </c>
      <c r="M531" s="489">
        <f t="shared" si="222"/>
      </c>
      <c r="N531" s="490">
        <f t="shared" si="252"/>
      </c>
      <c r="O531" s="491" t="s">
        <v>325</v>
      </c>
      <c r="P531" s="492" t="s">
        <v>363</v>
      </c>
      <c r="Q531" s="504">
        <v>72622</v>
      </c>
      <c r="R531" s="504">
        <v>4741</v>
      </c>
      <c r="S531" s="505">
        <v>15</v>
      </c>
      <c r="T531" s="505">
        <v>99</v>
      </c>
      <c r="U531" s="535"/>
    </row>
    <row r="532">
      <c r="A532" s="481"/>
      <c r="B532" s="506" t="s">
        <v>330</v>
      </c>
      <c r="C532" s="506"/>
      <c r="D532" s="543">
        <v>11574.2</v>
      </c>
      <c r="E532" s="543">
        <v>2635.43</v>
      </c>
      <c r="F532" s="507">
        <v>8938.77</v>
      </c>
      <c r="G532" s="508">
        <v>35</v>
      </c>
      <c r="H532" s="507">
        <f>SUM(H529:H531)</f>
      </c>
      <c r="I532" s="515">
        <f t="shared" si="104"/>
      </c>
      <c r="J532" s="510">
        <f t="shared" si="133"/>
      </c>
      <c r="K532" s="511">
        <f t="shared" si="162"/>
      </c>
      <c r="L532" s="512">
        <f t="shared" si="192"/>
      </c>
      <c r="M532" s="512">
        <f t="shared" si="222"/>
      </c>
      <c r="N532" s="513">
        <f t="shared" si="252"/>
      </c>
      <c r="O532" s="513"/>
      <c r="P532" s="513"/>
      <c r="Q532" s="508">
        <f>SUM(Q529:Q531)</f>
      </c>
      <c r="R532" s="508">
        <f>SUM(R529:R531)</f>
      </c>
      <c r="S532" s="508">
        <f>SUM(S529:S531)</f>
      </c>
      <c r="T532" s="508">
        <f>SUM(T529:T531)</f>
      </c>
      <c r="U532" s="535"/>
    </row>
    <row r="533">
      <c r="A533" s="550"/>
      <c r="B533" s="551" t="s">
        <v>336</v>
      </c>
      <c r="C533" s="551"/>
      <c r="D533" s="552">
        <f>D532+D528+D523+D519</f>
      </c>
      <c r="E533" s="552">
        <f>E532+E528+E523+E519</f>
      </c>
      <c r="F533" s="552">
        <f>F532+F528+F523+F519</f>
      </c>
      <c r="G533" s="553">
        <f>G532+G528+G523+G519</f>
      </c>
      <c r="H533" s="552">
        <f>H532+H528+H523+H519</f>
      </c>
      <c r="I533" s="554">
        <f t="shared" si="104"/>
      </c>
      <c r="J533" s="554">
        <f t="shared" si="133"/>
      </c>
      <c r="K533" s="555">
        <f t="shared" si="162"/>
      </c>
      <c r="L533" s="521">
        <f t="shared" si="192"/>
      </c>
      <c r="M533" s="521">
        <f t="shared" si="222"/>
      </c>
      <c r="N533" s="519">
        <f t="shared" si="252"/>
      </c>
      <c r="O533" s="522"/>
      <c r="P533" s="522"/>
      <c r="Q533" s="544">
        <f>Q532+Q528+Q523+Q519</f>
      </c>
      <c r="R533" s="544">
        <f>R532+R528+R523+R519</f>
      </c>
      <c r="S533" s="544">
        <f>S532+S528+S523+S519</f>
      </c>
      <c r="T533" s="544">
        <f>T532+T528+T523+T519</f>
      </c>
      <c r="U533" s="535"/>
    </row>
    <row r="534">
      <c r="A534" s="556" t="s">
        <v>298</v>
      </c>
      <c r="B534" s="556"/>
      <c r="C534" s="556"/>
      <c r="D534" s="557" t="s">
        <v>299</v>
      </c>
      <c r="E534" s="557"/>
      <c r="F534" s="557"/>
      <c r="G534" s="557"/>
      <c r="H534" s="557"/>
      <c r="I534" s="557"/>
      <c r="J534" s="557"/>
      <c r="K534" s="557"/>
      <c r="L534" s="558" t="s">
        <v>300</v>
      </c>
      <c r="M534" s="465"/>
      <c r="N534" s="465"/>
      <c r="O534" s="465"/>
      <c r="P534" s="465"/>
      <c r="Q534" s="466" t="s">
        <v>301</v>
      </c>
      <c r="R534" s="466"/>
      <c r="S534" s="466"/>
      <c r="T534" s="466"/>
      <c r="U534" s="535"/>
    </row>
    <row r="535">
      <c r="A535" s="559" t="s">
        <v>302</v>
      </c>
      <c r="B535" s="556" t="s">
        <v>303</v>
      </c>
      <c r="C535" s="556" t="s">
        <v>304</v>
      </c>
      <c r="D535" s="557" t="s">
        <v>305</v>
      </c>
      <c r="E535" s="560" t="s">
        <v>306</v>
      </c>
      <c r="F535" s="557" t="s">
        <v>307</v>
      </c>
      <c r="G535" s="561" t="s">
        <v>308</v>
      </c>
      <c r="H535" s="557" t="s">
        <v>309</v>
      </c>
      <c r="I535" s="562" t="s">
        <v>310</v>
      </c>
      <c r="J535" s="563" t="s">
        <v>311</v>
      </c>
      <c r="K535" s="557" t="s">
        <v>312</v>
      </c>
      <c r="L535" s="558" t="s">
        <v>313</v>
      </c>
      <c r="M535" s="465" t="s">
        <v>314</v>
      </c>
      <c r="N535" s="465" t="s">
        <v>315</v>
      </c>
      <c r="O535" s="477" t="s">
        <v>316</v>
      </c>
      <c r="P535" s="478" t="s">
        <v>317</v>
      </c>
      <c r="Q535" s="479" t="s">
        <v>318</v>
      </c>
      <c r="R535" s="479" t="s">
        <v>319</v>
      </c>
      <c r="S535" s="480" t="s">
        <v>320</v>
      </c>
      <c r="T535" s="479" t="s">
        <v>321</v>
      </c>
      <c r="U535" s="535"/>
    </row>
    <row r="536">
      <c r="A536" s="564" t="s">
        <v>385</v>
      </c>
      <c r="B536" s="565" t="s">
        <v>338</v>
      </c>
      <c r="C536" s="541" t="s">
        <v>339</v>
      </c>
      <c r="D536" s="541">
        <v>4014.4399999999996</v>
      </c>
      <c r="E536" s="541">
        <v>791.3</v>
      </c>
      <c r="F536" s="541">
        <v>3223.14</v>
      </c>
      <c r="G536" s="566">
        <v>8</v>
      </c>
      <c r="H536" s="541">
        <v>3103.82</v>
      </c>
      <c r="I536" s="567">
        <f t="shared" ref="I536:I555" si="105">H536/D536</f>
      </c>
      <c r="J536" s="568">
        <f t="shared" ref="J536:J555" si="134">D536/G536</f>
      </c>
      <c r="K536" s="567">
        <f t="shared" ref="K536:K555" si="163">H536/G536</f>
      </c>
      <c r="L536" s="569">
        <f t="shared" ref="L536:L555" si="193">R536/Q536</f>
      </c>
      <c r="M536" s="489">
        <f t="shared" ref="M536:M555" si="223">G536/S536</f>
      </c>
      <c r="N536" s="490">
        <f t="shared" ref="N536:N555" si="253">(T536*1000)/D536</f>
      </c>
      <c r="O536" s="491" t="s">
        <v>325</v>
      </c>
      <c r="P536" s="526" t="s">
        <v>343</v>
      </c>
      <c r="Q536" s="493">
        <v>47869</v>
      </c>
      <c r="R536" s="493">
        <v>3513</v>
      </c>
      <c r="S536" s="527">
        <v>13</v>
      </c>
      <c r="T536" s="527">
        <v>70</v>
      </c>
      <c r="U536" s="535"/>
    </row>
    <row r="537">
      <c r="A537" s="564"/>
      <c r="B537" s="565" t="s">
        <v>338</v>
      </c>
      <c r="C537" s="541" t="s">
        <v>341</v>
      </c>
      <c r="D537" s="541">
        <v>4449.76</v>
      </c>
      <c r="E537" s="570">
        <v>966.75</v>
      </c>
      <c r="F537" s="570">
        <v>3483.01</v>
      </c>
      <c r="G537" s="571">
        <v>9</v>
      </c>
      <c r="H537" s="541">
        <v>4244.299999999999</v>
      </c>
      <c r="I537" s="567">
        <f t="shared" si="105"/>
      </c>
      <c r="J537" s="567">
        <f t="shared" si="134"/>
      </c>
      <c r="K537" s="568">
        <f t="shared" si="163"/>
      </c>
      <c r="L537" s="569">
        <f t="shared" si="193"/>
      </c>
      <c r="M537" s="489">
        <f t="shared" si="223"/>
      </c>
      <c r="N537" s="490">
        <f t="shared" si="253"/>
      </c>
      <c r="O537" s="491" t="s">
        <v>325</v>
      </c>
      <c r="P537" s="526" t="s">
        <v>343</v>
      </c>
      <c r="Q537" s="494">
        <v>58041</v>
      </c>
      <c r="R537" s="494">
        <v>3574</v>
      </c>
      <c r="S537" s="527">
        <v>23</v>
      </c>
      <c r="T537" s="527">
        <v>63</v>
      </c>
      <c r="U537" s="535"/>
    </row>
    <row r="538">
      <c r="A538" s="564"/>
      <c r="B538" s="565" t="s">
        <v>338</v>
      </c>
      <c r="C538" s="541" t="s">
        <v>342</v>
      </c>
      <c r="D538" s="541">
        <v>3603.09</v>
      </c>
      <c r="E538" s="541">
        <v>446.88</v>
      </c>
      <c r="F538" s="541">
        <v>3156.21</v>
      </c>
      <c r="G538" s="571">
        <v>13</v>
      </c>
      <c r="H538" s="541">
        <v>9560.18</v>
      </c>
      <c r="I538" s="567">
        <f t="shared" si="105"/>
      </c>
      <c r="J538" s="567">
        <f t="shared" si="134"/>
      </c>
      <c r="K538" s="567">
        <f t="shared" si="163"/>
      </c>
      <c r="L538" s="569">
        <f t="shared" si="193"/>
      </c>
      <c r="M538" s="489">
        <f t="shared" si="223"/>
      </c>
      <c r="N538" s="490">
        <f t="shared" si="253"/>
      </c>
      <c r="O538" s="491" t="s">
        <v>325</v>
      </c>
      <c r="P538" s="526" t="s">
        <v>343</v>
      </c>
      <c r="Q538" s="494">
        <v>51424</v>
      </c>
      <c r="R538" s="494">
        <v>2378</v>
      </c>
      <c r="S538" s="527">
        <v>16</v>
      </c>
      <c r="T538" s="527">
        <v>62</v>
      </c>
      <c r="U538" s="535"/>
    </row>
    <row r="539">
      <c r="A539" s="564"/>
      <c r="B539" s="565" t="s">
        <v>338</v>
      </c>
      <c r="C539" s="541" t="s">
        <v>344</v>
      </c>
      <c r="D539" s="541">
        <v>2135.81</v>
      </c>
      <c r="E539" s="541">
        <v>330.51</v>
      </c>
      <c r="F539" s="541">
        <v>1805.3</v>
      </c>
      <c r="G539" s="571">
        <v>6</v>
      </c>
      <c r="H539" s="541">
        <v>4166.34</v>
      </c>
      <c r="I539" s="567">
        <f t="shared" si="105"/>
      </c>
      <c r="J539" s="567">
        <f t="shared" si="134"/>
      </c>
      <c r="K539" s="567">
        <f t="shared" si="163"/>
      </c>
      <c r="L539" s="569">
        <f t="shared" si="193"/>
      </c>
      <c r="M539" s="489">
        <f t="shared" si="223"/>
      </c>
      <c r="N539" s="490">
        <f t="shared" si="253"/>
      </c>
      <c r="O539" s="491" t="s">
        <v>325</v>
      </c>
      <c r="P539" s="526" t="s">
        <v>343</v>
      </c>
      <c r="Q539" s="494">
        <v>22572</v>
      </c>
      <c r="R539" s="494">
        <v>1382</v>
      </c>
      <c r="S539" s="527">
        <v>12</v>
      </c>
      <c r="T539" s="527">
        <v>38</v>
      </c>
      <c r="U539" s="535"/>
    </row>
    <row r="540">
      <c r="A540" s="564"/>
      <c r="B540" s="572" t="s">
        <v>330</v>
      </c>
      <c r="C540" s="572"/>
      <c r="D540" s="573">
        <v>14203.1</v>
      </c>
      <c r="E540" s="573">
        <v>2535.4399999999996</v>
      </c>
      <c r="F540" s="573">
        <v>11667.66</v>
      </c>
      <c r="G540" s="574">
        <v>36</v>
      </c>
      <c r="H540" s="573">
        <f>SUM(H536:H539)</f>
      </c>
      <c r="I540" s="575">
        <f t="shared" si="105"/>
      </c>
      <c r="J540" s="576">
        <f t="shared" si="134"/>
      </c>
      <c r="K540" s="577">
        <f t="shared" si="163"/>
      </c>
      <c r="L540" s="578">
        <f t="shared" si="193"/>
      </c>
      <c r="M540" s="512">
        <f t="shared" si="223"/>
      </c>
      <c r="N540" s="513">
        <f t="shared" si="253"/>
      </c>
      <c r="O540" s="513"/>
      <c r="P540" s="513"/>
      <c r="Q540" s="508">
        <f>SUM(Q536:Q539)</f>
      </c>
      <c r="R540" s="508">
        <f>SUM(R536:R539)</f>
      </c>
      <c r="S540" s="508">
        <f>SUM(S536:S539)</f>
      </c>
      <c r="T540" s="508">
        <f>SUM(T536:T539)</f>
      </c>
      <c r="U540" s="535"/>
    </row>
    <row r="541">
      <c r="A541" s="564"/>
      <c r="B541" s="579" t="s">
        <v>331</v>
      </c>
      <c r="C541" s="541" t="s">
        <v>345</v>
      </c>
      <c r="D541" s="541">
        <v>1760.35</v>
      </c>
      <c r="E541" s="541">
        <v>417.36</v>
      </c>
      <c r="F541" s="541">
        <v>1342.99</v>
      </c>
      <c r="G541" s="571">
        <v>5</v>
      </c>
      <c r="H541" s="541">
        <v>3792.7400000000016</v>
      </c>
      <c r="I541" s="567">
        <f t="shared" si="105"/>
      </c>
      <c r="J541" s="567">
        <f t="shared" si="134"/>
      </c>
      <c r="K541" s="567">
        <f t="shared" si="163"/>
      </c>
      <c r="L541" s="569">
        <f t="shared" si="193"/>
      </c>
      <c r="M541" s="489">
        <f t="shared" si="223"/>
      </c>
      <c r="N541" s="490">
        <f t="shared" si="253"/>
      </c>
      <c r="O541" s="491" t="s">
        <v>325</v>
      </c>
      <c r="P541" s="526" t="s">
        <v>343</v>
      </c>
      <c r="Q541" s="504">
        <v>17619</v>
      </c>
      <c r="R541" s="504">
        <v>1188</v>
      </c>
      <c r="S541" s="505">
        <v>7</v>
      </c>
      <c r="T541" s="505">
        <v>32</v>
      </c>
      <c r="U541" s="535"/>
    </row>
    <row r="542">
      <c r="A542" s="564"/>
      <c r="B542" s="579" t="s">
        <v>331</v>
      </c>
      <c r="C542" s="541" t="s">
        <v>346</v>
      </c>
      <c r="D542" s="541">
        <v>1413.46</v>
      </c>
      <c r="E542" s="570">
        <v>283.78</v>
      </c>
      <c r="F542" s="541">
        <v>1129.68</v>
      </c>
      <c r="G542" s="571">
        <v>3</v>
      </c>
      <c r="H542" s="541">
        <v>1994.1599999999999</v>
      </c>
      <c r="I542" s="567">
        <f t="shared" si="105"/>
      </c>
      <c r="J542" s="567">
        <f t="shared" si="134"/>
      </c>
      <c r="K542" s="567">
        <f t="shared" si="163"/>
      </c>
      <c r="L542" s="569">
        <f t="shared" si="193"/>
      </c>
      <c r="M542" s="489">
        <f t="shared" si="223"/>
      </c>
      <c r="N542" s="490">
        <f t="shared" si="253"/>
      </c>
      <c r="O542" s="491" t="s">
        <v>325</v>
      </c>
      <c r="P542" s="526" t="s">
        <v>343</v>
      </c>
      <c r="Q542" s="504">
        <v>13909</v>
      </c>
      <c r="R542" s="504">
        <v>959</v>
      </c>
      <c r="S542" s="505">
        <v>12</v>
      </c>
      <c r="T542" s="505">
        <v>31</v>
      </c>
      <c r="U542" s="535"/>
    </row>
    <row r="543">
      <c r="A543" s="564"/>
      <c r="B543" s="579" t="s">
        <v>331</v>
      </c>
      <c r="C543" s="541" t="s">
        <v>347</v>
      </c>
      <c r="D543" s="541">
        <v>2230.64</v>
      </c>
      <c r="E543" s="541">
        <v>259.45</v>
      </c>
      <c r="F543" s="541">
        <v>1971.19</v>
      </c>
      <c r="G543" s="571">
        <v>7</v>
      </c>
      <c r="H543" s="541">
        <v>2893.4399999999987</v>
      </c>
      <c r="I543" s="567">
        <f t="shared" si="105"/>
      </c>
      <c r="J543" s="567">
        <f t="shared" si="134"/>
      </c>
      <c r="K543" s="567">
        <f t="shared" si="163"/>
      </c>
      <c r="L543" s="569">
        <f t="shared" si="193"/>
      </c>
      <c r="M543" s="489">
        <f t="shared" si="223"/>
      </c>
      <c r="N543" s="490">
        <f t="shared" si="253"/>
      </c>
      <c r="O543" s="491" t="s">
        <v>325</v>
      </c>
      <c r="P543" s="526" t="s">
        <v>343</v>
      </c>
      <c r="Q543" s="504">
        <v>20802</v>
      </c>
      <c r="R543" s="504">
        <v>1062</v>
      </c>
      <c r="S543" s="505">
        <v>9</v>
      </c>
      <c r="T543" s="505">
        <v>30</v>
      </c>
      <c r="U543" s="535"/>
    </row>
    <row r="544">
      <c r="A544" s="564"/>
      <c r="B544" s="572" t="s">
        <v>330</v>
      </c>
      <c r="C544" s="572"/>
      <c r="D544" s="573">
        <v>5404.45</v>
      </c>
      <c r="E544" s="573">
        <v>960.5899999999999</v>
      </c>
      <c r="F544" s="573">
        <v>4443.860000000001</v>
      </c>
      <c r="G544" s="574">
        <v>15</v>
      </c>
      <c r="H544" s="573">
        <f>SUM(H541:H543)</f>
      </c>
      <c r="I544" s="575">
        <f t="shared" si="105"/>
      </c>
      <c r="J544" s="576">
        <f t="shared" si="134"/>
      </c>
      <c r="K544" s="577">
        <f t="shared" si="163"/>
      </c>
      <c r="L544" s="578">
        <f t="shared" si="193"/>
      </c>
      <c r="M544" s="512">
        <f t="shared" si="223"/>
      </c>
      <c r="N544" s="513">
        <f t="shared" si="253"/>
      </c>
      <c r="O544" s="513"/>
      <c r="P544" s="513"/>
      <c r="Q544" s="508">
        <f>SUM(Q541:Q543)</f>
      </c>
      <c r="R544" s="508">
        <f>SUM(R541:R543)</f>
      </c>
      <c r="S544" s="508">
        <f>SUM(S541:S543)</f>
      </c>
      <c r="T544" s="508">
        <f>SUM(T541:T543)</f>
      </c>
      <c r="U544" s="535"/>
    </row>
    <row r="545">
      <c r="A545" s="564"/>
      <c r="B545" s="579" t="s">
        <v>351</v>
      </c>
      <c r="C545" s="541" t="s">
        <v>324</v>
      </c>
      <c r="D545" s="541">
        <v>1527.0700000000002</v>
      </c>
      <c r="E545" s="541">
        <v>388.35</v>
      </c>
      <c r="F545" s="541">
        <v>1138.72</v>
      </c>
      <c r="G545" s="571">
        <v>3</v>
      </c>
      <c r="H545" s="541">
        <v>1107.8400000000001</v>
      </c>
      <c r="I545" s="567">
        <f t="shared" si="105"/>
      </c>
      <c r="J545" s="567">
        <f t="shared" si="134"/>
      </c>
      <c r="K545" s="567">
        <f t="shared" si="163"/>
      </c>
      <c r="L545" s="569">
        <f t="shared" si="193"/>
      </c>
      <c r="M545" s="489">
        <f t="shared" si="223"/>
      </c>
      <c r="N545" s="490">
        <f t="shared" si="253"/>
      </c>
      <c r="O545" s="491" t="s">
        <v>325</v>
      </c>
      <c r="P545" s="492" t="s">
        <v>363</v>
      </c>
      <c r="Q545" s="504">
        <v>19533</v>
      </c>
      <c r="R545" s="504">
        <v>1257</v>
      </c>
      <c r="S545" s="505">
        <v>4</v>
      </c>
      <c r="T545" s="505">
        <v>39</v>
      </c>
      <c r="U545" s="535"/>
    </row>
    <row r="546">
      <c r="A546" s="564"/>
      <c r="B546" s="579" t="s">
        <v>351</v>
      </c>
      <c r="C546" s="541" t="s">
        <v>327</v>
      </c>
      <c r="D546" s="541">
        <v>1335.68</v>
      </c>
      <c r="E546" s="541">
        <v>414.31</v>
      </c>
      <c r="F546" s="541">
        <v>921.37</v>
      </c>
      <c r="G546" s="571">
        <v>5</v>
      </c>
      <c r="H546" s="541">
        <v>2941.0800000000017</v>
      </c>
      <c r="I546" s="567">
        <f t="shared" si="105"/>
      </c>
      <c r="J546" s="567">
        <f t="shared" si="134"/>
      </c>
      <c r="K546" s="567">
        <f t="shared" si="163"/>
      </c>
      <c r="L546" s="569">
        <f t="shared" si="193"/>
      </c>
      <c r="M546" s="489">
        <f t="shared" si="223"/>
      </c>
      <c r="N546" s="490">
        <f t="shared" si="253"/>
      </c>
      <c r="O546" s="491" t="s">
        <v>325</v>
      </c>
      <c r="P546" s="492" t="s">
        <v>363</v>
      </c>
      <c r="Q546" s="504">
        <v>22666</v>
      </c>
      <c r="R546" s="504">
        <v>1581</v>
      </c>
      <c r="S546" s="505">
        <v>6</v>
      </c>
      <c r="T546" s="505">
        <v>36</v>
      </c>
      <c r="U546" s="535"/>
    </row>
    <row r="547">
      <c r="A547" s="564"/>
      <c r="B547" s="579" t="s">
        <v>351</v>
      </c>
      <c r="C547" s="483" t="s">
        <v>328</v>
      </c>
      <c r="D547" s="541">
        <v>1265.0900000000001</v>
      </c>
      <c r="E547" s="541">
        <v>391.61</v>
      </c>
      <c r="F547" s="541">
        <v>873.48</v>
      </c>
      <c r="G547" s="571">
        <v>6</v>
      </c>
      <c r="H547" s="541">
        <v>1733.2999999999956</v>
      </c>
      <c r="I547" s="567">
        <f t="shared" si="105"/>
      </c>
      <c r="J547" s="567">
        <f t="shared" si="134"/>
      </c>
      <c r="K547" s="567">
        <f t="shared" si="163"/>
      </c>
      <c r="L547" s="569">
        <f t="shared" si="193"/>
      </c>
      <c r="M547" s="489">
        <f t="shared" si="223"/>
      </c>
      <c r="N547" s="490">
        <f t="shared" si="253"/>
      </c>
      <c r="O547" s="491" t="s">
        <v>325</v>
      </c>
      <c r="P547" s="492" t="s">
        <v>363</v>
      </c>
      <c r="Q547" s="504">
        <v>22704</v>
      </c>
      <c r="R547" s="504">
        <v>1748</v>
      </c>
      <c r="S547" s="505">
        <v>8</v>
      </c>
      <c r="T547" s="505">
        <v>34</v>
      </c>
      <c r="U547" s="535"/>
    </row>
    <row r="548">
      <c r="A548" s="564"/>
      <c r="B548" s="579" t="s">
        <v>351</v>
      </c>
      <c r="C548" s="483" t="s">
        <v>329</v>
      </c>
      <c r="D548" s="541">
        <v>1354.25</v>
      </c>
      <c r="E548" s="541">
        <v>589.73</v>
      </c>
      <c r="F548" s="541">
        <v>764.52</v>
      </c>
      <c r="G548" s="571">
        <v>5</v>
      </c>
      <c r="H548" s="541">
        <v>3345.020000000004</v>
      </c>
      <c r="I548" s="567">
        <f t="shared" si="105"/>
      </c>
      <c r="J548" s="567">
        <f t="shared" si="134"/>
      </c>
      <c r="K548" s="567">
        <f t="shared" si="163"/>
      </c>
      <c r="L548" s="569">
        <f t="shared" si="193"/>
      </c>
      <c r="M548" s="489">
        <f t="shared" si="223"/>
      </c>
      <c r="N548" s="490">
        <f t="shared" si="253"/>
      </c>
      <c r="O548" s="491" t="s">
        <v>325</v>
      </c>
      <c r="P548" s="492" t="s">
        <v>363</v>
      </c>
      <c r="Q548" s="504">
        <v>20785</v>
      </c>
      <c r="R548" s="504">
        <v>1909</v>
      </c>
      <c r="S548" s="505">
        <v>8</v>
      </c>
      <c r="T548" s="505">
        <v>36</v>
      </c>
      <c r="U548" s="535"/>
    </row>
    <row r="549">
      <c r="A549" s="564"/>
      <c r="B549" s="572" t="s">
        <v>330</v>
      </c>
      <c r="C549" s="572"/>
      <c r="D549" s="573">
        <f>SUM(D545:D548)</f>
      </c>
      <c r="E549" s="573">
        <f>SUM(E545:E548)</f>
      </c>
      <c r="F549" s="573">
        <f>SUM(F545:F548)</f>
      </c>
      <c r="G549" s="574">
        <f>SUM(G545:G548)</f>
      </c>
      <c r="H549" s="573">
        <f>SUM(H545:H548)</f>
      </c>
      <c r="I549" s="575">
        <f t="shared" si="105"/>
      </c>
      <c r="J549" s="576">
        <f t="shared" si="134"/>
      </c>
      <c r="K549" s="577">
        <f t="shared" si="163"/>
      </c>
      <c r="L549" s="578">
        <f t="shared" si="193"/>
      </c>
      <c r="M549" s="512">
        <f t="shared" si="223"/>
      </c>
      <c r="N549" s="513">
        <f t="shared" si="253"/>
      </c>
      <c r="O549" s="513"/>
      <c r="P549" s="513"/>
      <c r="Q549" s="508">
        <f>SUM(Q545:Q548)</f>
      </c>
      <c r="R549" s="508">
        <f>SUM(R545:R548)</f>
      </c>
      <c r="S549" s="508">
        <f>SUM(S545:S548)</f>
      </c>
      <c r="T549" s="508">
        <f>SUM(T545:T548)</f>
      </c>
      <c r="U549" s="535"/>
    </row>
    <row hidden="true" r="550">
      <c r="A550" s="564"/>
      <c r="B550" s="565" t="s">
        <v>375</v>
      </c>
      <c r="C550" s="541" t="s">
        <v>332</v>
      </c>
      <c r="D550" s="541">
        <f t="shared" ref="D550:D553" si="63">E550+F550</f>
      </c>
      <c r="E550" s="541"/>
      <c r="F550" s="541"/>
      <c r="G550" s="571"/>
      <c r="H550" s="541"/>
      <c r="I550" s="567">
        <f t="shared" si="105"/>
      </c>
      <c r="J550" s="567">
        <f t="shared" si="134"/>
      </c>
      <c r="K550" s="567">
        <f t="shared" si="163"/>
      </c>
      <c r="L550" s="569">
        <f t="shared" si="193"/>
      </c>
      <c r="M550" s="489">
        <f t="shared" si="223"/>
      </c>
      <c r="N550" s="490">
        <f t="shared" si="253"/>
      </c>
      <c r="O550" s="491" t="s">
        <v>325</v>
      </c>
      <c r="P550" s="492" t="s">
        <v>363</v>
      </c>
      <c r="Q550" s="504"/>
      <c r="R550" s="504"/>
      <c r="S550" s="505"/>
      <c r="T550" s="505"/>
      <c r="U550" s="535"/>
    </row>
    <row hidden="true" r="551">
      <c r="A551" s="564"/>
      <c r="B551" s="565" t="s">
        <v>375</v>
      </c>
      <c r="C551" s="541" t="s">
        <v>333</v>
      </c>
      <c r="D551" s="541">
        <f t="shared" si="63"/>
      </c>
      <c r="E551" s="541"/>
      <c r="F551" s="541"/>
      <c r="G551" s="571"/>
      <c r="H551" s="541"/>
      <c r="I551" s="567">
        <f t="shared" si="105"/>
      </c>
      <c r="J551" s="567">
        <f t="shared" si="134"/>
      </c>
      <c r="K551" s="567">
        <f t="shared" si="163"/>
      </c>
      <c r="L551" s="569">
        <f t="shared" si="193"/>
      </c>
      <c r="M551" s="489">
        <f t="shared" si="223"/>
      </c>
      <c r="N551" s="490">
        <f t="shared" si="253"/>
      </c>
      <c r="O551" s="491" t="s">
        <v>325</v>
      </c>
      <c r="P551" s="492" t="s">
        <v>363</v>
      </c>
      <c r="Q551" s="504"/>
      <c r="R551" s="504"/>
      <c r="S551" s="505"/>
      <c r="T551" s="505"/>
      <c r="U551" s="535"/>
    </row>
    <row customHeight="true" hidden="true" ht="16.666666666666668" r="552">
      <c r="A552" s="564"/>
      <c r="B552" s="565" t="s">
        <v>375</v>
      </c>
      <c r="C552" s="580" t="s">
        <v>334</v>
      </c>
      <c r="D552" s="541">
        <f t="shared" si="63"/>
      </c>
      <c r="E552" s="541"/>
      <c r="F552" s="541"/>
      <c r="G552" s="571"/>
      <c r="H552" s="541"/>
      <c r="I552" s="567">
        <f t="shared" si="105"/>
      </c>
      <c r="J552" s="567">
        <f t="shared" si="134"/>
      </c>
      <c r="K552" s="567">
        <f t="shared" si="163"/>
      </c>
      <c r="L552" s="569">
        <f t="shared" si="193"/>
      </c>
      <c r="M552" s="489">
        <f t="shared" si="223"/>
      </c>
      <c r="N552" s="490">
        <f t="shared" si="253"/>
      </c>
      <c r="O552" s="491" t="s">
        <v>325</v>
      </c>
      <c r="P552" s="492" t="s">
        <v>363</v>
      </c>
      <c r="Q552" s="504"/>
      <c r="R552" s="504"/>
      <c r="S552" s="505"/>
      <c r="T552" s="505"/>
      <c r="U552" s="535"/>
    </row>
    <row hidden="true" r="553">
      <c r="A553" s="564"/>
      <c r="B553" s="565" t="s">
        <v>375</v>
      </c>
      <c r="C553" s="580" t="s">
        <v>335</v>
      </c>
      <c r="D553" s="541">
        <f t="shared" si="63"/>
      </c>
      <c r="E553" s="541"/>
      <c r="F553" s="541"/>
      <c r="G553" s="571"/>
      <c r="H553" s="541"/>
      <c r="I553" s="567">
        <f t="shared" si="105"/>
      </c>
      <c r="J553" s="567">
        <f t="shared" si="134"/>
      </c>
      <c r="K553" s="567">
        <f t="shared" si="163"/>
      </c>
      <c r="L553" s="569">
        <f t="shared" si="193"/>
      </c>
      <c r="M553" s="489">
        <f t="shared" si="223"/>
      </c>
      <c r="N553" s="490">
        <f t="shared" si="253"/>
      </c>
      <c r="O553" s="491" t="s">
        <v>325</v>
      </c>
      <c r="P553" s="492" t="s">
        <v>363</v>
      </c>
      <c r="Q553" s="504"/>
      <c r="R553" s="504"/>
      <c r="S553" s="505"/>
      <c r="T553" s="505"/>
      <c r="U553" s="535"/>
    </row>
    <row hidden="true" r="554">
      <c r="A554" s="564"/>
      <c r="B554" s="572" t="s">
        <v>330</v>
      </c>
      <c r="C554" s="572"/>
      <c r="D554" s="573">
        <f>SUM(D550:D553)</f>
      </c>
      <c r="E554" s="573">
        <f>SUM(E550:E553)</f>
      </c>
      <c r="F554" s="573">
        <f>SUM(F550:F553)</f>
      </c>
      <c r="G554" s="574">
        <f>SUM(G550:G553)</f>
      </c>
      <c r="H554" s="573">
        <f>SUM(H550:H553)</f>
      </c>
      <c r="I554" s="575">
        <f t="shared" si="105"/>
      </c>
      <c r="J554" s="576">
        <f t="shared" si="134"/>
      </c>
      <c r="K554" s="577">
        <f t="shared" si="163"/>
      </c>
      <c r="L554" s="578">
        <f t="shared" si="193"/>
      </c>
      <c r="M554" s="512">
        <f t="shared" si="223"/>
      </c>
      <c r="N554" s="513">
        <f t="shared" si="253"/>
      </c>
      <c r="O554" s="513"/>
      <c r="P554" s="513"/>
      <c r="Q554" s="508">
        <f>SUM(Q550:Q553)</f>
      </c>
      <c r="R554" s="508">
        <f>SUM(R550:R553)</f>
      </c>
      <c r="S554" s="508">
        <f>SUM(S550:S553)</f>
      </c>
      <c r="T554" s="508">
        <f>SUM(T550:T553)</f>
      </c>
      <c r="U554" s="535"/>
    </row>
    <row r="555">
      <c r="A555" s="564"/>
      <c r="B555" s="581" t="s">
        <v>336</v>
      </c>
      <c r="C555" s="581"/>
      <c r="D555" s="582">
        <f>D540+D544+D549+D554</f>
      </c>
      <c r="E555" s="582">
        <f>E540+E544+E549+E554</f>
      </c>
      <c r="F555" s="582">
        <f>F540+F544+F549+F554</f>
      </c>
      <c r="G555" s="583">
        <f>G554+G549+G544+G540</f>
      </c>
      <c r="H555" s="582">
        <f>H540+H544+H549+H554</f>
      </c>
      <c r="I555" s="584">
        <f t="shared" si="105"/>
      </c>
      <c r="J555" s="584">
        <f t="shared" si="134"/>
      </c>
      <c r="K555" s="584">
        <f t="shared" si="163"/>
      </c>
      <c r="L555" s="585">
        <f t="shared" si="193"/>
      </c>
      <c r="M555" s="521">
        <f t="shared" si="223"/>
      </c>
      <c r="N555" s="519">
        <f t="shared" si="253"/>
      </c>
      <c r="O555" s="522"/>
      <c r="P555" s="522"/>
      <c r="Q555" s="583">
        <f>Q554+Q549+Q544+Q540</f>
      </c>
      <c r="R555" s="583">
        <f>R554+R549+R544+R540</f>
      </c>
      <c r="S555" s="583">
        <f>S554+S549+S544+S540</f>
      </c>
      <c r="T555" s="583">
        <f>T554+T549+T544+T540</f>
      </c>
      <c r="U555" s="535"/>
    </row>
    <row r="556">
      <c r="A556" s="534" t="s">
        <v>298</v>
      </c>
      <c r="B556" s="534"/>
      <c r="C556" s="534"/>
      <c r="D556" s="464" t="s">
        <v>299</v>
      </c>
      <c r="E556" s="464"/>
      <c r="F556" s="464"/>
      <c r="G556" s="464"/>
      <c r="H556" s="464"/>
      <c r="I556" s="464"/>
      <c r="J556" s="464"/>
      <c r="K556" s="464"/>
      <c r="L556" s="465" t="s">
        <v>300</v>
      </c>
      <c r="M556" s="465"/>
      <c r="N556" s="465"/>
      <c r="O556" s="465"/>
      <c r="P556" s="465"/>
      <c r="Q556" s="466" t="s">
        <v>301</v>
      </c>
      <c r="R556" s="466"/>
      <c r="S556" s="466"/>
      <c r="T556" s="466"/>
      <c r="U556" s="535"/>
    </row>
    <row r="557">
      <c r="A557" s="467" t="s">
        <v>302</v>
      </c>
      <c r="B557" s="468" t="s">
        <v>303</v>
      </c>
      <c r="C557" s="469" t="s">
        <v>304</v>
      </c>
      <c r="D557" s="470" t="s">
        <v>305</v>
      </c>
      <c r="E557" s="471" t="s">
        <v>306</v>
      </c>
      <c r="F557" s="470" t="s">
        <v>307</v>
      </c>
      <c r="G557" s="472" t="s">
        <v>308</v>
      </c>
      <c r="H557" s="473" t="s">
        <v>309</v>
      </c>
      <c r="I557" s="474" t="s">
        <v>310</v>
      </c>
      <c r="J557" s="475" t="s">
        <v>311</v>
      </c>
      <c r="K557" s="476" t="s">
        <v>312</v>
      </c>
      <c r="L557" s="465" t="s">
        <v>313</v>
      </c>
      <c r="M557" s="465" t="s">
        <v>314</v>
      </c>
      <c r="N557" s="465" t="s">
        <v>315</v>
      </c>
      <c r="O557" s="477" t="s">
        <v>316</v>
      </c>
      <c r="P557" s="478" t="s">
        <v>317</v>
      </c>
      <c r="Q557" s="479" t="s">
        <v>318</v>
      </c>
      <c r="R557" s="479" t="s">
        <v>319</v>
      </c>
      <c r="S557" s="480" t="s">
        <v>320</v>
      </c>
      <c r="T557" s="479" t="s">
        <v>321</v>
      </c>
      <c r="U557" s="535"/>
    </row>
    <row r="558">
      <c r="A558" s="481" t="s">
        <v>386</v>
      </c>
      <c r="B558" s="536" t="s">
        <v>331</v>
      </c>
      <c r="C558" s="483" t="s">
        <v>339</v>
      </c>
      <c r="D558" s="483">
        <f t="shared" ref="D558:D561" si="64">E558+F558</f>
      </c>
      <c r="E558" s="484">
        <v>513.74</v>
      </c>
      <c r="F558" s="483">
        <v>1182.77</v>
      </c>
      <c r="G558" s="532">
        <v>4</v>
      </c>
      <c r="H558" s="483">
        <v>4483.68</v>
      </c>
      <c r="I558" s="486">
        <f t="shared" ref="I558:I580" si="106">H558/D558</f>
      </c>
      <c r="J558" s="537">
        <f t="shared" ref="J558:J580" si="135">D558/G558</f>
      </c>
      <c r="K558" s="487">
        <f t="shared" ref="K558:K580" si="164">H558/G558</f>
      </c>
      <c r="L558" s="488">
        <f t="shared" ref="L558:L580" si="194">R558/Q558</f>
      </c>
      <c r="M558" s="489">
        <f t="shared" ref="M558:M580" si="224">G558/S558</f>
      </c>
      <c r="N558" s="490">
        <f t="shared" ref="N558:N580" si="254">(T558*1000)/D558</f>
      </c>
      <c r="O558" s="491" t="s">
        <v>325</v>
      </c>
      <c r="P558" s="526" t="s">
        <v>343</v>
      </c>
      <c r="Q558" s="493">
        <v>22157</v>
      </c>
      <c r="R558" s="493">
        <v>2458</v>
      </c>
      <c r="S558" s="527">
        <v>6</v>
      </c>
      <c r="T558" s="527">
        <v>46</v>
      </c>
      <c r="U558" s="535"/>
    </row>
    <row r="559">
      <c r="A559" s="481"/>
      <c r="B559" s="536" t="s">
        <v>331</v>
      </c>
      <c r="C559" s="496" t="s">
        <v>341</v>
      </c>
      <c r="D559" s="497">
        <f t="shared" si="64"/>
      </c>
      <c r="E559" s="498">
        <v>671.43</v>
      </c>
      <c r="F559" s="498">
        <v>1757.99</v>
      </c>
      <c r="G559" s="499">
        <v>6</v>
      </c>
      <c r="H559" s="483">
        <v>2639.2799999999997</v>
      </c>
      <c r="I559" s="486">
        <f t="shared" si="106"/>
      </c>
      <c r="J559" s="486">
        <f t="shared" si="135"/>
      </c>
      <c r="K559" s="538">
        <f t="shared" si="164"/>
      </c>
      <c r="L559" s="488">
        <f t="shared" si="194"/>
      </c>
      <c r="M559" s="489">
        <f t="shared" si="224"/>
      </c>
      <c r="N559" s="490">
        <f t="shared" si="254"/>
      </c>
      <c r="O559" s="491" t="s">
        <v>325</v>
      </c>
      <c r="P559" s="526" t="s">
        <v>343</v>
      </c>
      <c r="Q559" s="494">
        <v>12076</v>
      </c>
      <c r="R559" s="494">
        <v>1233</v>
      </c>
      <c r="S559" s="527">
        <v>12</v>
      </c>
      <c r="T559" s="527">
        <v>48</v>
      </c>
      <c r="U559" s="535"/>
    </row>
    <row r="560">
      <c r="A560" s="481"/>
      <c r="B560" s="536" t="s">
        <v>331</v>
      </c>
      <c r="C560" s="483" t="s">
        <v>342</v>
      </c>
      <c r="D560" s="500">
        <f t="shared" si="64"/>
      </c>
      <c r="E560" s="483">
        <v>189.26</v>
      </c>
      <c r="F560" s="483">
        <v>762.32</v>
      </c>
      <c r="G560" s="502">
        <v>1</v>
      </c>
      <c r="H560" s="503">
        <v>215.03999999999996</v>
      </c>
      <c r="I560" s="486">
        <f t="shared" si="106"/>
      </c>
      <c r="J560" s="486">
        <f t="shared" si="135"/>
      </c>
      <c r="K560" s="487">
        <f t="shared" si="164"/>
      </c>
      <c r="L560" s="488">
        <f t="shared" si="194"/>
      </c>
      <c r="M560" s="489">
        <f t="shared" si="224"/>
      </c>
      <c r="N560" s="490">
        <f t="shared" si="254"/>
      </c>
      <c r="O560" s="491" t="s">
        <v>325</v>
      </c>
      <c r="P560" s="526" t="s">
        <v>343</v>
      </c>
      <c r="Q560" s="494">
        <v>18428</v>
      </c>
      <c r="R560" s="494">
        <v>1410</v>
      </c>
      <c r="S560" s="527">
        <v>1</v>
      </c>
      <c r="T560" s="527">
        <v>16</v>
      </c>
      <c r="U560" s="535"/>
    </row>
    <row r="561">
      <c r="A561" s="481"/>
      <c r="B561" s="536" t="s">
        <v>331</v>
      </c>
      <c r="C561" s="483" t="s">
        <v>344</v>
      </c>
      <c r="D561" s="500">
        <f t="shared" si="64"/>
      </c>
      <c r="E561" s="483">
        <v>835.61</v>
      </c>
      <c r="F561" s="483">
        <v>701.56</v>
      </c>
      <c r="G561" s="502">
        <v>8</v>
      </c>
      <c r="H561" s="503">
        <v>6353.4</v>
      </c>
      <c r="I561" s="486">
        <f t="shared" si="106"/>
      </c>
      <c r="J561" s="486">
        <f t="shared" si="135"/>
      </c>
      <c r="K561" s="487">
        <f t="shared" si="164"/>
      </c>
      <c r="L561" s="488">
        <f t="shared" si="194"/>
      </c>
      <c r="M561" s="489">
        <f t="shared" si="224"/>
      </c>
      <c r="N561" s="490">
        <f t="shared" si="254"/>
      </c>
      <c r="O561" s="491" t="s">
        <v>325</v>
      </c>
      <c r="P561" s="526" t="s">
        <v>343</v>
      </c>
      <c r="Q561" s="494">
        <v>18584</v>
      </c>
      <c r="R561" s="494">
        <v>1624</v>
      </c>
      <c r="S561" s="527">
        <v>13</v>
      </c>
      <c r="T561" s="527">
        <v>48</v>
      </c>
      <c r="U561" s="539"/>
    </row>
    <row r="562">
      <c r="A562" s="481"/>
      <c r="B562" s="506" t="s">
        <v>330</v>
      </c>
      <c r="C562" s="506"/>
      <c r="D562" s="507">
        <f>SUM(D558:D561)</f>
      </c>
      <c r="E562" s="507">
        <f>SUM(E558:E561)</f>
      </c>
      <c r="F562" s="507">
        <f>SUM(F558:F561)</f>
      </c>
      <c r="G562" s="508">
        <f>SUM(G558:G561)</f>
      </c>
      <c r="H562" s="507">
        <f>SUM(H558:H561)</f>
      </c>
      <c r="I562" s="509">
        <f t="shared" si="106"/>
      </c>
      <c r="J562" s="510">
        <f t="shared" si="135"/>
      </c>
      <c r="K562" s="511">
        <f t="shared" si="164"/>
      </c>
      <c r="L562" s="512">
        <f t="shared" si="194"/>
      </c>
      <c r="M562" s="512">
        <f t="shared" si="224"/>
      </c>
      <c r="N562" s="513">
        <f t="shared" si="254"/>
      </c>
      <c r="O562" s="513"/>
      <c r="P562" s="513"/>
      <c r="Q562" s="508">
        <f>SUM(Q558:Q561)</f>
      </c>
      <c r="R562" s="508">
        <f>SUM(R558:R561)</f>
      </c>
      <c r="S562" s="508">
        <f>SUM(S558:S561)</f>
      </c>
      <c r="T562" s="508">
        <f>SUM(T558:T561)</f>
      </c>
      <c r="U562" s="535"/>
    </row>
    <row r="563">
      <c r="A563" s="481"/>
      <c r="B563" s="536" t="s">
        <v>351</v>
      </c>
      <c r="C563" s="483" t="s">
        <v>345</v>
      </c>
      <c r="D563" s="500">
        <f t="shared" ref="D563:D566" si="65">E563+F563</f>
      </c>
      <c r="E563" s="483">
        <v>944.01</v>
      </c>
      <c r="F563" s="483">
        <v>1021.49</v>
      </c>
      <c r="G563" s="499">
        <v>4</v>
      </c>
      <c r="H563" s="483">
        <v>840.5</v>
      </c>
      <c r="I563" s="486">
        <f t="shared" si="106"/>
      </c>
      <c r="J563" s="486">
        <f t="shared" si="135"/>
      </c>
      <c r="K563" s="487">
        <f t="shared" si="164"/>
      </c>
      <c r="L563" s="488">
        <f t="shared" si="194"/>
      </c>
      <c r="M563" s="489">
        <f t="shared" si="224"/>
      </c>
      <c r="N563" s="490">
        <f t="shared" si="254"/>
      </c>
      <c r="O563" s="491" t="s">
        <v>325</v>
      </c>
      <c r="P563" s="526" t="s">
        <v>343</v>
      </c>
      <c r="Q563" s="504">
        <v>25169</v>
      </c>
      <c r="R563" s="504">
        <v>2046</v>
      </c>
      <c r="S563" s="505">
        <v>11</v>
      </c>
      <c r="T563" s="505">
        <v>45</v>
      </c>
      <c r="U563" s="535"/>
    </row>
    <row r="564">
      <c r="A564" s="481"/>
      <c r="B564" s="536" t="s">
        <v>351</v>
      </c>
      <c r="C564" s="483" t="s">
        <v>346</v>
      </c>
      <c r="D564" s="500">
        <f t="shared" si="65"/>
      </c>
      <c r="E564" s="501">
        <v>77.14</v>
      </c>
      <c r="F564" s="483">
        <v>3360.52</v>
      </c>
      <c r="G564" s="502">
        <v>14</v>
      </c>
      <c r="H564" s="503">
        <v>9729.589999999998</v>
      </c>
      <c r="I564" s="486">
        <f t="shared" si="106"/>
      </c>
      <c r="J564" s="486">
        <f t="shared" si="135"/>
      </c>
      <c r="K564" s="487">
        <f t="shared" si="164"/>
      </c>
      <c r="L564" s="488">
        <f t="shared" si="194"/>
      </c>
      <c r="M564" s="489">
        <f t="shared" si="224"/>
      </c>
      <c r="N564" s="490">
        <f t="shared" si="254"/>
      </c>
      <c r="O564" s="491" t="s">
        <v>325</v>
      </c>
      <c r="P564" s="526" t="s">
        <v>343</v>
      </c>
      <c r="Q564" s="504">
        <v>68744</v>
      </c>
      <c r="R564" s="504">
        <v>2218</v>
      </c>
      <c r="S564" s="505">
        <v>19</v>
      </c>
      <c r="T564" s="505">
        <v>60</v>
      </c>
      <c r="U564" s="535"/>
    </row>
    <row r="565">
      <c r="A565" s="481"/>
      <c r="B565" s="536" t="s">
        <v>351</v>
      </c>
      <c r="C565" s="483" t="s">
        <v>347</v>
      </c>
      <c r="D565" s="500">
        <f t="shared" si="65"/>
      </c>
      <c r="E565" s="483">
        <v>0</v>
      </c>
      <c r="F565" s="483">
        <v>3251.97</v>
      </c>
      <c r="G565" s="502">
        <v>10</v>
      </c>
      <c r="H565" s="503">
        <v>5240.43</v>
      </c>
      <c r="I565" s="486">
        <f t="shared" si="106"/>
      </c>
      <c r="J565" s="486">
        <f t="shared" si="135"/>
      </c>
      <c r="K565" s="487">
        <f t="shared" si="164"/>
      </c>
      <c r="L565" s="488">
        <f t="shared" si="194"/>
      </c>
      <c r="M565" s="489">
        <f t="shared" si="224"/>
      </c>
      <c r="N565" s="490">
        <f t="shared" si="254"/>
      </c>
      <c r="O565" s="491" t="s">
        <v>325</v>
      </c>
      <c r="P565" s="526" t="s">
        <v>343</v>
      </c>
      <c r="Q565" s="504">
        <v>60379</v>
      </c>
      <c r="R565" s="504">
        <v>2257</v>
      </c>
      <c r="S565" s="505">
        <v>14</v>
      </c>
      <c r="T565" s="505">
        <v>40</v>
      </c>
      <c r="U565" s="535"/>
    </row>
    <row r="566">
      <c r="A566" s="481"/>
      <c r="B566" s="536" t="s">
        <v>351</v>
      </c>
      <c r="C566" s="483" t="s">
        <v>348</v>
      </c>
      <c r="D566" s="500">
        <f t="shared" si="65"/>
      </c>
      <c r="E566" s="525">
        <v>0</v>
      </c>
      <c r="F566" s="483">
        <v>7347.82</v>
      </c>
      <c r="G566" s="502">
        <v>26</v>
      </c>
      <c r="H566" s="503">
        <v>18065.370000000003</v>
      </c>
      <c r="I566" s="486">
        <f t="shared" si="106"/>
      </c>
      <c r="J566" s="486">
        <f t="shared" si="135"/>
      </c>
      <c r="K566" s="487">
        <f t="shared" si="164"/>
      </c>
      <c r="L566" s="488">
        <f t="shared" si="194"/>
      </c>
      <c r="M566" s="489">
        <f t="shared" si="224"/>
      </c>
      <c r="N566" s="490">
        <f t="shared" si="254"/>
      </c>
      <c r="O566" s="491" t="s">
        <v>325</v>
      </c>
      <c r="P566" s="526" t="s">
        <v>343</v>
      </c>
      <c r="Q566" s="504">
        <v>180870</v>
      </c>
      <c r="R566" s="504">
        <v>5098</v>
      </c>
      <c r="S566" s="505">
        <v>37</v>
      </c>
      <c r="T566" s="505">
        <v>91</v>
      </c>
      <c r="U566" s="535"/>
    </row>
    <row r="567">
      <c r="A567" s="481"/>
      <c r="B567" s="506" t="s">
        <v>330</v>
      </c>
      <c r="C567" s="506"/>
      <c r="D567" s="507">
        <f>SUM(D563:D566)</f>
      </c>
      <c r="E567" s="507">
        <f>SUM(E563:E566)</f>
      </c>
      <c r="F567" s="507">
        <f>SUM(F563:F566)</f>
      </c>
      <c r="G567" s="508">
        <f>SUM(G563:G566)</f>
      </c>
      <c r="H567" s="507">
        <f>SUM(H563:H566)</f>
      </c>
      <c r="I567" s="515">
        <f t="shared" si="106"/>
      </c>
      <c r="J567" s="510">
        <f t="shared" si="135"/>
      </c>
      <c r="K567" s="511">
        <f t="shared" si="164"/>
      </c>
      <c r="L567" s="512">
        <f t="shared" si="194"/>
      </c>
      <c r="M567" s="512">
        <f t="shared" si="224"/>
      </c>
      <c r="N567" s="513">
        <f t="shared" si="254"/>
      </c>
      <c r="O567" s="513"/>
      <c r="P567" s="513"/>
      <c r="Q567" s="508">
        <f>SUM(Q563:Q566)</f>
      </c>
      <c r="R567" s="508">
        <f>SUM(R563:R566)</f>
      </c>
      <c r="S567" s="508">
        <f>SUM(S563:S566)</f>
      </c>
      <c r="T567" s="508">
        <f>SUM(T563:T566)</f>
      </c>
      <c r="U567" s="535"/>
    </row>
    <row r="568">
      <c r="A568" s="481"/>
      <c r="B568" s="523" t="s">
        <v>338</v>
      </c>
      <c r="C568" s="483" t="s">
        <v>349</v>
      </c>
      <c r="D568" s="500">
        <f t="shared" ref="D568:D571" si="66">E568+F568</f>
      </c>
      <c r="E568" s="525">
        <v>0</v>
      </c>
      <c r="F568" s="483">
        <v>2383.48</v>
      </c>
      <c r="G568" s="499">
        <v>5</v>
      </c>
      <c r="H568" s="483">
        <v>2478.3600000000006</v>
      </c>
      <c r="I568" s="486">
        <f t="shared" si="106"/>
      </c>
      <c r="J568" s="486">
        <f t="shared" si="135"/>
      </c>
      <c r="K568" s="487">
        <f t="shared" si="164"/>
      </c>
      <c r="L568" s="488">
        <f t="shared" si="194"/>
      </c>
      <c r="M568" s="489">
        <f t="shared" si="224"/>
      </c>
      <c r="N568" s="490">
        <f t="shared" si="254"/>
      </c>
      <c r="O568" s="491" t="s">
        <v>325</v>
      </c>
      <c r="P568" s="492" t="s">
        <v>363</v>
      </c>
      <c r="Q568" s="504">
        <v>55834</v>
      </c>
      <c r="R568" s="504">
        <v>1844</v>
      </c>
      <c r="S568" s="505">
        <v>10</v>
      </c>
      <c r="T568" s="505">
        <v>49</v>
      </c>
      <c r="U568" s="535"/>
    </row>
    <row r="569">
      <c r="A569" s="481"/>
      <c r="B569" s="523" t="s">
        <v>338</v>
      </c>
      <c r="C569" s="483" t="s">
        <v>350</v>
      </c>
      <c r="D569" s="500">
        <f t="shared" si="66"/>
      </c>
      <c r="E569" s="525">
        <v>0</v>
      </c>
      <c r="F569" s="483">
        <v>4098.41</v>
      </c>
      <c r="G569" s="499">
        <v>15</v>
      </c>
      <c r="H569" s="483">
        <v>4008.020000000004</v>
      </c>
      <c r="I569" s="486">
        <f t="shared" si="106"/>
      </c>
      <c r="J569" s="486">
        <f t="shared" si="135"/>
      </c>
      <c r="K569" s="487">
        <f t="shared" si="164"/>
      </c>
      <c r="L569" s="488">
        <f t="shared" si="194"/>
      </c>
      <c r="M569" s="489">
        <f t="shared" si="224"/>
      </c>
      <c r="N569" s="490">
        <f t="shared" si="254"/>
      </c>
      <c r="O569" s="491" t="s">
        <v>325</v>
      </c>
      <c r="P569" s="492" t="s">
        <v>363</v>
      </c>
      <c r="Q569" s="504">
        <v>121496</v>
      </c>
      <c r="R569" s="504">
        <v>3060</v>
      </c>
      <c r="S569" s="505">
        <v>19</v>
      </c>
      <c r="T569" s="505">
        <v>82</v>
      </c>
      <c r="U569" s="535"/>
    </row>
    <row r="570">
      <c r="A570" s="481"/>
      <c r="B570" s="523" t="s">
        <v>338</v>
      </c>
      <c r="C570" s="483" t="s">
        <v>324</v>
      </c>
      <c r="D570" s="500">
        <f t="shared" si="66"/>
      </c>
      <c r="E570" s="525">
        <v>0</v>
      </c>
      <c r="F570" s="483">
        <v>4480.33</v>
      </c>
      <c r="G570" s="499">
        <v>16</v>
      </c>
      <c r="H570" s="483">
        <v>6197.299999999996</v>
      </c>
      <c r="I570" s="486">
        <f t="shared" si="106"/>
      </c>
      <c r="J570" s="486">
        <f t="shared" si="135"/>
      </c>
      <c r="K570" s="487">
        <f t="shared" si="164"/>
      </c>
      <c r="L570" s="488">
        <f t="shared" si="194"/>
      </c>
      <c r="M570" s="489">
        <f t="shared" si="224"/>
      </c>
      <c r="N570" s="490">
        <f t="shared" si="254"/>
      </c>
      <c r="O570" s="491" t="s">
        <v>325</v>
      </c>
      <c r="P570" s="492" t="s">
        <v>363</v>
      </c>
      <c r="Q570" s="504">
        <v>128781</v>
      </c>
      <c r="R570" s="504">
        <v>3543</v>
      </c>
      <c r="S570" s="505">
        <v>21</v>
      </c>
      <c r="T570" s="505">
        <v>81</v>
      </c>
      <c r="U570" s="535"/>
    </row>
    <row r="571">
      <c r="A571" s="481"/>
      <c r="B571" s="523" t="s">
        <v>338</v>
      </c>
      <c r="C571" s="483" t="s">
        <v>327</v>
      </c>
      <c r="D571" s="500">
        <f t="shared" si="66"/>
      </c>
      <c r="E571" s="483">
        <v>0.03</v>
      </c>
      <c r="F571" s="483">
        <v>2137.33</v>
      </c>
      <c r="G571" s="499">
        <v>7</v>
      </c>
      <c r="H571" s="483">
        <v>1928.6800000000003</v>
      </c>
      <c r="I571" s="486">
        <f t="shared" si="106"/>
      </c>
      <c r="J571" s="486">
        <f t="shared" si="135"/>
      </c>
      <c r="K571" s="487">
        <f t="shared" si="164"/>
      </c>
      <c r="L571" s="488">
        <f t="shared" si="194"/>
      </c>
      <c r="M571" s="489">
        <f t="shared" si="224"/>
      </c>
      <c r="N571" s="490">
        <f t="shared" si="254"/>
      </c>
      <c r="O571" s="491" t="s">
        <v>325</v>
      </c>
      <c r="P571" s="492" t="s">
        <v>363</v>
      </c>
      <c r="Q571" s="504">
        <v>52824</v>
      </c>
      <c r="R571" s="504">
        <v>1808</v>
      </c>
      <c r="S571" s="505">
        <v>10</v>
      </c>
      <c r="T571" s="505">
        <v>38</v>
      </c>
      <c r="U571" s="535"/>
    </row>
    <row r="572">
      <c r="A572" s="481"/>
      <c r="B572" s="506" t="s">
        <v>330</v>
      </c>
      <c r="C572" s="506"/>
      <c r="D572" s="507">
        <f>SUM(D568:D571)</f>
      </c>
      <c r="E572" s="507">
        <f>SUM(E568:E571)</f>
      </c>
      <c r="F572" s="507">
        <f>SUM(F568:F571)</f>
      </c>
      <c r="G572" s="508">
        <f>SUM(G568:G571)</f>
      </c>
      <c r="H572" s="507">
        <f>SUM(H568:H571)</f>
      </c>
      <c r="I572" s="515">
        <f t="shared" si="106"/>
      </c>
      <c r="J572" s="510">
        <f t="shared" si="135"/>
      </c>
      <c r="K572" s="511">
        <f t="shared" si="164"/>
      </c>
      <c r="L572" s="512">
        <f t="shared" si="194"/>
      </c>
      <c r="M572" s="512">
        <f t="shared" si="224"/>
      </c>
      <c r="N572" s="513">
        <f t="shared" si="254"/>
      </c>
      <c r="O572" s="513"/>
      <c r="P572" s="513"/>
      <c r="Q572" s="508">
        <f>SUM(Q568:Q571)</f>
      </c>
      <c r="R572" s="508">
        <f>SUM(R568:R571)</f>
      </c>
      <c r="S572" s="508">
        <f>SUM(S568:S571)</f>
      </c>
      <c r="T572" s="508">
        <f>SUM(T568:T571)</f>
      </c>
      <c r="U572" s="535"/>
    </row>
    <row r="573">
      <c r="A573" s="481"/>
      <c r="B573" s="523" t="s">
        <v>360</v>
      </c>
      <c r="C573" s="483" t="s">
        <v>328</v>
      </c>
      <c r="D573" s="500">
        <f t="shared" ref="D573:D575" si="67">E573+F573</f>
      </c>
      <c r="E573" s="525">
        <v>0</v>
      </c>
      <c r="F573" s="483">
        <v>2248.8900000000003</v>
      </c>
      <c r="G573" s="499">
        <v>10</v>
      </c>
      <c r="H573" s="483">
        <v>5754.260000000002</v>
      </c>
      <c r="I573" s="486">
        <f t="shared" si="106"/>
      </c>
      <c r="J573" s="486">
        <f t="shared" si="135"/>
      </c>
      <c r="K573" s="487">
        <f t="shared" si="164"/>
      </c>
      <c r="L573" s="488">
        <f t="shared" si="194"/>
      </c>
      <c r="M573" s="489">
        <f t="shared" si="224"/>
      </c>
      <c r="N573" s="490">
        <f t="shared" si="254"/>
      </c>
      <c r="O573" s="491" t="s">
        <v>325</v>
      </c>
      <c r="P573" s="492" t="s">
        <v>363</v>
      </c>
      <c r="Q573" s="504">
        <v>48415</v>
      </c>
      <c r="R573" s="504">
        <v>1691</v>
      </c>
      <c r="S573" s="505">
        <v>11</v>
      </c>
      <c r="T573" s="505">
        <v>40</v>
      </c>
      <c r="U573" s="535"/>
    </row>
    <row customHeight="true" ht="16.666666666666668" r="574">
      <c r="A574" s="481"/>
      <c r="B574" s="523" t="s">
        <v>360</v>
      </c>
      <c r="C574" s="483" t="s">
        <v>329</v>
      </c>
      <c r="D574" s="500">
        <f t="shared" si="67"/>
      </c>
      <c r="E574" s="525">
        <v>0</v>
      </c>
      <c r="F574" s="483">
        <v>2765.95</v>
      </c>
      <c r="G574" s="499">
        <v>8</v>
      </c>
      <c r="H574" s="483">
        <v>2143.720000000001</v>
      </c>
      <c r="I574" s="486">
        <f t="shared" si="106"/>
      </c>
      <c r="J574" s="486">
        <f t="shared" si="135"/>
      </c>
      <c r="K574" s="487">
        <f t="shared" si="164"/>
      </c>
      <c r="L574" s="488">
        <f t="shared" si="194"/>
      </c>
      <c r="M574" s="489">
        <f t="shared" si="224"/>
      </c>
      <c r="N574" s="490">
        <f t="shared" si="254"/>
      </c>
      <c r="O574" s="491" t="s">
        <v>325</v>
      </c>
      <c r="P574" s="492" t="s">
        <v>363</v>
      </c>
      <c r="Q574" s="504">
        <v>62736</v>
      </c>
      <c r="R574" s="504">
        <v>2287</v>
      </c>
      <c r="S574" s="505">
        <v>11</v>
      </c>
      <c r="T574" s="505">
        <v>53</v>
      </c>
      <c r="U574" s="535"/>
    </row>
    <row r="575">
      <c r="A575" s="481"/>
      <c r="B575" s="523" t="s">
        <v>360</v>
      </c>
      <c r="C575" s="500" t="s">
        <v>332</v>
      </c>
      <c r="D575" s="500">
        <f t="shared" si="67"/>
      </c>
      <c r="E575" s="525">
        <v>0</v>
      </c>
      <c r="F575" s="483">
        <v>3102.88</v>
      </c>
      <c r="G575" s="499">
        <v>3</v>
      </c>
      <c r="H575" s="483">
        <v>645.1199999999953</v>
      </c>
      <c r="I575" s="486">
        <f t="shared" si="106"/>
      </c>
      <c r="J575" s="486">
        <f t="shared" si="135"/>
      </c>
      <c r="K575" s="487">
        <f t="shared" si="164"/>
      </c>
      <c r="L575" s="488">
        <f t="shared" si="194"/>
      </c>
      <c r="M575" s="489">
        <f t="shared" si="224"/>
      </c>
      <c r="N575" s="490">
        <f t="shared" si="254"/>
      </c>
      <c r="O575" s="491" t="s">
        <v>325</v>
      </c>
      <c r="P575" s="492" t="s">
        <v>363</v>
      </c>
      <c r="Q575" s="504">
        <v>67953</v>
      </c>
      <c r="R575" s="504">
        <v>2268</v>
      </c>
      <c r="S575" s="505">
        <v>8</v>
      </c>
      <c r="T575" s="505">
        <v>54</v>
      </c>
      <c r="U575" s="535"/>
    </row>
    <row r="576">
      <c r="A576" s="481"/>
      <c r="B576" s="506" t="s">
        <v>330</v>
      </c>
      <c r="C576" s="506"/>
      <c r="D576" s="540">
        <f>SUM(D573:D575)</f>
      </c>
      <c r="E576" s="540">
        <f>SUM(E573:E575)</f>
      </c>
      <c r="F576" s="507">
        <f>SUM(F573:F575)</f>
      </c>
      <c r="G576" s="508">
        <f>SUM(G573:G575)</f>
      </c>
      <c r="H576" s="507">
        <f>SUM(H573:H575)</f>
      </c>
      <c r="I576" s="515">
        <f t="shared" si="106"/>
      </c>
      <c r="J576" s="510">
        <f t="shared" si="135"/>
      </c>
      <c r="K576" s="511">
        <f t="shared" si="164"/>
      </c>
      <c r="L576" s="512">
        <f t="shared" si="194"/>
      </c>
      <c r="M576" s="512">
        <f t="shared" si="224"/>
      </c>
      <c r="N576" s="513">
        <f t="shared" si="254"/>
      </c>
      <c r="O576" s="513"/>
      <c r="P576" s="513"/>
      <c r="Q576" s="508">
        <f>SUM(Q573:Q575)</f>
      </c>
      <c r="R576" s="508">
        <f>SUM(R573:R575)</f>
      </c>
      <c r="S576" s="508">
        <f>SUM(S573:S575)</f>
      </c>
      <c r="T576" s="508">
        <f>SUM(T573:T575)</f>
      </c>
      <c r="U576" s="535"/>
    </row>
    <row r="577">
      <c r="A577" s="481"/>
      <c r="B577" s="536" t="s">
        <v>375</v>
      </c>
      <c r="C577" s="500" t="s">
        <v>333</v>
      </c>
      <c r="D577" s="541">
        <f t="shared" ref="D577:D578" si="68">E577+F577</f>
      </c>
      <c r="E577" s="580">
        <v>0</v>
      </c>
      <c r="F577" s="484">
        <v>2992.25</v>
      </c>
      <c r="G577" s="499">
        <v>8</v>
      </c>
      <c r="H577" s="483">
        <v>2522.4000000000087</v>
      </c>
      <c r="I577" s="486">
        <f t="shared" si="106"/>
      </c>
      <c r="J577" s="486">
        <f t="shared" si="135"/>
      </c>
      <c r="K577" s="487">
        <f t="shared" si="164"/>
      </c>
      <c r="L577" s="488">
        <f t="shared" si="194"/>
      </c>
      <c r="M577" s="489">
        <f t="shared" si="224"/>
      </c>
      <c r="N577" s="490">
        <f t="shared" si="254"/>
      </c>
      <c r="O577" s="491" t="s">
        <v>325</v>
      </c>
      <c r="P577" s="492" t="s">
        <v>363</v>
      </c>
      <c r="Q577" s="504">
        <v>48926</v>
      </c>
      <c r="R577" s="504">
        <v>2506</v>
      </c>
      <c r="S577" s="505">
        <v>15</v>
      </c>
      <c r="T577" s="505">
        <v>69</v>
      </c>
      <c r="U577" s="535"/>
    </row>
    <row r="578">
      <c r="A578" s="481"/>
      <c r="B578" s="536" t="s">
        <v>375</v>
      </c>
      <c r="C578" s="542" t="s">
        <v>334</v>
      </c>
      <c r="D578" s="541">
        <f t="shared" si="68"/>
      </c>
      <c r="E578" s="580">
        <v>0</v>
      </c>
      <c r="F578" s="484">
        <v>2343.12</v>
      </c>
      <c r="G578" s="499">
        <v>11</v>
      </c>
      <c r="H578" s="483">
        <v>5027.209999999992</v>
      </c>
      <c r="I578" s="486">
        <f t="shared" si="106"/>
      </c>
      <c r="J578" s="486">
        <f t="shared" si="135"/>
      </c>
      <c r="K578" s="487">
        <f t="shared" si="164"/>
      </c>
      <c r="L578" s="488">
        <f t="shared" si="194"/>
      </c>
      <c r="M578" s="489">
        <f t="shared" si="224"/>
      </c>
      <c r="N578" s="490">
        <f t="shared" si="254"/>
      </c>
      <c r="O578" s="491" t="s">
        <v>325</v>
      </c>
      <c r="P578" s="492" t="s">
        <v>363</v>
      </c>
      <c r="Q578" s="504">
        <v>39799</v>
      </c>
      <c r="R578" s="504">
        <v>2054</v>
      </c>
      <c r="S578" s="505">
        <v>6</v>
      </c>
      <c r="T578" s="505">
        <v>40</v>
      </c>
      <c r="U578" s="535"/>
    </row>
    <row r="579">
      <c r="A579" s="481"/>
      <c r="B579" s="506" t="s">
        <v>330</v>
      </c>
      <c r="C579" s="506"/>
      <c r="D579" s="543">
        <f>SUM(D577:D578)</f>
      </c>
      <c r="E579" s="543">
        <f>SUM(E577:E578)</f>
      </c>
      <c r="F579" s="507">
        <f>SUM(F577:F578)</f>
      </c>
      <c r="G579" s="508">
        <f>SUM(G577:G578)</f>
      </c>
      <c r="H579" s="507">
        <f>SUM(H577:H578)</f>
      </c>
      <c r="I579" s="515">
        <f t="shared" si="106"/>
      </c>
      <c r="J579" s="510">
        <f t="shared" si="135"/>
      </c>
      <c r="K579" s="511">
        <f t="shared" si="164"/>
      </c>
      <c r="L579" s="512">
        <f t="shared" si="194"/>
      </c>
      <c r="M579" s="512">
        <f t="shared" si="224"/>
      </c>
      <c r="N579" s="513">
        <f t="shared" si="254"/>
      </c>
      <c r="O579" s="513"/>
      <c r="P579" s="513"/>
      <c r="Q579" s="508">
        <f>SUM(Q577:Q578)</f>
      </c>
      <c r="R579" s="508">
        <f>SUM(R577:R578)</f>
      </c>
      <c r="S579" s="508">
        <f>SUM(S577:S578)</f>
      </c>
      <c r="T579" s="508">
        <f>SUM(T577:T578)</f>
      </c>
      <c r="U579" s="535"/>
    </row>
    <row r="580">
      <c r="A580" s="481"/>
      <c r="B580" s="516" t="s">
        <v>336</v>
      </c>
      <c r="C580" s="516"/>
      <c r="D580" s="517">
        <f>D562+D567+D572+D576+D579</f>
      </c>
      <c r="E580" s="517">
        <f>E562+E567+E572+E576+E579</f>
      </c>
      <c r="F580" s="517">
        <f>F562+F567+F572+F576+F579</f>
      </c>
      <c r="G580" s="544">
        <f>G562+G567+G572+G576+G579</f>
      </c>
      <c r="H580" s="517">
        <f>H562+H567+H572+H576+H579</f>
      </c>
      <c r="I580" s="519">
        <f t="shared" si="106"/>
      </c>
      <c r="J580" s="519">
        <f t="shared" si="135"/>
      </c>
      <c r="K580" s="520">
        <f t="shared" si="164"/>
      </c>
      <c r="L580" s="521">
        <f t="shared" si="194"/>
      </c>
      <c r="M580" s="521">
        <f t="shared" si="224"/>
      </c>
      <c r="N580" s="519">
        <f t="shared" si="254"/>
      </c>
      <c r="O580" s="522"/>
      <c r="P580" s="522"/>
      <c r="Q580" s="544">
        <f>Q562+Q567+Q572+Q576+Q579</f>
      </c>
      <c r="R580" s="544">
        <f>R562+R567+R572+R576+R579</f>
      </c>
      <c r="S580" s="544">
        <f>S562+S567+S572+S576+S579</f>
      </c>
      <c r="T580" s="544">
        <f>T562+T567+T572+T576+T579</f>
      </c>
      <c r="U580" s="535"/>
    </row>
    <row r="581">
      <c r="A581" s="534" t="s">
        <v>298</v>
      </c>
      <c r="B581" s="534"/>
      <c r="C581" s="534"/>
      <c r="D581" s="464" t="s">
        <v>299</v>
      </c>
      <c r="E581" s="464"/>
      <c r="F581" s="464"/>
      <c r="G581" s="464"/>
      <c r="H581" s="464"/>
      <c r="I581" s="464"/>
      <c r="J581" s="464"/>
      <c r="K581" s="464"/>
      <c r="L581" s="465" t="s">
        <v>300</v>
      </c>
      <c r="M581" s="465"/>
      <c r="N581" s="465"/>
      <c r="O581" s="465"/>
      <c r="P581" s="465"/>
      <c r="Q581" s="466" t="s">
        <v>301</v>
      </c>
      <c r="R581" s="466"/>
      <c r="S581" s="466"/>
      <c r="T581" s="466"/>
      <c r="U581" s="535"/>
    </row>
    <row r="582">
      <c r="A582" s="467" t="s">
        <v>302</v>
      </c>
      <c r="B582" s="469" t="s">
        <v>303</v>
      </c>
      <c r="C582" s="469" t="s">
        <v>304</v>
      </c>
      <c r="D582" s="470" t="s">
        <v>305</v>
      </c>
      <c r="E582" s="471" t="s">
        <v>306</v>
      </c>
      <c r="F582" s="470" t="s">
        <v>307</v>
      </c>
      <c r="G582" s="472" t="s">
        <v>308</v>
      </c>
      <c r="H582" s="473" t="s">
        <v>309</v>
      </c>
      <c r="I582" s="474" t="s">
        <v>310</v>
      </c>
      <c r="J582" s="475" t="s">
        <v>311</v>
      </c>
      <c r="K582" s="476" t="s">
        <v>312</v>
      </c>
      <c r="L582" s="465" t="s">
        <v>313</v>
      </c>
      <c r="M582" s="465" t="s">
        <v>314</v>
      </c>
      <c r="N582" s="465" t="s">
        <v>315</v>
      </c>
      <c r="O582" s="477" t="s">
        <v>316</v>
      </c>
      <c r="P582" s="478" t="s">
        <v>317</v>
      </c>
      <c r="Q582" s="479" t="s">
        <v>318</v>
      </c>
      <c r="R582" s="479" t="s">
        <v>319</v>
      </c>
      <c r="S582" s="480" t="s">
        <v>320</v>
      </c>
      <c r="T582" s="479" t="s">
        <v>321</v>
      </c>
      <c r="U582" s="535"/>
    </row>
    <row r="583">
      <c r="A583" s="586" t="s">
        <v>387</v>
      </c>
      <c r="B583" s="565" t="s">
        <v>338</v>
      </c>
      <c r="C583" s="541" t="s">
        <v>339</v>
      </c>
      <c r="D583" s="541">
        <f t="shared" ref="D583:D586" si="69">E583+F583</f>
      </c>
      <c r="E583" s="541">
        <v>357.38</v>
      </c>
      <c r="F583" s="541">
        <v>2663.9300000000003</v>
      </c>
      <c r="G583" s="532">
        <v>8</v>
      </c>
      <c r="H583" s="483">
        <v>3069.36</v>
      </c>
      <c r="I583" s="486">
        <f t="shared" ref="I583:I601" si="107">H583/D583</f>
      </c>
      <c r="J583" s="537">
        <f t="shared" ref="J583:J601" si="136">D583/G583</f>
      </c>
      <c r="K583" s="487">
        <f t="shared" ref="K583:K601" si="165">H583/G583</f>
      </c>
      <c r="L583" s="488">
        <f t="shared" ref="L583:L601" si="195">R583/Q583</f>
      </c>
      <c r="M583" s="489">
        <f t="shared" ref="M583:M601" si="225">G583/S583</f>
      </c>
      <c r="N583" s="490">
        <f t="shared" ref="N583:N601" si="255">(T583*1000)/D583</f>
      </c>
      <c r="O583" s="491" t="s">
        <v>325</v>
      </c>
      <c r="P583" s="526" t="s">
        <v>343</v>
      </c>
      <c r="Q583" s="493">
        <v>37972</v>
      </c>
      <c r="R583" s="493">
        <v>4781</v>
      </c>
      <c r="S583" s="527">
        <v>16</v>
      </c>
      <c r="T583" s="527">
        <v>67</v>
      </c>
      <c r="U583" s="535"/>
    </row>
    <row r="584">
      <c r="A584" s="586"/>
      <c r="B584" s="565" t="s">
        <v>338</v>
      </c>
      <c r="C584" s="541" t="s">
        <v>341</v>
      </c>
      <c r="D584" s="541">
        <f t="shared" si="69"/>
      </c>
      <c r="E584" s="570">
        <v>280.18</v>
      </c>
      <c r="F584" s="570">
        <v>1747.17</v>
      </c>
      <c r="G584" s="485">
        <v>6</v>
      </c>
      <c r="H584" s="483">
        <v>1752.9599999999996</v>
      </c>
      <c r="I584" s="486">
        <f t="shared" si="107"/>
      </c>
      <c r="J584" s="486">
        <f t="shared" si="136"/>
      </c>
      <c r="K584" s="538">
        <f t="shared" si="165"/>
      </c>
      <c r="L584" s="488">
        <f t="shared" si="195"/>
      </c>
      <c r="M584" s="489">
        <f t="shared" si="225"/>
      </c>
      <c r="N584" s="490">
        <f t="shared" si="255"/>
      </c>
      <c r="O584" s="491" t="s">
        <v>325</v>
      </c>
      <c r="P584" s="526" t="s">
        <v>343</v>
      </c>
      <c r="Q584" s="494">
        <v>31363</v>
      </c>
      <c r="R584" s="494">
        <v>3162</v>
      </c>
      <c r="S584" s="527">
        <v>7</v>
      </c>
      <c r="T584" s="527">
        <v>45</v>
      </c>
      <c r="U584" s="535"/>
    </row>
    <row r="585">
      <c r="A585" s="481"/>
      <c r="B585" s="587" t="s">
        <v>338</v>
      </c>
      <c r="C585" s="496" t="s">
        <v>342</v>
      </c>
      <c r="D585" s="497">
        <f t="shared" si="69"/>
      </c>
      <c r="E585" s="496">
        <v>445.15</v>
      </c>
      <c r="F585" s="496">
        <v>1402.75</v>
      </c>
      <c r="G585" s="502">
        <v>5</v>
      </c>
      <c r="H585" s="503">
        <v>2015.6400000000003</v>
      </c>
      <c r="I585" s="486">
        <f t="shared" si="107"/>
      </c>
      <c r="J585" s="486">
        <f t="shared" si="136"/>
      </c>
      <c r="K585" s="487">
        <f t="shared" si="165"/>
      </c>
      <c r="L585" s="488">
        <f t="shared" si="195"/>
      </c>
      <c r="M585" s="489">
        <f t="shared" si="225"/>
      </c>
      <c r="N585" s="490">
        <f t="shared" si="255"/>
      </c>
      <c r="O585" s="491" t="s">
        <v>325</v>
      </c>
      <c r="P585" s="526" t="s">
        <v>343</v>
      </c>
      <c r="Q585" s="494">
        <v>27193</v>
      </c>
      <c r="R585" s="494">
        <v>3181</v>
      </c>
      <c r="S585" s="527">
        <v>5</v>
      </c>
      <c r="T585" s="527">
        <v>54</v>
      </c>
      <c r="U585" s="535"/>
    </row>
    <row r="586">
      <c r="A586" s="481"/>
      <c r="B586" s="523" t="s">
        <v>338</v>
      </c>
      <c r="C586" s="483" t="s">
        <v>344</v>
      </c>
      <c r="D586" s="500">
        <f t="shared" si="69"/>
      </c>
      <c r="E586" s="483">
        <v>1348.91</v>
      </c>
      <c r="F586" s="483">
        <v>1535.52</v>
      </c>
      <c r="G586" s="502">
        <v>12</v>
      </c>
      <c r="H586" s="503">
        <v>4461.36</v>
      </c>
      <c r="I586" s="486">
        <f t="shared" si="107"/>
      </c>
      <c r="J586" s="486">
        <f t="shared" si="136"/>
      </c>
      <c r="K586" s="487">
        <f t="shared" si="165"/>
      </c>
      <c r="L586" s="488">
        <f t="shared" si="195"/>
      </c>
      <c r="M586" s="489">
        <f t="shared" si="225"/>
      </c>
      <c r="N586" s="490">
        <f t="shared" si="255"/>
      </c>
      <c r="O586" s="491" t="s">
        <v>325</v>
      </c>
      <c r="P586" s="526" t="s">
        <v>343</v>
      </c>
      <c r="Q586" s="494">
        <v>35895</v>
      </c>
      <c r="R586" s="494">
        <v>3571</v>
      </c>
      <c r="S586" s="527">
        <v>17</v>
      </c>
      <c r="T586" s="527">
        <v>63</v>
      </c>
      <c r="U586" s="539"/>
    </row>
    <row r="587">
      <c r="A587" s="481"/>
      <c r="B587" s="506" t="s">
        <v>330</v>
      </c>
      <c r="C587" s="506"/>
      <c r="D587" s="507">
        <f>SUM(D583:D586)</f>
      </c>
      <c r="E587" s="507">
        <f>SUM(E583:E586)</f>
      </c>
      <c r="F587" s="507">
        <f>SUM(F583:F586)</f>
      </c>
      <c r="G587" s="508">
        <f>SUM(G583:G586)</f>
      </c>
      <c r="H587" s="507">
        <f>SUM(H583:H586)</f>
      </c>
      <c r="I587" s="509">
        <f t="shared" si="107"/>
      </c>
      <c r="J587" s="510">
        <f t="shared" si="136"/>
      </c>
      <c r="K587" s="511">
        <f t="shared" si="165"/>
      </c>
      <c r="L587" s="512">
        <f t="shared" si="195"/>
      </c>
      <c r="M587" s="512">
        <f t="shared" si="225"/>
      </c>
      <c r="N587" s="513">
        <f t="shared" si="255"/>
      </c>
      <c r="O587" s="513"/>
      <c r="P587" s="513"/>
      <c r="Q587" s="508">
        <f>SUM(Q583:Q586)</f>
      </c>
      <c r="R587" s="508">
        <f>SUM(R583:R586)</f>
      </c>
      <c r="S587" s="508">
        <f>SUM(S583:S586)</f>
      </c>
      <c r="T587" s="508">
        <f>SUM(T583:T586)</f>
      </c>
      <c r="U587" s="535"/>
    </row>
    <row r="588">
      <c r="A588" s="481"/>
      <c r="B588" s="536" t="s">
        <v>351</v>
      </c>
      <c r="C588" s="483" t="s">
        <v>345</v>
      </c>
      <c r="D588" s="500">
        <f t="shared" ref="D588:D591" si="70">E588+F588</f>
      </c>
      <c r="E588" s="483">
        <v>2850.47</v>
      </c>
      <c r="F588" s="483">
        <v>944.81</v>
      </c>
      <c r="G588" s="499">
        <v>11</v>
      </c>
      <c r="H588" s="483">
        <v>5949.639999999999</v>
      </c>
      <c r="I588" s="486">
        <f t="shared" si="107"/>
      </c>
      <c r="J588" s="486">
        <f t="shared" si="136"/>
      </c>
      <c r="K588" s="487">
        <f t="shared" si="165"/>
      </c>
      <c r="L588" s="488">
        <f t="shared" si="195"/>
      </c>
      <c r="M588" s="489">
        <f t="shared" si="225"/>
      </c>
      <c r="N588" s="490">
        <f t="shared" si="255"/>
      </c>
      <c r="O588" s="491" t="s">
        <v>325</v>
      </c>
      <c r="P588" s="526" t="s">
        <v>343</v>
      </c>
      <c r="Q588" s="504">
        <v>40267</v>
      </c>
      <c r="R588" s="504">
        <v>4767</v>
      </c>
      <c r="S588" s="505">
        <v>16</v>
      </c>
      <c r="T588" s="505">
        <v>60</v>
      </c>
      <c r="U588" s="535"/>
    </row>
    <row customHeight="true" ht="16.666666666666668" r="589">
      <c r="A589" s="481"/>
      <c r="B589" s="536" t="s">
        <v>351</v>
      </c>
      <c r="C589" s="483" t="s">
        <v>346</v>
      </c>
      <c r="D589" s="497">
        <f t="shared" si="70"/>
      </c>
      <c r="E589" s="501">
        <v>2262.75</v>
      </c>
      <c r="F589" s="483">
        <v>2284.31</v>
      </c>
      <c r="G589" s="502">
        <v>16</v>
      </c>
      <c r="H589" s="503">
        <v>6212.299999999999</v>
      </c>
      <c r="I589" s="486">
        <f t="shared" si="107"/>
      </c>
      <c r="J589" s="486">
        <f t="shared" si="136"/>
      </c>
      <c r="K589" s="487">
        <f t="shared" si="165"/>
      </c>
      <c r="L589" s="488">
        <f t="shared" si="195"/>
      </c>
      <c r="M589" s="489">
        <f t="shared" si="225"/>
      </c>
      <c r="N589" s="490">
        <f t="shared" si="255"/>
      </c>
      <c r="O589" s="491" t="s">
        <v>325</v>
      </c>
      <c r="P589" s="526" t="s">
        <v>343</v>
      </c>
      <c r="Q589" s="504">
        <v>48343</v>
      </c>
      <c r="R589" s="504">
        <v>4612</v>
      </c>
      <c r="S589" s="505">
        <v>31</v>
      </c>
      <c r="T589" s="505">
        <v>78</v>
      </c>
      <c r="U589" s="535"/>
    </row>
    <row r="590">
      <c r="A590" s="481"/>
      <c r="B590" s="536" t="s">
        <v>351</v>
      </c>
      <c r="C590" s="483" t="s">
        <v>347</v>
      </c>
      <c r="D590" s="500">
        <f t="shared" si="70"/>
      </c>
      <c r="E590" s="501">
        <v>786.87</v>
      </c>
      <c r="F590" s="483">
        <v>3114.6</v>
      </c>
      <c r="G590" s="502">
        <v>13</v>
      </c>
      <c r="H590" s="503">
        <v>6820.080000000002</v>
      </c>
      <c r="I590" s="486">
        <f t="shared" si="107"/>
      </c>
      <c r="J590" s="486">
        <f t="shared" si="136"/>
      </c>
      <c r="K590" s="487">
        <f t="shared" si="165"/>
      </c>
      <c r="L590" s="488">
        <f t="shared" si="195"/>
      </c>
      <c r="M590" s="489">
        <f t="shared" si="225"/>
      </c>
      <c r="N590" s="490">
        <f t="shared" si="255"/>
      </c>
      <c r="O590" s="491" t="s">
        <v>325</v>
      </c>
      <c r="P590" s="492" t="s">
        <v>363</v>
      </c>
      <c r="Q590" s="504">
        <v>57842</v>
      </c>
      <c r="R590" s="504">
        <v>3027</v>
      </c>
      <c r="S590" s="505">
        <v>15</v>
      </c>
      <c r="T590" s="505">
        <v>71</v>
      </c>
      <c r="U590" s="535"/>
    </row>
    <row r="591">
      <c r="A591" s="481"/>
      <c r="B591" s="536" t="s">
        <v>351</v>
      </c>
      <c r="C591" s="483" t="s">
        <v>348</v>
      </c>
      <c r="D591" s="497">
        <f t="shared" si="70"/>
      </c>
      <c r="E591" s="483">
        <v>856.1</v>
      </c>
      <c r="F591" s="483">
        <v>2730.74</v>
      </c>
      <c r="G591" s="502">
        <v>20</v>
      </c>
      <c r="H591" s="503">
        <v>14684.320000000003</v>
      </c>
      <c r="I591" s="486">
        <f t="shared" si="107"/>
      </c>
      <c r="J591" s="486">
        <f t="shared" si="136"/>
      </c>
      <c r="K591" s="487">
        <f t="shared" si="165"/>
      </c>
      <c r="L591" s="488">
        <f t="shared" si="195"/>
      </c>
      <c r="M591" s="489">
        <f t="shared" si="225"/>
      </c>
      <c r="N591" s="490">
        <f t="shared" si="255"/>
      </c>
      <c r="O591" s="491" t="s">
        <v>325</v>
      </c>
      <c r="P591" s="492" t="s">
        <v>363</v>
      </c>
      <c r="Q591" s="504">
        <v>31172</v>
      </c>
      <c r="R591" s="504">
        <v>3208</v>
      </c>
      <c r="S591" s="505">
        <v>26</v>
      </c>
      <c r="T591" s="505">
        <v>76</v>
      </c>
      <c r="U591" s="535"/>
    </row>
    <row r="592">
      <c r="A592" s="481"/>
      <c r="B592" s="506" t="s">
        <v>330</v>
      </c>
      <c r="C592" s="506"/>
      <c r="D592" s="507">
        <f>SUM(D588:D591)</f>
      </c>
      <c r="E592" s="507">
        <f>SUM(E588:E591)</f>
      </c>
      <c r="F592" s="507">
        <f>SUM(F588:F591)</f>
      </c>
      <c r="G592" s="508">
        <f>SUM(G588:G591)</f>
      </c>
      <c r="H592" s="507">
        <f>SUM(H588:H591)</f>
      </c>
      <c r="I592" s="515">
        <f t="shared" si="107"/>
      </c>
      <c r="J592" s="510">
        <f t="shared" si="136"/>
      </c>
      <c r="K592" s="511">
        <f t="shared" si="165"/>
      </c>
      <c r="L592" s="512">
        <f t="shared" si="195"/>
      </c>
      <c r="M592" s="512">
        <f t="shared" si="225"/>
      </c>
      <c r="N592" s="513">
        <f t="shared" si="255"/>
      </c>
      <c r="O592" s="513"/>
      <c r="P592" s="513"/>
      <c r="Q592" s="508">
        <f>SUM(Q588:Q591)</f>
      </c>
      <c r="R592" s="508">
        <f>SUM(R588:R591)</f>
      </c>
      <c r="S592" s="508">
        <f>SUM(S588:S591)</f>
      </c>
      <c r="T592" s="508">
        <f>SUM(T588:T591)</f>
      </c>
      <c r="U592" s="535"/>
    </row>
    <row r="593">
      <c r="A593" s="481"/>
      <c r="B593" s="523" t="s">
        <v>360</v>
      </c>
      <c r="C593" s="483" t="s">
        <v>349</v>
      </c>
      <c r="D593" s="500">
        <f t="shared" ref="D593:D594" si="71">E593+F593</f>
      </c>
      <c r="E593" s="483">
        <v>781.56</v>
      </c>
      <c r="F593" s="483">
        <v>2086.98</v>
      </c>
      <c r="G593" s="499">
        <v>3</v>
      </c>
      <c r="H593" s="483">
        <v>2395.199999999997</v>
      </c>
      <c r="I593" s="486">
        <f t="shared" si="107"/>
      </c>
      <c r="J593" s="486">
        <f t="shared" si="136"/>
      </c>
      <c r="K593" s="487">
        <f t="shared" si="165"/>
      </c>
      <c r="L593" s="488">
        <f t="shared" si="195"/>
      </c>
      <c r="M593" s="489">
        <f t="shared" si="225"/>
      </c>
      <c r="N593" s="490">
        <f t="shared" si="255"/>
      </c>
      <c r="O593" s="491" t="s">
        <v>325</v>
      </c>
      <c r="P593" s="492" t="s">
        <v>363</v>
      </c>
      <c r="Q593" s="504">
        <v>30233</v>
      </c>
      <c r="R593" s="504">
        <v>2857</v>
      </c>
      <c r="S593" s="505">
        <v>9</v>
      </c>
      <c r="T593" s="505">
        <v>41</v>
      </c>
      <c r="U593" s="535"/>
    </row>
    <row r="594">
      <c r="A594" s="481"/>
      <c r="B594" s="523" t="s">
        <v>360</v>
      </c>
      <c r="C594" s="483" t="s">
        <v>350</v>
      </c>
      <c r="D594" s="500">
        <f t="shared" si="71"/>
      </c>
      <c r="E594" s="483">
        <v>651.8900000000001</v>
      </c>
      <c r="F594" s="483">
        <v>1940.1399999999999</v>
      </c>
      <c r="G594" s="499">
        <v>2</v>
      </c>
      <c r="H594" s="483">
        <v>430.08000000000175</v>
      </c>
      <c r="I594" s="486">
        <f t="shared" si="107"/>
      </c>
      <c r="J594" s="486">
        <f t="shared" si="136"/>
      </c>
      <c r="K594" s="487">
        <f t="shared" si="165"/>
      </c>
      <c r="L594" s="488">
        <f t="shared" si="195"/>
      </c>
      <c r="M594" s="489">
        <f t="shared" si="225"/>
      </c>
      <c r="N594" s="490">
        <f t="shared" si="255"/>
      </c>
      <c r="O594" s="491" t="s">
        <v>325</v>
      </c>
      <c r="P594" s="492" t="s">
        <v>363</v>
      </c>
      <c r="Q594" s="504">
        <v>31414</v>
      </c>
      <c r="R594" s="504">
        <v>2950</v>
      </c>
      <c r="S594" s="505">
        <v>6</v>
      </c>
      <c r="T594" s="505">
        <v>87</v>
      </c>
      <c r="U594" s="535"/>
    </row>
    <row r="595">
      <c r="A595" s="481"/>
      <c r="B595" s="506" t="s">
        <v>330</v>
      </c>
      <c r="C595" s="506"/>
      <c r="D595" s="508">
        <f>SUM(D593:D594)</f>
      </c>
      <c r="E595" s="508">
        <f>SUM(E593:E594)</f>
      </c>
      <c r="F595" s="508">
        <f>SUM(F593:F594)</f>
      </c>
      <c r="G595" s="508">
        <f>SUM(G593:G594)</f>
      </c>
      <c r="H595" s="508">
        <f>SUM(H593:H594)</f>
      </c>
      <c r="I595" s="515">
        <f t="shared" si="107"/>
      </c>
      <c r="J595" s="510">
        <f t="shared" si="136"/>
      </c>
      <c r="K595" s="511">
        <f t="shared" si="165"/>
      </c>
      <c r="L595" s="512">
        <f t="shared" si="195"/>
      </c>
      <c r="M595" s="512">
        <f t="shared" si="225"/>
      </c>
      <c r="N595" s="513">
        <f t="shared" si="255"/>
      </c>
      <c r="O595" s="513"/>
      <c r="P595" s="513"/>
      <c r="Q595" s="508">
        <f>SUM(Q593:Q594)</f>
      </c>
      <c r="R595" s="508">
        <f>SUM(R593:R594)</f>
      </c>
      <c r="S595" s="508">
        <f>SUM(S593:S594)</f>
      </c>
      <c r="T595" s="508">
        <f>SUM(T593:T594)</f>
      </c>
      <c r="U595" s="535"/>
    </row>
    <row r="596">
      <c r="A596" s="481"/>
      <c r="B596" s="523" t="s">
        <v>375</v>
      </c>
      <c r="C596" s="483" t="s">
        <v>328</v>
      </c>
      <c r="D596" s="497">
        <f t="shared" ref="D596:D599" si="72">E596+F596</f>
      </c>
      <c r="E596" s="541">
        <v>609.23</v>
      </c>
      <c r="F596" s="484">
        <v>1144.74</v>
      </c>
      <c r="G596" s="499">
        <v>6</v>
      </c>
      <c r="H596" s="483">
        <v>3618.8399999999965</v>
      </c>
      <c r="I596" s="486">
        <f t="shared" si="107"/>
      </c>
      <c r="J596" s="486">
        <f t="shared" si="136"/>
      </c>
      <c r="K596" s="487">
        <f t="shared" si="165"/>
      </c>
      <c r="L596" s="488">
        <f t="shared" si="195"/>
      </c>
      <c r="M596" s="489">
        <f t="shared" si="225"/>
      </c>
      <c r="N596" s="490">
        <f t="shared" si="255"/>
      </c>
      <c r="O596" s="491" t="s">
        <v>325</v>
      </c>
      <c r="P596" s="492" t="s">
        <v>363</v>
      </c>
      <c r="Q596" s="504">
        <v>22010</v>
      </c>
      <c r="R596" s="504">
        <v>2397</v>
      </c>
      <c r="S596" s="505">
        <v>8</v>
      </c>
      <c r="T596" s="505">
        <v>22</v>
      </c>
      <c r="U596" s="535"/>
    </row>
    <row customHeight="true" ht="16.666666666666668" r="597">
      <c r="A597" s="481"/>
      <c r="B597" s="523" t="s">
        <v>375</v>
      </c>
      <c r="C597" s="483" t="s">
        <v>329</v>
      </c>
      <c r="D597" s="497">
        <f t="shared" si="72"/>
      </c>
      <c r="E597" s="541">
        <v>292.26</v>
      </c>
      <c r="F597" s="484">
        <v>1574.62</v>
      </c>
      <c r="G597" s="499">
        <v>7</v>
      </c>
      <c r="H597" s="483">
        <v>3718.0800000000017</v>
      </c>
      <c r="I597" s="486">
        <f t="shared" si="107"/>
      </c>
      <c r="J597" s="486">
        <f t="shared" si="136"/>
      </c>
      <c r="K597" s="487">
        <f t="shared" si="165"/>
      </c>
      <c r="L597" s="488">
        <f t="shared" si="195"/>
      </c>
      <c r="M597" s="489">
        <f t="shared" si="225"/>
      </c>
      <c r="N597" s="490">
        <f t="shared" si="255"/>
      </c>
      <c r="O597" s="491" t="s">
        <v>325</v>
      </c>
      <c r="P597" s="492" t="s">
        <v>363</v>
      </c>
      <c r="Q597" s="504">
        <v>31050</v>
      </c>
      <c r="R597" s="504">
        <v>2588</v>
      </c>
      <c r="S597" s="505">
        <v>15</v>
      </c>
      <c r="T597" s="505">
        <v>44</v>
      </c>
      <c r="U597" s="535"/>
    </row>
    <row r="598">
      <c r="A598" s="481"/>
      <c r="B598" s="523" t="s">
        <v>375</v>
      </c>
      <c r="C598" s="500" t="s">
        <v>332</v>
      </c>
      <c r="D598" s="541">
        <f t="shared" si="72"/>
      </c>
      <c r="E598" s="541">
        <v>1404.52</v>
      </c>
      <c r="F598" s="484">
        <v>2047.8400000000001</v>
      </c>
      <c r="G598" s="499">
        <v>5</v>
      </c>
      <c r="H598" s="483">
        <v>2000.6399999999994</v>
      </c>
      <c r="I598" s="486">
        <f t="shared" si="107"/>
      </c>
      <c r="J598" s="486">
        <f t="shared" si="136"/>
      </c>
      <c r="K598" s="487">
        <f t="shared" si="165"/>
      </c>
      <c r="L598" s="488">
        <f t="shared" si="195"/>
      </c>
      <c r="M598" s="489">
        <f t="shared" si="225"/>
      </c>
      <c r="N598" s="490">
        <f t="shared" si="255"/>
      </c>
      <c r="O598" s="491" t="s">
        <v>325</v>
      </c>
      <c r="P598" s="492" t="s">
        <v>363</v>
      </c>
      <c r="Q598" s="504">
        <v>47416</v>
      </c>
      <c r="R598" s="504">
        <v>4452</v>
      </c>
      <c r="S598" s="505">
        <v>10</v>
      </c>
      <c r="T598" s="505">
        <v>63</v>
      </c>
      <c r="U598" s="535"/>
    </row>
    <row r="599">
      <c r="A599" s="481"/>
      <c r="B599" s="523" t="s">
        <v>375</v>
      </c>
      <c r="C599" s="500" t="s">
        <v>333</v>
      </c>
      <c r="D599" s="541">
        <f t="shared" si="72"/>
      </c>
      <c r="E599" s="541">
        <v>809.5799999999999</v>
      </c>
      <c r="F599" s="484">
        <v>1316.4899999999998</v>
      </c>
      <c r="G599" s="499">
        <v>5</v>
      </c>
      <c r="H599" s="483">
        <v>4698.720000000001</v>
      </c>
      <c r="I599" s="486">
        <f t="shared" si="107"/>
      </c>
      <c r="J599" s="486">
        <f t="shared" si="136"/>
      </c>
      <c r="K599" s="487">
        <f t="shared" si="165"/>
      </c>
      <c r="L599" s="488">
        <f t="shared" si="195"/>
      </c>
      <c r="M599" s="489">
        <f t="shared" si="225"/>
      </c>
      <c r="N599" s="490">
        <f t="shared" si="255"/>
      </c>
      <c r="O599" s="491" t="s">
        <v>325</v>
      </c>
      <c r="P599" s="492" t="s">
        <v>363</v>
      </c>
      <c r="Q599" s="504">
        <v>29932</v>
      </c>
      <c r="R599" s="504">
        <v>2966</v>
      </c>
      <c r="S599" s="505">
        <v>6</v>
      </c>
      <c r="T599" s="505">
        <v>29</v>
      </c>
      <c r="U599" s="535"/>
    </row>
    <row r="600">
      <c r="A600" s="481"/>
      <c r="B600" s="506" t="s">
        <v>330</v>
      </c>
      <c r="C600" s="506"/>
      <c r="D600" s="543">
        <f>SUM(D596:D599)</f>
      </c>
      <c r="E600" s="543">
        <f>SUM(E596:E599)</f>
      </c>
      <c r="F600" s="507">
        <f>SUM(F596:F599)</f>
      </c>
      <c r="G600" s="508">
        <f>SUM(G596:G599)</f>
      </c>
      <c r="H600" s="507">
        <f>SUM(H596:H599)</f>
      </c>
      <c r="I600" s="515">
        <f t="shared" si="107"/>
      </c>
      <c r="J600" s="510">
        <f t="shared" si="136"/>
      </c>
      <c r="K600" s="511">
        <f t="shared" si="165"/>
      </c>
      <c r="L600" s="512">
        <f t="shared" si="195"/>
      </c>
      <c r="M600" s="512">
        <f t="shared" si="225"/>
      </c>
      <c r="N600" s="513">
        <f t="shared" si="255"/>
      </c>
      <c r="O600" s="513"/>
      <c r="P600" s="513"/>
      <c r="Q600" s="508">
        <f>SUM(Q596:Q599)</f>
      </c>
      <c r="R600" s="508">
        <f>SUM(R596:R599)</f>
      </c>
      <c r="S600" s="508">
        <f>SUM(S596:S599)</f>
      </c>
      <c r="T600" s="508">
        <f>SUM(T596:T599)</f>
      </c>
      <c r="U600" s="535"/>
    </row>
    <row r="601">
      <c r="A601" s="481"/>
      <c r="B601" s="551" t="s">
        <v>336</v>
      </c>
      <c r="C601" s="551"/>
      <c r="D601" s="552">
        <f>D600+D595+D592+D587</f>
      </c>
      <c r="E601" s="552">
        <f>E600+E595+E592+E587</f>
      </c>
      <c r="F601" s="552">
        <f>F600+F595+F592+F587</f>
      </c>
      <c r="G601" s="553">
        <f>G600+G595+G592+G587</f>
      </c>
      <c r="H601" s="552">
        <f>H600+H595+H592+H587</f>
      </c>
      <c r="I601" s="554">
        <f t="shared" si="107"/>
      </c>
      <c r="J601" s="554">
        <f t="shared" si="136"/>
      </c>
      <c r="K601" s="555">
        <f t="shared" si="165"/>
      </c>
      <c r="L601" s="521">
        <f t="shared" si="195"/>
      </c>
      <c r="M601" s="521">
        <f t="shared" si="225"/>
      </c>
      <c r="N601" s="519">
        <f t="shared" si="255"/>
      </c>
      <c r="O601" s="522"/>
      <c r="P601" s="522"/>
      <c r="Q601" s="544">
        <f>Q600+Q595+Q592+Q587</f>
      </c>
      <c r="R601" s="544">
        <f>R600+R595+R592+R587</f>
      </c>
      <c r="S601" s="544">
        <f>S600+S595+S592+S587</f>
      </c>
      <c r="T601" s="544">
        <f>T600+T595+T592+T587</f>
      </c>
      <c r="U601" s="535"/>
    </row>
    <row r="602">
      <c r="A602" s="534" t="s">
        <v>298</v>
      </c>
      <c r="B602" s="534"/>
      <c r="C602" s="534"/>
      <c r="D602" s="464" t="s">
        <v>299</v>
      </c>
      <c r="E602" s="464"/>
      <c r="F602" s="464"/>
      <c r="G602" s="464"/>
      <c r="H602" s="464"/>
      <c r="I602" s="464"/>
      <c r="J602" s="464"/>
      <c r="K602" s="464"/>
      <c r="L602" s="465" t="s">
        <v>300</v>
      </c>
      <c r="M602" s="465"/>
      <c r="N602" s="465"/>
      <c r="O602" s="465"/>
      <c r="P602" s="465"/>
      <c r="Q602" s="466" t="s">
        <v>301</v>
      </c>
      <c r="R602" s="466"/>
      <c r="S602" s="466"/>
      <c r="T602" s="466"/>
      <c r="U602" s="535"/>
    </row>
    <row r="603">
      <c r="A603" s="467" t="s">
        <v>302</v>
      </c>
      <c r="B603" s="469" t="s">
        <v>303</v>
      </c>
      <c r="C603" s="469" t="s">
        <v>304</v>
      </c>
      <c r="D603" s="470" t="s">
        <v>305</v>
      </c>
      <c r="E603" s="471" t="s">
        <v>306</v>
      </c>
      <c r="F603" s="470" t="s">
        <v>307</v>
      </c>
      <c r="G603" s="472" t="s">
        <v>308</v>
      </c>
      <c r="H603" s="473" t="s">
        <v>309</v>
      </c>
      <c r="I603" s="474" t="s">
        <v>310</v>
      </c>
      <c r="J603" s="475" t="s">
        <v>311</v>
      </c>
      <c r="K603" s="476" t="s">
        <v>312</v>
      </c>
      <c r="L603" s="465" t="s">
        <v>313</v>
      </c>
      <c r="M603" s="465" t="s">
        <v>314</v>
      </c>
      <c r="N603" s="465" t="s">
        <v>315</v>
      </c>
      <c r="O603" s="477" t="s">
        <v>316</v>
      </c>
      <c r="P603" s="478" t="s">
        <v>317</v>
      </c>
      <c r="Q603" s="479" t="s">
        <v>318</v>
      </c>
      <c r="R603" s="479" t="s">
        <v>319</v>
      </c>
      <c r="S603" s="480" t="s">
        <v>320</v>
      </c>
      <c r="T603" s="479" t="s">
        <v>321</v>
      </c>
      <c r="U603" s="535"/>
    </row>
    <row r="604">
      <c r="A604" s="586" t="s">
        <v>388</v>
      </c>
      <c r="B604" s="565" t="s">
        <v>331</v>
      </c>
      <c r="C604" s="541" t="s">
        <v>339</v>
      </c>
      <c r="D604" s="541">
        <f t="shared" ref="D604:D607" si="73">E604+F604</f>
      </c>
      <c r="E604" s="580">
        <v>1325.06</v>
      </c>
      <c r="F604" s="580">
        <v>1302.79</v>
      </c>
      <c r="G604" s="532">
        <v>10</v>
      </c>
      <c r="H604" s="483">
        <v>3954.6</v>
      </c>
      <c r="I604" s="486">
        <f t="shared" ref="I604:I619" si="108">H604/D604</f>
      </c>
      <c r="J604" s="537">
        <f t="shared" ref="J604:J619" si="137">D604/G604</f>
      </c>
      <c r="K604" s="487">
        <f t="shared" ref="K604:K619" si="166">H604/G604</f>
      </c>
      <c r="L604" s="488">
        <f t="shared" ref="L604:L619" si="196">R604/Q604</f>
      </c>
      <c r="M604" s="489">
        <f t="shared" ref="M604:M619" si="226">G604/S604</f>
      </c>
      <c r="N604" s="490">
        <f t="shared" ref="N604:N619" si="256">(T604*1000)/D604</f>
      </c>
      <c r="O604" s="491" t="s">
        <v>325</v>
      </c>
      <c r="P604" s="526" t="s">
        <v>340</v>
      </c>
      <c r="Q604" s="493">
        <v>29511</v>
      </c>
      <c r="R604" s="493">
        <v>3424</v>
      </c>
      <c r="S604" s="527">
        <v>21</v>
      </c>
      <c r="T604" s="527">
        <v>60</v>
      </c>
      <c r="U604" s="535"/>
    </row>
    <row r="605">
      <c r="A605" s="586"/>
      <c r="B605" s="565" t="s">
        <v>331</v>
      </c>
      <c r="C605" s="541" t="s">
        <v>341</v>
      </c>
      <c r="D605" s="541">
        <f t="shared" si="73"/>
      </c>
      <c r="E605" s="580">
        <v>1802.97</v>
      </c>
      <c r="F605" s="580">
        <v>2719.54</v>
      </c>
      <c r="G605" s="485">
        <v>14</v>
      </c>
      <c r="H605" s="483">
        <v>7054.58</v>
      </c>
      <c r="I605" s="486">
        <f t="shared" si="108"/>
      </c>
      <c r="J605" s="486">
        <f t="shared" si="137"/>
      </c>
      <c r="K605" s="538">
        <f t="shared" si="166"/>
      </c>
      <c r="L605" s="488">
        <f t="shared" si="196"/>
      </c>
      <c r="M605" s="489">
        <f t="shared" si="226"/>
      </c>
      <c r="N605" s="490">
        <f t="shared" si="256"/>
      </c>
      <c r="O605" s="491" t="s">
        <v>325</v>
      </c>
      <c r="P605" s="526" t="s">
        <v>340</v>
      </c>
      <c r="Q605" s="494">
        <v>60465</v>
      </c>
      <c r="R605" s="494">
        <v>5497</v>
      </c>
      <c r="S605" s="527">
        <v>21</v>
      </c>
      <c r="T605" s="527">
        <v>75</v>
      </c>
      <c r="U605" s="535"/>
    </row>
    <row r="606">
      <c r="A606" s="586"/>
      <c r="B606" s="565" t="s">
        <v>331</v>
      </c>
      <c r="C606" s="496" t="s">
        <v>342</v>
      </c>
      <c r="D606" s="497">
        <f t="shared" si="73"/>
      </c>
      <c r="E606" s="528">
        <v>942.2</v>
      </c>
      <c r="F606" s="528">
        <v>1505.48</v>
      </c>
      <c r="G606" s="502">
        <v>7</v>
      </c>
      <c r="H606" s="503">
        <v>5216.59</v>
      </c>
      <c r="I606" s="486">
        <f t="shared" si="108"/>
      </c>
      <c r="J606" s="486">
        <f t="shared" si="137"/>
      </c>
      <c r="K606" s="487">
        <f t="shared" si="166"/>
      </c>
      <c r="L606" s="488">
        <f t="shared" si="196"/>
      </c>
      <c r="M606" s="489">
        <f t="shared" si="226"/>
      </c>
      <c r="N606" s="490">
        <f t="shared" si="256"/>
      </c>
      <c r="O606" s="491" t="s">
        <v>325</v>
      </c>
      <c r="P606" s="526" t="s">
        <v>340</v>
      </c>
      <c r="Q606" s="494">
        <v>33088</v>
      </c>
      <c r="R606" s="494">
        <v>3014</v>
      </c>
      <c r="S606" s="527">
        <v>13</v>
      </c>
      <c r="T606" s="527">
        <v>49</v>
      </c>
      <c r="U606" s="535"/>
    </row>
    <row r="607">
      <c r="A607" s="586"/>
      <c r="B607" s="565" t="s">
        <v>331</v>
      </c>
      <c r="C607" s="483" t="s">
        <v>344</v>
      </c>
      <c r="D607" s="500">
        <f t="shared" si="73"/>
      </c>
      <c r="E607" s="525">
        <v>692.21</v>
      </c>
      <c r="F607" s="525">
        <v>1040.44</v>
      </c>
      <c r="G607" s="502">
        <v>8</v>
      </c>
      <c r="H607" s="503">
        <v>3813.130000000001</v>
      </c>
      <c r="I607" s="486">
        <f t="shared" si="108"/>
      </c>
      <c r="J607" s="486">
        <f t="shared" si="137"/>
      </c>
      <c r="K607" s="487">
        <f t="shared" si="166"/>
      </c>
      <c r="L607" s="488">
        <f t="shared" si="196"/>
      </c>
      <c r="M607" s="489">
        <f t="shared" si="226"/>
      </c>
      <c r="N607" s="490">
        <f t="shared" si="256"/>
      </c>
      <c r="O607" s="491" t="s">
        <v>325</v>
      </c>
      <c r="P607" s="526" t="s">
        <v>340</v>
      </c>
      <c r="Q607" s="494">
        <v>17259</v>
      </c>
      <c r="R607" s="494">
        <v>1788</v>
      </c>
      <c r="S607" s="527">
        <v>12</v>
      </c>
      <c r="T607" s="527">
        <v>46</v>
      </c>
      <c r="U607" s="535"/>
    </row>
    <row r="608">
      <c r="A608" s="586"/>
      <c r="B608" s="506" t="s">
        <v>330</v>
      </c>
      <c r="C608" s="506"/>
      <c r="D608" s="507">
        <f>SUM(D604:D607)</f>
      </c>
      <c r="E608" s="507">
        <f>SUM(E604:E607)</f>
      </c>
      <c r="F608" s="507">
        <f>SUM(F604:F607)</f>
      </c>
      <c r="G608" s="508">
        <f>SUM(G604:G607)</f>
      </c>
      <c r="H608" s="507">
        <f>SUM(H604:H607)</f>
      </c>
      <c r="I608" s="509">
        <f t="shared" si="108"/>
      </c>
      <c r="J608" s="510">
        <f t="shared" si="137"/>
      </c>
      <c r="K608" s="511">
        <f t="shared" si="166"/>
      </c>
      <c r="L608" s="512">
        <f t="shared" si="196"/>
      </c>
      <c r="M608" s="512">
        <f t="shared" si="226"/>
      </c>
      <c r="N608" s="513">
        <f t="shared" si="256"/>
      </c>
      <c r="O608" s="513"/>
      <c r="P608" s="513"/>
      <c r="Q608" s="508">
        <f>SUM(Q604:Q607)</f>
      </c>
      <c r="R608" s="508">
        <f>SUM(R604:R607)</f>
      </c>
      <c r="S608" s="508">
        <f>SUM(S604:S607)</f>
      </c>
      <c r="T608" s="508">
        <f>SUM(T604:T607)</f>
      </c>
      <c r="U608" s="535"/>
    </row>
    <row r="609">
      <c r="A609" s="586"/>
      <c r="B609" s="536" t="s">
        <v>351</v>
      </c>
      <c r="C609" s="483" t="s">
        <v>345</v>
      </c>
      <c r="D609" s="500">
        <f t="shared" ref="D609:D612" si="74">E609+F609</f>
      </c>
      <c r="E609" s="525">
        <v>751.17</v>
      </c>
      <c r="F609" s="525">
        <v>1568.6100000000001</v>
      </c>
      <c r="G609" s="499">
        <v>8</v>
      </c>
      <c r="H609" s="483">
        <v>6692.879999999997</v>
      </c>
      <c r="I609" s="486">
        <f t="shared" si="108"/>
      </c>
      <c r="J609" s="486">
        <f t="shared" si="137"/>
      </c>
      <c r="K609" s="487">
        <f t="shared" si="166"/>
      </c>
      <c r="L609" s="488">
        <f t="shared" si="196"/>
      </c>
      <c r="M609" s="489">
        <f t="shared" si="226"/>
      </c>
      <c r="N609" s="490">
        <f t="shared" si="256"/>
      </c>
      <c r="O609" s="491" t="s">
        <v>325</v>
      </c>
      <c r="P609" s="526" t="s">
        <v>340</v>
      </c>
      <c r="Q609" s="504">
        <v>19868</v>
      </c>
      <c r="R609" s="504">
        <v>2029</v>
      </c>
      <c r="S609" s="505">
        <v>9</v>
      </c>
      <c r="T609" s="505">
        <v>52</v>
      </c>
      <c r="U609" s="535"/>
    </row>
    <row r="610">
      <c r="A610" s="586"/>
      <c r="B610" s="536" t="s">
        <v>351</v>
      </c>
      <c r="C610" s="483" t="s">
        <v>346</v>
      </c>
      <c r="D610" s="497">
        <f t="shared" si="74"/>
      </c>
      <c r="E610" s="501">
        <v>720.28</v>
      </c>
      <c r="F610" s="483">
        <v>814.22</v>
      </c>
      <c r="G610" s="502">
        <v>2</v>
      </c>
      <c r="H610" s="503">
        <v>892.8000000000029</v>
      </c>
      <c r="I610" s="486">
        <f t="shared" si="108"/>
      </c>
      <c r="J610" s="486">
        <f t="shared" si="137"/>
      </c>
      <c r="K610" s="487">
        <f t="shared" si="166"/>
      </c>
      <c r="L610" s="488">
        <f t="shared" si="196"/>
      </c>
      <c r="M610" s="489">
        <f t="shared" si="226"/>
      </c>
      <c r="N610" s="490">
        <f t="shared" si="256"/>
      </c>
      <c r="O610" s="491" t="s">
        <v>325</v>
      </c>
      <c r="P610" s="526" t="s">
        <v>340</v>
      </c>
      <c r="Q610" s="504">
        <v>12842</v>
      </c>
      <c r="R610" s="504">
        <v>1478</v>
      </c>
      <c r="S610" s="505">
        <v>10</v>
      </c>
      <c r="T610" s="505">
        <v>29</v>
      </c>
      <c r="U610" s="535"/>
    </row>
    <row r="611">
      <c r="A611" s="586"/>
      <c r="B611" s="536" t="s">
        <v>351</v>
      </c>
      <c r="C611" s="483" t="s">
        <v>347</v>
      </c>
      <c r="D611" s="500">
        <f t="shared" si="74"/>
      </c>
      <c r="E611" s="501">
        <v>426.24</v>
      </c>
      <c r="F611" s="500">
        <v>491.53999999999996</v>
      </c>
      <c r="G611" s="571">
        <v>2</v>
      </c>
      <c r="H611" s="541">
        <v>1779.1199999999953</v>
      </c>
      <c r="I611" s="547">
        <f t="shared" si="108"/>
      </c>
      <c r="J611" s="486">
        <f t="shared" si="137"/>
      </c>
      <c r="K611" s="487">
        <f t="shared" si="166"/>
      </c>
      <c r="L611" s="488">
        <f t="shared" si="196"/>
      </c>
      <c r="M611" s="489">
        <f t="shared" si="226"/>
      </c>
      <c r="N611" s="490">
        <f t="shared" si="256"/>
      </c>
      <c r="O611" s="491" t="s">
        <v>325</v>
      </c>
      <c r="P611" s="492" t="s">
        <v>363</v>
      </c>
      <c r="Q611" s="504">
        <v>10841</v>
      </c>
      <c r="R611" s="504">
        <v>1163</v>
      </c>
      <c r="S611" s="505">
        <v>4</v>
      </c>
      <c r="T611" s="505">
        <v>11</v>
      </c>
      <c r="U611" s="535"/>
    </row>
    <row r="612">
      <c r="A612" s="586"/>
      <c r="B612" s="536" t="s">
        <v>351</v>
      </c>
      <c r="C612" s="483" t="s">
        <v>348</v>
      </c>
      <c r="D612" s="497">
        <f t="shared" si="74"/>
      </c>
      <c r="E612" s="483">
        <v>204.09</v>
      </c>
      <c r="F612" s="500">
        <v>316.42</v>
      </c>
      <c r="G612" s="566">
        <v>0</v>
      </c>
      <c r="H612" s="580">
        <v>0</v>
      </c>
      <c r="I612" s="547">
        <f t="shared" si="108"/>
      </c>
      <c r="J612" s="486">
        <f t="shared" si="137"/>
      </c>
      <c r="K612" s="487">
        <f t="shared" si="166"/>
      </c>
      <c r="L612" s="488">
        <f t="shared" si="196"/>
      </c>
      <c r="M612" s="489">
        <f t="shared" si="226"/>
      </c>
      <c r="N612" s="490">
        <f t="shared" si="256"/>
      </c>
      <c r="O612" s="491" t="s">
        <v>325</v>
      </c>
      <c r="P612" s="492" t="s">
        <v>363</v>
      </c>
      <c r="Q612" s="504">
        <v>5714</v>
      </c>
      <c r="R612" s="504">
        <v>651</v>
      </c>
      <c r="S612" s="505">
        <v>0</v>
      </c>
      <c r="T612" s="505">
        <v>26</v>
      </c>
      <c r="U612" s="535"/>
    </row>
    <row r="613">
      <c r="A613" s="586"/>
      <c r="B613" s="506" t="s">
        <v>330</v>
      </c>
      <c r="C613" s="506"/>
      <c r="D613" s="507">
        <f>SUM(D609:D612)</f>
      </c>
      <c r="E613" s="507">
        <f>SUM(E609:E612)</f>
      </c>
      <c r="F613" s="507">
        <f>SUM(F609:F612)</f>
      </c>
      <c r="G613" s="588">
        <f>SUM(G609:G612)</f>
      </c>
      <c r="H613" s="543">
        <f>SUM(H609:H612)</f>
      </c>
      <c r="I613" s="515">
        <f t="shared" si="108"/>
      </c>
      <c r="J613" s="510">
        <f t="shared" si="137"/>
      </c>
      <c r="K613" s="511">
        <f t="shared" si="166"/>
      </c>
      <c r="L613" s="512">
        <f t="shared" si="196"/>
      </c>
      <c r="M613" s="512">
        <f t="shared" si="226"/>
      </c>
      <c r="N613" s="513">
        <f t="shared" si="256"/>
      </c>
      <c r="O613" s="513"/>
      <c r="P613" s="513"/>
      <c r="Q613" s="508">
        <f>SUM(Q609:Q612)</f>
      </c>
      <c r="R613" s="508">
        <f>SUM(R609:R612)</f>
      </c>
      <c r="S613" s="508">
        <f>SUM(S609:S612)</f>
      </c>
      <c r="T613" s="508">
        <f>SUM(T609:T612)</f>
      </c>
      <c r="U613" s="535"/>
    </row>
    <row r="614">
      <c r="A614" s="586"/>
      <c r="B614" s="523" t="s">
        <v>375</v>
      </c>
      <c r="C614" s="483" t="s">
        <v>328</v>
      </c>
      <c r="D614" s="497">
        <f t="shared" ref="D614:D617" si="75">E614+F614</f>
      </c>
      <c r="E614" s="541">
        <v>336.15</v>
      </c>
      <c r="F614" s="484">
        <v>625.78</v>
      </c>
      <c r="G614" s="499">
        <v>7</v>
      </c>
      <c r="H614" s="483">
        <v>4705.200000000004</v>
      </c>
      <c r="I614" s="486">
        <f t="shared" si="108"/>
      </c>
      <c r="J614" s="486">
        <f t="shared" si="137"/>
      </c>
      <c r="K614" s="487">
        <f t="shared" si="166"/>
      </c>
      <c r="L614" s="488">
        <f t="shared" si="196"/>
      </c>
      <c r="M614" s="489">
        <f t="shared" si="226"/>
      </c>
      <c r="N614" s="490">
        <f t="shared" si="256"/>
      </c>
      <c r="O614" s="491" t="s">
        <v>325</v>
      </c>
      <c r="P614" s="492" t="s">
        <v>363</v>
      </c>
      <c r="Q614" s="504">
        <v>10355</v>
      </c>
      <c r="R614" s="504">
        <v>1175</v>
      </c>
      <c r="S614" s="505">
        <v>8</v>
      </c>
      <c r="T614" s="505">
        <v>24</v>
      </c>
      <c r="U614" s="535"/>
    </row>
    <row r="615">
      <c r="A615" s="586"/>
      <c r="B615" s="523" t="s">
        <v>375</v>
      </c>
      <c r="C615" s="483" t="s">
        <v>329</v>
      </c>
      <c r="D615" s="497">
        <f t="shared" si="75"/>
      </c>
      <c r="E615" s="541">
        <v>494.8</v>
      </c>
      <c r="F615" s="484">
        <v>777.56</v>
      </c>
      <c r="G615" s="499">
        <v>8</v>
      </c>
      <c r="H615" s="483">
        <v>6831.120000000003</v>
      </c>
      <c r="I615" s="486">
        <f t="shared" si="108"/>
      </c>
      <c r="J615" s="486">
        <f t="shared" si="137"/>
      </c>
      <c r="K615" s="487">
        <f t="shared" si="166"/>
      </c>
      <c r="L615" s="488">
        <f t="shared" si="196"/>
      </c>
      <c r="M615" s="489">
        <f t="shared" si="226"/>
      </c>
      <c r="N615" s="490">
        <f t="shared" si="256"/>
      </c>
      <c r="O615" s="491" t="s">
        <v>325</v>
      </c>
      <c r="P615" s="492" t="s">
        <v>363</v>
      </c>
      <c r="Q615" s="504">
        <v>15236</v>
      </c>
      <c r="R615" s="504">
        <v>1701</v>
      </c>
      <c r="S615" s="505">
        <v>11</v>
      </c>
      <c r="T615" s="505">
        <v>33</v>
      </c>
      <c r="U615" s="535"/>
    </row>
    <row r="616">
      <c r="A616" s="586"/>
      <c r="B616" s="523" t="s">
        <v>375</v>
      </c>
      <c r="C616" s="500" t="s">
        <v>332</v>
      </c>
      <c r="D616" s="541">
        <f t="shared" si="75"/>
      </c>
      <c r="E616" s="541">
        <v>887.41</v>
      </c>
      <c r="F616" s="484">
        <v>1475.56</v>
      </c>
      <c r="G616" s="499">
        <v>6</v>
      </c>
      <c r="H616" s="483">
        <v>4520.159999999996</v>
      </c>
      <c r="I616" s="486">
        <f t="shared" si="108"/>
      </c>
      <c r="J616" s="486">
        <f t="shared" si="137"/>
      </c>
      <c r="K616" s="487">
        <f t="shared" si="166"/>
      </c>
      <c r="L616" s="488">
        <f t="shared" si="196"/>
      </c>
      <c r="M616" s="489">
        <f t="shared" si="226"/>
      </c>
      <c r="N616" s="490">
        <f t="shared" si="256"/>
      </c>
      <c r="O616" s="491" t="s">
        <v>325</v>
      </c>
      <c r="P616" s="492" t="s">
        <v>363</v>
      </c>
      <c r="Q616" s="504">
        <v>26632</v>
      </c>
      <c r="R616" s="504">
        <v>3274</v>
      </c>
      <c r="S616" s="505">
        <v>7</v>
      </c>
      <c r="T616" s="505">
        <v>54</v>
      </c>
      <c r="U616" s="535"/>
    </row>
    <row r="617">
      <c r="A617" s="586"/>
      <c r="B617" s="523" t="s">
        <v>375</v>
      </c>
      <c r="C617" s="500" t="s">
        <v>333</v>
      </c>
      <c r="D617" s="541">
        <f t="shared" si="75"/>
      </c>
      <c r="E617" s="541">
        <v>232.17</v>
      </c>
      <c r="F617" s="484">
        <v>780.87</v>
      </c>
      <c r="G617" s="529">
        <v>1</v>
      </c>
      <c r="H617" s="525">
        <v>1155.4800000000032</v>
      </c>
      <c r="I617" s="486">
        <f t="shared" si="108"/>
      </c>
      <c r="J617" s="486">
        <f t="shared" si="137"/>
      </c>
      <c r="K617" s="487">
        <f t="shared" si="166"/>
      </c>
      <c r="L617" s="488">
        <f t="shared" si="196"/>
      </c>
      <c r="M617" s="489">
        <f t="shared" si="226"/>
      </c>
      <c r="N617" s="490">
        <f t="shared" si="256"/>
      </c>
      <c r="O617" s="491" t="s">
        <v>325</v>
      </c>
      <c r="P617" s="492" t="s">
        <v>363</v>
      </c>
      <c r="Q617" s="504">
        <v>11497</v>
      </c>
      <c r="R617" s="504">
        <v>1459</v>
      </c>
      <c r="S617" s="505">
        <v>15</v>
      </c>
      <c r="T617" s="505">
        <v>7</v>
      </c>
      <c r="U617" s="535"/>
    </row>
    <row r="618">
      <c r="A618" s="586"/>
      <c r="B618" s="506" t="s">
        <v>330</v>
      </c>
      <c r="C618" s="506"/>
      <c r="D618" s="543">
        <f>SUM(D614:D617)</f>
      </c>
      <c r="E618" s="543">
        <f>SUM(E614:E617)</f>
      </c>
      <c r="F618" s="507">
        <f>SUM(F614:F617)</f>
      </c>
      <c r="G618" s="508">
        <f>SUM(G614:G617)</f>
      </c>
      <c r="H618" s="507">
        <f>SUM(H614:H617)</f>
      </c>
      <c r="I618" s="515">
        <f t="shared" si="108"/>
      </c>
      <c r="J618" s="510">
        <f t="shared" si="137"/>
      </c>
      <c r="K618" s="511">
        <f t="shared" si="166"/>
      </c>
      <c r="L618" s="512">
        <f t="shared" si="196"/>
      </c>
      <c r="M618" s="512">
        <f t="shared" si="226"/>
      </c>
      <c r="N618" s="513">
        <f t="shared" si="256"/>
      </c>
      <c r="O618" s="513"/>
      <c r="P618" s="513"/>
      <c r="Q618" s="508">
        <f>SUM(Q614:Q617)</f>
      </c>
      <c r="R618" s="508">
        <f>SUM(R614:R617)</f>
      </c>
      <c r="S618" s="508">
        <f>SUM(S614:S617)</f>
      </c>
      <c r="T618" s="508">
        <f>SUM(T614:T617)</f>
      </c>
      <c r="U618" s="535"/>
    </row>
    <row r="619">
      <c r="A619" s="586"/>
      <c r="B619" s="551" t="s">
        <v>336</v>
      </c>
      <c r="C619" s="551"/>
      <c r="D619" s="552">
        <f>D608+D613+D618</f>
      </c>
      <c r="E619" s="552">
        <f>E608+E613+E618</f>
      </c>
      <c r="F619" s="552">
        <f>F608+F613+F618</f>
      </c>
      <c r="G619" s="589">
        <f>G608+G613+G618</f>
      </c>
      <c r="H619" s="552">
        <f>H608+H613+H618</f>
      </c>
      <c r="I619" s="554">
        <f t="shared" si="108"/>
      </c>
      <c r="J619" s="554">
        <f t="shared" si="137"/>
      </c>
      <c r="K619" s="555">
        <f t="shared" si="166"/>
      </c>
      <c r="L619" s="521">
        <f t="shared" si="196"/>
      </c>
      <c r="M619" s="521">
        <f t="shared" si="226"/>
      </c>
      <c r="N619" s="519">
        <f t="shared" si="256"/>
      </c>
      <c r="O619" s="522"/>
      <c r="P619" s="522"/>
      <c r="Q619" s="589">
        <f>Q608+Q613+Q618</f>
      </c>
      <c r="R619" s="589">
        <f>R608+R613+R618</f>
      </c>
      <c r="S619" s="589">
        <f>S608+S613+S618</f>
      </c>
      <c r="T619" s="589">
        <f>T608+T613+T618</f>
      </c>
      <c r="U619" s="535"/>
    </row>
    <row r="620">
      <c r="A620" s="534" t="s">
        <v>298</v>
      </c>
      <c r="B620" s="534"/>
      <c r="C620" s="534"/>
      <c r="D620" s="464" t="s">
        <v>299</v>
      </c>
      <c r="E620" s="464"/>
      <c r="F620" s="464"/>
      <c r="G620" s="464"/>
      <c r="H620" s="464"/>
      <c r="I620" s="464"/>
      <c r="J620" s="464"/>
      <c r="K620" s="464"/>
      <c r="L620" s="465" t="s">
        <v>300</v>
      </c>
      <c r="M620" s="465"/>
      <c r="N620" s="465"/>
      <c r="O620" s="465"/>
      <c r="P620" s="465"/>
      <c r="Q620" s="466" t="s">
        <v>301</v>
      </c>
      <c r="R620" s="466"/>
      <c r="S620" s="466"/>
      <c r="T620" s="466"/>
      <c r="U620" s="535"/>
    </row>
    <row r="621">
      <c r="A621" s="467" t="s">
        <v>302</v>
      </c>
      <c r="B621" s="469" t="s">
        <v>303</v>
      </c>
      <c r="C621" s="469" t="s">
        <v>304</v>
      </c>
      <c r="D621" s="470" t="s">
        <v>305</v>
      </c>
      <c r="E621" s="471" t="s">
        <v>306</v>
      </c>
      <c r="F621" s="470" t="s">
        <v>307</v>
      </c>
      <c r="G621" s="472" t="s">
        <v>308</v>
      </c>
      <c r="H621" s="473" t="s">
        <v>309</v>
      </c>
      <c r="I621" s="474" t="s">
        <v>310</v>
      </c>
      <c r="J621" s="475" t="s">
        <v>311</v>
      </c>
      <c r="K621" s="476" t="s">
        <v>312</v>
      </c>
      <c r="L621" s="465" t="s">
        <v>313</v>
      </c>
      <c r="M621" s="465" t="s">
        <v>314</v>
      </c>
      <c r="N621" s="465" t="s">
        <v>315</v>
      </c>
      <c r="O621" s="477" t="s">
        <v>316</v>
      </c>
      <c r="P621" s="478" t="s">
        <v>317</v>
      </c>
      <c r="Q621" s="479" t="s">
        <v>318</v>
      </c>
      <c r="R621" s="479" t="s">
        <v>319</v>
      </c>
      <c r="S621" s="480" t="s">
        <v>320</v>
      </c>
      <c r="T621" s="479" t="s">
        <v>321</v>
      </c>
      <c r="U621" s="535"/>
    </row>
    <row r="622">
      <c r="A622" s="586" t="s">
        <v>389</v>
      </c>
      <c r="B622" s="565" t="s">
        <v>331</v>
      </c>
      <c r="C622" s="541" t="s">
        <v>339</v>
      </c>
      <c r="D622" s="541">
        <f t="shared" ref="D622:D625" si="76">E622+F622</f>
      </c>
      <c r="E622" s="580">
        <v>540.61</v>
      </c>
      <c r="F622" s="580">
        <v>1356.96</v>
      </c>
      <c r="G622" s="532">
        <v>6</v>
      </c>
      <c r="H622" s="483">
        <v>2196.02</v>
      </c>
      <c r="I622" s="486">
        <f t="shared" ref="I622:I642" si="109">H622/D622</f>
      </c>
      <c r="J622" s="537">
        <f t="shared" ref="J622:J642" si="138">D622/G622</f>
      </c>
      <c r="K622" s="487">
        <f t="shared" ref="K622:K642" si="167">H622/G622</f>
      </c>
      <c r="L622" s="488">
        <f t="shared" ref="L622:L642" si="197">R622/Q622</f>
      </c>
      <c r="M622" s="489">
        <f t="shared" ref="M622:M642" si="227">G622/S622</f>
      </c>
      <c r="N622" s="490">
        <f t="shared" ref="N622:N642" si="257">(T622*1000)/D622</f>
      </c>
      <c r="O622" s="491" t="s">
        <v>325</v>
      </c>
      <c r="P622" s="526" t="s">
        <v>340</v>
      </c>
      <c r="Q622" s="493">
        <v>22102</v>
      </c>
      <c r="R622" s="493">
        <v>4067</v>
      </c>
      <c r="S622" s="527">
        <v>9</v>
      </c>
      <c r="T622" s="527">
        <v>38</v>
      </c>
      <c r="U622" s="535"/>
    </row>
    <row r="623">
      <c r="A623" s="586"/>
      <c r="B623" s="565" t="s">
        <v>331</v>
      </c>
      <c r="C623" s="541" t="s">
        <v>341</v>
      </c>
      <c r="D623" s="541">
        <f t="shared" si="76"/>
      </c>
      <c r="E623" s="580">
        <v>972.37</v>
      </c>
      <c r="F623" s="580">
        <v>1486.01</v>
      </c>
      <c r="G623" s="485">
        <v>8</v>
      </c>
      <c r="H623" s="483">
        <v>4048.9199999999996</v>
      </c>
      <c r="I623" s="486">
        <f t="shared" si="109"/>
      </c>
      <c r="J623" s="486">
        <f t="shared" si="138"/>
      </c>
      <c r="K623" s="538">
        <f t="shared" si="167"/>
      </c>
      <c r="L623" s="488">
        <f t="shared" si="197"/>
      </c>
      <c r="M623" s="489">
        <f t="shared" si="227"/>
      </c>
      <c r="N623" s="490">
        <f t="shared" si="257"/>
      </c>
      <c r="O623" s="491" t="s">
        <v>325</v>
      </c>
      <c r="P623" s="526" t="s">
        <v>340</v>
      </c>
      <c r="Q623" s="494">
        <v>32439</v>
      </c>
      <c r="R623" s="494">
        <v>4642</v>
      </c>
      <c r="S623" s="527">
        <v>13</v>
      </c>
      <c r="T623" s="527">
        <v>46</v>
      </c>
      <c r="U623" s="535"/>
    </row>
    <row r="624">
      <c r="A624" s="586"/>
      <c r="B624" s="565" t="s">
        <v>331</v>
      </c>
      <c r="C624" s="496" t="s">
        <v>342</v>
      </c>
      <c r="D624" s="497">
        <f t="shared" si="76"/>
      </c>
      <c r="E624" s="528">
        <v>733.04</v>
      </c>
      <c r="F624" s="528">
        <v>550.84</v>
      </c>
      <c r="G624" s="502">
        <v>2</v>
      </c>
      <c r="H624" s="503">
        <v>430.0799999999999</v>
      </c>
      <c r="I624" s="486">
        <f t="shared" si="109"/>
      </c>
      <c r="J624" s="486">
        <f t="shared" si="138"/>
      </c>
      <c r="K624" s="487">
        <f t="shared" si="167"/>
      </c>
      <c r="L624" s="488">
        <f t="shared" si="197"/>
      </c>
      <c r="M624" s="489">
        <f t="shared" si="227"/>
      </c>
      <c r="N624" s="490">
        <f t="shared" si="257"/>
      </c>
      <c r="O624" s="491" t="s">
        <v>325</v>
      </c>
      <c r="P624" s="526" t="s">
        <v>340</v>
      </c>
      <c r="Q624" s="494">
        <v>20877</v>
      </c>
      <c r="R624" s="494">
        <v>2149</v>
      </c>
      <c r="S624" s="527">
        <v>4</v>
      </c>
      <c r="T624" s="527">
        <v>32</v>
      </c>
      <c r="U624" s="535"/>
    </row>
    <row customHeight="true" ht="20.238095238095237" r="625">
      <c r="A625" s="586"/>
      <c r="B625" s="565" t="s">
        <v>331</v>
      </c>
      <c r="C625" s="483" t="s">
        <v>344</v>
      </c>
      <c r="D625" s="500">
        <f t="shared" si="76"/>
      </c>
      <c r="E625" s="525">
        <v>189.4</v>
      </c>
      <c r="F625" s="525">
        <v>134.5</v>
      </c>
      <c r="G625" s="502">
        <v>1</v>
      </c>
      <c r="H625" s="503">
        <v>1564.0800000000008</v>
      </c>
      <c r="I625" s="486">
        <f t="shared" si="109"/>
      </c>
      <c r="J625" s="486">
        <f t="shared" si="138"/>
      </c>
      <c r="K625" s="487">
        <f t="shared" si="167"/>
      </c>
      <c r="L625" s="488">
        <f t="shared" si="197"/>
      </c>
      <c r="M625" s="489">
        <f t="shared" si="227"/>
      </c>
      <c r="N625" s="490">
        <f t="shared" si="257"/>
      </c>
      <c r="O625" s="491" t="s">
        <v>325</v>
      </c>
      <c r="P625" s="526" t="s">
        <v>340</v>
      </c>
      <c r="Q625" s="494">
        <v>5556</v>
      </c>
      <c r="R625" s="494">
        <v>535</v>
      </c>
      <c r="S625" s="527">
        <v>3</v>
      </c>
      <c r="T625" s="527">
        <v>17</v>
      </c>
      <c r="U625" s="535"/>
    </row>
    <row customHeight="true" ht="20.238095238095237" r="626">
      <c r="A626" s="586"/>
      <c r="B626" s="506" t="s">
        <v>330</v>
      </c>
      <c r="C626" s="506"/>
      <c r="D626" s="507">
        <f>SUM(D622:D625)</f>
      </c>
      <c r="E626" s="507">
        <f>SUM(E622:E625)</f>
      </c>
      <c r="F626" s="507">
        <f>SUM(F622:F625)</f>
      </c>
      <c r="G626" s="508">
        <f>SUM(G622:G625)</f>
      </c>
      <c r="H626" s="507">
        <f>SUM(H622:H625)</f>
      </c>
      <c r="I626" s="509">
        <f t="shared" si="109"/>
      </c>
      <c r="J626" s="510">
        <f t="shared" si="138"/>
      </c>
      <c r="K626" s="511">
        <f t="shared" si="167"/>
      </c>
      <c r="L626" s="512">
        <f t="shared" si="197"/>
      </c>
      <c r="M626" s="512">
        <f t="shared" si="227"/>
      </c>
      <c r="N626" s="513">
        <f t="shared" si="257"/>
      </c>
      <c r="O626" s="513"/>
      <c r="P626" s="513"/>
      <c r="Q626" s="508">
        <f>SUM(Q622:Q625)</f>
      </c>
      <c r="R626" s="508">
        <f>SUM(R622:R625)</f>
      </c>
      <c r="S626" s="508">
        <f>SUM(S622:S625)</f>
      </c>
      <c r="T626" s="508">
        <f>SUM(T622:T625)</f>
      </c>
      <c r="U626" s="535"/>
    </row>
    <row customHeight="true" ht="20.238095238095237" r="627">
      <c r="A627" s="586"/>
      <c r="B627" s="536" t="s">
        <v>351</v>
      </c>
      <c r="C627" s="483" t="s">
        <v>345</v>
      </c>
      <c r="D627" s="500">
        <f t="shared" ref="D627:D630" si="77">E627+F627</f>
      </c>
      <c r="E627" s="525">
        <v>407.09</v>
      </c>
      <c r="F627" s="525">
        <v>295.61</v>
      </c>
      <c r="G627" s="499">
        <v>2</v>
      </c>
      <c r="H627" s="483">
        <v>430.0799999999999</v>
      </c>
      <c r="I627" s="486">
        <f t="shared" si="109"/>
      </c>
      <c r="J627" s="486">
        <f t="shared" si="138"/>
      </c>
      <c r="K627" s="487">
        <f t="shared" si="167"/>
      </c>
      <c r="L627" s="488">
        <f t="shared" si="197"/>
      </c>
      <c r="M627" s="489">
        <f t="shared" si="227"/>
      </c>
      <c r="N627" s="490">
        <f t="shared" si="257"/>
      </c>
      <c r="O627" s="491" t="s">
        <v>325</v>
      </c>
      <c r="P627" s="526" t="s">
        <v>340</v>
      </c>
      <c r="Q627" s="504">
        <v>7273</v>
      </c>
      <c r="R627" s="504">
        <v>746</v>
      </c>
      <c r="S627" s="505">
        <v>4</v>
      </c>
      <c r="T627" s="505">
        <v>9</v>
      </c>
      <c r="U627" s="535"/>
    </row>
    <row customHeight="true" ht="20.238095238095237" r="628">
      <c r="A628" s="586"/>
      <c r="B628" s="536" t="s">
        <v>351</v>
      </c>
      <c r="C628" s="483" t="s">
        <v>346</v>
      </c>
      <c r="D628" s="497">
        <f t="shared" si="77"/>
      </c>
      <c r="E628" s="501">
        <v>633.88</v>
      </c>
      <c r="F628" s="483">
        <v>386.66</v>
      </c>
      <c r="G628" s="502">
        <v>7</v>
      </c>
      <c r="H628" s="503">
        <v>2893.4400000000005</v>
      </c>
      <c r="I628" s="486">
        <f t="shared" si="109"/>
      </c>
      <c r="J628" s="486">
        <f t="shared" si="138"/>
      </c>
      <c r="K628" s="487">
        <f t="shared" si="167"/>
      </c>
      <c r="L628" s="488">
        <f t="shared" si="197"/>
      </c>
      <c r="M628" s="489">
        <f t="shared" si="227"/>
      </c>
      <c r="N628" s="490">
        <f t="shared" si="257"/>
      </c>
      <c r="O628" s="491" t="s">
        <v>325</v>
      </c>
      <c r="P628" s="526" t="s">
        <v>340</v>
      </c>
      <c r="Q628" s="504">
        <v>11592</v>
      </c>
      <c r="R628" s="504">
        <v>1106</v>
      </c>
      <c r="S628" s="505">
        <v>11</v>
      </c>
      <c r="T628" s="505">
        <v>20</v>
      </c>
      <c r="U628" s="535"/>
    </row>
    <row customHeight="true" ht="20.238095238095237" r="629">
      <c r="A629" s="586"/>
      <c r="B629" s="536" t="s">
        <v>351</v>
      </c>
      <c r="C629" s="483" t="s">
        <v>347</v>
      </c>
      <c r="D629" s="500">
        <f t="shared" si="77"/>
      </c>
      <c r="E629" s="501">
        <v>2765.1</v>
      </c>
      <c r="F629" s="500">
        <v>880.28</v>
      </c>
      <c r="G629" s="571">
        <v>12</v>
      </c>
      <c r="H629" s="541">
        <v>5711.160000000002</v>
      </c>
      <c r="I629" s="547">
        <f t="shared" si="109"/>
      </c>
      <c r="J629" s="486">
        <f t="shared" si="138"/>
      </c>
      <c r="K629" s="487">
        <f t="shared" si="167"/>
      </c>
      <c r="L629" s="488">
        <f t="shared" si="197"/>
      </c>
      <c r="M629" s="489">
        <f t="shared" si="227"/>
      </c>
      <c r="N629" s="490">
        <f t="shared" si="257"/>
      </c>
      <c r="O629" s="491" t="s">
        <v>325</v>
      </c>
      <c r="P629" s="492" t="s">
        <v>363</v>
      </c>
      <c r="Q629" s="504">
        <v>42829</v>
      </c>
      <c r="R629" s="504">
        <v>4429</v>
      </c>
      <c r="S629" s="505">
        <v>22</v>
      </c>
      <c r="T629" s="505">
        <v>68</v>
      </c>
      <c r="U629" s="535"/>
    </row>
    <row customHeight="true" ht="20.238095238095237" r="630">
      <c r="A630" s="586"/>
      <c r="B630" s="536" t="s">
        <v>351</v>
      </c>
      <c r="C630" s="483" t="s">
        <v>348</v>
      </c>
      <c r="D630" s="497">
        <f t="shared" si="77"/>
      </c>
      <c r="E630" s="483">
        <v>4701.79</v>
      </c>
      <c r="F630" s="500">
        <v>2536.89</v>
      </c>
      <c r="G630" s="566">
        <v>19</v>
      </c>
      <c r="H630" s="580">
        <v>10943.66</v>
      </c>
      <c r="I630" s="547">
        <f t="shared" si="109"/>
      </c>
      <c r="J630" s="486">
        <f t="shared" si="138"/>
      </c>
      <c r="K630" s="487">
        <f t="shared" si="167"/>
      </c>
      <c r="L630" s="488">
        <f t="shared" si="197"/>
      </c>
      <c r="M630" s="489">
        <f t="shared" si="227"/>
      </c>
      <c r="N630" s="490">
        <f t="shared" si="257"/>
      </c>
      <c r="O630" s="491" t="s">
        <v>325</v>
      </c>
      <c r="P630" s="492" t="s">
        <v>363</v>
      </c>
      <c r="Q630" s="504">
        <v>76399</v>
      </c>
      <c r="R630" s="504">
        <v>7161</v>
      </c>
      <c r="S630" s="505">
        <v>45</v>
      </c>
      <c r="T630" s="505">
        <v>119</v>
      </c>
      <c r="U630" s="535"/>
    </row>
    <row customHeight="true" ht="20.238095238095237" r="631">
      <c r="A631" s="586"/>
      <c r="B631" s="506" t="s">
        <v>330</v>
      </c>
      <c r="C631" s="506"/>
      <c r="D631" s="507">
        <f>SUM(D627:D630)</f>
      </c>
      <c r="E631" s="507">
        <f>SUM(E627:E630)</f>
      </c>
      <c r="F631" s="507">
        <f>SUM(F627:F630)</f>
      </c>
      <c r="G631" s="588">
        <f>SUM(G627:G630)</f>
      </c>
      <c r="H631" s="543">
        <f>SUM(H627:H630)</f>
      </c>
      <c r="I631" s="515">
        <f t="shared" si="109"/>
      </c>
      <c r="J631" s="510">
        <f t="shared" si="138"/>
      </c>
      <c r="K631" s="511">
        <f t="shared" si="167"/>
      </c>
      <c r="L631" s="512">
        <f t="shared" si="197"/>
      </c>
      <c r="M631" s="512">
        <f t="shared" si="227"/>
      </c>
      <c r="N631" s="513">
        <f t="shared" si="257"/>
      </c>
      <c r="O631" s="513"/>
      <c r="P631" s="513"/>
      <c r="Q631" s="508">
        <f>SUM(Q627:Q630)</f>
      </c>
      <c r="R631" s="508">
        <f>SUM(R627:R630)</f>
      </c>
      <c r="S631" s="508">
        <f>SUM(S627:S630)</f>
      </c>
      <c r="T631" s="508">
        <f>SUM(T627:T630)</f>
      </c>
      <c r="U631" s="535"/>
    </row>
    <row customHeight="true" ht="20.238095238095237" r="632">
      <c r="A632" s="586"/>
      <c r="B632" s="523" t="s">
        <v>338</v>
      </c>
      <c r="C632" s="483" t="s">
        <v>349</v>
      </c>
      <c r="D632" s="500">
        <f t="shared" ref="D632:D635" si="78">E632+F632</f>
      </c>
      <c r="E632" s="483">
        <v>5205.84</v>
      </c>
      <c r="F632" s="483">
        <v>549.84</v>
      </c>
      <c r="G632" s="499">
        <v>19</v>
      </c>
      <c r="H632" s="483">
        <v>12322.699999999997</v>
      </c>
      <c r="I632" s="486">
        <f t="shared" si="109"/>
      </c>
      <c r="J632" s="486">
        <f t="shared" si="138"/>
      </c>
      <c r="K632" s="487">
        <f t="shared" si="167"/>
      </c>
      <c r="L632" s="488">
        <f t="shared" si="197"/>
      </c>
      <c r="M632" s="489">
        <f t="shared" si="227"/>
      </c>
      <c r="N632" s="490">
        <f t="shared" si="257"/>
      </c>
      <c r="O632" s="491" t="s">
        <v>325</v>
      </c>
      <c r="P632" s="492" t="s">
        <v>363</v>
      </c>
      <c r="Q632" s="504">
        <v>110795</v>
      </c>
      <c r="R632" s="504">
        <v>8390</v>
      </c>
      <c r="S632" s="505">
        <v>33</v>
      </c>
      <c r="T632" s="505">
        <v>102</v>
      </c>
      <c r="U632" s="535"/>
    </row>
    <row customHeight="true" ht="20.238095238095237" r="633">
      <c r="A633" s="586"/>
      <c r="B633" s="523" t="s">
        <v>338</v>
      </c>
      <c r="C633" s="483" t="s">
        <v>350</v>
      </c>
      <c r="D633" s="500">
        <f t="shared" si="78"/>
      </c>
      <c r="E633" s="483">
        <v>5222.68</v>
      </c>
      <c r="F633" s="483">
        <v>320.66999999999996</v>
      </c>
      <c r="G633" s="499">
        <v>11</v>
      </c>
      <c r="H633" s="483">
        <v>5629.82</v>
      </c>
      <c r="I633" s="486">
        <f t="shared" si="109"/>
      </c>
      <c r="J633" s="486">
        <f t="shared" si="138"/>
      </c>
      <c r="K633" s="487">
        <f t="shared" si="167"/>
      </c>
      <c r="L633" s="488">
        <f t="shared" si="197"/>
      </c>
      <c r="M633" s="489">
        <f t="shared" si="227"/>
      </c>
      <c r="N633" s="490">
        <f t="shared" si="257"/>
      </c>
      <c r="O633" s="491" t="s">
        <v>325</v>
      </c>
      <c r="P633" s="492" t="s">
        <v>363</v>
      </c>
      <c r="Q633" s="504">
        <v>130988</v>
      </c>
      <c r="R633" s="504">
        <v>9350</v>
      </c>
      <c r="S633" s="505">
        <v>33</v>
      </c>
      <c r="T633" s="505">
        <v>97</v>
      </c>
      <c r="U633" s="535"/>
    </row>
    <row customHeight="true" ht="20.238095238095237" r="634">
      <c r="A634" s="586"/>
      <c r="B634" s="523" t="s">
        <v>338</v>
      </c>
      <c r="C634" s="525" t="s">
        <v>324</v>
      </c>
      <c r="D634" s="500">
        <f t="shared" si="78"/>
      </c>
      <c r="E634" s="525">
        <v>599.13</v>
      </c>
      <c r="F634" s="483">
        <v>197.32</v>
      </c>
      <c r="G634" s="529">
        <v>2</v>
      </c>
      <c r="H634" s="525">
        <v>2310.96</v>
      </c>
      <c r="I634" s="486">
        <f t="shared" si="109"/>
      </c>
      <c r="J634" s="486">
        <f t="shared" si="138"/>
      </c>
      <c r="K634" s="487">
        <f t="shared" si="167"/>
      </c>
      <c r="L634" s="488">
        <f t="shared" si="197"/>
      </c>
      <c r="M634" s="489">
        <f t="shared" si="227"/>
      </c>
      <c r="N634" s="490">
        <f t="shared" si="257"/>
      </c>
      <c r="O634" s="491" t="s">
        <v>325</v>
      </c>
      <c r="P634" s="492" t="s">
        <v>363</v>
      </c>
      <c r="Q634" s="505">
        <v>13415</v>
      </c>
      <c r="R634" s="505">
        <v>981</v>
      </c>
      <c r="S634" s="505">
        <v>4</v>
      </c>
      <c r="T634" s="505">
        <v>16</v>
      </c>
      <c r="U634" s="535"/>
    </row>
    <row customHeight="true" ht="20.238095238095237" r="635">
      <c r="A635" s="586"/>
      <c r="B635" s="523" t="s">
        <v>338</v>
      </c>
      <c r="C635" s="525" t="s">
        <v>327</v>
      </c>
      <c r="D635" s="500">
        <f t="shared" si="78"/>
      </c>
      <c r="E635" s="483">
        <v>897.18</v>
      </c>
      <c r="F635" s="483">
        <v>1395.1</v>
      </c>
      <c r="G635" s="529">
        <v>8</v>
      </c>
      <c r="H635" s="525">
        <v>4048.92</v>
      </c>
      <c r="I635" s="486">
        <f t="shared" si="109"/>
      </c>
      <c r="J635" s="486">
        <f t="shared" si="138"/>
      </c>
      <c r="K635" s="487">
        <f t="shared" si="167"/>
      </c>
      <c r="L635" s="488">
        <f t="shared" si="197"/>
      </c>
      <c r="M635" s="489">
        <f t="shared" si="227"/>
      </c>
      <c r="N635" s="490">
        <f t="shared" si="257"/>
      </c>
      <c r="O635" s="491" t="s">
        <v>325</v>
      </c>
      <c r="P635" s="492" t="s">
        <v>363</v>
      </c>
      <c r="Q635" s="505">
        <v>16911</v>
      </c>
      <c r="R635" s="505">
        <v>1811</v>
      </c>
      <c r="S635" s="505">
        <v>10</v>
      </c>
      <c r="T635" s="505">
        <v>47</v>
      </c>
      <c r="U635" s="535"/>
    </row>
    <row r="636">
      <c r="A636" s="586"/>
      <c r="B636" s="506" t="s">
        <v>330</v>
      </c>
      <c r="C636" s="506"/>
      <c r="D636" s="507">
        <f>SUM(D632:D635)</f>
      </c>
      <c r="E636" s="507">
        <f>SUM(E632:E635)</f>
      </c>
      <c r="F636" s="507">
        <f>SUM(F632:F635)</f>
      </c>
      <c r="G636" s="508">
        <f>SUM(G632:G635)</f>
      </c>
      <c r="H636" s="507">
        <f>SUM(H632:H635)</f>
      </c>
      <c r="I636" s="515">
        <f t="shared" si="109"/>
      </c>
      <c r="J636" s="510">
        <f t="shared" si="138"/>
      </c>
      <c r="K636" s="511">
        <f t="shared" si="167"/>
      </c>
      <c r="L636" s="512">
        <f t="shared" si="197"/>
      </c>
      <c r="M636" s="512">
        <f t="shared" si="227"/>
      </c>
      <c r="N636" s="513">
        <f t="shared" si="257"/>
      </c>
      <c r="O636" s="513"/>
      <c r="P636" s="513"/>
      <c r="Q636" s="508">
        <f>SUM(Q632:Q635)</f>
      </c>
      <c r="R636" s="508">
        <f>SUM(R632:R635)</f>
      </c>
      <c r="S636" s="508">
        <f>SUM(S632:S635)</f>
      </c>
      <c r="T636" s="508">
        <f>SUM(T632:T635)</f>
      </c>
    </row>
    <row r="637">
      <c r="A637" s="586"/>
      <c r="B637" s="523" t="s">
        <v>375</v>
      </c>
      <c r="C637" s="483" t="s">
        <v>328</v>
      </c>
      <c r="D637" s="497">
        <f t="shared" ref="D637:D640" si="79">E637+F637</f>
      </c>
      <c r="E637" s="541">
        <v>802.26</v>
      </c>
      <c r="F637" s="484">
        <v>2839.62</v>
      </c>
      <c r="G637" s="529">
        <v>11</v>
      </c>
      <c r="H637" s="525">
        <v>5117.64</v>
      </c>
      <c r="I637" s="486">
        <f t="shared" si="109"/>
      </c>
      <c r="J637" s="486">
        <f t="shared" si="138"/>
      </c>
      <c r="K637" s="487">
        <f t="shared" si="167"/>
      </c>
      <c r="L637" s="488">
        <f t="shared" si="197"/>
      </c>
      <c r="M637" s="489">
        <f t="shared" si="227"/>
      </c>
      <c r="N637" s="490">
        <f t="shared" si="257"/>
      </c>
      <c r="O637" s="491" t="s">
        <v>325</v>
      </c>
      <c r="P637" s="492" t="s">
        <v>363</v>
      </c>
      <c r="Q637" s="505">
        <v>69493</v>
      </c>
      <c r="R637" s="505">
        <v>4707</v>
      </c>
      <c r="S637" s="505">
        <v>18</v>
      </c>
      <c r="T637" s="505">
        <v>74</v>
      </c>
    </row>
    <row r="638">
      <c r="A638" s="586"/>
      <c r="B638" s="523" t="s">
        <v>375</v>
      </c>
      <c r="C638" s="483" t="s">
        <v>329</v>
      </c>
      <c r="D638" s="497">
        <f t="shared" si="79"/>
      </c>
      <c r="E638" s="541">
        <v>476</v>
      </c>
      <c r="F638" s="484">
        <v>3992.26</v>
      </c>
      <c r="G638" s="529">
        <v>19</v>
      </c>
      <c r="H638" s="525">
        <v>7682.06</v>
      </c>
      <c r="I638" s="486">
        <f t="shared" si="109"/>
      </c>
      <c r="J638" s="486">
        <f t="shared" si="138"/>
      </c>
      <c r="K638" s="487">
        <f t="shared" si="167"/>
      </c>
      <c r="L638" s="488">
        <f t="shared" si="197"/>
      </c>
      <c r="M638" s="489">
        <f t="shared" si="227"/>
      </c>
      <c r="N638" s="490">
        <f t="shared" si="257"/>
      </c>
      <c r="O638" s="491" t="s">
        <v>325</v>
      </c>
      <c r="P638" s="492" t="s">
        <v>363</v>
      </c>
      <c r="Q638" s="505">
        <v>70954</v>
      </c>
      <c r="R638" s="505">
        <v>7218</v>
      </c>
      <c r="S638" s="505">
        <v>24</v>
      </c>
      <c r="T638" s="505">
        <v>74</v>
      </c>
    </row>
    <row r="639">
      <c r="A639" s="586"/>
      <c r="B639" s="523" t="s">
        <v>375</v>
      </c>
      <c r="C639" s="500" t="s">
        <v>332</v>
      </c>
      <c r="D639" s="541">
        <f t="shared" si="79"/>
      </c>
      <c r="E639" s="541">
        <v>303.67</v>
      </c>
      <c r="F639" s="484">
        <v>5991.469999999999</v>
      </c>
      <c r="G639" s="529">
        <v>18</v>
      </c>
      <c r="H639" s="483">
        <v>8097.840000000001</v>
      </c>
      <c r="I639" s="486">
        <f t="shared" si="109"/>
      </c>
      <c r="J639" s="486">
        <f t="shared" si="138"/>
      </c>
      <c r="K639" s="487">
        <f t="shared" si="167"/>
      </c>
      <c r="L639" s="488">
        <f t="shared" si="197"/>
      </c>
      <c r="M639" s="489">
        <f t="shared" si="227"/>
      </c>
      <c r="N639" s="490">
        <f t="shared" si="257"/>
      </c>
      <c r="O639" s="491" t="s">
        <v>325</v>
      </c>
      <c r="P639" s="492" t="s">
        <v>363</v>
      </c>
      <c r="Q639" s="504">
        <v>112784</v>
      </c>
      <c r="R639" s="504">
        <v>7224</v>
      </c>
      <c r="S639" s="505">
        <v>24</v>
      </c>
      <c r="T639" s="505">
        <v>92</v>
      </c>
    </row>
    <row r="640">
      <c r="A640" s="586"/>
      <c r="B640" s="523" t="s">
        <v>375</v>
      </c>
      <c r="C640" s="500" t="s">
        <v>333</v>
      </c>
      <c r="D640" s="541">
        <f t="shared" si="79"/>
      </c>
      <c r="E640" s="541">
        <v>248.18</v>
      </c>
      <c r="F640" s="484">
        <v>2862.27</v>
      </c>
      <c r="G640" s="529">
        <v>8</v>
      </c>
      <c r="H640" s="525">
        <v>3016.8600000000006</v>
      </c>
      <c r="I640" s="486">
        <f t="shared" si="109"/>
      </c>
      <c r="J640" s="486">
        <f t="shared" si="138"/>
      </c>
      <c r="K640" s="487">
        <f t="shared" si="167"/>
      </c>
      <c r="L640" s="488">
        <f t="shared" si="197"/>
      </c>
      <c r="M640" s="489">
        <f t="shared" si="227"/>
      </c>
      <c r="N640" s="490">
        <f t="shared" si="257"/>
      </c>
      <c r="O640" s="491" t="s">
        <v>325</v>
      </c>
      <c r="P640" s="492" t="s">
        <v>363</v>
      </c>
      <c r="Q640" s="504">
        <v>54964</v>
      </c>
      <c r="R640" s="504">
        <v>3498</v>
      </c>
      <c r="S640" s="505">
        <v>23</v>
      </c>
      <c r="T640" s="505">
        <v>87</v>
      </c>
    </row>
    <row r="641">
      <c r="A641" s="586"/>
      <c r="B641" s="506" t="s">
        <v>330</v>
      </c>
      <c r="C641" s="506"/>
      <c r="D641" s="543">
        <f>SUM(D637:D640)</f>
      </c>
      <c r="E641" s="543">
        <f>SUM(E637:E640)</f>
      </c>
      <c r="F641" s="507">
        <f>SUM(F637:F640)</f>
      </c>
      <c r="G641" s="508">
        <f>SUM(G637:G640)</f>
      </c>
      <c r="H641" s="507">
        <f>SUM(H637:H640)</f>
      </c>
      <c r="I641" s="515">
        <f t="shared" si="109"/>
      </c>
      <c r="J641" s="510">
        <f t="shared" si="138"/>
      </c>
      <c r="K641" s="511">
        <f t="shared" si="167"/>
      </c>
      <c r="L641" s="512">
        <f t="shared" si="197"/>
      </c>
      <c r="M641" s="512">
        <f t="shared" si="227"/>
      </c>
      <c r="N641" s="513">
        <f t="shared" si="257"/>
      </c>
      <c r="O641" s="513"/>
      <c r="P641" s="513"/>
      <c r="Q641" s="508">
        <f>SUM(Q637:Q640)</f>
      </c>
      <c r="R641" s="508">
        <f>SUM(R637:R640)</f>
      </c>
      <c r="S641" s="508">
        <f>SUM(S637:S640)</f>
      </c>
      <c r="T641" s="508">
        <f>SUM(T637:T640)</f>
      </c>
    </row>
    <row r="642">
      <c r="A642" s="586"/>
      <c r="B642" s="551" t="s">
        <v>336</v>
      </c>
      <c r="C642" s="551"/>
      <c r="D642" s="552">
        <f>D641+D636+D631+D626</f>
      </c>
      <c r="E642" s="552">
        <f>E641+E636+E631+E626</f>
      </c>
      <c r="F642" s="552">
        <f>F641+F636+F631+F626</f>
      </c>
      <c r="G642" s="553">
        <f>G641+G636+G631+G626</f>
      </c>
      <c r="H642" s="552">
        <f>H641+H636+H631+H626</f>
      </c>
      <c r="I642" s="554">
        <f t="shared" si="109"/>
      </c>
      <c r="J642" s="554">
        <f t="shared" si="138"/>
      </c>
      <c r="K642" s="555">
        <f t="shared" si="167"/>
      </c>
      <c r="L642" s="521">
        <f t="shared" si="197"/>
      </c>
      <c r="M642" s="521">
        <f t="shared" si="227"/>
      </c>
      <c r="N642" s="519">
        <f t="shared" si="257"/>
      </c>
      <c r="O642" s="522"/>
      <c r="P642" s="522"/>
      <c r="Q642" s="544">
        <f>Q641+Q636+Q631+Q626</f>
      </c>
      <c r="R642" s="544">
        <f>R641+R636+R631+R626</f>
      </c>
      <c r="S642" s="544">
        <f>S641+S636+S631+S626</f>
      </c>
      <c r="T642" s="544">
        <f>T641+T636+T631+T626</f>
      </c>
    </row>
    <row r="643">
      <c r="A643" s="534" t="s">
        <v>298</v>
      </c>
      <c r="B643" s="534"/>
      <c r="C643" s="534"/>
      <c r="D643" s="464" t="s">
        <v>299</v>
      </c>
      <c r="E643" s="464"/>
      <c r="F643" s="464"/>
      <c r="G643" s="464"/>
      <c r="H643" s="464"/>
      <c r="I643" s="464"/>
      <c r="J643" s="464"/>
      <c r="K643" s="464"/>
      <c r="L643" s="465" t="s">
        <v>300</v>
      </c>
      <c r="M643" s="465"/>
      <c r="N643" s="465"/>
      <c r="O643" s="465"/>
      <c r="P643" s="465"/>
      <c r="Q643" s="466" t="s">
        <v>301</v>
      </c>
      <c r="R643" s="466"/>
      <c r="S643" s="466"/>
      <c r="T643" s="466"/>
    </row>
    <row r="644">
      <c r="A644" s="590" t="s">
        <v>302</v>
      </c>
      <c r="B644" s="469" t="s">
        <v>303</v>
      </c>
      <c r="C644" s="469" t="s">
        <v>304</v>
      </c>
      <c r="D644" s="470" t="s">
        <v>305</v>
      </c>
      <c r="E644" s="471" t="s">
        <v>306</v>
      </c>
      <c r="F644" s="470" t="s">
        <v>307</v>
      </c>
      <c r="G644" s="591" t="s">
        <v>308</v>
      </c>
      <c r="H644" s="470" t="s">
        <v>309</v>
      </c>
      <c r="I644" s="592" t="s">
        <v>310</v>
      </c>
      <c r="J644" s="593" t="s">
        <v>311</v>
      </c>
      <c r="K644" s="594" t="s">
        <v>312</v>
      </c>
      <c r="L644" s="595" t="s">
        <v>313</v>
      </c>
      <c r="M644" s="595" t="s">
        <v>314</v>
      </c>
      <c r="N644" s="595" t="s">
        <v>315</v>
      </c>
      <c r="O644" s="596" t="s">
        <v>316</v>
      </c>
      <c r="P644" s="597" t="s">
        <v>317</v>
      </c>
      <c r="Q644" s="598" t="s">
        <v>318</v>
      </c>
      <c r="R644" s="598" t="s">
        <v>319</v>
      </c>
      <c r="S644" s="599" t="s">
        <v>320</v>
      </c>
      <c r="T644" s="598" t="s">
        <v>321</v>
      </c>
    </row>
    <row r="645">
      <c r="A645" s="564" t="s">
        <v>390</v>
      </c>
      <c r="B645" s="565" t="s">
        <v>331</v>
      </c>
      <c r="C645" s="541" t="s">
        <v>339</v>
      </c>
      <c r="D645" s="541">
        <f t="shared" ref="D645:D648" si="80">E645+F645</f>
      </c>
      <c r="E645" s="580">
        <v>1344.42</v>
      </c>
      <c r="F645" s="580">
        <v>2475.51</v>
      </c>
      <c r="G645" s="566">
        <v>17</v>
      </c>
      <c r="H645" s="541">
        <v>11659.29</v>
      </c>
      <c r="I645" s="567">
        <f t="shared" ref="I645:I657" si="110">H645/D645</f>
      </c>
      <c r="J645" s="568">
        <f t="shared" ref="J645:J657" si="139">D645/G645</f>
      </c>
      <c r="K645" s="567">
        <f t="shared" ref="K645:K657" si="168">H645/G645</f>
      </c>
      <c r="L645" s="600">
        <f t="shared" ref="L645:L657" si="198">R645/Q645</f>
      </c>
      <c r="M645" s="601">
        <f t="shared" ref="M645:M657" si="228">G645/S645</f>
      </c>
      <c r="N645" s="602">
        <f t="shared" ref="N645:N657" si="258">(T645*1000)/D645</f>
      </c>
      <c r="O645" s="603" t="s">
        <v>325</v>
      </c>
      <c r="P645" s="604" t="s">
        <v>363</v>
      </c>
      <c r="Q645" s="605">
        <v>53039</v>
      </c>
      <c r="R645" s="605">
        <v>6389</v>
      </c>
      <c r="S645" s="606">
        <v>26</v>
      </c>
      <c r="T645" s="606">
        <v>69</v>
      </c>
      <c r="U645" s="607"/>
    </row>
    <row r="646">
      <c r="A646" s="564"/>
      <c r="B646" s="565" t="s">
        <v>331</v>
      </c>
      <c r="C646" s="541" t="s">
        <v>341</v>
      </c>
      <c r="D646" s="541">
        <f t="shared" si="80"/>
      </c>
      <c r="E646" s="580">
        <v>2553.74</v>
      </c>
      <c r="F646" s="580">
        <v>3217.59</v>
      </c>
      <c r="G646" s="571">
        <v>19</v>
      </c>
      <c r="H646" s="541">
        <v>9575.16</v>
      </c>
      <c r="I646" s="567">
        <f t="shared" si="110"/>
      </c>
      <c r="J646" s="567">
        <f t="shared" si="139"/>
      </c>
      <c r="K646" s="568">
        <f t="shared" si="168"/>
      </c>
      <c r="L646" s="600">
        <f t="shared" si="198"/>
      </c>
      <c r="M646" s="601">
        <f t="shared" si="228"/>
      </c>
      <c r="N646" s="602">
        <f t="shared" si="258"/>
      </c>
      <c r="O646" s="603" t="s">
        <v>325</v>
      </c>
      <c r="P646" s="604" t="s">
        <v>363</v>
      </c>
      <c r="Q646" s="605">
        <v>93690</v>
      </c>
      <c r="R646" s="605">
        <v>11043</v>
      </c>
      <c r="S646" s="606">
        <v>32</v>
      </c>
      <c r="T646" s="606">
        <v>87</v>
      </c>
      <c r="U646" s="607"/>
    </row>
    <row r="647">
      <c r="A647" s="564"/>
      <c r="B647" s="565" t="s">
        <v>331</v>
      </c>
      <c r="C647" s="541" t="s">
        <v>342</v>
      </c>
      <c r="D647" s="541">
        <f t="shared" si="80"/>
      </c>
      <c r="E647" s="580">
        <v>1323.34</v>
      </c>
      <c r="F647" s="580">
        <v>2152.46</v>
      </c>
      <c r="G647" s="571">
        <v>10</v>
      </c>
      <c r="H647" s="541">
        <v>3056.1800000000003</v>
      </c>
      <c r="I647" s="567">
        <f t="shared" si="110"/>
      </c>
      <c r="J647" s="567">
        <f t="shared" si="139"/>
      </c>
      <c r="K647" s="567">
        <f t="shared" si="168"/>
      </c>
      <c r="L647" s="600">
        <f t="shared" si="198"/>
      </c>
      <c r="M647" s="601">
        <f t="shared" si="228"/>
      </c>
      <c r="N647" s="602">
        <f t="shared" si="258"/>
      </c>
      <c r="O647" s="603" t="s">
        <v>325</v>
      </c>
      <c r="P647" s="604" t="s">
        <v>363</v>
      </c>
      <c r="Q647" s="605">
        <v>55510</v>
      </c>
      <c r="R647" s="605">
        <v>5202</v>
      </c>
      <c r="S647" s="606">
        <v>11</v>
      </c>
      <c r="T647" s="606">
        <v>76</v>
      </c>
      <c r="U647" s="607"/>
    </row>
    <row r="648">
      <c r="A648" s="564"/>
      <c r="B648" s="565" t="s">
        <v>331</v>
      </c>
      <c r="C648" s="541" t="s">
        <v>344</v>
      </c>
      <c r="D648" s="541">
        <f t="shared" si="80"/>
      </c>
      <c r="E648" s="580">
        <v>979.12</v>
      </c>
      <c r="F648" s="580">
        <v>2889.0099999999998</v>
      </c>
      <c r="G648" s="571">
        <v>12</v>
      </c>
      <c r="H648" s="541">
        <v>5701.959999999999</v>
      </c>
      <c r="I648" s="567">
        <f t="shared" si="110"/>
      </c>
      <c r="J648" s="567">
        <f t="shared" si="139"/>
      </c>
      <c r="K648" s="567">
        <f t="shared" si="168"/>
      </c>
      <c r="L648" s="600">
        <f t="shared" si="198"/>
      </c>
      <c r="M648" s="601">
        <f t="shared" si="228"/>
      </c>
      <c r="N648" s="602">
        <f t="shared" si="258"/>
      </c>
      <c r="O648" s="603" t="s">
        <v>325</v>
      </c>
      <c r="P648" s="604" t="s">
        <v>363</v>
      </c>
      <c r="Q648" s="605">
        <v>53930</v>
      </c>
      <c r="R648" s="605">
        <v>4329</v>
      </c>
      <c r="S648" s="606">
        <v>17</v>
      </c>
      <c r="T648" s="606">
        <v>68</v>
      </c>
      <c r="U648" s="607"/>
    </row>
    <row r="649">
      <c r="A649" s="564"/>
      <c r="B649" s="572" t="s">
        <v>330</v>
      </c>
      <c r="C649" s="572"/>
      <c r="D649" s="573">
        <f>SUM(D645:D648)</f>
      </c>
      <c r="E649" s="573">
        <f>SUM(E645:E648)</f>
      </c>
      <c r="F649" s="573">
        <f>SUM(F645:F648)</f>
      </c>
      <c r="G649" s="574">
        <f>SUM(G645:G648)</f>
      </c>
      <c r="H649" s="573">
        <f>SUM(H645:H648)</f>
      </c>
      <c r="I649" s="575">
        <f t="shared" si="110"/>
      </c>
      <c r="J649" s="576">
        <f t="shared" si="139"/>
      </c>
      <c r="K649" s="577">
        <f t="shared" si="168"/>
      </c>
      <c r="L649" s="608">
        <f t="shared" si="198"/>
      </c>
      <c r="M649" s="608">
        <f t="shared" si="228"/>
      </c>
      <c r="N649" s="609">
        <f t="shared" si="258"/>
      </c>
      <c r="O649" s="609"/>
      <c r="P649" s="609"/>
      <c r="Q649" s="574">
        <f>SUM(Q645:Q648)</f>
      </c>
      <c r="R649" s="574">
        <f>SUM(R645:R648)</f>
      </c>
      <c r="S649" s="574">
        <f>SUM(S645:S648)</f>
      </c>
      <c r="T649" s="574">
        <f>SUM(T645:T648)</f>
      </c>
      <c r="U649" s="607"/>
    </row>
    <row r="650">
      <c r="A650" s="564"/>
      <c r="B650" s="579" t="s">
        <v>338</v>
      </c>
      <c r="C650" s="541" t="s">
        <v>345</v>
      </c>
      <c r="D650" s="541">
        <f t="shared" ref="D650:D653" si="81">E650+F650</f>
      </c>
      <c r="E650" s="580">
        <v>1257.57</v>
      </c>
      <c r="F650" s="580">
        <v>3799.92</v>
      </c>
      <c r="G650" s="571">
        <v>11</v>
      </c>
      <c r="H650" s="541">
        <v>4654.920000000002</v>
      </c>
      <c r="I650" s="567">
        <f t="shared" si="110"/>
      </c>
      <c r="J650" s="567">
        <f t="shared" si="139"/>
      </c>
      <c r="K650" s="567">
        <f t="shared" si="168"/>
      </c>
      <c r="L650" s="600">
        <f t="shared" si="198"/>
      </c>
      <c r="M650" s="601">
        <f t="shared" si="228"/>
      </c>
      <c r="N650" s="602">
        <f t="shared" si="258"/>
      </c>
      <c r="O650" s="603" t="s">
        <v>325</v>
      </c>
      <c r="P650" s="604" t="s">
        <v>363</v>
      </c>
      <c r="Q650" s="610">
        <v>57221</v>
      </c>
      <c r="R650" s="610">
        <v>5226</v>
      </c>
      <c r="S650" s="611">
        <v>14</v>
      </c>
      <c r="T650" s="611">
        <v>107</v>
      </c>
      <c r="U650" s="607"/>
    </row>
    <row r="651">
      <c r="A651" s="564"/>
      <c r="B651" s="579" t="s">
        <v>338</v>
      </c>
      <c r="C651" s="541" t="s">
        <v>346</v>
      </c>
      <c r="D651" s="541">
        <f t="shared" si="81"/>
      </c>
      <c r="E651" s="570">
        <v>1244.74</v>
      </c>
      <c r="F651" s="541">
        <v>3789.89</v>
      </c>
      <c r="G651" s="571">
        <v>15</v>
      </c>
      <c r="H651" s="541">
        <v>5977.5999999999985</v>
      </c>
      <c r="I651" s="567">
        <f t="shared" si="110"/>
      </c>
      <c r="J651" s="567">
        <f t="shared" si="139"/>
      </c>
      <c r="K651" s="567">
        <f t="shared" si="168"/>
      </c>
      <c r="L651" s="600">
        <f t="shared" si="198"/>
      </c>
      <c r="M651" s="601">
        <f t="shared" si="228"/>
      </c>
      <c r="N651" s="602">
        <f t="shared" si="258"/>
      </c>
      <c r="O651" s="603" t="s">
        <v>325</v>
      </c>
      <c r="P651" s="604" t="s">
        <v>363</v>
      </c>
      <c r="Q651" s="610">
        <v>60931</v>
      </c>
      <c r="R651" s="610">
        <v>5377</v>
      </c>
      <c r="S651" s="611">
        <v>26</v>
      </c>
      <c r="T651" s="611">
        <v>114</v>
      </c>
      <c r="U651" s="607"/>
    </row>
    <row r="652">
      <c r="A652" s="564"/>
      <c r="B652" s="579" t="s">
        <v>338</v>
      </c>
      <c r="C652" s="541" t="s">
        <v>347</v>
      </c>
      <c r="D652" s="541">
        <f t="shared" si="81"/>
      </c>
      <c r="E652" s="570">
        <v>567.51</v>
      </c>
      <c r="F652" s="541">
        <v>2263.21</v>
      </c>
      <c r="G652" s="571">
        <v>6</v>
      </c>
      <c r="H652" s="541">
        <v>1290.239999999998</v>
      </c>
      <c r="I652" s="567">
        <f t="shared" si="110"/>
      </c>
      <c r="J652" s="567">
        <f t="shared" si="139"/>
      </c>
      <c r="K652" s="567">
        <f t="shared" si="168"/>
      </c>
      <c r="L652" s="600">
        <f t="shared" si="198"/>
      </c>
      <c r="M652" s="601">
        <f t="shared" si="228"/>
      </c>
      <c r="N652" s="602">
        <f t="shared" si="258"/>
      </c>
      <c r="O652" s="603" t="s">
        <v>325</v>
      </c>
      <c r="P652" s="604" t="s">
        <v>363</v>
      </c>
      <c r="Q652" s="610">
        <v>33264</v>
      </c>
      <c r="R652" s="610">
        <v>3370</v>
      </c>
      <c r="S652" s="611">
        <v>12</v>
      </c>
      <c r="T652" s="611">
        <v>46</v>
      </c>
      <c r="U652" s="607"/>
    </row>
    <row r="653">
      <c r="A653" s="564"/>
      <c r="B653" s="579" t="s">
        <v>338</v>
      </c>
      <c r="C653" s="541" t="s">
        <v>348</v>
      </c>
      <c r="D653" s="541">
        <f t="shared" si="81"/>
      </c>
      <c r="E653" s="541">
        <v>576.2</v>
      </c>
      <c r="F653" s="541">
        <v>2472.19</v>
      </c>
      <c r="G653" s="566">
        <v>6</v>
      </c>
      <c r="H653" s="580">
        <v>3102</v>
      </c>
      <c r="I653" s="567">
        <f t="shared" si="110"/>
      </c>
      <c r="J653" s="567">
        <f t="shared" si="139"/>
      </c>
      <c r="K653" s="567">
        <f t="shared" si="168"/>
      </c>
      <c r="L653" s="600">
        <f t="shared" si="198"/>
      </c>
      <c r="M653" s="601">
        <f t="shared" si="228"/>
      </c>
      <c r="N653" s="602">
        <f t="shared" si="258"/>
      </c>
      <c r="O653" s="603" t="s">
        <v>325</v>
      </c>
      <c r="P653" s="604" t="s">
        <v>363</v>
      </c>
      <c r="Q653" s="610">
        <v>30300</v>
      </c>
      <c r="R653" s="610">
        <v>4287</v>
      </c>
      <c r="S653" s="611">
        <v>15</v>
      </c>
      <c r="T653" s="611">
        <v>56</v>
      </c>
      <c r="U653" s="607"/>
    </row>
    <row r="654">
      <c r="A654" s="564"/>
      <c r="B654" s="572" t="s">
        <v>330</v>
      </c>
      <c r="C654" s="572"/>
      <c r="D654" s="573">
        <f>SUM(D650:D653)</f>
      </c>
      <c r="E654" s="573">
        <f>SUM(E650:E653)</f>
      </c>
      <c r="F654" s="573">
        <f>SUM(F650:F653)</f>
      </c>
      <c r="G654" s="574">
        <f>SUM(G650:G653)</f>
      </c>
      <c r="H654" s="573">
        <f>SUM(H650:H653)</f>
      </c>
      <c r="I654" s="575">
        <f t="shared" si="110"/>
      </c>
      <c r="J654" s="576">
        <f t="shared" si="139"/>
      </c>
      <c r="K654" s="577">
        <f t="shared" si="168"/>
      </c>
      <c r="L654" s="608">
        <f t="shared" si="198"/>
      </c>
      <c r="M654" s="608">
        <f t="shared" si="228"/>
      </c>
      <c r="N654" s="609">
        <f t="shared" si="258"/>
      </c>
      <c r="O654" s="609"/>
      <c r="P654" s="609"/>
      <c r="Q654" s="574">
        <f>SUM(Q650:Q653)</f>
      </c>
      <c r="R654" s="574">
        <f>SUM(R650:R653)</f>
      </c>
      <c r="S654" s="574">
        <f>SUM(S650:S653)</f>
      </c>
      <c r="T654" s="574">
        <f>SUM(T650:T653)</f>
      </c>
      <c r="U654" s="607"/>
    </row>
    <row r="655">
      <c r="A655" s="564"/>
      <c r="B655" s="612" t="s">
        <v>360</v>
      </c>
      <c r="C655" s="541" t="s">
        <v>349</v>
      </c>
      <c r="D655" s="541">
        <f>E655+F655</f>
      </c>
      <c r="E655" s="541">
        <v>215.82999999999998</v>
      </c>
      <c r="F655" s="541">
        <v>2438.75</v>
      </c>
      <c r="G655" s="571">
        <v>2</v>
      </c>
      <c r="H655" s="541">
        <v>892.8000000000029</v>
      </c>
      <c r="I655" s="567">
        <f t="shared" si="110"/>
      </c>
      <c r="J655" s="567">
        <f t="shared" si="139"/>
      </c>
      <c r="K655" s="567">
        <f t="shared" si="168"/>
      </c>
      <c r="L655" s="600">
        <f t="shared" si="198"/>
      </c>
      <c r="M655" s="601">
        <f t="shared" si="228"/>
      </c>
      <c r="N655" s="602">
        <f t="shared" si="258"/>
      </c>
      <c r="O655" s="603" t="s">
        <v>325</v>
      </c>
      <c r="P655" s="604" t="s">
        <v>363</v>
      </c>
      <c r="Q655" s="610">
        <v>27884</v>
      </c>
      <c r="R655" s="610">
        <v>4601</v>
      </c>
      <c r="S655" s="611">
        <v>5</v>
      </c>
      <c r="T655" s="611">
        <v>46</v>
      </c>
      <c r="U655" s="607"/>
    </row>
    <row r="656">
      <c r="A656" s="564"/>
      <c r="B656" s="572" t="s">
        <v>330</v>
      </c>
      <c r="C656" s="572"/>
      <c r="D656" s="573">
        <f>SUM(D655)</f>
      </c>
      <c r="E656" s="573">
        <f>SUM(E655)</f>
      </c>
      <c r="F656" s="573">
        <f>SUM(F655)</f>
      </c>
      <c r="G656" s="574">
        <f>SUM(G655)</f>
      </c>
      <c r="H656" s="573">
        <f>SUM(H655)</f>
      </c>
      <c r="I656" s="575">
        <f t="shared" si="110"/>
      </c>
      <c r="J656" s="576">
        <f t="shared" si="139"/>
      </c>
      <c r="K656" s="577">
        <f t="shared" si="168"/>
      </c>
      <c r="L656" s="608">
        <f t="shared" si="198"/>
      </c>
      <c r="M656" s="608">
        <f t="shared" si="228"/>
      </c>
      <c r="N656" s="609">
        <f t="shared" si="258"/>
      </c>
      <c r="O656" s="609"/>
      <c r="P656" s="609"/>
      <c r="Q656" s="574">
        <f>SUM(Q655)</f>
      </c>
      <c r="R656" s="574">
        <f>SUM(R655)</f>
      </c>
      <c r="S656" s="574">
        <f>SUM(S655)</f>
      </c>
      <c r="T656" s="574">
        <f>SUM(T655)</f>
      </c>
      <c r="U656" s="607"/>
    </row>
    <row r="657">
      <c r="A657" s="564"/>
      <c r="B657" s="581" t="s">
        <v>336</v>
      </c>
      <c r="C657" s="581"/>
      <c r="D657" s="582">
        <f>D649+D654+D656</f>
      </c>
      <c r="E657" s="582">
        <f>E649+E654+E656</f>
      </c>
      <c r="F657" s="582">
        <f>F649+F654+F656</f>
      </c>
      <c r="G657" s="613">
        <f>G649+G654+G656</f>
      </c>
      <c r="H657" s="582">
        <f>H649+H654+H656</f>
      </c>
      <c r="I657" s="584">
        <f t="shared" si="110"/>
      </c>
      <c r="J657" s="584">
        <f t="shared" si="139"/>
      </c>
      <c r="K657" s="584">
        <f t="shared" si="168"/>
      </c>
      <c r="L657" s="614">
        <f t="shared" si="198"/>
      </c>
      <c r="M657" s="614">
        <f t="shared" si="228"/>
      </c>
      <c r="N657" s="584">
        <f t="shared" si="258"/>
      </c>
      <c r="O657" s="615"/>
      <c r="P657" s="615"/>
      <c r="Q657" s="613">
        <f>Q649+Q654+Q656</f>
      </c>
      <c r="R657" s="613">
        <f>R649+R654+R656</f>
      </c>
      <c r="S657" s="613">
        <f>S649+S654+S656</f>
      </c>
      <c r="T657" s="613">
        <f>T649+T654+T656</f>
      </c>
      <c r="U657" s="607"/>
    </row>
    <row r="658">
      <c r="A658" s="607"/>
      <c r="B658" s="616"/>
      <c r="C658" s="535"/>
      <c r="D658" s="535"/>
      <c r="E658" s="617">
        <v>576.2</v>
      </c>
      <c r="F658" s="618">
        <f>F659+F660</f>
      </c>
      <c r="G658" s="619">
        <f>G659-G657</f>
      </c>
      <c r="H658" s="620">
        <f>H659-H657</f>
      </c>
      <c r="I658" s="535"/>
      <c r="J658" s="535"/>
      <c r="K658" s="535"/>
      <c r="L658" s="535"/>
      <c r="M658" s="535"/>
      <c r="N658" s="621"/>
      <c r="O658" s="621"/>
      <c r="P658" s="535"/>
      <c r="Q658" s="621">
        <v>1433</v>
      </c>
      <c r="R658" s="621">
        <v>132</v>
      </c>
      <c r="S658" s="535"/>
      <c r="T658" s="535">
        <f>T659-T657</f>
      </c>
    </row>
    <row r="659">
      <c r="A659" s="535"/>
      <c r="D659" s="622"/>
      <c r="F659" s="623">
        <v>698.13</v>
      </c>
      <c r="G659" s="624">
        <f>COUNT(B661:B925)+F662</f>
      </c>
      <c r="H659" s="625">
        <f>SUM(B661:B925)+E662</f>
      </c>
      <c r="I659" s="535"/>
      <c r="J659" s="535"/>
      <c r="K659" s="626"/>
      <c r="L659" s="535"/>
      <c r="M659" s="535"/>
      <c r="P659" s="535"/>
      <c r="Q659" s="621">
        <v>1346</v>
      </c>
      <c r="R659" s="621">
        <v>232</v>
      </c>
      <c r="S659" s="535"/>
      <c r="T659" s="539">
        <v>669</v>
      </c>
    </row>
    <row r="660">
      <c r="A660" s="535"/>
      <c r="B660" s="627" t="s">
        <v>391</v>
      </c>
      <c r="C660" s="535"/>
      <c r="D660" s="535"/>
      <c r="E660" s="535"/>
      <c r="F660" s="628">
        <v>1469.58</v>
      </c>
      <c r="G660" s="629"/>
      <c r="H660" s="630"/>
      <c r="I660" s="535"/>
      <c r="J660" s="535"/>
      <c r="K660" s="631"/>
      <c r="L660" s="632"/>
      <c r="M660" s="535"/>
      <c r="P660" s="535"/>
      <c r="Q660" s="621">
        <v>395</v>
      </c>
      <c r="R660" s="621">
        <v>36</v>
      </c>
      <c r="S660" s="539"/>
      <c r="T660" s="535"/>
    </row>
    <row r="661">
      <c r="A661" s="632"/>
      <c r="B661" s="633"/>
      <c r="C661" s="634"/>
      <c r="D661" s="635" t="s">
        <v>392</v>
      </c>
      <c r="E661" s="635" t="s">
        <v>393</v>
      </c>
      <c r="F661" s="635" t="s">
        <v>394</v>
      </c>
      <c r="G661" s="535"/>
      <c r="H661" s="630"/>
      <c r="I661" s="535"/>
      <c r="J661" s="535"/>
      <c r="K661" s="636"/>
      <c r="L661" s="535"/>
      <c r="M661" s="539"/>
      <c r="P661" s="535"/>
      <c r="Q661" s="637">
        <f>SUM(Q658:Q660)</f>
      </c>
      <c r="R661" s="637">
        <f>SUM(R658:R660)</f>
      </c>
      <c r="S661" s="539">
        <f>S662-S657</f>
      </c>
      <c r="T661" s="535"/>
    </row>
    <row r="662">
      <c r="A662" s="535"/>
      <c r="B662" s="633"/>
      <c r="C662" s="539"/>
      <c r="D662" s="638">
        <f>SUM(B661:B925)</f>
      </c>
      <c r="E662" s="639">
        <v>45910.15</v>
      </c>
      <c r="F662" s="640">
        <v>98</v>
      </c>
      <c r="G662" s="535"/>
      <c r="H662" s="535"/>
      <c r="I662" s="535"/>
      <c r="J662" s="535"/>
      <c r="K662" s="636"/>
      <c r="L662" s="535"/>
      <c r="M662" s="641"/>
      <c r="N662" s="535"/>
      <c r="O662" s="535"/>
      <c r="P662" s="535"/>
      <c r="Q662" s="637"/>
      <c r="R662" s="637"/>
      <c r="S662" s="539">
        <v>158</v>
      </c>
      <c r="T662" s="535"/>
    </row>
    <row r="663">
      <c r="A663" s="535"/>
      <c r="B663" s="642"/>
      <c r="C663" s="539"/>
      <c r="D663" s="638"/>
      <c r="E663" s="639"/>
      <c r="F663" s="640"/>
      <c r="G663" s="535"/>
      <c r="H663" s="535"/>
      <c r="I663" s="535"/>
      <c r="J663" s="535"/>
      <c r="K663" s="636"/>
      <c r="L663" s="535"/>
      <c r="M663" s="641"/>
      <c r="N663" s="535"/>
      <c r="O663" s="535"/>
      <c r="P663" s="535"/>
      <c r="Q663" s="535"/>
      <c r="R663" s="535"/>
      <c r="S663" s="539"/>
      <c r="T663" s="535"/>
    </row>
    <row r="664">
      <c r="A664" s="535"/>
      <c r="B664" s="643"/>
      <c r="C664" s="539"/>
      <c r="D664" s="638"/>
      <c r="E664" s="639"/>
      <c r="F664" s="640"/>
      <c r="G664" s="535"/>
      <c r="H664" s="535"/>
      <c r="I664" s="535"/>
      <c r="J664" s="535"/>
      <c r="K664" s="636"/>
      <c r="L664" s="535"/>
      <c r="M664" s="641"/>
      <c r="N664" s="535"/>
      <c r="O664" s="535"/>
      <c r="P664" s="535"/>
      <c r="Q664" s="535"/>
      <c r="R664" s="535"/>
      <c r="S664" s="539"/>
      <c r="T664" s="535"/>
    </row>
    <row r="665">
      <c r="A665" s="535"/>
      <c r="B665" s="642"/>
      <c r="C665" s="539"/>
      <c r="D665" s="638"/>
      <c r="E665" s="639"/>
      <c r="F665" s="640"/>
      <c r="G665" s="535"/>
      <c r="H665" s="535"/>
      <c r="I665" s="535"/>
      <c r="J665" s="535"/>
      <c r="K665" s="636"/>
      <c r="L665" s="535"/>
      <c r="M665" s="641"/>
      <c r="N665" s="535"/>
      <c r="O665" s="535"/>
      <c r="P665" s="535"/>
      <c r="Q665" s="535"/>
      <c r="R665" s="535"/>
      <c r="S665" s="539"/>
      <c r="T665" s="535"/>
    </row>
    <row r="666"/>
    <row r="667"/>
    <row r="668"/>
    <row r="669"/>
    <row r="670">
      <c r="I670">
        <v>869368</v>
      </c>
      <c r="J670">
        <v>143618</v>
      </c>
      <c r="L670">
        <v>22579</v>
      </c>
      <c r="M670">
        <v>13.14</v>
      </c>
    </row>
    <row r="671">
      <c r="I671">
        <v>603006</v>
      </c>
      <c r="J671">
        <v>98632</v>
      </c>
      <c r="L671">
        <v>21242</v>
      </c>
      <c r="M671">
        <v>9.21</v>
      </c>
    </row>
    <row r="672">
      <c r="I672">
        <v>1039914</v>
      </c>
      <c r="J672">
        <v>169296</v>
      </c>
      <c r="L672">
        <v>34025</v>
      </c>
      <c r="M672">
        <v>9.37</v>
      </c>
    </row>
    <row r="673">
      <c r="F673" s="644"/>
      <c r="I673">
        <v>5289906</v>
      </c>
      <c r="J673">
        <v>837190</v>
      </c>
      <c r="L673">
        <v>116121</v>
      </c>
      <c r="M673">
        <v>9.58</v>
      </c>
    </row>
    <row r="674">
      <c r="I674">
        <v>1319116</v>
      </c>
      <c r="J674">
        <v>220909</v>
      </c>
      <c r="L674">
        <v>32848</v>
      </c>
      <c r="M674">
        <v>10.57</v>
      </c>
    </row>
    <row r="675">
      <c r="I675" s="507">
        <f>SUM(I670:I674)</f>
      </c>
      <c r="J675" s="507">
        <f>SUM(J670:J674)</f>
      </c>
      <c r="L675" s="507">
        <f>SUM(L670:L674)</f>
      </c>
      <c r="M675" s="507">
        <f>SUM(M670:M674)</f>
      </c>
      <c r="N675">
        <f>M675/5</f>
      </c>
    </row>
    <row r="676"/>
    <row r="677"/>
    <row r="678"/>
    <row r="679"/>
    <row r="680"/>
    <row r="681"/>
    <row r="682"/>
    <row r="683">
      <c r="G683">
        <v>2072125</v>
      </c>
      <c r="H683">
        <v>342482</v>
      </c>
      <c r="I683">
        <v>50309</v>
      </c>
      <c r="J683">
        <v>11.13</v>
      </c>
    </row>
    <row r="684">
      <c r="G684">
        <v>1497077</v>
      </c>
      <c r="H684">
        <v>241120</v>
      </c>
      <c r="I684">
        <v>41963</v>
      </c>
      <c r="J684">
        <v>10.46</v>
      </c>
    </row>
    <row r="685">
      <c r="G685" s="535">
        <v>1006530</v>
      </c>
      <c r="H685" s="535">
        <v>171712</v>
      </c>
      <c r="I685" s="535">
        <v>29257</v>
      </c>
      <c r="J685" s="535">
        <v>9.6</v>
      </c>
    </row>
    <row r="686">
      <c r="G686" s="535">
        <v>592029</v>
      </c>
      <c r="H686" s="535">
        <v>91539</v>
      </c>
      <c r="I686" s="535">
        <v>23922</v>
      </c>
      <c r="J686" s="535">
        <v>6.31</v>
      </c>
    </row>
    <row r="687">
      <c r="G687">
        <v>260352</v>
      </c>
      <c r="H687">
        <v>33042</v>
      </c>
      <c r="I687">
        <v>8396</v>
      </c>
      <c r="J687">
        <v>9.39</v>
      </c>
    </row>
    <row r="688">
      <c r="G688" s="507">
        <f>SUM(G683:G687)</f>
      </c>
      <c r="H688" s="507">
        <f>SUM(H683:H687)</f>
      </c>
      <c r="I688" s="507">
        <f>SUM(I683:I687)</f>
      </c>
      <c r="J688" s="507">
        <f>SUM(J683:J687)</f>
      </c>
      <c r="K688">
        <f>J688/5</f>
      </c>
    </row>
  </sheetData>
  <mergeCells>
    <mergeCell ref="B360:C360"/>
    <mergeCell ref="B356:C356"/>
    <mergeCell ref="B352:C352"/>
    <mergeCell ref="B289:C289"/>
    <mergeCell ref="B284:C284"/>
    <mergeCell ref="B282:C282"/>
    <mergeCell ref="B280:C280"/>
    <mergeCell ref="B275:C275"/>
    <mergeCell ref="B657:C657"/>
    <mergeCell ref="B656:C656"/>
    <mergeCell ref="B654:C654"/>
    <mergeCell ref="B649:C649"/>
    <mergeCell ref="A645:A657"/>
    <mergeCell ref="Q643:T643"/>
    <mergeCell ref="L643:P643"/>
    <mergeCell ref="D643:K643"/>
    <mergeCell ref="A643:C643"/>
    <mergeCell ref="B642:C642"/>
    <mergeCell ref="B641:C641"/>
    <mergeCell ref="B636:C636"/>
    <mergeCell ref="B631:C631"/>
    <mergeCell ref="B626:C626"/>
    <mergeCell ref="A622:A642"/>
    <mergeCell ref="Q620:T620"/>
    <mergeCell ref="L620:P620"/>
    <mergeCell ref="D620:K620"/>
    <mergeCell ref="A620:C620"/>
    <mergeCell ref="A604:A619"/>
    <mergeCell ref="B618:C618"/>
    <mergeCell ref="B619:C619"/>
    <mergeCell ref="B613:C613"/>
    <mergeCell ref="B608:C608"/>
    <mergeCell ref="Q602:T602"/>
    <mergeCell ref="L602:P602"/>
    <mergeCell ref="D602:K602"/>
    <mergeCell ref="A602:C602"/>
    <mergeCell ref="B580:C580"/>
    <mergeCell ref="B579:C579"/>
    <mergeCell ref="B576:C576"/>
    <mergeCell ref="A558:A580"/>
    <mergeCell ref="B555:C555"/>
    <mergeCell ref="B554:C554"/>
    <mergeCell ref="A536:A555"/>
    <mergeCell ref="B540:C540"/>
    <mergeCell ref="Q534:T534"/>
    <mergeCell ref="L534:P534"/>
    <mergeCell ref="D534:K534"/>
    <mergeCell ref="A534:C534"/>
    <mergeCell ref="Q512:T512"/>
    <mergeCell ref="L512:P512"/>
    <mergeCell ref="D512:K512"/>
    <mergeCell ref="A512:C512"/>
    <mergeCell ref="B511:C511"/>
    <mergeCell ref="B510:C510"/>
    <mergeCell ref="A497:A511"/>
    <mergeCell ref="B494:C494"/>
    <mergeCell ref="A479:A494"/>
    <mergeCell ref="B493:C493"/>
    <mergeCell ref="B484:C484"/>
    <mergeCell ref="Q477:T477"/>
    <mergeCell ref="L477:P477"/>
    <mergeCell ref="D477:K477"/>
    <mergeCell ref="A477:C477"/>
    <mergeCell ref="B476:C476"/>
    <mergeCell ref="B475:C475"/>
    <mergeCell ref="B470:C470"/>
    <mergeCell ref="B467:C467"/>
    <mergeCell ref="B462:C462"/>
    <mergeCell ref="B457:C457"/>
    <mergeCell ref="A453:A476"/>
    <mergeCell ref="Q451:T451"/>
    <mergeCell ref="L451:P451"/>
    <mergeCell ref="D451:K451"/>
    <mergeCell ref="A451:C451"/>
    <mergeCell ref="A435:A450"/>
    <mergeCell ref="B450:C450"/>
    <mergeCell ref="B449:C449"/>
    <mergeCell ref="B444:C444"/>
    <mergeCell ref="B439:C439"/>
    <mergeCell ref="Q433:T433"/>
    <mergeCell ref="L433:P433"/>
    <mergeCell ref="D433:K433"/>
    <mergeCell ref="A433:C433"/>
    <mergeCell ref="B424:C424"/>
    <mergeCell ref="A387:A407"/>
    <mergeCell ref="B406:C406"/>
    <mergeCell ref="B407:C407"/>
    <mergeCell ref="B402:C402"/>
    <mergeCell ref="B397:C397"/>
    <mergeCell ref="B392:C392"/>
    <mergeCell ref="Q385:T385"/>
    <mergeCell ref="L385:P385"/>
    <mergeCell ref="D385:K385"/>
    <mergeCell ref="A385:C385"/>
    <mergeCell ref="A324:A337"/>
    <mergeCell ref="B334:C334"/>
    <mergeCell ref="B336:C336"/>
    <mergeCell ref="B337:C337"/>
    <mergeCell ref="A271:A295"/>
    <mergeCell ref="B294:C294"/>
    <mergeCell ref="B295:C295"/>
    <mergeCell ref="A269:C269"/>
    <mergeCell ref="D269:K269"/>
    <mergeCell ref="L269:P269"/>
    <mergeCell ref="Q269:T269"/>
    <mergeCell ref="B268:C268"/>
    <mergeCell ref="B267:C267"/>
    <mergeCell ref="A246:A268"/>
    <mergeCell ref="B240:C240"/>
    <mergeCell ref="B235:C235"/>
    <mergeCell ref="A229:C229"/>
    <mergeCell ref="D229:K229"/>
    <mergeCell ref="L229:P229"/>
    <mergeCell ref="Q229:T229"/>
    <mergeCell ref="B223:C223"/>
    <mergeCell ref="A207:A228"/>
    <mergeCell ref="B228:C228"/>
    <mergeCell ref="B227:C227"/>
    <mergeCell ref="B143:C143"/>
    <mergeCell ref="B138:C138"/>
    <mergeCell ref="A132:C132"/>
    <mergeCell ref="D132:K132"/>
    <mergeCell ref="L132:P132"/>
    <mergeCell ref="Q132:T132"/>
    <mergeCell ref="B131:C131"/>
    <mergeCell ref="B130:C130"/>
    <mergeCell ref="A109:A131"/>
    <mergeCell ref="B125:C125"/>
    <mergeCell ref="B119:C119"/>
    <mergeCell ref="B114:C114"/>
    <mergeCell ref="A107:C107"/>
    <mergeCell ref="D107:K107"/>
    <mergeCell ref="L107:P107"/>
    <mergeCell ref="Q107:T107"/>
    <mergeCell ref="A87:A106"/>
    <mergeCell ref="B92:C92"/>
    <mergeCell ref="B97:C97"/>
    <mergeCell ref="B102:C102"/>
    <mergeCell ref="B105:C105"/>
    <mergeCell ref="B106:C106"/>
    <mergeCell ref="A85:C85"/>
    <mergeCell ref="D85:K85"/>
    <mergeCell ref="L85:P85"/>
    <mergeCell ref="Q85:T85"/>
    <mergeCell ref="B84:C84"/>
    <mergeCell ref="B83:C83"/>
    <mergeCell ref="B78:C78"/>
    <mergeCell ref="B73:C73"/>
    <mergeCell ref="B68:C68"/>
    <mergeCell ref="A64:A84"/>
    <mergeCell ref="A16:A36"/>
    <mergeCell ref="B35:C35"/>
    <mergeCell ref="B36:C36"/>
    <mergeCell ref="B32:C32"/>
    <mergeCell ref="B26:C26"/>
    <mergeCell ref="B21:C21"/>
    <mergeCell ref="A1:C1"/>
    <mergeCell ref="D1:K1"/>
    <mergeCell ref="L1:P1"/>
    <mergeCell ref="Q1:T1"/>
    <mergeCell ref="A3:A13"/>
    <mergeCell ref="B7:C7"/>
    <mergeCell ref="B12:C12"/>
    <mergeCell ref="B13:C13"/>
    <mergeCell ref="A14:C14"/>
    <mergeCell ref="D14:K14"/>
    <mergeCell ref="L14:P14"/>
    <mergeCell ref="Q14:T14"/>
    <mergeCell ref="B44:C44"/>
    <mergeCell ref="A37:C37"/>
    <mergeCell ref="D37:K37"/>
    <mergeCell ref="L37:P37"/>
    <mergeCell ref="Q37:T37"/>
    <mergeCell ref="B55:C55"/>
    <mergeCell ref="B50:C50"/>
    <mergeCell ref="B61:C61"/>
    <mergeCell ref="B60:C60"/>
    <mergeCell ref="A39:A61"/>
    <mergeCell ref="A62:C62"/>
    <mergeCell ref="D62:K62"/>
    <mergeCell ref="L62:P62"/>
    <mergeCell ref="Q62:T62"/>
    <mergeCell ref="A134:A155"/>
    <mergeCell ref="B151:C151"/>
    <mergeCell ref="B154:C154"/>
    <mergeCell ref="B155:C155"/>
    <mergeCell ref="B146:C146"/>
    <mergeCell ref="A156:C156"/>
    <mergeCell ref="D156:K156"/>
    <mergeCell ref="L156:P156"/>
    <mergeCell ref="Q156:T156"/>
    <mergeCell ref="B162:C162"/>
    <mergeCell ref="B167:C167"/>
    <mergeCell ref="B170:C170"/>
    <mergeCell ref="B175:C175"/>
    <mergeCell ref="B181:C181"/>
    <mergeCell ref="B180:C180"/>
    <mergeCell ref="A158:A181"/>
    <mergeCell ref="A182:C182"/>
    <mergeCell ref="D182:K182"/>
    <mergeCell ref="L182:P182"/>
    <mergeCell ref="Q182:T182"/>
    <mergeCell ref="B189:C189"/>
    <mergeCell ref="B204:C204"/>
    <mergeCell ref="B203:C203"/>
    <mergeCell ref="B198:C198"/>
    <mergeCell ref="B195:C195"/>
    <mergeCell ref="A184:A204"/>
    <mergeCell ref="A205:C205"/>
    <mergeCell ref="D205:K205"/>
    <mergeCell ref="L205:P205"/>
    <mergeCell ref="Q205:T205"/>
    <mergeCell ref="B212:C212"/>
    <mergeCell ref="B218:C218"/>
    <mergeCell ref="A231:A243"/>
    <mergeCell ref="B243:C243"/>
    <mergeCell ref="B242:C242"/>
    <mergeCell ref="A244:C244"/>
    <mergeCell ref="D244:K244"/>
    <mergeCell ref="L244:P244"/>
    <mergeCell ref="Q244:T244"/>
    <mergeCell ref="B251:C251"/>
    <mergeCell ref="B257:C257"/>
    <mergeCell ref="B262:C262"/>
    <mergeCell ref="A296:C296"/>
    <mergeCell ref="D296:K296"/>
    <mergeCell ref="L296:P296"/>
    <mergeCell ref="Q296:T296"/>
    <mergeCell ref="A298:A321"/>
    <mergeCell ref="B302:C302"/>
    <mergeCell ref="B307:C307"/>
    <mergeCell ref="B310:C310"/>
    <mergeCell ref="B315:C315"/>
    <mergeCell ref="B320:C320"/>
    <mergeCell ref="B321:C321"/>
    <mergeCell ref="A322:C322"/>
    <mergeCell ref="D322:K322"/>
    <mergeCell ref="L322:P322"/>
    <mergeCell ref="Q322:T322"/>
    <mergeCell ref="B329:C329"/>
    <mergeCell ref="A338:C338"/>
    <mergeCell ref="D338:K338"/>
    <mergeCell ref="L338:P338"/>
    <mergeCell ref="Q338:T338"/>
    <mergeCell ref="A340:A361"/>
    <mergeCell ref="B344:C344"/>
    <mergeCell ref="B349:C349"/>
    <mergeCell ref="B361:C361"/>
    <mergeCell ref="A362:C362"/>
    <mergeCell ref="D362:K362"/>
    <mergeCell ref="L362:P362"/>
    <mergeCell ref="Q362:T362"/>
    <mergeCell ref="B378:C378"/>
    <mergeCell ref="B374:C374"/>
    <mergeCell ref="B369:C369"/>
    <mergeCell ref="A364:A384"/>
    <mergeCell ref="B383:C383"/>
    <mergeCell ref="B384:C384"/>
    <mergeCell ref="Q408:T408"/>
    <mergeCell ref="L408:P408"/>
    <mergeCell ref="D408:K408"/>
    <mergeCell ref="A408:C408"/>
    <mergeCell ref="B414:C414"/>
    <mergeCell ref="B419:C419"/>
    <mergeCell ref="B427:C427"/>
    <mergeCell ref="B432:C432"/>
    <mergeCell ref="B431:C431"/>
    <mergeCell ref="A410:A432"/>
    <mergeCell ref="B490:C490"/>
    <mergeCell ref="A495:C495"/>
    <mergeCell ref="D495:K495"/>
    <mergeCell ref="L495:P495"/>
    <mergeCell ref="Q495:T495"/>
    <mergeCell ref="B501:C501"/>
    <mergeCell ref="B506:C506"/>
    <mergeCell ref="B519:C519"/>
    <mergeCell ref="B523:C523"/>
    <mergeCell ref="B533:C533"/>
    <mergeCell ref="B532:C532"/>
    <mergeCell ref="B528:C528"/>
    <mergeCell ref="A514:A533"/>
    <mergeCell ref="B544:C544"/>
    <mergeCell ref="B549:C549"/>
    <mergeCell ref="Q556:T556"/>
    <mergeCell ref="L556:P556"/>
    <mergeCell ref="D556:K556"/>
    <mergeCell ref="A556:C556"/>
    <mergeCell ref="B562:C562"/>
    <mergeCell ref="B567:C567"/>
    <mergeCell ref="B572:C572"/>
    <mergeCell ref="Q581:T581"/>
    <mergeCell ref="L581:P581"/>
    <mergeCell ref="D581:K581"/>
    <mergeCell ref="A581:C581"/>
    <mergeCell ref="B587:C587"/>
    <mergeCell ref="A583:A601"/>
    <mergeCell ref="B600:C600"/>
    <mergeCell ref="B601:C601"/>
    <mergeCell ref="B595:C595"/>
    <mergeCell ref="B592:C59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6.507042253521128"/>
    <col collapsed="false" customWidth="true" hidden="false" max="3" min="3" style="0" width="20.901408450704224"/>
    <col collapsed="false" customWidth="true" hidden="false" max="5" min="5" style="0" width="16.507042253521128"/>
    <col collapsed="false" customWidth="true" hidden="false" max="7" min="7" style="0" width="18.87323943661972"/>
    <col collapsed="false" customWidth="true" hidden="false" max="2" min="2" style="0" width="20.901408450704224"/>
    <col collapsed="false" customWidth="true" hidden="false" max="4" min="4" style="0" width="18.87323943661972"/>
    <col collapsed="false" customWidth="true" hidden="false" max="6" min="6" style="0" width="20.901408450704224"/>
    <col collapsed="false" customWidth="true" hidden="false" max="8" min="8" style="0" width="18.87323943661972"/>
  </cols>
  <sheetData>
    <row r="1">
      <c r="A1" s="645" t="s">
        <v>395</v>
      </c>
      <c r="B1" s="645" t="s">
        <v>396</v>
      </c>
      <c r="C1" s="646" t="s">
        <v>397</v>
      </c>
      <c r="D1" s="645" t="s">
        <v>398</v>
      </c>
    </row>
    <row r="2">
      <c r="A2" s="647" t="s">
        <v>399</v>
      </c>
      <c r="B2" s="647" t="s">
        <v>400</v>
      </c>
      <c r="C2" t="s">
        <v>401</v>
      </c>
      <c r="D2" s="648">
        <v>46210.51976851852</v>
      </c>
    </row>
    <row r="3">
      <c r="A3" s="647" t="s">
        <v>399</v>
      </c>
      <c r="B3" s="647" t="s">
        <v>402</v>
      </c>
      <c r="C3" t="s">
        <v>403</v>
      </c>
      <c r="D3" s="648">
        <v>46210.531863425924</v>
      </c>
    </row>
    <row r="4">
      <c r="A4" s="647" t="s">
        <v>399</v>
      </c>
      <c r="B4" s="647" t="s">
        <v>404</v>
      </c>
      <c r="C4" t="s">
        <v>405</v>
      </c>
      <c r="D4" s="648">
        <v>46210.53327546296</v>
      </c>
    </row>
    <row r="5">
      <c r="A5" s="647" t="s">
        <v>399</v>
      </c>
      <c r="B5" s="647" t="s">
        <v>406</v>
      </c>
      <c r="C5" t="s">
        <v>407</v>
      </c>
      <c r="D5" s="648">
        <v>46210.53701388889</v>
      </c>
      <c r="G5">
        <v>0.02</v>
      </c>
    </row>
    <row r="6">
      <c r="A6" s="647" t="s">
        <v>408</v>
      </c>
      <c r="B6" s="647" t="s">
        <v>409</v>
      </c>
      <c r="C6" s="647" t="s">
        <v>410</v>
      </c>
      <c r="D6" s="648">
        <v>46212.29472222222</v>
      </c>
      <c r="F6" s="649">
        <v>0.02</v>
      </c>
      <c r="G6">
        <v>0.02</v>
      </c>
    </row>
    <row r="7">
      <c r="A7" s="647" t="s">
        <v>408</v>
      </c>
      <c r="B7" s="647" t="s">
        <v>411</v>
      </c>
      <c r="C7" s="647" t="s">
        <v>412</v>
      </c>
      <c r="D7" s="648">
        <v>46212.29892361111</v>
      </c>
      <c r="E7">
        <v>486.03</v>
      </c>
      <c r="F7">
        <v>969.19</v>
      </c>
      <c r="G7">
        <v>267.72</v>
      </c>
    </row>
    <row r="8">
      <c r="A8" s="647" t="s">
        <v>408</v>
      </c>
      <c r="B8" s="647" t="s">
        <v>413</v>
      </c>
      <c r="C8" s="647" t="s">
        <v>414</v>
      </c>
      <c r="D8" s="648">
        <v>46212.300358796296</v>
      </c>
      <c r="E8">
        <v>5.11</v>
      </c>
      <c r="F8">
        <v>25.29</v>
      </c>
      <c r="G8">
        <v>3.86</v>
      </c>
    </row>
    <row r="9">
      <c r="A9" s="647" t="s">
        <v>408</v>
      </c>
      <c r="B9" s="647" t="s">
        <v>415</v>
      </c>
      <c r="C9" s="647" t="s">
        <v>416</v>
      </c>
      <c r="D9" s="648">
        <v>46212.317719907405</v>
      </c>
      <c r="E9">
        <f>E8+E7</f>
      </c>
      <c r="F9">
        <f>F8+F7+F6</f>
      </c>
      <c r="G9">
        <f>G8+G7+G6+G5</f>
      </c>
    </row>
    <row r="10">
      <c r="A10" s="647" t="s">
        <v>417</v>
      </c>
      <c r="B10" s="647" t="s">
        <v>418</v>
      </c>
      <c r="C10" s="647" t="s">
        <v>419</v>
      </c>
      <c r="D10" s="648">
        <v>46210.50491898148</v>
      </c>
    </row>
    <row r="11">
      <c r="A11" s="647" t="s">
        <v>417</v>
      </c>
      <c r="B11" s="647" t="s">
        <v>420</v>
      </c>
      <c r="C11" s="647" t="s">
        <v>421</v>
      </c>
      <c r="D11" s="650">
        <v>46210.506377314814</v>
      </c>
    </row>
    <row r="12">
      <c r="A12" s="647" t="s">
        <v>417</v>
      </c>
      <c r="B12" s="647" t="s">
        <v>422</v>
      </c>
      <c r="C12" s="647" t="s">
        <v>423</v>
      </c>
      <c r="D12" s="648">
        <v>46210.50980324074</v>
      </c>
    </row>
    <row r="13">
      <c r="A13" s="647" t="s">
        <v>424</v>
      </c>
      <c r="B13" s="647" t="s">
        <v>425</v>
      </c>
      <c r="C13" s="647" t="s">
        <v>426</v>
      </c>
      <c r="D13" s="648">
        <v>46210.92005787037</v>
      </c>
    </row>
    <row r="14">
      <c r="A14" s="647" t="s">
        <v>424</v>
      </c>
      <c r="B14" s="647" t="s">
        <v>427</v>
      </c>
      <c r="C14" s="647" t="s">
        <v>428</v>
      </c>
      <c r="D14" s="648">
        <v>46210.92005787037</v>
      </c>
      <c r="E14" s="647"/>
    </row>
    <row r="15">
      <c r="A15" s="647" t="s">
        <v>424</v>
      </c>
      <c r="B15" s="651" t="s">
        <v>429</v>
      </c>
      <c r="C15" s="647" t="s">
        <v>430</v>
      </c>
      <c r="D15" s="648">
        <v>46210.92644675926</v>
      </c>
      <c r="E15" s="647"/>
    </row>
    <row r="16">
      <c r="A16" s="647" t="s">
        <v>431</v>
      </c>
      <c r="B16" s="647" t="s">
        <v>432</v>
      </c>
      <c r="C16" s="647" t="s">
        <v>433</v>
      </c>
      <c r="D16" s="648">
        <v>46210.946608796294</v>
      </c>
      <c r="E16" s="647"/>
    </row>
    <row r="17">
      <c r="A17" s="647" t="s">
        <v>431</v>
      </c>
      <c r="B17" s="647" t="s">
        <v>434</v>
      </c>
      <c r="C17" s="647" t="s">
        <v>435</v>
      </c>
      <c r="D17" s="648">
        <v>46210.94835648148</v>
      </c>
      <c r="E17" s="647"/>
    </row>
    <row r="18">
      <c r="A18" s="647" t="s">
        <v>431</v>
      </c>
      <c r="B18" s="647" t="s">
        <v>436</v>
      </c>
      <c r="C18" s="647" t="s">
        <v>437</v>
      </c>
      <c r="D18" s="648">
        <v>46210.94892361111</v>
      </c>
    </row>
    <row r="19">
      <c r="A19" s="647" t="s">
        <v>438</v>
      </c>
      <c r="B19" s="647" t="s">
        <v>439</v>
      </c>
      <c r="C19" s="647" t="s">
        <v>440</v>
      </c>
      <c r="D19" s="648">
        <v>46211.30979166667</v>
      </c>
    </row>
    <row r="20">
      <c r="A20" s="647" t="s">
        <v>438</v>
      </c>
      <c r="B20" s="647" t="s">
        <v>441</v>
      </c>
      <c r="C20" s="647" t="s">
        <v>442</v>
      </c>
      <c r="D20" s="648">
        <v>46211.31491898148</v>
      </c>
    </row>
    <row r="21">
      <c r="A21" s="647" t="s">
        <v>438</v>
      </c>
      <c r="B21" s="647" t="s">
        <v>443</v>
      </c>
      <c r="C21" s="647" t="s">
        <v>444</v>
      </c>
      <c r="D21" s="648">
        <v>46211.31681712963</v>
      </c>
    </row>
    <row r="22">
      <c r="A22" s="647" t="s">
        <v>445</v>
      </c>
      <c r="B22" s="647" t="s">
        <v>446</v>
      </c>
      <c r="C22" s="647" t="s">
        <v>447</v>
      </c>
      <c r="D22" s="648">
        <v>46212.888032407405</v>
      </c>
      <c r="E22" s="647"/>
    </row>
    <row r="23">
      <c r="A23" s="647" t="s">
        <v>445</v>
      </c>
      <c r="B23" s="647" t="s">
        <v>448</v>
      </c>
      <c r="C23" s="647" t="s">
        <v>449</v>
      </c>
      <c r="D23" s="648">
        <v>46212.93690972222</v>
      </c>
      <c r="E23" s="647"/>
    </row>
    <row r="24">
      <c r="A24" s="647" t="s">
        <v>445</v>
      </c>
      <c r="B24" s="647" t="s">
        <v>450</v>
      </c>
      <c r="C24" s="647" t="s">
        <v>451</v>
      </c>
      <c r="D24" s="648">
        <v>46212.94559027778</v>
      </c>
      <c r="E24" s="647"/>
    </row>
    <row r="25">
      <c r="A25" s="647" t="s">
        <v>452</v>
      </c>
      <c r="B25" s="647" t="s">
        <v>453</v>
      </c>
      <c r="C25" s="647" t="s">
        <v>454</v>
      </c>
      <c r="D25" s="648">
        <v>46214.84699074074</v>
      </c>
      <c r="E25" s="647"/>
    </row>
    <row r="26">
      <c r="A26" s="647" t="s">
        <v>452</v>
      </c>
      <c r="B26" s="647" t="s">
        <v>455</v>
      </c>
      <c r="C26" s="647" t="s">
        <v>456</v>
      </c>
      <c r="D26" s="648">
        <v>46214.865011574075</v>
      </c>
      <c r="E26" s="647"/>
    </row>
    <row r="27">
      <c r="A27" s="647" t="s">
        <v>452</v>
      </c>
      <c r="B27" s="652" t="s">
        <v>457</v>
      </c>
      <c r="C27" s="647" t="s">
        <v>458</v>
      </c>
      <c r="D27" s="648">
        <v>46214.87703703704</v>
      </c>
      <c r="E27" s="647"/>
    </row>
    <row r="28">
      <c r="A28" s="647" t="s">
        <v>459</v>
      </c>
      <c r="B28" s="647" t="s">
        <v>460</v>
      </c>
      <c r="C28" s="647" t="s">
        <v>461</v>
      </c>
      <c r="D28" s="648">
        <v>46215.41049768519</v>
      </c>
      <c r="E28" s="647"/>
    </row>
    <row r="29">
      <c r="A29" s="647" t="s">
        <v>459</v>
      </c>
      <c r="B29" s="647" t="s">
        <v>462</v>
      </c>
      <c r="C29" s="647" t="s">
        <v>463</v>
      </c>
      <c r="D29" s="648">
        <v>46215.411678240744</v>
      </c>
      <c r="E29" s="647"/>
    </row>
    <row r="30">
      <c r="A30" s="647" t="s">
        <v>459</v>
      </c>
      <c r="B30" s="647" t="s">
        <v>464</v>
      </c>
      <c r="C30" s="647" t="s">
        <v>465</v>
      </c>
      <c r="D30" s="648">
        <v>46215.412569444445</v>
      </c>
      <c r="E30" s="647"/>
    </row>
    <row r="31">
      <c r="A31" s="647" t="s">
        <v>466</v>
      </c>
      <c r="B31" s="647" t="s">
        <v>467</v>
      </c>
      <c r="C31" s="647" t="s">
        <v>468</v>
      </c>
      <c r="D31" s="648">
        <v>46215.52578703704</v>
      </c>
      <c r="E31" s="647"/>
    </row>
    <row r="32">
      <c r="A32" s="647" t="s">
        <v>466</v>
      </c>
      <c r="B32" s="647" t="s">
        <v>469</v>
      </c>
      <c r="C32" s="647" t="s">
        <v>470</v>
      </c>
      <c r="D32" s="648">
        <v>46215.52763888889</v>
      </c>
      <c r="E32" s="647"/>
    </row>
    <row r="33">
      <c r="A33" s="647" t="s">
        <v>466</v>
      </c>
      <c r="B33" s="647" t="s">
        <v>471</v>
      </c>
      <c r="C33" s="647" t="s">
        <v>472</v>
      </c>
      <c r="D33" s="648">
        <v>46215.58053240741</v>
      </c>
      <c r="E33" s="647"/>
    </row>
    <row r="34">
      <c r="A34" s="647" t="s">
        <v>473</v>
      </c>
      <c r="B34" s="647" t="s">
        <v>474</v>
      </c>
      <c r="C34" s="647" t="s">
        <v>475</v>
      </c>
      <c r="D34" s="648">
        <v>46210.27585648148</v>
      </c>
      <c r="E34" s="647"/>
    </row>
    <row r="35">
      <c r="A35" s="647" t="s">
        <v>473</v>
      </c>
      <c r="B35" s="647" t="s">
        <v>476</v>
      </c>
      <c r="C35" s="647" t="s">
        <v>477</v>
      </c>
      <c r="D35" s="648">
        <v>46210.27862268518</v>
      </c>
      <c r="E35" s="647"/>
    </row>
    <row r="36">
      <c r="A36" s="647" t="s">
        <v>478</v>
      </c>
      <c r="B36" s="647" t="s">
        <v>479</v>
      </c>
      <c r="C36" s="647" t="s">
        <v>480</v>
      </c>
      <c r="D36" s="648">
        <v>46210.314884259256</v>
      </c>
      <c r="E36" s="647"/>
    </row>
    <row r="37">
      <c r="A37" s="647" t="s">
        <v>478</v>
      </c>
      <c r="B37" s="647" t="s">
        <v>481</v>
      </c>
      <c r="C37" s="647" t="s">
        <v>482</v>
      </c>
      <c r="D37" s="648">
        <v>46210.32461805556</v>
      </c>
      <c r="E37" s="647"/>
    </row>
    <row r="38">
      <c r="A38" s="647" t="s">
        <v>483</v>
      </c>
      <c r="B38" s="647" t="s">
        <v>484</v>
      </c>
      <c r="C38" s="647" t="s">
        <v>485</v>
      </c>
      <c r="D38" s="648">
        <v>46210.35108796296</v>
      </c>
      <c r="E38" s="647"/>
    </row>
    <row r="39">
      <c r="A39" s="647" t="s">
        <v>483</v>
      </c>
      <c r="B39" s="647" t="s">
        <v>486</v>
      </c>
      <c r="C39" s="647" t="s">
        <v>487</v>
      </c>
      <c r="D39" s="648">
        <v>46210.35765046296</v>
      </c>
      <c r="E39" s="647"/>
    </row>
    <row r="40">
      <c r="A40" s="647" t="s">
        <v>483</v>
      </c>
      <c r="B40" s="647" t="s">
        <v>488</v>
      </c>
      <c r="C40" s="647" t="s">
        <v>489</v>
      </c>
      <c r="D40" s="648">
        <v>46210.38773148148</v>
      </c>
      <c r="E40" s="647"/>
    </row>
    <row r="41">
      <c r="A41" s="647" t="s">
        <v>490</v>
      </c>
      <c r="B41" s="647" t="s">
        <v>491</v>
      </c>
      <c r="C41" s="647" t="s">
        <v>492</v>
      </c>
      <c r="D41" s="648">
        <v>46210.38814814815</v>
      </c>
      <c r="E41" s="647"/>
    </row>
    <row r="42">
      <c r="A42" s="647" t="s">
        <v>490</v>
      </c>
      <c r="B42" s="647" t="s">
        <v>493</v>
      </c>
      <c r="C42" s="647" t="s">
        <v>494</v>
      </c>
      <c r="D42" s="648">
        <v>46210.39712962963</v>
      </c>
      <c r="E42" s="647"/>
    </row>
    <row r="43">
      <c r="A43" s="647" t="s">
        <v>495</v>
      </c>
      <c r="B43" s="647" t="s">
        <v>496</v>
      </c>
      <c r="C43" s="647" t="s">
        <v>497</v>
      </c>
      <c r="D43" s="648">
        <v>46210.399375</v>
      </c>
      <c r="E43" s="647"/>
    </row>
    <row r="44">
      <c r="A44" s="647" t="s">
        <v>495</v>
      </c>
      <c r="B44" s="647" t="s">
        <v>498</v>
      </c>
      <c r="C44" s="647" t="s">
        <v>499</v>
      </c>
      <c r="D44" s="648">
        <v>46210.40482638889</v>
      </c>
      <c r="E44" s="647"/>
    </row>
    <row r="45">
      <c r="A45" s="647" t="s">
        <v>500</v>
      </c>
      <c r="B45" s="647" t="s">
        <v>501</v>
      </c>
      <c r="C45" s="647" t="s">
        <v>502</v>
      </c>
      <c r="D45" s="648">
        <v>46210.43038194445</v>
      </c>
      <c r="E45" s="647"/>
    </row>
    <row r="46">
      <c r="A46" s="647" t="s">
        <v>500</v>
      </c>
      <c r="B46" s="647" t="s">
        <v>503</v>
      </c>
      <c r="C46" s="647" t="s">
        <v>504</v>
      </c>
      <c r="D46" s="648">
        <v>46210.432974537034</v>
      </c>
      <c r="E46" s="647"/>
    </row>
    <row r="47">
      <c r="A47" s="647" t="s">
        <v>505</v>
      </c>
      <c r="B47" s="647" t="s">
        <v>506</v>
      </c>
      <c r="C47" s="647" t="s">
        <v>507</v>
      </c>
      <c r="D47" s="648">
        <v>46210.45689814815</v>
      </c>
      <c r="E47" s="647"/>
    </row>
    <row r="48">
      <c r="A48" s="647" t="s">
        <v>505</v>
      </c>
      <c r="B48" s="647" t="s">
        <v>508</v>
      </c>
      <c r="C48" s="647" t="s">
        <v>509</v>
      </c>
      <c r="D48" s="648">
        <v>46210.474016203705</v>
      </c>
      <c r="E48" s="647"/>
    </row>
    <row r="49">
      <c r="A49" s="647" t="s">
        <v>510</v>
      </c>
      <c r="B49" s="647" t="s">
        <v>511</v>
      </c>
      <c r="C49" s="647" t="s">
        <v>512</v>
      </c>
      <c r="D49" s="648">
        <v>46210.475011574075</v>
      </c>
      <c r="E49" s="647"/>
    </row>
    <row r="50">
      <c r="A50" s="647" t="s">
        <v>510</v>
      </c>
      <c r="B50" s="647" t="s">
        <v>513</v>
      </c>
      <c r="C50" s="647" t="s">
        <v>514</v>
      </c>
      <c r="D50" s="648">
        <v>46210.477476851855</v>
      </c>
      <c r="E50" s="647"/>
    </row>
    <row r="51">
      <c r="A51" s="647" t="s">
        <v>515</v>
      </c>
      <c r="B51" s="647" t="s">
        <v>516</v>
      </c>
      <c r="C51" s="647" t="s">
        <v>517</v>
      </c>
      <c r="D51" s="648">
        <v>46210.50672453704</v>
      </c>
      <c r="E51" s="647"/>
    </row>
    <row r="52">
      <c r="A52" s="647" t="s">
        <v>515</v>
      </c>
      <c r="B52" s="647" t="s">
        <v>518</v>
      </c>
      <c r="C52" s="647" t="s">
        <v>519</v>
      </c>
      <c r="D52" s="648">
        <v>46210.51017361111</v>
      </c>
      <c r="E52" s="647"/>
    </row>
    <row r="53">
      <c r="A53" s="647" t="s">
        <v>520</v>
      </c>
      <c r="B53" s="647" t="s">
        <v>521</v>
      </c>
      <c r="C53" s="647" t="s">
        <v>522</v>
      </c>
      <c r="D53" s="653">
        <v>46210.55034722222</v>
      </c>
      <c r="E53" s="647"/>
    </row>
    <row r="54">
      <c r="A54" s="647" t="s">
        <v>520</v>
      </c>
      <c r="B54" s="647" t="s">
        <v>523</v>
      </c>
      <c r="C54" s="647" t="s">
        <v>524</v>
      </c>
      <c r="D54" s="648">
        <v>46210.55186342593</v>
      </c>
      <c r="E54" s="647"/>
    </row>
    <row r="55">
      <c r="A55" s="647" t="s">
        <v>525</v>
      </c>
      <c r="B55" s="647" t="s">
        <v>526</v>
      </c>
      <c r="C55" s="647" t="s">
        <v>527</v>
      </c>
      <c r="D55" s="648">
        <v>46210.59322916667</v>
      </c>
      <c r="E55" s="647"/>
    </row>
    <row r="56">
      <c r="A56" s="647" t="s">
        <v>525</v>
      </c>
      <c r="B56" s="647" t="s">
        <v>528</v>
      </c>
      <c r="C56" s="647" t="s">
        <v>529</v>
      </c>
      <c r="D56" s="648">
        <v>46210.59668981482</v>
      </c>
      <c r="E56" s="647"/>
    </row>
    <row r="57">
      <c r="A57" s="647" t="s">
        <v>530</v>
      </c>
      <c r="B57" s="647" t="s">
        <v>531</v>
      </c>
      <c r="C57" s="647" t="s">
        <v>532</v>
      </c>
      <c r="D57" s="648">
        <v>46210.59824074074</v>
      </c>
      <c r="E57" s="647"/>
    </row>
    <row r="58">
      <c r="A58" s="647" t="s">
        <v>530</v>
      </c>
      <c r="B58" s="647" t="s">
        <v>533</v>
      </c>
      <c r="C58" s="647" t="s">
        <v>534</v>
      </c>
      <c r="D58" s="648">
        <v>46210.600277777776</v>
      </c>
      <c r="E58" s="647"/>
    </row>
    <row r="59">
      <c r="A59" s="647" t="s">
        <v>535</v>
      </c>
      <c r="B59" s="647" t="s">
        <v>536</v>
      </c>
      <c r="C59" s="647" t="s">
        <v>537</v>
      </c>
      <c r="D59" s="648">
        <v>46210.75908564815</v>
      </c>
      <c r="E59" s="647"/>
    </row>
    <row r="60">
      <c r="A60" s="647" t="s">
        <v>535</v>
      </c>
      <c r="B60" s="647" t="s">
        <v>538</v>
      </c>
      <c r="C60" s="647" t="s">
        <v>539</v>
      </c>
      <c r="D60" s="648">
        <v>46210.763449074075</v>
      </c>
      <c r="E60" s="647"/>
    </row>
    <row r="61">
      <c r="A61" s="647" t="s">
        <v>540</v>
      </c>
      <c r="B61" s="647" t="s">
        <v>541</v>
      </c>
      <c r="C61" s="647" t="s">
        <v>542</v>
      </c>
      <c r="D61" s="648">
        <v>46210.766388888886</v>
      </c>
      <c r="E61" s="647"/>
    </row>
    <row r="62">
      <c r="A62" s="647" t="s">
        <v>540</v>
      </c>
      <c r="B62" s="647" t="s">
        <v>543</v>
      </c>
      <c r="C62" s="647" t="s">
        <v>544</v>
      </c>
      <c r="D62" s="648">
        <v>46210.77898148148</v>
      </c>
      <c r="E62" s="647"/>
    </row>
    <row r="63">
      <c r="A63" s="647" t="s">
        <v>545</v>
      </c>
      <c r="B63" s="647" t="s">
        <v>546</v>
      </c>
      <c r="C63" s="647" t="s">
        <v>547</v>
      </c>
      <c r="D63" s="648">
        <v>46210.793587962966</v>
      </c>
      <c r="E63" s="647"/>
    </row>
    <row r="64">
      <c r="A64" s="647" t="s">
        <v>545</v>
      </c>
      <c r="B64" s="647" t="s">
        <v>548</v>
      </c>
      <c r="C64" s="647" t="s">
        <v>549</v>
      </c>
      <c r="D64" s="648">
        <v>46210.79825231482</v>
      </c>
      <c r="E64" s="647"/>
    </row>
    <row r="65">
      <c r="A65" s="647" t="s">
        <v>550</v>
      </c>
      <c r="B65" s="647" t="s">
        <v>551</v>
      </c>
      <c r="C65" s="647" t="s">
        <v>552</v>
      </c>
      <c r="D65" s="648">
        <v>46211.00030092592</v>
      </c>
      <c r="E65" s="647"/>
    </row>
    <row r="66">
      <c r="A66" s="647" t="s">
        <v>550</v>
      </c>
      <c r="B66" s="647" t="s">
        <v>553</v>
      </c>
      <c r="C66" s="647" t="s">
        <v>554</v>
      </c>
      <c r="D66" s="648">
        <v>46211.000752314816</v>
      </c>
      <c r="E66" s="647"/>
    </row>
    <row r="67">
      <c r="A67" s="647" t="s">
        <v>555</v>
      </c>
      <c r="B67" s="647" t="s">
        <v>556</v>
      </c>
      <c r="C67" s="647" t="s">
        <v>557</v>
      </c>
      <c r="D67" s="648">
        <v>46211.257893518516</v>
      </c>
      <c r="E67" s="647"/>
    </row>
    <row r="68">
      <c r="A68" s="647" t="s">
        <v>555</v>
      </c>
      <c r="B68" s="647" t="s">
        <v>558</v>
      </c>
      <c r="C68" s="647" t="s">
        <v>559</v>
      </c>
      <c r="D68" s="648">
        <v>46211.26047453703</v>
      </c>
      <c r="E68" s="647"/>
    </row>
    <row r="69">
      <c r="A69" s="647" t="s">
        <v>560</v>
      </c>
      <c r="B69" s="647" t="s">
        <v>561</v>
      </c>
      <c r="C69" s="647" t="s">
        <v>562</v>
      </c>
      <c r="D69" s="648">
        <v>46211.265185185184</v>
      </c>
      <c r="E69" s="647"/>
    </row>
    <row r="70">
      <c r="A70" s="654" t="s">
        <v>560</v>
      </c>
      <c r="B70" s="647" t="s">
        <v>563</v>
      </c>
      <c r="C70" s="652" t="s">
        <v>564</v>
      </c>
      <c r="D70" s="648">
        <v>46211.273668981485</v>
      </c>
      <c r="E70" s="647"/>
    </row>
    <row r="71">
      <c r="A71" s="647" t="s">
        <v>565</v>
      </c>
      <c r="B71" s="647" t="s">
        <v>566</v>
      </c>
      <c r="C71" s="647" t="s">
        <v>567</v>
      </c>
      <c r="D71" s="648">
        <v>46211.268645833334</v>
      </c>
      <c r="E71" s="647"/>
    </row>
    <row r="72">
      <c r="A72" s="647" t="s">
        <v>565</v>
      </c>
      <c r="B72" s="647" t="s">
        <v>568</v>
      </c>
      <c r="C72" s="647" t="s">
        <v>569</v>
      </c>
      <c r="D72" s="648">
        <v>46211.272210648145</v>
      </c>
      <c r="E72" s="647"/>
    </row>
    <row r="73">
      <c r="A73" s="647" t="s">
        <v>570</v>
      </c>
      <c r="B73" s="647" t="s">
        <v>571</v>
      </c>
      <c r="C73" s="647" t="s">
        <v>572</v>
      </c>
      <c r="D73" s="648">
        <v>46211.28114583333</v>
      </c>
      <c r="E73" s="647"/>
    </row>
    <row r="74">
      <c r="A74" s="647" t="s">
        <v>570</v>
      </c>
      <c r="B74" s="647" t="s">
        <v>573</v>
      </c>
      <c r="C74" s="647" t="s">
        <v>574</v>
      </c>
      <c r="D74" s="648">
        <v>46211.28282407407</v>
      </c>
      <c r="E74" s="647"/>
    </row>
    <row r="75">
      <c r="A75" s="647" t="s">
        <v>575</v>
      </c>
      <c r="B75" s="647" t="s">
        <v>576</v>
      </c>
      <c r="C75" s="647" t="s">
        <v>577</v>
      </c>
      <c r="D75" s="648">
        <v>46211.284837962965</v>
      </c>
      <c r="E75" s="647"/>
    </row>
    <row r="76">
      <c r="A76" s="647" t="s">
        <v>575</v>
      </c>
      <c r="B76" s="647" t="s">
        <v>578</v>
      </c>
      <c r="C76" s="652" t="s">
        <v>579</v>
      </c>
      <c r="D76" s="648">
        <v>46211.285775462966</v>
      </c>
      <c r="E76" s="647"/>
    </row>
    <row r="77">
      <c r="A77" s="647" t="s">
        <v>580</v>
      </c>
      <c r="B77" s="647" t="s">
        <v>581</v>
      </c>
      <c r="C77" s="647" t="s">
        <v>582</v>
      </c>
      <c r="D77" s="648">
        <v>46211.345925925925</v>
      </c>
      <c r="E77" s="647"/>
      <c r="F77" s="647"/>
    </row>
    <row r="78">
      <c r="A78" s="647" t="s">
        <v>580</v>
      </c>
      <c r="B78" s="647" t="s">
        <v>583</v>
      </c>
      <c r="C78" s="647" t="s">
        <v>584</v>
      </c>
      <c r="D78" s="648">
        <v>46211.37299768518</v>
      </c>
      <c r="E78" s="647"/>
      <c r="F78" s="647"/>
    </row>
    <row r="79">
      <c r="A79" s="647" t="s">
        <v>585</v>
      </c>
      <c r="B79" s="647" t="s">
        <v>586</v>
      </c>
      <c r="C79" s="647" t="s">
        <v>587</v>
      </c>
      <c r="D79" s="653">
        <v>46211.34787037037</v>
      </c>
      <c r="E79" s="647"/>
      <c r="F79" s="647"/>
    </row>
    <row r="80">
      <c r="A80" s="647" t="s">
        <v>585</v>
      </c>
      <c r="B80" s="647" t="s">
        <v>588</v>
      </c>
      <c r="C80" s="652" t="s">
        <v>589</v>
      </c>
      <c r="D80" s="648">
        <v>46211.35290509259</v>
      </c>
      <c r="E80" s="647"/>
      <c r="F80" s="647"/>
    </row>
    <row r="81">
      <c r="A81" s="647" t="s">
        <v>590</v>
      </c>
      <c r="B81" s="647" t="s">
        <v>591</v>
      </c>
      <c r="C81" s="647" t="s">
        <v>592</v>
      </c>
      <c r="D81" s="648">
        <v>46211.44383101852</v>
      </c>
      <c r="E81" s="647"/>
      <c r="F81" s="647"/>
    </row>
    <row r="82">
      <c r="A82" s="647" t="s">
        <v>590</v>
      </c>
      <c r="B82" s="647" t="s">
        <v>593</v>
      </c>
      <c r="C82" s="647" t="s">
        <v>594</v>
      </c>
      <c r="D82" s="648">
        <v>46211.444699074076</v>
      </c>
      <c r="E82" s="647"/>
      <c r="F82" s="647"/>
    </row>
    <row r="83">
      <c r="A83" s="647" t="s">
        <v>595</v>
      </c>
      <c r="B83" s="647" t="s">
        <v>596</v>
      </c>
      <c r="C83" s="647" t="s">
        <v>597</v>
      </c>
      <c r="D83" s="648">
        <v>46211.44625</v>
      </c>
      <c r="E83" s="647"/>
      <c r="F83" s="647"/>
    </row>
    <row r="84">
      <c r="A84" s="647" t="s">
        <v>595</v>
      </c>
      <c r="B84" s="647" t="s">
        <v>598</v>
      </c>
      <c r="C84" s="647" t="s">
        <v>599</v>
      </c>
      <c r="D84" s="648">
        <v>46211.44892361111</v>
      </c>
      <c r="E84" s="647"/>
      <c r="F84" s="647"/>
    </row>
    <row r="85">
      <c r="A85" s="647" t="s">
        <v>600</v>
      </c>
      <c r="B85" s="647" t="s">
        <v>601</v>
      </c>
      <c r="C85" s="647" t="s">
        <v>602</v>
      </c>
      <c r="D85" s="648">
        <v>46211.496886574074</v>
      </c>
      <c r="E85" s="647"/>
    </row>
    <row r="86">
      <c r="A86" s="647" t="s">
        <v>600</v>
      </c>
      <c r="B86" s="647" t="s">
        <v>603</v>
      </c>
      <c r="C86" s="647" t="s">
        <v>604</v>
      </c>
      <c r="D86" s="648">
        <v>46211.505277777775</v>
      </c>
      <c r="E86" s="647"/>
    </row>
    <row r="87">
      <c r="A87" s="647" t="s">
        <v>605</v>
      </c>
      <c r="B87" s="647" t="s">
        <v>606</v>
      </c>
      <c r="C87" s="647" t="s">
        <v>607</v>
      </c>
      <c r="D87" s="648">
        <v>46211.517847222225</v>
      </c>
      <c r="E87" s="647"/>
    </row>
    <row r="88">
      <c r="A88" s="647" t="s">
        <v>605</v>
      </c>
      <c r="B88" s="647" t="s">
        <v>608</v>
      </c>
      <c r="C88" s="647" t="s">
        <v>609</v>
      </c>
      <c r="D88" s="648">
        <v>46211.52001157407</v>
      </c>
      <c r="E88" s="647"/>
    </row>
    <row r="89">
      <c r="A89" s="647" t="s">
        <v>610</v>
      </c>
      <c r="B89" s="647" t="s">
        <v>611</v>
      </c>
      <c r="C89" s="647" t="s">
        <v>612</v>
      </c>
      <c r="D89" s="648">
        <v>46211.58221064815</v>
      </c>
      <c r="E89" s="647"/>
    </row>
    <row r="90">
      <c r="A90" s="647" t="s">
        <v>610</v>
      </c>
      <c r="B90" s="647" t="s">
        <v>613</v>
      </c>
      <c r="C90" s="647" t="s">
        <v>614</v>
      </c>
      <c r="D90" s="648">
        <v>46211.602534722224</v>
      </c>
      <c r="E90" s="647"/>
    </row>
    <row r="91">
      <c r="A91" s="647" t="s">
        <v>615</v>
      </c>
      <c r="B91" s="647" t="s">
        <v>616</v>
      </c>
      <c r="C91" s="647" t="s">
        <v>617</v>
      </c>
      <c r="D91" s="648">
        <v>46211.635879629626</v>
      </c>
      <c r="E91" s="647"/>
    </row>
    <row r="92">
      <c r="A92" s="647" t="s">
        <v>615</v>
      </c>
      <c r="B92" s="647" t="s">
        <v>618</v>
      </c>
      <c r="C92" s="647" t="s">
        <v>619</v>
      </c>
      <c r="D92" s="648">
        <v>46211.637604166666</v>
      </c>
      <c r="E92" s="647"/>
    </row>
    <row r="93">
      <c r="A93" s="647" t="s">
        <v>620</v>
      </c>
      <c r="B93" s="647" t="s">
        <v>621</v>
      </c>
      <c r="C93" s="647" t="s">
        <v>622</v>
      </c>
      <c r="D93" s="648">
        <v>46211.68115740741</v>
      </c>
      <c r="E93" s="647"/>
    </row>
    <row r="94">
      <c r="A94" s="647" t="s">
        <v>620</v>
      </c>
      <c r="B94" s="647" t="s">
        <v>623</v>
      </c>
      <c r="C94" s="647" t="s">
        <v>624</v>
      </c>
      <c r="D94" s="648">
        <v>46211.69577546296</v>
      </c>
      <c r="E94" s="647"/>
    </row>
    <row r="95">
      <c r="A95" s="647" t="s">
        <v>620</v>
      </c>
      <c r="B95" s="647" t="s">
        <v>625</v>
      </c>
      <c r="C95" s="647" t="s">
        <v>626</v>
      </c>
      <c r="D95" s="648">
        <v>46211.69834490741</v>
      </c>
      <c r="E95" s="647"/>
    </row>
    <row r="96">
      <c r="A96" s="647" t="s">
        <v>627</v>
      </c>
      <c r="B96" s="647" t="s">
        <v>628</v>
      </c>
      <c r="C96" s="647" t="s">
        <v>629</v>
      </c>
      <c r="D96" s="648">
        <v>46211.692349537036</v>
      </c>
      <c r="E96" s="647"/>
    </row>
    <row r="97">
      <c r="A97" s="647" t="s">
        <v>627</v>
      </c>
      <c r="B97" s="647" t="s">
        <v>630</v>
      </c>
      <c r="C97" s="647" t="s">
        <v>631</v>
      </c>
      <c r="D97" s="648">
        <v>46211.694340277776</v>
      </c>
      <c r="E97" s="647"/>
    </row>
    <row r="98">
      <c r="A98" s="647" t="s">
        <v>632</v>
      </c>
      <c r="B98" s="647" t="s">
        <v>633</v>
      </c>
      <c r="C98" s="647" t="s">
        <v>634</v>
      </c>
      <c r="D98" s="648">
        <v>46211.69314814815</v>
      </c>
      <c r="E98" s="647"/>
    </row>
    <row r="99">
      <c r="A99" s="647" t="s">
        <v>632</v>
      </c>
      <c r="B99" s="647" t="s">
        <v>635</v>
      </c>
      <c r="C99" s="647" t="s">
        <v>636</v>
      </c>
      <c r="D99" s="648">
        <v>46211.697696759256</v>
      </c>
      <c r="E99" s="647"/>
    </row>
    <row r="100">
      <c r="A100" s="647" t="s">
        <v>637</v>
      </c>
      <c r="B100" s="647" t="s">
        <v>638</v>
      </c>
      <c r="C100" s="647" t="s">
        <v>639</v>
      </c>
      <c r="D100" s="648">
        <v>46211.72918981482</v>
      </c>
      <c r="E100" s="647"/>
    </row>
    <row r="101">
      <c r="A101" s="647" t="s">
        <v>637</v>
      </c>
      <c r="B101" s="647" t="s">
        <v>640</v>
      </c>
      <c r="C101" s="647" t="s">
        <v>641</v>
      </c>
      <c r="D101" s="648">
        <v>46211.732986111114</v>
      </c>
      <c r="E101" s="647"/>
    </row>
    <row r="102">
      <c r="A102" s="647" t="s">
        <v>642</v>
      </c>
      <c r="B102" s="647" t="s">
        <v>643</v>
      </c>
      <c r="C102" s="647" t="s">
        <v>644</v>
      </c>
      <c r="D102" s="648">
        <v>46211.9119212963</v>
      </c>
      <c r="E102" s="647"/>
    </row>
    <row r="103">
      <c r="A103" s="647" t="s">
        <v>642</v>
      </c>
      <c r="B103" s="647" t="s">
        <v>645</v>
      </c>
      <c r="C103" s="647" t="s">
        <v>646</v>
      </c>
      <c r="D103" s="648">
        <v>46211.91247685185</v>
      </c>
      <c r="E103" s="647"/>
    </row>
    <row r="104">
      <c r="A104" s="647" t="s">
        <v>647</v>
      </c>
      <c r="B104" s="647" t="s">
        <v>648</v>
      </c>
      <c r="C104" s="647" t="s">
        <v>649</v>
      </c>
      <c r="D104" s="648">
        <v>46212.26157407407</v>
      </c>
      <c r="E104" s="647"/>
    </row>
    <row r="105">
      <c r="A105" s="647" t="s">
        <v>647</v>
      </c>
      <c r="B105" s="647" t="s">
        <v>650</v>
      </c>
      <c r="C105" s="647" t="s">
        <v>651</v>
      </c>
      <c r="D105" s="648">
        <v>46212.267592592594</v>
      </c>
      <c r="E105" s="647"/>
    </row>
    <row r="106">
      <c r="A106" s="647" t="s">
        <v>652</v>
      </c>
      <c r="B106" s="647" t="s">
        <v>653</v>
      </c>
      <c r="C106" s="647" t="s">
        <v>654</v>
      </c>
      <c r="D106" s="648">
        <v>46212.27358796296</v>
      </c>
      <c r="E106" s="647"/>
    </row>
    <row r="107">
      <c r="A107" s="647" t="s">
        <v>652</v>
      </c>
      <c r="B107" s="647" t="s">
        <v>655</v>
      </c>
      <c r="C107" s="647" t="s">
        <v>656</v>
      </c>
      <c r="D107" s="648">
        <v>46212.28135416667</v>
      </c>
      <c r="E107" s="647"/>
    </row>
    <row r="108">
      <c r="A108" s="647" t="s">
        <v>657</v>
      </c>
      <c r="B108" s="647" t="s">
        <v>658</v>
      </c>
      <c r="C108" s="647" t="s">
        <v>659</v>
      </c>
      <c r="D108" s="648">
        <v>46212.34321759259</v>
      </c>
      <c r="E108" s="647"/>
    </row>
    <row r="109">
      <c r="A109" s="647" t="s">
        <v>657</v>
      </c>
      <c r="B109" s="647" t="s">
        <v>660</v>
      </c>
      <c r="C109" s="647" t="s">
        <v>661</v>
      </c>
      <c r="D109" s="648">
        <v>46212.344675925924</v>
      </c>
      <c r="E109" s="647"/>
    </row>
    <row r="110">
      <c r="A110" s="647" t="s">
        <v>662</v>
      </c>
      <c r="B110" s="647" t="s">
        <v>663</v>
      </c>
      <c r="C110" s="647" t="s">
        <v>664</v>
      </c>
      <c r="D110" s="648">
        <v>46212.526875</v>
      </c>
      <c r="E110" s="647"/>
    </row>
    <row r="111">
      <c r="A111" s="647" t="s">
        <v>662</v>
      </c>
      <c r="B111" s="647" t="s">
        <v>665</v>
      </c>
      <c r="C111" s="647" t="s">
        <v>666</v>
      </c>
      <c r="D111" s="648">
        <v>46212.52782407407</v>
      </c>
      <c r="E111" s="647"/>
    </row>
    <row r="112">
      <c r="A112" s="647" t="s">
        <v>667</v>
      </c>
      <c r="B112" s="647" t="s">
        <v>668</v>
      </c>
      <c r="C112" s="647" t="s">
        <v>669</v>
      </c>
      <c r="D112" s="650">
        <v>46212.56989583333</v>
      </c>
      <c r="E112" s="647"/>
    </row>
    <row r="113">
      <c r="A113" s="647" t="s">
        <v>667</v>
      </c>
      <c r="B113" s="647" t="s">
        <v>670</v>
      </c>
      <c r="C113" s="647" t="s">
        <v>671</v>
      </c>
      <c r="D113" s="648">
        <v>46212.69393518518</v>
      </c>
      <c r="E113" s="647"/>
    </row>
    <row r="114">
      <c r="A114" s="647" t="s">
        <v>672</v>
      </c>
      <c r="B114" s="647" t="s">
        <v>673</v>
      </c>
      <c r="C114" s="647" t="s">
        <v>674</v>
      </c>
      <c r="D114" s="648">
        <v>46212.85622685185</v>
      </c>
      <c r="E114" s="647"/>
    </row>
    <row r="115">
      <c r="A115" s="647" t="s">
        <v>672</v>
      </c>
      <c r="B115" s="647" t="s">
        <v>675</v>
      </c>
      <c r="C115" s="647" t="s">
        <v>676</v>
      </c>
      <c r="D115" s="653">
        <v>46212.85748842593</v>
      </c>
      <c r="E115" s="647"/>
    </row>
    <row r="116">
      <c r="A116" s="647" t="s">
        <v>677</v>
      </c>
      <c r="B116" s="647" t="s">
        <v>678</v>
      </c>
      <c r="C116" s="647" t="s">
        <v>679</v>
      </c>
      <c r="D116" s="648">
        <v>46212.941979166666</v>
      </c>
      <c r="E116" s="647"/>
    </row>
    <row r="117">
      <c r="A117" s="647" t="s">
        <v>677</v>
      </c>
      <c r="B117" s="647" t="s">
        <v>680</v>
      </c>
      <c r="C117" s="647" t="s">
        <v>681</v>
      </c>
      <c r="D117" s="648">
        <v>46212.950324074074</v>
      </c>
      <c r="E117" s="647"/>
    </row>
    <row r="118">
      <c r="A118" s="647" t="s">
        <v>682</v>
      </c>
      <c r="B118" s="647" t="s">
        <v>683</v>
      </c>
      <c r="C118" s="647" t="s">
        <v>684</v>
      </c>
      <c r="D118" s="648">
        <v>46213.31895833334</v>
      </c>
      <c r="E118" s="647"/>
    </row>
    <row r="119">
      <c r="A119" s="647" t="s">
        <v>682</v>
      </c>
      <c r="B119" s="647" t="s">
        <v>685</v>
      </c>
      <c r="C119" s="647" t="s">
        <v>686</v>
      </c>
      <c r="D119" s="648">
        <v>46213.33184027778</v>
      </c>
      <c r="E119" s="647"/>
    </row>
    <row r="120">
      <c r="A120" s="647" t="s">
        <v>687</v>
      </c>
      <c r="B120" s="647" t="s">
        <v>688</v>
      </c>
      <c r="C120" s="647" t="s">
        <v>689</v>
      </c>
      <c r="D120" s="648">
        <v>46213.3368287037</v>
      </c>
      <c r="E120" s="647"/>
    </row>
    <row r="121">
      <c r="A121" s="647" t="s">
        <v>687</v>
      </c>
      <c r="B121" s="647" t="s">
        <v>690</v>
      </c>
      <c r="C121" s="647" t="s">
        <v>691</v>
      </c>
      <c r="D121" s="648">
        <v>46213.33938657407</v>
      </c>
      <c r="E121" s="647"/>
    </row>
    <row r="122">
      <c r="A122" s="647" t="s">
        <v>692</v>
      </c>
      <c r="B122" s="647" t="s">
        <v>693</v>
      </c>
      <c r="C122" s="647" t="s">
        <v>694</v>
      </c>
      <c r="D122" s="648">
        <v>46213.37935185185</v>
      </c>
      <c r="E122" s="647"/>
    </row>
    <row r="123">
      <c r="A123" s="647" t="s">
        <v>692</v>
      </c>
      <c r="B123" s="647" t="s">
        <v>695</v>
      </c>
      <c r="C123" s="647" t="s">
        <v>696</v>
      </c>
      <c r="D123" s="648">
        <v>46213.38061342593</v>
      </c>
      <c r="E123" s="647"/>
    </row>
    <row r="124">
      <c r="A124" s="647" t="s">
        <v>697</v>
      </c>
      <c r="B124" s="647" t="s">
        <v>698</v>
      </c>
      <c r="C124" s="647" t="s">
        <v>699</v>
      </c>
      <c r="D124" s="648">
        <v>46213.406273148146</v>
      </c>
      <c r="E124" s="647"/>
    </row>
    <row r="125">
      <c r="A125" s="647" t="s">
        <v>697</v>
      </c>
      <c r="B125" s="647" t="s">
        <v>700</v>
      </c>
      <c r="C125" s="647" t="s">
        <v>701</v>
      </c>
      <c r="D125" s="648">
        <v>46213.41672453703</v>
      </c>
      <c r="E125" s="647"/>
    </row>
    <row r="126">
      <c r="A126" s="647" t="s">
        <v>702</v>
      </c>
      <c r="B126" s="647" t="s">
        <v>703</v>
      </c>
      <c r="C126" s="647" t="s">
        <v>704</v>
      </c>
      <c r="D126" s="648">
        <v>46213.48780092593</v>
      </c>
      <c r="E126" s="647"/>
    </row>
    <row r="127">
      <c r="A127" s="647" t="s">
        <v>702</v>
      </c>
      <c r="B127" s="647" t="s">
        <v>705</v>
      </c>
      <c r="C127" s="647" t="s">
        <v>706</v>
      </c>
      <c r="D127" s="648">
        <v>46213.49162037037</v>
      </c>
      <c r="E127" s="647"/>
    </row>
    <row r="128">
      <c r="A128" s="647" t="s">
        <v>707</v>
      </c>
      <c r="B128" s="647" t="s">
        <v>708</v>
      </c>
      <c r="C128" s="647" t="s">
        <v>709</v>
      </c>
      <c r="D128" s="648">
        <v>46213.63267361111</v>
      </c>
      <c r="E128" s="647"/>
    </row>
    <row r="129">
      <c r="A129" s="647" t="s">
        <v>707</v>
      </c>
      <c r="B129" s="647" t="s">
        <v>710</v>
      </c>
      <c r="C129" s="647" t="s">
        <v>711</v>
      </c>
      <c r="D129" s="648">
        <v>46213.749814814815</v>
      </c>
      <c r="E129" s="647"/>
    </row>
    <row r="130">
      <c r="A130" s="647" t="s">
        <v>712</v>
      </c>
      <c r="B130" s="647" t="s">
        <v>713</v>
      </c>
      <c r="C130" s="652" t="s">
        <v>714</v>
      </c>
      <c r="D130" s="648">
        <v>46213.787835648145</v>
      </c>
      <c r="E130" s="647"/>
    </row>
    <row r="131">
      <c r="A131" s="647" t="s">
        <v>712</v>
      </c>
      <c r="B131" s="647" t="s">
        <v>715</v>
      </c>
      <c r="C131" s="647" t="s">
        <v>716</v>
      </c>
      <c r="D131" s="648">
        <v>46213.80324074074</v>
      </c>
      <c r="E131" s="647"/>
    </row>
    <row r="132">
      <c r="A132" s="647" t="s">
        <v>717</v>
      </c>
      <c r="B132" s="647" t="s">
        <v>718</v>
      </c>
      <c r="C132" s="647" t="s">
        <v>719</v>
      </c>
      <c r="D132" s="648">
        <v>46213.90972222222</v>
      </c>
      <c r="E132" s="647"/>
    </row>
    <row r="133">
      <c r="A133" s="647" t="s">
        <v>717</v>
      </c>
      <c r="B133" s="647" t="s">
        <v>720</v>
      </c>
      <c r="C133" s="647" t="s">
        <v>721</v>
      </c>
      <c r="D133" s="648">
        <v>46213.91069444444</v>
      </c>
      <c r="E133" s="647"/>
    </row>
    <row r="134">
      <c r="A134" s="647" t="s">
        <v>722</v>
      </c>
      <c r="B134" s="647" t="s">
        <v>723</v>
      </c>
      <c r="C134" s="652" t="s">
        <v>724</v>
      </c>
      <c r="D134" s="648">
        <v>46214.28523148148</v>
      </c>
      <c r="E134" s="647"/>
    </row>
    <row r="135">
      <c r="A135" s="647" t="s">
        <v>722</v>
      </c>
      <c r="B135" s="647" t="s">
        <v>725</v>
      </c>
      <c r="C135" s="647" t="s">
        <v>726</v>
      </c>
      <c r="D135" s="648">
        <v>46214.28828703704</v>
      </c>
      <c r="E135" s="647"/>
    </row>
    <row r="136">
      <c r="A136" s="647" t="s">
        <v>727</v>
      </c>
      <c r="B136" s="647" t="s">
        <v>728</v>
      </c>
      <c r="C136" s="647" t="s">
        <v>729</v>
      </c>
      <c r="D136" s="648">
        <v>46214.285729166666</v>
      </c>
      <c r="E136" s="647"/>
    </row>
    <row r="137">
      <c r="A137" s="647" t="s">
        <v>727</v>
      </c>
      <c r="B137" s="647" t="s">
        <v>730</v>
      </c>
      <c r="C137" s="647" t="s">
        <v>731</v>
      </c>
      <c r="D137" s="648">
        <v>46214.304375</v>
      </c>
      <c r="E137" s="647"/>
    </row>
    <row r="138">
      <c r="A138" s="647" t="s">
        <v>732</v>
      </c>
      <c r="B138" s="647" t="s">
        <v>733</v>
      </c>
      <c r="C138" s="647" t="s">
        <v>734</v>
      </c>
      <c r="D138" s="648">
        <v>46214.32599537037</v>
      </c>
      <c r="E138" s="647"/>
    </row>
    <row r="139">
      <c r="A139" s="647" t="s">
        <v>732</v>
      </c>
      <c r="B139" s="647" t="s">
        <v>735</v>
      </c>
      <c r="C139" s="647" t="s">
        <v>736</v>
      </c>
      <c r="D139" s="648">
        <v>46214.32962962963</v>
      </c>
      <c r="E139" s="647"/>
    </row>
    <row r="140">
      <c r="A140" s="647" t="s">
        <v>737</v>
      </c>
      <c r="B140" s="647" t="s">
        <v>738</v>
      </c>
      <c r="C140" s="647" t="s">
        <v>739</v>
      </c>
      <c r="D140" s="648">
        <v>46214.36075231482</v>
      </c>
      <c r="E140" s="647"/>
    </row>
    <row r="141">
      <c r="A141" s="647" t="s">
        <v>737</v>
      </c>
      <c r="B141" s="647" t="s">
        <v>740</v>
      </c>
      <c r="C141" s="647" t="s">
        <v>741</v>
      </c>
      <c r="D141" s="648">
        <v>46214.36732638889</v>
      </c>
      <c r="E141" s="647"/>
    </row>
    <row r="142">
      <c r="A142" s="647" t="s">
        <v>742</v>
      </c>
      <c r="B142" s="647" t="s">
        <v>743</v>
      </c>
      <c r="C142" s="647" t="s">
        <v>744</v>
      </c>
      <c r="D142" s="648">
        <v>46214.36130787037</v>
      </c>
      <c r="E142" s="647"/>
    </row>
    <row r="143">
      <c r="A143" s="647" t="s">
        <v>742</v>
      </c>
      <c r="B143" s="647" t="s">
        <v>745</v>
      </c>
      <c r="C143" s="647" t="s">
        <v>746</v>
      </c>
      <c r="D143" s="648">
        <v>46214.39030092592</v>
      </c>
      <c r="E143" s="647"/>
    </row>
    <row r="144">
      <c r="A144" s="647" t="s">
        <v>747</v>
      </c>
      <c r="B144" s="647" t="s">
        <v>748</v>
      </c>
      <c r="C144" s="647" t="s">
        <v>749</v>
      </c>
      <c r="D144" s="648">
        <v>46214.39202546296</v>
      </c>
      <c r="E144" s="647"/>
    </row>
    <row r="145">
      <c r="A145" s="647" t="s">
        <v>747</v>
      </c>
      <c r="B145" s="647" t="s">
        <v>750</v>
      </c>
      <c r="C145" s="647" t="s">
        <v>751</v>
      </c>
      <c r="D145" s="648">
        <v>46214.396886574075</v>
      </c>
      <c r="E145" s="647"/>
    </row>
    <row r="146">
      <c r="A146" s="647" t="s">
        <v>752</v>
      </c>
      <c r="B146" s="647" t="s">
        <v>753</v>
      </c>
      <c r="C146" s="647" t="s">
        <v>754</v>
      </c>
      <c r="D146" s="648">
        <v>46214.54546296296</v>
      </c>
      <c r="E146" s="647"/>
    </row>
    <row r="147">
      <c r="A147" s="647" t="s">
        <v>752</v>
      </c>
      <c r="B147" s="647" t="s">
        <v>755</v>
      </c>
      <c r="C147" s="647" t="s">
        <v>756</v>
      </c>
      <c r="D147" s="648">
        <v>46214.546631944446</v>
      </c>
      <c r="E147" s="647"/>
    </row>
    <row r="148">
      <c r="A148" s="647" t="s">
        <v>757</v>
      </c>
      <c r="B148" s="647" t="s">
        <v>758</v>
      </c>
      <c r="C148" s="647" t="s">
        <v>759</v>
      </c>
      <c r="D148" s="648">
        <v>46214.62380787037</v>
      </c>
      <c r="E148" s="647"/>
    </row>
    <row r="149">
      <c r="A149" s="647" t="s">
        <v>757</v>
      </c>
      <c r="B149" s="647" t="s">
        <v>760</v>
      </c>
      <c r="C149" s="647" t="s">
        <v>761</v>
      </c>
      <c r="D149" s="648">
        <v>46214.626597222225</v>
      </c>
      <c r="E149" s="647"/>
    </row>
    <row r="150">
      <c r="A150" s="647" t="s">
        <v>762</v>
      </c>
      <c r="B150" s="647" t="s">
        <v>763</v>
      </c>
      <c r="C150" s="647" t="s">
        <v>764</v>
      </c>
      <c r="D150" s="648">
        <v>46214.8696412037</v>
      </c>
      <c r="E150" s="647"/>
    </row>
    <row r="151">
      <c r="A151" s="647" t="s">
        <v>762</v>
      </c>
      <c r="B151" s="647" t="s">
        <v>765</v>
      </c>
      <c r="C151" s="647" t="s">
        <v>766</v>
      </c>
      <c r="D151" s="648">
        <v>46214.874340277776</v>
      </c>
      <c r="E151" s="647"/>
    </row>
    <row r="152">
      <c r="A152" s="647" t="s">
        <v>767</v>
      </c>
      <c r="B152" s="647" t="s">
        <v>768</v>
      </c>
      <c r="C152" s="647" t="s">
        <v>769</v>
      </c>
      <c r="D152" s="648">
        <v>46214.88337962963</v>
      </c>
      <c r="E152" s="647"/>
    </row>
    <row r="153">
      <c r="A153" s="647" t="s">
        <v>767</v>
      </c>
      <c r="B153" s="647" t="s">
        <v>770</v>
      </c>
      <c r="C153" s="647" t="s">
        <v>771</v>
      </c>
      <c r="D153" s="648">
        <v>46214.885034722225</v>
      </c>
      <c r="E153" s="647"/>
    </row>
    <row r="154">
      <c r="A154" s="647" t="s">
        <v>772</v>
      </c>
      <c r="B154" s="647" t="s">
        <v>773</v>
      </c>
      <c r="C154" s="647" t="s">
        <v>774</v>
      </c>
      <c r="D154" s="648">
        <v>46215.469675925924</v>
      </c>
      <c r="E154" s="647"/>
    </row>
    <row r="155">
      <c r="A155" s="647" t="s">
        <v>772</v>
      </c>
      <c r="B155" s="647" t="s">
        <v>775</v>
      </c>
      <c r="C155" s="647" t="s">
        <v>776</v>
      </c>
      <c r="D155" s="648">
        <v>46215.48201388889</v>
      </c>
      <c r="E155" s="647"/>
    </row>
    <row r="156">
      <c r="A156" s="647" t="s">
        <v>777</v>
      </c>
      <c r="B156" s="647" t="s">
        <v>778</v>
      </c>
      <c r="C156" s="647" t="s">
        <v>779</v>
      </c>
      <c r="D156" s="648">
        <v>46215.591770833336</v>
      </c>
      <c r="E156" s="647"/>
    </row>
    <row r="157">
      <c r="A157" s="647" t="s">
        <v>777</v>
      </c>
      <c r="B157" s="647" t="s">
        <v>780</v>
      </c>
      <c r="C157" s="647" t="s">
        <v>781</v>
      </c>
      <c r="D157" s="648">
        <v>46215.593194444446</v>
      </c>
      <c r="E157" s="647"/>
    </row>
    <row r="158">
      <c r="A158" s="647"/>
      <c r="B158" s="647"/>
      <c r="C158" s="647"/>
      <c r="D158" s="647"/>
      <c r="E158" s="647"/>
    </row>
    <row r="159">
      <c r="A159" s="647"/>
      <c r="B159" s="647"/>
      <c r="C159" s="647"/>
      <c r="D159" s="647"/>
      <c r="E159" s="647"/>
    </row>
    <row r="160">
      <c r="A160" s="647"/>
      <c r="B160" s="647"/>
      <c r="C160" s="647"/>
      <c r="D160" s="647"/>
      <c r="E160" s="647"/>
    </row>
    <row r="161">
      <c r="A161" s="647"/>
      <c r="B161" s="647"/>
      <c r="C161" s="647"/>
      <c r="D161" s="647"/>
      <c r="E161" s="647"/>
    </row>
    <row r="162">
      <c r="A162" s="647"/>
      <c r="B162" s="647"/>
      <c r="C162" s="647"/>
      <c r="D162" s="647"/>
      <c r="E162" s="647"/>
    </row>
    <row r="163">
      <c r="A163" s="647"/>
      <c r="B163" s="647"/>
      <c r="C163" s="647"/>
      <c r="D163" s="647"/>
      <c r="E163" s="647"/>
    </row>
    <row r="164">
      <c r="A164" s="647"/>
      <c r="B164" s="647"/>
      <c r="C164" s="647"/>
      <c r="D164" s="647"/>
      <c r="E164" s="647"/>
    </row>
    <row r="165">
      <c r="A165" s="647"/>
      <c r="B165" s="647"/>
      <c r="C165" s="647"/>
      <c r="D165" s="647"/>
      <c r="E165" s="647"/>
    </row>
    <row r="166">
      <c r="A166" s="647"/>
      <c r="B166" s="647"/>
      <c r="C166" s="647"/>
      <c r="D166" s="647"/>
      <c r="E166" s="647"/>
    </row>
    <row r="167">
      <c r="A167" s="647"/>
      <c r="B167" s="647"/>
      <c r="C167" s="647"/>
      <c r="D167" s="647"/>
      <c r="E167" s="647"/>
    </row>
    <row r="168">
      <c r="A168" s="647"/>
      <c r="B168" s="647"/>
      <c r="C168" s="647"/>
      <c r="D168" s="647"/>
      <c r="E168" s="647"/>
    </row>
    <row r="169">
      <c r="A169" s="647"/>
      <c r="B169" s="647"/>
      <c r="C169" s="647"/>
      <c r="D169" s="647"/>
      <c r="E169" s="647"/>
    </row>
    <row r="170">
      <c r="A170" s="647"/>
      <c r="B170" s="647"/>
      <c r="C170" s="647"/>
      <c r="D170" s="647"/>
      <c r="E170" s="647"/>
    </row>
    <row r="171">
      <c r="A171" s="647"/>
      <c r="B171" s="647"/>
      <c r="C171" s="647"/>
      <c r="D171" s="647"/>
      <c r="E171" s="647"/>
    </row>
    <row r="172">
      <c r="A172" s="647"/>
      <c r="B172" s="647"/>
      <c r="C172" s="647"/>
      <c r="D172" s="647"/>
      <c r="E172" s="647"/>
    </row>
    <row r="173">
      <c r="A173" s="647"/>
      <c r="B173" s="647"/>
      <c r="C173" s="647"/>
      <c r="D173" s="647"/>
      <c r="E173" s="647"/>
    </row>
    <row r="174">
      <c r="A174" s="647"/>
      <c r="B174" s="647"/>
      <c r="C174" s="647"/>
      <c r="D174" s="647"/>
      <c r="E174" s="647"/>
    </row>
    <row r="175">
      <c r="A175" s="647"/>
      <c r="B175" s="647"/>
      <c r="C175" s="647"/>
      <c r="D175" s="647"/>
      <c r="E175" s="647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549295774647888"/>
    <col collapsed="false" customWidth="true" hidden="false" max="12" min="12" style="0" width="11.549295774647888"/>
    <col collapsed="false" customWidth="true" hidden="false" max="16" min="16" style="0" width="11.549295774647888"/>
    <col collapsed="false" customWidth="true" hidden="false" max="19" min="19" style="0" width="11.549295774647888"/>
    <col collapsed="false" customWidth="true" hidden="false" max="4" min="4" style="0" width="11.549295774647888"/>
    <col collapsed="false" customWidth="true" hidden="false" max="7" min="7" style="0" width="11.549295774647888"/>
    <col collapsed="false" customWidth="true" hidden="false" max="11" min="11" style="0" width="11.549295774647888"/>
    <col collapsed="false" customWidth="true" hidden="false" max="15" min="15" style="0" width="11.549295774647888"/>
    <col collapsed="false" customWidth="true" hidden="false" max="18" min="18" style="0" width="11.549295774647888"/>
    <col collapsed="false" customWidth="true" hidden="false" max="3" min="3" style="0" width="11.549295774647888"/>
    <col collapsed="false" customWidth="true" hidden="false" max="5" min="5" style="0" width="12.742637644046098"/>
    <col collapsed="false" customWidth="true" hidden="false" max="6" min="6" style="0" width="11.549295774647888"/>
    <col collapsed="false" customWidth="true" hidden="false" max="10" min="10" style="0" width="11.549295774647888"/>
    <col collapsed="false" customWidth="true" hidden="false" max="14" min="14" style="0" width="11.549295774647888"/>
    <col collapsed="false" customWidth="true" hidden="false" max="17" min="17" style="0" width="11.549295774647888"/>
    <col collapsed="false" customWidth="true" hidden="false" max="2" min="2" style="0" width="11.549295774647888"/>
    <col collapsed="false" customWidth="true" hidden="false" max="9" min="9" style="0" width="11.549295774647888"/>
    <col collapsed="false" customWidth="true" hidden="false" max="13" min="13" style="0" width="11.549295774647888"/>
    <col collapsed="false" customWidth="true" hidden="false" max="20" min="20" style="0" width="11.549295774647888"/>
    <col collapsed="false" customWidth="true" hidden="false" max="1" min="1" style="0" width="11.549295774647888"/>
  </cols>
  <sheetData>
    <row r="1">
      <c r="A1" s="655" t="s">
        <v>782</v>
      </c>
      <c r="B1" s="655"/>
      <c r="C1" s="655"/>
      <c r="D1" s="656" t="s">
        <v>783</v>
      </c>
      <c r="E1" s="656"/>
      <c r="F1" s="656"/>
      <c r="G1" s="657"/>
      <c r="H1" s="656"/>
      <c r="I1" s="656"/>
      <c r="J1" s="656"/>
      <c r="K1" s="656"/>
      <c r="L1" s="658" t="s">
        <v>784</v>
      </c>
      <c r="M1" s="658"/>
      <c r="N1" s="658"/>
      <c r="O1" s="658"/>
      <c r="P1" s="658"/>
      <c r="Q1" s="659" t="s">
        <v>785</v>
      </c>
      <c r="R1" s="659"/>
      <c r="S1" s="659"/>
      <c r="T1" s="659"/>
    </row>
    <row r="2">
      <c r="A2" s="660" t="s">
        <v>786</v>
      </c>
      <c r="B2" s="660" t="s">
        <v>787</v>
      </c>
      <c r="C2" s="660" t="s">
        <v>788</v>
      </c>
      <c r="D2" s="661" t="s">
        <v>789</v>
      </c>
      <c r="E2" s="661" t="s">
        <v>790</v>
      </c>
      <c r="F2" s="661" t="s">
        <v>791</v>
      </c>
      <c r="G2" s="662" t="s">
        <v>792</v>
      </c>
      <c r="H2" s="661" t="s">
        <v>793</v>
      </c>
      <c r="I2" s="663" t="s">
        <v>794</v>
      </c>
      <c r="J2" s="664" t="s">
        <v>795</v>
      </c>
      <c r="K2" s="665" t="s">
        <v>796</v>
      </c>
      <c r="L2" s="666" t="s">
        <v>797</v>
      </c>
      <c r="M2" s="666" t="s">
        <v>798</v>
      </c>
      <c r="N2" s="666" t="s">
        <v>799</v>
      </c>
      <c r="O2" s="658" t="s">
        <v>800</v>
      </c>
      <c r="P2" s="658" t="s">
        <v>801</v>
      </c>
      <c r="Q2" s="667" t="s">
        <v>802</v>
      </c>
      <c r="R2" s="667" t="s">
        <v>803</v>
      </c>
      <c r="S2" s="667" t="s">
        <v>804</v>
      </c>
      <c r="T2" s="667" t="s">
        <v>805</v>
      </c>
    </row>
    <row r="3">
      <c r="A3" s="668" t="s">
        <v>806</v>
      </c>
      <c r="B3" s="669" t="s">
        <v>807</v>
      </c>
      <c r="C3" s="670" t="s">
        <v>808</v>
      </c>
      <c r="D3" s="670">
        <f t="shared" ref="D3:D6" si="154">E3+F3</f>
      </c>
      <c r="E3" s="670">
        <v>2181.81</v>
      </c>
      <c r="F3" s="670">
        <v>1057.16</v>
      </c>
      <c r="G3" s="671">
        <v>5</v>
      </c>
      <c r="H3" s="670">
        <v>1537.92</v>
      </c>
      <c r="I3" s="672">
        <f t="shared" ref="I3:I17" si="124">H3/D3</f>
      </c>
      <c r="J3" s="672">
        <f t="shared" ref="J3:J17" si="93">D3/G3</f>
      </c>
      <c r="K3" s="673">
        <f t="shared" ref="K3:K17" si="62">H3/G3</f>
      </c>
      <c r="L3" s="674">
        <f t="shared" ref="L3:L17" si="31">R3/Q3</f>
      </c>
      <c r="M3" s="675">
        <f t="shared" ref="M3:M17" si="0">G3/S3</f>
      </c>
      <c r="N3" s="676">
        <f t="shared" ref="N3:N17" si="248">(T3*1000)/D3</f>
      </c>
      <c r="O3" s="677" t="s">
        <v>809</v>
      </c>
      <c r="P3" s="678" t="s">
        <v>810</v>
      </c>
      <c r="Q3" s="679">
        <v>26827</v>
      </c>
      <c r="R3" s="679">
        <v>4514</v>
      </c>
      <c r="S3" s="679">
        <v>7</v>
      </c>
      <c r="T3" s="679">
        <v>59</v>
      </c>
    </row>
    <row r="4">
      <c r="A4" s="668"/>
      <c r="B4" s="669" t="s">
        <v>807</v>
      </c>
      <c r="C4" s="670" t="s">
        <v>811</v>
      </c>
      <c r="D4" s="670">
        <f t="shared" si="154"/>
      </c>
      <c r="E4" s="670">
        <v>2030.06</v>
      </c>
      <c r="F4" s="670">
        <v>2445.97</v>
      </c>
      <c r="G4" s="671">
        <v>17</v>
      </c>
      <c r="H4" s="670">
        <v>6828.379999999999</v>
      </c>
      <c r="I4" s="672">
        <f t="shared" si="124"/>
      </c>
      <c r="J4" s="672">
        <f t="shared" si="93"/>
      </c>
      <c r="K4" s="673">
        <f t="shared" si="62"/>
      </c>
      <c r="L4" s="674">
        <f t="shared" si="31"/>
      </c>
      <c r="M4" s="675">
        <f t="shared" si="0"/>
      </c>
      <c r="N4" s="676">
        <f t="shared" si="248"/>
      </c>
      <c r="O4" s="677" t="s">
        <v>809</v>
      </c>
      <c r="P4" s="678" t="s">
        <v>810</v>
      </c>
      <c r="Q4" s="679">
        <v>37331</v>
      </c>
      <c r="R4" s="679">
        <v>5435</v>
      </c>
      <c r="S4" s="679">
        <v>24</v>
      </c>
      <c r="T4" s="679">
        <v>112</v>
      </c>
    </row>
    <row r="5">
      <c r="A5" s="668"/>
      <c r="B5" s="669" t="s">
        <v>807</v>
      </c>
      <c r="C5" s="670" t="s">
        <v>812</v>
      </c>
      <c r="D5" s="670">
        <f t="shared" si="154"/>
      </c>
      <c r="E5" s="670">
        <v>2489.08</v>
      </c>
      <c r="F5" s="670">
        <v>1944.85</v>
      </c>
      <c r="G5" s="680">
        <v>20</v>
      </c>
      <c r="H5" s="681">
        <v>9652.89</v>
      </c>
      <c r="I5" s="672">
        <f t="shared" si="124"/>
      </c>
      <c r="J5" s="672">
        <f t="shared" si="93"/>
      </c>
      <c r="K5" s="673">
        <f t="shared" si="62"/>
      </c>
      <c r="L5" s="674">
        <f t="shared" si="31"/>
      </c>
      <c r="M5" s="675">
        <f t="shared" si="0"/>
      </c>
      <c r="N5" s="676">
        <f t="shared" si="248"/>
      </c>
      <c r="O5" s="677" t="s">
        <v>809</v>
      </c>
      <c r="P5" s="678" t="s">
        <v>810</v>
      </c>
      <c r="Q5" s="679">
        <v>34678</v>
      </c>
      <c r="R5" s="679">
        <v>5289</v>
      </c>
      <c r="S5" s="679">
        <v>30</v>
      </c>
      <c r="T5" s="679">
        <v>78</v>
      </c>
    </row>
    <row r="6">
      <c r="A6" s="668"/>
      <c r="B6" s="669" t="s">
        <v>807</v>
      </c>
      <c r="C6" s="670" t="s">
        <v>813</v>
      </c>
      <c r="D6" s="670">
        <f t="shared" si="154"/>
      </c>
      <c r="E6" s="670">
        <v>1878.14</v>
      </c>
      <c r="F6" s="682">
        <v>3302.25</v>
      </c>
      <c r="G6" s="680">
        <v>20</v>
      </c>
      <c r="H6" s="681">
        <v>10418.170000000002</v>
      </c>
      <c r="I6" s="683">
        <f t="shared" si="124"/>
      </c>
      <c r="J6" s="672">
        <f t="shared" si="93"/>
      </c>
      <c r="K6" s="673">
        <f t="shared" si="62"/>
      </c>
      <c r="L6" s="674">
        <f t="shared" si="31"/>
      </c>
      <c r="M6" s="675">
        <f t="shared" si="0"/>
      </c>
      <c r="N6" s="676">
        <f t="shared" si="248"/>
      </c>
      <c r="O6" s="677" t="s">
        <v>809</v>
      </c>
      <c r="P6" s="678" t="s">
        <v>810</v>
      </c>
      <c r="Q6" s="679">
        <v>42542</v>
      </c>
      <c r="R6" s="679">
        <v>6764</v>
      </c>
      <c r="S6" s="679">
        <v>29</v>
      </c>
      <c r="T6" s="679">
        <v>103</v>
      </c>
    </row>
    <row r="7">
      <c r="A7" s="668"/>
      <c r="B7" s="684" t="s">
        <v>814</v>
      </c>
      <c r="C7" s="684"/>
      <c r="D7" s="685">
        <f>SUM(D3:D6)</f>
      </c>
      <c r="E7" s="685">
        <f>SUM(E3:E6)</f>
      </c>
      <c r="F7" s="686">
        <f>SUM(F3:F6)</f>
      </c>
      <c r="G7" s="687">
        <f>SUM(G3:G6)</f>
      </c>
      <c r="H7" s="685">
        <f>SUM(H3:H6)</f>
      </c>
      <c r="I7" s="688">
        <f t="shared" si="124"/>
      </c>
      <c r="J7" s="689">
        <f t="shared" si="93"/>
      </c>
      <c r="K7" s="690">
        <f t="shared" si="62"/>
      </c>
      <c r="L7" s="691">
        <f t="shared" si="31"/>
      </c>
      <c r="M7" s="691">
        <f t="shared" si="0"/>
      </c>
      <c r="N7" s="692">
        <f t="shared" si="248"/>
      </c>
      <c r="O7" s="692"/>
      <c r="P7" s="692"/>
      <c r="Q7" s="693">
        <f>SUM(Q3:Q6)</f>
      </c>
      <c r="R7" s="693">
        <f>SUM(R3:R6)</f>
      </c>
      <c r="S7" s="693">
        <f>SUM(S3:S6)</f>
      </c>
      <c r="T7" s="693">
        <f>SUM(T3:T6)</f>
      </c>
    </row>
    <row r="8">
      <c r="A8" s="668"/>
      <c r="B8" s="694" t="s">
        <v>815</v>
      </c>
      <c r="C8" s="670" t="s">
        <v>816</v>
      </c>
      <c r="D8" s="670">
        <f t="shared" ref="D8:D11" si="155">E8+F8</f>
      </c>
      <c r="E8" s="670">
        <v>1513.92</v>
      </c>
      <c r="F8" s="670">
        <v>4165.31</v>
      </c>
      <c r="G8" s="695">
        <v>17</v>
      </c>
      <c r="H8" s="696">
        <v>9105.760000000002</v>
      </c>
      <c r="I8" s="672">
        <f t="shared" si="124"/>
      </c>
      <c r="J8" s="672">
        <f t="shared" si="93"/>
      </c>
      <c r="K8" s="673">
        <f t="shared" si="62"/>
      </c>
      <c r="L8" s="674">
        <f t="shared" si="31"/>
      </c>
      <c r="M8" s="675">
        <f t="shared" si="0"/>
      </c>
      <c r="N8" s="676">
        <f t="shared" si="248"/>
      </c>
      <c r="O8" s="677" t="s">
        <v>809</v>
      </c>
      <c r="P8" s="678" t="s">
        <v>810</v>
      </c>
      <c r="Q8" s="667">
        <v>47809</v>
      </c>
      <c r="R8" s="667">
        <v>7570</v>
      </c>
      <c r="S8" s="667">
        <v>23</v>
      </c>
      <c r="T8" s="667">
        <v>82</v>
      </c>
    </row>
    <row r="9">
      <c r="A9" s="668"/>
      <c r="B9" s="694" t="s">
        <v>815</v>
      </c>
      <c r="C9" s="670" t="s">
        <v>817</v>
      </c>
      <c r="D9" s="670">
        <f t="shared" si="155"/>
      </c>
      <c r="E9" s="670">
        <v>1480.66</v>
      </c>
      <c r="F9" s="670">
        <v>3385.88</v>
      </c>
      <c r="G9" s="671">
        <v>16</v>
      </c>
      <c r="H9" s="670">
        <v>7017.279999999999</v>
      </c>
      <c r="I9" s="672">
        <f t="shared" si="124"/>
      </c>
      <c r="J9" s="672">
        <f t="shared" si="93"/>
      </c>
      <c r="K9" s="673">
        <f t="shared" si="62"/>
      </c>
      <c r="L9" s="674">
        <f t="shared" si="31"/>
      </c>
      <c r="M9" s="675">
        <f t="shared" si="0"/>
      </c>
      <c r="N9" s="676">
        <f t="shared" si="248"/>
      </c>
      <c r="O9" s="677" t="s">
        <v>809</v>
      </c>
      <c r="P9" s="678" t="s">
        <v>810</v>
      </c>
      <c r="Q9" s="697">
        <v>48132</v>
      </c>
      <c r="R9" s="697">
        <v>7112</v>
      </c>
      <c r="S9" s="697">
        <v>21</v>
      </c>
      <c r="T9" s="697">
        <v>69</v>
      </c>
    </row>
    <row r="10">
      <c r="A10" s="668"/>
      <c r="B10" s="694" t="s">
        <v>815</v>
      </c>
      <c r="C10" s="670" t="s">
        <v>818</v>
      </c>
      <c r="D10" s="670">
        <f t="shared" si="155"/>
      </c>
      <c r="E10" s="670">
        <v>5283.72</v>
      </c>
      <c r="F10" s="670">
        <v>2506.43</v>
      </c>
      <c r="G10" s="671">
        <v>24</v>
      </c>
      <c r="H10" s="670">
        <v>11432.779999999999</v>
      </c>
      <c r="I10" s="672">
        <f t="shared" si="124"/>
      </c>
      <c r="J10" s="672">
        <f t="shared" si="93"/>
      </c>
      <c r="K10" s="673">
        <f t="shared" si="62"/>
      </c>
      <c r="L10" s="674">
        <f t="shared" si="31"/>
      </c>
      <c r="M10" s="675">
        <f t="shared" si="0"/>
      </c>
      <c r="N10" s="676">
        <f t="shared" si="248"/>
      </c>
      <c r="O10" s="677" t="s">
        <v>809</v>
      </c>
      <c r="P10" s="678" t="s">
        <v>810</v>
      </c>
      <c r="Q10" s="697">
        <v>79501</v>
      </c>
      <c r="R10" s="697">
        <v>11242</v>
      </c>
      <c r="S10" s="697">
        <v>31</v>
      </c>
      <c r="T10" s="697">
        <v>132</v>
      </c>
    </row>
    <row r="11">
      <c r="A11" s="668"/>
      <c r="B11" s="694" t="s">
        <v>815</v>
      </c>
      <c r="C11" s="670" t="s">
        <v>819</v>
      </c>
      <c r="D11" s="670">
        <f t="shared" si="155"/>
      </c>
      <c r="E11" s="670">
        <v>2493.8</v>
      </c>
      <c r="F11" s="698">
        <v>1528.74</v>
      </c>
      <c r="G11" s="671">
        <v>11</v>
      </c>
      <c r="H11" s="670">
        <v>10090.200000000004</v>
      </c>
      <c r="I11" s="672">
        <f t="shared" si="124"/>
      </c>
      <c r="J11" s="672">
        <f t="shared" si="93"/>
      </c>
      <c r="K11" s="673">
        <f t="shared" si="62"/>
      </c>
      <c r="L11" s="674">
        <f t="shared" si="31"/>
      </c>
      <c r="M11" s="675">
        <f t="shared" si="0"/>
      </c>
      <c r="N11" s="676">
        <f t="shared" si="248"/>
      </c>
      <c r="O11" s="677" t="s">
        <v>809</v>
      </c>
      <c r="P11" s="678" t="s">
        <v>810</v>
      </c>
      <c r="Q11" s="697">
        <v>43565</v>
      </c>
      <c r="R11" s="697">
        <v>5635</v>
      </c>
      <c r="S11" s="697">
        <v>19</v>
      </c>
      <c r="T11" s="697">
        <v>76</v>
      </c>
    </row>
    <row r="12">
      <c r="A12" s="668"/>
      <c r="B12" s="684" t="s">
        <v>814</v>
      </c>
      <c r="C12" s="684"/>
      <c r="D12" s="685">
        <f>SUM(D8:D11)</f>
      </c>
      <c r="E12" s="685">
        <f>SUM(E8:E11)</f>
      </c>
      <c r="F12" s="685">
        <f>SUM(F8:F11)</f>
      </c>
      <c r="G12" s="687">
        <f>SUM(G8:G11)</f>
      </c>
      <c r="H12" s="685">
        <f>SUM(H8:H11)</f>
      </c>
      <c r="I12" s="699">
        <f t="shared" si="124"/>
      </c>
      <c r="J12" s="689">
        <f t="shared" si="93"/>
      </c>
      <c r="K12" s="690">
        <f t="shared" si="62"/>
      </c>
      <c r="L12" s="691">
        <f t="shared" si="31"/>
      </c>
      <c r="M12" s="691">
        <f t="shared" si="0"/>
      </c>
      <c r="N12" s="692">
        <f t="shared" si="248"/>
      </c>
      <c r="O12" s="692"/>
      <c r="P12" s="692"/>
      <c r="Q12" s="693">
        <f>SUM(Q8:Q11)</f>
      </c>
      <c r="R12" s="693">
        <f>SUM(R8:R11)</f>
      </c>
      <c r="S12" s="693">
        <f>SUM(S8:S11)</f>
      </c>
      <c r="T12" s="693">
        <f>SUM(T8:T11)</f>
      </c>
    </row>
    <row r="13">
      <c r="A13" s="668"/>
      <c r="B13" s="694" t="s">
        <v>820</v>
      </c>
      <c r="C13" s="670" t="s">
        <v>821</v>
      </c>
      <c r="D13" s="670">
        <f t="shared" ref="D13:D15" si="156">E13+F13</f>
      </c>
      <c r="E13" s="670">
        <v>726.96</v>
      </c>
      <c r="F13" s="670">
        <v>1773.01</v>
      </c>
      <c r="G13" s="671">
        <v>8</v>
      </c>
      <c r="H13" s="670">
        <v>4472.520000000004</v>
      </c>
      <c r="I13" s="672">
        <f t="shared" si="124"/>
      </c>
      <c r="J13" s="672">
        <f t="shared" si="93"/>
      </c>
      <c r="K13" s="673">
        <f t="shared" si="62"/>
      </c>
      <c r="L13" s="674">
        <f t="shared" si="31"/>
      </c>
      <c r="M13" s="675">
        <f t="shared" si="0"/>
      </c>
      <c r="N13" s="676">
        <f t="shared" si="248"/>
      </c>
      <c r="O13" s="677" t="s">
        <v>809</v>
      </c>
      <c r="P13" s="678" t="s">
        <v>822</v>
      </c>
      <c r="Q13" s="697">
        <v>24969</v>
      </c>
      <c r="R13" s="697">
        <v>3411</v>
      </c>
      <c r="S13" s="697">
        <v>13</v>
      </c>
      <c r="T13" s="697">
        <v>49</v>
      </c>
    </row>
    <row r="14">
      <c r="A14" s="668"/>
      <c r="B14" s="694" t="s">
        <v>820</v>
      </c>
      <c r="C14" s="670" t="s">
        <v>823</v>
      </c>
      <c r="D14" s="670">
        <f t="shared" si="156"/>
      </c>
      <c r="E14" s="670">
        <v>886.27</v>
      </c>
      <c r="F14" s="670">
        <v>2170.03</v>
      </c>
      <c r="G14" s="671">
        <v>6</v>
      </c>
      <c r="H14" s="670">
        <v>2599.959999999992</v>
      </c>
      <c r="I14" s="672">
        <f t="shared" si="124"/>
      </c>
      <c r="J14" s="672">
        <f t="shared" si="93"/>
      </c>
      <c r="K14" s="673">
        <f t="shared" si="62"/>
      </c>
      <c r="L14" s="674">
        <f t="shared" si="31"/>
      </c>
      <c r="M14" s="675">
        <f t="shared" si="0"/>
      </c>
      <c r="N14" s="676">
        <f t="shared" si="248"/>
      </c>
      <c r="O14" s="677" t="s">
        <v>809</v>
      </c>
      <c r="P14" s="678" t="s">
        <v>822</v>
      </c>
      <c r="Q14" s="697">
        <v>35982</v>
      </c>
      <c r="R14" s="697">
        <v>3919</v>
      </c>
      <c r="S14" s="697">
        <v>11</v>
      </c>
      <c r="T14" s="697">
        <v>51</v>
      </c>
    </row>
    <row r="15">
      <c r="A15" s="668"/>
      <c r="B15" s="694" t="s">
        <v>820</v>
      </c>
      <c r="C15" s="670" t="s">
        <v>824</v>
      </c>
      <c r="D15" s="670">
        <f t="shared" si="156"/>
      </c>
      <c r="E15" s="670">
        <v>816.06</v>
      </c>
      <c r="F15" s="670">
        <v>2723.75</v>
      </c>
      <c r="G15" s="671">
        <v>4</v>
      </c>
      <c r="H15" s="670">
        <v>1322.8800000000047</v>
      </c>
      <c r="I15" s="672">
        <f t="shared" si="124"/>
      </c>
      <c r="J15" s="672">
        <f t="shared" si="93"/>
      </c>
      <c r="K15" s="673">
        <f t="shared" si="62"/>
      </c>
      <c r="L15" s="674">
        <f t="shared" si="31"/>
      </c>
      <c r="M15" s="675">
        <f t="shared" si="0"/>
      </c>
      <c r="N15" s="676">
        <f t="shared" si="248"/>
      </c>
      <c r="O15" s="677" t="s">
        <v>809</v>
      </c>
      <c r="P15" s="678" t="s">
        <v>822</v>
      </c>
      <c r="Q15" s="697">
        <v>41964</v>
      </c>
      <c r="R15" s="697">
        <v>5057</v>
      </c>
      <c r="S15" s="697">
        <v>6</v>
      </c>
      <c r="T15" s="697">
        <v>65</v>
      </c>
    </row>
    <row r="16">
      <c r="A16" s="668"/>
      <c r="B16" s="684" t="s">
        <v>814</v>
      </c>
      <c r="C16" s="684"/>
      <c r="D16" s="685">
        <f>SUM(D13:D15)</f>
      </c>
      <c r="E16" s="685">
        <f>SUM(E13:E15)</f>
      </c>
      <c r="F16" s="685">
        <f>SUM(F13:F15)</f>
      </c>
      <c r="G16" s="687">
        <f>SUM(G13:G15)</f>
      </c>
      <c r="H16" s="685">
        <f>SUM(H13:H15)</f>
      </c>
      <c r="I16" s="699">
        <f t="shared" si="124"/>
      </c>
      <c r="J16" s="689">
        <f t="shared" si="93"/>
      </c>
      <c r="K16" s="690">
        <f t="shared" si="62"/>
      </c>
      <c r="L16" s="691">
        <f t="shared" si="31"/>
      </c>
      <c r="M16" s="691">
        <f t="shared" si="0"/>
      </c>
      <c r="N16" s="692">
        <f t="shared" si="248"/>
      </c>
      <c r="O16" s="692"/>
      <c r="P16" s="692"/>
      <c r="Q16" s="693">
        <f>SUM(Q13:Q15)</f>
      </c>
      <c r="R16" s="693">
        <f>SUM(R13:R15)</f>
      </c>
      <c r="S16" s="693">
        <f>SUM(S13:S15)</f>
      </c>
      <c r="T16" s="693">
        <f>SUM(T13:T15)</f>
      </c>
    </row>
    <row r="17">
      <c r="A17" s="668"/>
      <c r="B17" s="700" t="s">
        <v>825</v>
      </c>
      <c r="C17" s="700"/>
      <c r="D17" s="701">
        <f>D7+D16+D12</f>
      </c>
      <c r="E17" s="701">
        <f>E7+E16+E12</f>
      </c>
      <c r="F17" s="701">
        <f>F7+F16+F12</f>
      </c>
      <c r="G17" s="702">
        <f>G7+G16+G12</f>
      </c>
      <c r="H17" s="701">
        <f>H7+H16+H12</f>
      </c>
      <c r="I17" s="703">
        <f t="shared" si="124"/>
      </c>
      <c r="J17" s="703">
        <f t="shared" si="93"/>
      </c>
      <c r="K17" s="704">
        <f t="shared" si="62"/>
      </c>
      <c r="L17" s="705">
        <f t="shared" si="31"/>
      </c>
      <c r="M17" s="705">
        <f t="shared" si="0"/>
      </c>
      <c r="N17" s="703">
        <f t="shared" si="248"/>
      </c>
      <c r="O17" s="706"/>
      <c r="P17" s="706"/>
      <c r="Q17" s="707">
        <f>Q7+Q16+Q12</f>
      </c>
      <c r="R17" s="707">
        <f>R7+R16+R12</f>
      </c>
      <c r="S17" s="702">
        <f>S7+S16+S12</f>
      </c>
      <c r="T17" s="702">
        <f>T7+T16+T12</f>
      </c>
    </row>
    <row r="18">
      <c r="A18" s="655" t="s">
        <v>782</v>
      </c>
      <c r="B18" s="655"/>
      <c r="C18" s="655"/>
      <c r="D18" s="656" t="s">
        <v>783</v>
      </c>
      <c r="E18" s="656"/>
      <c r="F18" s="656"/>
      <c r="G18" s="657"/>
      <c r="H18" s="656"/>
      <c r="I18" s="656"/>
      <c r="J18" s="656"/>
      <c r="K18" s="656"/>
      <c r="L18" s="658" t="s">
        <v>784</v>
      </c>
      <c r="M18" s="658"/>
      <c r="N18" s="658"/>
      <c r="O18" s="658"/>
      <c r="P18" s="658"/>
      <c r="Q18" s="659" t="s">
        <v>785</v>
      </c>
      <c r="R18" s="659"/>
      <c r="S18" s="659"/>
      <c r="T18" s="659"/>
    </row>
    <row r="19">
      <c r="A19" s="660" t="s">
        <v>786</v>
      </c>
      <c r="B19" s="660" t="s">
        <v>787</v>
      </c>
      <c r="C19" s="660" t="s">
        <v>788</v>
      </c>
      <c r="D19" s="661" t="s">
        <v>789</v>
      </c>
      <c r="E19" s="661" t="s">
        <v>790</v>
      </c>
      <c r="F19" s="661" t="s">
        <v>791</v>
      </c>
      <c r="G19" s="662" t="s">
        <v>792</v>
      </c>
      <c r="H19" s="661" t="s">
        <v>793</v>
      </c>
      <c r="I19" s="663" t="s">
        <v>794</v>
      </c>
      <c r="J19" s="664" t="s">
        <v>795</v>
      </c>
      <c r="K19" s="665" t="s">
        <v>796</v>
      </c>
      <c r="L19" s="666" t="s">
        <v>797</v>
      </c>
      <c r="M19" s="666" t="s">
        <v>798</v>
      </c>
      <c r="N19" s="666" t="s">
        <v>799</v>
      </c>
      <c r="O19" s="658" t="s">
        <v>800</v>
      </c>
      <c r="P19" s="658" t="s">
        <v>801</v>
      </c>
      <c r="Q19" s="667" t="s">
        <v>802</v>
      </c>
      <c r="R19" s="667" t="s">
        <v>803</v>
      </c>
      <c r="S19" s="667" t="s">
        <v>804</v>
      </c>
      <c r="T19" s="667" t="s">
        <v>805</v>
      </c>
    </row>
    <row r="20">
      <c r="A20" s="708" t="s">
        <v>826</v>
      </c>
      <c r="B20" s="669" t="s">
        <v>807</v>
      </c>
      <c r="C20" s="670" t="s">
        <v>808</v>
      </c>
      <c r="D20" s="670">
        <f t="shared" ref="D20:D23" si="157">E20+F20</f>
      </c>
      <c r="E20" s="670">
        <v>1426.75</v>
      </c>
      <c r="F20" s="670">
        <v>1915.14</v>
      </c>
      <c r="G20" s="709">
        <v>9</v>
      </c>
      <c r="H20" s="698">
        <v>6622.56</v>
      </c>
      <c r="I20" s="672">
        <f t="shared" ref="I20:I33" si="125">H20/D20</f>
      </c>
      <c r="J20" s="672">
        <f t="shared" ref="J20:J33" si="94">D20/G20</f>
      </c>
      <c r="K20" s="673">
        <f t="shared" ref="K20:K33" si="63">H20/G20</f>
      </c>
      <c r="L20" s="674">
        <f t="shared" ref="L20:L33" si="32">R20/Q20</f>
      </c>
      <c r="M20" s="675">
        <f t="shared" ref="M20:M33" si="1">G20/S20</f>
      </c>
      <c r="N20" s="676">
        <f t="shared" ref="N20:N33" si="249">(T20*1000)/D20</f>
      </c>
      <c r="O20" s="677" t="s">
        <v>809</v>
      </c>
      <c r="P20" s="710" t="s">
        <v>827</v>
      </c>
      <c r="Q20" s="679">
        <v>28760</v>
      </c>
      <c r="R20" s="679">
        <v>5014</v>
      </c>
      <c r="S20" s="711">
        <v>14</v>
      </c>
      <c r="T20" s="711">
        <v>50</v>
      </c>
    </row>
    <row r="21">
      <c r="A21" s="708"/>
      <c r="B21" s="669" t="s">
        <v>807</v>
      </c>
      <c r="C21" s="670" t="s">
        <v>811</v>
      </c>
      <c r="D21" s="670">
        <f t="shared" si="157"/>
      </c>
      <c r="E21" s="670">
        <v>1483.92</v>
      </c>
      <c r="F21" s="670">
        <v>1771.9</v>
      </c>
      <c r="G21" s="709">
        <v>5</v>
      </c>
      <c r="H21" s="698">
        <v>2921.419999999999</v>
      </c>
      <c r="I21" s="672">
        <f t="shared" si="125"/>
      </c>
      <c r="J21" s="672">
        <f t="shared" si="94"/>
      </c>
      <c r="K21" s="673">
        <f t="shared" si="63"/>
      </c>
      <c r="L21" s="674">
        <f t="shared" si="32"/>
      </c>
      <c r="M21" s="675">
        <f t="shared" si="1"/>
      </c>
      <c r="N21" s="676">
        <f t="shared" si="249"/>
      </c>
      <c r="O21" s="677" t="s">
        <v>809</v>
      </c>
      <c r="P21" s="710" t="s">
        <v>827</v>
      </c>
      <c r="Q21" s="679">
        <v>28576</v>
      </c>
      <c r="R21" s="679">
        <v>5013</v>
      </c>
      <c r="S21" s="711">
        <v>16</v>
      </c>
      <c r="T21" s="711">
        <v>70</v>
      </c>
    </row>
    <row r="22">
      <c r="A22" s="708"/>
      <c r="B22" s="669" t="s">
        <v>807</v>
      </c>
      <c r="C22" s="670" t="s">
        <v>812</v>
      </c>
      <c r="D22" s="670">
        <f t="shared" si="157"/>
      </c>
      <c r="E22" s="670">
        <v>1461.32</v>
      </c>
      <c r="F22" s="670">
        <v>2713.28</v>
      </c>
      <c r="G22" s="680">
        <v>11</v>
      </c>
      <c r="H22" s="681">
        <v>5988.960000000001</v>
      </c>
      <c r="I22" s="672">
        <f t="shared" si="125"/>
      </c>
      <c r="J22" s="672">
        <f t="shared" si="94"/>
      </c>
      <c r="K22" s="673">
        <f t="shared" si="63"/>
      </c>
      <c r="L22" s="674">
        <f t="shared" si="32"/>
      </c>
      <c r="M22" s="675">
        <f t="shared" si="1"/>
      </c>
      <c r="N22" s="676">
        <f t="shared" si="249"/>
      </c>
      <c r="O22" s="677" t="s">
        <v>809</v>
      </c>
      <c r="P22" s="710" t="s">
        <v>827</v>
      </c>
      <c r="Q22" s="679">
        <v>38742</v>
      </c>
      <c r="R22" s="679">
        <v>5097</v>
      </c>
      <c r="S22" s="711">
        <v>18</v>
      </c>
      <c r="T22" s="711">
        <v>90</v>
      </c>
    </row>
    <row r="23">
      <c r="A23" s="708"/>
      <c r="B23" s="669" t="s">
        <v>807</v>
      </c>
      <c r="C23" s="670" t="s">
        <v>813</v>
      </c>
      <c r="D23" s="670">
        <f t="shared" si="157"/>
      </c>
      <c r="E23" s="670">
        <v>1163.93</v>
      </c>
      <c r="F23" s="682">
        <v>1085.61</v>
      </c>
      <c r="G23" s="712">
        <v>7</v>
      </c>
      <c r="H23" s="681">
        <v>3127.9800000000014</v>
      </c>
      <c r="I23" s="683">
        <f t="shared" si="125"/>
      </c>
      <c r="J23" s="672">
        <f t="shared" si="94"/>
      </c>
      <c r="K23" s="673">
        <f t="shared" si="63"/>
      </c>
      <c r="L23" s="674">
        <f t="shared" si="32"/>
      </c>
      <c r="M23" s="675">
        <f t="shared" si="1"/>
      </c>
      <c r="N23" s="676">
        <f t="shared" si="249"/>
      </c>
      <c r="O23" s="677" t="s">
        <v>809</v>
      </c>
      <c r="P23" s="710" t="s">
        <v>827</v>
      </c>
      <c r="Q23" s="679">
        <v>16281</v>
      </c>
      <c r="R23" s="679">
        <v>2344</v>
      </c>
      <c r="S23" s="711">
        <v>7</v>
      </c>
      <c r="T23" s="711">
        <v>54</v>
      </c>
    </row>
    <row r="24">
      <c r="A24" s="708"/>
      <c r="B24" s="684" t="s">
        <v>814</v>
      </c>
      <c r="C24" s="684"/>
      <c r="D24" s="685">
        <f>SUM(D20:D23)</f>
      </c>
      <c r="E24" s="685">
        <f>SUM(E20:E23)</f>
      </c>
      <c r="F24" s="686">
        <f>SUM(F20:F23)</f>
      </c>
      <c r="G24" s="713">
        <f>SUM(G20:G23)</f>
      </c>
      <c r="H24" s="714">
        <f>SUM(H20:H23)</f>
      </c>
      <c r="I24" s="688">
        <f t="shared" si="125"/>
      </c>
      <c r="J24" s="689">
        <f t="shared" si="94"/>
      </c>
      <c r="K24" s="690">
        <f t="shared" si="63"/>
      </c>
      <c r="L24" s="691">
        <f t="shared" si="32"/>
      </c>
      <c r="M24" s="691">
        <f t="shared" si="1"/>
      </c>
      <c r="N24" s="692">
        <f t="shared" si="249"/>
      </c>
      <c r="O24" s="692"/>
      <c r="P24" s="692"/>
      <c r="Q24" s="693">
        <f>SUM(Q20:Q23)</f>
      </c>
      <c r="R24" s="693">
        <f>SUM(R20:R23)</f>
      </c>
      <c r="S24" s="693">
        <f>SUM(S20:S23)</f>
      </c>
      <c r="T24" s="693">
        <f>SUM(T20:T23)</f>
      </c>
    </row>
    <row r="25">
      <c r="A25" s="708"/>
      <c r="B25" s="694" t="s">
        <v>815</v>
      </c>
      <c r="C25" s="670" t="s">
        <v>816</v>
      </c>
      <c r="D25" s="670">
        <f t="shared" ref="D25:D28" si="158">E25+F25</f>
      </c>
      <c r="E25" s="670">
        <v>1331.29</v>
      </c>
      <c r="F25" s="670">
        <v>2347.92</v>
      </c>
      <c r="G25" s="715">
        <v>11</v>
      </c>
      <c r="H25" s="696">
        <v>5356.84</v>
      </c>
      <c r="I25" s="672">
        <f t="shared" si="125"/>
      </c>
      <c r="J25" s="672">
        <f t="shared" si="94"/>
      </c>
      <c r="K25" s="673">
        <f t="shared" si="63"/>
      </c>
      <c r="L25" s="674">
        <f t="shared" si="32"/>
      </c>
      <c r="M25" s="675">
        <f t="shared" si="1"/>
      </c>
      <c r="N25" s="676">
        <f t="shared" si="249"/>
      </c>
      <c r="O25" s="677" t="s">
        <v>809</v>
      </c>
      <c r="P25" s="710" t="s">
        <v>827</v>
      </c>
      <c r="Q25" s="667">
        <v>34134</v>
      </c>
      <c r="R25" s="667">
        <v>3642</v>
      </c>
      <c r="S25" s="716">
        <v>12</v>
      </c>
      <c r="T25" s="716">
        <v>70</v>
      </c>
    </row>
    <row r="26">
      <c r="A26" s="708"/>
      <c r="B26" s="694" t="s">
        <v>815</v>
      </c>
      <c r="C26" s="670" t="s">
        <v>817</v>
      </c>
      <c r="D26" s="670">
        <f t="shared" si="158"/>
      </c>
      <c r="E26" s="670">
        <v>850.46</v>
      </c>
      <c r="F26" s="670">
        <v>2897.25</v>
      </c>
      <c r="G26" s="709">
        <v>12</v>
      </c>
      <c r="H26" s="670">
        <v>8249.619999999999</v>
      </c>
      <c r="I26" s="672">
        <f t="shared" si="125"/>
      </c>
      <c r="J26" s="672">
        <f t="shared" si="94"/>
      </c>
      <c r="K26" s="673">
        <f t="shared" si="63"/>
      </c>
      <c r="L26" s="674">
        <f t="shared" si="32"/>
      </c>
      <c r="M26" s="675">
        <f t="shared" si="1"/>
      </c>
      <c r="N26" s="676">
        <f t="shared" si="249"/>
      </c>
      <c r="O26" s="677" t="s">
        <v>809</v>
      </c>
      <c r="P26" s="710" t="s">
        <v>827</v>
      </c>
      <c r="Q26" s="697">
        <v>33231</v>
      </c>
      <c r="R26" s="697">
        <v>4558</v>
      </c>
      <c r="S26" s="717">
        <v>19</v>
      </c>
      <c r="T26" s="717">
        <v>82</v>
      </c>
    </row>
    <row r="27">
      <c r="A27" s="708"/>
      <c r="B27" s="694" t="s">
        <v>815</v>
      </c>
      <c r="C27" s="670" t="s">
        <v>818</v>
      </c>
      <c r="D27" s="670">
        <f t="shared" si="158"/>
      </c>
      <c r="E27" s="670">
        <v>1160.12</v>
      </c>
      <c r="F27" s="670">
        <v>2398.05</v>
      </c>
      <c r="G27" s="671">
        <v>9</v>
      </c>
      <c r="H27" s="670">
        <v>5145.619999999999</v>
      </c>
      <c r="I27" s="672">
        <f t="shared" si="125"/>
      </c>
      <c r="J27" s="672">
        <f t="shared" si="94"/>
      </c>
      <c r="K27" s="673">
        <f t="shared" si="63"/>
      </c>
      <c r="L27" s="674">
        <f t="shared" si="32"/>
      </c>
      <c r="M27" s="675">
        <f t="shared" si="1"/>
      </c>
      <c r="N27" s="676">
        <f t="shared" si="249"/>
      </c>
      <c r="O27" s="677" t="s">
        <v>809</v>
      </c>
      <c r="P27" s="710" t="s">
        <v>827</v>
      </c>
      <c r="Q27" s="697">
        <v>39728</v>
      </c>
      <c r="R27" s="697">
        <v>4871</v>
      </c>
      <c r="S27" s="717">
        <v>12</v>
      </c>
      <c r="T27" s="717">
        <v>75</v>
      </c>
    </row>
    <row r="28">
      <c r="A28" s="708"/>
      <c r="B28" s="694" t="s">
        <v>815</v>
      </c>
      <c r="C28" s="670" t="s">
        <v>819</v>
      </c>
      <c r="D28" s="670">
        <f t="shared" si="158"/>
      </c>
      <c r="E28" s="670">
        <v>439.6</v>
      </c>
      <c r="F28" s="670">
        <v>2201.4700000000003</v>
      </c>
      <c r="G28" s="709">
        <v>8</v>
      </c>
      <c r="H28" s="670">
        <v>4205.279999999999</v>
      </c>
      <c r="I28" s="672">
        <f t="shared" si="125"/>
      </c>
      <c r="J28" s="672">
        <f t="shared" si="94"/>
      </c>
      <c r="K28" s="673">
        <f t="shared" si="63"/>
      </c>
      <c r="L28" s="674">
        <f t="shared" si="32"/>
      </c>
      <c r="M28" s="675">
        <f t="shared" si="1"/>
      </c>
      <c r="N28" s="676">
        <f t="shared" si="249"/>
      </c>
      <c r="O28" s="677" t="s">
        <v>809</v>
      </c>
      <c r="P28" s="710" t="s">
        <v>827</v>
      </c>
      <c r="Q28" s="697">
        <v>35979</v>
      </c>
      <c r="R28" s="697">
        <v>2851</v>
      </c>
      <c r="S28" s="717">
        <v>14</v>
      </c>
      <c r="T28" s="717">
        <v>45</v>
      </c>
    </row>
    <row r="29">
      <c r="A29" s="708"/>
      <c r="B29" s="684" t="s">
        <v>814</v>
      </c>
      <c r="C29" s="684"/>
      <c r="D29" s="685">
        <f>SUM(D25:D28)</f>
      </c>
      <c r="E29" s="685">
        <f>SUM(E25:E28)</f>
      </c>
      <c r="F29" s="685">
        <f>SUM(F25:F28)</f>
      </c>
      <c r="G29" s="687">
        <f>SUM(G25:G28)</f>
      </c>
      <c r="H29" s="685">
        <f>SUM(H25:H28)</f>
      </c>
      <c r="I29" s="699">
        <f t="shared" si="125"/>
      </c>
      <c r="J29" s="689">
        <f t="shared" si="94"/>
      </c>
      <c r="K29" s="690">
        <f t="shared" si="63"/>
      </c>
      <c r="L29" s="691">
        <f t="shared" si="32"/>
      </c>
      <c r="M29" s="691">
        <f t="shared" si="1"/>
      </c>
      <c r="N29" s="692">
        <f t="shared" si="249"/>
      </c>
      <c r="O29" s="692"/>
      <c r="P29" s="692"/>
      <c r="Q29" s="693">
        <f>SUM(Q25:Q28)</f>
      </c>
      <c r="R29" s="693">
        <f>SUM(R25:R28)</f>
      </c>
      <c r="S29" s="693">
        <f>SUM(S25:S28)</f>
      </c>
      <c r="T29" s="693">
        <f>SUM(T25:T28)</f>
      </c>
    </row>
    <row r="30">
      <c r="A30" s="708"/>
      <c r="B30" s="718" t="s">
        <v>828</v>
      </c>
      <c r="C30" s="698" t="s">
        <v>821</v>
      </c>
      <c r="D30" s="670">
        <f t="shared" ref="D30:D31" si="159">E30+F30</f>
      </c>
      <c r="E30" s="698">
        <v>421.9</v>
      </c>
      <c r="F30" s="698">
        <v>1483.64</v>
      </c>
      <c r="G30" s="671">
        <v>3</v>
      </c>
      <c r="H30" s="670">
        <v>2048.279999999999</v>
      </c>
      <c r="I30" s="672">
        <f t="shared" si="125"/>
      </c>
      <c r="J30" s="672">
        <f t="shared" si="94"/>
      </c>
      <c r="K30" s="673">
        <f t="shared" si="63"/>
      </c>
      <c r="L30" s="674">
        <f t="shared" si="32"/>
      </c>
      <c r="M30" s="675">
        <f t="shared" si="1"/>
      </c>
      <c r="N30" s="676">
        <f t="shared" si="249"/>
      </c>
      <c r="O30" s="677" t="s">
        <v>809</v>
      </c>
      <c r="P30" s="710" t="s">
        <v>822</v>
      </c>
      <c r="Q30" s="717">
        <v>19966</v>
      </c>
      <c r="R30" s="717">
        <v>2492</v>
      </c>
      <c r="S30" s="717">
        <v>3</v>
      </c>
      <c r="T30" s="717">
        <v>47</v>
      </c>
    </row>
    <row r="31">
      <c r="A31" s="708"/>
      <c r="B31" s="718" t="s">
        <v>828</v>
      </c>
      <c r="C31" s="698" t="s">
        <v>823</v>
      </c>
      <c r="D31" s="670">
        <f t="shared" si="159"/>
      </c>
      <c r="E31" s="698">
        <v>570.29</v>
      </c>
      <c r="F31" s="698">
        <v>2433.2200000000003</v>
      </c>
      <c r="G31" s="671">
        <v>9</v>
      </c>
      <c r="H31" s="670">
        <v>5489.639999999999</v>
      </c>
      <c r="I31" s="672">
        <f t="shared" si="125"/>
      </c>
      <c r="J31" s="672">
        <f t="shared" si="94"/>
      </c>
      <c r="K31" s="673">
        <f t="shared" si="63"/>
      </c>
      <c r="L31" s="674">
        <f t="shared" si="32"/>
      </c>
      <c r="M31" s="675">
        <f t="shared" si="1"/>
      </c>
      <c r="N31" s="676">
        <f t="shared" si="249"/>
      </c>
      <c r="O31" s="677" t="s">
        <v>809</v>
      </c>
      <c r="P31" s="710" t="s">
        <v>822</v>
      </c>
      <c r="Q31" s="717">
        <v>33142</v>
      </c>
      <c r="R31" s="717">
        <v>4324</v>
      </c>
      <c r="S31" s="717">
        <v>13</v>
      </c>
      <c r="T31" s="717">
        <v>80</v>
      </c>
    </row>
    <row r="32">
      <c r="A32" s="708"/>
      <c r="B32" s="684" t="s">
        <v>814</v>
      </c>
      <c r="C32" s="684"/>
      <c r="D32" s="685">
        <f>SUM(D30:D31)</f>
      </c>
      <c r="E32" s="685">
        <f>SUM(E30:E31)</f>
      </c>
      <c r="F32" s="685">
        <f>SUM(F30:F31)</f>
      </c>
      <c r="G32" s="687">
        <f>SUM(G30:G31)</f>
      </c>
      <c r="H32" s="685">
        <f>SUM(H30:H31)</f>
      </c>
      <c r="I32" s="699">
        <f t="shared" si="125"/>
      </c>
      <c r="J32" s="689">
        <f t="shared" si="94"/>
      </c>
      <c r="K32" s="690">
        <f t="shared" si="63"/>
      </c>
      <c r="L32" s="691">
        <f t="shared" si="32"/>
      </c>
      <c r="M32" s="691">
        <f t="shared" si="1"/>
      </c>
      <c r="N32" s="692">
        <f t="shared" si="249"/>
      </c>
      <c r="O32" s="692"/>
      <c r="P32" s="692"/>
      <c r="Q32" s="693">
        <f>SUM(Q30:Q31)</f>
      </c>
      <c r="R32" s="693">
        <f>SUM(R30:R31)</f>
      </c>
      <c r="S32" s="693">
        <f>SUM(S30:S31)</f>
      </c>
      <c r="T32" s="693">
        <f>SUM(T30:T31)</f>
      </c>
    </row>
    <row r="33">
      <c r="A33" s="708"/>
      <c r="B33" s="700" t="s">
        <v>825</v>
      </c>
      <c r="C33" s="700"/>
      <c r="D33" s="701">
        <f>D24+D32+D29</f>
      </c>
      <c r="E33" s="701">
        <f>E24+E32+E29</f>
      </c>
      <c r="F33" s="701">
        <f>F24+F32+F29</f>
      </c>
      <c r="G33" s="702">
        <f>G24+G32+G29</f>
      </c>
      <c r="H33" s="701">
        <f>H24+H32+H29</f>
      </c>
      <c r="I33" s="703">
        <f t="shared" si="125"/>
      </c>
      <c r="J33" s="703">
        <f t="shared" si="94"/>
      </c>
      <c r="K33" s="704">
        <f t="shared" si="63"/>
      </c>
      <c r="L33" s="705">
        <f t="shared" si="32"/>
      </c>
      <c r="M33" s="705">
        <f t="shared" si="1"/>
      </c>
      <c r="N33" s="703">
        <f t="shared" si="249"/>
      </c>
      <c r="O33" s="706"/>
      <c r="P33" s="706"/>
      <c r="Q33" s="707">
        <f>Q24+Q32+Q29</f>
      </c>
      <c r="R33" s="707">
        <f>R24+R32+R29</f>
      </c>
      <c r="S33" s="702">
        <f>S24+S32+S29</f>
      </c>
      <c r="T33" s="702">
        <f>T24+T32+T29</f>
      </c>
    </row>
    <row r="34">
      <c r="A34" s="655" t="s">
        <v>782</v>
      </c>
      <c r="B34" s="655"/>
      <c r="C34" s="655"/>
      <c r="D34" s="656" t="s">
        <v>783</v>
      </c>
      <c r="E34" s="656"/>
      <c r="F34" s="656"/>
      <c r="G34" s="657"/>
      <c r="H34" s="656"/>
      <c r="I34" s="656"/>
      <c r="J34" s="656"/>
      <c r="K34" s="656"/>
      <c r="L34" s="658" t="s">
        <v>784</v>
      </c>
      <c r="M34" s="658"/>
      <c r="N34" s="658"/>
      <c r="O34" s="658"/>
      <c r="P34" s="658"/>
      <c r="Q34" s="659" t="s">
        <v>785</v>
      </c>
      <c r="R34" s="659"/>
      <c r="S34" s="659"/>
      <c r="T34" s="659"/>
    </row>
    <row r="35">
      <c r="A35" s="660" t="s">
        <v>786</v>
      </c>
      <c r="B35" s="660" t="s">
        <v>787</v>
      </c>
      <c r="C35" s="660" t="s">
        <v>788</v>
      </c>
      <c r="D35" s="661" t="s">
        <v>789</v>
      </c>
      <c r="E35" s="661" t="s">
        <v>790</v>
      </c>
      <c r="F35" s="661" t="s">
        <v>791</v>
      </c>
      <c r="G35" s="662" t="s">
        <v>792</v>
      </c>
      <c r="H35" s="661" t="s">
        <v>793</v>
      </c>
      <c r="I35" s="663" t="s">
        <v>794</v>
      </c>
      <c r="J35" s="664" t="s">
        <v>795</v>
      </c>
      <c r="K35" s="665" t="s">
        <v>796</v>
      </c>
      <c r="L35" s="666" t="s">
        <v>797</v>
      </c>
      <c r="M35" s="666" t="s">
        <v>798</v>
      </c>
      <c r="N35" s="666" t="s">
        <v>799</v>
      </c>
      <c r="O35" s="658" t="s">
        <v>800</v>
      </c>
      <c r="P35" s="658" t="s">
        <v>801</v>
      </c>
      <c r="Q35" s="667" t="s">
        <v>802</v>
      </c>
      <c r="R35" s="667" t="s">
        <v>803</v>
      </c>
      <c r="S35" s="667" t="s">
        <v>804</v>
      </c>
      <c r="T35" s="667" t="s">
        <v>805</v>
      </c>
    </row>
    <row r="36">
      <c r="A36" s="708" t="s">
        <v>829</v>
      </c>
      <c r="B36" s="669" t="s">
        <v>815</v>
      </c>
      <c r="C36" s="670" t="s">
        <v>808</v>
      </c>
      <c r="D36" s="670">
        <f t="shared" ref="D36:D40" si="160">E36+F36</f>
      </c>
      <c r="E36" s="670">
        <v>1493.16</v>
      </c>
      <c r="F36" s="670">
        <v>2433.05</v>
      </c>
      <c r="G36" s="709">
        <v>21</v>
      </c>
      <c r="H36" s="698">
        <v>10448.3</v>
      </c>
      <c r="I36" s="672">
        <f t="shared" ref="I36:I51" si="126">H36/D36</f>
      </c>
      <c r="J36" s="672">
        <f t="shared" ref="J36:J51" si="95">D36/G36</f>
      </c>
      <c r="K36" s="673">
        <f t="shared" ref="K36:K51" si="64">H36/G36</f>
      </c>
      <c r="L36" s="674">
        <f t="shared" ref="L36:L51" si="33">R36/Q36</f>
      </c>
      <c r="M36" s="675">
        <f t="shared" ref="M36:M51" si="2">G36/S36</f>
      </c>
      <c r="N36" s="676">
        <f t="shared" ref="N36:N51" si="250">(T36*1000)/D36</f>
      </c>
      <c r="O36" s="677" t="s">
        <v>809</v>
      </c>
      <c r="P36" s="710" t="s">
        <v>827</v>
      </c>
      <c r="Q36" s="679">
        <v>42367</v>
      </c>
      <c r="R36" s="679">
        <v>6756</v>
      </c>
      <c r="S36" s="711">
        <v>37</v>
      </c>
      <c r="T36" s="711">
        <v>96</v>
      </c>
    </row>
    <row r="37">
      <c r="A37" s="708"/>
      <c r="B37" s="669" t="s">
        <v>815</v>
      </c>
      <c r="C37" s="670" t="s">
        <v>811</v>
      </c>
      <c r="D37" s="670">
        <f t="shared" si="160"/>
      </c>
      <c r="E37" s="698">
        <v>1185.57</v>
      </c>
      <c r="F37" s="698">
        <v>7396.69</v>
      </c>
      <c r="G37" s="709">
        <v>24</v>
      </c>
      <c r="H37" s="698">
        <v>12733.41</v>
      </c>
      <c r="I37" s="672">
        <f t="shared" si="126"/>
      </c>
      <c r="J37" s="672">
        <f t="shared" si="95"/>
      </c>
      <c r="K37" s="673">
        <f t="shared" si="64"/>
      </c>
      <c r="L37" s="674">
        <f t="shared" si="33"/>
      </c>
      <c r="M37" s="675">
        <f t="shared" si="2"/>
      </c>
      <c r="N37" s="676">
        <f t="shared" si="250"/>
      </c>
      <c r="O37" s="677" t="s">
        <v>809</v>
      </c>
      <c r="P37" s="710" t="s">
        <v>827</v>
      </c>
      <c r="Q37" s="679">
        <v>120249</v>
      </c>
      <c r="R37" s="679">
        <v>13451</v>
      </c>
      <c r="S37" s="711">
        <v>45</v>
      </c>
      <c r="T37" s="711">
        <v>199</v>
      </c>
    </row>
    <row r="38">
      <c r="A38" s="708"/>
      <c r="B38" s="669" t="s">
        <v>815</v>
      </c>
      <c r="C38" s="670" t="s">
        <v>812</v>
      </c>
      <c r="D38" s="670">
        <f t="shared" si="160"/>
      </c>
      <c r="E38" s="670">
        <v>809.4</v>
      </c>
      <c r="F38" s="670">
        <v>6463.98</v>
      </c>
      <c r="G38" s="680">
        <v>24</v>
      </c>
      <c r="H38" s="681">
        <v>14613.04</v>
      </c>
      <c r="I38" s="672">
        <f t="shared" si="126"/>
      </c>
      <c r="J38" s="672">
        <f t="shared" si="95"/>
      </c>
      <c r="K38" s="673">
        <f t="shared" si="64"/>
      </c>
      <c r="L38" s="674">
        <f t="shared" si="33"/>
      </c>
      <c r="M38" s="675">
        <f t="shared" si="2"/>
      </c>
      <c r="N38" s="676">
        <f t="shared" si="250"/>
      </c>
      <c r="O38" s="677" t="s">
        <v>809</v>
      </c>
      <c r="P38" s="710" t="s">
        <v>827</v>
      </c>
      <c r="Q38" s="679">
        <v>106715</v>
      </c>
      <c r="R38" s="679">
        <v>12150</v>
      </c>
      <c r="S38" s="711">
        <v>25</v>
      </c>
      <c r="T38" s="711">
        <v>116</v>
      </c>
    </row>
    <row customHeight="true" ht="16.666666666666668" r="39">
      <c r="A39" s="708"/>
      <c r="B39" s="669" t="s">
        <v>815</v>
      </c>
      <c r="C39" s="670" t="s">
        <v>813</v>
      </c>
      <c r="D39" s="670">
        <f t="shared" si="160"/>
      </c>
      <c r="E39" s="670">
        <v>1178.3</v>
      </c>
      <c r="F39" s="682">
        <v>4306.58</v>
      </c>
      <c r="G39" s="712">
        <v>15</v>
      </c>
      <c r="H39" s="681">
        <v>8421.519999999997</v>
      </c>
      <c r="I39" s="683">
        <f t="shared" si="126"/>
      </c>
      <c r="J39" s="672">
        <f t="shared" si="95"/>
      </c>
      <c r="K39" s="673">
        <f t="shared" si="64"/>
      </c>
      <c r="L39" s="674">
        <f t="shared" si="33"/>
      </c>
      <c r="M39" s="675">
        <f t="shared" si="2"/>
      </c>
      <c r="N39" s="676">
        <f t="shared" si="250"/>
      </c>
      <c r="O39" s="677" t="s">
        <v>809</v>
      </c>
      <c r="P39" s="710" t="s">
        <v>827</v>
      </c>
      <c r="Q39" s="679">
        <v>67036</v>
      </c>
      <c r="R39" s="679">
        <v>7565</v>
      </c>
      <c r="S39" s="711">
        <v>26</v>
      </c>
      <c r="T39" s="711">
        <v>134</v>
      </c>
    </row>
    <row r="40">
      <c r="A40" s="708"/>
      <c r="B40" s="669" t="s">
        <v>815</v>
      </c>
      <c r="C40" s="698" t="s">
        <v>816</v>
      </c>
      <c r="D40" s="670">
        <f t="shared" si="160"/>
      </c>
      <c r="E40" s="670">
        <v>868.08</v>
      </c>
      <c r="F40" s="682">
        <v>2739.62</v>
      </c>
      <c r="G40" s="712">
        <v>16</v>
      </c>
      <c r="H40" s="681">
        <v>8706.480000000003</v>
      </c>
      <c r="I40" s="683">
        <f t="shared" si="126"/>
      </c>
      <c r="J40" s="672">
        <f t="shared" si="95"/>
      </c>
      <c r="K40" s="673">
        <f t="shared" si="64"/>
      </c>
      <c r="L40" s="674">
        <f t="shared" si="33"/>
      </c>
      <c r="M40" s="675">
        <f t="shared" si="2"/>
      </c>
      <c r="N40" s="676">
        <f t="shared" si="250"/>
      </c>
      <c r="O40" s="677" t="s">
        <v>809</v>
      </c>
      <c r="P40" s="710" t="s">
        <v>827</v>
      </c>
      <c r="Q40" s="679">
        <v>41770</v>
      </c>
      <c r="R40" s="679">
        <v>4554</v>
      </c>
      <c r="S40" s="711">
        <v>17</v>
      </c>
      <c r="T40" s="711">
        <v>71</v>
      </c>
    </row>
    <row r="41">
      <c r="A41" s="708"/>
      <c r="B41" s="684" t="s">
        <v>814</v>
      </c>
      <c r="C41" s="684"/>
      <c r="D41" s="685">
        <f>SUM(D36:D40)</f>
      </c>
      <c r="E41" s="685">
        <f>SUM(E36:E40)</f>
      </c>
      <c r="F41" s="686">
        <f>SUM(F36:F40)</f>
      </c>
      <c r="G41" s="713">
        <f>SUM(G36:G40)</f>
      </c>
      <c r="H41" s="714">
        <f>SUM(H36:H40)</f>
      </c>
      <c r="I41" s="688">
        <f t="shared" si="126"/>
      </c>
      <c r="J41" s="689">
        <f t="shared" si="95"/>
      </c>
      <c r="K41" s="690">
        <f t="shared" si="64"/>
      </c>
      <c r="L41" s="691">
        <f t="shared" si="33"/>
      </c>
      <c r="M41" s="691">
        <f t="shared" si="2"/>
      </c>
      <c r="N41" s="692">
        <f t="shared" si="250"/>
      </c>
      <c r="O41" s="692"/>
      <c r="P41" s="692"/>
      <c r="Q41" s="693">
        <f>SUM(Q36:Q40)</f>
      </c>
      <c r="R41" s="693">
        <f>SUM(R36:R40)</f>
      </c>
      <c r="S41" s="693">
        <f>SUM(S36:S40)</f>
      </c>
      <c r="T41" s="693">
        <f>SUM(T36:T40)</f>
      </c>
    </row>
    <row r="42">
      <c r="A42" s="708"/>
      <c r="B42" s="670" t="s">
        <v>807</v>
      </c>
      <c r="C42" s="670" t="s">
        <v>817</v>
      </c>
      <c r="D42" s="670">
        <f t="shared" ref="D42:D46" si="161">E42+F42</f>
      </c>
      <c r="E42" s="670">
        <v>902.35</v>
      </c>
      <c r="F42" s="670">
        <v>2527.6</v>
      </c>
      <c r="G42" s="715">
        <v>14</v>
      </c>
      <c r="H42" s="696">
        <v>4841.779999999999</v>
      </c>
      <c r="I42" s="672">
        <f t="shared" si="126"/>
      </c>
      <c r="J42" s="672">
        <f t="shared" si="95"/>
      </c>
      <c r="K42" s="673">
        <f t="shared" si="64"/>
      </c>
      <c r="L42" s="674">
        <f t="shared" si="33"/>
      </c>
      <c r="M42" s="675">
        <f t="shared" si="2"/>
      </c>
      <c r="N42" s="676">
        <f t="shared" si="250"/>
      </c>
      <c r="O42" s="677" t="s">
        <v>809</v>
      </c>
      <c r="P42" s="710" t="s">
        <v>827</v>
      </c>
      <c r="Q42" s="667">
        <v>37157</v>
      </c>
      <c r="R42" s="667">
        <v>4656</v>
      </c>
      <c r="S42" s="716">
        <v>15</v>
      </c>
      <c r="T42" s="716">
        <v>73</v>
      </c>
    </row>
    <row r="43">
      <c r="A43" s="708"/>
      <c r="B43" s="670" t="s">
        <v>807</v>
      </c>
      <c r="C43" s="670" t="s">
        <v>818</v>
      </c>
      <c r="D43" s="670">
        <f t="shared" si="161"/>
      </c>
      <c r="E43" s="670">
        <v>870.4</v>
      </c>
      <c r="F43" s="670">
        <v>2556.91</v>
      </c>
      <c r="G43" s="709">
        <v>26</v>
      </c>
      <c r="H43" s="670">
        <v>11873.12000000001</v>
      </c>
      <c r="I43" s="672">
        <f t="shared" si="126"/>
      </c>
      <c r="J43" s="672">
        <f t="shared" si="95"/>
      </c>
      <c r="K43" s="673">
        <f t="shared" si="64"/>
      </c>
      <c r="L43" s="674">
        <f t="shared" si="33"/>
      </c>
      <c r="M43" s="675">
        <f t="shared" si="2"/>
      </c>
      <c r="N43" s="676">
        <f t="shared" si="250"/>
      </c>
      <c r="O43" s="677" t="s">
        <v>809</v>
      </c>
      <c r="P43" s="710" t="s">
        <v>827</v>
      </c>
      <c r="Q43" s="697">
        <v>39301</v>
      </c>
      <c r="R43" s="697">
        <v>5022</v>
      </c>
      <c r="S43" s="717">
        <v>32</v>
      </c>
      <c r="T43" s="717">
        <v>89</v>
      </c>
    </row>
    <row r="44">
      <c r="A44" s="708"/>
      <c r="B44" s="670" t="s">
        <v>807</v>
      </c>
      <c r="C44" s="670" t="s">
        <v>819</v>
      </c>
      <c r="D44" s="670">
        <f t="shared" si="161"/>
      </c>
      <c r="E44" s="670">
        <v>1034.42</v>
      </c>
      <c r="F44" s="670">
        <v>3896.83</v>
      </c>
      <c r="G44" s="671">
        <v>25</v>
      </c>
      <c r="H44" s="670">
        <v>11731.859999999986</v>
      </c>
      <c r="I44" s="672">
        <f t="shared" si="126"/>
      </c>
      <c r="J44" s="672">
        <f t="shared" si="95"/>
      </c>
      <c r="K44" s="673">
        <f t="shared" si="64"/>
      </c>
      <c r="L44" s="674">
        <f t="shared" si="33"/>
      </c>
      <c r="M44" s="675">
        <f t="shared" si="2"/>
      </c>
      <c r="N44" s="676">
        <f t="shared" si="250"/>
      </c>
      <c r="O44" s="677" t="s">
        <v>809</v>
      </c>
      <c r="P44" s="710" t="s">
        <v>827</v>
      </c>
      <c r="Q44" s="697">
        <v>62115</v>
      </c>
      <c r="R44" s="697">
        <v>7918</v>
      </c>
      <c r="S44" s="717">
        <v>28</v>
      </c>
      <c r="T44" s="717">
        <v>113</v>
      </c>
    </row>
    <row customHeight="true" ht="16.666666666666668" r="45">
      <c r="A45" s="708"/>
      <c r="B45" s="670" t="s">
        <v>807</v>
      </c>
      <c r="C45" s="698" t="s">
        <v>830</v>
      </c>
      <c r="D45" s="670">
        <f t="shared" si="161"/>
      </c>
      <c r="E45" s="698">
        <v>1547.61</v>
      </c>
      <c r="F45" s="698">
        <v>10020.54</v>
      </c>
      <c r="G45" s="709">
        <v>23</v>
      </c>
      <c r="H45" s="670">
        <v>9086.080000000002</v>
      </c>
      <c r="I45" s="672">
        <f t="shared" si="126"/>
      </c>
      <c r="J45" s="672">
        <f t="shared" si="95"/>
      </c>
      <c r="K45" s="673">
        <f t="shared" si="64"/>
      </c>
      <c r="L45" s="674">
        <f t="shared" si="33"/>
      </c>
      <c r="M45" s="675">
        <f t="shared" si="2"/>
      </c>
      <c r="N45" s="676">
        <f t="shared" si="250"/>
      </c>
      <c r="O45" s="677" t="s">
        <v>809</v>
      </c>
      <c r="P45" s="710" t="s">
        <v>822</v>
      </c>
      <c r="Q45" s="717">
        <v>132359</v>
      </c>
      <c r="R45" s="717">
        <v>17592</v>
      </c>
      <c r="S45" s="717">
        <v>38</v>
      </c>
      <c r="T45" s="717">
        <v>193</v>
      </c>
    </row>
    <row r="46">
      <c r="A46" s="708"/>
      <c r="B46" s="670" t="s">
        <v>807</v>
      </c>
      <c r="C46" s="698" t="s">
        <v>831</v>
      </c>
      <c r="D46" s="670">
        <f t="shared" si="161"/>
      </c>
      <c r="E46" s="698">
        <v>1858.04</v>
      </c>
      <c r="F46" s="698">
        <v>1525.4</v>
      </c>
      <c r="G46" s="709">
        <v>11</v>
      </c>
      <c r="H46" s="698">
        <v>6043.08</v>
      </c>
      <c r="I46" s="672">
        <f t="shared" si="126"/>
      </c>
      <c r="J46" s="672">
        <f t="shared" si="95"/>
      </c>
      <c r="K46" s="673">
        <f t="shared" si="64"/>
      </c>
      <c r="L46" s="674">
        <f t="shared" si="33"/>
      </c>
      <c r="M46" s="675">
        <f t="shared" si="2"/>
      </c>
      <c r="N46" s="676">
        <f t="shared" si="250"/>
      </c>
      <c r="O46" s="677" t="s">
        <v>809</v>
      </c>
      <c r="P46" s="710" t="s">
        <v>822</v>
      </c>
      <c r="Q46" s="697">
        <v>48243</v>
      </c>
      <c r="R46" s="697">
        <v>3598</v>
      </c>
      <c r="S46" s="717">
        <v>19</v>
      </c>
      <c r="T46" s="717">
        <v>86</v>
      </c>
    </row>
    <row r="47">
      <c r="A47" s="708"/>
      <c r="B47" s="684" t="s">
        <v>814</v>
      </c>
      <c r="C47" s="684"/>
      <c r="D47" s="685">
        <f>SUM(D42:D46)</f>
      </c>
      <c r="E47" s="685">
        <f>SUM(E42:E46)</f>
      </c>
      <c r="F47" s="685">
        <f>SUM(F42:F46)</f>
      </c>
      <c r="G47" s="687">
        <f>SUM(G42:G46)</f>
      </c>
      <c r="H47" s="685">
        <f>SUM(H42:H46)</f>
      </c>
      <c r="I47" s="699">
        <f t="shared" si="126"/>
      </c>
      <c r="J47" s="689">
        <f t="shared" si="95"/>
      </c>
      <c r="K47" s="690">
        <f t="shared" si="64"/>
      </c>
      <c r="L47" s="691">
        <f t="shared" si="33"/>
      </c>
      <c r="M47" s="691">
        <f t="shared" si="2"/>
      </c>
      <c r="N47" s="692">
        <f t="shared" si="250"/>
      </c>
      <c r="O47" s="692"/>
      <c r="P47" s="692"/>
      <c r="Q47" s="693">
        <f>SUM(Q42:Q46)</f>
      </c>
      <c r="R47" s="693">
        <f>SUM(R42:R46)</f>
      </c>
      <c r="S47" s="693">
        <f>SUM(S42:S46)</f>
      </c>
      <c r="T47" s="693">
        <f>SUM(T42:T46)</f>
      </c>
    </row>
    <row r="48">
      <c r="A48" s="708"/>
      <c r="B48" s="718" t="s">
        <v>828</v>
      </c>
      <c r="C48" s="698" t="s">
        <v>832</v>
      </c>
      <c r="D48" s="670">
        <f t="shared" ref="D48:D49" si="162">E48+F48</f>
      </c>
      <c r="E48" s="698">
        <v>1111.46</v>
      </c>
      <c r="F48" s="698">
        <v>6419.37</v>
      </c>
      <c r="G48" s="709">
        <v>16</v>
      </c>
      <c r="H48" s="698">
        <v>9831.36</v>
      </c>
      <c r="I48" s="672">
        <f t="shared" si="126"/>
      </c>
      <c r="J48" s="672">
        <f t="shared" si="95"/>
      </c>
      <c r="K48" s="673">
        <f t="shared" si="64"/>
      </c>
      <c r="L48" s="674">
        <f t="shared" si="33"/>
      </c>
      <c r="M48" s="675">
        <f t="shared" si="2"/>
      </c>
      <c r="N48" s="676">
        <f t="shared" si="250"/>
      </c>
      <c r="O48" s="677" t="s">
        <v>809</v>
      </c>
      <c r="P48" s="710" t="s">
        <v>822</v>
      </c>
      <c r="Q48" s="717">
        <v>83302</v>
      </c>
      <c r="R48" s="717">
        <v>11964</v>
      </c>
      <c r="S48" s="717">
        <v>22</v>
      </c>
      <c r="T48" s="717">
        <v>95</v>
      </c>
    </row>
    <row customHeight="true" ht="16.666666666666668" r="49">
      <c r="A49" s="708"/>
      <c r="B49" s="718" t="s">
        <v>828</v>
      </c>
      <c r="C49" s="698" t="s">
        <v>833</v>
      </c>
      <c r="D49" s="670">
        <f t="shared" si="162"/>
      </c>
      <c r="E49" s="698">
        <v>1382.24</v>
      </c>
      <c r="F49" s="698">
        <v>2179.57</v>
      </c>
      <c r="G49" s="671">
        <v>4</v>
      </c>
      <c r="H49" s="670">
        <v>1322.8800000000047</v>
      </c>
      <c r="I49" s="672">
        <f t="shared" si="126"/>
      </c>
      <c r="J49" s="672">
        <f t="shared" si="95"/>
      </c>
      <c r="K49" s="673">
        <f t="shared" si="64"/>
      </c>
      <c r="L49" s="674">
        <f t="shared" si="33"/>
      </c>
      <c r="M49" s="675">
        <f t="shared" si="2"/>
      </c>
      <c r="N49" s="676">
        <f t="shared" si="250"/>
      </c>
      <c r="O49" s="677" t="s">
        <v>809</v>
      </c>
      <c r="P49" s="710" t="s">
        <v>822</v>
      </c>
      <c r="Q49" s="717">
        <v>50129</v>
      </c>
      <c r="R49" s="717">
        <v>6342</v>
      </c>
      <c r="S49" s="717">
        <v>5</v>
      </c>
      <c r="T49" s="717">
        <v>85</v>
      </c>
    </row>
    <row r="50">
      <c r="A50" s="708"/>
      <c r="B50" s="684" t="s">
        <v>814</v>
      </c>
      <c r="C50" s="684"/>
      <c r="D50" s="685">
        <f>SUM(D48:D49)</f>
      </c>
      <c r="E50" s="685">
        <f>SUM(E48:E49)</f>
      </c>
      <c r="F50" s="685">
        <f>SUM(F48:F49)</f>
      </c>
      <c r="G50" s="687">
        <f>SUM(G48:G49)</f>
      </c>
      <c r="H50" s="685">
        <f>SUM(H48:H49)</f>
      </c>
      <c r="I50" s="699">
        <f t="shared" si="126"/>
      </c>
      <c r="J50" s="689">
        <f t="shared" si="95"/>
      </c>
      <c r="K50" s="690">
        <f t="shared" si="64"/>
      </c>
      <c r="L50" s="691">
        <f t="shared" si="33"/>
      </c>
      <c r="M50" s="691">
        <f t="shared" si="2"/>
      </c>
      <c r="N50" s="692">
        <f t="shared" si="250"/>
      </c>
      <c r="O50" s="692"/>
      <c r="P50" s="692"/>
      <c r="Q50" s="693">
        <f>SUM(Q48:Q49)</f>
      </c>
      <c r="R50" s="693">
        <f>SUM(R48:R49)</f>
      </c>
      <c r="S50" s="693">
        <f>SUM(S48:S49)</f>
      </c>
      <c r="T50" s="693">
        <f>SUM(T48:T49)</f>
      </c>
    </row>
    <row r="51">
      <c r="A51" s="708"/>
      <c r="B51" s="700" t="s">
        <v>825</v>
      </c>
      <c r="C51" s="700"/>
      <c r="D51" s="701">
        <f>D41+D50+D47</f>
      </c>
      <c r="E51" s="701">
        <f>E41+E50+E47</f>
      </c>
      <c r="F51" s="701">
        <f>F41+F50+F47</f>
      </c>
      <c r="G51" s="702">
        <f>G41+G50+G47</f>
      </c>
      <c r="H51" s="701">
        <f>H41+H50+H47</f>
      </c>
      <c r="I51" s="703">
        <f t="shared" si="126"/>
      </c>
      <c r="J51" s="703">
        <f t="shared" si="95"/>
      </c>
      <c r="K51" s="704">
        <f t="shared" si="64"/>
      </c>
      <c r="L51" s="705">
        <f t="shared" si="33"/>
      </c>
      <c r="M51" s="705">
        <f t="shared" si="2"/>
      </c>
      <c r="N51" s="703">
        <f t="shared" si="250"/>
      </c>
      <c r="O51" s="706"/>
      <c r="P51" s="706"/>
      <c r="Q51" s="707">
        <f>Q41+Q50+Q47</f>
      </c>
      <c r="R51" s="707">
        <f>R41+R50+R47</f>
      </c>
      <c r="S51" s="702">
        <f>S41+S50+S47</f>
      </c>
      <c r="T51" s="702">
        <f>T41+T50+T47</f>
      </c>
    </row>
    <row r="52">
      <c r="A52" s="655" t="s">
        <v>782</v>
      </c>
      <c r="B52" s="655"/>
      <c r="C52" s="655"/>
      <c r="D52" s="656" t="s">
        <v>783</v>
      </c>
      <c r="E52" s="656"/>
      <c r="F52" s="656"/>
      <c r="G52" s="657"/>
      <c r="H52" s="656"/>
      <c r="I52" s="656"/>
      <c r="J52" s="656"/>
      <c r="K52" s="656"/>
      <c r="L52" s="658" t="s">
        <v>784</v>
      </c>
      <c r="M52" s="658"/>
      <c r="N52" s="658"/>
      <c r="O52" s="658"/>
      <c r="P52" s="658"/>
      <c r="Q52" s="659" t="s">
        <v>785</v>
      </c>
      <c r="R52" s="659"/>
      <c r="S52" s="659"/>
      <c r="T52" s="659"/>
    </row>
    <row r="53">
      <c r="A53" s="660" t="s">
        <v>786</v>
      </c>
      <c r="B53" s="660" t="s">
        <v>787</v>
      </c>
      <c r="C53" s="660" t="s">
        <v>788</v>
      </c>
      <c r="D53" s="661" t="s">
        <v>789</v>
      </c>
      <c r="E53" s="661" t="s">
        <v>790</v>
      </c>
      <c r="F53" s="661" t="s">
        <v>791</v>
      </c>
      <c r="G53" s="662" t="s">
        <v>792</v>
      </c>
      <c r="H53" s="661" t="s">
        <v>793</v>
      </c>
      <c r="I53" s="663" t="s">
        <v>794</v>
      </c>
      <c r="J53" s="664" t="s">
        <v>795</v>
      </c>
      <c r="K53" s="665" t="s">
        <v>796</v>
      </c>
      <c r="L53" s="666" t="s">
        <v>797</v>
      </c>
      <c r="M53" s="666" t="s">
        <v>798</v>
      </c>
      <c r="N53" s="666" t="s">
        <v>799</v>
      </c>
      <c r="O53" s="658" t="s">
        <v>800</v>
      </c>
      <c r="P53" s="658" t="s">
        <v>801</v>
      </c>
      <c r="Q53" s="667" t="s">
        <v>802</v>
      </c>
      <c r="R53" s="667" t="s">
        <v>803</v>
      </c>
      <c r="S53" s="667" t="s">
        <v>804</v>
      </c>
      <c r="T53" s="667" t="s">
        <v>805</v>
      </c>
    </row>
    <row r="54">
      <c r="A54" s="708" t="s">
        <v>834</v>
      </c>
      <c r="B54" s="669" t="s">
        <v>815</v>
      </c>
      <c r="C54" s="670" t="s">
        <v>808</v>
      </c>
      <c r="D54" s="670">
        <f t="shared" ref="D54:D57" si="163">E54+F54</f>
      </c>
      <c r="E54" s="670">
        <v>4396.74</v>
      </c>
      <c r="F54" s="670">
        <v>4028.22</v>
      </c>
      <c r="G54" s="709">
        <v>32</v>
      </c>
      <c r="H54" s="670">
        <v>18037.9</v>
      </c>
      <c r="I54" s="672">
        <f t="shared" ref="I54:I65" si="127">H54/D54</f>
      </c>
      <c r="J54" s="672">
        <f t="shared" ref="J54:J65" si="96">D54/G54</f>
      </c>
      <c r="K54" s="673">
        <f t="shared" ref="K54:K65" si="65">H54/G54</f>
      </c>
      <c r="L54" s="674">
        <f t="shared" ref="L54:L65" si="34">R54/Q54</f>
      </c>
      <c r="M54" s="675">
        <f t="shared" ref="M54:M65" si="3">G54/S54</f>
      </c>
      <c r="N54" s="676">
        <f t="shared" ref="N54:N65" si="251">(T54*1000)/D54</f>
      </c>
      <c r="O54" s="677" t="s">
        <v>809</v>
      </c>
      <c r="P54" s="678" t="s">
        <v>827</v>
      </c>
      <c r="Q54" s="679">
        <v>81329</v>
      </c>
      <c r="R54" s="679">
        <v>13339</v>
      </c>
      <c r="S54" s="711">
        <v>42</v>
      </c>
      <c r="T54" s="711">
        <v>172</v>
      </c>
    </row>
    <row r="55">
      <c r="A55" s="668"/>
      <c r="B55" s="669" t="s">
        <v>815</v>
      </c>
      <c r="C55" s="670" t="s">
        <v>811</v>
      </c>
      <c r="D55" s="670">
        <f t="shared" si="163"/>
      </c>
      <c r="E55" s="670">
        <v>7143.24</v>
      </c>
      <c r="F55" s="670">
        <v>2719.83</v>
      </c>
      <c r="G55" s="671">
        <v>20</v>
      </c>
      <c r="H55" s="670">
        <v>18581.410000000003</v>
      </c>
      <c r="I55" s="672">
        <f t="shared" si="127"/>
      </c>
      <c r="J55" s="672">
        <f t="shared" si="96"/>
      </c>
      <c r="K55" s="673">
        <f t="shared" si="65"/>
      </c>
      <c r="L55" s="674">
        <f t="shared" si="34"/>
      </c>
      <c r="M55" s="675">
        <f t="shared" si="3"/>
      </c>
      <c r="N55" s="676">
        <f t="shared" si="251"/>
      </c>
      <c r="O55" s="677" t="s">
        <v>809</v>
      </c>
      <c r="P55" s="678" t="s">
        <v>827</v>
      </c>
      <c r="Q55" s="679">
        <v>101325</v>
      </c>
      <c r="R55" s="679">
        <v>16591</v>
      </c>
      <c r="S55" s="711">
        <v>36</v>
      </c>
      <c r="T55" s="711">
        <v>170</v>
      </c>
    </row>
    <row r="56">
      <c r="A56" s="668"/>
      <c r="B56" s="669" t="s">
        <v>815</v>
      </c>
      <c r="C56" s="670" t="s">
        <v>812</v>
      </c>
      <c r="D56" s="670">
        <f t="shared" si="163"/>
      </c>
      <c r="E56" s="670">
        <v>2368.51</v>
      </c>
      <c r="F56" s="670">
        <v>676.6</v>
      </c>
      <c r="G56" s="680">
        <v>10</v>
      </c>
      <c r="H56" s="681">
        <v>5828.039999999994</v>
      </c>
      <c r="I56" s="672">
        <f t="shared" si="127"/>
      </c>
      <c r="J56" s="672">
        <f t="shared" si="96"/>
      </c>
      <c r="K56" s="673">
        <f t="shared" si="65"/>
      </c>
      <c r="L56" s="674">
        <f t="shared" si="34"/>
      </c>
      <c r="M56" s="675">
        <f t="shared" si="3"/>
      </c>
      <c r="N56" s="676">
        <f t="shared" si="251"/>
      </c>
      <c r="O56" s="677" t="s">
        <v>809</v>
      </c>
      <c r="P56" s="678" t="s">
        <v>827</v>
      </c>
      <c r="Q56" s="679">
        <v>27382</v>
      </c>
      <c r="R56" s="679">
        <v>3945</v>
      </c>
      <c r="S56" s="711">
        <v>17</v>
      </c>
      <c r="T56" s="711">
        <v>51</v>
      </c>
    </row>
    <row r="57">
      <c r="A57" s="668"/>
      <c r="B57" s="669" t="s">
        <v>815</v>
      </c>
      <c r="C57" s="670" t="s">
        <v>813</v>
      </c>
      <c r="D57" s="670">
        <f t="shared" si="163"/>
      </c>
      <c r="E57" s="670">
        <v>2421.45</v>
      </c>
      <c r="F57" s="682">
        <v>996.19</v>
      </c>
      <c r="G57" s="712">
        <v>14</v>
      </c>
      <c r="H57" s="719">
        <v>9012.14</v>
      </c>
      <c r="I57" s="672">
        <f t="shared" si="127"/>
      </c>
      <c r="J57" s="672">
        <f t="shared" si="96"/>
      </c>
      <c r="K57" s="673">
        <f t="shared" si="65"/>
      </c>
      <c r="L57" s="674">
        <f t="shared" si="34"/>
      </c>
      <c r="M57" s="675">
        <f t="shared" si="3"/>
      </c>
      <c r="N57" s="676">
        <f t="shared" si="251"/>
      </c>
      <c r="O57" s="677" t="s">
        <v>809</v>
      </c>
      <c r="P57" s="678" t="s">
        <v>827</v>
      </c>
      <c r="Q57" s="679">
        <v>26867</v>
      </c>
      <c r="R57" s="679">
        <v>3750</v>
      </c>
      <c r="S57" s="711">
        <v>15</v>
      </c>
      <c r="T57" s="711">
        <v>62</v>
      </c>
    </row>
    <row r="58">
      <c r="A58" s="668"/>
      <c r="B58" s="684" t="s">
        <v>814</v>
      </c>
      <c r="C58" s="684"/>
      <c r="D58" s="685">
        <f>SUM(D54:D57)</f>
      </c>
      <c r="E58" s="685">
        <f>SUM(E54:E57)</f>
      </c>
      <c r="F58" s="686">
        <f>SUM(F54:F57)</f>
      </c>
      <c r="G58" s="687">
        <f>SUM(G54:G57)</f>
      </c>
      <c r="H58" s="685">
        <f>SUM(H54:H57)</f>
      </c>
      <c r="I58" s="688">
        <f t="shared" si="127"/>
      </c>
      <c r="J58" s="689">
        <f t="shared" si="96"/>
      </c>
      <c r="K58" s="690">
        <f t="shared" si="65"/>
      </c>
      <c r="L58" s="691">
        <f t="shared" si="34"/>
      </c>
      <c r="M58" s="691">
        <f t="shared" si="3"/>
      </c>
      <c r="N58" s="692">
        <f t="shared" si="251"/>
      </c>
      <c r="O58" s="692"/>
      <c r="P58" s="692"/>
      <c r="Q58" s="693">
        <f>SUM(Q54:Q57)</f>
      </c>
      <c r="R58" s="693">
        <f>SUM(R54:R57)</f>
      </c>
      <c r="S58" s="693">
        <f>SUM(S54:S57)</f>
      </c>
      <c r="T58" s="693">
        <f>SUM(T54:T57)</f>
      </c>
    </row>
    <row r="59">
      <c r="A59" s="668"/>
      <c r="B59" s="670" t="s">
        <v>807</v>
      </c>
      <c r="C59" s="670" t="s">
        <v>816</v>
      </c>
      <c r="D59" s="670">
        <f t="shared" ref="D59:D63" si="164">E59+F59</f>
      </c>
      <c r="E59" s="670">
        <v>3381.03</v>
      </c>
      <c r="F59" s="670">
        <v>1355.77</v>
      </c>
      <c r="G59" s="695">
        <v>24</v>
      </c>
      <c r="H59" s="696">
        <v>7893.300000000003</v>
      </c>
      <c r="I59" s="672">
        <f t="shared" si="127"/>
      </c>
      <c r="J59" s="672">
        <f t="shared" si="96"/>
      </c>
      <c r="K59" s="673">
        <f t="shared" si="65"/>
      </c>
      <c r="L59" s="674">
        <f t="shared" si="34"/>
      </c>
      <c r="M59" s="675">
        <f t="shared" si="3"/>
      </c>
      <c r="N59" s="676">
        <f t="shared" si="251"/>
      </c>
      <c r="O59" s="677" t="s">
        <v>809</v>
      </c>
      <c r="P59" s="678" t="s">
        <v>827</v>
      </c>
      <c r="Q59" s="667">
        <v>33616</v>
      </c>
      <c r="R59" s="667">
        <v>4503</v>
      </c>
      <c r="S59" s="716">
        <v>37</v>
      </c>
      <c r="T59" s="716">
        <v>113</v>
      </c>
    </row>
    <row r="60">
      <c r="A60" s="668"/>
      <c r="B60" s="670" t="s">
        <v>807</v>
      </c>
      <c r="C60" s="670" t="s">
        <v>817</v>
      </c>
      <c r="D60" s="670">
        <f t="shared" si="164"/>
      </c>
      <c r="E60" s="670">
        <v>2329.94</v>
      </c>
      <c r="F60" s="670">
        <v>944.74</v>
      </c>
      <c r="G60" s="671">
        <v>5</v>
      </c>
      <c r="H60" s="670">
        <v>1537.9199999999983</v>
      </c>
      <c r="I60" s="672">
        <f t="shared" si="127"/>
      </c>
      <c r="J60" s="672">
        <f t="shared" si="96"/>
      </c>
      <c r="K60" s="673">
        <f t="shared" si="65"/>
      </c>
      <c r="L60" s="674">
        <f t="shared" si="34"/>
      </c>
      <c r="M60" s="675">
        <f t="shared" si="3"/>
      </c>
      <c r="N60" s="676">
        <f t="shared" si="251"/>
      </c>
      <c r="O60" s="677" t="s">
        <v>809</v>
      </c>
      <c r="P60" s="678" t="s">
        <v>827</v>
      </c>
      <c r="Q60" s="697">
        <v>27295</v>
      </c>
      <c r="R60" s="697">
        <v>3831</v>
      </c>
      <c r="S60" s="717">
        <v>9</v>
      </c>
      <c r="T60" s="717">
        <v>52</v>
      </c>
    </row>
    <row r="61">
      <c r="A61" s="668"/>
      <c r="B61" s="670" t="s">
        <v>807</v>
      </c>
      <c r="C61" s="670" t="s">
        <v>818</v>
      </c>
      <c r="D61" s="670">
        <f t="shared" si="164"/>
      </c>
      <c r="E61" s="670">
        <v>2394.98</v>
      </c>
      <c r="F61" s="670">
        <v>1566.15</v>
      </c>
      <c r="G61" s="671">
        <v>8</v>
      </c>
      <c r="H61" s="670">
        <v>2163.3799999999974</v>
      </c>
      <c r="I61" s="672">
        <f t="shared" si="127"/>
      </c>
      <c r="J61" s="672">
        <f t="shared" si="96"/>
      </c>
      <c r="K61" s="673">
        <f t="shared" si="65"/>
      </c>
      <c r="L61" s="674">
        <f t="shared" si="34"/>
      </c>
      <c r="M61" s="675">
        <f t="shared" si="3"/>
      </c>
      <c r="N61" s="676">
        <f t="shared" si="251"/>
      </c>
      <c r="O61" s="677" t="s">
        <v>809</v>
      </c>
      <c r="P61" s="678" t="s">
        <v>827</v>
      </c>
      <c r="Q61" s="697">
        <v>39761</v>
      </c>
      <c r="R61" s="697">
        <v>5083</v>
      </c>
      <c r="S61" s="717">
        <v>15</v>
      </c>
      <c r="T61" s="717">
        <v>102</v>
      </c>
    </row>
    <row r="62">
      <c r="A62" s="668"/>
      <c r="B62" s="670" t="s">
        <v>807</v>
      </c>
      <c r="C62" s="670" t="s">
        <v>819</v>
      </c>
      <c r="D62" s="670">
        <f t="shared" si="164"/>
      </c>
      <c r="E62" s="670">
        <v>643.92</v>
      </c>
      <c r="F62" s="670">
        <v>1269.74</v>
      </c>
      <c r="G62" s="671">
        <v>6</v>
      </c>
      <c r="H62" s="670">
        <v>4061.9000000000087</v>
      </c>
      <c r="I62" s="672">
        <f t="shared" si="127"/>
      </c>
      <c r="J62" s="672">
        <f t="shared" si="96"/>
      </c>
      <c r="K62" s="673">
        <f t="shared" si="65"/>
      </c>
      <c r="L62" s="674">
        <f t="shared" si="34"/>
      </c>
      <c r="M62" s="675">
        <f t="shared" si="3"/>
      </c>
      <c r="N62" s="676">
        <f t="shared" si="251"/>
      </c>
      <c r="O62" s="677" t="s">
        <v>809</v>
      </c>
      <c r="P62" s="678" t="s">
        <v>827</v>
      </c>
      <c r="Q62" s="697">
        <v>17700</v>
      </c>
      <c r="R62" s="697">
        <v>2695</v>
      </c>
      <c r="S62" s="717">
        <v>10</v>
      </c>
      <c r="T62" s="717">
        <v>47</v>
      </c>
    </row>
    <row customHeight="true" ht="16.666666666666668" r="63">
      <c r="A63" s="668"/>
      <c r="B63" s="670" t="s">
        <v>807</v>
      </c>
      <c r="C63" s="698" t="s">
        <v>830</v>
      </c>
      <c r="D63" s="670">
        <f t="shared" si="164"/>
      </c>
      <c r="E63" s="670">
        <v>1912.71</v>
      </c>
      <c r="F63" s="670">
        <v>1767.72</v>
      </c>
      <c r="G63" s="671">
        <v>13</v>
      </c>
      <c r="H63" s="670">
        <v>8088.449999999997</v>
      </c>
      <c r="I63" s="672">
        <f t="shared" si="127"/>
      </c>
      <c r="J63" s="672">
        <f t="shared" si="96"/>
      </c>
      <c r="K63" s="673">
        <f t="shared" si="65"/>
      </c>
      <c r="L63" s="674">
        <f t="shared" si="34"/>
      </c>
      <c r="M63" s="675">
        <f t="shared" si="3"/>
      </c>
      <c r="N63" s="676">
        <f t="shared" si="251"/>
      </c>
      <c r="O63" s="677" t="s">
        <v>809</v>
      </c>
      <c r="P63" s="678" t="s">
        <v>827</v>
      </c>
      <c r="Q63" s="697">
        <v>41794</v>
      </c>
      <c r="R63" s="697">
        <v>5492</v>
      </c>
      <c r="S63" s="717">
        <v>22</v>
      </c>
      <c r="T63" s="717">
        <v>105</v>
      </c>
    </row>
    <row r="64">
      <c r="A64" s="668"/>
      <c r="B64" s="684" t="s">
        <v>814</v>
      </c>
      <c r="C64" s="684"/>
      <c r="D64" s="685">
        <f>SUM(D59:D63)</f>
      </c>
      <c r="E64" s="685">
        <f>SUM(E59:E63)</f>
      </c>
      <c r="F64" s="685">
        <f>SUM(F59:F63)</f>
      </c>
      <c r="G64" s="687">
        <f>SUM(G59:G63)</f>
      </c>
      <c r="H64" s="685">
        <f>SUM(H59:H63)</f>
      </c>
      <c r="I64" s="699">
        <f t="shared" si="127"/>
      </c>
      <c r="J64" s="689">
        <f t="shared" si="96"/>
      </c>
      <c r="K64" s="690">
        <f t="shared" si="65"/>
      </c>
      <c r="L64" s="691">
        <f t="shared" si="34"/>
      </c>
      <c r="M64" s="691">
        <f t="shared" si="3"/>
      </c>
      <c r="N64" s="692">
        <f t="shared" si="251"/>
      </c>
      <c r="O64" s="692"/>
      <c r="P64" s="692"/>
      <c r="Q64" s="693">
        <f>SUM(Q59:Q63)</f>
      </c>
      <c r="R64" s="693">
        <f>SUM(R59:R63)</f>
      </c>
      <c r="S64" s="693">
        <f>SUM(S59:S63)</f>
      </c>
      <c r="T64" s="693">
        <f>SUM(T59:T63)</f>
      </c>
    </row>
    <row r="65">
      <c r="A65" s="668"/>
      <c r="B65" s="700" t="s">
        <v>825</v>
      </c>
      <c r="C65" s="700"/>
      <c r="D65" s="701">
        <f>D58+D64</f>
      </c>
      <c r="E65" s="701">
        <f>E58+E64</f>
      </c>
      <c r="F65" s="701">
        <f>F58+F64</f>
      </c>
      <c r="G65" s="702">
        <f>G58+G64</f>
      </c>
      <c r="H65" s="701">
        <f>H58+H64</f>
      </c>
      <c r="I65" s="703">
        <f t="shared" si="127"/>
      </c>
      <c r="J65" s="703">
        <f t="shared" si="96"/>
      </c>
      <c r="K65" s="704">
        <f t="shared" si="65"/>
      </c>
      <c r="L65" s="705">
        <f t="shared" si="34"/>
      </c>
      <c r="M65" s="705">
        <f t="shared" si="3"/>
      </c>
      <c r="N65" s="703">
        <f t="shared" si="251"/>
      </c>
      <c r="O65" s="706"/>
      <c r="P65" s="706"/>
      <c r="Q65" s="707">
        <f>Q58+Q64</f>
      </c>
      <c r="R65" s="707">
        <f>R58+R64</f>
      </c>
      <c r="S65" s="702">
        <f>S58+S64</f>
      </c>
      <c r="T65" s="702">
        <f>T58+T64</f>
      </c>
    </row>
    <row r="66">
      <c r="A66" s="655" t="s">
        <v>782</v>
      </c>
      <c r="B66" s="655"/>
      <c r="C66" s="655"/>
      <c r="D66" s="656" t="s">
        <v>783</v>
      </c>
      <c r="E66" s="656"/>
      <c r="F66" s="656"/>
      <c r="G66" s="657"/>
      <c r="H66" s="656"/>
      <c r="I66" s="656"/>
      <c r="J66" s="656"/>
      <c r="K66" s="656"/>
      <c r="L66" s="666" t="s">
        <v>784</v>
      </c>
      <c r="M66" s="666"/>
      <c r="N66" s="666"/>
      <c r="O66" s="666"/>
      <c r="P66" s="666"/>
      <c r="Q66" s="659" t="s">
        <v>785</v>
      </c>
      <c r="R66" s="659"/>
      <c r="S66" s="659"/>
      <c r="T66" s="659"/>
    </row>
    <row r="67">
      <c r="A67" s="660" t="s">
        <v>786</v>
      </c>
      <c r="B67" s="720" t="s">
        <v>787</v>
      </c>
      <c r="C67" s="720" t="s">
        <v>788</v>
      </c>
      <c r="D67" s="661" t="s">
        <v>789</v>
      </c>
      <c r="E67" s="721" t="s">
        <v>790</v>
      </c>
      <c r="F67" s="722" t="s">
        <v>791</v>
      </c>
      <c r="G67" s="662" t="s">
        <v>792</v>
      </c>
      <c r="H67" s="661" t="s">
        <v>793</v>
      </c>
      <c r="I67" s="663" t="s">
        <v>794</v>
      </c>
      <c r="J67" s="664" t="s">
        <v>795</v>
      </c>
      <c r="K67" s="665" t="s">
        <v>796</v>
      </c>
      <c r="L67" s="666" t="s">
        <v>797</v>
      </c>
      <c r="M67" s="666" t="s">
        <v>798</v>
      </c>
      <c r="N67" s="666" t="s">
        <v>799</v>
      </c>
      <c r="O67" s="723" t="s">
        <v>800</v>
      </c>
      <c r="P67" s="723" t="s">
        <v>801</v>
      </c>
      <c r="Q67" s="667" t="s">
        <v>802</v>
      </c>
      <c r="R67" s="667" t="s">
        <v>803</v>
      </c>
      <c r="S67" s="667" t="s">
        <v>804</v>
      </c>
      <c r="T67" s="667" t="s">
        <v>805</v>
      </c>
    </row>
    <row r="68">
      <c r="A68" s="708" t="s">
        <v>835</v>
      </c>
      <c r="B68" s="694" t="s">
        <v>815</v>
      </c>
      <c r="C68" s="670" t="s">
        <v>808</v>
      </c>
      <c r="D68" s="682">
        <f t="shared" ref="D68:D71" si="165">E68+F68</f>
      </c>
      <c r="E68" s="724">
        <v>1503.39</v>
      </c>
      <c r="F68" s="724">
        <v>2118.94</v>
      </c>
      <c r="G68" s="725">
        <v>9</v>
      </c>
      <c r="H68" s="698">
        <v>3225.42</v>
      </c>
      <c r="I68" s="672">
        <f t="shared" ref="I68:I79" si="128">H68/D68</f>
      </c>
      <c r="J68" s="672">
        <f t="shared" ref="J68:J79" si="97">D68/G68</f>
      </c>
      <c r="K68" s="673">
        <f t="shared" ref="K68:K79" si="66">H68/G68</f>
      </c>
      <c r="L68" s="674">
        <f t="shared" ref="L68:L79" si="35">R68/Q68</f>
      </c>
      <c r="M68" s="675">
        <f t="shared" ref="M68:M79" si="4">G68/S68</f>
      </c>
      <c r="N68" s="676">
        <f t="shared" ref="N68:N79" si="252">(T68*1000)/D68</f>
      </c>
      <c r="O68" s="677" t="s">
        <v>809</v>
      </c>
      <c r="P68" s="678" t="s">
        <v>827</v>
      </c>
      <c r="Q68" s="679">
        <v>36522</v>
      </c>
      <c r="R68" s="679">
        <v>4471</v>
      </c>
      <c r="S68" s="711">
        <v>18</v>
      </c>
      <c r="T68" s="711">
        <v>68</v>
      </c>
    </row>
    <row r="69">
      <c r="A69" s="668"/>
      <c r="B69" s="726" t="s">
        <v>815</v>
      </c>
      <c r="C69" s="670" t="s">
        <v>811</v>
      </c>
      <c r="D69" s="670">
        <f t="shared" si="165"/>
      </c>
      <c r="E69" s="727">
        <v>2309.24</v>
      </c>
      <c r="F69" s="696">
        <v>1724.29</v>
      </c>
      <c r="G69" s="671">
        <v>15</v>
      </c>
      <c r="H69" s="670">
        <v>5500.08</v>
      </c>
      <c r="I69" s="672">
        <f t="shared" si="128"/>
      </c>
      <c r="J69" s="672">
        <f t="shared" si="97"/>
      </c>
      <c r="K69" s="673">
        <f t="shared" si="66"/>
      </c>
      <c r="L69" s="674">
        <f t="shared" si="35"/>
      </c>
      <c r="M69" s="675">
        <f t="shared" si="4"/>
      </c>
      <c r="N69" s="676">
        <f t="shared" si="252"/>
      </c>
      <c r="O69" s="677" t="s">
        <v>809</v>
      </c>
      <c r="P69" s="678" t="s">
        <v>827</v>
      </c>
      <c r="Q69" s="679">
        <v>46526</v>
      </c>
      <c r="R69" s="679">
        <v>4970</v>
      </c>
      <c r="S69" s="711">
        <v>20</v>
      </c>
      <c r="T69" s="711">
        <v>74</v>
      </c>
    </row>
    <row r="70">
      <c r="A70" s="668"/>
      <c r="B70" s="726" t="s">
        <v>815</v>
      </c>
      <c r="C70" s="670" t="s">
        <v>812</v>
      </c>
      <c r="D70" s="670">
        <f t="shared" si="165"/>
      </c>
      <c r="E70" s="728">
        <v>1358.49</v>
      </c>
      <c r="F70" s="670">
        <v>1043.8</v>
      </c>
      <c r="G70" s="712">
        <v>3</v>
      </c>
      <c r="H70" s="681">
        <v>1046.1599999999999</v>
      </c>
      <c r="I70" s="672">
        <f t="shared" si="128"/>
      </c>
      <c r="J70" s="729">
        <f t="shared" si="97"/>
      </c>
      <c r="K70" s="673">
        <f t="shared" si="66"/>
      </c>
      <c r="L70" s="674">
        <f t="shared" si="35"/>
      </c>
      <c r="M70" s="675">
        <f t="shared" si="4"/>
      </c>
      <c r="N70" s="676">
        <f t="shared" si="252"/>
      </c>
      <c r="O70" s="677" t="s">
        <v>809</v>
      </c>
      <c r="P70" s="678" t="s">
        <v>827</v>
      </c>
      <c r="Q70" s="679">
        <v>30291</v>
      </c>
      <c r="R70" s="679">
        <v>3077</v>
      </c>
      <c r="S70" s="711">
        <v>9</v>
      </c>
      <c r="T70" s="711">
        <v>54</v>
      </c>
    </row>
    <row r="71">
      <c r="A71" s="668"/>
      <c r="B71" s="726" t="s">
        <v>815</v>
      </c>
      <c r="C71" s="670" t="s">
        <v>813</v>
      </c>
      <c r="D71" s="670">
        <f t="shared" si="165"/>
      </c>
      <c r="E71" s="670">
        <v>1527.61</v>
      </c>
      <c r="F71" s="682">
        <v>885.72</v>
      </c>
      <c r="G71" s="680">
        <v>5</v>
      </c>
      <c r="H71" s="681">
        <v>4093.6499999999996</v>
      </c>
      <c r="I71" s="683">
        <f t="shared" si="128"/>
      </c>
      <c r="J71" s="672">
        <f t="shared" si="97"/>
      </c>
      <c r="K71" s="673">
        <f t="shared" si="66"/>
      </c>
      <c r="L71" s="674">
        <f t="shared" si="35"/>
      </c>
      <c r="M71" s="675">
        <f t="shared" si="4"/>
      </c>
      <c r="N71" s="676">
        <f t="shared" si="252"/>
      </c>
      <c r="O71" s="677" t="s">
        <v>809</v>
      </c>
      <c r="P71" s="678" t="s">
        <v>827</v>
      </c>
      <c r="Q71" s="679">
        <v>24776</v>
      </c>
      <c r="R71" s="679">
        <v>3010</v>
      </c>
      <c r="S71" s="711">
        <v>11</v>
      </c>
      <c r="T71" s="711">
        <v>66</v>
      </c>
    </row>
    <row r="72">
      <c r="A72" s="668"/>
      <c r="B72" s="730" t="s">
        <v>814</v>
      </c>
      <c r="C72" s="730"/>
      <c r="D72" s="685">
        <f>SUM(D68:D71)</f>
      </c>
      <c r="E72" s="731">
        <f>SUM(E68:E71)</f>
      </c>
      <c r="F72" s="686">
        <f>SUM(F68:F71)</f>
      </c>
      <c r="G72" s="687">
        <f>SUM(G68:G71)</f>
      </c>
      <c r="H72" s="685">
        <f>SUM(H68:H71)</f>
      </c>
      <c r="I72" s="688">
        <f t="shared" si="128"/>
      </c>
      <c r="J72" s="689">
        <f t="shared" si="97"/>
      </c>
      <c r="K72" s="690">
        <f t="shared" si="66"/>
      </c>
      <c r="L72" s="691">
        <f t="shared" si="35"/>
      </c>
      <c r="M72" s="691">
        <f t="shared" si="4"/>
      </c>
      <c r="N72" s="692">
        <f t="shared" si="252"/>
      </c>
      <c r="O72" s="692"/>
      <c r="P72" s="692"/>
      <c r="Q72" s="693">
        <f>SUM(Q68:Q71)</f>
      </c>
      <c r="R72" s="693">
        <f>SUM(R68:R71)</f>
      </c>
      <c r="S72" s="693">
        <f>SUM(S68:S71)</f>
      </c>
      <c r="T72" s="693">
        <f>SUM(T68:T71)</f>
      </c>
    </row>
    <row r="73">
      <c r="A73" s="668"/>
      <c r="B73" s="732" t="s">
        <v>807</v>
      </c>
      <c r="C73" s="670" t="s">
        <v>816</v>
      </c>
      <c r="D73" s="670">
        <f t="shared" ref="D73:D77" si="166">E73+F73</f>
      </c>
      <c r="E73" s="670">
        <v>956.99</v>
      </c>
      <c r="F73" s="670">
        <v>2044.59</v>
      </c>
      <c r="G73" s="695">
        <v>9</v>
      </c>
      <c r="H73" s="696">
        <v>2358.76</v>
      </c>
      <c r="I73" s="672">
        <f t="shared" si="128"/>
      </c>
      <c r="J73" s="672">
        <f t="shared" si="97"/>
      </c>
      <c r="K73" s="673">
        <f t="shared" si="66"/>
      </c>
      <c r="L73" s="674">
        <f t="shared" si="35"/>
      </c>
      <c r="M73" s="675">
        <f t="shared" si="4"/>
      </c>
      <c r="N73" s="676">
        <f t="shared" si="252"/>
      </c>
      <c r="O73" s="677" t="s">
        <v>809</v>
      </c>
      <c r="P73" s="678" t="s">
        <v>827</v>
      </c>
      <c r="Q73" s="667">
        <v>26180</v>
      </c>
      <c r="R73" s="667">
        <v>3523</v>
      </c>
      <c r="S73" s="716">
        <v>14</v>
      </c>
      <c r="T73" s="716">
        <v>86</v>
      </c>
    </row>
    <row r="74">
      <c r="A74" s="668"/>
      <c r="B74" s="669" t="s">
        <v>807</v>
      </c>
      <c r="C74" s="670" t="s">
        <v>817</v>
      </c>
      <c r="D74" s="670">
        <f t="shared" si="166"/>
      </c>
      <c r="E74" s="670">
        <v>656.35</v>
      </c>
      <c r="F74" s="670">
        <v>1919.72</v>
      </c>
      <c r="G74" s="709">
        <v>15</v>
      </c>
      <c r="H74" s="698">
        <v>10323.43</v>
      </c>
      <c r="I74" s="672">
        <f t="shared" si="128"/>
      </c>
      <c r="J74" s="672">
        <f t="shared" si="97"/>
      </c>
      <c r="K74" s="673">
        <f t="shared" si="66"/>
      </c>
      <c r="L74" s="674">
        <f t="shared" si="35"/>
      </c>
      <c r="M74" s="675">
        <f t="shared" si="4"/>
      </c>
      <c r="N74" s="676">
        <f t="shared" si="252"/>
      </c>
      <c r="O74" s="677" t="s">
        <v>809</v>
      </c>
      <c r="P74" s="678" t="s">
        <v>827</v>
      </c>
      <c r="Q74" s="697">
        <v>30367</v>
      </c>
      <c r="R74" s="697">
        <v>3147</v>
      </c>
      <c r="S74" s="717">
        <v>19</v>
      </c>
      <c r="T74" s="717">
        <v>68</v>
      </c>
    </row>
    <row r="75">
      <c r="A75" s="668"/>
      <c r="B75" s="669" t="s">
        <v>807</v>
      </c>
      <c r="C75" s="670" t="s">
        <v>818</v>
      </c>
      <c r="D75" s="670">
        <f t="shared" si="166"/>
      </c>
      <c r="E75" s="670">
        <v>369.93</v>
      </c>
      <c r="F75" s="670">
        <v>1704.53</v>
      </c>
      <c r="G75" s="671">
        <v>11</v>
      </c>
      <c r="H75" s="670">
        <v>6097.200000000001</v>
      </c>
      <c r="I75" s="672">
        <f t="shared" si="128"/>
      </c>
      <c r="J75" s="672">
        <f t="shared" si="97"/>
      </c>
      <c r="K75" s="673">
        <f t="shared" si="66"/>
      </c>
      <c r="L75" s="674">
        <f t="shared" si="35"/>
      </c>
      <c r="M75" s="675">
        <f t="shared" si="4"/>
      </c>
      <c r="N75" s="676">
        <f t="shared" si="252"/>
      </c>
      <c r="O75" s="677" t="s">
        <v>809</v>
      </c>
      <c r="P75" s="678" t="s">
        <v>827</v>
      </c>
      <c r="Q75" s="697">
        <v>30289</v>
      </c>
      <c r="R75" s="697">
        <v>2771</v>
      </c>
      <c r="S75" s="717">
        <v>23</v>
      </c>
      <c r="T75" s="717">
        <v>62</v>
      </c>
    </row>
    <row r="76">
      <c r="A76" s="668"/>
      <c r="B76" s="669" t="s">
        <v>807</v>
      </c>
      <c r="C76" s="670" t="s">
        <v>819</v>
      </c>
      <c r="D76" s="670">
        <f t="shared" si="166"/>
      </c>
      <c r="E76" s="670">
        <v>371.43</v>
      </c>
      <c r="F76" s="670">
        <v>2640.97</v>
      </c>
      <c r="G76" s="671">
        <v>9</v>
      </c>
      <c r="H76" s="670">
        <v>4562.6700000000055</v>
      </c>
      <c r="I76" s="672">
        <f t="shared" si="128"/>
      </c>
      <c r="J76" s="672">
        <f t="shared" si="97"/>
      </c>
      <c r="K76" s="673">
        <f t="shared" si="66"/>
      </c>
      <c r="L76" s="674">
        <f t="shared" si="35"/>
      </c>
      <c r="M76" s="675">
        <f t="shared" si="4"/>
      </c>
      <c r="N76" s="676">
        <f t="shared" si="252"/>
      </c>
      <c r="O76" s="677" t="s">
        <v>809</v>
      </c>
      <c r="P76" s="678" t="s">
        <v>827</v>
      </c>
      <c r="Q76" s="697">
        <v>55381</v>
      </c>
      <c r="R76" s="697">
        <v>3854</v>
      </c>
      <c r="S76" s="717">
        <v>10</v>
      </c>
      <c r="T76" s="717">
        <v>57</v>
      </c>
    </row>
    <row customHeight="true" ht="16.666666666666668" r="77">
      <c r="A77" s="668"/>
      <c r="B77" s="669" t="s">
        <v>807</v>
      </c>
      <c r="C77" s="698" t="s">
        <v>830</v>
      </c>
      <c r="D77" s="670">
        <f t="shared" si="166"/>
      </c>
      <c r="E77" s="670">
        <v>501.96</v>
      </c>
      <c r="F77" s="670">
        <v>2160.67</v>
      </c>
      <c r="G77" s="671">
        <v>7</v>
      </c>
      <c r="H77" s="670">
        <v>2445.719999999994</v>
      </c>
      <c r="I77" s="672">
        <f t="shared" si="128"/>
      </c>
      <c r="J77" s="729">
        <f t="shared" si="97"/>
      </c>
      <c r="K77" s="673">
        <f t="shared" si="66"/>
      </c>
      <c r="L77" s="674">
        <f t="shared" si="35"/>
      </c>
      <c r="M77" s="733">
        <f t="shared" si="4"/>
      </c>
      <c r="N77" s="676">
        <f t="shared" si="252"/>
      </c>
      <c r="O77" s="677" t="s">
        <v>809</v>
      </c>
      <c r="P77" s="678" t="s">
        <v>827</v>
      </c>
      <c r="Q77" s="697">
        <v>43100</v>
      </c>
      <c r="R77" s="697">
        <v>3882</v>
      </c>
      <c r="S77" s="717">
        <v>9</v>
      </c>
      <c r="T77" s="717">
        <v>70</v>
      </c>
    </row>
    <row r="78">
      <c r="A78" s="668"/>
      <c r="B78" s="684" t="s">
        <v>814</v>
      </c>
      <c r="C78" s="684"/>
      <c r="D78" s="685">
        <f>SUM(D73:D77)</f>
      </c>
      <c r="E78" s="685">
        <f>SUM(E73:E77)</f>
      </c>
      <c r="F78" s="685">
        <f>SUM(F73:F77)</f>
      </c>
      <c r="G78" s="687">
        <f>SUM(G73:G77)</f>
      </c>
      <c r="H78" s="685">
        <f>SUM(H73:H77)</f>
      </c>
      <c r="I78" s="734">
        <f t="shared" si="128"/>
      </c>
      <c r="J78" s="689">
        <f t="shared" si="97"/>
      </c>
      <c r="K78" s="690">
        <f t="shared" si="66"/>
      </c>
      <c r="L78" s="691">
        <f t="shared" si="35"/>
      </c>
      <c r="M78" s="691">
        <f t="shared" si="4"/>
      </c>
      <c r="N78" s="692">
        <f t="shared" si="252"/>
      </c>
      <c r="O78" s="692"/>
      <c r="P78" s="692"/>
      <c r="Q78" s="693">
        <f>SUM(Q73:Q76)</f>
      </c>
      <c r="R78" s="693">
        <f>SUM(R73:R76)</f>
      </c>
      <c r="S78" s="693">
        <f>SUM(S73:S76)</f>
      </c>
      <c r="T78" s="693">
        <f>SUM(T73:T76)</f>
      </c>
    </row>
    <row r="79">
      <c r="A79" s="668"/>
      <c r="B79" s="700" t="s">
        <v>825</v>
      </c>
      <c r="C79" s="700"/>
      <c r="D79" s="701">
        <f>D72+D78</f>
      </c>
      <c r="E79" s="701">
        <f>E72+E78</f>
      </c>
      <c r="F79" s="701">
        <f>F72+F78</f>
      </c>
      <c r="G79" s="702">
        <f>G72+G78</f>
      </c>
      <c r="H79" s="701">
        <f>H72+H78</f>
      </c>
      <c r="I79" s="703">
        <f t="shared" si="128"/>
      </c>
      <c r="J79" s="703">
        <f t="shared" si="97"/>
      </c>
      <c r="K79" s="704">
        <f t="shared" si="66"/>
      </c>
      <c r="L79" s="705">
        <f t="shared" si="35"/>
      </c>
      <c r="M79" s="705">
        <f t="shared" si="4"/>
      </c>
      <c r="N79" s="703">
        <f t="shared" si="252"/>
      </c>
      <c r="O79" s="706"/>
      <c r="P79" s="706"/>
      <c r="Q79" s="707">
        <f>Q72+Q78</f>
      </c>
      <c r="R79" s="707">
        <f>R72+R78</f>
      </c>
      <c r="S79" s="702">
        <f>S72+S78</f>
      </c>
      <c r="T79" s="702">
        <f>T72+T78</f>
      </c>
    </row>
    <row r="80">
      <c r="A80" s="655" t="s">
        <v>782</v>
      </c>
      <c r="B80" s="655"/>
      <c r="C80" s="655"/>
      <c r="D80" s="656" t="s">
        <v>783</v>
      </c>
      <c r="E80" s="656"/>
      <c r="F80" s="656"/>
      <c r="G80" s="657"/>
      <c r="H80" s="656"/>
      <c r="I80" s="656"/>
      <c r="J80" s="656"/>
      <c r="K80" s="656"/>
      <c r="L80" s="666" t="s">
        <v>784</v>
      </c>
      <c r="M80" s="666"/>
      <c r="N80" s="666"/>
      <c r="O80" s="666"/>
      <c r="P80" s="666"/>
      <c r="Q80" s="659" t="s">
        <v>785</v>
      </c>
      <c r="R80" s="659"/>
      <c r="S80" s="659"/>
      <c r="T80" s="659"/>
    </row>
    <row r="81">
      <c r="A81" s="660" t="s">
        <v>786</v>
      </c>
      <c r="B81" s="720" t="s">
        <v>787</v>
      </c>
      <c r="C81" s="720" t="s">
        <v>788</v>
      </c>
      <c r="D81" s="661" t="s">
        <v>789</v>
      </c>
      <c r="E81" s="721" t="s">
        <v>790</v>
      </c>
      <c r="F81" s="722" t="s">
        <v>791</v>
      </c>
      <c r="G81" s="662" t="s">
        <v>792</v>
      </c>
      <c r="H81" s="661" t="s">
        <v>793</v>
      </c>
      <c r="I81" s="663" t="s">
        <v>794</v>
      </c>
      <c r="J81" s="664" t="s">
        <v>795</v>
      </c>
      <c r="K81" s="665" t="s">
        <v>796</v>
      </c>
      <c r="L81" s="666" t="s">
        <v>797</v>
      </c>
      <c r="M81" s="666" t="s">
        <v>798</v>
      </c>
      <c r="N81" s="666" t="s">
        <v>799</v>
      </c>
      <c r="O81" s="723" t="s">
        <v>800</v>
      </c>
      <c r="P81" s="723" t="s">
        <v>801</v>
      </c>
      <c r="Q81" s="667" t="s">
        <v>802</v>
      </c>
      <c r="R81" s="667" t="s">
        <v>803</v>
      </c>
      <c r="S81" s="667" t="s">
        <v>804</v>
      </c>
      <c r="T81" s="667" t="s">
        <v>805</v>
      </c>
    </row>
    <row r="82">
      <c r="A82" s="708" t="s">
        <v>836</v>
      </c>
      <c r="B82" s="694" t="s">
        <v>815</v>
      </c>
      <c r="C82" s="670" t="s">
        <v>808</v>
      </c>
      <c r="D82" s="682">
        <f t="shared" ref="D82:D85" si="167">E82+F82</f>
      </c>
      <c r="E82" s="724">
        <v>753.48</v>
      </c>
      <c r="F82" s="724">
        <v>5901.59</v>
      </c>
      <c r="G82" s="725">
        <v>29</v>
      </c>
      <c r="H82" s="698">
        <v>13766.28</v>
      </c>
      <c r="I82" s="672">
        <f t="shared" ref="I82:I94" si="129">H82/D82</f>
      </c>
      <c r="J82" s="672">
        <f t="shared" ref="J82:J94" si="98">D82/G82</f>
      </c>
      <c r="K82" s="673">
        <f t="shared" ref="K82:K94" si="67">H82/G82</f>
      </c>
      <c r="L82" s="674">
        <f t="shared" ref="L82:L94" si="36">R82/Q82</f>
      </c>
      <c r="M82" s="675">
        <f t="shared" ref="M82:M94" si="5">G82/S82</f>
      </c>
      <c r="N82" s="676">
        <f t="shared" ref="N82:N94" si="253">(T82*1000)/D82</f>
      </c>
      <c r="O82" s="677" t="s">
        <v>809</v>
      </c>
      <c r="P82" s="678" t="s">
        <v>827</v>
      </c>
      <c r="Q82" s="679">
        <v>72391</v>
      </c>
      <c r="R82" s="679">
        <v>11962</v>
      </c>
      <c r="S82" s="711">
        <v>35</v>
      </c>
      <c r="T82" s="711">
        <v>149</v>
      </c>
    </row>
    <row r="83">
      <c r="A83" s="708"/>
      <c r="B83" s="726" t="s">
        <v>815</v>
      </c>
      <c r="C83" s="670" t="s">
        <v>811</v>
      </c>
      <c r="D83" s="670">
        <f t="shared" si="167"/>
      </c>
      <c r="E83" s="727">
        <v>1287.49</v>
      </c>
      <c r="F83" s="696">
        <v>5264.83</v>
      </c>
      <c r="G83" s="671">
        <v>31</v>
      </c>
      <c r="H83" s="670">
        <v>16592.050000000003</v>
      </c>
      <c r="I83" s="672">
        <f t="shared" si="129"/>
      </c>
      <c r="J83" s="672">
        <f t="shared" si="98"/>
      </c>
      <c r="K83" s="673">
        <f t="shared" si="67"/>
      </c>
      <c r="L83" s="674">
        <f t="shared" si="36"/>
      </c>
      <c r="M83" s="675">
        <f t="shared" si="5"/>
      </c>
      <c r="N83" s="676">
        <f t="shared" si="253"/>
      </c>
      <c r="O83" s="677" t="s">
        <v>809</v>
      </c>
      <c r="P83" s="678" t="s">
        <v>827</v>
      </c>
      <c r="Q83" s="679">
        <v>78018</v>
      </c>
      <c r="R83" s="679">
        <v>10776</v>
      </c>
      <c r="S83" s="711">
        <v>41</v>
      </c>
      <c r="T83" s="711">
        <v>149</v>
      </c>
    </row>
    <row r="84">
      <c r="A84" s="708"/>
      <c r="B84" s="726" t="s">
        <v>815</v>
      </c>
      <c r="C84" s="670" t="s">
        <v>812</v>
      </c>
      <c r="D84" s="670">
        <f t="shared" si="167"/>
      </c>
      <c r="E84" s="728">
        <v>1557.39</v>
      </c>
      <c r="F84" s="670">
        <v>3202.2</v>
      </c>
      <c r="G84" s="712">
        <v>15</v>
      </c>
      <c r="H84" s="681">
        <v>5356.859999999993</v>
      </c>
      <c r="I84" s="672">
        <f t="shared" si="129"/>
      </c>
      <c r="J84" s="729">
        <f t="shared" si="98"/>
      </c>
      <c r="K84" s="673">
        <f t="shared" si="67"/>
      </c>
      <c r="L84" s="674">
        <f t="shared" si="36"/>
      </c>
      <c r="M84" s="675">
        <f t="shared" si="5"/>
      </c>
      <c r="N84" s="676">
        <f t="shared" si="253"/>
      </c>
      <c r="O84" s="677" t="s">
        <v>809</v>
      </c>
      <c r="P84" s="678" t="s">
        <v>827</v>
      </c>
      <c r="Q84" s="679">
        <v>52066</v>
      </c>
      <c r="R84" s="679">
        <v>7359</v>
      </c>
      <c r="S84" s="711">
        <v>21</v>
      </c>
      <c r="T84" s="711">
        <v>100</v>
      </c>
    </row>
    <row customHeight="true" ht="16.666666666666668" r="85">
      <c r="A85" s="708"/>
      <c r="B85" s="726" t="s">
        <v>815</v>
      </c>
      <c r="C85" s="698" t="s">
        <v>813</v>
      </c>
      <c r="D85" s="670">
        <f t="shared" si="167"/>
      </c>
      <c r="E85" s="728">
        <v>1730.88</v>
      </c>
      <c r="F85" s="670">
        <v>2089.5</v>
      </c>
      <c r="G85" s="712">
        <v>20</v>
      </c>
      <c r="H85" s="681">
        <v>15147.04</v>
      </c>
      <c r="I85" s="672">
        <f t="shared" si="129"/>
      </c>
      <c r="J85" s="729">
        <f t="shared" si="98"/>
      </c>
      <c r="K85" s="673">
        <f t="shared" si="67"/>
      </c>
      <c r="L85" s="674">
        <f t="shared" si="36"/>
      </c>
      <c r="M85" s="675">
        <f t="shared" si="5"/>
      </c>
      <c r="N85" s="676">
        <f t="shared" si="253"/>
      </c>
      <c r="O85" s="677" t="s">
        <v>809</v>
      </c>
      <c r="P85" s="678" t="s">
        <v>827</v>
      </c>
      <c r="Q85" s="679">
        <v>39770</v>
      </c>
      <c r="R85" s="679">
        <v>4592</v>
      </c>
      <c r="S85" s="711">
        <v>24</v>
      </c>
      <c r="T85" s="711">
        <v>69</v>
      </c>
    </row>
    <row r="86">
      <c r="A86" s="708"/>
      <c r="B86" s="730" t="s">
        <v>814</v>
      </c>
      <c r="C86" s="730"/>
      <c r="D86" s="685">
        <f>SUM(D82:D85)</f>
      </c>
      <c r="E86" s="685">
        <f>SUM(E82:E85)</f>
      </c>
      <c r="F86" s="685">
        <f>SUM(F82:F85)</f>
      </c>
      <c r="G86" s="687">
        <f>SUM(G82:G85)</f>
      </c>
      <c r="H86" s="685">
        <f>SUM(H82:H85)</f>
      </c>
      <c r="I86" s="688">
        <f t="shared" si="129"/>
      </c>
      <c r="J86" s="689">
        <f t="shared" si="98"/>
      </c>
      <c r="K86" s="690">
        <f t="shared" si="67"/>
      </c>
      <c r="L86" s="691">
        <f t="shared" si="36"/>
      </c>
      <c r="M86" s="691">
        <f t="shared" si="5"/>
      </c>
      <c r="N86" s="692">
        <f t="shared" si="253"/>
      </c>
      <c r="O86" s="692"/>
      <c r="P86" s="692"/>
      <c r="Q86" s="685">
        <f>SUM(Q82:Q85)</f>
      </c>
      <c r="R86" s="685">
        <f>SUM(R82:R85)</f>
      </c>
      <c r="S86" s="685">
        <f>SUM(S82:S85)</f>
      </c>
      <c r="T86" s="685">
        <f>SUM(T82:T85)</f>
      </c>
    </row>
    <row r="87">
      <c r="A87" s="708"/>
      <c r="B87" s="735" t="s">
        <v>837</v>
      </c>
      <c r="C87" s="670" t="s">
        <v>816</v>
      </c>
      <c r="D87" s="670">
        <f t="shared" ref="D87:D89" si="168">E87+F87</f>
      </c>
      <c r="E87" s="670">
        <v>1701.71</v>
      </c>
      <c r="F87" s="670">
        <v>2818.32</v>
      </c>
      <c r="G87" s="695">
        <v>12</v>
      </c>
      <c r="H87" s="696">
        <v>7691.940000000002</v>
      </c>
      <c r="I87" s="672">
        <f t="shared" si="129"/>
      </c>
      <c r="J87" s="672">
        <f t="shared" si="98"/>
      </c>
      <c r="K87" s="673">
        <f t="shared" si="67"/>
      </c>
      <c r="L87" s="674">
        <f t="shared" si="36"/>
      </c>
      <c r="M87" s="675">
        <f t="shared" si="5"/>
      </c>
      <c r="N87" s="676">
        <f t="shared" si="253"/>
      </c>
      <c r="O87" s="677" t="s">
        <v>809</v>
      </c>
      <c r="P87" s="678" t="s">
        <v>827</v>
      </c>
      <c r="Q87" s="667">
        <v>38824</v>
      </c>
      <c r="R87" s="667">
        <v>4833</v>
      </c>
      <c r="S87" s="716">
        <v>24</v>
      </c>
      <c r="T87" s="716">
        <v>103</v>
      </c>
    </row>
    <row r="88">
      <c r="A88" s="708"/>
      <c r="B88" s="735" t="s">
        <v>837</v>
      </c>
      <c r="C88" s="670" t="s">
        <v>817</v>
      </c>
      <c r="D88" s="670">
        <f t="shared" si="168"/>
      </c>
      <c r="E88" s="670">
        <v>600.97</v>
      </c>
      <c r="F88" s="670">
        <v>2889.96</v>
      </c>
      <c r="G88" s="709">
        <v>15</v>
      </c>
      <c r="H88" s="698">
        <v>4512.760000000002</v>
      </c>
      <c r="I88" s="672">
        <f t="shared" si="129"/>
      </c>
      <c r="J88" s="672">
        <f t="shared" si="98"/>
      </c>
      <c r="K88" s="673">
        <f t="shared" si="67"/>
      </c>
      <c r="L88" s="674">
        <f t="shared" si="36"/>
      </c>
      <c r="M88" s="675">
        <f t="shared" si="5"/>
      </c>
      <c r="N88" s="676">
        <f t="shared" si="253"/>
      </c>
      <c r="O88" s="677" t="s">
        <v>809</v>
      </c>
      <c r="P88" s="678" t="s">
        <v>827</v>
      </c>
      <c r="Q88" s="697">
        <v>35325</v>
      </c>
      <c r="R88" s="697">
        <v>4377</v>
      </c>
      <c r="S88" s="717">
        <v>16</v>
      </c>
      <c r="T88" s="717">
        <v>93</v>
      </c>
    </row>
    <row r="89">
      <c r="A89" s="708"/>
      <c r="B89" s="735" t="s">
        <v>837</v>
      </c>
      <c r="C89" s="698" t="s">
        <v>818</v>
      </c>
      <c r="D89" s="670">
        <f t="shared" si="168"/>
      </c>
      <c r="E89" s="670">
        <v>779.64</v>
      </c>
      <c r="F89" s="670">
        <v>4166.78</v>
      </c>
      <c r="G89" s="671">
        <v>15</v>
      </c>
      <c r="H89" s="670">
        <v>6586.109999999993</v>
      </c>
      <c r="I89" s="672">
        <f t="shared" si="129"/>
      </c>
      <c r="J89" s="672">
        <f t="shared" si="98"/>
      </c>
      <c r="K89" s="673">
        <f t="shared" si="67"/>
      </c>
      <c r="L89" s="674">
        <f t="shared" si="36"/>
      </c>
      <c r="M89" s="675">
        <f t="shared" si="5"/>
      </c>
      <c r="N89" s="676">
        <f t="shared" si="253"/>
      </c>
      <c r="O89" s="677" t="s">
        <v>809</v>
      </c>
      <c r="P89" s="678" t="s">
        <v>827</v>
      </c>
      <c r="Q89" s="697">
        <v>49488</v>
      </c>
      <c r="R89" s="697">
        <v>6611</v>
      </c>
      <c r="S89" s="717">
        <v>19</v>
      </c>
      <c r="T89" s="717">
        <v>64</v>
      </c>
    </row>
    <row r="90">
      <c r="A90" s="708"/>
      <c r="B90" s="684" t="s">
        <v>814</v>
      </c>
      <c r="C90" s="684"/>
      <c r="D90" s="685">
        <f>SUM(D87:D89)</f>
      </c>
      <c r="E90" s="685">
        <f>SUM(E87:E89)</f>
      </c>
      <c r="F90" s="685">
        <f>SUM(F87:F89)</f>
      </c>
      <c r="G90" s="687">
        <f>SUM(G87:G89)</f>
      </c>
      <c r="H90" s="685">
        <f>SUM(H87:H89)</f>
      </c>
      <c r="I90" s="734">
        <f t="shared" si="129"/>
      </c>
      <c r="J90" s="689">
        <f t="shared" si="98"/>
      </c>
      <c r="K90" s="690">
        <f t="shared" si="67"/>
      </c>
      <c r="L90" s="691">
        <f t="shared" si="36"/>
      </c>
      <c r="M90" s="691">
        <f t="shared" si="5"/>
      </c>
      <c r="N90" s="692">
        <f t="shared" si="253"/>
      </c>
      <c r="O90" s="692"/>
      <c r="P90" s="692"/>
      <c r="Q90" s="693">
        <f>SUM(Q87:Q89)</f>
      </c>
      <c r="R90" s="693">
        <f>SUM(R87:R89)</f>
      </c>
      <c r="S90" s="693">
        <f>SUM(S87:S89)</f>
      </c>
      <c r="T90" s="693">
        <f>SUM(T87:T89)</f>
      </c>
    </row>
    <row r="91">
      <c r="A91" s="708"/>
      <c r="B91" s="718" t="s">
        <v>807</v>
      </c>
      <c r="C91" s="698" t="s">
        <v>819</v>
      </c>
      <c r="D91" s="670">
        <f t="shared" ref="D91:D92" si="169">E91+F91</f>
      </c>
      <c r="E91" s="670">
        <v>260.05</v>
      </c>
      <c r="F91" s="670">
        <v>2272.05</v>
      </c>
      <c r="G91" s="671">
        <v>2</v>
      </c>
      <c r="H91" s="670">
        <v>430.08000000000175</v>
      </c>
      <c r="I91" s="672">
        <f t="shared" si="129"/>
      </c>
      <c r="J91" s="729">
        <f t="shared" si="98"/>
      </c>
      <c r="K91" s="673">
        <f t="shared" si="67"/>
      </c>
      <c r="L91" s="674">
        <f t="shared" si="36"/>
      </c>
      <c r="M91" s="675">
        <f t="shared" si="5"/>
      </c>
      <c r="N91" s="676">
        <f t="shared" si="253"/>
      </c>
      <c r="O91" s="677" t="s">
        <v>809</v>
      </c>
      <c r="P91" s="678" t="s">
        <v>827</v>
      </c>
      <c r="Q91" s="697">
        <v>24005</v>
      </c>
      <c r="R91" s="697">
        <v>2895</v>
      </c>
      <c r="S91" s="717">
        <v>5</v>
      </c>
      <c r="T91" s="717">
        <v>89</v>
      </c>
    </row>
    <row customHeight="true" ht="16.666666666666668" r="92">
      <c r="A92" s="708"/>
      <c r="B92" s="718" t="s">
        <v>807</v>
      </c>
      <c r="C92" s="698" t="s">
        <v>830</v>
      </c>
      <c r="D92" s="670">
        <f t="shared" si="169"/>
      </c>
      <c r="E92" s="670">
        <v>135.81</v>
      </c>
      <c r="F92" s="670">
        <v>1355.42</v>
      </c>
      <c r="G92" s="709">
        <v>6</v>
      </c>
      <c r="H92" s="670">
        <v>2639.279999999999</v>
      </c>
      <c r="I92" s="672">
        <f t="shared" si="129"/>
      </c>
      <c r="J92" s="729">
        <f t="shared" si="98"/>
      </c>
      <c r="K92" s="673">
        <f t="shared" si="67"/>
      </c>
      <c r="L92" s="674">
        <f t="shared" si="36"/>
      </c>
      <c r="M92" s="675">
        <f t="shared" si="5"/>
      </c>
      <c r="N92" s="676">
        <f t="shared" si="253"/>
      </c>
      <c r="O92" s="677" t="s">
        <v>809</v>
      </c>
      <c r="P92" s="678" t="s">
        <v>827</v>
      </c>
      <c r="Q92" s="697">
        <v>13655</v>
      </c>
      <c r="R92" s="697">
        <v>1659</v>
      </c>
      <c r="S92" s="717">
        <v>10</v>
      </c>
      <c r="T92" s="717">
        <v>45</v>
      </c>
    </row>
    <row r="93">
      <c r="A93" s="708"/>
      <c r="B93" s="684" t="s">
        <v>814</v>
      </c>
      <c r="C93" s="684"/>
      <c r="D93" s="685">
        <f>SUM(D91:D92)</f>
      </c>
      <c r="E93" s="685">
        <f>SUM(E91:E92)</f>
      </c>
      <c r="F93" s="731">
        <f>F91+F92</f>
      </c>
      <c r="G93" s="736">
        <f>G91+G92</f>
      </c>
      <c r="H93" s="731">
        <f>H91+H92</f>
      </c>
      <c r="I93" s="699">
        <f t="shared" si="129"/>
      </c>
      <c r="J93" s="689">
        <f t="shared" si="98"/>
      </c>
      <c r="K93" s="690">
        <f t="shared" si="67"/>
      </c>
      <c r="L93" s="691">
        <f t="shared" si="36"/>
      </c>
      <c r="M93" s="691">
        <f t="shared" si="5"/>
      </c>
      <c r="N93" s="692">
        <f t="shared" si="253"/>
      </c>
      <c r="O93" s="692"/>
      <c r="P93" s="692"/>
      <c r="Q93" s="693">
        <f>SUM(Q91:Q92)</f>
      </c>
      <c r="R93" s="693">
        <f>SUM(R91:R92)</f>
      </c>
      <c r="S93" s="693">
        <f>SUM(S91:S92)</f>
      </c>
      <c r="T93" s="693">
        <f>SUM(T91:T92)</f>
      </c>
    </row>
    <row r="94">
      <c r="A94" s="708"/>
      <c r="B94" s="700" t="s">
        <v>825</v>
      </c>
      <c r="C94" s="700"/>
      <c r="D94" s="701">
        <f>D86+D90+D93</f>
      </c>
      <c r="E94" s="701">
        <f>E86+E90+E93</f>
      </c>
      <c r="F94" s="701">
        <f>F86+F90+F93</f>
      </c>
      <c r="G94" s="702">
        <f>G86+G90+G93</f>
      </c>
      <c r="H94" s="701">
        <f>H86+H90+H93</f>
      </c>
      <c r="I94" s="703">
        <f t="shared" si="129"/>
      </c>
      <c r="J94" s="703">
        <f t="shared" si="98"/>
      </c>
      <c r="K94" s="704">
        <f t="shared" si="67"/>
      </c>
      <c r="L94" s="705">
        <f t="shared" si="36"/>
      </c>
      <c r="M94" s="705">
        <f t="shared" si="5"/>
      </c>
      <c r="N94" s="703">
        <f t="shared" si="253"/>
      </c>
      <c r="O94" s="706"/>
      <c r="P94" s="706"/>
      <c r="Q94" s="707">
        <f>Q86+Q90+Q93</f>
      </c>
      <c r="R94" s="707">
        <f>R86+R90+R93</f>
      </c>
      <c r="S94" s="702">
        <f>S86+S90+S93</f>
      </c>
      <c r="T94" s="702">
        <f>T86+T90+T93</f>
      </c>
    </row>
    <row r="95">
      <c r="A95" s="655" t="s">
        <v>782</v>
      </c>
      <c r="B95" s="655"/>
      <c r="C95" s="655"/>
      <c r="D95" s="656" t="s">
        <v>783</v>
      </c>
      <c r="E95" s="656"/>
      <c r="F95" s="656"/>
      <c r="G95" s="657"/>
      <c r="H95" s="656"/>
      <c r="I95" s="656"/>
      <c r="J95" s="656"/>
      <c r="K95" s="656"/>
      <c r="L95" s="666" t="s">
        <v>784</v>
      </c>
      <c r="M95" s="666"/>
      <c r="N95" s="666"/>
      <c r="O95" s="666"/>
      <c r="P95" s="666"/>
      <c r="Q95" s="737" t="s">
        <v>785</v>
      </c>
      <c r="R95" s="737"/>
      <c r="S95" s="659"/>
      <c r="T95" s="659"/>
    </row>
    <row r="96">
      <c r="A96" s="660" t="s">
        <v>786</v>
      </c>
      <c r="B96" s="720" t="s">
        <v>787</v>
      </c>
      <c r="C96" s="720" t="s">
        <v>788</v>
      </c>
      <c r="D96" s="661" t="s">
        <v>789</v>
      </c>
      <c r="E96" s="721" t="s">
        <v>790</v>
      </c>
      <c r="F96" s="722" t="s">
        <v>791</v>
      </c>
      <c r="G96" s="662" t="s">
        <v>792</v>
      </c>
      <c r="H96" s="661" t="s">
        <v>793</v>
      </c>
      <c r="I96" s="663" t="s">
        <v>794</v>
      </c>
      <c r="J96" s="664" t="s">
        <v>795</v>
      </c>
      <c r="K96" s="665" t="s">
        <v>796</v>
      </c>
      <c r="L96" s="666" t="s">
        <v>797</v>
      </c>
      <c r="M96" s="666" t="s">
        <v>798</v>
      </c>
      <c r="N96" s="666" t="s">
        <v>799</v>
      </c>
      <c r="O96" s="723" t="s">
        <v>800</v>
      </c>
      <c r="P96" s="738" t="s">
        <v>801</v>
      </c>
      <c r="Q96" s="739" t="s">
        <v>802</v>
      </c>
      <c r="R96" s="739" t="s">
        <v>803</v>
      </c>
      <c r="S96" s="740" t="s">
        <v>804</v>
      </c>
      <c r="T96" s="667" t="s">
        <v>805</v>
      </c>
    </row>
    <row r="97">
      <c r="A97" s="708" t="s">
        <v>838</v>
      </c>
      <c r="B97" s="694" t="s">
        <v>815</v>
      </c>
      <c r="C97" s="670" t="s">
        <v>808</v>
      </c>
      <c r="D97" s="682">
        <f t="shared" ref="D97:D101" si="170">E97+F97</f>
      </c>
      <c r="E97" s="724">
        <v>425.98</v>
      </c>
      <c r="F97" s="724">
        <v>1470.52</v>
      </c>
      <c r="G97" s="725">
        <v>5</v>
      </c>
      <c r="H97" s="698">
        <v>2015.64</v>
      </c>
      <c r="I97" s="672">
        <f t="shared" ref="I97:I109" si="130">H97/D97</f>
      </c>
      <c r="J97" s="672">
        <f t="shared" ref="J97:J109" si="99">D97/G97</f>
      </c>
      <c r="K97" s="673">
        <f t="shared" ref="K97:K109" si="68">H97/G97</f>
      </c>
      <c r="L97" s="674">
        <f t="shared" ref="L97:L109" si="37">R97/Q97</f>
      </c>
      <c r="M97" s="675">
        <f t="shared" ref="M97:M109" si="6">G97/S97</f>
      </c>
      <c r="N97" s="676">
        <f t="shared" ref="N97:N109" si="254">(T97*1000)/D97</f>
      </c>
      <c r="O97" s="677" t="s">
        <v>809</v>
      </c>
      <c r="P97" s="678" t="s">
        <v>827</v>
      </c>
      <c r="Q97" s="741">
        <v>23910</v>
      </c>
      <c r="R97" s="741">
        <v>3182</v>
      </c>
      <c r="S97" s="711">
        <v>8</v>
      </c>
      <c r="T97" s="711">
        <v>54</v>
      </c>
    </row>
    <row r="98">
      <c r="A98" s="708"/>
      <c r="B98" s="726" t="s">
        <v>815</v>
      </c>
      <c r="C98" s="670" t="s">
        <v>811</v>
      </c>
      <c r="D98" s="670">
        <f t="shared" si="170"/>
      </c>
      <c r="E98" s="727">
        <v>1400.28</v>
      </c>
      <c r="F98" s="696">
        <v>879.91</v>
      </c>
      <c r="G98" s="709">
        <v>5</v>
      </c>
      <c r="H98" s="670">
        <v>1980.9799999999998</v>
      </c>
      <c r="I98" s="672">
        <f t="shared" si="130"/>
      </c>
      <c r="J98" s="672">
        <f t="shared" si="99"/>
      </c>
      <c r="K98" s="673">
        <f t="shared" si="68"/>
      </c>
      <c r="L98" s="674">
        <f t="shared" si="37"/>
      </c>
      <c r="M98" s="675">
        <f t="shared" si="6"/>
      </c>
      <c r="N98" s="676">
        <f t="shared" si="254"/>
      </c>
      <c r="O98" s="677" t="s">
        <v>809</v>
      </c>
      <c r="P98" s="678" t="s">
        <v>827</v>
      </c>
      <c r="Q98" s="679">
        <v>24533</v>
      </c>
      <c r="R98" s="679">
        <v>3591</v>
      </c>
      <c r="S98" s="711">
        <v>9</v>
      </c>
      <c r="T98" s="711">
        <v>56</v>
      </c>
    </row>
    <row r="99">
      <c r="A99" s="708"/>
      <c r="B99" s="726" t="s">
        <v>815</v>
      </c>
      <c r="C99" s="670" t="s">
        <v>812</v>
      </c>
      <c r="D99" s="670">
        <f t="shared" si="170"/>
      </c>
      <c r="E99" s="728">
        <v>1545.95</v>
      </c>
      <c r="F99" s="670">
        <v>981.62</v>
      </c>
      <c r="G99" s="712">
        <v>12</v>
      </c>
      <c r="H99" s="681">
        <v>3486.26</v>
      </c>
      <c r="I99" s="672">
        <f t="shared" si="130"/>
      </c>
      <c r="J99" s="729">
        <f t="shared" si="99"/>
      </c>
      <c r="K99" s="673">
        <f t="shared" si="68"/>
      </c>
      <c r="L99" s="674">
        <f t="shared" si="37"/>
      </c>
      <c r="M99" s="675">
        <f t="shared" si="6"/>
      </c>
      <c r="N99" s="676">
        <f t="shared" si="254"/>
      </c>
      <c r="O99" s="677" t="s">
        <v>809</v>
      </c>
      <c r="P99" s="678" t="s">
        <v>827</v>
      </c>
      <c r="Q99" s="679">
        <v>29188</v>
      </c>
      <c r="R99" s="679">
        <v>3796</v>
      </c>
      <c r="S99" s="711">
        <v>19</v>
      </c>
      <c r="T99" s="711">
        <v>66</v>
      </c>
    </row>
    <row customHeight="true" ht="16.666666666666668" r="100">
      <c r="A100" s="708"/>
      <c r="B100" s="726" t="s">
        <v>815</v>
      </c>
      <c r="C100" s="698" t="s">
        <v>813</v>
      </c>
      <c r="D100" s="670">
        <f t="shared" si="170"/>
      </c>
      <c r="E100" s="728">
        <v>2531.42</v>
      </c>
      <c r="F100" s="670">
        <v>1255.17</v>
      </c>
      <c r="G100" s="712">
        <v>15</v>
      </c>
      <c r="H100" s="681">
        <v>7292.179999999999</v>
      </c>
      <c r="I100" s="672">
        <f t="shared" si="130"/>
      </c>
      <c r="J100" s="729">
        <f t="shared" si="99"/>
      </c>
      <c r="K100" s="673">
        <f t="shared" si="68"/>
      </c>
      <c r="L100" s="674">
        <f t="shared" si="37"/>
      </c>
      <c r="M100" s="675">
        <f t="shared" si="6"/>
      </c>
      <c r="N100" s="676">
        <f t="shared" si="254"/>
      </c>
      <c r="O100" s="677" t="s">
        <v>809</v>
      </c>
      <c r="P100" s="678" t="s">
        <v>827</v>
      </c>
      <c r="Q100" s="679">
        <v>35305</v>
      </c>
      <c r="R100" s="679">
        <v>4453</v>
      </c>
      <c r="S100" s="711">
        <v>25</v>
      </c>
      <c r="T100" s="711">
        <v>78</v>
      </c>
    </row>
    <row customHeight="true" ht="16.666666666666668" r="101">
      <c r="A101" s="708"/>
      <c r="B101" s="726" t="s">
        <v>815</v>
      </c>
      <c r="C101" s="670" t="s">
        <v>816</v>
      </c>
      <c r="D101" s="670">
        <f t="shared" si="170"/>
      </c>
      <c r="E101" s="728">
        <v>3112.09</v>
      </c>
      <c r="F101" s="670">
        <v>1205.94</v>
      </c>
      <c r="G101" s="712">
        <v>11</v>
      </c>
      <c r="H101" s="681">
        <v>4118.219999999999</v>
      </c>
      <c r="I101" s="672">
        <f t="shared" si="130"/>
      </c>
      <c r="J101" s="729">
        <f t="shared" si="99"/>
      </c>
      <c r="K101" s="673">
        <f t="shared" si="68"/>
      </c>
      <c r="L101" s="674">
        <f t="shared" si="37"/>
      </c>
      <c r="M101" s="675">
        <f t="shared" si="6"/>
      </c>
      <c r="N101" s="676">
        <f t="shared" si="254"/>
      </c>
      <c r="O101" s="677" t="s">
        <v>809</v>
      </c>
      <c r="P101" s="678" t="s">
        <v>827</v>
      </c>
      <c r="Q101" s="679">
        <v>34985</v>
      </c>
      <c r="R101" s="679">
        <v>4771</v>
      </c>
      <c r="S101" s="711">
        <v>18</v>
      </c>
      <c r="T101" s="711">
        <v>85</v>
      </c>
    </row>
    <row r="102">
      <c r="A102" s="708"/>
      <c r="B102" s="730" t="s">
        <v>814</v>
      </c>
      <c r="C102" s="730"/>
      <c r="D102" s="685">
        <f>SUM(D97:D101)</f>
      </c>
      <c r="E102" s="685">
        <f>SUM(E97:E101)</f>
      </c>
      <c r="F102" s="685">
        <f>SUM(F97:F101)</f>
      </c>
      <c r="G102" s="687">
        <f>SUM(G97:G101)</f>
      </c>
      <c r="H102" s="685">
        <f>SUM(H97:H101)</f>
      </c>
      <c r="I102" s="688">
        <f t="shared" si="130"/>
      </c>
      <c r="J102" s="689">
        <f t="shared" si="99"/>
      </c>
      <c r="K102" s="690">
        <f t="shared" si="68"/>
      </c>
      <c r="L102" s="691">
        <f t="shared" si="37"/>
      </c>
      <c r="M102" s="691">
        <f t="shared" si="6"/>
      </c>
      <c r="N102" s="692">
        <f t="shared" si="254"/>
      </c>
      <c r="O102" s="692"/>
      <c r="P102" s="692"/>
      <c r="Q102" s="685">
        <f>SUM(Q97:Q101)</f>
      </c>
      <c r="R102" s="685">
        <f>SUM(R97:R101)</f>
      </c>
      <c r="S102" s="685">
        <f>SUM(S97:S101)</f>
      </c>
      <c r="T102" s="685">
        <f>SUM(T97:T101)</f>
      </c>
    </row>
    <row r="103">
      <c r="A103" s="708"/>
      <c r="B103" s="718" t="s">
        <v>807</v>
      </c>
      <c r="C103" s="670" t="s">
        <v>817</v>
      </c>
      <c r="D103" s="670">
        <f t="shared" ref="D103:D107" si="171">E103+F103</f>
      </c>
      <c r="E103" s="670">
        <v>2226.18</v>
      </c>
      <c r="F103" s="670">
        <v>468.42</v>
      </c>
      <c r="G103" s="671">
        <v>13</v>
      </c>
      <c r="H103" s="670">
        <v>4626.740000000002</v>
      </c>
      <c r="I103" s="672">
        <f t="shared" si="130"/>
      </c>
      <c r="J103" s="729">
        <f t="shared" si="99"/>
      </c>
      <c r="K103" s="673">
        <f t="shared" si="68"/>
      </c>
      <c r="L103" s="674">
        <f t="shared" si="37"/>
      </c>
      <c r="M103" s="675">
        <f t="shared" si="6"/>
      </c>
      <c r="N103" s="676">
        <f t="shared" si="254"/>
      </c>
      <c r="O103" s="677" t="s">
        <v>809</v>
      </c>
      <c r="P103" s="678" t="s">
        <v>827</v>
      </c>
      <c r="Q103" s="697">
        <v>26596</v>
      </c>
      <c r="R103" s="697">
        <v>3859</v>
      </c>
      <c r="S103" s="717">
        <v>19</v>
      </c>
      <c r="T103" s="717">
        <v>82</v>
      </c>
    </row>
    <row r="104">
      <c r="A104" s="708"/>
      <c r="B104" s="718" t="s">
        <v>807</v>
      </c>
      <c r="C104" s="670" t="s">
        <v>818</v>
      </c>
      <c r="D104" s="670">
        <f t="shared" si="171"/>
      </c>
      <c r="E104" s="670">
        <v>3822.3</v>
      </c>
      <c r="F104" s="670">
        <v>95.87</v>
      </c>
      <c r="G104" s="709">
        <v>12</v>
      </c>
      <c r="H104" s="670">
        <v>5770.880000000001</v>
      </c>
      <c r="I104" s="672">
        <f t="shared" si="130"/>
      </c>
      <c r="J104" s="729">
        <f t="shared" si="99"/>
      </c>
      <c r="K104" s="673">
        <f t="shared" si="68"/>
      </c>
      <c r="L104" s="674">
        <f t="shared" si="37"/>
      </c>
      <c r="M104" s="675">
        <f t="shared" si="6"/>
      </c>
      <c r="N104" s="676">
        <f t="shared" si="254"/>
      </c>
      <c r="O104" s="677" t="s">
        <v>809</v>
      </c>
      <c r="P104" s="678" t="s">
        <v>827</v>
      </c>
      <c r="Q104" s="697">
        <v>40781</v>
      </c>
      <c r="R104" s="697">
        <v>6396</v>
      </c>
      <c r="S104" s="717">
        <v>14</v>
      </c>
      <c r="T104" s="717">
        <v>77</v>
      </c>
    </row>
    <row customHeight="true" ht="16.666666666666668" r="105">
      <c r="A105" s="708"/>
      <c r="B105" s="718" t="s">
        <v>807</v>
      </c>
      <c r="C105" s="698" t="s">
        <v>819</v>
      </c>
      <c r="D105" s="670">
        <f t="shared" si="171"/>
      </c>
      <c r="E105" s="670">
        <v>3160.39</v>
      </c>
      <c r="F105" s="670">
        <v>118.63</v>
      </c>
      <c r="G105" s="709">
        <v>12</v>
      </c>
      <c r="H105" s="670">
        <v>8485.919999999998</v>
      </c>
      <c r="I105" s="672">
        <f t="shared" si="130"/>
      </c>
      <c r="J105" s="729">
        <f t="shared" si="99"/>
      </c>
      <c r="K105" s="673">
        <f t="shared" si="68"/>
      </c>
      <c r="L105" s="674">
        <f t="shared" si="37"/>
      </c>
      <c r="M105" s="675">
        <f t="shared" si="6"/>
      </c>
      <c r="N105" s="676">
        <f t="shared" si="254"/>
      </c>
      <c r="O105" s="677" t="s">
        <v>809</v>
      </c>
      <c r="P105" s="678" t="s">
        <v>827</v>
      </c>
      <c r="Q105" s="697">
        <v>31869</v>
      </c>
      <c r="R105" s="697">
        <v>4823</v>
      </c>
      <c r="S105" s="717">
        <v>11</v>
      </c>
      <c r="T105" s="717">
        <v>57</v>
      </c>
    </row>
    <row customHeight="true" ht="16.666666666666668" r="106">
      <c r="A106" s="708"/>
      <c r="B106" s="718" t="s">
        <v>807</v>
      </c>
      <c r="C106" s="698" t="s">
        <v>830</v>
      </c>
      <c r="D106" s="670">
        <f t="shared" si="171"/>
      </c>
      <c r="E106" s="698">
        <v>2728.4</v>
      </c>
      <c r="F106" s="698">
        <v>189.98</v>
      </c>
      <c r="G106" s="709">
        <v>10</v>
      </c>
      <c r="H106" s="670">
        <v>6763.82</v>
      </c>
      <c r="I106" s="672">
        <f t="shared" si="130"/>
      </c>
      <c r="J106" s="729">
        <f t="shared" si="99"/>
      </c>
      <c r="K106" s="673">
        <f t="shared" si="68"/>
      </c>
      <c r="L106" s="674">
        <f t="shared" si="37"/>
      </c>
      <c r="M106" s="675">
        <f t="shared" si="6"/>
      </c>
      <c r="N106" s="676">
        <f t="shared" si="254"/>
      </c>
      <c r="O106" s="677" t="s">
        <v>809</v>
      </c>
      <c r="P106" s="678" t="s">
        <v>827</v>
      </c>
      <c r="Q106" s="697">
        <v>26172</v>
      </c>
      <c r="R106" s="697">
        <v>3888</v>
      </c>
      <c r="S106" s="717">
        <v>13</v>
      </c>
      <c r="T106" s="717">
        <v>60</v>
      </c>
    </row>
    <row customHeight="true" ht="16.666666666666668" r="107">
      <c r="A107" s="708"/>
      <c r="B107" s="718" t="s">
        <v>807</v>
      </c>
      <c r="C107" s="698" t="s">
        <v>831</v>
      </c>
      <c r="D107" s="670">
        <f t="shared" si="171"/>
      </c>
      <c r="E107" s="670">
        <v>3506.79</v>
      </c>
      <c r="F107" s="670">
        <v>87.13</v>
      </c>
      <c r="G107" s="709">
        <v>6</v>
      </c>
      <c r="H107" s="670">
        <v>4096.560000000005</v>
      </c>
      <c r="I107" s="672">
        <f t="shared" si="130"/>
      </c>
      <c r="J107" s="729">
        <f t="shared" si="99"/>
      </c>
      <c r="K107" s="673">
        <f t="shared" si="68"/>
      </c>
      <c r="L107" s="674">
        <f t="shared" si="37"/>
      </c>
      <c r="M107" s="675">
        <f t="shared" si="6"/>
      </c>
      <c r="N107" s="676">
        <f t="shared" si="254"/>
      </c>
      <c r="O107" s="677" t="s">
        <v>809</v>
      </c>
      <c r="P107" s="678" t="s">
        <v>827</v>
      </c>
      <c r="Q107" s="697">
        <v>36784</v>
      </c>
      <c r="R107" s="697">
        <v>5996</v>
      </c>
      <c r="S107" s="717">
        <v>5</v>
      </c>
      <c r="T107" s="717">
        <v>61</v>
      </c>
    </row>
    <row r="108">
      <c r="A108" s="708"/>
      <c r="B108" s="684" t="s">
        <v>814</v>
      </c>
      <c r="C108" s="684"/>
      <c r="D108" s="685">
        <f>SUM(D103:D107)</f>
      </c>
      <c r="E108" s="685">
        <f>SUM(E103:E107)</f>
      </c>
      <c r="F108" s="685">
        <f>SUM(F103:F107)</f>
      </c>
      <c r="G108" s="687">
        <f>SUM(G103:G107)</f>
      </c>
      <c r="H108" s="685">
        <f>SUM(H103:H107)</f>
      </c>
      <c r="I108" s="699">
        <f t="shared" si="130"/>
      </c>
      <c r="J108" s="689">
        <f t="shared" si="99"/>
      </c>
      <c r="K108" s="690">
        <f t="shared" si="68"/>
      </c>
      <c r="L108" s="691">
        <f t="shared" si="37"/>
      </c>
      <c r="M108" s="691">
        <f t="shared" si="6"/>
      </c>
      <c r="N108" s="692">
        <f t="shared" si="254"/>
      </c>
      <c r="O108" s="692"/>
      <c r="P108" s="692"/>
      <c r="Q108" s="685">
        <f>SUM(Q103:Q107)</f>
      </c>
      <c r="R108" s="685">
        <f>SUM(R103:R107)</f>
      </c>
      <c r="S108" s="685">
        <f>SUM(S103:S107)</f>
      </c>
      <c r="T108" s="685">
        <f>SUM(T103:T107)</f>
      </c>
    </row>
    <row r="109">
      <c r="A109" s="708"/>
      <c r="B109" s="700" t="s">
        <v>825</v>
      </c>
      <c r="C109" s="700"/>
      <c r="D109" s="701">
        <f>D102+D108</f>
      </c>
      <c r="E109" s="701">
        <f>E102+E108</f>
      </c>
      <c r="F109" s="701">
        <f>F102+F108</f>
      </c>
      <c r="G109" s="702">
        <f>G102+G108</f>
      </c>
      <c r="H109" s="701">
        <f>H102+H108</f>
      </c>
      <c r="I109" s="703">
        <f t="shared" si="130"/>
      </c>
      <c r="J109" s="703">
        <f t="shared" si="99"/>
      </c>
      <c r="K109" s="704">
        <f t="shared" si="68"/>
      </c>
      <c r="L109" s="705">
        <f t="shared" si="37"/>
      </c>
      <c r="M109" s="705">
        <f t="shared" si="6"/>
      </c>
      <c r="N109" s="703">
        <f t="shared" si="254"/>
      </c>
      <c r="O109" s="706"/>
      <c r="P109" s="706"/>
      <c r="Q109" s="707">
        <f>Q102+Q108</f>
      </c>
      <c r="R109" s="707">
        <f>R102+R108</f>
      </c>
      <c r="S109" s="702">
        <f>S102+S108</f>
      </c>
      <c r="T109" s="702">
        <f>T102+T108</f>
      </c>
    </row>
    <row r="110">
      <c r="A110" s="655" t="s">
        <v>782</v>
      </c>
      <c r="B110" s="655"/>
      <c r="C110" s="655"/>
      <c r="D110" s="656" t="s">
        <v>783</v>
      </c>
      <c r="E110" s="656"/>
      <c r="F110" s="656"/>
      <c r="G110" s="657"/>
      <c r="H110" s="656"/>
      <c r="I110" s="656"/>
      <c r="J110" s="656"/>
      <c r="K110" s="656"/>
      <c r="L110" s="666" t="s">
        <v>784</v>
      </c>
      <c r="M110" s="666"/>
      <c r="N110" s="666"/>
      <c r="O110" s="666"/>
      <c r="P110" s="666"/>
      <c r="Q110" s="737" t="s">
        <v>785</v>
      </c>
      <c r="R110" s="737"/>
      <c r="S110" s="737"/>
      <c r="T110" s="737"/>
    </row>
    <row r="111">
      <c r="A111" s="660" t="s">
        <v>786</v>
      </c>
      <c r="B111" s="720" t="s">
        <v>787</v>
      </c>
      <c r="C111" s="720" t="s">
        <v>788</v>
      </c>
      <c r="D111" s="661" t="s">
        <v>789</v>
      </c>
      <c r="E111" s="721" t="s">
        <v>790</v>
      </c>
      <c r="F111" s="722" t="s">
        <v>791</v>
      </c>
      <c r="G111" s="662" t="s">
        <v>792</v>
      </c>
      <c r="H111" s="661" t="s">
        <v>793</v>
      </c>
      <c r="I111" s="663" t="s">
        <v>794</v>
      </c>
      <c r="J111" s="664" t="s">
        <v>795</v>
      </c>
      <c r="K111" s="665" t="s">
        <v>796</v>
      </c>
      <c r="L111" s="666" t="s">
        <v>797</v>
      </c>
      <c r="M111" s="666" t="s">
        <v>798</v>
      </c>
      <c r="N111" s="666" t="s">
        <v>799</v>
      </c>
      <c r="O111" s="723" t="s">
        <v>800</v>
      </c>
      <c r="P111" s="738" t="s">
        <v>801</v>
      </c>
      <c r="Q111" s="667" t="s">
        <v>802</v>
      </c>
      <c r="R111" s="667" t="s">
        <v>803</v>
      </c>
      <c r="S111" s="740" t="s">
        <v>804</v>
      </c>
      <c r="T111" s="667" t="s">
        <v>805</v>
      </c>
    </row>
    <row r="112">
      <c r="A112" s="708" t="s">
        <v>839</v>
      </c>
      <c r="B112" s="726" t="s">
        <v>815</v>
      </c>
      <c r="C112" s="670" t="s">
        <v>808</v>
      </c>
      <c r="D112" s="682">
        <f t="shared" ref="D112:D116" si="172">E112+F112</f>
      </c>
      <c r="E112" s="670">
        <v>2296.14</v>
      </c>
      <c r="F112" s="670">
        <v>1459.25</v>
      </c>
      <c r="G112" s="725">
        <v>16</v>
      </c>
      <c r="H112" s="670">
        <v>9920.6</v>
      </c>
      <c r="I112" s="672">
        <f t="shared" ref="I112:I123" si="131">H112/D112</f>
      </c>
      <c r="J112" s="672">
        <f t="shared" ref="J112:J123" si="100">D112/G112</f>
      </c>
      <c r="K112" s="673">
        <f t="shared" ref="K112:K123" si="69">H112/G112</f>
      </c>
      <c r="L112" s="674">
        <f t="shared" ref="L112:L123" si="38">R112/Q112</f>
      </c>
      <c r="M112" s="675">
        <f t="shared" ref="M112:M123" si="7">G112/S112</f>
      </c>
      <c r="N112" s="676">
        <f t="shared" ref="N112:N123" si="255">(T112*1000)/D112</f>
      </c>
      <c r="O112" s="677" t="s">
        <v>809</v>
      </c>
      <c r="P112" s="678" t="s">
        <v>827</v>
      </c>
      <c r="Q112" s="741">
        <v>38970</v>
      </c>
      <c r="R112" s="741">
        <v>6226</v>
      </c>
      <c r="S112" s="711">
        <v>24</v>
      </c>
      <c r="T112" s="711">
        <v>78</v>
      </c>
    </row>
    <row r="113">
      <c r="A113" s="668"/>
      <c r="B113" s="726" t="s">
        <v>815</v>
      </c>
      <c r="C113" s="670" t="s">
        <v>811</v>
      </c>
      <c r="D113" s="670">
        <f t="shared" si="172"/>
      </c>
      <c r="E113" s="742">
        <v>4006.62</v>
      </c>
      <c r="F113" s="696">
        <v>4035.9</v>
      </c>
      <c r="G113" s="709">
        <v>20</v>
      </c>
      <c r="H113" s="698">
        <v>12475.859999999999</v>
      </c>
      <c r="I113" s="672">
        <f t="shared" si="131"/>
      </c>
      <c r="J113" s="672">
        <f t="shared" si="100"/>
      </c>
      <c r="K113" s="673">
        <f t="shared" si="69"/>
      </c>
      <c r="L113" s="674">
        <f t="shared" si="38"/>
      </c>
      <c r="M113" s="675">
        <f t="shared" si="7"/>
      </c>
      <c r="N113" s="676">
        <f t="shared" si="255"/>
      </c>
      <c r="O113" s="677" t="s">
        <v>809</v>
      </c>
      <c r="P113" s="678" t="s">
        <v>827</v>
      </c>
      <c r="Q113" s="679">
        <v>91139</v>
      </c>
      <c r="R113" s="679">
        <v>16456</v>
      </c>
      <c r="S113" s="711">
        <v>29</v>
      </c>
      <c r="T113" s="711">
        <v>175</v>
      </c>
    </row>
    <row r="114">
      <c r="A114" s="668"/>
      <c r="B114" s="726" t="s">
        <v>815</v>
      </c>
      <c r="C114" s="670" t="s">
        <v>812</v>
      </c>
      <c r="D114" s="670">
        <f t="shared" si="172"/>
      </c>
      <c r="E114" s="728">
        <v>2141.82</v>
      </c>
      <c r="F114" s="698">
        <v>1364.02</v>
      </c>
      <c r="G114" s="680">
        <v>21</v>
      </c>
      <c r="H114" s="681">
        <v>9138.380000000001</v>
      </c>
      <c r="I114" s="672">
        <f t="shared" si="131"/>
      </c>
      <c r="J114" s="729">
        <f t="shared" si="100"/>
      </c>
      <c r="K114" s="673">
        <f t="shared" si="69"/>
      </c>
      <c r="L114" s="674">
        <f t="shared" si="38"/>
      </c>
      <c r="M114" s="675">
        <f t="shared" si="7"/>
      </c>
      <c r="N114" s="676">
        <f t="shared" si="255"/>
      </c>
      <c r="O114" s="677" t="s">
        <v>809</v>
      </c>
      <c r="P114" s="678" t="s">
        <v>827</v>
      </c>
      <c r="Q114" s="711">
        <v>37012</v>
      </c>
      <c r="R114" s="711">
        <v>5743</v>
      </c>
      <c r="S114" s="711">
        <v>26</v>
      </c>
      <c r="T114" s="711">
        <v>86</v>
      </c>
    </row>
    <row r="115">
      <c r="A115" s="668"/>
      <c r="B115" s="726" t="s">
        <v>815</v>
      </c>
      <c r="C115" s="670" t="s">
        <v>813</v>
      </c>
      <c r="D115" s="670">
        <f t="shared" si="172"/>
      </c>
      <c r="E115" s="728">
        <v>1939.55</v>
      </c>
      <c r="F115" s="670">
        <v>1271.7</v>
      </c>
      <c r="G115" s="680">
        <v>8</v>
      </c>
      <c r="H115" s="681">
        <v>4009.7999999999993</v>
      </c>
      <c r="I115" s="672">
        <f t="shared" si="131"/>
      </c>
      <c r="J115" s="729">
        <f t="shared" si="100"/>
      </c>
      <c r="K115" s="673">
        <f t="shared" si="69"/>
      </c>
      <c r="L115" s="674">
        <f t="shared" si="38"/>
      </c>
      <c r="M115" s="675">
        <f t="shared" si="7"/>
      </c>
      <c r="N115" s="676">
        <f t="shared" si="255"/>
      </c>
      <c r="O115" s="677" t="s">
        <v>809</v>
      </c>
      <c r="P115" s="678" t="s">
        <v>827</v>
      </c>
      <c r="Q115" s="679">
        <v>35917</v>
      </c>
      <c r="R115" s="679">
        <v>4742</v>
      </c>
      <c r="S115" s="711">
        <v>13</v>
      </c>
      <c r="T115" s="711">
        <v>59</v>
      </c>
    </row>
    <row customHeight="true" ht="16.666666666666668" r="116">
      <c r="A116" s="668"/>
      <c r="B116" s="726" t="s">
        <v>815</v>
      </c>
      <c r="C116" s="698" t="s">
        <v>816</v>
      </c>
      <c r="D116" s="670">
        <f t="shared" si="172"/>
      </c>
      <c r="E116" s="728">
        <v>1987.33</v>
      </c>
      <c r="F116" s="670">
        <v>1589.58</v>
      </c>
      <c r="G116" s="680">
        <v>17</v>
      </c>
      <c r="H116" s="681">
        <v>8647.700000000004</v>
      </c>
      <c r="I116" s="672">
        <f t="shared" si="131"/>
      </c>
      <c r="J116" s="729">
        <f t="shared" si="100"/>
      </c>
      <c r="K116" s="673">
        <f t="shared" si="69"/>
      </c>
      <c r="L116" s="674">
        <f t="shared" si="38"/>
      </c>
      <c r="M116" s="675">
        <f t="shared" si="7"/>
      </c>
      <c r="N116" s="676">
        <f t="shared" si="255"/>
      </c>
      <c r="O116" s="677" t="s">
        <v>809</v>
      </c>
      <c r="P116" s="678" t="s">
        <v>827</v>
      </c>
      <c r="Q116" s="679">
        <v>39883</v>
      </c>
      <c r="R116" s="679">
        <v>4505</v>
      </c>
      <c r="S116" s="711">
        <v>15</v>
      </c>
      <c r="T116" s="711">
        <v>75</v>
      </c>
    </row>
    <row r="117">
      <c r="A117" s="668"/>
      <c r="B117" s="730" t="s">
        <v>814</v>
      </c>
      <c r="C117" s="730"/>
      <c r="D117" s="685">
        <f>SUM(D112:D116)</f>
      </c>
      <c r="E117" s="685">
        <f>SUM(E112:E116)</f>
      </c>
      <c r="F117" s="685">
        <f>SUM(F112:F116)</f>
      </c>
      <c r="G117" s="687">
        <f>SUM(G112:G116)</f>
      </c>
      <c r="H117" s="685">
        <f>SUM(H112:H116)</f>
      </c>
      <c r="I117" s="688">
        <f t="shared" si="131"/>
      </c>
      <c r="J117" s="689">
        <f t="shared" si="100"/>
      </c>
      <c r="K117" s="690">
        <f t="shared" si="69"/>
      </c>
      <c r="L117" s="691">
        <f t="shared" si="38"/>
      </c>
      <c r="M117" s="691">
        <f t="shared" si="7"/>
      </c>
      <c r="N117" s="692">
        <f t="shared" si="255"/>
      </c>
      <c r="O117" s="692"/>
      <c r="P117" s="692"/>
      <c r="Q117" s="685">
        <f>SUM(Q112:Q116)</f>
      </c>
      <c r="R117" s="685">
        <f>SUM(R112:R116)</f>
      </c>
      <c r="S117" s="685">
        <f>SUM(S112:S116)</f>
      </c>
      <c r="T117" s="685">
        <f>SUM(T112:T116)</f>
      </c>
    </row>
    <row r="118">
      <c r="A118" s="668"/>
      <c r="B118" s="694" t="s">
        <v>807</v>
      </c>
      <c r="C118" s="670" t="s">
        <v>817</v>
      </c>
      <c r="D118" s="670">
        <f t="shared" ref="D118:D121" si="173">E118+F118</f>
      </c>
      <c r="E118" s="670">
        <v>2355.54</v>
      </c>
      <c r="F118" s="670">
        <v>1106.59</v>
      </c>
      <c r="G118" s="671">
        <v>9</v>
      </c>
      <c r="H118" s="670">
        <v>1915.699999999997</v>
      </c>
      <c r="I118" s="672">
        <f t="shared" si="131"/>
      </c>
      <c r="J118" s="672">
        <f t="shared" si="100"/>
      </c>
      <c r="K118" s="673">
        <f t="shared" si="69"/>
      </c>
      <c r="L118" s="674">
        <f t="shared" si="38"/>
      </c>
      <c r="M118" s="675">
        <f t="shared" si="7"/>
      </c>
      <c r="N118" s="676">
        <f t="shared" si="255"/>
      </c>
      <c r="O118" s="677" t="s">
        <v>809</v>
      </c>
      <c r="P118" s="678" t="s">
        <v>827</v>
      </c>
      <c r="Q118" s="697">
        <v>37149</v>
      </c>
      <c r="R118" s="717">
        <v>4038</v>
      </c>
      <c r="S118" s="717">
        <v>14</v>
      </c>
      <c r="T118" s="717">
        <v>71</v>
      </c>
    </row>
    <row r="119">
      <c r="A119" s="668"/>
      <c r="B119" s="694" t="s">
        <v>807</v>
      </c>
      <c r="C119" s="670" t="s">
        <v>818</v>
      </c>
      <c r="D119" s="670">
        <f t="shared" si="173"/>
      </c>
      <c r="E119" s="670">
        <v>2231.63</v>
      </c>
      <c r="F119" s="698">
        <v>992.53</v>
      </c>
      <c r="G119" s="671">
        <v>8</v>
      </c>
      <c r="H119" s="670">
        <v>3046.800000000003</v>
      </c>
      <c r="I119" s="672">
        <f t="shared" si="131"/>
      </c>
      <c r="J119" s="672">
        <f t="shared" si="100"/>
      </c>
      <c r="K119" s="673">
        <f t="shared" si="69"/>
      </c>
      <c r="L119" s="674">
        <f t="shared" si="38"/>
      </c>
      <c r="M119" s="675">
        <f t="shared" si="7"/>
      </c>
      <c r="N119" s="676">
        <f t="shared" si="255"/>
      </c>
      <c r="O119" s="677" t="s">
        <v>809</v>
      </c>
      <c r="P119" s="678" t="s">
        <v>827</v>
      </c>
      <c r="Q119" s="697">
        <v>39843</v>
      </c>
      <c r="R119" s="697">
        <v>4293</v>
      </c>
      <c r="S119" s="717">
        <v>19</v>
      </c>
      <c r="T119" s="717">
        <v>70</v>
      </c>
    </row>
    <row r="120">
      <c r="A120" s="668"/>
      <c r="B120" s="694" t="s">
        <v>807</v>
      </c>
      <c r="C120" s="670" t="s">
        <v>819</v>
      </c>
      <c r="D120" s="670">
        <f t="shared" si="173"/>
      </c>
      <c r="E120" s="698">
        <v>1995.17</v>
      </c>
      <c r="F120" s="670">
        <v>1143.48</v>
      </c>
      <c r="G120" s="709">
        <v>10</v>
      </c>
      <c r="H120" s="698">
        <v>2613.1199999999953</v>
      </c>
      <c r="I120" s="672">
        <f t="shared" si="131"/>
      </c>
      <c r="J120" s="729">
        <f t="shared" si="100"/>
      </c>
      <c r="K120" s="673">
        <f t="shared" si="69"/>
      </c>
      <c r="L120" s="674">
        <f t="shared" si="38"/>
      </c>
      <c r="M120" s="675">
        <f t="shared" si="7"/>
      </c>
      <c r="N120" s="676">
        <f t="shared" si="255"/>
      </c>
      <c r="O120" s="677" t="s">
        <v>809</v>
      </c>
      <c r="P120" s="678" t="s">
        <v>827</v>
      </c>
      <c r="Q120" s="717">
        <v>36896</v>
      </c>
      <c r="R120" s="697">
        <v>3550</v>
      </c>
      <c r="S120" s="717">
        <v>17</v>
      </c>
      <c r="T120" s="717">
        <v>91</v>
      </c>
    </row>
    <row r="121">
      <c r="A121" s="668"/>
      <c r="B121" s="694" t="s">
        <v>807</v>
      </c>
      <c r="C121" s="670" t="s">
        <v>830</v>
      </c>
      <c r="D121" s="670">
        <f t="shared" si="173"/>
      </c>
      <c r="E121" s="670">
        <v>2827.17</v>
      </c>
      <c r="F121" s="670">
        <v>1667.8799999999999</v>
      </c>
      <c r="G121" s="671">
        <v>11</v>
      </c>
      <c r="H121" s="670">
        <v>5580.360000000001</v>
      </c>
      <c r="I121" s="672">
        <f t="shared" si="131"/>
      </c>
      <c r="J121" s="729">
        <f t="shared" si="100"/>
      </c>
      <c r="K121" s="673">
        <f t="shared" si="69"/>
      </c>
      <c r="L121" s="674">
        <f t="shared" si="38"/>
      </c>
      <c r="M121" s="675">
        <f t="shared" si="7"/>
      </c>
      <c r="N121" s="676">
        <f t="shared" si="255"/>
      </c>
      <c r="O121" s="677" t="s">
        <v>809</v>
      </c>
      <c r="P121" s="678" t="s">
        <v>827</v>
      </c>
      <c r="Q121" s="697">
        <v>43385</v>
      </c>
      <c r="R121" s="697">
        <v>5198</v>
      </c>
      <c r="S121" s="717">
        <v>21</v>
      </c>
      <c r="T121" s="717">
        <v>98</v>
      </c>
    </row>
    <row customHeight="true" ht="16.666666666666668" r="122">
      <c r="A122" s="668"/>
      <c r="B122" s="684" t="s">
        <v>814</v>
      </c>
      <c r="C122" s="684"/>
      <c r="D122" s="685">
        <f>D121+D120+D119+D118</f>
      </c>
      <c r="E122" s="685">
        <f>SUM(E118:E121)</f>
      </c>
      <c r="F122" s="685">
        <f>SUM(F118:F121)</f>
      </c>
      <c r="G122" s="687">
        <f>SUM(G118:G121)</f>
      </c>
      <c r="H122" s="685">
        <f>SUM(H118:H121)</f>
      </c>
      <c r="I122" s="699">
        <f t="shared" si="131"/>
      </c>
      <c r="J122" s="689">
        <f t="shared" si="100"/>
      </c>
      <c r="K122" s="690">
        <f t="shared" si="69"/>
      </c>
      <c r="L122" s="691">
        <f t="shared" si="38"/>
      </c>
      <c r="M122" s="691">
        <f t="shared" si="7"/>
      </c>
      <c r="N122" s="692">
        <f t="shared" si="255"/>
      </c>
      <c r="O122" s="692"/>
      <c r="P122" s="692"/>
      <c r="Q122" s="685">
        <f>SUM(Q118:Q121)</f>
      </c>
      <c r="R122" s="685">
        <f>SUM(R118:R121)</f>
      </c>
      <c r="S122" s="685">
        <f>SUM(S118:S121)</f>
      </c>
      <c r="T122" s="685">
        <f>SUM(T118:T121)</f>
      </c>
    </row>
    <row r="123">
      <c r="A123" s="668"/>
      <c r="B123" s="700" t="s">
        <v>825</v>
      </c>
      <c r="C123" s="700"/>
      <c r="D123" s="701">
        <f>D117+D122</f>
      </c>
      <c r="E123" s="701">
        <f>E117+E122</f>
      </c>
      <c r="F123" s="701">
        <f>F117+F122</f>
      </c>
      <c r="G123" s="702">
        <f>G117+G122</f>
      </c>
      <c r="H123" s="701">
        <f>H117+H122</f>
      </c>
      <c r="I123" s="703">
        <f t="shared" si="131"/>
      </c>
      <c r="J123" s="703">
        <f t="shared" si="100"/>
      </c>
      <c r="K123" s="704">
        <f t="shared" si="69"/>
      </c>
      <c r="L123" s="705">
        <f t="shared" si="38"/>
      </c>
      <c r="M123" s="705">
        <f t="shared" si="7"/>
      </c>
      <c r="N123" s="703">
        <f t="shared" si="255"/>
      </c>
      <c r="O123" s="706"/>
      <c r="P123" s="706"/>
      <c r="Q123" s="701">
        <f>Q117+Q122</f>
      </c>
      <c r="R123" s="701">
        <f>R117+R122</f>
      </c>
      <c r="S123" s="701">
        <f>S117+S122</f>
      </c>
      <c r="T123" s="701">
        <f>T117+T122</f>
      </c>
    </row>
    <row r="124">
      <c r="A124" s="655" t="s">
        <v>782</v>
      </c>
      <c r="B124" s="655"/>
      <c r="C124" s="655"/>
      <c r="D124" s="656" t="s">
        <v>783</v>
      </c>
      <c r="E124" s="656"/>
      <c r="F124" s="656"/>
      <c r="G124" s="657"/>
      <c r="H124" s="656"/>
      <c r="I124" s="656"/>
      <c r="J124" s="656"/>
      <c r="K124" s="656"/>
      <c r="L124" s="666" t="s">
        <v>784</v>
      </c>
      <c r="M124" s="666"/>
      <c r="N124" s="666"/>
      <c r="O124" s="666"/>
      <c r="P124" s="666"/>
      <c r="Q124" s="737" t="s">
        <v>785</v>
      </c>
      <c r="R124" s="737"/>
      <c r="S124" s="737"/>
      <c r="T124" s="737"/>
    </row>
    <row r="125">
      <c r="A125" s="660" t="s">
        <v>786</v>
      </c>
      <c r="B125" s="720" t="s">
        <v>787</v>
      </c>
      <c r="C125" s="720" t="s">
        <v>788</v>
      </c>
      <c r="D125" s="661" t="s">
        <v>789</v>
      </c>
      <c r="E125" s="721" t="s">
        <v>790</v>
      </c>
      <c r="F125" s="722" t="s">
        <v>791</v>
      </c>
      <c r="G125" s="662" t="s">
        <v>792</v>
      </c>
      <c r="H125" s="661" t="s">
        <v>793</v>
      </c>
      <c r="I125" s="663" t="s">
        <v>794</v>
      </c>
      <c r="J125" s="664" t="s">
        <v>795</v>
      </c>
      <c r="K125" s="665" t="s">
        <v>796</v>
      </c>
      <c r="L125" s="666" t="s">
        <v>797</v>
      </c>
      <c r="M125" s="666" t="s">
        <v>798</v>
      </c>
      <c r="N125" s="666" t="s">
        <v>799</v>
      </c>
      <c r="O125" s="723" t="s">
        <v>800</v>
      </c>
      <c r="P125" s="738" t="s">
        <v>801</v>
      </c>
      <c r="Q125" s="667" t="s">
        <v>802</v>
      </c>
      <c r="R125" s="667" t="s">
        <v>803</v>
      </c>
      <c r="S125" s="740" t="s">
        <v>804</v>
      </c>
      <c r="T125" s="667" t="s">
        <v>805</v>
      </c>
    </row>
    <row r="126">
      <c r="A126" s="708" t="s">
        <v>840</v>
      </c>
      <c r="B126" s="694" t="s">
        <v>807</v>
      </c>
      <c r="C126" s="670" t="s">
        <v>808</v>
      </c>
      <c r="D126" s="682">
        <f t="shared" ref="D126:D129" si="174">E126+F126</f>
      </c>
      <c r="E126" s="670">
        <v>2845.13</v>
      </c>
      <c r="F126" s="670">
        <v>2158.47</v>
      </c>
      <c r="G126" s="725">
        <v>30</v>
      </c>
      <c r="H126" s="670">
        <v>16650.93</v>
      </c>
      <c r="I126" s="672">
        <f t="shared" ref="I126:I140" si="132">H126/D126</f>
      </c>
      <c r="J126" s="672">
        <f t="shared" ref="J126:J140" si="101">D126/G126</f>
      </c>
      <c r="K126" s="673">
        <f t="shared" ref="K126:K140" si="70">H126/G126</f>
      </c>
      <c r="L126" s="674">
        <f t="shared" ref="L126:L140" si="39">R126/Q126</f>
      </c>
      <c r="M126" s="675">
        <f t="shared" ref="M126:M140" si="8">G126/S126</f>
      </c>
      <c r="N126" s="676">
        <f t="shared" ref="N126:N140" si="256">(T126*1000)/D126</f>
      </c>
      <c r="O126" s="677" t="s">
        <v>809</v>
      </c>
      <c r="P126" s="678" t="s">
        <v>827</v>
      </c>
      <c r="Q126" s="741">
        <v>59458</v>
      </c>
      <c r="R126" s="741">
        <v>8167</v>
      </c>
      <c r="S126" s="711">
        <v>47</v>
      </c>
      <c r="T126" s="711">
        <v>125</v>
      </c>
    </row>
    <row r="127">
      <c r="A127" s="708"/>
      <c r="B127" s="694" t="s">
        <v>807</v>
      </c>
      <c r="C127" s="670" t="s">
        <v>811</v>
      </c>
      <c r="D127" s="670">
        <f t="shared" si="174"/>
      </c>
      <c r="E127" s="742">
        <v>3993.46</v>
      </c>
      <c r="F127" s="696">
        <v>4505.31</v>
      </c>
      <c r="G127" s="709">
        <v>29</v>
      </c>
      <c r="H127" s="698">
        <v>15785.829999999998</v>
      </c>
      <c r="I127" s="672">
        <f t="shared" si="132"/>
      </c>
      <c r="J127" s="672">
        <f t="shared" si="101"/>
      </c>
      <c r="K127" s="673">
        <f t="shared" si="70"/>
      </c>
      <c r="L127" s="674">
        <f t="shared" si="39"/>
      </c>
      <c r="M127" s="675">
        <f t="shared" si="8"/>
      </c>
      <c r="N127" s="676">
        <f t="shared" si="256"/>
      </c>
      <c r="O127" s="677" t="s">
        <v>809</v>
      </c>
      <c r="P127" s="678" t="s">
        <v>827</v>
      </c>
      <c r="Q127" s="679">
        <v>104376</v>
      </c>
      <c r="R127" s="679">
        <v>13955</v>
      </c>
      <c r="S127" s="711">
        <v>47</v>
      </c>
      <c r="T127" s="711">
        <v>232</v>
      </c>
    </row>
    <row r="128">
      <c r="A128" s="708"/>
      <c r="B128" s="694" t="s">
        <v>807</v>
      </c>
      <c r="C128" s="670" t="s">
        <v>812</v>
      </c>
      <c r="D128" s="670">
        <f t="shared" si="174"/>
      </c>
      <c r="E128" s="728">
        <v>1753.44</v>
      </c>
      <c r="F128" s="698">
        <v>1483.39</v>
      </c>
      <c r="G128" s="680">
        <v>8</v>
      </c>
      <c r="H128" s="681">
        <v>4819.240000000002</v>
      </c>
      <c r="I128" s="672">
        <f t="shared" si="132"/>
      </c>
      <c r="J128" s="672">
        <f t="shared" si="101"/>
      </c>
      <c r="K128" s="673">
        <f t="shared" si="70"/>
      </c>
      <c r="L128" s="674">
        <f t="shared" si="39"/>
      </c>
      <c r="M128" s="675">
        <f t="shared" si="8"/>
      </c>
      <c r="N128" s="676">
        <f t="shared" si="256"/>
      </c>
      <c r="O128" s="677" t="s">
        <v>809</v>
      </c>
      <c r="P128" s="678" t="s">
        <v>827</v>
      </c>
      <c r="Q128" s="711">
        <v>32661</v>
      </c>
      <c r="R128" s="711">
        <v>4796</v>
      </c>
      <c r="S128" s="711">
        <v>18</v>
      </c>
      <c r="T128" s="711">
        <v>45</v>
      </c>
    </row>
    <row r="129">
      <c r="A129" s="708"/>
      <c r="B129" s="694" t="s">
        <v>807</v>
      </c>
      <c r="C129" s="670" t="s">
        <v>813</v>
      </c>
      <c r="D129" s="670">
        <f t="shared" si="174"/>
      </c>
      <c r="E129" s="728">
        <v>1672.23</v>
      </c>
      <c r="F129" s="670">
        <v>1716.12</v>
      </c>
      <c r="G129" s="680">
        <v>11</v>
      </c>
      <c r="H129" s="681">
        <v>6948.860000000001</v>
      </c>
      <c r="I129" s="672">
        <f t="shared" si="132"/>
      </c>
      <c r="J129" s="672">
        <f t="shared" si="101"/>
      </c>
      <c r="K129" s="673">
        <f t="shared" si="70"/>
      </c>
      <c r="L129" s="674">
        <f t="shared" si="39"/>
      </c>
      <c r="M129" s="675">
        <f t="shared" si="8"/>
      </c>
      <c r="N129" s="676">
        <f t="shared" si="256"/>
      </c>
      <c r="O129" s="677" t="s">
        <v>809</v>
      </c>
      <c r="P129" s="678" t="s">
        <v>827</v>
      </c>
      <c r="Q129" s="679">
        <v>31430</v>
      </c>
      <c r="R129" s="679">
        <v>4382</v>
      </c>
      <c r="S129" s="711">
        <v>16</v>
      </c>
      <c r="T129" s="711">
        <v>79</v>
      </c>
    </row>
    <row r="130">
      <c r="A130" s="708"/>
      <c r="B130" s="730" t="s">
        <v>814</v>
      </c>
      <c r="C130" s="730"/>
      <c r="D130" s="685">
        <f>SUM(D126:D129)</f>
      </c>
      <c r="E130" s="685">
        <f>SUM(E126:E129)</f>
      </c>
      <c r="F130" s="685">
        <f>SUM(F126:F129)</f>
      </c>
      <c r="G130" s="687">
        <f>SUM(G126:G129)</f>
      </c>
      <c r="H130" s="685">
        <f>SUM(H126:H129)</f>
      </c>
      <c r="I130" s="688">
        <f t="shared" si="132"/>
      </c>
      <c r="J130" s="689">
        <f t="shared" si="101"/>
      </c>
      <c r="K130" s="690">
        <f t="shared" si="70"/>
      </c>
      <c r="L130" s="691">
        <f t="shared" si="39"/>
      </c>
      <c r="M130" s="691">
        <f t="shared" si="8"/>
      </c>
      <c r="N130" s="692">
        <f t="shared" si="256"/>
      </c>
      <c r="O130" s="692"/>
      <c r="P130" s="692"/>
      <c r="Q130" s="685">
        <f>SUM(Q126:Q129)</f>
      </c>
      <c r="R130" s="685">
        <f>SUM(R126:R129)</f>
      </c>
      <c r="S130" s="685">
        <f>SUM(S126:S129)</f>
      </c>
      <c r="T130" s="685">
        <f>SUM(T126:T129)</f>
      </c>
    </row>
    <row r="131">
      <c r="A131" s="708"/>
      <c r="B131" s="726" t="s">
        <v>815</v>
      </c>
      <c r="C131" s="698" t="s">
        <v>816</v>
      </c>
      <c r="D131" s="670">
        <f t="shared" ref="D131:D134" si="175">E131+F131</f>
      </c>
      <c r="E131" s="670">
        <v>2072.36</v>
      </c>
      <c r="F131" s="670">
        <v>1741.52</v>
      </c>
      <c r="G131" s="671">
        <v>13</v>
      </c>
      <c r="H131" s="670">
        <v>6916.220000000001</v>
      </c>
      <c r="I131" s="672">
        <f t="shared" si="132"/>
      </c>
      <c r="J131" s="672">
        <f t="shared" si="101"/>
      </c>
      <c r="K131" s="673">
        <f t="shared" si="70"/>
      </c>
      <c r="L131" s="674">
        <f t="shared" si="39"/>
      </c>
      <c r="M131" s="675">
        <f t="shared" si="8"/>
      </c>
      <c r="N131" s="676">
        <f t="shared" si="256"/>
      </c>
      <c r="O131" s="677" t="s">
        <v>809</v>
      </c>
      <c r="P131" s="678" t="s">
        <v>827</v>
      </c>
      <c r="Q131" s="697">
        <v>33622</v>
      </c>
      <c r="R131" s="717">
        <v>4416</v>
      </c>
      <c r="S131" s="717">
        <v>19</v>
      </c>
      <c r="T131" s="717">
        <v>64</v>
      </c>
    </row>
    <row r="132">
      <c r="A132" s="708"/>
      <c r="B132" s="726" t="s">
        <v>815</v>
      </c>
      <c r="C132" s="670" t="s">
        <v>817</v>
      </c>
      <c r="D132" s="670">
        <f t="shared" si="175"/>
      </c>
      <c r="E132" s="670">
        <v>1858.66</v>
      </c>
      <c r="F132" s="698">
        <v>1304.96</v>
      </c>
      <c r="G132" s="671">
        <v>9</v>
      </c>
      <c r="H132" s="670">
        <v>3704.9000000000015</v>
      </c>
      <c r="I132" s="672">
        <f t="shared" si="132"/>
      </c>
      <c r="J132" s="672">
        <f t="shared" si="101"/>
      </c>
      <c r="K132" s="673">
        <f t="shared" si="70"/>
      </c>
      <c r="L132" s="674">
        <f t="shared" si="39"/>
      </c>
      <c r="M132" s="675">
        <f t="shared" si="8"/>
      </c>
      <c r="N132" s="676">
        <f t="shared" si="256"/>
      </c>
      <c r="O132" s="677" t="s">
        <v>809</v>
      </c>
      <c r="P132" s="678" t="s">
        <v>827</v>
      </c>
      <c r="Q132" s="697">
        <v>30262</v>
      </c>
      <c r="R132" s="697">
        <v>3569</v>
      </c>
      <c r="S132" s="717">
        <v>16</v>
      </c>
      <c r="T132" s="717">
        <v>51</v>
      </c>
    </row>
    <row r="133">
      <c r="A133" s="708"/>
      <c r="B133" s="726" t="s">
        <v>815</v>
      </c>
      <c r="C133" s="670" t="s">
        <v>818</v>
      </c>
      <c r="D133" s="670">
        <f t="shared" si="175"/>
      </c>
      <c r="E133" s="698">
        <v>1218.44</v>
      </c>
      <c r="F133" s="670">
        <v>1257.82</v>
      </c>
      <c r="G133" s="709">
        <v>6</v>
      </c>
      <c r="H133" s="698">
        <v>1713.6399999999994</v>
      </c>
      <c r="I133" s="672">
        <f t="shared" si="132"/>
      </c>
      <c r="J133" s="672">
        <f t="shared" si="101"/>
      </c>
      <c r="K133" s="673">
        <f t="shared" si="70"/>
      </c>
      <c r="L133" s="674">
        <f t="shared" si="39"/>
      </c>
      <c r="M133" s="675">
        <f t="shared" si="8"/>
      </c>
      <c r="N133" s="676">
        <f t="shared" si="256"/>
      </c>
      <c r="O133" s="677" t="s">
        <v>809</v>
      </c>
      <c r="P133" s="710" t="s">
        <v>810</v>
      </c>
      <c r="Q133" s="717">
        <v>30052</v>
      </c>
      <c r="R133" s="697">
        <v>2820</v>
      </c>
      <c r="S133" s="717">
        <v>5</v>
      </c>
      <c r="T133" s="717">
        <v>44</v>
      </c>
    </row>
    <row r="134">
      <c r="A134" s="708"/>
      <c r="B134" s="726" t="s">
        <v>815</v>
      </c>
      <c r="C134" s="670" t="s">
        <v>819</v>
      </c>
      <c r="D134" s="670">
        <f t="shared" si="175"/>
      </c>
      <c r="E134" s="670">
        <v>977.91</v>
      </c>
      <c r="F134" s="670">
        <v>2578.18</v>
      </c>
      <c r="G134" s="671">
        <v>12</v>
      </c>
      <c r="H134" s="670">
        <v>6659.159999999996</v>
      </c>
      <c r="I134" s="672">
        <f t="shared" si="132"/>
      </c>
      <c r="J134" s="672">
        <f t="shared" si="101"/>
      </c>
      <c r="K134" s="673">
        <f t="shared" si="70"/>
      </c>
      <c r="L134" s="674">
        <f t="shared" si="39"/>
      </c>
      <c r="M134" s="675">
        <f t="shared" si="8"/>
      </c>
      <c r="N134" s="676">
        <f t="shared" si="256"/>
      </c>
      <c r="O134" s="677" t="s">
        <v>809</v>
      </c>
      <c r="P134" s="710" t="s">
        <v>810</v>
      </c>
      <c r="Q134" s="697">
        <v>42385</v>
      </c>
      <c r="R134" s="697">
        <v>3823</v>
      </c>
      <c r="S134" s="717">
        <v>15</v>
      </c>
      <c r="T134" s="717">
        <v>64</v>
      </c>
    </row>
    <row r="135">
      <c r="A135" s="708"/>
      <c r="B135" s="684" t="s">
        <v>814</v>
      </c>
      <c r="C135" s="684"/>
      <c r="D135" s="685">
        <f>SUM(D131:D134)</f>
      </c>
      <c r="E135" s="685">
        <f>SUM(E131:E134)</f>
      </c>
      <c r="F135" s="685">
        <f>SUM(F131:F134)</f>
      </c>
      <c r="G135" s="687">
        <f>SUM(G131:G134)</f>
      </c>
      <c r="H135" s="685">
        <f>SUM(H131:H134)</f>
      </c>
      <c r="I135" s="699">
        <f t="shared" si="132"/>
      </c>
      <c r="J135" s="689">
        <f t="shared" si="101"/>
      </c>
      <c r="K135" s="690">
        <f t="shared" si="70"/>
      </c>
      <c r="L135" s="691">
        <f t="shared" si="39"/>
      </c>
      <c r="M135" s="691">
        <f t="shared" si="8"/>
      </c>
      <c r="N135" s="692">
        <f t="shared" si="256"/>
      </c>
      <c r="O135" s="692"/>
      <c r="P135" s="692"/>
      <c r="Q135" s="685">
        <f>SUM(Q131:Q134)</f>
      </c>
      <c r="R135" s="685">
        <f>SUM(R131:R134)</f>
      </c>
      <c r="S135" s="685">
        <f>SUM(S131:S134)</f>
      </c>
      <c r="T135" s="685">
        <f>SUM(T131:T134)</f>
      </c>
    </row>
    <row customHeight="true" ht="18.452380952380953" r="136">
      <c r="A136" s="708"/>
      <c r="B136" s="718" t="s">
        <v>841</v>
      </c>
      <c r="C136" s="670" t="s">
        <v>830</v>
      </c>
      <c r="D136" s="670">
        <f t="shared" ref="D136:D138" si="176">E136+F136</f>
      </c>
      <c r="E136" s="670">
        <v>978.06</v>
      </c>
      <c r="F136" s="670">
        <v>1342.78</v>
      </c>
      <c r="G136" s="671">
        <v>4</v>
      </c>
      <c r="H136" s="670">
        <v>860.1600000000035</v>
      </c>
      <c r="I136" s="672">
        <f t="shared" si="132"/>
      </c>
      <c r="J136" s="672">
        <f t="shared" si="101"/>
      </c>
      <c r="K136" s="673">
        <f t="shared" si="70"/>
      </c>
      <c r="L136" s="674">
        <f t="shared" si="39"/>
      </c>
      <c r="M136" s="675">
        <f t="shared" si="8"/>
      </c>
      <c r="N136" s="676">
        <f t="shared" si="256"/>
      </c>
      <c r="O136" s="677" t="s">
        <v>809</v>
      </c>
      <c r="P136" s="710" t="s">
        <v>810</v>
      </c>
      <c r="Q136" s="697">
        <v>25628</v>
      </c>
      <c r="R136" s="717">
        <v>2510</v>
      </c>
      <c r="S136" s="717">
        <v>9</v>
      </c>
      <c r="T136" s="717">
        <v>35</v>
      </c>
    </row>
    <row customHeight="true" ht="18.452380952380953" r="137">
      <c r="A137" s="708"/>
      <c r="B137" s="718" t="s">
        <v>841</v>
      </c>
      <c r="C137" s="698" t="s">
        <v>831</v>
      </c>
      <c r="D137" s="670">
        <f t="shared" si="176"/>
      </c>
      <c r="E137" s="670">
        <v>746.17</v>
      </c>
      <c r="F137" s="698">
        <v>1493.09</v>
      </c>
      <c r="G137" s="671">
        <v>5</v>
      </c>
      <c r="H137" s="670">
        <v>1075.199999999997</v>
      </c>
      <c r="I137" s="672">
        <f t="shared" si="132"/>
      </c>
      <c r="J137" s="672">
        <f t="shared" si="101"/>
      </c>
      <c r="K137" s="673">
        <f t="shared" si="70"/>
      </c>
      <c r="L137" s="674">
        <f t="shared" si="39"/>
      </c>
      <c r="M137" s="675">
        <f t="shared" si="8"/>
      </c>
      <c r="N137" s="676">
        <f t="shared" si="256"/>
      </c>
      <c r="O137" s="677" t="s">
        <v>809</v>
      </c>
      <c r="P137" s="710" t="s">
        <v>810</v>
      </c>
      <c r="Q137" s="697">
        <v>30801</v>
      </c>
      <c r="R137" s="697">
        <v>2231</v>
      </c>
      <c r="S137" s="717">
        <v>10</v>
      </c>
      <c r="T137" s="717">
        <v>29</v>
      </c>
    </row>
    <row customHeight="true" ht="18.452380952380953" r="138">
      <c r="A138" s="708"/>
      <c r="B138" s="718" t="s">
        <v>841</v>
      </c>
      <c r="C138" s="698" t="s">
        <v>832</v>
      </c>
      <c r="D138" s="670">
        <f t="shared" si="176"/>
      </c>
      <c r="E138" s="698">
        <v>779.98</v>
      </c>
      <c r="F138" s="670">
        <v>1840.11</v>
      </c>
      <c r="G138" s="709">
        <v>13</v>
      </c>
      <c r="H138" s="698">
        <v>10928.87999999999</v>
      </c>
      <c r="I138" s="672">
        <f t="shared" si="132"/>
      </c>
      <c r="J138" s="672">
        <f t="shared" si="101"/>
      </c>
      <c r="K138" s="673">
        <f t="shared" si="70"/>
      </c>
      <c r="L138" s="674">
        <f t="shared" si="39"/>
      </c>
      <c r="M138" s="675">
        <f t="shared" si="8"/>
      </c>
      <c r="N138" s="676">
        <f t="shared" si="256"/>
      </c>
      <c r="O138" s="677" t="s">
        <v>809</v>
      </c>
      <c r="P138" s="710" t="s">
        <v>810</v>
      </c>
      <c r="Q138" s="717">
        <v>47815</v>
      </c>
      <c r="R138" s="697">
        <v>2397</v>
      </c>
      <c r="S138" s="717">
        <v>19</v>
      </c>
      <c r="T138" s="717">
        <v>59</v>
      </c>
    </row>
    <row customHeight="true" ht="18.452380952380953" r="139">
      <c r="A139" s="708"/>
      <c r="B139" s="684" t="s">
        <v>814</v>
      </c>
      <c r="C139" s="684"/>
      <c r="D139" s="685">
        <f>SUM(D136:D138)</f>
      </c>
      <c r="E139" s="685">
        <f>SUM(E136:E138)</f>
      </c>
      <c r="F139" s="685">
        <f>SUM(F136:F138)</f>
      </c>
      <c r="G139" s="687">
        <f>SUM(G136:G138)</f>
      </c>
      <c r="H139" s="685">
        <f>SUM(H136:H138)</f>
      </c>
      <c r="I139" s="699">
        <f t="shared" si="132"/>
      </c>
      <c r="J139" s="689">
        <f t="shared" si="101"/>
      </c>
      <c r="K139" s="690">
        <f t="shared" si="70"/>
      </c>
      <c r="L139" s="691">
        <f t="shared" si="39"/>
      </c>
      <c r="M139" s="691">
        <f t="shared" si="8"/>
      </c>
      <c r="N139" s="692">
        <f t="shared" si="256"/>
      </c>
      <c r="O139" s="692"/>
      <c r="P139" s="692"/>
      <c r="Q139" s="685">
        <f>SUM(Q136:Q138)</f>
      </c>
      <c r="R139" s="685">
        <f>SUM(R136:R138)</f>
      </c>
      <c r="S139" s="685">
        <f>SUM(S136:S138)</f>
      </c>
      <c r="T139" s="685">
        <f>SUM(T136:T138)</f>
      </c>
    </row>
    <row r="140">
      <c r="A140" s="708"/>
      <c r="B140" s="700" t="s">
        <v>825</v>
      </c>
      <c r="C140" s="700"/>
      <c r="D140" s="701">
        <f>D130+D135+D139</f>
      </c>
      <c r="E140" s="701">
        <f>E130+E135+E139</f>
      </c>
      <c r="F140" s="701">
        <f>F130+F135+F139</f>
      </c>
      <c r="G140" s="702">
        <f>G130+G135+G139</f>
      </c>
      <c r="H140" s="701">
        <f>H130+H135+H139</f>
      </c>
      <c r="I140" s="703">
        <f t="shared" si="132"/>
      </c>
      <c r="J140" s="703">
        <f t="shared" si="101"/>
      </c>
      <c r="K140" s="704">
        <f t="shared" si="70"/>
      </c>
      <c r="L140" s="705">
        <f t="shared" si="39"/>
      </c>
      <c r="M140" s="705">
        <f t="shared" si="8"/>
      </c>
      <c r="N140" s="703">
        <f t="shared" si="256"/>
      </c>
      <c r="O140" s="706"/>
      <c r="P140" s="706"/>
      <c r="Q140" s="701">
        <f>Q130+Q135+Q139</f>
      </c>
      <c r="R140" s="701">
        <f>R130+R135+R139</f>
      </c>
      <c r="S140" s="701">
        <f>S130+S135+S139</f>
      </c>
      <c r="T140" s="701">
        <f>T130+T135+T139</f>
      </c>
    </row>
    <row r="141">
      <c r="A141" s="655" t="s">
        <v>782</v>
      </c>
      <c r="B141" s="655"/>
      <c r="C141" s="655"/>
      <c r="D141" s="656" t="s">
        <v>783</v>
      </c>
      <c r="E141" s="656"/>
      <c r="F141" s="656"/>
      <c r="G141" s="656"/>
      <c r="H141" s="656"/>
      <c r="I141" s="656"/>
      <c r="J141" s="656"/>
      <c r="K141" s="656"/>
      <c r="L141" s="666" t="s">
        <v>784</v>
      </c>
      <c r="M141" s="666"/>
      <c r="N141" s="666"/>
      <c r="O141" s="666"/>
      <c r="P141" s="666"/>
      <c r="Q141" s="737" t="s">
        <v>785</v>
      </c>
      <c r="R141" s="737"/>
      <c r="S141" s="737"/>
      <c r="T141" s="737"/>
    </row>
    <row r="142">
      <c r="A142" s="660" t="s">
        <v>786</v>
      </c>
      <c r="B142" s="720" t="s">
        <v>787</v>
      </c>
      <c r="C142" s="743" t="s">
        <v>788</v>
      </c>
      <c r="D142" s="722" t="s">
        <v>789</v>
      </c>
      <c r="E142" s="721" t="s">
        <v>790</v>
      </c>
      <c r="F142" s="722" t="s">
        <v>791</v>
      </c>
      <c r="G142" s="662" t="s">
        <v>792</v>
      </c>
      <c r="H142" s="661" t="s">
        <v>793</v>
      </c>
      <c r="I142" s="663" t="s">
        <v>794</v>
      </c>
      <c r="J142" s="664" t="s">
        <v>795</v>
      </c>
      <c r="K142" s="665" t="s">
        <v>796</v>
      </c>
      <c r="L142" s="666" t="s">
        <v>797</v>
      </c>
      <c r="M142" s="666" t="s">
        <v>798</v>
      </c>
      <c r="N142" s="666" t="s">
        <v>799</v>
      </c>
      <c r="O142" s="723" t="s">
        <v>800</v>
      </c>
      <c r="P142" s="738" t="s">
        <v>801</v>
      </c>
      <c r="Q142" s="667" t="s">
        <v>802</v>
      </c>
      <c r="R142" s="667" t="s">
        <v>803</v>
      </c>
      <c r="S142" s="740" t="s">
        <v>804</v>
      </c>
      <c r="T142" s="667" t="s">
        <v>805</v>
      </c>
    </row>
    <row r="143">
      <c r="A143" s="708" t="s">
        <v>842</v>
      </c>
      <c r="B143" s="744" t="s">
        <v>815</v>
      </c>
      <c r="C143" s="724" t="s">
        <v>808</v>
      </c>
      <c r="D143" s="724">
        <f t="shared" ref="D143:D146" si="177">E143+F143</f>
      </c>
      <c r="E143" s="745">
        <v>1203.22</v>
      </c>
      <c r="F143" s="670">
        <v>1683.79</v>
      </c>
      <c r="G143" s="725">
        <v>6</v>
      </c>
      <c r="H143" s="670">
        <v>2230.68</v>
      </c>
      <c r="I143" s="672">
        <f t="shared" ref="I143:I157" si="133">H143/D143</f>
      </c>
      <c r="J143" s="672">
        <f t="shared" ref="J143:J157" si="102">D143/G143</f>
      </c>
      <c r="K143" s="673">
        <f t="shared" ref="K143:K157" si="71">H143/G143</f>
      </c>
      <c r="L143" s="674">
        <f t="shared" ref="L143:L157" si="40">R143/Q143</f>
      </c>
      <c r="M143" s="675">
        <f t="shared" ref="M143:M157" si="9">G143/S143</f>
      </c>
      <c r="N143" s="676">
        <f t="shared" ref="N143:N157" si="257">(T143*1000)/D143</f>
      </c>
      <c r="O143" s="677" t="s">
        <v>809</v>
      </c>
      <c r="P143" s="678" t="s">
        <v>827</v>
      </c>
      <c r="Q143" s="741">
        <v>34055</v>
      </c>
      <c r="R143" s="741">
        <v>3991</v>
      </c>
      <c r="S143" s="711">
        <v>12</v>
      </c>
      <c r="T143" s="711">
        <v>53</v>
      </c>
    </row>
    <row r="144">
      <c r="A144" s="708"/>
      <c r="B144" s="726" t="s">
        <v>815</v>
      </c>
      <c r="C144" s="696" t="s">
        <v>811</v>
      </c>
      <c r="D144" s="696">
        <f t="shared" si="177"/>
      </c>
      <c r="E144" s="742">
        <v>590.81</v>
      </c>
      <c r="F144" s="696">
        <v>1061.06</v>
      </c>
      <c r="G144" s="709">
        <v>4</v>
      </c>
      <c r="H144" s="698">
        <v>3612.36</v>
      </c>
      <c r="I144" s="672">
        <f t="shared" si="133"/>
      </c>
      <c r="J144" s="672">
        <f t="shared" si="102"/>
      </c>
      <c r="K144" s="673">
        <f t="shared" si="71"/>
      </c>
      <c r="L144" s="674">
        <f t="shared" si="40"/>
      </c>
      <c r="M144" s="675">
        <f t="shared" si="9"/>
      </c>
      <c r="N144" s="676">
        <f t="shared" si="257"/>
      </c>
      <c r="O144" s="677" t="s">
        <v>809</v>
      </c>
      <c r="P144" s="678" t="s">
        <v>827</v>
      </c>
      <c r="Q144" s="679">
        <v>16066</v>
      </c>
      <c r="R144" s="679">
        <v>2335</v>
      </c>
      <c r="S144" s="711">
        <v>6</v>
      </c>
      <c r="T144" s="711">
        <v>49</v>
      </c>
    </row>
    <row r="145">
      <c r="A145" s="708"/>
      <c r="B145" s="726" t="s">
        <v>815</v>
      </c>
      <c r="C145" s="670" t="s">
        <v>812</v>
      </c>
      <c r="D145" s="670">
        <f t="shared" si="177"/>
      </c>
      <c r="E145" s="728">
        <v>629.07</v>
      </c>
      <c r="F145" s="698">
        <v>1231.22</v>
      </c>
      <c r="G145" s="680">
        <v>9</v>
      </c>
      <c r="H145" s="681">
        <v>3284.4000000000005</v>
      </c>
      <c r="I145" s="672">
        <f t="shared" si="133"/>
      </c>
      <c r="J145" s="672">
        <f t="shared" si="102"/>
      </c>
      <c r="K145" s="673">
        <f t="shared" si="71"/>
      </c>
      <c r="L145" s="674">
        <f t="shared" si="40"/>
      </c>
      <c r="M145" s="675">
        <f t="shared" si="9"/>
      </c>
      <c r="N145" s="676">
        <f t="shared" si="257"/>
      </c>
      <c r="O145" s="677" t="s">
        <v>809</v>
      </c>
      <c r="P145" s="678" t="s">
        <v>827</v>
      </c>
      <c r="Q145" s="711">
        <v>16638</v>
      </c>
      <c r="R145" s="711">
        <v>2191</v>
      </c>
      <c r="S145" s="711">
        <v>11</v>
      </c>
      <c r="T145" s="711">
        <v>49</v>
      </c>
    </row>
    <row r="146">
      <c r="A146" s="708"/>
      <c r="B146" s="726" t="s">
        <v>815</v>
      </c>
      <c r="C146" s="670" t="s">
        <v>813</v>
      </c>
      <c r="D146" s="670">
        <f t="shared" si="177"/>
      </c>
      <c r="E146" s="728">
        <v>607.02</v>
      </c>
      <c r="F146" s="670">
        <v>1756.31</v>
      </c>
      <c r="G146" s="680">
        <v>7</v>
      </c>
      <c r="H146" s="681">
        <v>3317.039999999999</v>
      </c>
      <c r="I146" s="672">
        <f t="shared" si="133"/>
      </c>
      <c r="J146" s="672">
        <f t="shared" si="102"/>
      </c>
      <c r="K146" s="673">
        <f t="shared" si="71"/>
      </c>
      <c r="L146" s="674">
        <f t="shared" si="40"/>
      </c>
      <c r="M146" s="675">
        <f t="shared" si="9"/>
      </c>
      <c r="N146" s="676">
        <f t="shared" si="257"/>
      </c>
      <c r="O146" s="677" t="s">
        <v>809</v>
      </c>
      <c r="P146" s="678" t="s">
        <v>827</v>
      </c>
      <c r="Q146" s="679">
        <v>22724</v>
      </c>
      <c r="R146" s="679">
        <v>1957</v>
      </c>
      <c r="S146" s="711">
        <v>11</v>
      </c>
      <c r="T146" s="711">
        <v>63</v>
      </c>
    </row>
    <row r="147">
      <c r="A147" s="708"/>
      <c r="B147" s="730" t="s">
        <v>814</v>
      </c>
      <c r="C147" s="730"/>
      <c r="D147" s="685">
        <f>SUM(D143:D146)</f>
      </c>
      <c r="E147" s="685">
        <f>SUM(E143:E146)</f>
      </c>
      <c r="F147" s="685">
        <f>SUM(F143:F146)</f>
      </c>
      <c r="G147" s="687">
        <f>SUM(G143:G146)</f>
      </c>
      <c r="H147" s="685">
        <f>SUM(H143:H146)</f>
      </c>
      <c r="I147" s="688">
        <f t="shared" si="133"/>
      </c>
      <c r="J147" s="689">
        <f t="shared" si="102"/>
      </c>
      <c r="K147" s="690">
        <f t="shared" si="71"/>
      </c>
      <c r="L147" s="691">
        <f t="shared" si="40"/>
      </c>
      <c r="M147" s="691">
        <f t="shared" si="9"/>
      </c>
      <c r="N147" s="692">
        <f t="shared" si="257"/>
      </c>
      <c r="O147" s="692"/>
      <c r="P147" s="692"/>
      <c r="Q147" s="685">
        <f>SUM(Q143:Q146)</f>
      </c>
      <c r="R147" s="685">
        <f>SUM(R143:R146)</f>
      </c>
      <c r="S147" s="685">
        <f>SUM(S143:S146)</f>
      </c>
      <c r="T147" s="685">
        <f>SUM(T143:T146)</f>
      </c>
    </row>
    <row r="148">
      <c r="A148" s="708"/>
      <c r="B148" s="694" t="s">
        <v>807</v>
      </c>
      <c r="C148" s="698" t="s">
        <v>816</v>
      </c>
      <c r="D148" s="670">
        <f t="shared" ref="D148:D151" si="178">E148+F148</f>
      </c>
      <c r="E148" s="670">
        <v>1218.37</v>
      </c>
      <c r="F148" s="670">
        <v>1278.75</v>
      </c>
      <c r="G148" s="671">
        <v>8</v>
      </c>
      <c r="H148" s="670">
        <v>4893.02</v>
      </c>
      <c r="I148" s="672">
        <f t="shared" si="133"/>
      </c>
      <c r="J148" s="672">
        <f t="shared" si="102"/>
      </c>
      <c r="K148" s="673">
        <f t="shared" si="71"/>
      </c>
      <c r="L148" s="674">
        <f t="shared" si="40"/>
      </c>
      <c r="M148" s="675">
        <f t="shared" si="9"/>
      </c>
      <c r="N148" s="676">
        <f t="shared" si="257"/>
      </c>
      <c r="O148" s="677" t="s">
        <v>809</v>
      </c>
      <c r="P148" s="678" t="s">
        <v>827</v>
      </c>
      <c r="Q148" s="697">
        <v>24725</v>
      </c>
      <c r="R148" s="717">
        <v>2367</v>
      </c>
      <c r="S148" s="717">
        <v>11</v>
      </c>
      <c r="T148" s="717">
        <v>63</v>
      </c>
    </row>
    <row r="149">
      <c r="A149" s="708"/>
      <c r="B149" s="694" t="s">
        <v>807</v>
      </c>
      <c r="C149" s="670" t="s">
        <v>817</v>
      </c>
      <c r="D149" s="670">
        <f t="shared" si="178"/>
      </c>
      <c r="E149" s="670">
        <v>1951.44</v>
      </c>
      <c r="F149" s="698">
        <v>1509.9</v>
      </c>
      <c r="G149" s="671">
        <v>11</v>
      </c>
      <c r="H149" s="670">
        <v>4709.040000000001</v>
      </c>
      <c r="I149" s="672">
        <f t="shared" si="133"/>
      </c>
      <c r="J149" s="672">
        <f t="shared" si="102"/>
      </c>
      <c r="K149" s="673">
        <f t="shared" si="71"/>
      </c>
      <c r="L149" s="674">
        <f t="shared" si="40"/>
      </c>
      <c r="M149" s="675">
        <f t="shared" si="9"/>
      </c>
      <c r="N149" s="676">
        <f t="shared" si="257"/>
      </c>
      <c r="O149" s="677" t="s">
        <v>809</v>
      </c>
      <c r="P149" s="678" t="s">
        <v>827</v>
      </c>
      <c r="Q149" s="697">
        <v>39562</v>
      </c>
      <c r="R149" s="697">
        <v>4815</v>
      </c>
      <c r="S149" s="717">
        <v>12</v>
      </c>
      <c r="T149" s="717">
        <v>111</v>
      </c>
    </row>
    <row r="150">
      <c r="A150" s="708"/>
      <c r="B150" s="694" t="s">
        <v>807</v>
      </c>
      <c r="C150" s="670" t="s">
        <v>818</v>
      </c>
      <c r="D150" s="670">
        <f t="shared" si="178"/>
      </c>
      <c r="E150" s="698">
        <v>1290.22</v>
      </c>
      <c r="F150" s="670">
        <v>1789.82</v>
      </c>
      <c r="G150" s="709">
        <v>7</v>
      </c>
      <c r="H150" s="698">
        <v>1948.3400000000001</v>
      </c>
      <c r="I150" s="672">
        <f t="shared" si="133"/>
      </c>
      <c r="J150" s="672">
        <f t="shared" si="102"/>
      </c>
      <c r="K150" s="673">
        <f t="shared" si="71"/>
      </c>
      <c r="L150" s="674">
        <f t="shared" si="40"/>
      </c>
      <c r="M150" s="675">
        <f t="shared" si="9"/>
      </c>
      <c r="N150" s="676">
        <f t="shared" si="257"/>
      </c>
      <c r="O150" s="677" t="s">
        <v>809</v>
      </c>
      <c r="P150" s="710" t="s">
        <v>827</v>
      </c>
      <c r="Q150" s="717">
        <v>40171</v>
      </c>
      <c r="R150" s="697">
        <v>4003</v>
      </c>
      <c r="S150" s="717">
        <v>11</v>
      </c>
      <c r="T150" s="717">
        <v>97</v>
      </c>
    </row>
    <row r="151">
      <c r="A151" s="708"/>
      <c r="B151" s="694" t="s">
        <v>807</v>
      </c>
      <c r="C151" s="670" t="s">
        <v>819</v>
      </c>
      <c r="D151" s="670">
        <f t="shared" si="178"/>
      </c>
      <c r="E151" s="670">
        <v>1970.1</v>
      </c>
      <c r="F151" s="670">
        <v>740.29</v>
      </c>
      <c r="G151" s="671">
        <v>13</v>
      </c>
      <c r="H151" s="670">
        <v>6834.879999999997</v>
      </c>
      <c r="I151" s="672">
        <f t="shared" si="133"/>
      </c>
      <c r="J151" s="672">
        <f t="shared" si="102"/>
      </c>
      <c r="K151" s="673">
        <f t="shared" si="71"/>
      </c>
      <c r="L151" s="674">
        <f t="shared" si="40"/>
      </c>
      <c r="M151" s="675">
        <f t="shared" si="9"/>
      </c>
      <c r="N151" s="676">
        <f t="shared" si="257"/>
      </c>
      <c r="O151" s="677" t="s">
        <v>809</v>
      </c>
      <c r="P151" s="710" t="s">
        <v>827</v>
      </c>
      <c r="Q151" s="697">
        <v>37043</v>
      </c>
      <c r="R151" s="697">
        <v>2992</v>
      </c>
      <c r="S151" s="717">
        <v>15</v>
      </c>
      <c r="T151" s="717">
        <v>83</v>
      </c>
    </row>
    <row r="152">
      <c r="A152" s="708"/>
      <c r="B152" s="684" t="s">
        <v>814</v>
      </c>
      <c r="C152" s="684"/>
      <c r="D152" s="685">
        <f>SUM(D148:D151)</f>
      </c>
      <c r="E152" s="685">
        <f>SUM(E148:E151)</f>
      </c>
      <c r="F152" s="685">
        <f>SUM(F148:F151)</f>
      </c>
      <c r="G152" s="687">
        <f>SUM(G148:G151)</f>
      </c>
      <c r="H152" s="685">
        <f>SUM(H148:H151)</f>
      </c>
      <c r="I152" s="699">
        <f t="shared" si="133"/>
      </c>
      <c r="J152" s="689">
        <f t="shared" si="102"/>
      </c>
      <c r="K152" s="690">
        <f t="shared" si="71"/>
      </c>
      <c r="L152" s="691">
        <f t="shared" si="40"/>
      </c>
      <c r="M152" s="691">
        <f t="shared" si="9"/>
      </c>
      <c r="N152" s="692">
        <f t="shared" si="257"/>
      </c>
      <c r="O152" s="692"/>
      <c r="P152" s="692"/>
      <c r="Q152" s="685">
        <f>SUM(Q148:Q151)</f>
      </c>
      <c r="R152" s="685">
        <f>SUM(R148:R151)</f>
      </c>
      <c r="S152" s="685">
        <f>SUM(S148:S151)</f>
      </c>
      <c r="T152" s="685">
        <f>SUM(T148:T151)</f>
      </c>
    </row>
    <row r="153">
      <c r="A153" s="708"/>
      <c r="B153" s="718" t="s">
        <v>841</v>
      </c>
      <c r="C153" s="670" t="s">
        <v>830</v>
      </c>
      <c r="D153" s="670">
        <f t="shared" ref="D153:D155" si="179">E153+F153</f>
      </c>
      <c r="E153" s="670">
        <v>1997.5</v>
      </c>
      <c r="F153" s="670">
        <v>2012.25</v>
      </c>
      <c r="G153" s="671">
        <v>15</v>
      </c>
      <c r="H153" s="670">
        <v>9135.500000000004</v>
      </c>
      <c r="I153" s="672">
        <f t="shared" si="133"/>
      </c>
      <c r="J153" s="672">
        <f t="shared" si="102"/>
      </c>
      <c r="K153" s="673">
        <f t="shared" si="71"/>
      </c>
      <c r="L153" s="674">
        <f t="shared" si="40"/>
      </c>
      <c r="M153" s="675">
        <f t="shared" si="9"/>
      </c>
      <c r="N153" s="676">
        <f t="shared" si="257"/>
      </c>
      <c r="O153" s="677" t="s">
        <v>809</v>
      </c>
      <c r="P153" s="710" t="s">
        <v>827</v>
      </c>
      <c r="Q153" s="697">
        <v>56715</v>
      </c>
      <c r="R153" s="717">
        <v>3632</v>
      </c>
      <c r="S153" s="717">
        <v>29</v>
      </c>
      <c r="T153" s="717">
        <v>96</v>
      </c>
    </row>
    <row r="154">
      <c r="A154" s="708"/>
      <c r="B154" s="718" t="s">
        <v>841</v>
      </c>
      <c r="C154" s="698" t="s">
        <v>831</v>
      </c>
      <c r="D154" s="670">
        <f t="shared" si="179"/>
      </c>
      <c r="E154" s="670">
        <v>1506.74</v>
      </c>
      <c r="F154" s="698">
        <v>1517.69</v>
      </c>
      <c r="G154" s="671">
        <v>9</v>
      </c>
      <c r="H154" s="670">
        <v>3303.8600000000006</v>
      </c>
      <c r="I154" s="672">
        <f t="shared" si="133"/>
      </c>
      <c r="J154" s="672">
        <f t="shared" si="102"/>
      </c>
      <c r="K154" s="673">
        <f t="shared" si="71"/>
      </c>
      <c r="L154" s="674">
        <f t="shared" si="40"/>
      </c>
      <c r="M154" s="675">
        <f t="shared" si="9"/>
      </c>
      <c r="N154" s="676">
        <f t="shared" si="257"/>
      </c>
      <c r="O154" s="677" t="s">
        <v>809</v>
      </c>
      <c r="P154" s="710" t="s">
        <v>827</v>
      </c>
      <c r="Q154" s="697">
        <v>59049</v>
      </c>
      <c r="R154" s="697">
        <v>2884</v>
      </c>
      <c r="S154" s="717">
        <v>16</v>
      </c>
      <c r="T154" s="717">
        <v>62</v>
      </c>
    </row>
    <row r="155">
      <c r="A155" s="708"/>
      <c r="B155" s="718" t="s">
        <v>841</v>
      </c>
      <c r="C155" s="698" t="s">
        <v>832</v>
      </c>
      <c r="D155" s="670">
        <f t="shared" si="179"/>
      </c>
      <c r="E155" s="698">
        <v>790.97</v>
      </c>
      <c r="F155" s="670">
        <v>763.82</v>
      </c>
      <c r="G155" s="709">
        <v>4</v>
      </c>
      <c r="H155" s="698">
        <v>1800.5999999999985</v>
      </c>
      <c r="I155" s="672">
        <f t="shared" si="133"/>
      </c>
      <c r="J155" s="672">
        <f t="shared" si="102"/>
      </c>
      <c r="K155" s="673">
        <f t="shared" si="71"/>
      </c>
      <c r="L155" s="674">
        <f t="shared" si="40"/>
      </c>
      <c r="M155" s="675">
        <f t="shared" si="9"/>
      </c>
      <c r="N155" s="676">
        <f t="shared" si="257"/>
      </c>
      <c r="O155" s="677" t="s">
        <v>809</v>
      </c>
      <c r="P155" s="710" t="s">
        <v>810</v>
      </c>
      <c r="Q155" s="717">
        <v>30456</v>
      </c>
      <c r="R155" s="697">
        <v>1424</v>
      </c>
      <c r="S155" s="717">
        <v>10</v>
      </c>
      <c r="T155" s="717">
        <v>46</v>
      </c>
    </row>
    <row r="156">
      <c r="A156" s="708"/>
      <c r="B156" s="684" t="s">
        <v>814</v>
      </c>
      <c r="C156" s="684"/>
      <c r="D156" s="685">
        <f>SUM(D153:D155)</f>
      </c>
      <c r="E156" s="685">
        <f>SUM(E153:E155)</f>
      </c>
      <c r="F156" s="685">
        <f>SUM(F153:F155)</f>
      </c>
      <c r="G156" s="687">
        <f>SUM(G153:G155)</f>
      </c>
      <c r="H156" s="685">
        <f>SUM(H153:H155)</f>
      </c>
      <c r="I156" s="699">
        <f t="shared" si="133"/>
      </c>
      <c r="J156" s="689">
        <f t="shared" si="102"/>
      </c>
      <c r="K156" s="690">
        <f t="shared" si="71"/>
      </c>
      <c r="L156" s="691">
        <f t="shared" si="40"/>
      </c>
      <c r="M156" s="691">
        <f t="shared" si="9"/>
      </c>
      <c r="N156" s="692">
        <f t="shared" si="257"/>
      </c>
      <c r="O156" s="692"/>
      <c r="P156" s="692"/>
      <c r="Q156" s="685">
        <f>SUM(Q153:Q155)</f>
      </c>
      <c r="R156" s="685">
        <f>SUM(R153:R155)</f>
      </c>
      <c r="S156" s="685">
        <f>SUM(S153:S155)</f>
      </c>
      <c r="T156" s="685">
        <f>SUM(T153:T155)</f>
      </c>
    </row>
    <row r="157">
      <c r="A157" s="708"/>
      <c r="B157" s="700" t="s">
        <v>825</v>
      </c>
      <c r="C157" s="700"/>
      <c r="D157" s="701">
        <f>D147+D152+D156</f>
      </c>
      <c r="E157" s="701">
        <f>E147+E152+E156</f>
      </c>
      <c r="F157" s="701">
        <f>F147+F152+F156</f>
      </c>
      <c r="G157" s="702">
        <f>G147+G152+G156</f>
      </c>
      <c r="H157" s="701">
        <f>H147+H152+H156</f>
      </c>
      <c r="I157" s="703">
        <f t="shared" si="133"/>
      </c>
      <c r="J157" s="703">
        <f t="shared" si="102"/>
      </c>
      <c r="K157" s="704">
        <f t="shared" si="71"/>
      </c>
      <c r="L157" s="705">
        <f t="shared" si="40"/>
      </c>
      <c r="M157" s="705">
        <f t="shared" si="9"/>
      </c>
      <c r="N157" s="703">
        <f t="shared" si="257"/>
      </c>
      <c r="O157" s="706"/>
      <c r="P157" s="706"/>
      <c r="Q157" s="701">
        <f>Q147+Q152+Q156</f>
      </c>
      <c r="R157" s="701">
        <f>R147+R152+R156</f>
      </c>
      <c r="S157" s="701">
        <f>S147+S152+S156</f>
      </c>
      <c r="T157" s="701">
        <f>T147+T152+T156</f>
      </c>
    </row>
    <row r="158">
      <c r="A158" s="655" t="s">
        <v>782</v>
      </c>
      <c r="B158" s="655"/>
      <c r="C158" s="655"/>
      <c r="D158" s="656" t="s">
        <v>783</v>
      </c>
      <c r="E158" s="656"/>
      <c r="F158" s="656"/>
      <c r="G158" s="656"/>
      <c r="H158" s="656"/>
      <c r="I158" s="656"/>
      <c r="J158" s="656"/>
      <c r="K158" s="656"/>
      <c r="L158" s="666" t="s">
        <v>784</v>
      </c>
      <c r="M158" s="666"/>
      <c r="N158" s="666"/>
      <c r="O158" s="666"/>
      <c r="P158" s="666"/>
      <c r="Q158" s="737" t="s">
        <v>785</v>
      </c>
      <c r="R158" s="737"/>
      <c r="S158" s="737"/>
      <c r="T158" s="737"/>
    </row>
    <row r="159">
      <c r="A159" s="660" t="s">
        <v>786</v>
      </c>
      <c r="B159" s="720" t="s">
        <v>787</v>
      </c>
      <c r="C159" s="743" t="s">
        <v>788</v>
      </c>
      <c r="D159" s="722" t="s">
        <v>789</v>
      </c>
      <c r="E159" s="721" t="s">
        <v>790</v>
      </c>
      <c r="F159" s="722" t="s">
        <v>791</v>
      </c>
      <c r="G159" s="662" t="s">
        <v>792</v>
      </c>
      <c r="H159" s="661" t="s">
        <v>793</v>
      </c>
      <c r="I159" s="663" t="s">
        <v>794</v>
      </c>
      <c r="J159" s="664" t="s">
        <v>795</v>
      </c>
      <c r="K159" s="665" t="s">
        <v>796</v>
      </c>
      <c r="L159" s="666" t="s">
        <v>797</v>
      </c>
      <c r="M159" s="666" t="s">
        <v>798</v>
      </c>
      <c r="N159" s="666" t="s">
        <v>799</v>
      </c>
      <c r="O159" s="723" t="s">
        <v>800</v>
      </c>
      <c r="P159" s="738" t="s">
        <v>801</v>
      </c>
      <c r="Q159" s="667" t="s">
        <v>802</v>
      </c>
      <c r="R159" s="667" t="s">
        <v>803</v>
      </c>
      <c r="S159" s="740" t="s">
        <v>804</v>
      </c>
      <c r="T159" s="667" t="s">
        <v>805</v>
      </c>
    </row>
    <row r="160">
      <c r="A160" s="708" t="s">
        <v>843</v>
      </c>
      <c r="B160" s="744" t="s">
        <v>815</v>
      </c>
      <c r="C160" s="724" t="s">
        <v>808</v>
      </c>
      <c r="D160" s="746">
        <f t="shared" ref="D160:D163" si="180">E160+F160</f>
      </c>
      <c r="E160" s="724">
        <v>1299.45</v>
      </c>
      <c r="F160" s="724">
        <v>1592.9</v>
      </c>
      <c r="G160" s="725">
        <v>15</v>
      </c>
      <c r="H160" s="670">
        <v>8232.62</v>
      </c>
      <c r="I160" s="672">
        <f t="shared" ref="I160:I175" si="134">H160/D160</f>
      </c>
      <c r="J160" s="672">
        <f t="shared" ref="J160:J175" si="103">D160/G160</f>
      </c>
      <c r="K160" s="673">
        <f t="shared" ref="K160:K175" si="72">H160/G160</f>
      </c>
      <c r="L160" s="674">
        <f t="shared" ref="L160:L175" si="41">R160/Q160</f>
      </c>
      <c r="M160" s="675">
        <f t="shared" ref="M160:M175" si="10">G160/S160</f>
      </c>
      <c r="N160" s="676">
        <f t="shared" ref="N160:N175" si="258">(T160*1000)/D160</f>
      </c>
      <c r="O160" s="677" t="s">
        <v>809</v>
      </c>
      <c r="P160" s="678" t="s">
        <v>827</v>
      </c>
      <c r="Q160" s="741">
        <v>38471</v>
      </c>
      <c r="R160" s="741">
        <v>3879</v>
      </c>
      <c r="S160" s="711">
        <v>21</v>
      </c>
      <c r="T160" s="711">
        <v>73</v>
      </c>
    </row>
    <row r="161">
      <c r="A161" s="708"/>
      <c r="B161" s="726" t="s">
        <v>815</v>
      </c>
      <c r="C161" s="696" t="s">
        <v>811</v>
      </c>
      <c r="D161" s="696">
        <f t="shared" si="180"/>
      </c>
      <c r="E161" s="742">
        <v>2468.72</v>
      </c>
      <c r="F161" s="696">
        <v>2732.83</v>
      </c>
      <c r="G161" s="709">
        <v>22</v>
      </c>
      <c r="H161" s="698">
        <v>14289.639999999998</v>
      </c>
      <c r="I161" s="672">
        <f t="shared" si="134"/>
      </c>
      <c r="J161" s="672">
        <f t="shared" si="103"/>
      </c>
      <c r="K161" s="673">
        <f t="shared" si="72"/>
      </c>
      <c r="L161" s="674">
        <f t="shared" si="41"/>
      </c>
      <c r="M161" s="675">
        <f t="shared" si="10"/>
      </c>
      <c r="N161" s="676">
        <f t="shared" si="258"/>
      </c>
      <c r="O161" s="677" t="s">
        <v>809</v>
      </c>
      <c r="P161" s="678" t="s">
        <v>827</v>
      </c>
      <c r="Q161" s="679">
        <v>72316</v>
      </c>
      <c r="R161" s="679">
        <v>6195</v>
      </c>
      <c r="S161" s="711">
        <v>29</v>
      </c>
      <c r="T161" s="711">
        <v>137</v>
      </c>
    </row>
    <row r="162">
      <c r="A162" s="708"/>
      <c r="B162" s="726" t="s">
        <v>815</v>
      </c>
      <c r="C162" s="670" t="s">
        <v>812</v>
      </c>
      <c r="D162" s="670">
        <f t="shared" si="180"/>
      </c>
      <c r="E162" s="728">
        <v>2648.55</v>
      </c>
      <c r="F162" s="698">
        <v>2223.51</v>
      </c>
      <c r="G162" s="680">
        <v>20</v>
      </c>
      <c r="H162" s="681">
        <v>14795.77</v>
      </c>
      <c r="I162" s="672">
        <f t="shared" si="134"/>
      </c>
      <c r="J162" s="672">
        <f t="shared" si="103"/>
      </c>
      <c r="K162" s="673">
        <f t="shared" si="72"/>
      </c>
      <c r="L162" s="674">
        <f t="shared" si="41"/>
      </c>
      <c r="M162" s="675">
        <f t="shared" si="10"/>
      </c>
      <c r="N162" s="676">
        <f t="shared" si="258"/>
      </c>
      <c r="O162" s="677" t="s">
        <v>809</v>
      </c>
      <c r="P162" s="678" t="s">
        <v>827</v>
      </c>
      <c r="Q162" s="711">
        <v>69398</v>
      </c>
      <c r="R162" s="711">
        <v>5584</v>
      </c>
      <c r="S162" s="711">
        <v>27</v>
      </c>
      <c r="T162" s="711">
        <v>116</v>
      </c>
    </row>
    <row r="163">
      <c r="A163" s="708"/>
      <c r="B163" s="726" t="s">
        <v>815</v>
      </c>
      <c r="C163" s="670" t="s">
        <v>813</v>
      </c>
      <c r="D163" s="670">
        <f t="shared" si="180"/>
      </c>
      <c r="E163" s="728">
        <v>1195.12</v>
      </c>
      <c r="F163" s="670">
        <v>1406.21</v>
      </c>
      <c r="G163" s="680">
        <v>8</v>
      </c>
      <c r="H163" s="681">
        <v>2660.760000000002</v>
      </c>
      <c r="I163" s="672">
        <f t="shared" si="134"/>
      </c>
      <c r="J163" s="672">
        <f t="shared" si="103"/>
      </c>
      <c r="K163" s="673">
        <f t="shared" si="72"/>
      </c>
      <c r="L163" s="674">
        <f t="shared" si="41"/>
      </c>
      <c r="M163" s="675">
        <f t="shared" si="10"/>
      </c>
      <c r="N163" s="676">
        <f t="shared" si="258"/>
      </c>
      <c r="O163" s="677" t="s">
        <v>809</v>
      </c>
      <c r="P163" s="678" t="s">
        <v>827</v>
      </c>
      <c r="Q163" s="679">
        <v>37427</v>
      </c>
      <c r="R163" s="679">
        <v>2403</v>
      </c>
      <c r="S163" s="711">
        <v>11</v>
      </c>
      <c r="T163" s="711">
        <v>57</v>
      </c>
    </row>
    <row r="164">
      <c r="A164" s="708"/>
      <c r="B164" s="730" t="s">
        <v>814</v>
      </c>
      <c r="C164" s="730"/>
      <c r="D164" s="685">
        <f>SUM(D160:D163)</f>
      </c>
      <c r="E164" s="685">
        <f>SUM(E160:E163)</f>
      </c>
      <c r="F164" s="685">
        <f>SUM(F160:F163)</f>
      </c>
      <c r="G164" s="687">
        <f>SUM(G160:G163)</f>
      </c>
      <c r="H164" s="685">
        <f>SUM(H160:H163)</f>
      </c>
      <c r="I164" s="688">
        <f t="shared" si="134"/>
      </c>
      <c r="J164" s="689">
        <f t="shared" si="103"/>
      </c>
      <c r="K164" s="690">
        <f t="shared" si="72"/>
      </c>
      <c r="L164" s="691">
        <f t="shared" si="41"/>
      </c>
      <c r="M164" s="691">
        <f t="shared" si="10"/>
      </c>
      <c r="N164" s="692">
        <f t="shared" si="258"/>
      </c>
      <c r="O164" s="692"/>
      <c r="P164" s="692"/>
      <c r="Q164" s="687">
        <f>SUM(Q160:Q163)</f>
      </c>
      <c r="R164" s="687">
        <f>SUM(R160:R163)</f>
      </c>
      <c r="S164" s="687">
        <f>SUM(S160:S163)</f>
      </c>
      <c r="T164" s="687">
        <f>SUM(T160:T163)</f>
      </c>
    </row>
    <row r="165">
      <c r="A165" s="708"/>
      <c r="B165" s="694" t="s">
        <v>807</v>
      </c>
      <c r="C165" s="698" t="s">
        <v>816</v>
      </c>
      <c r="D165" s="670">
        <f t="shared" ref="D165:D168" si="181">E165+F165</f>
      </c>
      <c r="E165" s="670">
        <v>2119.16</v>
      </c>
      <c r="F165" s="670">
        <v>1557.28</v>
      </c>
      <c r="G165" s="671">
        <v>13</v>
      </c>
      <c r="H165" s="670">
        <v>3696.6399999999994</v>
      </c>
      <c r="I165" s="672">
        <f t="shared" si="134"/>
      </c>
      <c r="J165" s="672">
        <f t="shared" si="103"/>
      </c>
      <c r="K165" s="673">
        <f t="shared" si="72"/>
      </c>
      <c r="L165" s="674">
        <f t="shared" si="41"/>
      </c>
      <c r="M165" s="675">
        <f t="shared" si="10"/>
      </c>
      <c r="N165" s="676">
        <f t="shared" si="258"/>
      </c>
      <c r="O165" s="677" t="s">
        <v>809</v>
      </c>
      <c r="P165" s="678" t="s">
        <v>827</v>
      </c>
      <c r="Q165" s="697">
        <v>48308</v>
      </c>
      <c r="R165" s="717">
        <v>4400</v>
      </c>
      <c r="S165" s="717">
        <v>18</v>
      </c>
      <c r="T165" s="717">
        <v>96</v>
      </c>
    </row>
    <row r="166">
      <c r="A166" s="708"/>
      <c r="B166" s="694" t="s">
        <v>807</v>
      </c>
      <c r="C166" s="670" t="s">
        <v>817</v>
      </c>
      <c r="D166" s="670">
        <f t="shared" si="181"/>
      </c>
      <c r="E166" s="670">
        <v>2300.02</v>
      </c>
      <c r="F166" s="698">
        <v>1412.39</v>
      </c>
      <c r="G166" s="671">
        <v>11</v>
      </c>
      <c r="H166" s="670">
        <v>5102.639999999999</v>
      </c>
      <c r="I166" s="672">
        <f t="shared" si="134"/>
      </c>
      <c r="J166" s="672">
        <f t="shared" si="103"/>
      </c>
      <c r="K166" s="673">
        <f t="shared" si="72"/>
      </c>
      <c r="L166" s="674">
        <f t="shared" si="41"/>
      </c>
      <c r="M166" s="675">
        <f t="shared" si="10"/>
      </c>
      <c r="N166" s="676">
        <f t="shared" si="258"/>
      </c>
      <c r="O166" s="677" t="s">
        <v>809</v>
      </c>
      <c r="P166" s="678" t="s">
        <v>827</v>
      </c>
      <c r="Q166" s="697">
        <v>41465</v>
      </c>
      <c r="R166" s="697">
        <v>4348</v>
      </c>
      <c r="S166" s="717">
        <v>12</v>
      </c>
      <c r="T166" s="717">
        <v>126</v>
      </c>
    </row>
    <row r="167">
      <c r="A167" s="708"/>
      <c r="B167" s="694" t="s">
        <v>807</v>
      </c>
      <c r="C167" s="670" t="s">
        <v>818</v>
      </c>
      <c r="D167" s="670">
        <f t="shared" si="181"/>
      </c>
      <c r="E167" s="698">
        <v>1458.44</v>
      </c>
      <c r="F167" s="670">
        <v>1569.61</v>
      </c>
      <c r="G167" s="709">
        <v>4</v>
      </c>
      <c r="H167" s="698">
        <v>1303.2200000000012</v>
      </c>
      <c r="I167" s="672">
        <f t="shared" si="134"/>
      </c>
      <c r="J167" s="672">
        <f t="shared" si="103"/>
      </c>
      <c r="K167" s="673">
        <f t="shared" si="72"/>
      </c>
      <c r="L167" s="674">
        <f t="shared" si="41"/>
      </c>
      <c r="M167" s="675">
        <f t="shared" si="10"/>
      </c>
      <c r="N167" s="676">
        <f t="shared" si="258"/>
      </c>
      <c r="O167" s="677" t="s">
        <v>809</v>
      </c>
      <c r="P167" s="710" t="s">
        <v>827</v>
      </c>
      <c r="Q167" s="717">
        <v>37837</v>
      </c>
      <c r="R167" s="697">
        <v>2657</v>
      </c>
      <c r="S167" s="717">
        <v>8</v>
      </c>
      <c r="T167" s="717">
        <v>82</v>
      </c>
    </row>
    <row r="168">
      <c r="A168" s="708"/>
      <c r="B168" s="694" t="s">
        <v>807</v>
      </c>
      <c r="C168" s="670" t="s">
        <v>819</v>
      </c>
      <c r="D168" s="670">
        <f t="shared" si="181"/>
      </c>
      <c r="E168" s="670">
        <v>1234.56</v>
      </c>
      <c r="F168" s="670">
        <v>1883</v>
      </c>
      <c r="G168" s="671">
        <v>11</v>
      </c>
      <c r="H168" s="670">
        <v>2828.1600000000035</v>
      </c>
      <c r="I168" s="672">
        <f t="shared" si="134"/>
      </c>
      <c r="J168" s="672">
        <f t="shared" si="103"/>
      </c>
      <c r="K168" s="673">
        <f t="shared" si="72"/>
      </c>
      <c r="L168" s="674">
        <f t="shared" si="41"/>
      </c>
      <c r="M168" s="675">
        <f t="shared" si="10"/>
      </c>
      <c r="N168" s="676">
        <f t="shared" si="258"/>
      </c>
      <c r="O168" s="677" t="s">
        <v>809</v>
      </c>
      <c r="P168" s="710" t="s">
        <v>827</v>
      </c>
      <c r="Q168" s="697">
        <v>43411</v>
      </c>
      <c r="R168" s="697">
        <v>3443</v>
      </c>
      <c r="S168" s="717">
        <v>12</v>
      </c>
      <c r="T168" s="717">
        <v>95</v>
      </c>
    </row>
    <row r="169">
      <c r="A169" s="708"/>
      <c r="B169" s="684" t="s">
        <v>814</v>
      </c>
      <c r="C169" s="684"/>
      <c r="D169" s="685">
        <f>SUM(D165:D168)</f>
      </c>
      <c r="E169" s="685">
        <f>SUM(E165:E168)</f>
      </c>
      <c r="F169" s="685">
        <f>SUM(F165:F168)</f>
      </c>
      <c r="G169" s="687">
        <f>SUM(G165:G168)</f>
      </c>
      <c r="H169" s="685">
        <f>SUM(H165:H168)</f>
      </c>
      <c r="I169" s="699">
        <f t="shared" si="134"/>
      </c>
      <c r="J169" s="689">
        <f t="shared" si="103"/>
      </c>
      <c r="K169" s="690">
        <f t="shared" si="72"/>
      </c>
      <c r="L169" s="691">
        <f t="shared" si="41"/>
      </c>
      <c r="M169" s="691">
        <f t="shared" si="10"/>
      </c>
      <c r="N169" s="692">
        <f t="shared" si="258"/>
      </c>
      <c r="O169" s="692"/>
      <c r="P169" s="692"/>
      <c r="Q169" s="687">
        <f>SUM(Q165:Q168)</f>
      </c>
      <c r="R169" s="687">
        <f>SUM(R165:R168)</f>
      </c>
      <c r="S169" s="687">
        <f>SUM(S165:S168)</f>
      </c>
      <c r="T169" s="687">
        <f>SUM(T165:T168)</f>
      </c>
    </row>
    <row r="170">
      <c r="A170" s="708"/>
      <c r="B170" s="718" t="s">
        <v>841</v>
      </c>
      <c r="C170" s="670" t="s">
        <v>830</v>
      </c>
      <c r="D170" s="670">
        <f t="shared" ref="D170:D173" si="182">E170+F170</f>
      </c>
      <c r="E170" s="670">
        <v>1794.96</v>
      </c>
      <c r="F170" s="670">
        <v>1113.97</v>
      </c>
      <c r="G170" s="671">
        <v>7</v>
      </c>
      <c r="H170" s="670">
        <v>4242.479999999996</v>
      </c>
      <c r="I170" s="672">
        <f t="shared" si="134"/>
      </c>
      <c r="J170" s="672">
        <f t="shared" si="103"/>
      </c>
      <c r="K170" s="673">
        <f t="shared" si="72"/>
      </c>
      <c r="L170" s="674">
        <f t="shared" si="41"/>
      </c>
      <c r="M170" s="675">
        <f t="shared" si="10"/>
      </c>
      <c r="N170" s="676">
        <f t="shared" si="258"/>
      </c>
      <c r="O170" s="677" t="s">
        <v>809</v>
      </c>
      <c r="P170" s="710" t="s">
        <v>827</v>
      </c>
      <c r="Q170" s="697">
        <v>51549</v>
      </c>
      <c r="R170" s="717">
        <v>3619</v>
      </c>
      <c r="S170" s="717">
        <v>11</v>
      </c>
      <c r="T170" s="717">
        <v>83</v>
      </c>
    </row>
    <row r="171">
      <c r="A171" s="708"/>
      <c r="B171" s="718" t="s">
        <v>841</v>
      </c>
      <c r="C171" s="698" t="s">
        <v>831</v>
      </c>
      <c r="D171" s="670">
        <f t="shared" si="182"/>
      </c>
      <c r="E171" s="670">
        <v>1723.86</v>
      </c>
      <c r="F171" s="698">
        <v>1216.94</v>
      </c>
      <c r="G171" s="671">
        <v>6</v>
      </c>
      <c r="H171" s="670">
        <v>3564.720000000001</v>
      </c>
      <c r="I171" s="672">
        <f t="shared" si="134"/>
      </c>
      <c r="J171" s="672">
        <f t="shared" si="103"/>
      </c>
      <c r="K171" s="673">
        <f t="shared" si="72"/>
      </c>
      <c r="L171" s="674">
        <f t="shared" si="41"/>
      </c>
      <c r="M171" s="675">
        <f t="shared" si="10"/>
      </c>
      <c r="N171" s="676">
        <f t="shared" si="258"/>
      </c>
      <c r="O171" s="677" t="s">
        <v>809</v>
      </c>
      <c r="P171" s="710" t="s">
        <v>827</v>
      </c>
      <c r="Q171" s="697">
        <v>52682</v>
      </c>
      <c r="R171" s="697">
        <v>2940</v>
      </c>
      <c r="S171" s="717">
        <v>8</v>
      </c>
      <c r="T171" s="717">
        <v>72</v>
      </c>
    </row>
    <row customHeight="true" ht="16.666666666666668" r="172">
      <c r="A172" s="708"/>
      <c r="B172" s="718" t="s">
        <v>841</v>
      </c>
      <c r="C172" s="698" t="s">
        <v>832</v>
      </c>
      <c r="D172" s="670">
        <f t="shared" si="182"/>
      </c>
      <c r="E172" s="698">
        <v>1144.9</v>
      </c>
      <c r="F172" s="670">
        <v>291.39</v>
      </c>
      <c r="G172" s="709">
        <v>6</v>
      </c>
      <c r="H172" s="698">
        <v>4042.4400000000023</v>
      </c>
      <c r="I172" s="672">
        <f t="shared" si="134"/>
      </c>
      <c r="J172" s="672">
        <f t="shared" si="103"/>
      </c>
      <c r="K172" s="673">
        <f t="shared" si="72"/>
      </c>
      <c r="L172" s="674">
        <f t="shared" si="41"/>
      </c>
      <c r="M172" s="675">
        <f t="shared" si="10"/>
      </c>
      <c r="N172" s="676">
        <f t="shared" si="258"/>
      </c>
      <c r="O172" s="677" t="s">
        <v>809</v>
      </c>
      <c r="P172" s="710" t="s">
        <v>810</v>
      </c>
      <c r="Q172" s="717">
        <v>33612</v>
      </c>
      <c r="R172" s="697">
        <v>1713</v>
      </c>
      <c r="S172" s="717">
        <v>8</v>
      </c>
      <c r="T172" s="717">
        <v>46</v>
      </c>
    </row>
    <row r="173">
      <c r="A173" s="708"/>
      <c r="B173" s="718" t="s">
        <v>841</v>
      </c>
      <c r="C173" s="698" t="s">
        <v>833</v>
      </c>
      <c r="D173" s="670">
        <f t="shared" si="182"/>
      </c>
      <c r="E173" s="698">
        <v>332.03</v>
      </c>
      <c r="F173" s="670">
        <v>889.67</v>
      </c>
      <c r="G173" s="709">
        <v>1</v>
      </c>
      <c r="H173" s="698">
        <v>215.04000000000087</v>
      </c>
      <c r="I173" s="672">
        <f t="shared" si="134"/>
      </c>
      <c r="J173" s="672">
        <f t="shared" si="103"/>
      </c>
      <c r="K173" s="673">
        <f t="shared" si="72"/>
      </c>
      <c r="L173" s="674">
        <f t="shared" si="41"/>
      </c>
      <c r="M173" s="675">
        <f t="shared" si="10"/>
      </c>
      <c r="N173" s="676">
        <f t="shared" si="258"/>
      </c>
      <c r="O173" s="677" t="s">
        <v>809</v>
      </c>
      <c r="P173" s="710" t="s">
        <v>810</v>
      </c>
      <c r="Q173" s="717">
        <v>14532</v>
      </c>
      <c r="R173" s="697">
        <v>1182</v>
      </c>
      <c r="S173" s="717">
        <v>1</v>
      </c>
      <c r="T173" s="717">
        <v>30</v>
      </c>
    </row>
    <row r="174">
      <c r="A174" s="708"/>
      <c r="B174" s="684" t="s">
        <v>814</v>
      </c>
      <c r="C174" s="684"/>
      <c r="D174" s="685">
        <f>SUM(D170:D173)</f>
      </c>
      <c r="E174" s="685">
        <f>SUM(E170:E173)</f>
      </c>
      <c r="F174" s="685">
        <f>SUM(F170:F173)</f>
      </c>
      <c r="G174" s="687">
        <f>SUM(G170:G173)</f>
      </c>
      <c r="H174" s="685">
        <f>SUM(H170:H173)</f>
      </c>
      <c r="I174" s="699">
        <f t="shared" si="134"/>
      </c>
      <c r="J174" s="689">
        <f t="shared" si="103"/>
      </c>
      <c r="K174" s="690">
        <f t="shared" si="72"/>
      </c>
      <c r="L174" s="691">
        <f t="shared" si="41"/>
      </c>
      <c r="M174" s="691">
        <f t="shared" si="10"/>
      </c>
      <c r="N174" s="692">
        <f t="shared" si="258"/>
      </c>
      <c r="O174" s="692"/>
      <c r="P174" s="692"/>
      <c r="Q174" s="687">
        <f>SUM(Q170:Q173)</f>
      </c>
      <c r="R174" s="687">
        <f>SUM(R170:R173)</f>
      </c>
      <c r="S174" s="687">
        <f>SUM(S170:S173)</f>
      </c>
      <c r="T174" s="687">
        <f>SUM(T170:T173)</f>
      </c>
    </row>
    <row r="175">
      <c r="A175" s="708"/>
      <c r="B175" s="700" t="s">
        <v>825</v>
      </c>
      <c r="C175" s="700"/>
      <c r="D175" s="701">
        <f>D164+D169+D174</f>
      </c>
      <c r="E175" s="701">
        <f>E164+E169+E174</f>
      </c>
      <c r="F175" s="701">
        <f>F164+F169+F174</f>
      </c>
      <c r="G175" s="702">
        <f>G164+G169+G174</f>
      </c>
      <c r="H175" s="701">
        <f>H164+H169+H174</f>
      </c>
      <c r="I175" s="703">
        <f t="shared" si="134"/>
      </c>
      <c r="J175" s="703">
        <f t="shared" si="103"/>
      </c>
      <c r="K175" s="704">
        <f t="shared" si="72"/>
      </c>
      <c r="L175" s="705">
        <f t="shared" si="41"/>
      </c>
      <c r="M175" s="705">
        <f t="shared" si="10"/>
      </c>
      <c r="N175" s="703">
        <f t="shared" si="258"/>
      </c>
      <c r="O175" s="706"/>
      <c r="P175" s="706"/>
      <c r="Q175" s="702">
        <f>Q164+Q169+Q174</f>
      </c>
      <c r="R175" s="702">
        <f>R164+R169+R174</f>
      </c>
      <c r="S175" s="702">
        <f>S164+S169+S174</f>
      </c>
      <c r="T175" s="702">
        <f>T164+T169+T174</f>
      </c>
    </row>
    <row r="176">
      <c r="A176" s="655" t="s">
        <v>782</v>
      </c>
      <c r="B176" s="655"/>
      <c r="C176" s="655"/>
      <c r="D176" s="656" t="s">
        <v>783</v>
      </c>
      <c r="E176" s="656"/>
      <c r="F176" s="656"/>
      <c r="G176" s="656"/>
      <c r="H176" s="656"/>
      <c r="I176" s="656"/>
      <c r="J176" s="656"/>
      <c r="K176" s="656"/>
      <c r="L176" s="666" t="s">
        <v>784</v>
      </c>
      <c r="M176" s="666"/>
      <c r="N176" s="666"/>
      <c r="O176" s="666"/>
      <c r="P176" s="666"/>
      <c r="Q176" s="737" t="s">
        <v>785</v>
      </c>
      <c r="R176" s="737"/>
      <c r="S176" s="737"/>
      <c r="T176" s="737"/>
    </row>
    <row r="177">
      <c r="A177" s="660" t="s">
        <v>786</v>
      </c>
      <c r="B177" s="720" t="s">
        <v>787</v>
      </c>
      <c r="C177" s="743" t="s">
        <v>788</v>
      </c>
      <c r="D177" s="722" t="s">
        <v>789</v>
      </c>
      <c r="E177" s="721" t="s">
        <v>790</v>
      </c>
      <c r="F177" s="722" t="s">
        <v>791</v>
      </c>
      <c r="G177" s="662" t="s">
        <v>792</v>
      </c>
      <c r="H177" s="661" t="s">
        <v>793</v>
      </c>
      <c r="I177" s="663" t="s">
        <v>794</v>
      </c>
      <c r="J177" s="664" t="s">
        <v>795</v>
      </c>
      <c r="K177" s="665" t="s">
        <v>796</v>
      </c>
      <c r="L177" s="666" t="s">
        <v>797</v>
      </c>
      <c r="M177" s="666" t="s">
        <v>798</v>
      </c>
      <c r="N177" s="666" t="s">
        <v>799</v>
      </c>
      <c r="O177" s="723" t="s">
        <v>800</v>
      </c>
      <c r="P177" s="738" t="s">
        <v>801</v>
      </c>
      <c r="Q177" s="667" t="s">
        <v>802</v>
      </c>
      <c r="R177" s="667" t="s">
        <v>803</v>
      </c>
      <c r="S177" s="740" t="s">
        <v>804</v>
      </c>
      <c r="T177" s="667" t="s">
        <v>805</v>
      </c>
    </row>
    <row r="178">
      <c r="A178" s="708" t="s">
        <v>844</v>
      </c>
      <c r="B178" s="744" t="s">
        <v>815</v>
      </c>
      <c r="C178" s="724" t="s">
        <v>808</v>
      </c>
      <c r="D178" s="746">
        <f t="shared" ref="D178:D182" si="183">E178+F178</f>
      </c>
      <c r="E178" s="724">
        <v>1304.6</v>
      </c>
      <c r="F178" s="724">
        <v>1959.51</v>
      </c>
      <c r="G178" s="725">
        <v>18</v>
      </c>
      <c r="H178" s="670">
        <v>10601.27</v>
      </c>
      <c r="I178" s="672">
        <f t="shared" ref="I178:I194" si="135">H178/D178</f>
      </c>
      <c r="J178" s="672">
        <f t="shared" ref="J178:J194" si="104">D178/G178</f>
      </c>
      <c r="K178" s="673">
        <f t="shared" ref="K178:K194" si="73">H178/G178</f>
      </c>
      <c r="L178" s="674">
        <f t="shared" ref="L178:L194" si="42">R178/Q178</f>
      </c>
      <c r="M178" s="675">
        <f t="shared" ref="M178:M194" si="11">G178/S178</f>
      </c>
      <c r="N178" s="676">
        <f t="shared" ref="N178:N194" si="259">(T178*1000)/D178</f>
      </c>
      <c r="O178" s="677" t="s">
        <v>809</v>
      </c>
      <c r="P178" s="710" t="s">
        <v>810</v>
      </c>
      <c r="Q178" s="741">
        <v>19035</v>
      </c>
      <c r="R178" s="741">
        <v>2504</v>
      </c>
      <c r="S178" s="711">
        <v>21</v>
      </c>
      <c r="T178" s="711">
        <v>82</v>
      </c>
    </row>
    <row r="179">
      <c r="A179" s="708"/>
      <c r="B179" s="726" t="s">
        <v>815</v>
      </c>
      <c r="C179" s="696" t="s">
        <v>811</v>
      </c>
      <c r="D179" s="696">
        <f t="shared" si="183"/>
      </c>
      <c r="E179" s="742">
        <v>1553.13</v>
      </c>
      <c r="F179" s="696">
        <v>2212.26</v>
      </c>
      <c r="G179" s="709">
        <v>13</v>
      </c>
      <c r="H179" s="698">
        <v>6433.84</v>
      </c>
      <c r="I179" s="672">
        <f t="shared" si="135"/>
      </c>
      <c r="J179" s="672">
        <f t="shared" si="104"/>
      </c>
      <c r="K179" s="673">
        <f t="shared" si="73"/>
      </c>
      <c r="L179" s="674">
        <f t="shared" si="42"/>
      </c>
      <c r="M179" s="675">
        <f t="shared" si="11"/>
      </c>
      <c r="N179" s="676">
        <f t="shared" si="259"/>
      </c>
      <c r="O179" s="677" t="s">
        <v>809</v>
      </c>
      <c r="P179" s="710" t="s">
        <v>810</v>
      </c>
      <c r="Q179" s="679">
        <v>45703</v>
      </c>
      <c r="R179" s="679">
        <v>5277</v>
      </c>
      <c r="S179" s="711">
        <v>18</v>
      </c>
      <c r="T179" s="711">
        <v>76</v>
      </c>
    </row>
    <row r="180">
      <c r="A180" s="708"/>
      <c r="B180" s="726" t="s">
        <v>815</v>
      </c>
      <c r="C180" s="670" t="s">
        <v>812</v>
      </c>
      <c r="D180" s="670">
        <f t="shared" si="183"/>
      </c>
      <c r="E180" s="728">
        <v>664.2</v>
      </c>
      <c r="F180" s="698">
        <v>1672.84</v>
      </c>
      <c r="G180" s="680">
        <v>8</v>
      </c>
      <c r="H180" s="681">
        <v>4418.4000000000015</v>
      </c>
      <c r="I180" s="672">
        <f t="shared" si="135"/>
      </c>
      <c r="J180" s="672">
        <f t="shared" si="104"/>
      </c>
      <c r="K180" s="673">
        <f t="shared" si="73"/>
      </c>
      <c r="L180" s="674">
        <f t="shared" si="42"/>
      </c>
      <c r="M180" s="675">
        <f t="shared" si="11"/>
      </c>
      <c r="N180" s="676">
        <f t="shared" si="259"/>
      </c>
      <c r="O180" s="677" t="s">
        <v>809</v>
      </c>
      <c r="P180" s="710" t="s">
        <v>810</v>
      </c>
      <c r="Q180" s="711">
        <v>24365</v>
      </c>
      <c r="R180" s="711">
        <v>2204</v>
      </c>
      <c r="S180" s="711">
        <v>8</v>
      </c>
      <c r="T180" s="711">
        <v>44</v>
      </c>
    </row>
    <row customHeight="true" ht="16.666666666666668" r="181">
      <c r="A181" s="708"/>
      <c r="B181" s="726" t="s">
        <v>815</v>
      </c>
      <c r="C181" s="670" t="s">
        <v>813</v>
      </c>
      <c r="D181" s="670">
        <f t="shared" si="183"/>
      </c>
      <c r="E181" s="728">
        <v>1002.78</v>
      </c>
      <c r="F181" s="670">
        <v>1458.3</v>
      </c>
      <c r="G181" s="680">
        <v>7</v>
      </c>
      <c r="H181" s="681">
        <v>5449.169999999998</v>
      </c>
      <c r="I181" s="672">
        <f t="shared" si="135"/>
      </c>
      <c r="J181" s="672">
        <f t="shared" si="104"/>
      </c>
      <c r="K181" s="673">
        <f t="shared" si="73"/>
      </c>
      <c r="L181" s="674">
        <f t="shared" si="42"/>
      </c>
      <c r="M181" s="675">
        <f t="shared" si="11"/>
      </c>
      <c r="N181" s="676">
        <f t="shared" si="259"/>
      </c>
      <c r="O181" s="677" t="s">
        <v>809</v>
      </c>
      <c r="P181" s="710" t="s">
        <v>810</v>
      </c>
      <c r="Q181" s="679">
        <v>24434</v>
      </c>
      <c r="R181" s="679">
        <v>2365</v>
      </c>
      <c r="S181" s="711">
        <v>15</v>
      </c>
      <c r="T181" s="711">
        <v>50</v>
      </c>
    </row>
    <row r="182">
      <c r="A182" s="708"/>
      <c r="B182" s="726" t="s">
        <v>815</v>
      </c>
      <c r="C182" s="698" t="s">
        <v>816</v>
      </c>
      <c r="D182" s="670">
        <f t="shared" si="183"/>
      </c>
      <c r="E182" s="728">
        <v>1223.85</v>
      </c>
      <c r="F182" s="670">
        <v>1545.26</v>
      </c>
      <c r="G182" s="680">
        <v>7</v>
      </c>
      <c r="H182" s="681">
        <v>3848.880000000001</v>
      </c>
      <c r="I182" s="672">
        <f t="shared" si="135"/>
      </c>
      <c r="J182" s="672">
        <f t="shared" si="104"/>
      </c>
      <c r="K182" s="673">
        <f t="shared" si="73"/>
      </c>
      <c r="L182" s="674">
        <f t="shared" si="42"/>
      </c>
      <c r="M182" s="675">
        <f t="shared" si="11"/>
      </c>
      <c r="N182" s="676">
        <f t="shared" si="259"/>
      </c>
      <c r="O182" s="677" t="s">
        <v>809</v>
      </c>
      <c r="P182" s="710" t="s">
        <v>810</v>
      </c>
      <c r="Q182" s="679">
        <v>26063</v>
      </c>
      <c r="R182" s="679">
        <v>2304</v>
      </c>
      <c r="S182" s="711">
        <v>18</v>
      </c>
      <c r="T182" s="711">
        <v>56</v>
      </c>
    </row>
    <row r="183">
      <c r="A183" s="708"/>
      <c r="B183" s="730" t="s">
        <v>814</v>
      </c>
      <c r="C183" s="730"/>
      <c r="D183" s="685">
        <f>SUM(D178:D182)</f>
      </c>
      <c r="E183" s="685">
        <f>SUM(E178:E182)</f>
      </c>
      <c r="F183" s="685">
        <f>SUM(F178:F182)</f>
      </c>
      <c r="G183" s="687">
        <f>SUM(G178:G182)</f>
      </c>
      <c r="H183" s="685">
        <f>SUM(H178:H182)</f>
      </c>
      <c r="I183" s="688">
        <f t="shared" si="135"/>
      </c>
      <c r="J183" s="689">
        <f t="shared" si="104"/>
      </c>
      <c r="K183" s="690">
        <f t="shared" si="73"/>
      </c>
      <c r="L183" s="691">
        <f t="shared" si="42"/>
      </c>
      <c r="M183" s="691">
        <f t="shared" si="11"/>
      </c>
      <c r="N183" s="692">
        <f t="shared" si="259"/>
      </c>
      <c r="O183" s="692"/>
      <c r="P183" s="692"/>
      <c r="Q183" s="687">
        <f>SUM(Q178:Q182)</f>
      </c>
      <c r="R183" s="687">
        <f>SUM(R178:R182)</f>
      </c>
      <c r="S183" s="687">
        <f>SUM(S178:S182)</f>
      </c>
      <c r="T183" s="687">
        <f>SUM(T178:T182)</f>
      </c>
    </row>
    <row r="184">
      <c r="A184" s="708"/>
      <c r="B184" s="694" t="s">
        <v>807</v>
      </c>
      <c r="C184" s="670" t="s">
        <v>817</v>
      </c>
      <c r="D184" s="670">
        <f t="shared" ref="D184:D187" si="184">E184+F184</f>
      </c>
      <c r="E184" s="670">
        <v>751.14</v>
      </c>
      <c r="F184" s="670">
        <v>1488.35</v>
      </c>
      <c r="G184" s="671">
        <v>5</v>
      </c>
      <c r="H184" s="670">
        <v>1518.2599999999984</v>
      </c>
      <c r="I184" s="672">
        <f t="shared" si="135"/>
      </c>
      <c r="J184" s="672">
        <f t="shared" si="104"/>
      </c>
      <c r="K184" s="673">
        <f t="shared" si="73"/>
      </c>
      <c r="L184" s="674">
        <f t="shared" si="42"/>
      </c>
      <c r="M184" s="675">
        <f t="shared" si="11"/>
      </c>
      <c r="N184" s="676">
        <f t="shared" si="259"/>
      </c>
      <c r="O184" s="677" t="s">
        <v>809</v>
      </c>
      <c r="P184" s="710" t="s">
        <v>810</v>
      </c>
      <c r="Q184" s="717">
        <v>20591</v>
      </c>
      <c r="R184" s="717">
        <v>2018</v>
      </c>
      <c r="S184" s="717">
        <v>10</v>
      </c>
      <c r="T184" s="717">
        <v>58</v>
      </c>
    </row>
    <row r="185">
      <c r="A185" s="708"/>
      <c r="B185" s="694" t="s">
        <v>807</v>
      </c>
      <c r="C185" s="670" t="s">
        <v>818</v>
      </c>
      <c r="D185" s="670">
        <f t="shared" si="184"/>
      </c>
      <c r="E185" s="670">
        <v>1162.51</v>
      </c>
      <c r="F185" s="698">
        <v>2238.63</v>
      </c>
      <c r="G185" s="671">
        <v>11</v>
      </c>
      <c r="H185" s="670">
        <v>5455.470000000001</v>
      </c>
      <c r="I185" s="672">
        <f t="shared" si="135"/>
      </c>
      <c r="J185" s="672">
        <f t="shared" si="104"/>
      </c>
      <c r="K185" s="673">
        <f t="shared" si="73"/>
      </c>
      <c r="L185" s="674">
        <f t="shared" si="42"/>
      </c>
      <c r="M185" s="675">
        <f t="shared" si="11"/>
      </c>
      <c r="N185" s="676">
        <f t="shared" si="259"/>
      </c>
      <c r="O185" s="677" t="s">
        <v>809</v>
      </c>
      <c r="P185" s="710" t="s">
        <v>810</v>
      </c>
      <c r="Q185" s="697">
        <v>42121</v>
      </c>
      <c r="R185" s="697">
        <v>2673</v>
      </c>
      <c r="S185" s="717">
        <v>14</v>
      </c>
      <c r="T185" s="717">
        <v>65</v>
      </c>
    </row>
    <row r="186">
      <c r="A186" s="708"/>
      <c r="B186" s="694" t="s">
        <v>807</v>
      </c>
      <c r="C186" s="670" t="s">
        <v>819</v>
      </c>
      <c r="D186" s="670">
        <f t="shared" si="184"/>
      </c>
      <c r="E186" s="698">
        <v>1194.43</v>
      </c>
      <c r="F186" s="670">
        <v>1508.06</v>
      </c>
      <c r="G186" s="709">
        <v>6</v>
      </c>
      <c r="H186" s="698">
        <v>3082.3399999999965</v>
      </c>
      <c r="I186" s="672">
        <f t="shared" si="135"/>
      </c>
      <c r="J186" s="672">
        <f t="shared" si="104"/>
      </c>
      <c r="K186" s="673">
        <f t="shared" si="73"/>
      </c>
      <c r="L186" s="674">
        <f t="shared" si="42"/>
      </c>
      <c r="M186" s="675">
        <f t="shared" si="11"/>
      </c>
      <c r="N186" s="676">
        <f t="shared" si="259"/>
      </c>
      <c r="O186" s="677" t="s">
        <v>809</v>
      </c>
      <c r="P186" s="710" t="s">
        <v>810</v>
      </c>
      <c r="Q186" s="717">
        <v>28455</v>
      </c>
      <c r="R186" s="697">
        <v>2553</v>
      </c>
      <c r="S186" s="717">
        <v>14</v>
      </c>
      <c r="T186" s="717">
        <v>72</v>
      </c>
    </row>
    <row r="187">
      <c r="A187" s="708"/>
      <c r="B187" s="694" t="s">
        <v>807</v>
      </c>
      <c r="C187" s="670" t="s">
        <v>830</v>
      </c>
      <c r="D187" s="670">
        <f t="shared" si="184"/>
      </c>
      <c r="E187" s="670">
        <v>1486.15</v>
      </c>
      <c r="F187" s="670">
        <v>1780.23</v>
      </c>
      <c r="G187" s="671">
        <v>10</v>
      </c>
      <c r="H187" s="670">
        <v>4439.68</v>
      </c>
      <c r="I187" s="672">
        <f t="shared" si="135"/>
      </c>
      <c r="J187" s="672">
        <f t="shared" si="104"/>
      </c>
      <c r="K187" s="673">
        <f t="shared" si="73"/>
      </c>
      <c r="L187" s="674">
        <f t="shared" si="42"/>
      </c>
      <c r="M187" s="675">
        <f t="shared" si="11"/>
      </c>
      <c r="N187" s="676">
        <f t="shared" si="259"/>
      </c>
      <c r="O187" s="677" t="s">
        <v>809</v>
      </c>
      <c r="P187" s="710" t="s">
        <v>810</v>
      </c>
      <c r="Q187" s="697">
        <v>35872</v>
      </c>
      <c r="R187" s="697">
        <v>2826</v>
      </c>
      <c r="S187" s="717">
        <v>13</v>
      </c>
      <c r="T187" s="717">
        <v>59</v>
      </c>
    </row>
    <row r="188">
      <c r="A188" s="708"/>
      <c r="B188" s="684" t="s">
        <v>814</v>
      </c>
      <c r="C188" s="684"/>
      <c r="D188" s="685">
        <f>SUM(D184:D187)</f>
      </c>
      <c r="E188" s="685">
        <f>SUM(E184:E187)</f>
      </c>
      <c r="F188" s="685">
        <f>SUM(F184:F187)</f>
      </c>
      <c r="G188" s="687">
        <f>SUM(G184:G187)</f>
      </c>
      <c r="H188" s="685">
        <f>SUM(H184:H187)</f>
      </c>
      <c r="I188" s="699">
        <f t="shared" si="135"/>
      </c>
      <c r="J188" s="689">
        <f t="shared" si="104"/>
      </c>
      <c r="K188" s="690">
        <f t="shared" si="73"/>
      </c>
      <c r="L188" s="691">
        <f t="shared" si="42"/>
      </c>
      <c r="M188" s="691">
        <f t="shared" si="11"/>
      </c>
      <c r="N188" s="692">
        <f t="shared" si="259"/>
      </c>
      <c r="O188" s="692"/>
      <c r="P188" s="692"/>
      <c r="Q188" s="687">
        <f>SUM(Q184:Q187)</f>
      </c>
      <c r="R188" s="687">
        <f>SUM(R184:R187)</f>
      </c>
      <c r="S188" s="687">
        <f>SUM(S184:S187)</f>
      </c>
      <c r="T188" s="687">
        <f>SUM(T184:T187)</f>
      </c>
    </row>
    <row r="189">
      <c r="A189" s="708"/>
      <c r="B189" s="718" t="s">
        <v>841</v>
      </c>
      <c r="C189" s="698" t="s">
        <v>831</v>
      </c>
      <c r="D189" s="670">
        <f t="shared" ref="D189:D192" si="185">E189+F189</f>
      </c>
      <c r="E189" s="670">
        <v>874.84</v>
      </c>
      <c r="F189" s="670">
        <v>2686.01</v>
      </c>
      <c r="G189" s="671">
        <v>9</v>
      </c>
      <c r="H189" s="670">
        <v>3727.459999999999</v>
      </c>
      <c r="I189" s="672">
        <f t="shared" si="135"/>
      </c>
      <c r="J189" s="672">
        <f t="shared" si="104"/>
      </c>
      <c r="K189" s="673">
        <f t="shared" si="73"/>
      </c>
      <c r="L189" s="674">
        <f t="shared" si="42"/>
      </c>
      <c r="M189" s="675">
        <f t="shared" si="11"/>
      </c>
      <c r="N189" s="676">
        <f t="shared" si="259"/>
      </c>
      <c r="O189" s="677" t="s">
        <v>809</v>
      </c>
      <c r="P189" s="710" t="s">
        <v>810</v>
      </c>
      <c r="Q189" s="697">
        <v>47605</v>
      </c>
      <c r="R189" s="717">
        <v>2707</v>
      </c>
      <c r="S189" s="717">
        <v>18</v>
      </c>
      <c r="T189" s="717">
        <v>68</v>
      </c>
    </row>
    <row r="190">
      <c r="A190" s="708"/>
      <c r="B190" s="718" t="s">
        <v>841</v>
      </c>
      <c r="C190" s="698" t="s">
        <v>832</v>
      </c>
      <c r="D190" s="670">
        <f t="shared" si="185"/>
      </c>
      <c r="E190" s="670">
        <v>1355.88</v>
      </c>
      <c r="F190" s="698">
        <v>2299.84</v>
      </c>
      <c r="G190" s="671">
        <v>13</v>
      </c>
      <c r="H190" s="670">
        <v>6773.870000000003</v>
      </c>
      <c r="I190" s="672">
        <f t="shared" si="135"/>
      </c>
      <c r="J190" s="672">
        <f t="shared" si="104"/>
      </c>
      <c r="K190" s="673">
        <f t="shared" si="73"/>
      </c>
      <c r="L190" s="674">
        <f t="shared" si="42"/>
      </c>
      <c r="M190" s="675">
        <f t="shared" si="11"/>
      </c>
      <c r="N190" s="676">
        <f t="shared" si="259"/>
      </c>
      <c r="O190" s="677" t="s">
        <v>809</v>
      </c>
      <c r="P190" s="710" t="s">
        <v>810</v>
      </c>
      <c r="Q190" s="697">
        <v>53712</v>
      </c>
      <c r="R190" s="697">
        <v>3196</v>
      </c>
      <c r="S190" s="717">
        <v>19</v>
      </c>
      <c r="T190" s="717">
        <v>83</v>
      </c>
    </row>
    <row customHeight="true" ht="16.666666666666668" r="191">
      <c r="A191" s="708"/>
      <c r="B191" s="718" t="s">
        <v>841</v>
      </c>
      <c r="C191" s="698" t="s">
        <v>833</v>
      </c>
      <c r="D191" s="670">
        <f t="shared" si="185"/>
      </c>
      <c r="E191" s="698">
        <v>975.63</v>
      </c>
      <c r="F191" s="670">
        <v>3124.25</v>
      </c>
      <c r="G191" s="709">
        <v>13</v>
      </c>
      <c r="H191" s="698">
        <v>7817.540000000001</v>
      </c>
      <c r="I191" s="672">
        <f t="shared" si="135"/>
      </c>
      <c r="J191" s="672">
        <f t="shared" si="104"/>
      </c>
      <c r="K191" s="673">
        <f t="shared" si="73"/>
      </c>
      <c r="L191" s="674">
        <f t="shared" si="42"/>
      </c>
      <c r="M191" s="675">
        <f t="shared" si="11"/>
      </c>
      <c r="N191" s="676">
        <f t="shared" si="259"/>
      </c>
      <c r="O191" s="677" t="s">
        <v>809</v>
      </c>
      <c r="P191" s="710" t="s">
        <v>810</v>
      </c>
      <c r="Q191" s="717">
        <v>71147</v>
      </c>
      <c r="R191" s="697">
        <v>4029</v>
      </c>
      <c r="S191" s="717">
        <v>22</v>
      </c>
      <c r="T191" s="717">
        <v>95</v>
      </c>
    </row>
    <row r="192">
      <c r="A192" s="708"/>
      <c r="B192" s="718" t="s">
        <v>841</v>
      </c>
      <c r="C192" s="698" t="s">
        <v>845</v>
      </c>
      <c r="D192" s="670">
        <f t="shared" si="185"/>
      </c>
      <c r="E192" s="698">
        <v>231.08</v>
      </c>
      <c r="F192" s="670">
        <v>1485.49</v>
      </c>
      <c r="G192" s="709">
        <v>5</v>
      </c>
      <c r="H192" s="698">
        <v>4236.000000000007</v>
      </c>
      <c r="I192" s="672">
        <f t="shared" si="135"/>
      </c>
      <c r="J192" s="672">
        <f t="shared" si="104"/>
      </c>
      <c r="K192" s="673">
        <f t="shared" si="73"/>
      </c>
      <c r="L192" s="674">
        <f t="shared" si="42"/>
      </c>
      <c r="M192" s="675">
        <f t="shared" si="11"/>
      </c>
      <c r="N192" s="676">
        <f t="shared" si="259"/>
      </c>
      <c r="O192" s="677" t="s">
        <v>809</v>
      </c>
      <c r="P192" s="710" t="s">
        <v>810</v>
      </c>
      <c r="Q192" s="717">
        <v>40612</v>
      </c>
      <c r="R192" s="697">
        <v>1521</v>
      </c>
      <c r="S192" s="717">
        <v>7</v>
      </c>
      <c r="T192" s="717">
        <v>35</v>
      </c>
    </row>
    <row r="193">
      <c r="A193" s="708"/>
      <c r="B193" s="684" t="s">
        <v>814</v>
      </c>
      <c r="C193" s="684"/>
      <c r="D193" s="685">
        <f>SUM(D189:D192)</f>
      </c>
      <c r="E193" s="685">
        <f>SUM(E189:E192)</f>
      </c>
      <c r="F193" s="685">
        <f>SUM(F189:F192)</f>
      </c>
      <c r="G193" s="687">
        <f>SUM(G189:G192)</f>
      </c>
      <c r="H193" s="685">
        <f>SUM(H189:H192)</f>
      </c>
      <c r="I193" s="699">
        <f t="shared" si="135"/>
      </c>
      <c r="J193" s="689">
        <f t="shared" si="104"/>
      </c>
      <c r="K193" s="690">
        <f t="shared" si="73"/>
      </c>
      <c r="L193" s="691">
        <f t="shared" si="42"/>
      </c>
      <c r="M193" s="691">
        <f t="shared" si="11"/>
      </c>
      <c r="N193" s="692">
        <f t="shared" si="259"/>
      </c>
      <c r="O193" s="692"/>
      <c r="P193" s="692"/>
      <c r="Q193" s="687">
        <f>SUM(Q189:Q192)</f>
      </c>
      <c r="R193" s="687">
        <f>SUM(R189:R192)</f>
      </c>
      <c r="S193" s="687">
        <f>SUM(S189:S192)</f>
      </c>
      <c r="T193" s="687">
        <f>SUM(T189:T192)</f>
      </c>
    </row>
    <row r="194">
      <c r="A194" s="708"/>
      <c r="B194" s="700" t="s">
        <v>825</v>
      </c>
      <c r="C194" s="700"/>
      <c r="D194" s="701">
        <f>D183+D188+D193</f>
      </c>
      <c r="E194" s="701">
        <f>E183+E188+E193</f>
      </c>
      <c r="F194" s="701">
        <f>F183+F188+F193</f>
      </c>
      <c r="G194" s="702">
        <f>G183+G188+G193</f>
      </c>
      <c r="H194" s="701">
        <f>H183+H188+H193</f>
      </c>
      <c r="I194" s="703">
        <f t="shared" si="135"/>
      </c>
      <c r="J194" s="703">
        <f t="shared" si="104"/>
      </c>
      <c r="K194" s="704">
        <f t="shared" si="73"/>
      </c>
      <c r="L194" s="705">
        <f t="shared" si="42"/>
      </c>
      <c r="M194" s="705">
        <f t="shared" si="11"/>
      </c>
      <c r="N194" s="703">
        <f t="shared" si="259"/>
      </c>
      <c r="O194" s="706"/>
      <c r="P194" s="706"/>
      <c r="Q194" s="702">
        <f>Q183+Q188+Q193</f>
      </c>
      <c r="R194" s="702">
        <f>R183+R188+R193</f>
      </c>
      <c r="S194" s="702">
        <f>S183+S188+S193</f>
      </c>
      <c r="T194" s="702">
        <f>T183+T188+T193</f>
      </c>
    </row>
    <row r="195">
      <c r="A195" s="655" t="s">
        <v>782</v>
      </c>
      <c r="B195" s="655"/>
      <c r="C195" s="655"/>
      <c r="D195" s="656" t="s">
        <v>783</v>
      </c>
      <c r="E195" s="656"/>
      <c r="F195" s="656"/>
      <c r="G195" s="656"/>
      <c r="H195" s="656"/>
      <c r="I195" s="656"/>
      <c r="J195" s="656"/>
      <c r="K195" s="656"/>
      <c r="L195" s="666" t="s">
        <v>784</v>
      </c>
      <c r="M195" s="666"/>
      <c r="N195" s="666"/>
      <c r="O195" s="666"/>
      <c r="P195" s="666"/>
      <c r="Q195" s="737" t="s">
        <v>785</v>
      </c>
      <c r="R195" s="737"/>
      <c r="S195" s="737"/>
      <c r="T195" s="737"/>
    </row>
    <row r="196">
      <c r="A196" s="660" t="s">
        <v>786</v>
      </c>
      <c r="B196" s="720" t="s">
        <v>787</v>
      </c>
      <c r="C196" s="743" t="s">
        <v>788</v>
      </c>
      <c r="D196" s="722" t="s">
        <v>789</v>
      </c>
      <c r="E196" s="721" t="s">
        <v>790</v>
      </c>
      <c r="F196" s="722" t="s">
        <v>791</v>
      </c>
      <c r="G196" s="662" t="s">
        <v>792</v>
      </c>
      <c r="H196" s="661" t="s">
        <v>793</v>
      </c>
      <c r="I196" s="663" t="s">
        <v>794</v>
      </c>
      <c r="J196" s="664" t="s">
        <v>795</v>
      </c>
      <c r="K196" s="665" t="s">
        <v>796</v>
      </c>
      <c r="L196" s="666" t="s">
        <v>797</v>
      </c>
      <c r="M196" s="666" t="s">
        <v>798</v>
      </c>
      <c r="N196" s="666" t="s">
        <v>799</v>
      </c>
      <c r="O196" s="723" t="s">
        <v>800</v>
      </c>
      <c r="P196" s="738" t="s">
        <v>801</v>
      </c>
      <c r="Q196" s="667" t="s">
        <v>802</v>
      </c>
      <c r="R196" s="667" t="s">
        <v>803</v>
      </c>
      <c r="S196" s="740" t="s">
        <v>804</v>
      </c>
      <c r="T196" s="667" t="s">
        <v>805</v>
      </c>
    </row>
    <row r="197">
      <c r="A197" s="708" t="s">
        <v>846</v>
      </c>
      <c r="B197" s="744" t="s">
        <v>815</v>
      </c>
      <c r="C197" s="724" t="s">
        <v>808</v>
      </c>
      <c r="D197" s="746">
        <f t="shared" ref="D197:D200" si="186">E197+F197</f>
      </c>
      <c r="E197" s="724">
        <v>768.13</v>
      </c>
      <c r="F197" s="724">
        <v>2290.97</v>
      </c>
      <c r="G197" s="725">
        <v>10</v>
      </c>
      <c r="H197" s="670">
        <v>4373.77</v>
      </c>
      <c r="I197" s="672">
        <f t="shared" ref="I197:I211" si="136">H197/D197</f>
      </c>
      <c r="J197" s="672">
        <f t="shared" ref="J197:J211" si="105">D197/G197</f>
      </c>
      <c r="K197" s="673">
        <f t="shared" ref="K197:K211" si="74">H197/G197</f>
      </c>
      <c r="L197" s="674">
        <f t="shared" ref="L197:L211" si="43">R197/Q197</f>
      </c>
      <c r="M197" s="675">
        <f t="shared" ref="M197:M211" si="12">G197/S197</f>
      </c>
      <c r="N197" s="676">
        <f t="shared" ref="N197:N211" si="260">(T197*1000)/D197</f>
      </c>
      <c r="O197" s="677" t="s">
        <v>809</v>
      </c>
      <c r="P197" s="678" t="s">
        <v>827</v>
      </c>
      <c r="Q197" s="741">
        <v>38447</v>
      </c>
      <c r="R197" s="741">
        <v>4280</v>
      </c>
      <c r="S197" s="711">
        <v>20</v>
      </c>
      <c r="T197" s="711">
        <v>61</v>
      </c>
    </row>
    <row r="198">
      <c r="A198" s="708"/>
      <c r="B198" s="726" t="s">
        <v>815</v>
      </c>
      <c r="C198" s="696" t="s">
        <v>811</v>
      </c>
      <c r="D198" s="696">
        <f t="shared" si="186"/>
      </c>
      <c r="E198" s="742">
        <v>825</v>
      </c>
      <c r="F198" s="696">
        <v>4713.27</v>
      </c>
      <c r="G198" s="709">
        <v>25</v>
      </c>
      <c r="H198" s="698">
        <v>14929.079999999998</v>
      </c>
      <c r="I198" s="672">
        <f t="shared" si="136"/>
      </c>
      <c r="J198" s="672">
        <f t="shared" si="105"/>
      </c>
      <c r="K198" s="673">
        <f t="shared" si="74"/>
      </c>
      <c r="L198" s="674">
        <f t="shared" si="43"/>
      </c>
      <c r="M198" s="675">
        <f t="shared" si="12"/>
      </c>
      <c r="N198" s="676">
        <f t="shared" si="260"/>
      </c>
      <c r="O198" s="677" t="s">
        <v>809</v>
      </c>
      <c r="P198" s="678" t="s">
        <v>827</v>
      </c>
      <c r="Q198" s="679">
        <v>68983</v>
      </c>
      <c r="R198" s="679">
        <v>8651</v>
      </c>
      <c r="S198" s="711">
        <v>42</v>
      </c>
      <c r="T198" s="711">
        <v>136</v>
      </c>
    </row>
    <row r="199">
      <c r="A199" s="708"/>
      <c r="B199" s="726" t="s">
        <v>815</v>
      </c>
      <c r="C199" s="670" t="s">
        <v>812</v>
      </c>
      <c r="D199" s="670">
        <f t="shared" si="186"/>
      </c>
      <c r="E199" s="728">
        <v>881.89</v>
      </c>
      <c r="F199" s="698">
        <v>3993.85</v>
      </c>
      <c r="G199" s="680">
        <v>19</v>
      </c>
      <c r="H199" s="681">
        <v>7740.84</v>
      </c>
      <c r="I199" s="672">
        <f t="shared" si="136"/>
      </c>
      <c r="J199" s="672">
        <f t="shared" si="105"/>
      </c>
      <c r="K199" s="673">
        <f t="shared" si="74"/>
      </c>
      <c r="L199" s="674">
        <f t="shared" si="43"/>
      </c>
      <c r="M199" s="675">
        <f t="shared" si="12"/>
      </c>
      <c r="N199" s="676">
        <f t="shared" si="260"/>
      </c>
      <c r="O199" s="677" t="s">
        <v>809</v>
      </c>
      <c r="P199" s="678" t="s">
        <v>827</v>
      </c>
      <c r="Q199" s="711">
        <v>63051</v>
      </c>
      <c r="R199" s="711">
        <v>5454</v>
      </c>
      <c r="S199" s="711">
        <v>16</v>
      </c>
      <c r="T199" s="711">
        <v>98</v>
      </c>
    </row>
    <row r="200">
      <c r="A200" s="708"/>
      <c r="B200" s="726" t="s">
        <v>815</v>
      </c>
      <c r="C200" s="670" t="s">
        <v>813</v>
      </c>
      <c r="D200" s="670">
        <f t="shared" si="186"/>
      </c>
      <c r="E200" s="728">
        <v>800.65</v>
      </c>
      <c r="F200" s="670">
        <v>3162.82</v>
      </c>
      <c r="G200" s="680">
        <v>14</v>
      </c>
      <c r="H200" s="681">
        <v>7307.2800000000025</v>
      </c>
      <c r="I200" s="672">
        <f t="shared" si="136"/>
      </c>
      <c r="J200" s="672">
        <f t="shared" si="105"/>
      </c>
      <c r="K200" s="673">
        <f t="shared" si="74"/>
      </c>
      <c r="L200" s="674">
        <f t="shared" si="43"/>
      </c>
      <c r="M200" s="675">
        <f t="shared" si="12"/>
      </c>
      <c r="N200" s="676">
        <f t="shared" si="260"/>
      </c>
      <c r="O200" s="677" t="s">
        <v>809</v>
      </c>
      <c r="P200" s="678" t="s">
        <v>827</v>
      </c>
      <c r="Q200" s="679">
        <v>45137</v>
      </c>
      <c r="R200" s="679">
        <v>3580</v>
      </c>
      <c r="S200" s="711">
        <v>18</v>
      </c>
      <c r="T200" s="711">
        <v>77</v>
      </c>
    </row>
    <row r="201">
      <c r="A201" s="708"/>
      <c r="B201" s="730" t="s">
        <v>814</v>
      </c>
      <c r="C201" s="730"/>
      <c r="D201" s="685">
        <f>SUM(D197:D200)</f>
      </c>
      <c r="E201" s="685">
        <f>SUM(E197:E200)</f>
      </c>
      <c r="F201" s="685">
        <f>SUM(F197:F200)</f>
      </c>
      <c r="G201" s="687">
        <f>SUM(G197:G200)</f>
      </c>
      <c r="H201" s="685">
        <f>SUM(H197:H200)</f>
      </c>
      <c r="I201" s="688">
        <f t="shared" si="136"/>
      </c>
      <c r="J201" s="689">
        <f t="shared" si="105"/>
      </c>
      <c r="K201" s="690">
        <f t="shared" si="74"/>
      </c>
      <c r="L201" s="691">
        <f t="shared" si="43"/>
      </c>
      <c r="M201" s="691">
        <f t="shared" si="12"/>
      </c>
      <c r="N201" s="692">
        <f t="shared" si="260"/>
      </c>
      <c r="O201" s="692"/>
      <c r="P201" s="692"/>
      <c r="Q201" s="687">
        <f>SUM(Q197:Q200)</f>
      </c>
      <c r="R201" s="687">
        <f>SUM(R197:R200)</f>
      </c>
      <c r="S201" s="687">
        <f>SUM(S197:S200)</f>
      </c>
      <c r="T201" s="687">
        <f>SUM(T197:T200)</f>
      </c>
    </row>
    <row r="202">
      <c r="A202" s="708"/>
      <c r="B202" s="718" t="s">
        <v>837</v>
      </c>
      <c r="C202" s="698" t="s">
        <v>816</v>
      </c>
      <c r="D202" s="670">
        <f t="shared" ref="D202:D205" si="187">E202+F202</f>
      </c>
      <c r="E202" s="670">
        <v>739.39</v>
      </c>
      <c r="F202" s="670">
        <v>3847.39</v>
      </c>
      <c r="G202" s="671">
        <v>15</v>
      </c>
      <c r="H202" s="670">
        <v>6413.300000000003</v>
      </c>
      <c r="I202" s="672">
        <f t="shared" si="136"/>
      </c>
      <c r="J202" s="672">
        <f t="shared" si="105"/>
      </c>
      <c r="K202" s="673">
        <f t="shared" si="74"/>
      </c>
      <c r="L202" s="674">
        <f t="shared" si="43"/>
      </c>
      <c r="M202" s="675">
        <f t="shared" si="12"/>
      </c>
      <c r="N202" s="676">
        <f t="shared" si="260"/>
      </c>
      <c r="O202" s="677" t="s">
        <v>809</v>
      </c>
      <c r="P202" s="678" t="s">
        <v>827</v>
      </c>
      <c r="Q202" s="717">
        <v>46911</v>
      </c>
      <c r="R202" s="717">
        <v>3826</v>
      </c>
      <c r="S202" s="717">
        <v>23</v>
      </c>
      <c r="T202" s="717">
        <v>112</v>
      </c>
    </row>
    <row r="203">
      <c r="A203" s="708"/>
      <c r="B203" s="718" t="s">
        <v>837</v>
      </c>
      <c r="C203" s="670" t="s">
        <v>817</v>
      </c>
      <c r="D203" s="670">
        <f t="shared" si="187"/>
      </c>
      <c r="E203" s="670">
        <v>649.38</v>
      </c>
      <c r="F203" s="698">
        <v>2775.07</v>
      </c>
      <c r="G203" s="671">
        <v>14</v>
      </c>
      <c r="H203" s="670">
        <v>6722.659999999996</v>
      </c>
      <c r="I203" s="672">
        <f t="shared" si="136"/>
      </c>
      <c r="J203" s="672">
        <f t="shared" si="105"/>
      </c>
      <c r="K203" s="673">
        <f t="shared" si="74"/>
      </c>
      <c r="L203" s="674">
        <f t="shared" si="43"/>
      </c>
      <c r="M203" s="675">
        <f t="shared" si="12"/>
      </c>
      <c r="N203" s="676">
        <f t="shared" si="260"/>
      </c>
      <c r="O203" s="677" t="s">
        <v>809</v>
      </c>
      <c r="P203" s="678" t="s">
        <v>827</v>
      </c>
      <c r="Q203" s="697">
        <v>48824</v>
      </c>
      <c r="R203" s="697">
        <v>3249</v>
      </c>
      <c r="S203" s="717">
        <v>15</v>
      </c>
      <c r="T203" s="717">
        <v>90</v>
      </c>
    </row>
    <row r="204">
      <c r="A204" s="708"/>
      <c r="B204" s="718" t="s">
        <v>837</v>
      </c>
      <c r="C204" s="670" t="s">
        <v>818</v>
      </c>
      <c r="D204" s="670">
        <f t="shared" si="187"/>
      </c>
      <c r="E204" s="698">
        <v>564.44</v>
      </c>
      <c r="F204" s="670">
        <v>3197.58</v>
      </c>
      <c r="G204" s="709">
        <v>10</v>
      </c>
      <c r="H204" s="698">
        <v>4659.25</v>
      </c>
      <c r="I204" s="672">
        <f t="shared" si="136"/>
      </c>
      <c r="J204" s="672">
        <f t="shared" si="105"/>
      </c>
      <c r="K204" s="673">
        <f t="shared" si="74"/>
      </c>
      <c r="L204" s="674">
        <f t="shared" si="43"/>
      </c>
      <c r="M204" s="675">
        <f t="shared" si="12"/>
      </c>
      <c r="N204" s="676">
        <f t="shared" si="260"/>
      </c>
      <c r="O204" s="677" t="s">
        <v>809</v>
      </c>
      <c r="P204" s="678" t="s">
        <v>827</v>
      </c>
      <c r="Q204" s="717">
        <v>61594</v>
      </c>
      <c r="R204" s="697">
        <v>3609</v>
      </c>
      <c r="S204" s="717">
        <v>16</v>
      </c>
      <c r="T204" s="717">
        <v>81</v>
      </c>
    </row>
    <row r="205">
      <c r="A205" s="708"/>
      <c r="B205" s="718" t="s">
        <v>837</v>
      </c>
      <c r="C205" s="670" t="s">
        <v>819</v>
      </c>
      <c r="D205" s="670">
        <f t="shared" si="187"/>
      </c>
      <c r="E205" s="670">
        <v>387.36</v>
      </c>
      <c r="F205" s="670">
        <v>2644.51</v>
      </c>
      <c r="G205" s="671">
        <v>16</v>
      </c>
      <c r="H205" s="670">
        <v>7891.5</v>
      </c>
      <c r="I205" s="672">
        <f t="shared" si="136"/>
      </c>
      <c r="J205" s="672">
        <f t="shared" si="105"/>
      </c>
      <c r="K205" s="673">
        <f t="shared" si="74"/>
      </c>
      <c r="L205" s="674">
        <f t="shared" si="43"/>
      </c>
      <c r="M205" s="675">
        <f t="shared" si="12"/>
      </c>
      <c r="N205" s="676">
        <f t="shared" si="260"/>
      </c>
      <c r="O205" s="677" t="s">
        <v>809</v>
      </c>
      <c r="P205" s="678" t="s">
        <v>827</v>
      </c>
      <c r="Q205" s="697">
        <v>38362</v>
      </c>
      <c r="R205" s="697">
        <v>3008</v>
      </c>
      <c r="S205" s="717">
        <v>15</v>
      </c>
      <c r="T205" s="717">
        <v>60</v>
      </c>
    </row>
    <row r="206">
      <c r="A206" s="708"/>
      <c r="B206" s="684" t="s">
        <v>814</v>
      </c>
      <c r="C206" s="684"/>
      <c r="D206" s="685">
        <f>SUM(D202:D205)</f>
      </c>
      <c r="E206" s="685">
        <f>SUM(E202:E205)</f>
      </c>
      <c r="F206" s="685">
        <f>SUM(F202:F205)</f>
      </c>
      <c r="G206" s="687">
        <f>SUM(G202:G205)</f>
      </c>
      <c r="H206" s="685">
        <f>SUM(H202:H205)</f>
      </c>
      <c r="I206" s="699">
        <f t="shared" si="136"/>
      </c>
      <c r="J206" s="689">
        <f t="shared" si="105"/>
      </c>
      <c r="K206" s="690">
        <f t="shared" si="74"/>
      </c>
      <c r="L206" s="691">
        <f t="shared" si="43"/>
      </c>
      <c r="M206" s="691">
        <f t="shared" si="12"/>
      </c>
      <c r="N206" s="692">
        <f t="shared" si="260"/>
      </c>
      <c r="O206" s="692"/>
      <c r="P206" s="692"/>
      <c r="Q206" s="687">
        <f>SUM(Q202:Q205)</f>
      </c>
      <c r="R206" s="687">
        <f>SUM(R202:R205)</f>
      </c>
      <c r="S206" s="687">
        <f>SUM(S202:S205)</f>
      </c>
      <c r="T206" s="687">
        <f>SUM(T202:T205)</f>
      </c>
    </row>
    <row r="207">
      <c r="A207" s="708"/>
      <c r="B207" s="718" t="s">
        <v>841</v>
      </c>
      <c r="C207" s="670" t="s">
        <v>830</v>
      </c>
      <c r="D207" s="670">
        <f t="shared" ref="D207:D209" si="188">E207+F207</f>
      </c>
      <c r="E207" s="670">
        <v>673.76</v>
      </c>
      <c r="F207" s="670">
        <v>2936.25</v>
      </c>
      <c r="G207" s="671">
        <v>5</v>
      </c>
      <c r="H207" s="670">
        <v>2384.9199999999983</v>
      </c>
      <c r="I207" s="672">
        <f t="shared" si="136"/>
      </c>
      <c r="J207" s="672">
        <f t="shared" si="105"/>
      </c>
      <c r="K207" s="673">
        <f t="shared" si="74"/>
      </c>
      <c r="L207" s="674">
        <f t="shared" si="43"/>
      </c>
      <c r="M207" s="675">
        <f t="shared" si="12"/>
      </c>
      <c r="N207" s="676">
        <f t="shared" si="260"/>
      </c>
      <c r="O207" s="677" t="s">
        <v>809</v>
      </c>
      <c r="P207" s="678" t="s">
        <v>827</v>
      </c>
      <c r="Q207" s="697">
        <v>43733</v>
      </c>
      <c r="R207" s="717">
        <v>3424</v>
      </c>
      <c r="S207" s="717">
        <v>14</v>
      </c>
      <c r="T207" s="717">
        <v>79</v>
      </c>
    </row>
    <row r="208">
      <c r="A208" s="708"/>
      <c r="B208" s="718" t="s">
        <v>841</v>
      </c>
      <c r="C208" s="698" t="s">
        <v>831</v>
      </c>
      <c r="D208" s="670">
        <f t="shared" si="188"/>
      </c>
      <c r="E208" s="670">
        <v>339.98</v>
      </c>
      <c r="F208" s="698">
        <v>2007.68</v>
      </c>
      <c r="G208" s="671">
        <v>3</v>
      </c>
      <c r="H208" s="670">
        <v>1954.8400000000038</v>
      </c>
      <c r="I208" s="672">
        <f t="shared" si="136"/>
      </c>
      <c r="J208" s="672">
        <f t="shared" si="105"/>
      </c>
      <c r="K208" s="673">
        <f t="shared" si="74"/>
      </c>
      <c r="L208" s="674">
        <f t="shared" si="43"/>
      </c>
      <c r="M208" s="675">
        <f t="shared" si="12"/>
      </c>
      <c r="N208" s="676">
        <f t="shared" si="260"/>
      </c>
      <c r="O208" s="677" t="s">
        <v>809</v>
      </c>
      <c r="P208" s="710" t="s">
        <v>810</v>
      </c>
      <c r="Q208" s="697">
        <v>22464</v>
      </c>
      <c r="R208" s="697">
        <v>2354</v>
      </c>
      <c r="S208" s="717">
        <v>7</v>
      </c>
      <c r="T208" s="717">
        <v>51</v>
      </c>
    </row>
    <row r="209">
      <c r="A209" s="708"/>
      <c r="B209" s="718" t="s">
        <v>841</v>
      </c>
      <c r="C209" s="698" t="s">
        <v>832</v>
      </c>
      <c r="D209" s="670">
        <f t="shared" si="188"/>
      </c>
      <c r="E209" s="698">
        <v>281.75</v>
      </c>
      <c r="F209" s="670">
        <v>565.9599999999999</v>
      </c>
      <c r="G209" s="709">
        <v>2</v>
      </c>
      <c r="H209" s="698">
        <v>430.07999999999447</v>
      </c>
      <c r="I209" s="672">
        <f t="shared" si="136"/>
      </c>
      <c r="J209" s="672">
        <f t="shared" si="105"/>
      </c>
      <c r="K209" s="673">
        <f t="shared" si="74"/>
      </c>
      <c r="L209" s="674">
        <f t="shared" si="43"/>
      </c>
      <c r="M209" s="675">
        <f t="shared" si="12"/>
      </c>
      <c r="N209" s="676">
        <f t="shared" si="260"/>
      </c>
      <c r="O209" s="677" t="s">
        <v>809</v>
      </c>
      <c r="P209" s="710" t="s">
        <v>810</v>
      </c>
      <c r="Q209" s="717">
        <v>7125</v>
      </c>
      <c r="R209" s="697">
        <v>736</v>
      </c>
      <c r="S209" s="717">
        <v>4</v>
      </c>
      <c r="T209" s="717">
        <v>17</v>
      </c>
    </row>
    <row r="210">
      <c r="A210" s="708"/>
      <c r="B210" s="684" t="s">
        <v>814</v>
      </c>
      <c r="C210" s="684"/>
      <c r="D210" s="685">
        <f>SUM(D207:D209)</f>
      </c>
      <c r="E210" s="685">
        <f>SUM(E207:E209)</f>
      </c>
      <c r="F210" s="685">
        <f>SUM(F207:F209)</f>
      </c>
      <c r="G210" s="687">
        <f>SUM(G207:G209)</f>
      </c>
      <c r="H210" s="685">
        <f>SUM(H207:H209)</f>
      </c>
      <c r="I210" s="699">
        <f t="shared" si="136"/>
      </c>
      <c r="J210" s="689">
        <f t="shared" si="105"/>
      </c>
      <c r="K210" s="690">
        <f t="shared" si="74"/>
      </c>
      <c r="L210" s="691">
        <f t="shared" si="43"/>
      </c>
      <c r="M210" s="691">
        <f t="shared" si="12"/>
      </c>
      <c r="N210" s="692">
        <f t="shared" si="260"/>
      </c>
      <c r="O210" s="692"/>
      <c r="P210" s="692"/>
      <c r="Q210" s="687">
        <f>SUM(Q207:Q209)</f>
      </c>
      <c r="R210" s="687">
        <f>SUM(R207:R209)</f>
      </c>
      <c r="S210" s="687">
        <f>SUM(S207:S209)</f>
      </c>
      <c r="T210" s="687">
        <f>SUM(T207:T209)</f>
      </c>
    </row>
    <row r="211">
      <c r="A211" s="708"/>
      <c r="B211" s="700" t="s">
        <v>825</v>
      </c>
      <c r="C211" s="700"/>
      <c r="D211" s="701">
        <f>D201+D206+D210</f>
      </c>
      <c r="E211" s="701">
        <f>E201+E206+E210</f>
      </c>
      <c r="F211" s="701">
        <f>F201+F206+F210</f>
      </c>
      <c r="G211" s="702">
        <f>G201+G206+G210</f>
      </c>
      <c r="H211" s="701">
        <f>H201+H206+H210</f>
      </c>
      <c r="I211" s="703">
        <f t="shared" si="136"/>
      </c>
      <c r="J211" s="703">
        <f t="shared" si="105"/>
      </c>
      <c r="K211" s="704">
        <f t="shared" si="74"/>
      </c>
      <c r="L211" s="705">
        <f t="shared" si="43"/>
      </c>
      <c r="M211" s="705">
        <f t="shared" si="12"/>
      </c>
      <c r="N211" s="703">
        <f t="shared" si="260"/>
      </c>
      <c r="O211" s="706"/>
      <c r="P211" s="706"/>
      <c r="Q211" s="702">
        <f>Q201+Q206+Q210</f>
      </c>
      <c r="R211" s="702">
        <f>R201+R206+R210</f>
      </c>
      <c r="S211" s="702">
        <f>S201+S206+S210</f>
      </c>
      <c r="T211" s="702">
        <f>T201+T206+T210</f>
      </c>
    </row>
    <row r="212">
      <c r="A212" s="655" t="s">
        <v>782</v>
      </c>
      <c r="B212" s="655"/>
      <c r="C212" s="655"/>
      <c r="D212" s="656" t="s">
        <v>783</v>
      </c>
      <c r="E212" s="656"/>
      <c r="F212" s="656"/>
      <c r="G212" s="656"/>
      <c r="H212" s="656"/>
      <c r="I212" s="656"/>
      <c r="J212" s="656"/>
      <c r="K212" s="656"/>
      <c r="L212" s="666" t="s">
        <v>784</v>
      </c>
      <c r="M212" s="666"/>
      <c r="N212" s="666"/>
      <c r="O212" s="666"/>
      <c r="P212" s="666"/>
      <c r="Q212" s="737" t="s">
        <v>785</v>
      </c>
      <c r="R212" s="737"/>
      <c r="S212" s="737"/>
      <c r="T212" s="737"/>
    </row>
    <row r="213">
      <c r="A213" s="660" t="s">
        <v>786</v>
      </c>
      <c r="B213" s="720" t="s">
        <v>787</v>
      </c>
      <c r="C213" s="743" t="s">
        <v>788</v>
      </c>
      <c r="D213" s="722" t="s">
        <v>789</v>
      </c>
      <c r="E213" s="721" t="s">
        <v>790</v>
      </c>
      <c r="F213" s="722" t="s">
        <v>791</v>
      </c>
      <c r="G213" s="662" t="s">
        <v>792</v>
      </c>
      <c r="H213" s="661" t="s">
        <v>793</v>
      </c>
      <c r="I213" s="663" t="s">
        <v>794</v>
      </c>
      <c r="J213" s="664" t="s">
        <v>795</v>
      </c>
      <c r="K213" s="665" t="s">
        <v>796</v>
      </c>
      <c r="L213" s="666" t="s">
        <v>797</v>
      </c>
      <c r="M213" s="666" t="s">
        <v>798</v>
      </c>
      <c r="N213" s="666" t="s">
        <v>799</v>
      </c>
      <c r="O213" s="723" t="s">
        <v>800</v>
      </c>
      <c r="P213" s="738" t="s">
        <v>801</v>
      </c>
      <c r="Q213" s="667" t="s">
        <v>802</v>
      </c>
      <c r="R213" s="667" t="s">
        <v>803</v>
      </c>
      <c r="S213" s="740" t="s">
        <v>804</v>
      </c>
      <c r="T213" s="667" t="s">
        <v>805</v>
      </c>
    </row>
    <row r="214">
      <c r="A214" s="708" t="s">
        <v>847</v>
      </c>
      <c r="B214" s="694" t="s">
        <v>807</v>
      </c>
      <c r="C214" s="724" t="s">
        <v>808</v>
      </c>
      <c r="D214" s="746">
        <f t="shared" ref="D214:D217" si="189">E214+F214</f>
      </c>
      <c r="E214" s="724">
        <v>566.42</v>
      </c>
      <c r="F214" s="724">
        <v>1713.81</v>
      </c>
      <c r="G214" s="725">
        <v>3</v>
      </c>
      <c r="H214" s="670">
        <v>2934.6</v>
      </c>
      <c r="I214" s="672">
        <f t="shared" ref="I214:I228" si="137">H214/D214</f>
      </c>
      <c r="J214" s="672">
        <f t="shared" ref="J214:J228" si="106">D214/G214</f>
      </c>
      <c r="K214" s="673">
        <f t="shared" ref="K214:K228" si="75">H214/G214</f>
      </c>
      <c r="L214" s="674">
        <f t="shared" ref="L214:L228" si="44">R214/Q214</f>
      </c>
      <c r="M214" s="675">
        <f t="shared" ref="M214:M228" si="13">G214/S214</f>
      </c>
      <c r="N214" s="676">
        <f t="shared" ref="N214:N228" si="261">(T214*1000)/D214</f>
      </c>
      <c r="O214" s="677" t="s">
        <v>809</v>
      </c>
      <c r="P214" s="678" t="s">
        <v>827</v>
      </c>
      <c r="Q214" s="741">
        <v>26448</v>
      </c>
      <c r="R214" s="741">
        <v>2847</v>
      </c>
      <c r="S214" s="711">
        <v>8</v>
      </c>
      <c r="T214" s="711">
        <v>54</v>
      </c>
    </row>
    <row r="215">
      <c r="A215" s="708"/>
      <c r="B215" s="694" t="s">
        <v>807</v>
      </c>
      <c r="C215" s="696" t="s">
        <v>811</v>
      </c>
      <c r="D215" s="696">
        <f t="shared" si="189"/>
      </c>
      <c r="E215" s="742">
        <v>653.77</v>
      </c>
      <c r="F215" s="696">
        <v>1906.33</v>
      </c>
      <c r="G215" s="709">
        <v>13</v>
      </c>
      <c r="H215" s="698">
        <v>5473.74</v>
      </c>
      <c r="I215" s="672">
        <f t="shared" si="137"/>
      </c>
      <c r="J215" s="672">
        <f t="shared" si="106"/>
      </c>
      <c r="K215" s="673">
        <f t="shared" si="75"/>
      </c>
      <c r="L215" s="674">
        <f t="shared" si="44"/>
      </c>
      <c r="M215" s="675">
        <f t="shared" si="13"/>
      </c>
      <c r="N215" s="676">
        <f t="shared" si="261"/>
      </c>
      <c r="O215" s="677" t="s">
        <v>809</v>
      </c>
      <c r="P215" s="678" t="s">
        <v>827</v>
      </c>
      <c r="Q215" s="679">
        <v>28109</v>
      </c>
      <c r="R215" s="679">
        <v>2674</v>
      </c>
      <c r="S215" s="711">
        <v>16</v>
      </c>
      <c r="T215" s="711">
        <v>74</v>
      </c>
    </row>
    <row r="216">
      <c r="A216" s="708"/>
      <c r="B216" s="694" t="s">
        <v>807</v>
      </c>
      <c r="C216" s="670" t="s">
        <v>812</v>
      </c>
      <c r="D216" s="670">
        <f t="shared" si="189"/>
      </c>
      <c r="E216" s="728">
        <v>841.76</v>
      </c>
      <c r="F216" s="698">
        <v>1372.17</v>
      </c>
      <c r="G216" s="680">
        <v>7</v>
      </c>
      <c r="H216" s="681">
        <v>2888.7800000000007</v>
      </c>
      <c r="I216" s="672">
        <f t="shared" si="137"/>
      </c>
      <c r="J216" s="672">
        <f t="shared" si="106"/>
      </c>
      <c r="K216" s="673">
        <f t="shared" si="75"/>
      </c>
      <c r="L216" s="674">
        <f t="shared" si="44"/>
      </c>
      <c r="M216" s="675">
        <f t="shared" si="13"/>
      </c>
      <c r="N216" s="676">
        <f t="shared" si="261"/>
      </c>
      <c r="O216" s="677" t="s">
        <v>809</v>
      </c>
      <c r="P216" s="678" t="s">
        <v>827</v>
      </c>
      <c r="Q216" s="711">
        <v>25418</v>
      </c>
      <c r="R216" s="711">
        <v>2419</v>
      </c>
      <c r="S216" s="711">
        <v>10</v>
      </c>
      <c r="T216" s="711">
        <v>48</v>
      </c>
    </row>
    <row r="217">
      <c r="A217" s="708"/>
      <c r="B217" s="694" t="s">
        <v>807</v>
      </c>
      <c r="C217" s="670" t="s">
        <v>813</v>
      </c>
      <c r="D217" s="670">
        <f t="shared" si="189"/>
      </c>
      <c r="E217" s="728">
        <v>927.55</v>
      </c>
      <c r="F217" s="670">
        <v>1320.79</v>
      </c>
      <c r="G217" s="680">
        <v>8</v>
      </c>
      <c r="H217" s="681">
        <v>4418.4</v>
      </c>
      <c r="I217" s="672">
        <f t="shared" si="137"/>
      </c>
      <c r="J217" s="672">
        <f t="shared" si="106"/>
      </c>
      <c r="K217" s="673">
        <f t="shared" si="75"/>
      </c>
      <c r="L217" s="674">
        <f t="shared" si="44"/>
      </c>
      <c r="M217" s="675">
        <f t="shared" si="13"/>
      </c>
      <c r="N217" s="676">
        <f t="shared" si="261"/>
      </c>
      <c r="O217" s="677" t="s">
        <v>809</v>
      </c>
      <c r="P217" s="678" t="s">
        <v>827</v>
      </c>
      <c r="Q217" s="679">
        <v>26047</v>
      </c>
      <c r="R217" s="679">
        <v>1967</v>
      </c>
      <c r="S217" s="711">
        <v>9</v>
      </c>
      <c r="T217" s="711">
        <v>47</v>
      </c>
    </row>
    <row r="218">
      <c r="A218" s="708"/>
      <c r="B218" s="730" t="s">
        <v>814</v>
      </c>
      <c r="C218" s="730"/>
      <c r="D218" s="685">
        <f>SUM(D214:D217)</f>
      </c>
      <c r="E218" s="685">
        <f>SUM(E214:E217)</f>
      </c>
      <c r="F218" s="685">
        <f>SUM(F214:F217)</f>
      </c>
      <c r="G218" s="687">
        <f>SUM(G214:G217)</f>
      </c>
      <c r="H218" s="685">
        <f>SUM(H214:H217)</f>
      </c>
      <c r="I218" s="688">
        <f t="shared" si="137"/>
      </c>
      <c r="J218" s="689">
        <f t="shared" si="106"/>
      </c>
      <c r="K218" s="690">
        <f t="shared" si="75"/>
      </c>
      <c r="L218" s="691">
        <f t="shared" si="44"/>
      </c>
      <c r="M218" s="691">
        <f t="shared" si="13"/>
      </c>
      <c r="N218" s="692">
        <f t="shared" si="261"/>
      </c>
      <c r="O218" s="692"/>
      <c r="P218" s="692"/>
      <c r="Q218" s="687">
        <f>SUM(Q214:Q217)</f>
      </c>
      <c r="R218" s="687">
        <f>SUM(R214:R217)</f>
      </c>
      <c r="S218" s="687">
        <f>SUM(S214:S217)</f>
      </c>
      <c r="T218" s="687">
        <f>SUM(T214:T217)</f>
      </c>
    </row>
    <row r="219">
      <c r="A219" s="708"/>
      <c r="B219" s="718" t="s">
        <v>837</v>
      </c>
      <c r="C219" s="698" t="s">
        <v>816</v>
      </c>
      <c r="D219" s="670">
        <f t="shared" ref="D219:D222" si="190">E219+F219</f>
      </c>
      <c r="E219" s="670">
        <v>978.36</v>
      </c>
      <c r="F219" s="670">
        <v>1305.98</v>
      </c>
      <c r="G219" s="671">
        <v>6</v>
      </c>
      <c r="H219" s="670">
        <v>6262.799999999999</v>
      </c>
      <c r="I219" s="672">
        <f t="shared" si="137"/>
      </c>
      <c r="J219" s="672">
        <f t="shared" si="106"/>
      </c>
      <c r="K219" s="673">
        <f t="shared" si="75"/>
      </c>
      <c r="L219" s="674">
        <f t="shared" si="44"/>
      </c>
      <c r="M219" s="675">
        <f t="shared" si="13"/>
      </c>
      <c r="N219" s="676">
        <f t="shared" si="261"/>
      </c>
      <c r="O219" s="677" t="s">
        <v>809</v>
      </c>
      <c r="P219" s="678" t="s">
        <v>827</v>
      </c>
      <c r="Q219" s="717">
        <v>23155</v>
      </c>
      <c r="R219" s="717">
        <v>2271</v>
      </c>
      <c r="S219" s="717">
        <v>11</v>
      </c>
      <c r="T219" s="717">
        <v>34</v>
      </c>
    </row>
    <row r="220">
      <c r="A220" s="708"/>
      <c r="B220" s="718" t="s">
        <v>837</v>
      </c>
      <c r="C220" s="670" t="s">
        <v>817</v>
      </c>
      <c r="D220" s="670">
        <f t="shared" si="190"/>
      </c>
      <c r="E220" s="670">
        <v>900.98</v>
      </c>
      <c r="F220" s="698">
        <v>1355.85</v>
      </c>
      <c r="G220" s="671">
        <v>6</v>
      </c>
      <c r="H220" s="670">
        <v>1290.2400000000016</v>
      </c>
      <c r="I220" s="672">
        <f t="shared" si="137"/>
      </c>
      <c r="J220" s="672">
        <f t="shared" si="106"/>
      </c>
      <c r="K220" s="673">
        <f t="shared" si="75"/>
      </c>
      <c r="L220" s="674">
        <f t="shared" si="44"/>
      </c>
      <c r="M220" s="675">
        <f t="shared" si="13"/>
      </c>
      <c r="N220" s="676">
        <f t="shared" si="261"/>
      </c>
      <c r="O220" s="677" t="s">
        <v>809</v>
      </c>
      <c r="P220" s="678" t="s">
        <v>827</v>
      </c>
      <c r="Q220" s="697">
        <v>22724</v>
      </c>
      <c r="R220" s="697">
        <v>2141</v>
      </c>
      <c r="S220" s="717">
        <v>8</v>
      </c>
      <c r="T220" s="717">
        <v>45</v>
      </c>
    </row>
    <row r="221">
      <c r="A221" s="708"/>
      <c r="B221" s="718" t="s">
        <v>837</v>
      </c>
      <c r="C221" s="670" t="s">
        <v>818</v>
      </c>
      <c r="D221" s="670">
        <f t="shared" si="190"/>
      </c>
      <c r="E221" s="698">
        <v>1277.33</v>
      </c>
      <c r="F221" s="670">
        <v>767.18</v>
      </c>
      <c r="G221" s="709">
        <v>4</v>
      </c>
      <c r="H221" s="698">
        <v>2263.3199999999997</v>
      </c>
      <c r="I221" s="672">
        <f t="shared" si="137"/>
      </c>
      <c r="J221" s="672">
        <f t="shared" si="106"/>
      </c>
      <c r="K221" s="673">
        <f t="shared" si="75"/>
      </c>
      <c r="L221" s="674">
        <f t="shared" si="44"/>
      </c>
      <c r="M221" s="675">
        <f t="shared" si="13"/>
      </c>
      <c r="N221" s="676">
        <f t="shared" si="261"/>
      </c>
      <c r="O221" s="677" t="s">
        <v>809</v>
      </c>
      <c r="P221" s="678" t="s">
        <v>827</v>
      </c>
      <c r="Q221" s="717">
        <v>20094</v>
      </c>
      <c r="R221" s="697">
        <v>1839</v>
      </c>
      <c r="S221" s="717">
        <v>6</v>
      </c>
      <c r="T221" s="717">
        <v>42</v>
      </c>
    </row>
    <row r="222">
      <c r="A222" s="708"/>
      <c r="B222" s="718" t="s">
        <v>837</v>
      </c>
      <c r="C222" s="670" t="s">
        <v>819</v>
      </c>
      <c r="D222" s="670">
        <f t="shared" si="190"/>
      </c>
      <c r="E222" s="670">
        <v>1477.91</v>
      </c>
      <c r="F222" s="670">
        <v>1032.91</v>
      </c>
      <c r="G222" s="671">
        <v>16</v>
      </c>
      <c r="H222" s="670">
        <v>7274.639999999996</v>
      </c>
      <c r="I222" s="672">
        <f t="shared" si="137"/>
      </c>
      <c r="J222" s="672">
        <f t="shared" si="106"/>
      </c>
      <c r="K222" s="673">
        <f t="shared" si="75"/>
      </c>
      <c r="L222" s="674">
        <f t="shared" si="44"/>
      </c>
      <c r="M222" s="675">
        <f t="shared" si="13"/>
      </c>
      <c r="N222" s="676">
        <f t="shared" si="261"/>
      </c>
      <c r="O222" s="677" t="s">
        <v>809</v>
      </c>
      <c r="P222" s="678" t="s">
        <v>827</v>
      </c>
      <c r="Q222" s="697">
        <v>34203</v>
      </c>
      <c r="R222" s="697">
        <v>2456</v>
      </c>
      <c r="S222" s="717">
        <v>23</v>
      </c>
      <c r="T222" s="717">
        <v>57</v>
      </c>
    </row>
    <row r="223">
      <c r="A223" s="708"/>
      <c r="B223" s="684" t="s">
        <v>814</v>
      </c>
      <c r="C223" s="684"/>
      <c r="D223" s="685">
        <f>SUM(D219:D222)</f>
      </c>
      <c r="E223" s="685">
        <f>SUM(E219:E222)</f>
      </c>
      <c r="F223" s="685">
        <f>SUM(F219:F222)</f>
      </c>
      <c r="G223" s="687">
        <f>SUM(G219:G222)</f>
      </c>
      <c r="H223" s="685">
        <f>SUM(H219:H222)</f>
      </c>
      <c r="I223" s="699">
        <f t="shared" si="137"/>
      </c>
      <c r="J223" s="689">
        <f t="shared" si="106"/>
      </c>
      <c r="K223" s="690">
        <f t="shared" si="75"/>
      </c>
      <c r="L223" s="691">
        <f t="shared" si="44"/>
      </c>
      <c r="M223" s="691">
        <f t="shared" si="13"/>
      </c>
      <c r="N223" s="692">
        <f t="shared" si="261"/>
      </c>
      <c r="O223" s="692"/>
      <c r="P223" s="692"/>
      <c r="Q223" s="687">
        <f>SUM(Q219:Q222)</f>
      </c>
      <c r="R223" s="687">
        <f>SUM(R219:R222)</f>
      </c>
      <c r="S223" s="687">
        <f>SUM(S219:S222)</f>
      </c>
      <c r="T223" s="687">
        <f>SUM(T219:T222)</f>
      </c>
    </row>
    <row r="224">
      <c r="A224" s="708"/>
      <c r="B224" s="718" t="s">
        <v>841</v>
      </c>
      <c r="C224" s="670" t="s">
        <v>830</v>
      </c>
      <c r="D224" s="670">
        <f t="shared" ref="D224:D226" si="191">E224+F224</f>
      </c>
      <c r="E224" s="670">
        <v>3344.38</v>
      </c>
      <c r="F224" s="670">
        <v>1194.64</v>
      </c>
      <c r="G224" s="671">
        <v>14</v>
      </c>
      <c r="H224" s="670">
        <v>6151.700000000004</v>
      </c>
      <c r="I224" s="672">
        <f t="shared" si="137"/>
      </c>
      <c r="J224" s="672">
        <f t="shared" si="106"/>
      </c>
      <c r="K224" s="673">
        <f t="shared" si="75"/>
      </c>
      <c r="L224" s="674">
        <f t="shared" si="44"/>
      </c>
      <c r="M224" s="675">
        <f t="shared" si="13"/>
      </c>
      <c r="N224" s="676">
        <f t="shared" si="261"/>
      </c>
      <c r="O224" s="677" t="s">
        <v>809</v>
      </c>
      <c r="P224" s="678" t="s">
        <v>827</v>
      </c>
      <c r="Q224" s="697">
        <v>81297</v>
      </c>
      <c r="R224" s="717">
        <v>5037</v>
      </c>
      <c r="S224" s="717">
        <v>19</v>
      </c>
      <c r="T224" s="717">
        <v>112</v>
      </c>
    </row>
    <row r="225">
      <c r="A225" s="708"/>
      <c r="B225" s="718" t="s">
        <v>841</v>
      </c>
      <c r="C225" s="698" t="s">
        <v>831</v>
      </c>
      <c r="D225" s="670">
        <f t="shared" si="191"/>
      </c>
      <c r="E225" s="670">
        <v>1405.06</v>
      </c>
      <c r="F225" s="698">
        <v>1669.38</v>
      </c>
      <c r="G225" s="671">
        <v>2</v>
      </c>
      <c r="H225" s="670">
        <v>430.08000000000175</v>
      </c>
      <c r="I225" s="672">
        <f t="shared" si="137"/>
      </c>
      <c r="J225" s="672">
        <f t="shared" si="106"/>
      </c>
      <c r="K225" s="673">
        <f t="shared" si="75"/>
      </c>
      <c r="L225" s="674">
        <f t="shared" si="44"/>
      </c>
      <c r="M225" s="675">
        <f t="shared" si="13"/>
      </c>
      <c r="N225" s="676">
        <f t="shared" si="261"/>
      </c>
      <c r="O225" s="677" t="s">
        <v>809</v>
      </c>
      <c r="P225" s="710" t="s">
        <v>810</v>
      </c>
      <c r="Q225" s="697">
        <v>70503</v>
      </c>
      <c r="R225" s="697">
        <v>3286</v>
      </c>
      <c r="S225" s="717">
        <v>4</v>
      </c>
      <c r="T225" s="717">
        <v>64</v>
      </c>
    </row>
    <row r="226">
      <c r="A226" s="708"/>
      <c r="B226" s="718" t="s">
        <v>841</v>
      </c>
      <c r="C226" s="698" t="s">
        <v>832</v>
      </c>
      <c r="D226" s="670">
        <f t="shared" si="191"/>
      </c>
      <c r="E226" s="698">
        <v>238.27</v>
      </c>
      <c r="F226" s="670">
        <v>632.26</v>
      </c>
      <c r="G226" s="709">
        <v>2</v>
      </c>
      <c r="H226" s="698">
        <v>1779.1199999999953</v>
      </c>
      <c r="I226" s="672">
        <f t="shared" si="137"/>
      </c>
      <c r="J226" s="672">
        <f t="shared" si="106"/>
      </c>
      <c r="K226" s="673">
        <f t="shared" si="75"/>
      </c>
      <c r="L226" s="674">
        <f t="shared" si="44"/>
      </c>
      <c r="M226" s="675">
        <f t="shared" si="13"/>
      </c>
      <c r="N226" s="676">
        <f t="shared" si="261"/>
      </c>
      <c r="O226" s="677" t="s">
        <v>809</v>
      </c>
      <c r="P226" s="710" t="s">
        <v>810</v>
      </c>
      <c r="Q226" s="717">
        <v>25983</v>
      </c>
      <c r="R226" s="697">
        <v>884</v>
      </c>
      <c r="S226" s="717">
        <v>4</v>
      </c>
      <c r="T226" s="717">
        <v>16</v>
      </c>
    </row>
    <row r="227">
      <c r="A227" s="708"/>
      <c r="B227" s="684" t="s">
        <v>814</v>
      </c>
      <c r="C227" s="684"/>
      <c r="D227" s="685">
        <f>SUM(D224:D226)</f>
      </c>
      <c r="E227" s="685">
        <f>SUM(E224:E226)</f>
      </c>
      <c r="F227" s="685">
        <f>SUM(F224:F226)</f>
      </c>
      <c r="G227" s="687">
        <f>SUM(G224:G226)</f>
      </c>
      <c r="H227" s="685">
        <f>SUM(H224:H226)</f>
      </c>
      <c r="I227" s="699">
        <f t="shared" si="137"/>
      </c>
      <c r="J227" s="689">
        <f t="shared" si="106"/>
      </c>
      <c r="K227" s="690">
        <f t="shared" si="75"/>
      </c>
      <c r="L227" s="691">
        <f t="shared" si="44"/>
      </c>
      <c r="M227" s="691">
        <f t="shared" si="13"/>
      </c>
      <c r="N227" s="692">
        <f t="shared" si="261"/>
      </c>
      <c r="O227" s="692"/>
      <c r="P227" s="692"/>
      <c r="Q227" s="687">
        <f>SUM(Q224:Q226)</f>
      </c>
      <c r="R227" s="687">
        <f>SUM(R224:R226)</f>
      </c>
      <c r="S227" s="687">
        <f>SUM(S224:S226)</f>
      </c>
      <c r="T227" s="687">
        <f>SUM(T224:T226)</f>
      </c>
    </row>
    <row r="228">
      <c r="A228" s="708"/>
      <c r="B228" s="700" t="s">
        <v>825</v>
      </c>
      <c r="C228" s="700"/>
      <c r="D228" s="701">
        <f>D218+D223+D227</f>
      </c>
      <c r="E228" s="701">
        <f>E218+E223+E227</f>
      </c>
      <c r="F228" s="701">
        <f>F218+F223+F227</f>
      </c>
      <c r="G228" s="702">
        <f>G218+G223+G227</f>
      </c>
      <c r="H228" s="701">
        <f>H218+H223+H227</f>
      </c>
      <c r="I228" s="703">
        <f t="shared" si="137"/>
      </c>
      <c r="J228" s="703">
        <f t="shared" si="106"/>
      </c>
      <c r="K228" s="704">
        <f t="shared" si="75"/>
      </c>
      <c r="L228" s="705">
        <f t="shared" si="44"/>
      </c>
      <c r="M228" s="705">
        <f t="shared" si="13"/>
      </c>
      <c r="N228" s="703">
        <f t="shared" si="261"/>
      </c>
      <c r="O228" s="706"/>
      <c r="P228" s="706"/>
      <c r="Q228" s="702">
        <f>Q218+Q223+Q227</f>
      </c>
      <c r="R228" s="702">
        <f>R218+R223+R227</f>
      </c>
      <c r="S228" s="702">
        <f>S218+S223+S227</f>
      </c>
      <c r="T228" s="702">
        <f>T218+T223+T227</f>
      </c>
    </row>
    <row r="229">
      <c r="A229" s="655" t="s">
        <v>782</v>
      </c>
      <c r="B229" s="655"/>
      <c r="C229" s="655"/>
      <c r="D229" s="656" t="s">
        <v>783</v>
      </c>
      <c r="E229" s="656"/>
      <c r="F229" s="656"/>
      <c r="G229" s="656"/>
      <c r="H229" s="656"/>
      <c r="I229" s="656"/>
      <c r="J229" s="656"/>
      <c r="K229" s="656"/>
      <c r="L229" s="666" t="s">
        <v>784</v>
      </c>
      <c r="M229" s="666"/>
      <c r="N229" s="666"/>
      <c r="O229" s="666"/>
      <c r="P229" s="666"/>
      <c r="Q229" s="737" t="s">
        <v>785</v>
      </c>
      <c r="R229" s="737"/>
      <c r="S229" s="737"/>
      <c r="T229" s="737"/>
    </row>
    <row r="230">
      <c r="A230" s="660" t="s">
        <v>786</v>
      </c>
      <c r="B230" s="720" t="s">
        <v>787</v>
      </c>
      <c r="C230" s="743" t="s">
        <v>788</v>
      </c>
      <c r="D230" s="722" t="s">
        <v>789</v>
      </c>
      <c r="E230" s="721" t="s">
        <v>790</v>
      </c>
      <c r="F230" s="722" t="s">
        <v>791</v>
      </c>
      <c r="G230" s="662" t="s">
        <v>792</v>
      </c>
      <c r="H230" s="661" t="s">
        <v>793</v>
      </c>
      <c r="I230" s="663" t="s">
        <v>794</v>
      </c>
      <c r="J230" s="664" t="s">
        <v>795</v>
      </c>
      <c r="K230" s="665" t="s">
        <v>796</v>
      </c>
      <c r="L230" s="666" t="s">
        <v>797</v>
      </c>
      <c r="M230" s="666" t="s">
        <v>798</v>
      </c>
      <c r="N230" s="666" t="s">
        <v>799</v>
      </c>
      <c r="O230" s="723" t="s">
        <v>800</v>
      </c>
      <c r="P230" s="738" t="s">
        <v>801</v>
      </c>
      <c r="Q230" s="667" t="s">
        <v>802</v>
      </c>
      <c r="R230" s="667" t="s">
        <v>803</v>
      </c>
      <c r="S230" s="740" t="s">
        <v>804</v>
      </c>
      <c r="T230" s="667" t="s">
        <v>805</v>
      </c>
    </row>
    <row r="231">
      <c r="A231" s="708" t="s">
        <v>848</v>
      </c>
      <c r="B231" s="694" t="s">
        <v>807</v>
      </c>
      <c r="C231" s="724" t="s">
        <v>808</v>
      </c>
      <c r="D231" s="746">
        <f t="shared" ref="D231:D234" si="192">E231+F231</f>
      </c>
      <c r="E231" s="724">
        <v>1443.84</v>
      </c>
      <c r="F231" s="724">
        <v>1734.9</v>
      </c>
      <c r="G231" s="725">
        <v>11</v>
      </c>
      <c r="H231" s="670">
        <v>4216.32</v>
      </c>
      <c r="I231" s="672">
        <f t="shared" ref="I231:I245" si="138">H231/D231</f>
      </c>
      <c r="J231" s="672">
        <f t="shared" ref="J231:J245" si="107">D231/G231</f>
      </c>
      <c r="K231" s="673">
        <f t="shared" ref="K231:K245" si="76">H231/G231</f>
      </c>
      <c r="L231" s="674">
        <f t="shared" ref="L231:L245" si="45">R231/Q231</f>
      </c>
      <c r="M231" s="675">
        <f t="shared" ref="M231:M245" si="14">G231/S231</f>
      </c>
      <c r="N231" s="676">
        <f t="shared" ref="N231:N245" si="262">(T231*1000)/D231</f>
      </c>
      <c r="O231" s="677" t="s">
        <v>809</v>
      </c>
      <c r="P231" s="710" t="s">
        <v>810</v>
      </c>
      <c r="Q231" s="741">
        <v>37061</v>
      </c>
      <c r="R231" s="741">
        <v>3562</v>
      </c>
      <c r="S231" s="711">
        <v>14</v>
      </c>
      <c r="T231" s="711">
        <v>64</v>
      </c>
    </row>
    <row r="232">
      <c r="A232" s="708"/>
      <c r="B232" s="694" t="s">
        <v>807</v>
      </c>
      <c r="C232" s="696" t="s">
        <v>811</v>
      </c>
      <c r="D232" s="696">
        <f t="shared" si="192"/>
      </c>
      <c r="E232" s="742">
        <v>1252.23</v>
      </c>
      <c r="F232" s="696">
        <v>1833.11</v>
      </c>
      <c r="G232" s="709">
        <v>6</v>
      </c>
      <c r="H232" s="698">
        <v>2639.2800000000007</v>
      </c>
      <c r="I232" s="672">
        <f t="shared" si="138"/>
      </c>
      <c r="J232" s="672">
        <f t="shared" si="107"/>
      </c>
      <c r="K232" s="673">
        <f t="shared" si="76"/>
      </c>
      <c r="L232" s="674">
        <f t="shared" si="45"/>
      </c>
      <c r="M232" s="675">
        <f t="shared" si="14"/>
      </c>
      <c r="N232" s="676">
        <f t="shared" si="262"/>
      </c>
      <c r="O232" s="677" t="s">
        <v>809</v>
      </c>
      <c r="P232" s="710" t="s">
        <v>810</v>
      </c>
      <c r="Q232" s="679">
        <v>39521</v>
      </c>
      <c r="R232" s="679">
        <v>3508</v>
      </c>
      <c r="S232" s="711">
        <v>10</v>
      </c>
      <c r="T232" s="711">
        <v>56</v>
      </c>
    </row>
    <row r="233">
      <c r="A233" s="708"/>
      <c r="B233" s="694" t="s">
        <v>807</v>
      </c>
      <c r="C233" s="670" t="s">
        <v>812</v>
      </c>
      <c r="D233" s="670">
        <f t="shared" si="192"/>
      </c>
      <c r="E233" s="728">
        <v>661.18</v>
      </c>
      <c r="F233" s="698">
        <v>1457.68</v>
      </c>
      <c r="G233" s="680">
        <v>8</v>
      </c>
      <c r="H233" s="681">
        <v>4472.52</v>
      </c>
      <c r="I233" s="672">
        <f t="shared" si="138"/>
      </c>
      <c r="J233" s="672">
        <f t="shared" si="107"/>
      </c>
      <c r="K233" s="673">
        <f t="shared" si="76"/>
      </c>
      <c r="L233" s="674">
        <f t="shared" si="45"/>
      </c>
      <c r="M233" s="675">
        <f t="shared" si="14"/>
      </c>
      <c r="N233" s="676">
        <f t="shared" si="262"/>
      </c>
      <c r="O233" s="677" t="s">
        <v>809</v>
      </c>
      <c r="P233" s="710" t="s">
        <v>810</v>
      </c>
      <c r="Q233" s="711">
        <v>25813</v>
      </c>
      <c r="R233" s="711">
        <v>2068</v>
      </c>
      <c r="S233" s="711">
        <v>11</v>
      </c>
      <c r="T233" s="711">
        <v>54</v>
      </c>
    </row>
    <row r="234">
      <c r="A234" s="708"/>
      <c r="B234" s="694" t="s">
        <v>807</v>
      </c>
      <c r="C234" s="670" t="s">
        <v>813</v>
      </c>
      <c r="D234" s="670">
        <f t="shared" si="192"/>
      </c>
      <c r="E234" s="728">
        <v>526.35</v>
      </c>
      <c r="F234" s="670">
        <v>1272.53</v>
      </c>
      <c r="G234" s="680">
        <v>5</v>
      </c>
      <c r="H234" s="681">
        <v>2262.2299999999996</v>
      </c>
      <c r="I234" s="672">
        <f t="shared" si="138"/>
      </c>
      <c r="J234" s="672">
        <f t="shared" si="107"/>
      </c>
      <c r="K234" s="673">
        <f t="shared" si="76"/>
      </c>
      <c r="L234" s="674">
        <f t="shared" si="45"/>
      </c>
      <c r="M234" s="675">
        <f t="shared" si="14"/>
      </c>
      <c r="N234" s="676">
        <f t="shared" si="262"/>
      </c>
      <c r="O234" s="677" t="s">
        <v>809</v>
      </c>
      <c r="P234" s="710" t="s">
        <v>810</v>
      </c>
      <c r="Q234" s="679">
        <v>21486</v>
      </c>
      <c r="R234" s="679">
        <v>1458</v>
      </c>
      <c r="S234" s="711">
        <v>7</v>
      </c>
      <c r="T234" s="711">
        <v>33</v>
      </c>
    </row>
    <row r="235">
      <c r="A235" s="708"/>
      <c r="B235" s="730" t="s">
        <v>814</v>
      </c>
      <c r="C235" s="730"/>
      <c r="D235" s="685">
        <f>SUM(D231:D234)</f>
      </c>
      <c r="E235" s="685">
        <f>SUM(E231:E234)</f>
      </c>
      <c r="F235" s="685">
        <f>SUM(F231:F234)</f>
      </c>
      <c r="G235" s="687">
        <f>SUM(G231:G234)</f>
      </c>
      <c r="H235" s="685">
        <f>SUM(H231:H234)</f>
      </c>
      <c r="I235" s="688">
        <f t="shared" si="138"/>
      </c>
      <c r="J235" s="689">
        <f t="shared" si="107"/>
      </c>
      <c r="K235" s="690">
        <f t="shared" si="76"/>
      </c>
      <c r="L235" s="691">
        <f t="shared" si="45"/>
      </c>
      <c r="M235" s="691">
        <f t="shared" si="14"/>
      </c>
      <c r="N235" s="692">
        <f t="shared" si="262"/>
      </c>
      <c r="O235" s="692"/>
      <c r="P235" s="692"/>
      <c r="Q235" s="687">
        <f>SUM(Q231:Q234)</f>
      </c>
      <c r="R235" s="687">
        <f>SUM(R231:R234)</f>
      </c>
      <c r="S235" s="687">
        <f>SUM(S231:S234)</f>
      </c>
      <c r="T235" s="687">
        <f>SUM(T231:T234)</f>
      </c>
    </row>
    <row r="236">
      <c r="A236" s="708"/>
      <c r="B236" s="718" t="s">
        <v>815</v>
      </c>
      <c r="C236" s="698" t="s">
        <v>816</v>
      </c>
      <c r="D236" s="670">
        <f t="shared" ref="D236:D239" si="193">E236+F236</f>
      </c>
      <c r="E236" s="670">
        <v>1006.95</v>
      </c>
      <c r="F236" s="670">
        <v>1670.91</v>
      </c>
      <c r="G236" s="671">
        <v>8</v>
      </c>
      <c r="H236" s="670">
        <v>1720.3199999999997</v>
      </c>
      <c r="I236" s="672">
        <f t="shared" si="138"/>
      </c>
      <c r="J236" s="672">
        <f t="shared" si="107"/>
      </c>
      <c r="K236" s="673">
        <f t="shared" si="76"/>
      </c>
      <c r="L236" s="674">
        <f t="shared" si="45"/>
      </c>
      <c r="M236" s="675">
        <f t="shared" si="14"/>
      </c>
      <c r="N236" s="676">
        <f t="shared" si="262"/>
      </c>
      <c r="O236" s="677" t="s">
        <v>809</v>
      </c>
      <c r="P236" s="710" t="s">
        <v>810</v>
      </c>
      <c r="Q236" s="717">
        <v>29516</v>
      </c>
      <c r="R236" s="717">
        <v>2007</v>
      </c>
      <c r="S236" s="717">
        <v>9</v>
      </c>
      <c r="T236" s="717">
        <v>39</v>
      </c>
    </row>
    <row r="237">
      <c r="A237" s="708"/>
      <c r="B237" s="718" t="s">
        <v>815</v>
      </c>
      <c r="C237" s="670" t="s">
        <v>817</v>
      </c>
      <c r="D237" s="670">
        <f t="shared" si="193"/>
      </c>
      <c r="E237" s="670">
        <v>800.11</v>
      </c>
      <c r="F237" s="698">
        <v>643.07</v>
      </c>
      <c r="G237" s="671">
        <v>3</v>
      </c>
      <c r="H237" s="670">
        <v>1550.8999999999996</v>
      </c>
      <c r="I237" s="672">
        <f t="shared" si="138"/>
      </c>
      <c r="J237" s="672">
        <f t="shared" si="107"/>
      </c>
      <c r="K237" s="673">
        <f t="shared" si="76"/>
      </c>
      <c r="L237" s="674">
        <f t="shared" si="45"/>
      </c>
      <c r="M237" s="675">
        <f t="shared" si="14"/>
      </c>
      <c r="N237" s="676">
        <f t="shared" si="262"/>
      </c>
      <c r="O237" s="677" t="s">
        <v>809</v>
      </c>
      <c r="P237" s="710" t="s">
        <v>810</v>
      </c>
      <c r="Q237" s="697">
        <v>16055</v>
      </c>
      <c r="R237" s="697">
        <v>1384</v>
      </c>
      <c r="S237" s="717">
        <v>10</v>
      </c>
      <c r="T237" s="717">
        <v>40</v>
      </c>
    </row>
    <row r="238">
      <c r="A238" s="708"/>
      <c r="B238" s="718" t="s">
        <v>815</v>
      </c>
      <c r="C238" s="670" t="s">
        <v>818</v>
      </c>
      <c r="D238" s="670">
        <f t="shared" si="193"/>
      </c>
      <c r="E238" s="698">
        <v>1237.29</v>
      </c>
      <c r="F238" s="670">
        <v>552.1</v>
      </c>
      <c r="G238" s="709">
        <v>6</v>
      </c>
      <c r="H238" s="698">
        <v>2568.510000000002</v>
      </c>
      <c r="I238" s="672">
        <f t="shared" si="138"/>
      </c>
      <c r="J238" s="672">
        <f t="shared" si="107"/>
      </c>
      <c r="K238" s="673">
        <f t="shared" si="76"/>
      </c>
      <c r="L238" s="674">
        <f t="shared" si="45"/>
      </c>
      <c r="M238" s="675">
        <f t="shared" si="14"/>
      </c>
      <c r="N238" s="676">
        <f t="shared" si="262"/>
      </c>
      <c r="O238" s="677" t="s">
        <v>809</v>
      </c>
      <c r="P238" s="710" t="s">
        <v>810</v>
      </c>
      <c r="Q238" s="717">
        <v>19194</v>
      </c>
      <c r="R238" s="697">
        <v>2061</v>
      </c>
      <c r="S238" s="717">
        <v>7</v>
      </c>
      <c r="T238" s="717">
        <v>39</v>
      </c>
    </row>
    <row r="239">
      <c r="A239" s="708"/>
      <c r="B239" s="718" t="s">
        <v>815</v>
      </c>
      <c r="C239" s="670" t="s">
        <v>819</v>
      </c>
      <c r="D239" s="670">
        <f t="shared" si="193"/>
      </c>
      <c r="E239" s="670">
        <v>1035.61</v>
      </c>
      <c r="F239" s="670">
        <v>599.14</v>
      </c>
      <c r="G239" s="709">
        <v>1</v>
      </c>
      <c r="H239" s="670">
        <v>677.76</v>
      </c>
      <c r="I239" s="672">
        <f t="shared" si="138"/>
      </c>
      <c r="J239" s="672">
        <f t="shared" si="107"/>
      </c>
      <c r="K239" s="673">
        <f t="shared" si="76"/>
      </c>
      <c r="L239" s="674">
        <f t="shared" si="45"/>
      </c>
      <c r="M239" s="675">
        <f t="shared" si="14"/>
      </c>
      <c r="N239" s="676">
        <f t="shared" si="262"/>
      </c>
      <c r="O239" s="677" t="s">
        <v>809</v>
      </c>
      <c r="P239" s="710" t="s">
        <v>810</v>
      </c>
      <c r="Q239" s="697">
        <v>15052</v>
      </c>
      <c r="R239" s="697">
        <v>1871</v>
      </c>
      <c r="S239" s="717">
        <v>5</v>
      </c>
      <c r="T239" s="717">
        <v>52</v>
      </c>
    </row>
    <row r="240">
      <c r="A240" s="708"/>
      <c r="B240" s="684" t="s">
        <v>814</v>
      </c>
      <c r="C240" s="684"/>
      <c r="D240" s="685">
        <f>SUM(D236:D239)</f>
      </c>
      <c r="E240" s="685">
        <f>SUM(E236:E239)</f>
      </c>
      <c r="F240" s="685">
        <f>SUM(F236:F239)</f>
      </c>
      <c r="G240" s="687">
        <f>SUM(G236:G239)</f>
      </c>
      <c r="H240" s="685">
        <f>SUM(H236:H239)</f>
      </c>
      <c r="I240" s="699">
        <f t="shared" si="138"/>
      </c>
      <c r="J240" s="689">
        <f t="shared" si="107"/>
      </c>
      <c r="K240" s="690">
        <f t="shared" si="76"/>
      </c>
      <c r="L240" s="691">
        <f t="shared" si="45"/>
      </c>
      <c r="M240" s="691">
        <f t="shared" si="14"/>
      </c>
      <c r="N240" s="692">
        <f t="shared" si="262"/>
      </c>
      <c r="O240" s="692"/>
      <c r="P240" s="692"/>
      <c r="Q240" s="687">
        <f>SUM(Q236:Q239)</f>
      </c>
      <c r="R240" s="687">
        <f>SUM(R236:R239)</f>
      </c>
      <c r="S240" s="687">
        <f>SUM(S236:S239)</f>
      </c>
      <c r="T240" s="687">
        <f>SUM(T236:T239)</f>
      </c>
    </row>
    <row r="241">
      <c r="A241" s="708"/>
      <c r="B241" s="718" t="s">
        <v>841</v>
      </c>
      <c r="C241" s="670" t="s">
        <v>830</v>
      </c>
      <c r="D241" s="670">
        <f t="shared" ref="D241:D243" si="194">E241+F241</f>
      </c>
      <c r="E241" s="670">
        <v>1484.8</v>
      </c>
      <c r="F241" s="670">
        <v>284.08</v>
      </c>
      <c r="G241" s="671">
        <v>4</v>
      </c>
      <c r="H241" s="670">
        <v>2671.9199999999946</v>
      </c>
      <c r="I241" s="672">
        <f t="shared" si="138"/>
      </c>
      <c r="J241" s="672">
        <f t="shared" si="107"/>
      </c>
      <c r="K241" s="673">
        <f t="shared" si="76"/>
      </c>
      <c r="L241" s="674">
        <f t="shared" si="45"/>
      </c>
      <c r="M241" s="675">
        <f t="shared" si="14"/>
      </c>
      <c r="N241" s="676">
        <f t="shared" si="262"/>
      </c>
      <c r="O241" s="677" t="s">
        <v>809</v>
      </c>
      <c r="P241" s="710" t="s">
        <v>810</v>
      </c>
      <c r="Q241" s="697">
        <v>15544</v>
      </c>
      <c r="R241" s="717">
        <v>2159</v>
      </c>
      <c r="S241" s="717">
        <v>9</v>
      </c>
      <c r="T241" s="717">
        <v>36</v>
      </c>
    </row>
    <row r="242">
      <c r="A242" s="708"/>
      <c r="B242" s="718" t="s">
        <v>841</v>
      </c>
      <c r="C242" s="698" t="s">
        <v>831</v>
      </c>
      <c r="D242" s="670">
        <f t="shared" si="194"/>
      </c>
      <c r="E242" s="670">
        <v>1600.25</v>
      </c>
      <c r="F242" s="698">
        <v>359.11</v>
      </c>
      <c r="G242" s="671">
        <v>8</v>
      </c>
      <c r="H242" s="670">
        <v>3123.480000000003</v>
      </c>
      <c r="I242" s="672">
        <f t="shared" si="138"/>
      </c>
      <c r="J242" s="672">
        <f t="shared" si="107"/>
      </c>
      <c r="K242" s="673">
        <f t="shared" si="76"/>
      </c>
      <c r="L242" s="674">
        <f t="shared" si="45"/>
      </c>
      <c r="M242" s="675">
        <f t="shared" si="14"/>
      </c>
      <c r="N242" s="676">
        <f t="shared" si="262"/>
      </c>
      <c r="O242" s="677" t="s">
        <v>809</v>
      </c>
      <c r="P242" s="710" t="s">
        <v>810</v>
      </c>
      <c r="Q242" s="697">
        <v>19323</v>
      </c>
      <c r="R242" s="697">
        <v>2261</v>
      </c>
      <c r="S242" s="717">
        <v>12</v>
      </c>
      <c r="T242" s="717">
        <v>46</v>
      </c>
    </row>
    <row r="243">
      <c r="A243" s="708"/>
      <c r="B243" s="718" t="s">
        <v>841</v>
      </c>
      <c r="C243" s="698" t="s">
        <v>832</v>
      </c>
      <c r="D243" s="670">
        <f t="shared" si="194"/>
      </c>
      <c r="E243" s="698">
        <v>811.32</v>
      </c>
      <c r="F243" s="670">
        <v>649.9</v>
      </c>
      <c r="G243" s="709">
        <v>7</v>
      </c>
      <c r="H243" s="698">
        <v>4180.799999999999</v>
      </c>
      <c r="I243" s="672">
        <f t="shared" si="138"/>
      </c>
      <c r="J243" s="672">
        <f t="shared" si="107"/>
      </c>
      <c r="K243" s="673">
        <f t="shared" si="76"/>
      </c>
      <c r="L243" s="674">
        <f t="shared" si="45"/>
      </c>
      <c r="M243" s="675">
        <f t="shared" si="14"/>
      </c>
      <c r="N243" s="676">
        <f t="shared" si="262"/>
      </c>
      <c r="O243" s="677" t="s">
        <v>809</v>
      </c>
      <c r="P243" s="710" t="s">
        <v>810</v>
      </c>
      <c r="Q243" s="717">
        <v>20635</v>
      </c>
      <c r="R243" s="697">
        <v>1564</v>
      </c>
      <c r="S243" s="717">
        <v>10</v>
      </c>
      <c r="T243" s="717">
        <v>27</v>
      </c>
    </row>
    <row r="244">
      <c r="A244" s="708"/>
      <c r="B244" s="684" t="s">
        <v>814</v>
      </c>
      <c r="C244" s="684"/>
      <c r="D244" s="685">
        <f>SUM(D241:D243)</f>
      </c>
      <c r="E244" s="685">
        <f>SUM(E241:E243)</f>
      </c>
      <c r="F244" s="685">
        <f>SUM(F241:F243)</f>
      </c>
      <c r="G244" s="687">
        <f>SUM(G241:G243)</f>
      </c>
      <c r="H244" s="685">
        <f>SUM(H241:H243)</f>
      </c>
      <c r="I244" s="699">
        <f t="shared" si="138"/>
      </c>
      <c r="J244" s="689">
        <f t="shared" si="107"/>
      </c>
      <c r="K244" s="690">
        <f t="shared" si="76"/>
      </c>
      <c r="L244" s="691">
        <f t="shared" si="45"/>
      </c>
      <c r="M244" s="691">
        <f t="shared" si="14"/>
      </c>
      <c r="N244" s="692">
        <f t="shared" si="262"/>
      </c>
      <c r="O244" s="692"/>
      <c r="P244" s="692"/>
      <c r="Q244" s="687">
        <f>SUM(Q241:Q243)</f>
      </c>
      <c r="R244" s="687">
        <f>SUM(R241:R243)</f>
      </c>
      <c r="S244" s="687">
        <f>SUM(S241:S243)</f>
      </c>
      <c r="T244" s="687">
        <f>SUM(T241:T243)</f>
      </c>
    </row>
    <row r="245">
      <c r="A245" s="708"/>
      <c r="B245" s="700" t="s">
        <v>825</v>
      </c>
      <c r="C245" s="700"/>
      <c r="D245" s="701">
        <f>D235+D240+D244</f>
      </c>
      <c r="E245" s="701">
        <f>E235+E240+E244</f>
      </c>
      <c r="F245" s="701">
        <f>F235+F240+F244</f>
      </c>
      <c r="G245" s="702">
        <f>G235+G240+G244</f>
      </c>
      <c r="H245" s="701">
        <f>H235+H240+H244</f>
      </c>
      <c r="I245" s="703">
        <f t="shared" si="138"/>
      </c>
      <c r="J245" s="703">
        <f t="shared" si="107"/>
      </c>
      <c r="K245" s="704">
        <f t="shared" si="76"/>
      </c>
      <c r="L245" s="705">
        <f t="shared" si="45"/>
      </c>
      <c r="M245" s="705">
        <f t="shared" si="14"/>
      </c>
      <c r="N245" s="703">
        <f t="shared" si="262"/>
      </c>
      <c r="O245" s="706"/>
      <c r="P245" s="706"/>
      <c r="Q245" s="702">
        <f>Q235+Q240+Q244</f>
      </c>
      <c r="R245" s="702">
        <f>R235+R240+R244</f>
      </c>
      <c r="S245" s="702">
        <f>S235+S240+S244</f>
      </c>
      <c r="T245" s="702">
        <f>T235+T240+T244</f>
      </c>
    </row>
    <row r="246">
      <c r="A246" s="655" t="s">
        <v>782</v>
      </c>
      <c r="B246" s="655"/>
      <c r="C246" s="655"/>
      <c r="D246" s="656" t="s">
        <v>783</v>
      </c>
      <c r="E246" s="656"/>
      <c r="F246" s="656"/>
      <c r="G246" s="656"/>
      <c r="H246" s="656"/>
      <c r="I246" s="656"/>
      <c r="J246" s="656"/>
      <c r="K246" s="656"/>
      <c r="L246" s="666" t="s">
        <v>784</v>
      </c>
      <c r="M246" s="666"/>
      <c r="N246" s="666"/>
      <c r="O246" s="666"/>
      <c r="P246" s="666"/>
      <c r="Q246" s="737" t="s">
        <v>785</v>
      </c>
      <c r="R246" s="737"/>
      <c r="S246" s="737"/>
      <c r="T246" s="737"/>
    </row>
    <row r="247">
      <c r="A247" s="660" t="s">
        <v>786</v>
      </c>
      <c r="B247" s="720" t="s">
        <v>787</v>
      </c>
      <c r="C247" s="743" t="s">
        <v>788</v>
      </c>
      <c r="D247" s="722" t="s">
        <v>789</v>
      </c>
      <c r="E247" s="721" t="s">
        <v>790</v>
      </c>
      <c r="F247" s="722" t="s">
        <v>791</v>
      </c>
      <c r="G247" s="662" t="s">
        <v>792</v>
      </c>
      <c r="H247" s="661" t="s">
        <v>793</v>
      </c>
      <c r="I247" s="663" t="s">
        <v>794</v>
      </c>
      <c r="J247" s="664" t="s">
        <v>795</v>
      </c>
      <c r="K247" s="665" t="s">
        <v>796</v>
      </c>
      <c r="L247" s="666" t="s">
        <v>797</v>
      </c>
      <c r="M247" s="666" t="s">
        <v>798</v>
      </c>
      <c r="N247" s="666" t="s">
        <v>799</v>
      </c>
      <c r="O247" s="723" t="s">
        <v>800</v>
      </c>
      <c r="P247" s="738" t="s">
        <v>801</v>
      </c>
      <c r="Q247" s="667" t="s">
        <v>802</v>
      </c>
      <c r="R247" s="667" t="s">
        <v>803</v>
      </c>
      <c r="S247" s="740" t="s">
        <v>804</v>
      </c>
      <c r="T247" s="667" t="s">
        <v>805</v>
      </c>
    </row>
    <row r="248">
      <c r="A248" s="708" t="s">
        <v>849</v>
      </c>
      <c r="B248" s="718" t="s">
        <v>815</v>
      </c>
      <c r="C248" s="724" t="s">
        <v>808</v>
      </c>
      <c r="D248" s="746">
        <f t="shared" ref="D248:D251" si="195">E248+F248</f>
      </c>
      <c r="E248" s="724">
        <v>1259.54</v>
      </c>
      <c r="F248" s="724">
        <v>1305.73</v>
      </c>
      <c r="G248" s="725">
        <v>8</v>
      </c>
      <c r="H248" s="670">
        <v>3994.8</v>
      </c>
      <c r="I248" s="672">
        <f t="shared" ref="I248:I263" si="139">H248/D248</f>
      </c>
      <c r="J248" s="672">
        <f t="shared" ref="J248:J263" si="108">D248/G248</f>
      </c>
      <c r="K248" s="673">
        <f t="shared" ref="K248:K263" si="77">H248/G248</f>
      </c>
      <c r="L248" s="674">
        <f t="shared" ref="L248:L263" si="46">R248/Q248</f>
      </c>
      <c r="M248" s="675">
        <f t="shared" ref="M248:M263" si="15">G248/S248</f>
      </c>
      <c r="N248" s="676">
        <f t="shared" ref="N248:N263" si="263">(T248*1000)/D248</f>
      </c>
      <c r="O248" s="677" t="s">
        <v>809</v>
      </c>
      <c r="P248" s="678" t="s">
        <v>827</v>
      </c>
      <c r="Q248" s="741">
        <v>32405</v>
      </c>
      <c r="R248" s="741">
        <v>3066</v>
      </c>
      <c r="S248" s="711">
        <v>9</v>
      </c>
      <c r="T248" s="711">
        <v>57</v>
      </c>
    </row>
    <row r="249">
      <c r="A249" s="708"/>
      <c r="B249" s="718" t="s">
        <v>815</v>
      </c>
      <c r="C249" s="696" t="s">
        <v>811</v>
      </c>
      <c r="D249" s="696">
        <f t="shared" si="195"/>
      </c>
      <c r="E249" s="742">
        <v>1510.12</v>
      </c>
      <c r="F249" s="696">
        <v>1429.55</v>
      </c>
      <c r="G249" s="709">
        <v>16</v>
      </c>
      <c r="H249" s="698">
        <v>7879.509999999999</v>
      </c>
      <c r="I249" s="672">
        <f t="shared" si="139"/>
      </c>
      <c r="J249" s="672">
        <f t="shared" si="108"/>
      </c>
      <c r="K249" s="673">
        <f t="shared" si="77"/>
      </c>
      <c r="L249" s="674">
        <f t="shared" si="46"/>
      </c>
      <c r="M249" s="675">
        <f t="shared" si="15"/>
      </c>
      <c r="N249" s="676">
        <f t="shared" si="263"/>
      </c>
      <c r="O249" s="677" t="s">
        <v>809</v>
      </c>
      <c r="P249" s="678" t="s">
        <v>827</v>
      </c>
      <c r="Q249" s="679">
        <v>42345</v>
      </c>
      <c r="R249" s="679">
        <v>3366</v>
      </c>
      <c r="S249" s="711">
        <v>24</v>
      </c>
      <c r="T249" s="711">
        <v>60</v>
      </c>
    </row>
    <row r="250">
      <c r="A250" s="708"/>
      <c r="B250" s="718" t="s">
        <v>815</v>
      </c>
      <c r="C250" s="670" t="s">
        <v>812</v>
      </c>
      <c r="D250" s="670">
        <f t="shared" si="195"/>
      </c>
      <c r="E250" s="728">
        <v>1550.19</v>
      </c>
      <c r="F250" s="698">
        <v>1611.13</v>
      </c>
      <c r="G250" s="680">
        <v>15</v>
      </c>
      <c r="H250" s="681">
        <v>12679.13</v>
      </c>
      <c r="I250" s="672">
        <f t="shared" si="139"/>
      </c>
      <c r="J250" s="672">
        <f t="shared" si="108"/>
      </c>
      <c r="K250" s="673">
        <f t="shared" si="77"/>
      </c>
      <c r="L250" s="674">
        <f t="shared" si="46"/>
      </c>
      <c r="M250" s="675">
        <f t="shared" si="15"/>
      </c>
      <c r="N250" s="676">
        <f t="shared" si="263"/>
      </c>
      <c r="O250" s="677" t="s">
        <v>809</v>
      </c>
      <c r="P250" s="678" t="s">
        <v>827</v>
      </c>
      <c r="Q250" s="711">
        <v>45047</v>
      </c>
      <c r="R250" s="711">
        <v>3164</v>
      </c>
      <c r="S250" s="711">
        <v>19</v>
      </c>
      <c r="T250" s="711">
        <v>63</v>
      </c>
    </row>
    <row r="251">
      <c r="A251" s="708"/>
      <c r="B251" s="718" t="s">
        <v>815</v>
      </c>
      <c r="C251" s="670" t="s">
        <v>813</v>
      </c>
      <c r="D251" s="670">
        <f t="shared" si="195"/>
      </c>
      <c r="E251" s="728">
        <v>2230.95</v>
      </c>
      <c r="F251" s="670">
        <v>1518.41</v>
      </c>
      <c r="G251" s="680">
        <v>10</v>
      </c>
      <c r="H251" s="681">
        <v>3538.5600000000013</v>
      </c>
      <c r="I251" s="672">
        <f t="shared" si="139"/>
      </c>
      <c r="J251" s="672">
        <f t="shared" si="108"/>
      </c>
      <c r="K251" s="673">
        <f t="shared" si="77"/>
      </c>
      <c r="L251" s="674">
        <f t="shared" si="46"/>
      </c>
      <c r="M251" s="675">
        <f t="shared" si="15"/>
      </c>
      <c r="N251" s="676">
        <f t="shared" si="263"/>
      </c>
      <c r="O251" s="677" t="s">
        <v>809</v>
      </c>
      <c r="P251" s="678" t="s">
        <v>827</v>
      </c>
      <c r="Q251" s="679">
        <v>41799</v>
      </c>
      <c r="R251" s="679">
        <v>3886</v>
      </c>
      <c r="S251" s="711">
        <v>18</v>
      </c>
      <c r="T251" s="711">
        <v>68</v>
      </c>
    </row>
    <row r="252">
      <c r="A252" s="708"/>
      <c r="B252" s="730" t="s">
        <v>814</v>
      </c>
      <c r="C252" s="730"/>
      <c r="D252" s="685">
        <f>SUM(D248:D251)</f>
      </c>
      <c r="E252" s="685">
        <f>SUM(E248:E251)</f>
      </c>
      <c r="F252" s="685">
        <f>SUM(F248:F251)</f>
      </c>
      <c r="G252" s="687">
        <f>SUM(G248:G251)</f>
      </c>
      <c r="H252" s="685">
        <f>SUM(H248:H251)</f>
      </c>
      <c r="I252" s="688">
        <f t="shared" si="139"/>
      </c>
      <c r="J252" s="689">
        <f t="shared" si="108"/>
      </c>
      <c r="K252" s="690">
        <f t="shared" si="77"/>
      </c>
      <c r="L252" s="691">
        <f t="shared" si="46"/>
      </c>
      <c r="M252" s="691">
        <f t="shared" si="15"/>
      </c>
      <c r="N252" s="692">
        <f t="shared" si="263"/>
      </c>
      <c r="O252" s="692"/>
      <c r="P252" s="692"/>
      <c r="Q252" s="687">
        <f>SUM(Q248:Q251)</f>
      </c>
      <c r="R252" s="687">
        <f>SUM(R248:R251)</f>
      </c>
      <c r="S252" s="687">
        <f>SUM(S248:S251)</f>
      </c>
      <c r="T252" s="687">
        <f>SUM(T248:T251)</f>
      </c>
    </row>
    <row r="253">
      <c r="A253" s="708"/>
      <c r="B253" s="694" t="s">
        <v>807</v>
      </c>
      <c r="C253" s="698" t="s">
        <v>816</v>
      </c>
      <c r="D253" s="670">
        <f t="shared" ref="D253:D256" si="196">E253+F253</f>
      </c>
      <c r="E253" s="670">
        <v>1029.56</v>
      </c>
      <c r="F253" s="670">
        <v>1477.84</v>
      </c>
      <c r="G253" s="671">
        <v>8</v>
      </c>
      <c r="H253" s="670">
        <v>3994.7999999999993</v>
      </c>
      <c r="I253" s="672">
        <f t="shared" si="139"/>
      </c>
      <c r="J253" s="672">
        <f t="shared" si="108"/>
      </c>
      <c r="K253" s="673">
        <f t="shared" si="77"/>
      </c>
      <c r="L253" s="674">
        <f t="shared" si="46"/>
      </c>
      <c r="M253" s="675">
        <f t="shared" si="15"/>
      </c>
      <c r="N253" s="676">
        <f t="shared" si="263"/>
      </c>
      <c r="O253" s="677" t="s">
        <v>809</v>
      </c>
      <c r="P253" s="678" t="s">
        <v>827</v>
      </c>
      <c r="Q253" s="717">
        <v>29869</v>
      </c>
      <c r="R253" s="717">
        <v>2225</v>
      </c>
      <c r="S253" s="717">
        <v>11</v>
      </c>
      <c r="T253" s="717">
        <v>47</v>
      </c>
    </row>
    <row r="254">
      <c r="A254" s="708"/>
      <c r="B254" s="694" t="s">
        <v>807</v>
      </c>
      <c r="C254" s="670" t="s">
        <v>817</v>
      </c>
      <c r="D254" s="670">
        <f t="shared" si="196"/>
      </c>
      <c r="E254" s="670">
        <v>1138.59</v>
      </c>
      <c r="F254" s="698">
        <v>1793.73</v>
      </c>
      <c r="G254" s="671">
        <v>7</v>
      </c>
      <c r="H254" s="670">
        <v>2430.7199999999975</v>
      </c>
      <c r="I254" s="672">
        <f t="shared" si="139"/>
      </c>
      <c r="J254" s="672">
        <f t="shared" si="108"/>
      </c>
      <c r="K254" s="673">
        <f t="shared" si="77"/>
      </c>
      <c r="L254" s="674">
        <f t="shared" si="46"/>
      </c>
      <c r="M254" s="675">
        <f t="shared" si="15"/>
      </c>
      <c r="N254" s="676">
        <f t="shared" si="263"/>
      </c>
      <c r="O254" s="677" t="s">
        <v>809</v>
      </c>
      <c r="P254" s="678" t="s">
        <v>827</v>
      </c>
      <c r="Q254" s="697">
        <v>28934</v>
      </c>
      <c r="R254" s="697">
        <v>2238</v>
      </c>
      <c r="S254" s="717">
        <v>16</v>
      </c>
      <c r="T254" s="717">
        <v>41</v>
      </c>
    </row>
    <row r="255">
      <c r="A255" s="708"/>
      <c r="B255" s="694" t="s">
        <v>807</v>
      </c>
      <c r="C255" s="670" t="s">
        <v>818</v>
      </c>
      <c r="D255" s="670">
        <f t="shared" si="196"/>
      </c>
      <c r="E255" s="698">
        <v>1320.68</v>
      </c>
      <c r="F255" s="670">
        <v>1453.73</v>
      </c>
      <c r="G255" s="709">
        <v>6</v>
      </c>
      <c r="H255" s="698">
        <v>2678.4000000000015</v>
      </c>
      <c r="I255" s="672">
        <f t="shared" si="139"/>
      </c>
      <c r="J255" s="672">
        <f t="shared" si="108"/>
      </c>
      <c r="K255" s="673">
        <f t="shared" si="77"/>
      </c>
      <c r="L255" s="674">
        <f t="shared" si="46"/>
      </c>
      <c r="M255" s="675">
        <f t="shared" si="15"/>
      </c>
      <c r="N255" s="676">
        <f t="shared" si="263"/>
      </c>
      <c r="O255" s="677" t="s">
        <v>809</v>
      </c>
      <c r="P255" s="678" t="s">
        <v>827</v>
      </c>
      <c r="Q255" s="717">
        <v>28809</v>
      </c>
      <c r="R255" s="697">
        <v>2536</v>
      </c>
      <c r="S255" s="717">
        <v>13</v>
      </c>
      <c r="T255" s="717">
        <v>56</v>
      </c>
    </row>
    <row r="256">
      <c r="A256" s="708"/>
      <c r="B256" s="694" t="s">
        <v>807</v>
      </c>
      <c r="C256" s="670" t="s">
        <v>819</v>
      </c>
      <c r="D256" s="670">
        <f t="shared" si="196"/>
      </c>
      <c r="E256" s="670">
        <v>1316.17</v>
      </c>
      <c r="F256" s="670">
        <v>827.98</v>
      </c>
      <c r="G256" s="709">
        <v>9</v>
      </c>
      <c r="H256" s="670">
        <v>6957.380000000005</v>
      </c>
      <c r="I256" s="672">
        <f t="shared" si="139"/>
      </c>
      <c r="J256" s="672">
        <f t="shared" si="108"/>
      </c>
      <c r="K256" s="673">
        <f t="shared" si="77"/>
      </c>
      <c r="L256" s="674">
        <f t="shared" si="46"/>
      </c>
      <c r="M256" s="675">
        <f t="shared" si="15"/>
      </c>
      <c r="N256" s="676">
        <f t="shared" si="263"/>
      </c>
      <c r="O256" s="677" t="s">
        <v>809</v>
      </c>
      <c r="P256" s="678" t="s">
        <v>827</v>
      </c>
      <c r="Q256" s="697">
        <v>22441</v>
      </c>
      <c r="R256" s="697">
        <v>1945</v>
      </c>
      <c r="S256" s="717">
        <v>12</v>
      </c>
      <c r="T256" s="717">
        <v>47</v>
      </c>
    </row>
    <row r="257">
      <c r="A257" s="708"/>
      <c r="B257" s="684" t="s">
        <v>814</v>
      </c>
      <c r="C257" s="684"/>
      <c r="D257" s="685">
        <f>SUM(D253:D256)</f>
      </c>
      <c r="E257" s="685">
        <f>SUM(E253:E256)</f>
      </c>
      <c r="F257" s="685">
        <f>SUM(F253:F256)</f>
      </c>
      <c r="G257" s="687">
        <f>SUM(G253:G256)</f>
      </c>
      <c r="H257" s="685">
        <f>SUM(H253:H256)</f>
      </c>
      <c r="I257" s="699">
        <f t="shared" si="139"/>
      </c>
      <c r="J257" s="689">
        <f t="shared" si="108"/>
      </c>
      <c r="K257" s="690">
        <f t="shared" si="77"/>
      </c>
      <c r="L257" s="691">
        <f t="shared" si="46"/>
      </c>
      <c r="M257" s="691">
        <f t="shared" si="15"/>
      </c>
      <c r="N257" s="692">
        <f t="shared" si="263"/>
      </c>
      <c r="O257" s="692"/>
      <c r="P257" s="692"/>
      <c r="Q257" s="687">
        <f>SUM(Q253:Q256)</f>
      </c>
      <c r="R257" s="687">
        <f>SUM(R253:R256)</f>
      </c>
      <c r="S257" s="687">
        <f>SUM(S253:S256)</f>
      </c>
      <c r="T257" s="687">
        <f>SUM(T253:T256)</f>
      </c>
    </row>
    <row r="258">
      <c r="A258" s="708"/>
      <c r="B258" s="718" t="s">
        <v>841</v>
      </c>
      <c r="C258" s="670" t="s">
        <v>830</v>
      </c>
      <c r="D258" s="670">
        <f t="shared" ref="D258:D261" si="197">E258+F258</f>
      </c>
      <c r="E258" s="670">
        <v>1029.07</v>
      </c>
      <c r="F258" s="670">
        <v>791.5</v>
      </c>
      <c r="G258" s="671">
        <v>8</v>
      </c>
      <c r="H258" s="670">
        <v>3994.7999999999956</v>
      </c>
      <c r="I258" s="672">
        <f t="shared" si="139"/>
      </c>
      <c r="J258" s="672">
        <f t="shared" si="108"/>
      </c>
      <c r="K258" s="673">
        <f t="shared" si="77"/>
      </c>
      <c r="L258" s="674">
        <f t="shared" si="46"/>
      </c>
      <c r="M258" s="675">
        <f t="shared" si="15"/>
      </c>
      <c r="N258" s="676">
        <f t="shared" si="263"/>
      </c>
      <c r="O258" s="677" t="s">
        <v>809</v>
      </c>
      <c r="P258" s="678" t="s">
        <v>827</v>
      </c>
      <c r="Q258" s="697">
        <v>19220</v>
      </c>
      <c r="R258" s="717">
        <v>1671</v>
      </c>
      <c r="S258" s="717">
        <v>15</v>
      </c>
      <c r="T258" s="717">
        <v>42</v>
      </c>
    </row>
    <row r="259">
      <c r="A259" s="708"/>
      <c r="B259" s="718" t="s">
        <v>841</v>
      </c>
      <c r="C259" s="698" t="s">
        <v>831</v>
      </c>
      <c r="D259" s="670">
        <f t="shared" si="197"/>
      </c>
      <c r="E259" s="670">
        <v>1228.89</v>
      </c>
      <c r="F259" s="698">
        <v>981.62</v>
      </c>
      <c r="G259" s="671">
        <v>10</v>
      </c>
      <c r="H259" s="670">
        <v>3996.6200000000026</v>
      </c>
      <c r="I259" s="672">
        <f t="shared" si="139"/>
      </c>
      <c r="J259" s="672">
        <f t="shared" si="108"/>
      </c>
      <c r="K259" s="673">
        <f t="shared" si="77"/>
      </c>
      <c r="L259" s="674">
        <f t="shared" si="46"/>
      </c>
      <c r="M259" s="675">
        <f t="shared" si="15"/>
      </c>
      <c r="N259" s="676">
        <f t="shared" si="263"/>
      </c>
      <c r="O259" s="677" t="s">
        <v>809</v>
      </c>
      <c r="P259" s="710" t="s">
        <v>810</v>
      </c>
      <c r="Q259" s="697">
        <v>25783</v>
      </c>
      <c r="R259" s="697">
        <v>2119</v>
      </c>
      <c r="S259" s="717">
        <v>12</v>
      </c>
      <c r="T259" s="717">
        <v>65</v>
      </c>
    </row>
    <row customHeight="true" ht="16.666666666666668" r="260">
      <c r="A260" s="708"/>
      <c r="B260" s="718" t="s">
        <v>841</v>
      </c>
      <c r="C260" s="698" t="s">
        <v>832</v>
      </c>
      <c r="D260" s="670">
        <f t="shared" si="197"/>
      </c>
      <c r="E260" s="698">
        <v>1642.38</v>
      </c>
      <c r="F260" s="670">
        <v>1407.88</v>
      </c>
      <c r="G260" s="709">
        <v>15</v>
      </c>
      <c r="H260" s="698">
        <v>6918.040000000001</v>
      </c>
      <c r="I260" s="672">
        <f t="shared" si="139"/>
      </c>
      <c r="J260" s="672">
        <f t="shared" si="108"/>
      </c>
      <c r="K260" s="673">
        <f t="shared" si="77"/>
      </c>
      <c r="L260" s="674">
        <f t="shared" si="46"/>
      </c>
      <c r="M260" s="675">
        <f t="shared" si="15"/>
      </c>
      <c r="N260" s="676">
        <f t="shared" si="263"/>
      </c>
      <c r="O260" s="677" t="s">
        <v>809</v>
      </c>
      <c r="P260" s="710" t="s">
        <v>810</v>
      </c>
      <c r="Q260" s="697">
        <v>42056</v>
      </c>
      <c r="R260" s="697">
        <v>3171</v>
      </c>
      <c r="S260" s="717">
        <v>20</v>
      </c>
      <c r="T260" s="717">
        <v>61</v>
      </c>
    </row>
    <row r="261">
      <c r="A261" s="708"/>
      <c r="B261" s="718" t="s">
        <v>841</v>
      </c>
      <c r="C261" s="698" t="s">
        <v>833</v>
      </c>
      <c r="D261" s="670">
        <f t="shared" si="197"/>
      </c>
      <c r="E261" s="698">
        <v>1233.18</v>
      </c>
      <c r="F261" s="698">
        <v>1907.1399999999999</v>
      </c>
      <c r="G261" s="709">
        <v>12</v>
      </c>
      <c r="H261" s="698">
        <v>7474.709999999999</v>
      </c>
      <c r="I261" s="672">
        <f t="shared" si="139"/>
      </c>
      <c r="J261" s="672">
        <f t="shared" si="108"/>
      </c>
      <c r="K261" s="673">
        <f t="shared" si="77"/>
      </c>
      <c r="L261" s="674">
        <f t="shared" si="46"/>
      </c>
      <c r="M261" s="675">
        <f t="shared" si="15"/>
      </c>
      <c r="N261" s="676">
        <f t="shared" si="263"/>
      </c>
      <c r="O261" s="677" t="s">
        <v>809</v>
      </c>
      <c r="P261" s="710" t="s">
        <v>810</v>
      </c>
      <c r="Q261" s="717">
        <v>41030</v>
      </c>
      <c r="R261" s="697">
        <v>3109</v>
      </c>
      <c r="S261" s="717">
        <v>12</v>
      </c>
      <c r="T261" s="717">
        <v>61</v>
      </c>
    </row>
    <row r="262">
      <c r="A262" s="708"/>
      <c r="B262" s="684" t="s">
        <v>814</v>
      </c>
      <c r="C262" s="684"/>
      <c r="D262" s="685">
        <f>SUM(D258:D261)</f>
      </c>
      <c r="E262" s="685">
        <f>SUM(E258:E261)</f>
      </c>
      <c r="F262" s="685">
        <f>SUM(F258:F261)</f>
      </c>
      <c r="G262" s="687">
        <f>SUM(G258:G261)</f>
      </c>
      <c r="H262" s="685">
        <f>SUM(H258:H261)</f>
      </c>
      <c r="I262" s="699">
        <f t="shared" si="139"/>
      </c>
      <c r="J262" s="689">
        <f t="shared" si="108"/>
      </c>
      <c r="K262" s="690">
        <f t="shared" si="77"/>
      </c>
      <c r="L262" s="691">
        <f t="shared" si="46"/>
      </c>
      <c r="M262" s="691">
        <f t="shared" si="15"/>
      </c>
      <c r="N262" s="692">
        <f t="shared" si="263"/>
      </c>
      <c r="O262" s="692"/>
      <c r="P262" s="692"/>
      <c r="Q262" s="687">
        <f>SUM(Q258:Q261)</f>
      </c>
      <c r="R262" s="687">
        <f>SUM(R258:R261)</f>
      </c>
      <c r="S262" s="687">
        <f>SUM(S258:S261)</f>
      </c>
      <c r="T262" s="687">
        <f>SUM(T258:T261)</f>
      </c>
    </row>
    <row r="263">
      <c r="A263" s="708"/>
      <c r="B263" s="700" t="s">
        <v>825</v>
      </c>
      <c r="C263" s="700"/>
      <c r="D263" s="701">
        <f>D252+D257+D262</f>
      </c>
      <c r="E263" s="701">
        <f>E252+E257+E262</f>
      </c>
      <c r="F263" s="701">
        <f>F252+F257+F262</f>
      </c>
      <c r="G263" s="702">
        <f>G252+G257+G262</f>
      </c>
      <c r="H263" s="701">
        <f>H252+H257+H262</f>
      </c>
      <c r="I263" s="703">
        <f t="shared" si="139"/>
      </c>
      <c r="J263" s="703">
        <f t="shared" si="108"/>
      </c>
      <c r="K263" s="704">
        <f t="shared" si="77"/>
      </c>
      <c r="L263" s="705">
        <f t="shared" si="46"/>
      </c>
      <c r="M263" s="705">
        <f t="shared" si="15"/>
      </c>
      <c r="N263" s="703">
        <f t="shared" si="263"/>
      </c>
      <c r="O263" s="706"/>
      <c r="P263" s="706"/>
      <c r="Q263" s="702">
        <f>Q252+Q257+Q262</f>
      </c>
      <c r="R263" s="702">
        <f>R252+R257+R262</f>
      </c>
      <c r="S263" s="702">
        <f>S252+S257+S262</f>
      </c>
      <c r="T263" s="702">
        <f>T252+T257+T262</f>
      </c>
    </row>
    <row r="264">
      <c r="A264" s="655" t="s">
        <v>782</v>
      </c>
      <c r="B264" s="655"/>
      <c r="C264" s="655"/>
      <c r="D264" s="656" t="s">
        <v>783</v>
      </c>
      <c r="E264" s="656"/>
      <c r="F264" s="656"/>
      <c r="G264" s="656"/>
      <c r="H264" s="656"/>
      <c r="I264" s="656"/>
      <c r="J264" s="656"/>
      <c r="K264" s="656"/>
      <c r="L264" s="666" t="s">
        <v>784</v>
      </c>
      <c r="M264" s="666"/>
      <c r="N264" s="666"/>
      <c r="O264" s="666"/>
      <c r="P264" s="666"/>
      <c r="Q264" s="737" t="s">
        <v>785</v>
      </c>
      <c r="R264" s="737"/>
      <c r="S264" s="737"/>
      <c r="T264" s="737"/>
    </row>
    <row r="265">
      <c r="A265" s="660" t="s">
        <v>786</v>
      </c>
      <c r="B265" s="720" t="s">
        <v>787</v>
      </c>
      <c r="C265" s="743" t="s">
        <v>788</v>
      </c>
      <c r="D265" s="722" t="s">
        <v>789</v>
      </c>
      <c r="E265" s="721" t="s">
        <v>790</v>
      </c>
      <c r="F265" s="722" t="s">
        <v>791</v>
      </c>
      <c r="G265" s="662" t="s">
        <v>792</v>
      </c>
      <c r="H265" s="661" t="s">
        <v>793</v>
      </c>
      <c r="I265" s="663" t="s">
        <v>794</v>
      </c>
      <c r="J265" s="664" t="s">
        <v>795</v>
      </c>
      <c r="K265" s="665" t="s">
        <v>796</v>
      </c>
      <c r="L265" s="666" t="s">
        <v>797</v>
      </c>
      <c r="M265" s="666" t="s">
        <v>798</v>
      </c>
      <c r="N265" s="666" t="s">
        <v>799</v>
      </c>
      <c r="O265" s="723" t="s">
        <v>800</v>
      </c>
      <c r="P265" s="738" t="s">
        <v>801</v>
      </c>
      <c r="Q265" s="667" t="s">
        <v>802</v>
      </c>
      <c r="R265" s="667" t="s">
        <v>803</v>
      </c>
      <c r="S265" s="740" t="s">
        <v>804</v>
      </c>
      <c r="T265" s="667" t="s">
        <v>805</v>
      </c>
    </row>
    <row r="266">
      <c r="A266" s="708" t="s">
        <v>850</v>
      </c>
      <c r="B266" s="718" t="s">
        <v>815</v>
      </c>
      <c r="C266" s="724" t="s">
        <v>808</v>
      </c>
      <c r="D266" s="746">
        <f t="shared" ref="D266:D270" si="198">E266+F266</f>
      </c>
      <c r="E266" s="724">
        <v>1297.87</v>
      </c>
      <c r="F266" s="724">
        <v>1290.91</v>
      </c>
      <c r="G266" s="725">
        <v>7</v>
      </c>
      <c r="H266" s="670">
        <v>3351.5</v>
      </c>
      <c r="I266" s="672">
        <f t="shared" ref="I266:I281" si="140">H266/D266</f>
      </c>
      <c r="J266" s="672">
        <f t="shared" ref="J266:J281" si="109">D266/G266</f>
      </c>
      <c r="K266" s="673">
        <f t="shared" ref="K266:K281" si="78">H266/G266</f>
      </c>
      <c r="L266" s="674">
        <f t="shared" ref="L266:L281" si="47">R266/Q266</f>
      </c>
      <c r="M266" s="675">
        <f t="shared" ref="M266:M281" si="16">G266/S266</f>
      </c>
      <c r="N266" s="676">
        <f t="shared" ref="N266:N281" si="264">(T266*1000)/D266</f>
      </c>
      <c r="O266" s="677" t="s">
        <v>809</v>
      </c>
      <c r="P266" s="678" t="s">
        <v>827</v>
      </c>
      <c r="Q266" s="741">
        <v>30597</v>
      </c>
      <c r="R266" s="741">
        <v>3181</v>
      </c>
      <c r="S266" s="711">
        <v>13</v>
      </c>
      <c r="T266" s="711">
        <v>60</v>
      </c>
    </row>
    <row r="267">
      <c r="A267" s="708"/>
      <c r="B267" s="718" t="s">
        <v>815</v>
      </c>
      <c r="C267" s="696" t="s">
        <v>811</v>
      </c>
      <c r="D267" s="696">
        <f t="shared" si="198"/>
      </c>
      <c r="E267" s="742">
        <v>1138.3</v>
      </c>
      <c r="F267" s="696">
        <v>1487.03</v>
      </c>
      <c r="G267" s="709">
        <v>12</v>
      </c>
      <c r="H267" s="698">
        <v>7002.09</v>
      </c>
      <c r="I267" s="672">
        <f t="shared" si="140"/>
      </c>
      <c r="J267" s="672">
        <f t="shared" si="109"/>
      </c>
      <c r="K267" s="673">
        <f t="shared" si="78"/>
      </c>
      <c r="L267" s="674">
        <f t="shared" si="47"/>
      </c>
      <c r="M267" s="675">
        <f t="shared" si="16"/>
      </c>
      <c r="N267" s="676">
        <f t="shared" si="264"/>
      </c>
      <c r="O267" s="677" t="s">
        <v>809</v>
      </c>
      <c r="P267" s="678" t="s">
        <v>827</v>
      </c>
      <c r="Q267" s="679">
        <v>25244</v>
      </c>
      <c r="R267" s="679">
        <v>2617</v>
      </c>
      <c r="S267" s="711">
        <v>21</v>
      </c>
      <c r="T267" s="711">
        <v>51</v>
      </c>
    </row>
    <row r="268">
      <c r="A268" s="708"/>
      <c r="B268" s="718" t="s">
        <v>815</v>
      </c>
      <c r="C268" s="670" t="s">
        <v>812</v>
      </c>
      <c r="D268" s="670">
        <f t="shared" si="198"/>
      </c>
      <c r="E268" s="728">
        <v>1176.46</v>
      </c>
      <c r="F268" s="698">
        <v>1186.63</v>
      </c>
      <c r="G268" s="680">
        <v>9</v>
      </c>
      <c r="H268" s="681">
        <v>4248.959999999999</v>
      </c>
      <c r="I268" s="672">
        <f t="shared" si="140"/>
      </c>
      <c r="J268" s="672">
        <f t="shared" si="109"/>
      </c>
      <c r="K268" s="673">
        <f t="shared" si="78"/>
      </c>
      <c r="L268" s="674">
        <f t="shared" si="47"/>
      </c>
      <c r="M268" s="675">
        <f t="shared" si="16"/>
      </c>
      <c r="N268" s="676">
        <f t="shared" si="264"/>
      </c>
      <c r="O268" s="677" t="s">
        <v>809</v>
      </c>
      <c r="P268" s="678" t="s">
        <v>827</v>
      </c>
      <c r="Q268" s="711">
        <v>21941</v>
      </c>
      <c r="R268" s="711">
        <v>2400</v>
      </c>
      <c r="S268" s="711">
        <v>14</v>
      </c>
      <c r="T268" s="711">
        <v>58</v>
      </c>
    </row>
    <row customHeight="true" ht="16.666666666666668" r="269">
      <c r="A269" s="708"/>
      <c r="B269" s="718" t="s">
        <v>815</v>
      </c>
      <c r="C269" s="670" t="s">
        <v>813</v>
      </c>
      <c r="D269" s="670">
        <f t="shared" si="198"/>
      </c>
      <c r="E269" s="728">
        <v>940.62</v>
      </c>
      <c r="F269" s="698">
        <v>1951.52</v>
      </c>
      <c r="G269" s="680">
        <v>6</v>
      </c>
      <c r="H269" s="681">
        <v>2105.790000000001</v>
      </c>
      <c r="I269" s="672">
        <f t="shared" si="140"/>
      </c>
      <c r="J269" s="672">
        <f t="shared" si="109"/>
      </c>
      <c r="K269" s="673">
        <f t="shared" si="78"/>
      </c>
      <c r="L269" s="674">
        <f t="shared" si="47"/>
      </c>
      <c r="M269" s="675">
        <f t="shared" si="16"/>
      </c>
      <c r="N269" s="676">
        <f t="shared" si="264"/>
      </c>
      <c r="O269" s="677" t="s">
        <v>809</v>
      </c>
      <c r="P269" s="678" t="s">
        <v>827</v>
      </c>
      <c r="Q269" s="711">
        <v>21479</v>
      </c>
      <c r="R269" s="711">
        <v>2389</v>
      </c>
      <c r="S269" s="711">
        <v>10</v>
      </c>
      <c r="T269" s="711">
        <v>50</v>
      </c>
    </row>
    <row r="270">
      <c r="A270" s="708"/>
      <c r="B270" s="718" t="s">
        <v>815</v>
      </c>
      <c r="C270" s="698" t="s">
        <v>816</v>
      </c>
      <c r="D270" s="670">
        <f t="shared" si="198"/>
      </c>
      <c r="E270" s="728">
        <v>673.95</v>
      </c>
      <c r="F270" s="670">
        <v>1933.94</v>
      </c>
      <c r="G270" s="680">
        <v>9</v>
      </c>
      <c r="H270" s="681">
        <v>2398.079999999998</v>
      </c>
      <c r="I270" s="672">
        <f t="shared" si="140"/>
      </c>
      <c r="J270" s="672">
        <f t="shared" si="109"/>
      </c>
      <c r="K270" s="673">
        <f t="shared" si="78"/>
      </c>
      <c r="L270" s="674">
        <f t="shared" si="47"/>
      </c>
      <c r="M270" s="675">
        <f t="shared" si="16"/>
      </c>
      <c r="N270" s="676">
        <f t="shared" si="264"/>
      </c>
      <c r="O270" s="677" t="s">
        <v>809</v>
      </c>
      <c r="P270" s="678" t="s">
        <v>827</v>
      </c>
      <c r="Q270" s="679">
        <v>21556</v>
      </c>
      <c r="R270" s="679">
        <v>1973</v>
      </c>
      <c r="S270" s="711">
        <v>13</v>
      </c>
      <c r="T270" s="711">
        <v>50</v>
      </c>
    </row>
    <row r="271">
      <c r="A271" s="708"/>
      <c r="B271" s="730" t="s">
        <v>814</v>
      </c>
      <c r="C271" s="730"/>
      <c r="D271" s="685">
        <f>SUM(D266:D270)</f>
      </c>
      <c r="E271" s="685">
        <f>SUM(E266:E270)</f>
      </c>
      <c r="F271" s="685">
        <f>SUM(F266:F270)</f>
      </c>
      <c r="G271" s="687">
        <f>SUM(G266:G270)</f>
      </c>
      <c r="H271" s="685">
        <f>SUM(H266:H270)</f>
      </c>
      <c r="I271" s="688">
        <f t="shared" si="140"/>
      </c>
      <c r="J271" s="689">
        <f t="shared" si="109"/>
      </c>
      <c r="K271" s="690">
        <f t="shared" si="78"/>
      </c>
      <c r="L271" s="691">
        <f t="shared" si="47"/>
      </c>
      <c r="M271" s="691">
        <f t="shared" si="16"/>
      </c>
      <c r="N271" s="692">
        <f t="shared" si="264"/>
      </c>
      <c r="O271" s="692"/>
      <c r="P271" s="692"/>
      <c r="Q271" s="687">
        <f>SUM(Q266:Q270)</f>
      </c>
      <c r="R271" s="687">
        <f>SUM(R266:R270)</f>
      </c>
      <c r="S271" s="687">
        <f>SUM(S266:S270)</f>
      </c>
      <c r="T271" s="687">
        <f>SUM(T266:T270)</f>
      </c>
    </row>
    <row r="272">
      <c r="A272" s="708"/>
      <c r="B272" s="694" t="s">
        <v>807</v>
      </c>
      <c r="C272" s="670" t="s">
        <v>817</v>
      </c>
      <c r="D272" s="670">
        <f t="shared" ref="D272:D275" si="199">E272+F272</f>
      </c>
      <c r="E272" s="670">
        <v>387.63</v>
      </c>
      <c r="F272" s="670">
        <v>3378.56</v>
      </c>
      <c r="G272" s="671">
        <v>11</v>
      </c>
      <c r="H272" s="670">
        <v>3286.220000000001</v>
      </c>
      <c r="I272" s="672">
        <f t="shared" si="140"/>
      </c>
      <c r="J272" s="672">
        <f t="shared" si="109"/>
      </c>
      <c r="K272" s="673">
        <f t="shared" si="78"/>
      </c>
      <c r="L272" s="674">
        <f t="shared" si="47"/>
      </c>
      <c r="M272" s="675">
        <f t="shared" si="16"/>
      </c>
      <c r="N272" s="676">
        <f t="shared" si="264"/>
      </c>
      <c r="O272" s="677" t="s">
        <v>809</v>
      </c>
      <c r="P272" s="678" t="s">
        <v>827</v>
      </c>
      <c r="Q272" s="717">
        <v>40728</v>
      </c>
      <c r="R272" s="717">
        <v>4016</v>
      </c>
      <c r="S272" s="717">
        <v>21</v>
      </c>
      <c r="T272" s="717">
        <v>93</v>
      </c>
    </row>
    <row r="273">
      <c r="A273" s="708"/>
      <c r="B273" s="694" t="s">
        <v>807</v>
      </c>
      <c r="C273" s="670" t="s">
        <v>818</v>
      </c>
      <c r="D273" s="670">
        <f t="shared" si="199"/>
      </c>
      <c r="E273" s="670">
        <v>349.37</v>
      </c>
      <c r="F273" s="698">
        <v>2875.88</v>
      </c>
      <c r="G273" s="671">
        <v>8</v>
      </c>
      <c r="H273" s="670">
        <v>3987.2400000000016</v>
      </c>
      <c r="I273" s="672">
        <f t="shared" si="140"/>
      </c>
      <c r="J273" s="672">
        <f t="shared" si="109"/>
      </c>
      <c r="K273" s="673">
        <f t="shared" si="78"/>
      </c>
      <c r="L273" s="674">
        <f t="shared" si="47"/>
      </c>
      <c r="M273" s="675">
        <f t="shared" si="16"/>
      </c>
      <c r="N273" s="676">
        <f t="shared" si="264"/>
      </c>
      <c r="O273" s="677" t="s">
        <v>809</v>
      </c>
      <c r="P273" s="678" t="s">
        <v>827</v>
      </c>
      <c r="Q273" s="697">
        <v>25672</v>
      </c>
      <c r="R273" s="697">
        <v>2444</v>
      </c>
      <c r="S273" s="717">
        <v>17</v>
      </c>
      <c r="T273" s="717">
        <v>64</v>
      </c>
    </row>
    <row r="274">
      <c r="A274" s="708"/>
      <c r="B274" s="694" t="s">
        <v>807</v>
      </c>
      <c r="C274" s="670" t="s">
        <v>819</v>
      </c>
      <c r="D274" s="670">
        <f t="shared" si="199"/>
      </c>
      <c r="E274" s="698">
        <v>365.97</v>
      </c>
      <c r="F274" s="670">
        <v>1855.18</v>
      </c>
      <c r="G274" s="709">
        <v>7</v>
      </c>
      <c r="H274" s="698">
        <v>4646.419999999998</v>
      </c>
      <c r="I274" s="672">
        <f t="shared" si="140"/>
      </c>
      <c r="J274" s="672">
        <f t="shared" si="109"/>
      </c>
      <c r="K274" s="673">
        <f t="shared" si="78"/>
      </c>
      <c r="L274" s="674">
        <f t="shared" si="47"/>
      </c>
      <c r="M274" s="675">
        <f t="shared" si="16"/>
      </c>
      <c r="N274" s="676">
        <f t="shared" si="264"/>
      </c>
      <c r="O274" s="677" t="s">
        <v>809</v>
      </c>
      <c r="P274" s="678" t="s">
        <v>827</v>
      </c>
      <c r="Q274" s="717">
        <v>25264</v>
      </c>
      <c r="R274" s="697">
        <v>1899</v>
      </c>
      <c r="S274" s="717">
        <v>13</v>
      </c>
      <c r="T274" s="717">
        <v>47</v>
      </c>
    </row>
    <row r="275">
      <c r="A275" s="708"/>
      <c r="B275" s="694" t="s">
        <v>807</v>
      </c>
      <c r="C275" s="670" t="s">
        <v>830</v>
      </c>
      <c r="D275" s="670">
        <f t="shared" si="199"/>
      </c>
      <c r="E275" s="698">
        <v>242.54</v>
      </c>
      <c r="F275" s="670">
        <v>1599.74</v>
      </c>
      <c r="G275" s="709">
        <v>4</v>
      </c>
      <c r="H275" s="670">
        <v>840.5</v>
      </c>
      <c r="I275" s="672">
        <f t="shared" si="140"/>
      </c>
      <c r="J275" s="672">
        <f t="shared" si="109"/>
      </c>
      <c r="K275" s="673">
        <f t="shared" si="78"/>
      </c>
      <c r="L275" s="674">
        <f t="shared" si="47"/>
      </c>
      <c r="M275" s="675">
        <f t="shared" si="16"/>
      </c>
      <c r="N275" s="676">
        <f t="shared" si="264"/>
      </c>
      <c r="O275" s="677" t="s">
        <v>809</v>
      </c>
      <c r="P275" s="678" t="s">
        <v>827</v>
      </c>
      <c r="Q275" s="697">
        <v>26128</v>
      </c>
      <c r="R275" s="697">
        <v>1490</v>
      </c>
      <c r="S275" s="717">
        <v>8</v>
      </c>
      <c r="T275" s="717">
        <v>37</v>
      </c>
    </row>
    <row r="276">
      <c r="A276" s="708"/>
      <c r="B276" s="684" t="s">
        <v>814</v>
      </c>
      <c r="C276" s="684"/>
      <c r="D276" s="685">
        <f>SUM(D272:D275)</f>
      </c>
      <c r="E276" s="685">
        <f>SUM(E272:E275)</f>
      </c>
      <c r="F276" s="685">
        <f>SUM(F272:F275)</f>
      </c>
      <c r="G276" s="687">
        <f>SUM(G272:G275)</f>
      </c>
      <c r="H276" s="685">
        <f>SUM(H272:H275)</f>
      </c>
      <c r="I276" s="699">
        <f t="shared" si="140"/>
      </c>
      <c r="J276" s="689">
        <f t="shared" si="109"/>
      </c>
      <c r="K276" s="690">
        <f t="shared" si="78"/>
      </c>
      <c r="L276" s="691">
        <f t="shared" si="47"/>
      </c>
      <c r="M276" s="691">
        <f t="shared" si="16"/>
      </c>
      <c r="N276" s="692">
        <f t="shared" si="264"/>
      </c>
      <c r="O276" s="692"/>
      <c r="P276" s="692"/>
      <c r="Q276" s="687">
        <f>SUM(Q272:Q275)</f>
      </c>
      <c r="R276" s="687">
        <f>SUM(R272:R275)</f>
      </c>
      <c r="S276" s="687">
        <f>SUM(S272:S275)</f>
      </c>
      <c r="T276" s="687">
        <f>SUM(T272:T275)</f>
      </c>
    </row>
    <row r="277">
      <c r="A277" s="708"/>
      <c r="B277" s="718" t="s">
        <v>841</v>
      </c>
      <c r="C277" s="698" t="s">
        <v>831</v>
      </c>
      <c r="D277" s="670">
        <f t="shared" ref="D277:D279" si="200">E277+F277</f>
      </c>
      <c r="E277" s="670">
        <v>399.74</v>
      </c>
      <c r="F277" s="670">
        <v>1661.63</v>
      </c>
      <c r="G277" s="671">
        <v>10</v>
      </c>
      <c r="H277" s="670">
        <v>5734.600000000002</v>
      </c>
      <c r="I277" s="672">
        <f t="shared" si="140"/>
      </c>
      <c r="J277" s="672">
        <f t="shared" si="109"/>
      </c>
      <c r="K277" s="673">
        <f t="shared" si="78"/>
      </c>
      <c r="L277" s="674">
        <f t="shared" si="47"/>
      </c>
      <c r="M277" s="675">
        <f t="shared" si="16"/>
      </c>
      <c r="N277" s="676">
        <f t="shared" si="264"/>
      </c>
      <c r="O277" s="677" t="s">
        <v>809</v>
      </c>
      <c r="P277" s="710" t="s">
        <v>810</v>
      </c>
      <c r="Q277" s="697">
        <v>19061</v>
      </c>
      <c r="R277" s="717">
        <v>1628</v>
      </c>
      <c r="S277" s="717">
        <v>11</v>
      </c>
      <c r="T277" s="717">
        <v>40</v>
      </c>
    </row>
    <row r="278">
      <c r="A278" s="708"/>
      <c r="B278" s="718" t="s">
        <v>841</v>
      </c>
      <c r="C278" s="698" t="s">
        <v>832</v>
      </c>
      <c r="D278" s="670">
        <f t="shared" si="200"/>
      </c>
      <c r="E278" s="670">
        <v>224.57</v>
      </c>
      <c r="F278" s="698">
        <v>2309.17</v>
      </c>
      <c r="G278" s="671">
        <v>13</v>
      </c>
      <c r="H278" s="670">
        <v>6418.840000000004</v>
      </c>
      <c r="I278" s="672">
        <f t="shared" si="140"/>
      </c>
      <c r="J278" s="672">
        <f t="shared" si="109"/>
      </c>
      <c r="K278" s="673">
        <f t="shared" si="78"/>
      </c>
      <c r="L278" s="674">
        <f t="shared" si="47"/>
      </c>
      <c r="M278" s="675">
        <f t="shared" si="16"/>
      </c>
      <c r="N278" s="676">
        <f t="shared" si="264"/>
      </c>
      <c r="O278" s="677" t="s">
        <v>809</v>
      </c>
      <c r="P278" s="710" t="s">
        <v>810</v>
      </c>
      <c r="Q278" s="697">
        <v>30544</v>
      </c>
      <c r="R278" s="697">
        <v>2222</v>
      </c>
      <c r="S278" s="717">
        <v>18</v>
      </c>
      <c r="T278" s="717">
        <v>49</v>
      </c>
    </row>
    <row r="279">
      <c r="A279" s="708"/>
      <c r="B279" s="718" t="s">
        <v>841</v>
      </c>
      <c r="C279" s="698" t="s">
        <v>833</v>
      </c>
      <c r="D279" s="670">
        <f t="shared" si="200"/>
      </c>
      <c r="E279" s="698">
        <v>103.18</v>
      </c>
      <c r="F279" s="670">
        <v>4015.75</v>
      </c>
      <c r="G279" s="709">
        <v>8</v>
      </c>
      <c r="H279" s="698">
        <v>3103.8199999999997</v>
      </c>
      <c r="I279" s="672">
        <f t="shared" si="140"/>
      </c>
      <c r="J279" s="672">
        <f t="shared" si="109"/>
      </c>
      <c r="K279" s="673">
        <f t="shared" si="78"/>
      </c>
      <c r="L279" s="674">
        <f t="shared" si="47"/>
      </c>
      <c r="M279" s="675">
        <f t="shared" si="16"/>
      </c>
      <c r="N279" s="676">
        <f t="shared" si="264"/>
      </c>
      <c r="O279" s="677" t="s">
        <v>809</v>
      </c>
      <c r="P279" s="710" t="s">
        <v>810</v>
      </c>
      <c r="Q279" s="697">
        <v>57798</v>
      </c>
      <c r="R279" s="697">
        <v>3975</v>
      </c>
      <c r="S279" s="717">
        <v>12</v>
      </c>
      <c r="T279" s="717">
        <v>72</v>
      </c>
    </row>
    <row r="280">
      <c r="A280" s="708"/>
      <c r="B280" s="684" t="s">
        <v>814</v>
      </c>
      <c r="C280" s="684"/>
      <c r="D280" s="685">
        <f>SUM(D277:D279)</f>
      </c>
      <c r="E280" s="685">
        <f>SUM(E277:E279)</f>
      </c>
      <c r="F280" s="685">
        <f>SUM(F277:F279)</f>
      </c>
      <c r="G280" s="687">
        <f>SUM(G277:G279)</f>
      </c>
      <c r="H280" s="685">
        <f>SUM(H277:H279)</f>
      </c>
      <c r="I280" s="699">
        <f t="shared" si="140"/>
      </c>
      <c r="J280" s="689">
        <f t="shared" si="109"/>
      </c>
      <c r="K280" s="690">
        <f t="shared" si="78"/>
      </c>
      <c r="L280" s="691">
        <f t="shared" si="47"/>
      </c>
      <c r="M280" s="691">
        <f t="shared" si="16"/>
      </c>
      <c r="N280" s="692">
        <f t="shared" si="264"/>
      </c>
      <c r="O280" s="692"/>
      <c r="P280" s="692"/>
      <c r="Q280" s="687">
        <f>SUM(Q277:Q279)</f>
      </c>
      <c r="R280" s="687">
        <f>SUM(R277:R279)</f>
      </c>
      <c r="S280" s="687">
        <f>SUM(S277:S279)</f>
      </c>
      <c r="T280" s="687">
        <f>SUM(T277:T279)</f>
      </c>
    </row>
    <row r="281">
      <c r="A281" s="708"/>
      <c r="B281" s="700" t="s">
        <v>825</v>
      </c>
      <c r="C281" s="700"/>
      <c r="D281" s="701">
        <f>D271+D276+D280</f>
      </c>
      <c r="E281" s="701">
        <f>E271+E276+E280</f>
      </c>
      <c r="F281" s="701">
        <f>F271+F276+F280</f>
      </c>
      <c r="G281" s="702">
        <f>G271+G276+G280</f>
      </c>
      <c r="H281" s="701">
        <f>H271+H276+H280</f>
      </c>
      <c r="I281" s="703">
        <f t="shared" si="140"/>
      </c>
      <c r="J281" s="703">
        <f t="shared" si="109"/>
      </c>
      <c r="K281" s="704">
        <f t="shared" si="78"/>
      </c>
      <c r="L281" s="705">
        <f t="shared" si="47"/>
      </c>
      <c r="M281" s="705">
        <f t="shared" si="16"/>
      </c>
      <c r="N281" s="703">
        <f t="shared" si="264"/>
      </c>
      <c r="O281" s="706"/>
      <c r="P281" s="706"/>
      <c r="Q281" s="702">
        <f>Q271+Q276+Q280</f>
      </c>
      <c r="R281" s="702">
        <f>R271+R276+R280</f>
      </c>
      <c r="S281" s="702">
        <f>S271+S276+S280</f>
      </c>
      <c r="T281" s="702">
        <f>T271+T276+T280</f>
      </c>
    </row>
    <row r="282">
      <c r="A282" s="655" t="s">
        <v>782</v>
      </c>
      <c r="B282" s="655"/>
      <c r="C282" s="655"/>
      <c r="D282" s="656" t="s">
        <v>783</v>
      </c>
      <c r="E282" s="656"/>
      <c r="F282" s="656"/>
      <c r="G282" s="656"/>
      <c r="H282" s="656"/>
      <c r="I282" s="656"/>
      <c r="J282" s="656"/>
      <c r="K282" s="656"/>
      <c r="L282" s="666" t="s">
        <v>784</v>
      </c>
      <c r="M282" s="666"/>
      <c r="N282" s="666"/>
      <c r="O282" s="666"/>
      <c r="P282" s="666"/>
      <c r="Q282" s="737" t="s">
        <v>785</v>
      </c>
      <c r="R282" s="737"/>
      <c r="S282" s="737"/>
      <c r="T282" s="737"/>
    </row>
    <row r="283">
      <c r="A283" s="660" t="s">
        <v>786</v>
      </c>
      <c r="B283" s="720" t="s">
        <v>787</v>
      </c>
      <c r="C283" s="743" t="s">
        <v>788</v>
      </c>
      <c r="D283" s="722" t="s">
        <v>789</v>
      </c>
      <c r="E283" s="721" t="s">
        <v>790</v>
      </c>
      <c r="F283" s="722" t="s">
        <v>791</v>
      </c>
      <c r="G283" s="662" t="s">
        <v>792</v>
      </c>
      <c r="H283" s="661" t="s">
        <v>793</v>
      </c>
      <c r="I283" s="663" t="s">
        <v>794</v>
      </c>
      <c r="J283" s="664" t="s">
        <v>795</v>
      </c>
      <c r="K283" s="665" t="s">
        <v>796</v>
      </c>
      <c r="L283" s="666" t="s">
        <v>797</v>
      </c>
      <c r="M283" s="666" t="s">
        <v>798</v>
      </c>
      <c r="N283" s="666" t="s">
        <v>799</v>
      </c>
      <c r="O283" s="723" t="s">
        <v>800</v>
      </c>
      <c r="P283" s="738" t="s">
        <v>801</v>
      </c>
      <c r="Q283" s="667" t="s">
        <v>802</v>
      </c>
      <c r="R283" s="667" t="s">
        <v>803</v>
      </c>
      <c r="S283" s="740" t="s">
        <v>804</v>
      </c>
      <c r="T283" s="667" t="s">
        <v>805</v>
      </c>
    </row>
    <row r="284">
      <c r="A284" s="708" t="s">
        <v>851</v>
      </c>
      <c r="B284" s="718" t="s">
        <v>815</v>
      </c>
      <c r="C284" s="724" t="s">
        <v>808</v>
      </c>
      <c r="D284" s="746">
        <f t="shared" ref="D284:D287" si="201">E284+F284</f>
      </c>
      <c r="E284" s="724">
        <v>563.58</v>
      </c>
      <c r="F284" s="724">
        <v>1140.52</v>
      </c>
      <c r="G284" s="725">
        <v>5</v>
      </c>
      <c r="H284" s="670">
        <v>2000.64</v>
      </c>
      <c r="I284" s="672">
        <f t="shared" ref="I284:I298" si="141">H284/D284</f>
      </c>
      <c r="J284" s="672">
        <f t="shared" ref="J284:J298" si="110">D284/G284</f>
      </c>
      <c r="K284" s="673">
        <f t="shared" ref="K284:K298" si="79">H284/G284</f>
      </c>
      <c r="L284" s="674">
        <f t="shared" ref="L284:L298" si="48">R284/Q284</f>
      </c>
      <c r="M284" s="675">
        <f t="shared" ref="M284:M298" si="17">G284/S284</f>
      </c>
      <c r="N284" s="676">
        <f t="shared" ref="N284:N298" si="265">(T284*1000)/D284</f>
      </c>
      <c r="O284" s="677" t="s">
        <v>809</v>
      </c>
      <c r="P284" s="678" t="s">
        <v>827</v>
      </c>
      <c r="Q284" s="741">
        <v>19155</v>
      </c>
      <c r="R284" s="741">
        <v>2210</v>
      </c>
      <c r="S284" s="711">
        <v>6</v>
      </c>
      <c r="T284" s="711">
        <v>36</v>
      </c>
    </row>
    <row r="285">
      <c r="A285" s="708"/>
      <c r="B285" s="718" t="s">
        <v>815</v>
      </c>
      <c r="C285" s="696" t="s">
        <v>811</v>
      </c>
      <c r="D285" s="696">
        <f t="shared" si="201"/>
      </c>
      <c r="E285" s="742">
        <v>778.05</v>
      </c>
      <c r="F285" s="696">
        <v>865.5</v>
      </c>
      <c r="G285" s="709">
        <v>8</v>
      </c>
      <c r="H285" s="698">
        <v>3955.4799999999996</v>
      </c>
      <c r="I285" s="672">
        <f t="shared" si="141"/>
      </c>
      <c r="J285" s="672">
        <f t="shared" si="110"/>
      </c>
      <c r="K285" s="673">
        <f t="shared" si="79"/>
      </c>
      <c r="L285" s="674">
        <f t="shared" si="48"/>
      </c>
      <c r="M285" s="675">
        <f t="shared" si="17"/>
      </c>
      <c r="N285" s="676">
        <f t="shared" si="265"/>
      </c>
      <c r="O285" s="677" t="s">
        <v>809</v>
      </c>
      <c r="P285" s="678" t="s">
        <v>827</v>
      </c>
      <c r="Q285" s="679">
        <v>17929</v>
      </c>
      <c r="R285" s="679">
        <v>2087</v>
      </c>
      <c r="S285" s="711">
        <v>13</v>
      </c>
      <c r="T285" s="711">
        <v>40</v>
      </c>
    </row>
    <row r="286">
      <c r="A286" s="708"/>
      <c r="B286" s="718" t="s">
        <v>815</v>
      </c>
      <c r="C286" s="670" t="s">
        <v>812</v>
      </c>
      <c r="D286" s="670">
        <f t="shared" si="201"/>
      </c>
      <c r="E286" s="728">
        <v>867.51</v>
      </c>
      <c r="F286" s="698">
        <v>558.04</v>
      </c>
      <c r="G286" s="680">
        <v>4</v>
      </c>
      <c r="H286" s="681">
        <v>2590.580000000001</v>
      </c>
      <c r="I286" s="672">
        <f t="shared" si="141"/>
      </c>
      <c r="J286" s="672">
        <f t="shared" si="110"/>
      </c>
      <c r="K286" s="673">
        <f t="shared" si="79"/>
      </c>
      <c r="L286" s="674">
        <f t="shared" si="48"/>
      </c>
      <c r="M286" s="675">
        <f t="shared" si="17"/>
      </c>
      <c r="N286" s="676">
        <f t="shared" si="265"/>
      </c>
      <c r="O286" s="677" t="s">
        <v>809</v>
      </c>
      <c r="P286" s="678" t="s">
        <v>827</v>
      </c>
      <c r="Q286" s="711">
        <v>12402</v>
      </c>
      <c r="R286" s="711">
        <v>1492</v>
      </c>
      <c r="S286" s="711">
        <v>5</v>
      </c>
      <c r="T286" s="711">
        <v>34</v>
      </c>
    </row>
    <row r="287">
      <c r="A287" s="708"/>
      <c r="B287" s="718" t="s">
        <v>815</v>
      </c>
      <c r="C287" s="670" t="s">
        <v>813</v>
      </c>
      <c r="D287" s="670">
        <f t="shared" si="201"/>
      </c>
      <c r="E287" s="728">
        <v>568.13</v>
      </c>
      <c r="F287" s="698">
        <v>913.15</v>
      </c>
      <c r="G287" s="680">
        <v>6</v>
      </c>
      <c r="H287" s="681">
        <v>4982.879999999999</v>
      </c>
      <c r="I287" s="672">
        <f t="shared" si="141"/>
      </c>
      <c r="J287" s="672">
        <f t="shared" si="110"/>
      </c>
      <c r="K287" s="673">
        <f t="shared" si="79"/>
      </c>
      <c r="L287" s="674">
        <f t="shared" si="48"/>
      </c>
      <c r="M287" s="675">
        <f t="shared" si="17"/>
      </c>
      <c r="N287" s="676">
        <f t="shared" si="265"/>
      </c>
      <c r="O287" s="677" t="s">
        <v>809</v>
      </c>
      <c r="P287" s="678" t="s">
        <v>827</v>
      </c>
      <c r="Q287" s="711">
        <v>11637</v>
      </c>
      <c r="R287" s="711">
        <v>1424</v>
      </c>
      <c r="S287" s="711">
        <v>8</v>
      </c>
      <c r="T287" s="711">
        <v>19</v>
      </c>
    </row>
    <row r="288">
      <c r="A288" s="708"/>
      <c r="B288" s="730" t="s">
        <v>814</v>
      </c>
      <c r="C288" s="730"/>
      <c r="D288" s="685">
        <f>SUM(D284:D287)</f>
      </c>
      <c r="E288" s="685">
        <f>SUM(E284:E287)</f>
      </c>
      <c r="F288" s="685">
        <f>SUM(F284:F287)</f>
      </c>
      <c r="G288" s="687">
        <f>SUM(G284:G287)</f>
      </c>
      <c r="H288" s="685">
        <f>SUM(H284:H287)</f>
      </c>
      <c r="I288" s="688">
        <f t="shared" si="141"/>
      </c>
      <c r="J288" s="689">
        <f t="shared" si="110"/>
      </c>
      <c r="K288" s="690">
        <f t="shared" si="79"/>
      </c>
      <c r="L288" s="691">
        <f t="shared" si="48"/>
      </c>
      <c r="M288" s="691">
        <f t="shared" si="17"/>
      </c>
      <c r="N288" s="692">
        <f t="shared" si="265"/>
      </c>
      <c r="O288" s="692"/>
      <c r="P288" s="692"/>
      <c r="Q288" s="687">
        <f>SUM(Q284:Q287)</f>
      </c>
      <c r="R288" s="687">
        <f>SUM(R284:R287)</f>
      </c>
      <c r="S288" s="687">
        <f>SUM(S284:S287)</f>
      </c>
      <c r="T288" s="687">
        <f>SUM(T284:T287)</f>
      </c>
    </row>
    <row r="289">
      <c r="A289" s="708"/>
      <c r="B289" s="694" t="s">
        <v>807</v>
      </c>
      <c r="C289" s="698" t="s">
        <v>816</v>
      </c>
      <c r="D289" s="670">
        <f t="shared" ref="D289:D292" si="202">E289+F289</f>
      </c>
      <c r="E289" s="670">
        <v>542.43</v>
      </c>
      <c r="F289" s="670">
        <v>1925.16</v>
      </c>
      <c r="G289" s="671">
        <v>7</v>
      </c>
      <c r="H289" s="670">
        <v>2411.0599999999995</v>
      </c>
      <c r="I289" s="672">
        <f t="shared" si="141"/>
      </c>
      <c r="J289" s="672">
        <f t="shared" si="110"/>
      </c>
      <c r="K289" s="673">
        <f t="shared" si="79"/>
      </c>
      <c r="L289" s="674">
        <f t="shared" si="48"/>
      </c>
      <c r="M289" s="675">
        <f t="shared" si="17"/>
      </c>
      <c r="N289" s="676">
        <f t="shared" si="265"/>
      </c>
      <c r="O289" s="677" t="s">
        <v>809</v>
      </c>
      <c r="P289" s="678" t="s">
        <v>827</v>
      </c>
      <c r="Q289" s="717">
        <v>23922</v>
      </c>
      <c r="R289" s="717">
        <v>2217</v>
      </c>
      <c r="S289" s="717">
        <v>12</v>
      </c>
      <c r="T289" s="717">
        <v>63</v>
      </c>
    </row>
    <row r="290">
      <c r="A290" s="708"/>
      <c r="B290" s="694" t="s">
        <v>807</v>
      </c>
      <c r="C290" s="670" t="s">
        <v>817</v>
      </c>
      <c r="D290" s="670">
        <f t="shared" si="202"/>
      </c>
      <c r="E290" s="670">
        <v>1064.45</v>
      </c>
      <c r="F290" s="698">
        <v>3177.44</v>
      </c>
      <c r="G290" s="671">
        <v>11</v>
      </c>
      <c r="H290" s="670">
        <v>6077.540000000001</v>
      </c>
      <c r="I290" s="672">
        <f t="shared" si="141"/>
      </c>
      <c r="J290" s="672">
        <f t="shared" si="110"/>
      </c>
      <c r="K290" s="673">
        <f t="shared" si="79"/>
      </c>
      <c r="L290" s="674">
        <f t="shared" si="48"/>
      </c>
      <c r="M290" s="675">
        <f t="shared" si="17"/>
      </c>
      <c r="N290" s="676">
        <f t="shared" si="265"/>
      </c>
      <c r="O290" s="677" t="s">
        <v>809</v>
      </c>
      <c r="P290" s="678" t="s">
        <v>827</v>
      </c>
      <c r="Q290" s="697">
        <v>78946</v>
      </c>
      <c r="R290" s="697">
        <v>3367</v>
      </c>
      <c r="S290" s="717">
        <v>16</v>
      </c>
      <c r="T290" s="717">
        <v>89</v>
      </c>
    </row>
    <row r="291">
      <c r="A291" s="708"/>
      <c r="B291" s="694" t="s">
        <v>807</v>
      </c>
      <c r="C291" s="670" t="s">
        <v>818</v>
      </c>
      <c r="D291" s="670">
        <f t="shared" si="202"/>
      </c>
      <c r="E291" s="698">
        <v>1238.78</v>
      </c>
      <c r="F291" s="670">
        <v>1982.19</v>
      </c>
      <c r="G291" s="709">
        <v>10</v>
      </c>
      <c r="H291" s="698">
        <v>4848.480000000003</v>
      </c>
      <c r="I291" s="672">
        <f t="shared" si="141"/>
      </c>
      <c r="J291" s="672">
        <f t="shared" si="110"/>
      </c>
      <c r="K291" s="673">
        <f t="shared" si="79"/>
      </c>
      <c r="L291" s="674">
        <f t="shared" si="48"/>
      </c>
      <c r="M291" s="675">
        <f t="shared" si="17"/>
      </c>
      <c r="N291" s="676">
        <f t="shared" si="265"/>
      </c>
      <c r="O291" s="677" t="s">
        <v>809</v>
      </c>
      <c r="P291" s="678" t="s">
        <v>827</v>
      </c>
      <c r="Q291" s="717">
        <v>58257</v>
      </c>
      <c r="R291" s="697">
        <v>2541</v>
      </c>
      <c r="S291" s="717">
        <v>13</v>
      </c>
      <c r="T291" s="717">
        <v>71</v>
      </c>
    </row>
    <row r="292">
      <c r="A292" s="708"/>
      <c r="B292" s="694" t="s">
        <v>807</v>
      </c>
      <c r="C292" s="670" t="s">
        <v>819</v>
      </c>
      <c r="D292" s="670">
        <f t="shared" si="202"/>
      </c>
      <c r="E292" s="698">
        <v>403.05</v>
      </c>
      <c r="F292" s="670">
        <v>1107.99</v>
      </c>
      <c r="G292" s="709">
        <v>5</v>
      </c>
      <c r="H292" s="670">
        <v>3881.519999999997</v>
      </c>
      <c r="I292" s="672">
        <f t="shared" si="141"/>
      </c>
      <c r="J292" s="672">
        <f t="shared" si="110"/>
      </c>
      <c r="K292" s="673">
        <f t="shared" si="79"/>
      </c>
      <c r="L292" s="674">
        <f t="shared" si="48"/>
      </c>
      <c r="M292" s="675">
        <f t="shared" si="17"/>
      </c>
      <c r="N292" s="676">
        <f t="shared" si="265"/>
      </c>
      <c r="O292" s="677" t="s">
        <v>809</v>
      </c>
      <c r="P292" s="678" t="s">
        <v>827</v>
      </c>
      <c r="Q292" s="697">
        <v>24348</v>
      </c>
      <c r="R292" s="697">
        <v>938</v>
      </c>
      <c r="S292" s="717">
        <v>7</v>
      </c>
      <c r="T292" s="717">
        <v>30</v>
      </c>
    </row>
    <row r="293">
      <c r="A293" s="708"/>
      <c r="B293" s="684" t="s">
        <v>814</v>
      </c>
      <c r="C293" s="684"/>
      <c r="D293" s="685">
        <f>SUM(D289:D292)</f>
      </c>
      <c r="E293" s="685">
        <f>SUM(E289:E292)</f>
      </c>
      <c r="F293" s="685">
        <f>SUM(F289:F292)</f>
      </c>
      <c r="G293" s="687">
        <f>SUM(G289:G292)</f>
      </c>
      <c r="H293" s="685">
        <f>SUM(H289:H292)</f>
      </c>
      <c r="I293" s="699">
        <f t="shared" si="141"/>
      </c>
      <c r="J293" s="689">
        <f t="shared" si="110"/>
      </c>
      <c r="K293" s="690">
        <f t="shared" si="79"/>
      </c>
      <c r="L293" s="691">
        <f t="shared" si="48"/>
      </c>
      <c r="M293" s="691">
        <f t="shared" si="17"/>
      </c>
      <c r="N293" s="692">
        <f t="shared" si="265"/>
      </c>
      <c r="O293" s="692"/>
      <c r="P293" s="692"/>
      <c r="Q293" s="687">
        <f>SUM(Q289:Q292)</f>
      </c>
      <c r="R293" s="687">
        <f>SUM(R289:R292)</f>
      </c>
      <c r="S293" s="687">
        <f>SUM(S289:S292)</f>
      </c>
      <c r="T293" s="687">
        <f>SUM(T289:T292)</f>
      </c>
    </row>
    <row r="294">
      <c r="A294" s="708"/>
      <c r="B294" s="718" t="s">
        <v>841</v>
      </c>
      <c r="C294" s="670" t="s">
        <v>830</v>
      </c>
      <c r="D294" s="670">
        <f t="shared" ref="D294:D296" si="203">E294+F294</f>
      </c>
      <c r="E294" s="670">
        <v>826.63</v>
      </c>
      <c r="F294" s="670">
        <v>2082.9</v>
      </c>
      <c r="G294" s="671">
        <v>5</v>
      </c>
      <c r="H294" s="670">
        <v>2478.3600000000006</v>
      </c>
      <c r="I294" s="672">
        <f t="shared" si="141"/>
      </c>
      <c r="J294" s="672">
        <f t="shared" si="110"/>
      </c>
      <c r="K294" s="673">
        <f t="shared" si="79"/>
      </c>
      <c r="L294" s="674">
        <f t="shared" si="48"/>
      </c>
      <c r="M294" s="675">
        <f t="shared" si="17"/>
      </c>
      <c r="N294" s="676">
        <f t="shared" si="265"/>
      </c>
      <c r="O294" s="677" t="s">
        <v>809</v>
      </c>
      <c r="P294" s="678" t="s">
        <v>827</v>
      </c>
      <c r="Q294" s="697">
        <v>45381</v>
      </c>
      <c r="R294" s="717">
        <v>2082</v>
      </c>
      <c r="S294" s="717">
        <v>16</v>
      </c>
      <c r="T294" s="717">
        <v>38</v>
      </c>
    </row>
    <row r="295">
      <c r="A295" s="708"/>
      <c r="B295" s="718" t="s">
        <v>841</v>
      </c>
      <c r="C295" s="698" t="s">
        <v>831</v>
      </c>
      <c r="D295" s="670">
        <f t="shared" si="203"/>
      </c>
      <c r="E295" s="670">
        <v>1391.59</v>
      </c>
      <c r="F295" s="698">
        <v>2296.36</v>
      </c>
      <c r="G295" s="671">
        <v>17</v>
      </c>
      <c r="H295" s="670">
        <v>12176.879999999997</v>
      </c>
      <c r="I295" s="672">
        <f t="shared" si="141"/>
      </c>
      <c r="J295" s="672">
        <f t="shared" si="110"/>
      </c>
      <c r="K295" s="673">
        <f t="shared" si="79"/>
      </c>
      <c r="L295" s="674">
        <f t="shared" si="48"/>
      </c>
      <c r="M295" s="675">
        <f t="shared" si="17"/>
      </c>
      <c r="N295" s="676">
        <f t="shared" si="265"/>
      </c>
      <c r="O295" s="677" t="s">
        <v>809</v>
      </c>
      <c r="P295" s="678" t="s">
        <v>827</v>
      </c>
      <c r="Q295" s="697">
        <v>57952</v>
      </c>
      <c r="R295" s="697">
        <v>3312</v>
      </c>
      <c r="S295" s="717">
        <v>23</v>
      </c>
      <c r="T295" s="717">
        <v>79</v>
      </c>
    </row>
    <row r="296">
      <c r="A296" s="708"/>
      <c r="B296" s="718" t="s">
        <v>841</v>
      </c>
      <c r="C296" s="698" t="s">
        <v>832</v>
      </c>
      <c r="D296" s="670">
        <f t="shared" si="203"/>
      </c>
      <c r="E296" s="698">
        <v>1061.33</v>
      </c>
      <c r="F296" s="670">
        <v>1144.1399999999999</v>
      </c>
      <c r="G296" s="709">
        <v>3</v>
      </c>
      <c r="H296" s="698">
        <v>2314.530000000006</v>
      </c>
      <c r="I296" s="672">
        <f t="shared" si="141"/>
      </c>
      <c r="J296" s="672">
        <f t="shared" si="110"/>
      </c>
      <c r="K296" s="673">
        <f t="shared" si="79"/>
      </c>
      <c r="L296" s="674">
        <f t="shared" si="48"/>
      </c>
      <c r="M296" s="675">
        <f t="shared" si="17"/>
      </c>
      <c r="N296" s="676">
        <f t="shared" si="265"/>
      </c>
      <c r="O296" s="677" t="s">
        <v>809</v>
      </c>
      <c r="P296" s="678" t="s">
        <v>827</v>
      </c>
      <c r="Q296" s="697">
        <v>34456</v>
      </c>
      <c r="R296" s="697">
        <v>2159</v>
      </c>
      <c r="S296" s="717">
        <v>9</v>
      </c>
      <c r="T296" s="717">
        <v>36</v>
      </c>
    </row>
    <row r="297">
      <c r="A297" s="708"/>
      <c r="B297" s="684" t="s">
        <v>814</v>
      </c>
      <c r="C297" s="684"/>
      <c r="D297" s="685">
        <f>SUM(D294:D296)</f>
      </c>
      <c r="E297" s="685">
        <f>SUM(E294:E296)</f>
      </c>
      <c r="F297" s="685">
        <f>SUM(F294:F296)</f>
      </c>
      <c r="G297" s="687">
        <f>SUM(G294:G296)</f>
      </c>
      <c r="H297" s="685">
        <f>SUM(H294:H296)</f>
      </c>
      <c r="I297" s="699">
        <f t="shared" si="141"/>
      </c>
      <c r="J297" s="689">
        <f t="shared" si="110"/>
      </c>
      <c r="K297" s="690">
        <f t="shared" si="79"/>
      </c>
      <c r="L297" s="691">
        <f t="shared" si="48"/>
      </c>
      <c r="M297" s="691">
        <f t="shared" si="17"/>
      </c>
      <c r="N297" s="692">
        <f t="shared" si="265"/>
      </c>
      <c r="O297" s="692"/>
      <c r="P297" s="692"/>
      <c r="Q297" s="687">
        <f>SUM(Q294:Q296)</f>
      </c>
      <c r="R297" s="687">
        <f>SUM(R294:R296)</f>
      </c>
      <c r="S297" s="687">
        <f>SUM(S294:S296)</f>
      </c>
      <c r="T297" s="687">
        <f>SUM(T294:T296)</f>
      </c>
    </row>
    <row r="298">
      <c r="A298" s="708"/>
      <c r="B298" s="700" t="s">
        <v>825</v>
      </c>
      <c r="C298" s="700"/>
      <c r="D298" s="701">
        <f>D288+D293+D297</f>
      </c>
      <c r="E298" s="701">
        <f>E288+E293+E297</f>
      </c>
      <c r="F298" s="701">
        <f>F288+F293+F297</f>
      </c>
      <c r="G298" s="702">
        <f>G288+G293+G297</f>
      </c>
      <c r="H298" s="701">
        <f>H288+H293+H297</f>
      </c>
      <c r="I298" s="703">
        <f t="shared" si="141"/>
      </c>
      <c r="J298" s="703">
        <f t="shared" si="110"/>
      </c>
      <c r="K298" s="704">
        <f t="shared" si="79"/>
      </c>
      <c r="L298" s="705">
        <f t="shared" si="48"/>
      </c>
      <c r="M298" s="705">
        <f t="shared" si="17"/>
      </c>
      <c r="N298" s="703">
        <f t="shared" si="265"/>
      </c>
      <c r="O298" s="706"/>
      <c r="P298" s="706"/>
      <c r="Q298" s="702">
        <f>Q288+Q293+Q297</f>
      </c>
      <c r="R298" s="702">
        <f>R288+R293+R297</f>
      </c>
      <c r="S298" s="702">
        <f>S288+S293+S297</f>
      </c>
      <c r="T298" s="702">
        <f>T288+T293+T297</f>
      </c>
    </row>
    <row r="299">
      <c r="A299" s="655" t="s">
        <v>782</v>
      </c>
      <c r="B299" s="655"/>
      <c r="C299" s="655"/>
      <c r="D299" s="656" t="s">
        <v>783</v>
      </c>
      <c r="E299" s="656"/>
      <c r="F299" s="656"/>
      <c r="G299" s="656"/>
      <c r="H299" s="656"/>
      <c r="I299" s="656"/>
      <c r="J299" s="656"/>
      <c r="K299" s="656"/>
      <c r="L299" s="666" t="s">
        <v>784</v>
      </c>
      <c r="M299" s="666"/>
      <c r="N299" s="666"/>
      <c r="O299" s="666"/>
      <c r="P299" s="666"/>
      <c r="Q299" s="737" t="s">
        <v>785</v>
      </c>
      <c r="R299" s="737"/>
      <c r="S299" s="737"/>
      <c r="T299" s="737"/>
    </row>
    <row r="300">
      <c r="A300" s="660" t="s">
        <v>786</v>
      </c>
      <c r="B300" s="720" t="s">
        <v>787</v>
      </c>
      <c r="C300" s="743" t="s">
        <v>788</v>
      </c>
      <c r="D300" s="722" t="s">
        <v>789</v>
      </c>
      <c r="E300" s="721" t="s">
        <v>790</v>
      </c>
      <c r="F300" s="722" t="s">
        <v>791</v>
      </c>
      <c r="G300" s="662" t="s">
        <v>792</v>
      </c>
      <c r="H300" s="661" t="s">
        <v>793</v>
      </c>
      <c r="I300" s="663" t="s">
        <v>794</v>
      </c>
      <c r="J300" s="664" t="s">
        <v>795</v>
      </c>
      <c r="K300" s="665" t="s">
        <v>796</v>
      </c>
      <c r="L300" s="666" t="s">
        <v>797</v>
      </c>
      <c r="M300" s="666" t="s">
        <v>798</v>
      </c>
      <c r="N300" s="666" t="s">
        <v>799</v>
      </c>
      <c r="O300" s="723" t="s">
        <v>800</v>
      </c>
      <c r="P300" s="738" t="s">
        <v>801</v>
      </c>
      <c r="Q300" s="667" t="s">
        <v>802</v>
      </c>
      <c r="R300" s="667" t="s">
        <v>803</v>
      </c>
      <c r="S300" s="740" t="s">
        <v>804</v>
      </c>
      <c r="T300" s="667" t="s">
        <v>805</v>
      </c>
    </row>
    <row r="301">
      <c r="A301" s="708" t="s">
        <v>852</v>
      </c>
      <c r="B301" s="718" t="s">
        <v>815</v>
      </c>
      <c r="C301" s="724" t="s">
        <v>808</v>
      </c>
      <c r="D301" s="746">
        <f t="shared" ref="D301:D305" si="204">E301+F301</f>
      </c>
      <c r="E301" s="724">
        <v>1639.38</v>
      </c>
      <c r="F301" s="724">
        <v>2758.79</v>
      </c>
      <c r="G301" s="725">
        <v>15</v>
      </c>
      <c r="H301" s="670">
        <v>7291.98</v>
      </c>
      <c r="I301" s="672">
        <f t="shared" ref="I301:I316" si="142">H301/D301</f>
      </c>
      <c r="J301" s="672">
        <f t="shared" ref="J301:J316" si="111">D301/G301</f>
      </c>
      <c r="K301" s="673">
        <f t="shared" ref="K301:K316" si="80">H301/G301</f>
      </c>
      <c r="L301" s="674">
        <f t="shared" ref="L301:L316" si="49">R301/Q301</f>
      </c>
      <c r="M301" s="675">
        <f t="shared" ref="M301:M316" si="18">G301/S301</f>
      </c>
      <c r="N301" s="676">
        <f t="shared" ref="N301:N316" si="266">(T301*1000)/D301</f>
      </c>
      <c r="O301" s="677" t="s">
        <v>809</v>
      </c>
      <c r="P301" s="710" t="s">
        <v>810</v>
      </c>
      <c r="Q301" s="741">
        <v>69884</v>
      </c>
      <c r="R301" s="741">
        <v>5750</v>
      </c>
      <c r="S301" s="711">
        <v>22</v>
      </c>
      <c r="T301" s="711">
        <v>92</v>
      </c>
    </row>
    <row r="302">
      <c r="A302" s="708"/>
      <c r="B302" s="718" t="s">
        <v>815</v>
      </c>
      <c r="C302" s="696" t="s">
        <v>811</v>
      </c>
      <c r="D302" s="696">
        <f t="shared" si="204"/>
      </c>
      <c r="E302" s="742">
        <v>2352.13</v>
      </c>
      <c r="F302" s="696">
        <v>2102.44</v>
      </c>
      <c r="G302" s="709">
        <v>22</v>
      </c>
      <c r="H302" s="698">
        <v>13519.32</v>
      </c>
      <c r="I302" s="672">
        <f t="shared" si="142"/>
      </c>
      <c r="J302" s="672">
        <f t="shared" si="111"/>
      </c>
      <c r="K302" s="673">
        <f t="shared" si="80"/>
      </c>
      <c r="L302" s="674">
        <f t="shared" si="49"/>
      </c>
      <c r="M302" s="675">
        <f t="shared" si="18"/>
      </c>
      <c r="N302" s="676">
        <f t="shared" si="266"/>
      </c>
      <c r="O302" s="677" t="s">
        <v>809</v>
      </c>
      <c r="P302" s="710" t="s">
        <v>810</v>
      </c>
      <c r="Q302" s="679">
        <v>76143</v>
      </c>
      <c r="R302" s="679">
        <v>6790</v>
      </c>
      <c r="S302" s="711">
        <v>32</v>
      </c>
      <c r="T302" s="711">
        <v>106</v>
      </c>
    </row>
    <row r="303">
      <c r="A303" s="708"/>
      <c r="B303" s="718" t="s">
        <v>815</v>
      </c>
      <c r="C303" s="670" t="s">
        <v>812</v>
      </c>
      <c r="D303" s="670">
        <f t="shared" si="204"/>
      </c>
      <c r="E303" s="728">
        <v>2802.73</v>
      </c>
      <c r="F303" s="698">
        <v>3816.66</v>
      </c>
      <c r="G303" s="680">
        <v>22</v>
      </c>
      <c r="H303" s="681">
        <v>8632.55</v>
      </c>
      <c r="I303" s="672">
        <f t="shared" si="142"/>
      </c>
      <c r="J303" s="672">
        <f t="shared" si="111"/>
      </c>
      <c r="K303" s="673">
        <f t="shared" si="80"/>
      </c>
      <c r="L303" s="674">
        <f t="shared" si="49"/>
      </c>
      <c r="M303" s="675">
        <f t="shared" si="18"/>
      </c>
      <c r="N303" s="676">
        <f t="shared" si="266"/>
      </c>
      <c r="O303" s="677" t="s">
        <v>809</v>
      </c>
      <c r="P303" s="678" t="s">
        <v>827</v>
      </c>
      <c r="Q303" s="711">
        <v>97284</v>
      </c>
      <c r="R303" s="711">
        <v>10130</v>
      </c>
      <c r="S303" s="711">
        <v>37</v>
      </c>
      <c r="T303" s="711">
        <v>150</v>
      </c>
    </row>
    <row customHeight="true" ht="16.666666666666668" r="304">
      <c r="A304" s="708"/>
      <c r="B304" s="718" t="s">
        <v>815</v>
      </c>
      <c r="C304" s="670" t="s">
        <v>813</v>
      </c>
      <c r="D304" s="670">
        <f t="shared" si="204"/>
      </c>
      <c r="E304" s="728">
        <v>2750.48</v>
      </c>
      <c r="F304" s="698">
        <v>6851.14</v>
      </c>
      <c r="G304" s="680">
        <v>33</v>
      </c>
      <c r="H304" s="681">
        <v>18262.82</v>
      </c>
      <c r="I304" s="672">
        <f t="shared" si="142"/>
      </c>
      <c r="J304" s="672">
        <f t="shared" si="111"/>
      </c>
      <c r="K304" s="673">
        <f t="shared" si="80"/>
      </c>
      <c r="L304" s="674">
        <f t="shared" si="49"/>
      </c>
      <c r="M304" s="675">
        <f t="shared" si="18"/>
      </c>
      <c r="N304" s="676">
        <f t="shared" si="266"/>
      </c>
      <c r="O304" s="677" t="s">
        <v>809</v>
      </c>
      <c r="P304" s="678" t="s">
        <v>827</v>
      </c>
      <c r="Q304" s="711">
        <v>92362</v>
      </c>
      <c r="R304" s="711">
        <v>11638</v>
      </c>
      <c r="S304" s="711">
        <v>43</v>
      </c>
      <c r="T304" s="711">
        <v>180</v>
      </c>
    </row>
    <row r="305">
      <c r="A305" s="708"/>
      <c r="B305" s="718" t="s">
        <v>815</v>
      </c>
      <c r="C305" s="698" t="s">
        <v>816</v>
      </c>
      <c r="D305" s="670">
        <f t="shared" si="204"/>
      </c>
      <c r="E305" s="728">
        <v>2583.17</v>
      </c>
      <c r="F305" s="698">
        <v>4348.28</v>
      </c>
      <c r="G305" s="680">
        <v>22</v>
      </c>
      <c r="H305" s="681">
        <v>12431.120000000003</v>
      </c>
      <c r="I305" s="672">
        <f t="shared" si="142"/>
      </c>
      <c r="J305" s="672">
        <f t="shared" si="111"/>
      </c>
      <c r="K305" s="673">
        <f t="shared" si="80"/>
      </c>
      <c r="L305" s="674">
        <f t="shared" si="49"/>
      </c>
      <c r="M305" s="675">
        <f t="shared" si="18"/>
      </c>
      <c r="N305" s="676">
        <f t="shared" si="266"/>
      </c>
      <c r="O305" s="677" t="s">
        <v>809</v>
      </c>
      <c r="P305" s="678" t="s">
        <v>827</v>
      </c>
      <c r="Q305" s="711">
        <v>70516</v>
      </c>
      <c r="R305" s="711">
        <v>8599</v>
      </c>
      <c r="S305" s="711">
        <v>33</v>
      </c>
      <c r="T305" s="711">
        <v>178</v>
      </c>
    </row>
    <row r="306">
      <c r="A306" s="708"/>
      <c r="B306" s="730" t="s">
        <v>814</v>
      </c>
      <c r="C306" s="730"/>
      <c r="D306" s="685">
        <f>SUM(D301:D305)</f>
      </c>
      <c r="E306" s="685">
        <f>SUM(E301:E305)</f>
      </c>
      <c r="F306" s="685">
        <f>SUM(F301:F305)</f>
      </c>
      <c r="G306" s="687">
        <f>SUM(G301:G305)</f>
      </c>
      <c r="H306" s="685">
        <f>SUM(H301:H305)</f>
      </c>
      <c r="I306" s="688">
        <f t="shared" si="142"/>
      </c>
      <c r="J306" s="689">
        <f t="shared" si="111"/>
      </c>
      <c r="K306" s="690">
        <f t="shared" si="80"/>
      </c>
      <c r="L306" s="691">
        <f t="shared" si="49"/>
      </c>
      <c r="M306" s="691">
        <f t="shared" si="18"/>
      </c>
      <c r="N306" s="692">
        <f t="shared" si="266"/>
      </c>
      <c r="O306" s="692"/>
      <c r="P306" s="692"/>
      <c r="Q306" s="687">
        <f>SUM(Q301:Q305)</f>
      </c>
      <c r="R306" s="687">
        <f>SUM(R301:R305)</f>
      </c>
      <c r="S306" s="687">
        <f>SUM(S301:S305)</f>
      </c>
      <c r="T306" s="687">
        <f>SUM(T301:T305)</f>
      </c>
    </row>
    <row r="307">
      <c r="A307" s="708"/>
      <c r="B307" s="694" t="s">
        <v>807</v>
      </c>
      <c r="C307" s="670" t="s">
        <v>817</v>
      </c>
      <c r="D307" s="670">
        <f t="shared" ref="D307:D310" si="205">E307+F307</f>
      </c>
      <c r="E307" s="670">
        <v>1724.89</v>
      </c>
      <c r="F307" s="670">
        <v>3460.11</v>
      </c>
      <c r="G307" s="671">
        <v>17</v>
      </c>
      <c r="H307" s="670">
        <v>9561.120000000003</v>
      </c>
      <c r="I307" s="672">
        <f t="shared" si="142"/>
      </c>
      <c r="J307" s="672">
        <f t="shared" si="111"/>
      </c>
      <c r="K307" s="673">
        <f t="shared" si="80"/>
      </c>
      <c r="L307" s="674">
        <f t="shared" si="49"/>
      </c>
      <c r="M307" s="675">
        <f t="shared" si="18"/>
      </c>
      <c r="N307" s="676">
        <f t="shared" si="266"/>
      </c>
      <c r="O307" s="677" t="s">
        <v>809</v>
      </c>
      <c r="P307" s="678" t="s">
        <v>827</v>
      </c>
      <c r="Q307" s="717">
        <v>59887</v>
      </c>
      <c r="R307" s="717">
        <v>7168</v>
      </c>
      <c r="S307" s="717">
        <v>30</v>
      </c>
      <c r="T307" s="717">
        <v>146</v>
      </c>
    </row>
    <row r="308">
      <c r="A308" s="708"/>
      <c r="B308" s="694" t="s">
        <v>807</v>
      </c>
      <c r="C308" s="670" t="s">
        <v>818</v>
      </c>
      <c r="D308" s="670">
        <f t="shared" si="205"/>
      </c>
      <c r="E308" s="670">
        <v>2454.09</v>
      </c>
      <c r="F308" s="698">
        <v>4179.12</v>
      </c>
      <c r="G308" s="671">
        <v>16</v>
      </c>
      <c r="H308" s="670">
        <v>11229.660000000003</v>
      </c>
      <c r="I308" s="672">
        <f t="shared" si="142"/>
      </c>
      <c r="J308" s="672">
        <f t="shared" si="111"/>
      </c>
      <c r="K308" s="673">
        <f t="shared" si="80"/>
      </c>
      <c r="L308" s="674">
        <f t="shared" si="49"/>
      </c>
      <c r="M308" s="675">
        <f t="shared" si="18"/>
      </c>
      <c r="N308" s="676">
        <f t="shared" si="266"/>
      </c>
      <c r="O308" s="677" t="s">
        <v>809</v>
      </c>
      <c r="P308" s="678" t="s">
        <v>827</v>
      </c>
      <c r="Q308" s="697">
        <v>80817</v>
      </c>
      <c r="R308" s="697">
        <v>9176</v>
      </c>
      <c r="S308" s="717">
        <v>33</v>
      </c>
      <c r="T308" s="717">
        <v>188</v>
      </c>
    </row>
    <row r="309">
      <c r="A309" s="708"/>
      <c r="B309" s="694" t="s">
        <v>807</v>
      </c>
      <c r="C309" s="670" t="s">
        <v>819</v>
      </c>
      <c r="D309" s="670">
        <f t="shared" si="205"/>
      </c>
      <c r="E309" s="698">
        <v>2006.14</v>
      </c>
      <c r="F309" s="670">
        <v>5766.96</v>
      </c>
      <c r="G309" s="709">
        <v>32</v>
      </c>
      <c r="H309" s="698">
        <v>14832.449999999997</v>
      </c>
      <c r="I309" s="672">
        <f t="shared" si="142"/>
      </c>
      <c r="J309" s="672">
        <f t="shared" si="111"/>
      </c>
      <c r="K309" s="673">
        <f t="shared" si="80"/>
      </c>
      <c r="L309" s="674">
        <f t="shared" si="49"/>
      </c>
      <c r="M309" s="675">
        <f t="shared" si="18"/>
      </c>
      <c r="N309" s="676">
        <f t="shared" si="266"/>
      </c>
      <c r="O309" s="677" t="s">
        <v>809</v>
      </c>
      <c r="P309" s="710" t="s">
        <v>810</v>
      </c>
      <c r="Q309" s="717">
        <v>126127</v>
      </c>
      <c r="R309" s="697">
        <v>10532</v>
      </c>
      <c r="S309" s="717">
        <v>49</v>
      </c>
      <c r="T309" s="717">
        <v>243</v>
      </c>
    </row>
    <row r="310">
      <c r="A310" s="708"/>
      <c r="B310" s="694" t="s">
        <v>807</v>
      </c>
      <c r="C310" s="670" t="s">
        <v>830</v>
      </c>
      <c r="D310" s="670">
        <f t="shared" si="205"/>
      </c>
      <c r="E310" s="698">
        <v>1668.18</v>
      </c>
      <c r="F310" s="670">
        <v>6904.47</v>
      </c>
      <c r="G310" s="709">
        <v>49</v>
      </c>
      <c r="H310" s="670">
        <v>29750.61</v>
      </c>
      <c r="I310" s="672">
        <f t="shared" si="142"/>
      </c>
      <c r="J310" s="672">
        <f t="shared" si="111"/>
      </c>
      <c r="K310" s="673">
        <f t="shared" si="80"/>
      </c>
      <c r="L310" s="674">
        <f t="shared" si="49"/>
      </c>
      <c r="M310" s="675">
        <f t="shared" si="18"/>
      </c>
      <c r="N310" s="676">
        <f t="shared" si="266"/>
      </c>
      <c r="O310" s="677" t="s">
        <v>809</v>
      </c>
      <c r="P310" s="710" t="s">
        <v>810</v>
      </c>
      <c r="Q310" s="697">
        <v>190415</v>
      </c>
      <c r="R310" s="697">
        <v>14496</v>
      </c>
      <c r="S310" s="717">
        <v>68</v>
      </c>
      <c r="T310" s="717">
        <v>223</v>
      </c>
    </row>
    <row r="311">
      <c r="A311" s="708"/>
      <c r="B311" s="684" t="s">
        <v>814</v>
      </c>
      <c r="C311" s="684"/>
      <c r="D311" s="685">
        <f>SUM(D307:D310)</f>
      </c>
      <c r="E311" s="685">
        <f>SUM(E307:E310)</f>
      </c>
      <c r="F311" s="685">
        <f>SUM(F307:F310)</f>
      </c>
      <c r="G311" s="687">
        <f>SUM(G307:G310)</f>
      </c>
      <c r="H311" s="685">
        <f>SUM(H307:H310)</f>
      </c>
      <c r="I311" s="699">
        <f t="shared" si="142"/>
      </c>
      <c r="J311" s="689">
        <f t="shared" si="111"/>
      </c>
      <c r="K311" s="690">
        <f t="shared" si="80"/>
      </c>
      <c r="L311" s="691">
        <f t="shared" si="49"/>
      </c>
      <c r="M311" s="691">
        <f t="shared" si="18"/>
      </c>
      <c r="N311" s="692">
        <f t="shared" si="266"/>
      </c>
      <c r="O311" s="692"/>
      <c r="P311" s="692"/>
      <c r="Q311" s="687">
        <f>SUM(Q307:Q310)</f>
      </c>
      <c r="R311" s="687">
        <f>SUM(R307:R310)</f>
      </c>
      <c r="S311" s="687">
        <f>SUM(S307:S310)</f>
      </c>
      <c r="T311" s="687">
        <f>SUM(T307:T310)</f>
      </c>
    </row>
    <row r="312">
      <c r="A312" s="708"/>
      <c r="B312" s="718" t="s">
        <v>841</v>
      </c>
      <c r="C312" s="698" t="s">
        <v>831</v>
      </c>
      <c r="D312" s="670">
        <f t="shared" ref="D312:D314" si="206">E312+F312</f>
      </c>
      <c r="E312" s="670">
        <v>1512.74</v>
      </c>
      <c r="F312" s="670">
        <v>2555.01</v>
      </c>
      <c r="G312" s="671">
        <v>8</v>
      </c>
      <c r="H312" s="670">
        <v>5382.959999999992</v>
      </c>
      <c r="I312" s="672">
        <f t="shared" si="142"/>
      </c>
      <c r="J312" s="672">
        <f t="shared" si="111"/>
      </c>
      <c r="K312" s="673">
        <f t="shared" si="80"/>
      </c>
      <c r="L312" s="674">
        <f t="shared" si="49"/>
      </c>
      <c r="M312" s="675">
        <f t="shared" si="18"/>
      </c>
      <c r="N312" s="676">
        <f t="shared" si="266"/>
      </c>
      <c r="O312" s="677" t="s">
        <v>809</v>
      </c>
      <c r="P312" s="710" t="s">
        <v>810</v>
      </c>
      <c r="Q312" s="697">
        <v>73826</v>
      </c>
      <c r="R312" s="697">
        <v>3634</v>
      </c>
      <c r="S312" s="717">
        <v>13</v>
      </c>
      <c r="T312" s="717">
        <v>68</v>
      </c>
    </row>
    <row r="313">
      <c r="A313" s="708"/>
      <c r="B313" s="718" t="s">
        <v>841</v>
      </c>
      <c r="C313" s="698" t="s">
        <v>832</v>
      </c>
      <c r="D313" s="670">
        <f t="shared" si="206"/>
      </c>
      <c r="E313" s="670">
        <v>380.25</v>
      </c>
      <c r="F313" s="698">
        <v>4847.79</v>
      </c>
      <c r="G313" s="671">
        <v>9</v>
      </c>
      <c r="H313" s="670">
        <v>4640.679999999993</v>
      </c>
      <c r="I313" s="672">
        <f t="shared" si="142"/>
      </c>
      <c r="J313" s="672">
        <f t="shared" si="111"/>
      </c>
      <c r="K313" s="673">
        <f t="shared" si="80"/>
      </c>
      <c r="L313" s="674">
        <f t="shared" si="49"/>
      </c>
      <c r="M313" s="675">
        <f t="shared" si="18"/>
      </c>
      <c r="N313" s="676">
        <f t="shared" si="266"/>
      </c>
      <c r="O313" s="677" t="s">
        <v>809</v>
      </c>
      <c r="P313" s="710" t="s">
        <v>810</v>
      </c>
      <c r="Q313" s="697">
        <v>122147</v>
      </c>
      <c r="R313" s="697">
        <v>6103</v>
      </c>
      <c r="S313" s="717">
        <v>18</v>
      </c>
      <c r="T313" s="717">
        <v>73</v>
      </c>
    </row>
    <row r="314">
      <c r="A314" s="708"/>
      <c r="B314" s="718" t="s">
        <v>841</v>
      </c>
      <c r="C314" s="698" t="s">
        <v>833</v>
      </c>
      <c r="D314" s="670">
        <f t="shared" si="206"/>
      </c>
      <c r="E314" s="698">
        <v>27.86</v>
      </c>
      <c r="F314" s="670">
        <v>103.58</v>
      </c>
      <c r="G314" s="709">
        <v>0</v>
      </c>
      <c r="H314" s="698">
        <v>0</v>
      </c>
      <c r="I314" s="672">
        <f t="shared" si="142"/>
      </c>
      <c r="J314" s="672">
        <f t="shared" si="111"/>
      </c>
      <c r="K314" s="673">
        <f t="shared" si="80"/>
      </c>
      <c r="L314" s="674">
        <f t="shared" si="49"/>
      </c>
      <c r="M314" s="675">
        <f t="shared" si="18"/>
      </c>
      <c r="N314" s="676">
        <f t="shared" si="266"/>
      </c>
      <c r="O314" s="677" t="s">
        <v>809</v>
      </c>
      <c r="P314" s="710" t="s">
        <v>810</v>
      </c>
      <c r="Q314" s="697">
        <v>4868</v>
      </c>
      <c r="R314" s="697">
        <v>275</v>
      </c>
      <c r="S314" s="717">
        <v>0</v>
      </c>
      <c r="T314" s="717">
        <v>5</v>
      </c>
    </row>
    <row r="315">
      <c r="A315" s="708"/>
      <c r="B315" s="684" t="s">
        <v>814</v>
      </c>
      <c r="C315" s="684"/>
      <c r="D315" s="685">
        <f>SUM(D312:D314)</f>
      </c>
      <c r="E315" s="685">
        <f>SUM(E312:E314)</f>
      </c>
      <c r="F315" s="685">
        <f>SUM(F312:F314)</f>
      </c>
      <c r="G315" s="687">
        <f>SUM(G312:G314)</f>
      </c>
      <c r="H315" s="685">
        <f>SUM(H312:H314)</f>
      </c>
      <c r="I315" s="699">
        <f t="shared" si="142"/>
      </c>
      <c r="J315" s="689">
        <f t="shared" si="111"/>
      </c>
      <c r="K315" s="690">
        <f t="shared" si="80"/>
      </c>
      <c r="L315" s="691">
        <f t="shared" si="49"/>
      </c>
      <c r="M315" s="691">
        <f t="shared" si="18"/>
      </c>
      <c r="N315" s="692">
        <f t="shared" si="266"/>
      </c>
      <c r="O315" s="692"/>
      <c r="P315" s="692"/>
      <c r="Q315" s="687">
        <f>SUM(Q312:Q314)</f>
      </c>
      <c r="R315" s="687">
        <f>SUM(R312:R314)</f>
      </c>
      <c r="S315" s="687">
        <f>SUM(S312:S314)</f>
      </c>
      <c r="T315" s="687">
        <f>SUM(T312:T314)</f>
      </c>
    </row>
    <row r="316">
      <c r="A316" s="708"/>
      <c r="B316" s="700" t="s">
        <v>825</v>
      </c>
      <c r="C316" s="700"/>
      <c r="D316" s="701">
        <f>D306+D311+D315</f>
      </c>
      <c r="E316" s="701">
        <f>E306+E311+E315</f>
      </c>
      <c r="F316" s="701">
        <f>F306+F311+F315</f>
      </c>
      <c r="G316" s="702">
        <f>G306+G311+G315</f>
      </c>
      <c r="H316" s="701">
        <f>H306+H311+H315</f>
      </c>
      <c r="I316" s="703">
        <f t="shared" si="142"/>
      </c>
      <c r="J316" s="703">
        <f t="shared" si="111"/>
      </c>
      <c r="K316" s="704">
        <f t="shared" si="80"/>
      </c>
      <c r="L316" s="705">
        <f t="shared" si="49"/>
      </c>
      <c r="M316" s="705">
        <f t="shared" si="18"/>
      </c>
      <c r="N316" s="703">
        <f t="shared" si="266"/>
      </c>
      <c r="O316" s="706"/>
      <c r="P316" s="706"/>
      <c r="Q316" s="702">
        <f>Q306+Q311+Q315</f>
      </c>
      <c r="R316" s="702">
        <f>R306+R311+R315</f>
      </c>
      <c r="S316" s="702">
        <f>S306+S311+S315</f>
      </c>
      <c r="T316" s="702">
        <f>T306+T311+T315</f>
      </c>
    </row>
    <row r="317">
      <c r="A317" s="655" t="s">
        <v>782</v>
      </c>
      <c r="B317" s="655"/>
      <c r="C317" s="655"/>
      <c r="D317" s="656" t="s">
        <v>783</v>
      </c>
      <c r="E317" s="656"/>
      <c r="F317" s="656"/>
      <c r="G317" s="656"/>
      <c r="H317" s="656"/>
      <c r="I317" s="656"/>
      <c r="J317" s="656"/>
      <c r="K317" s="656"/>
      <c r="L317" s="666" t="s">
        <v>784</v>
      </c>
      <c r="M317" s="666"/>
      <c r="N317" s="666"/>
      <c r="O317" s="666"/>
      <c r="P317" s="666"/>
      <c r="Q317" s="737" t="s">
        <v>785</v>
      </c>
      <c r="R317" s="737"/>
      <c r="S317" s="737"/>
      <c r="T317" s="737"/>
    </row>
    <row r="318">
      <c r="A318" s="660" t="s">
        <v>786</v>
      </c>
      <c r="B318" s="720" t="s">
        <v>787</v>
      </c>
      <c r="C318" s="743" t="s">
        <v>788</v>
      </c>
      <c r="D318" s="722" t="s">
        <v>789</v>
      </c>
      <c r="E318" s="721" t="s">
        <v>790</v>
      </c>
      <c r="F318" s="722" t="s">
        <v>791</v>
      </c>
      <c r="G318" s="662" t="s">
        <v>792</v>
      </c>
      <c r="H318" s="661" t="s">
        <v>793</v>
      </c>
      <c r="I318" s="663" t="s">
        <v>794</v>
      </c>
      <c r="J318" s="664" t="s">
        <v>795</v>
      </c>
      <c r="K318" s="665" t="s">
        <v>796</v>
      </c>
      <c r="L318" s="666" t="s">
        <v>797</v>
      </c>
      <c r="M318" s="666" t="s">
        <v>798</v>
      </c>
      <c r="N318" s="666" t="s">
        <v>799</v>
      </c>
      <c r="O318" s="723" t="s">
        <v>800</v>
      </c>
      <c r="P318" s="738" t="s">
        <v>801</v>
      </c>
      <c r="Q318" s="667" t="s">
        <v>802</v>
      </c>
      <c r="R318" s="667" t="s">
        <v>803</v>
      </c>
      <c r="S318" s="740" t="s">
        <v>804</v>
      </c>
      <c r="T318" s="667" t="s">
        <v>805</v>
      </c>
    </row>
    <row r="319">
      <c r="A319" s="708" t="s">
        <v>853</v>
      </c>
      <c r="B319" s="694" t="s">
        <v>807</v>
      </c>
      <c r="C319" s="724" t="s">
        <v>808</v>
      </c>
      <c r="D319" s="746">
        <f t="shared" ref="D319:D322" si="207">E319+F319</f>
      </c>
      <c r="E319" s="724">
        <v>2096.55</v>
      </c>
      <c r="F319" s="724">
        <v>8096.43</v>
      </c>
      <c r="G319" s="725">
        <v>33</v>
      </c>
      <c r="H319" s="670">
        <v>19742.11</v>
      </c>
      <c r="I319" s="672">
        <f t="shared" ref="I319:I333" si="143">H319/D319</f>
      </c>
      <c r="J319" s="672">
        <f t="shared" ref="J319:J333" si="112">D319/G319</f>
      </c>
      <c r="K319" s="673">
        <f t="shared" ref="K319:K333" si="81">H319/G319</f>
      </c>
      <c r="L319" s="674">
        <f t="shared" ref="L319:L333" si="50">R319/Q319</f>
      </c>
      <c r="M319" s="675">
        <f t="shared" ref="M319:M333" si="19">G319/S319</f>
      </c>
      <c r="N319" s="676">
        <f t="shared" ref="N319:N333" si="267">(T319*1000)/D319</f>
      </c>
      <c r="O319" s="677" t="s">
        <v>809</v>
      </c>
      <c r="P319" s="678" t="s">
        <v>827</v>
      </c>
      <c r="Q319" s="741">
        <v>158407</v>
      </c>
      <c r="R319" s="741">
        <v>18645</v>
      </c>
      <c r="S319" s="711">
        <v>62</v>
      </c>
      <c r="T319" s="711">
        <v>289</v>
      </c>
    </row>
    <row r="320">
      <c r="A320" s="708"/>
      <c r="B320" s="694" t="s">
        <v>807</v>
      </c>
      <c r="C320" s="696" t="s">
        <v>811</v>
      </c>
      <c r="D320" s="696">
        <f t="shared" si="207"/>
      </c>
      <c r="E320" s="742">
        <v>1596.02</v>
      </c>
      <c r="F320" s="696">
        <v>17592.68</v>
      </c>
      <c r="G320" s="709">
        <v>74</v>
      </c>
      <c r="H320" s="698">
        <v>41290.68</v>
      </c>
      <c r="I320" s="672">
        <f t="shared" si="143"/>
      </c>
      <c r="J320" s="672">
        <f t="shared" si="112"/>
      </c>
      <c r="K320" s="673">
        <f t="shared" si="81"/>
      </c>
      <c r="L320" s="674">
        <f t="shared" si="50"/>
      </c>
      <c r="M320" s="675">
        <f t="shared" si="19"/>
      </c>
      <c r="N320" s="676">
        <f t="shared" si="267"/>
      </c>
      <c r="O320" s="677" t="s">
        <v>809</v>
      </c>
      <c r="P320" s="678" t="s">
        <v>827</v>
      </c>
      <c r="Q320" s="679">
        <v>449454</v>
      </c>
      <c r="R320" s="679">
        <v>31774</v>
      </c>
      <c r="S320" s="711">
        <v>110</v>
      </c>
      <c r="T320" s="711">
        <v>429</v>
      </c>
    </row>
    <row r="321">
      <c r="A321" s="708"/>
      <c r="B321" s="694" t="s">
        <v>807</v>
      </c>
      <c r="C321" s="670" t="s">
        <v>812</v>
      </c>
      <c r="D321" s="670">
        <f t="shared" si="207"/>
      </c>
      <c r="E321" s="728">
        <v>3413.06</v>
      </c>
      <c r="F321" s="698">
        <v>19608.07</v>
      </c>
      <c r="G321" s="680">
        <v>100</v>
      </c>
      <c r="H321" s="681">
        <v>53120.579999999994</v>
      </c>
      <c r="I321" s="672">
        <f t="shared" si="143"/>
      </c>
      <c r="J321" s="672">
        <f t="shared" si="112"/>
      </c>
      <c r="K321" s="673">
        <f t="shared" si="81"/>
      </c>
      <c r="L321" s="674">
        <f t="shared" si="50"/>
      </c>
      <c r="M321" s="675">
        <f t="shared" si="19"/>
      </c>
      <c r="N321" s="676">
        <f t="shared" si="267"/>
      </c>
      <c r="O321" s="677" t="s">
        <v>809</v>
      </c>
      <c r="P321" s="678" t="s">
        <v>827</v>
      </c>
      <c r="Q321" s="711">
        <v>392771</v>
      </c>
      <c r="R321" s="711">
        <v>40269</v>
      </c>
      <c r="S321" s="711">
        <v>134</v>
      </c>
      <c r="T321" s="711">
        <v>518</v>
      </c>
    </row>
    <row r="322">
      <c r="A322" s="708"/>
      <c r="B322" s="694" t="s">
        <v>807</v>
      </c>
      <c r="C322" s="670" t="s">
        <v>813</v>
      </c>
      <c r="D322" s="670">
        <f t="shared" si="207"/>
      </c>
      <c r="E322" s="728">
        <v>3810.65</v>
      </c>
      <c r="F322" s="698">
        <v>14648.43</v>
      </c>
      <c r="G322" s="680">
        <v>66</v>
      </c>
      <c r="H322" s="681">
        <v>39319.119999999995</v>
      </c>
      <c r="I322" s="672">
        <f t="shared" si="143"/>
      </c>
      <c r="J322" s="672">
        <f t="shared" si="112"/>
      </c>
      <c r="K322" s="673">
        <f t="shared" si="81"/>
      </c>
      <c r="L322" s="674">
        <f t="shared" si="50"/>
      </c>
      <c r="M322" s="675">
        <f t="shared" si="19"/>
      </c>
      <c r="N322" s="676">
        <f t="shared" si="267"/>
      </c>
      <c r="O322" s="677" t="s">
        <v>809</v>
      </c>
      <c r="P322" s="678" t="s">
        <v>827</v>
      </c>
      <c r="Q322" s="711">
        <v>268001</v>
      </c>
      <c r="R322" s="711">
        <v>28476</v>
      </c>
      <c r="S322" s="711">
        <v>104</v>
      </c>
      <c r="T322" s="711">
        <v>391</v>
      </c>
    </row>
    <row r="323">
      <c r="A323" s="708"/>
      <c r="B323" s="730" t="s">
        <v>814</v>
      </c>
      <c r="C323" s="730"/>
      <c r="D323" s="685">
        <f>SUM(D319:D322)</f>
      </c>
      <c r="E323" s="685">
        <f>SUM(E319:E322)</f>
      </c>
      <c r="F323" s="685">
        <f>SUM(F319:F322)</f>
      </c>
      <c r="G323" s="687">
        <f>SUM(G319:G322)</f>
      </c>
      <c r="H323" s="685">
        <f>SUM(H319:H322)</f>
      </c>
      <c r="I323" s="688">
        <f t="shared" si="143"/>
      </c>
      <c r="J323" s="689">
        <f t="shared" si="112"/>
      </c>
      <c r="K323" s="690">
        <f t="shared" si="81"/>
      </c>
      <c r="L323" s="691">
        <f t="shared" si="50"/>
      </c>
      <c r="M323" s="691">
        <f t="shared" si="19"/>
      </c>
      <c r="N323" s="692">
        <f t="shared" si="267"/>
      </c>
      <c r="O323" s="692"/>
      <c r="P323" s="692"/>
      <c r="Q323" s="687">
        <f>SUM(Q319:Q322)</f>
      </c>
      <c r="R323" s="687">
        <f>SUM(R319:R322)</f>
      </c>
      <c r="S323" s="687">
        <f>SUM(S319:S322)</f>
      </c>
      <c r="T323" s="687">
        <f>SUM(T319:T322)</f>
      </c>
    </row>
    <row r="324">
      <c r="A324" s="708"/>
      <c r="B324" s="718" t="s">
        <v>815</v>
      </c>
      <c r="C324" s="698" t="s">
        <v>816</v>
      </c>
      <c r="D324" s="670">
        <f t="shared" ref="D324:D327" si="208">E324+F324</f>
      </c>
      <c r="E324" s="670">
        <v>7150.37</v>
      </c>
      <c r="F324" s="670">
        <v>10973</v>
      </c>
      <c r="G324" s="671">
        <v>68</v>
      </c>
      <c r="H324" s="670">
        <v>44355.78</v>
      </c>
      <c r="I324" s="672">
        <f t="shared" si="143"/>
      </c>
      <c r="J324" s="672">
        <f t="shared" si="112"/>
      </c>
      <c r="K324" s="673">
        <f t="shared" si="81"/>
      </c>
      <c r="L324" s="674">
        <f t="shared" si="50"/>
      </c>
      <c r="M324" s="675">
        <f t="shared" si="19"/>
      </c>
      <c r="N324" s="676">
        <f t="shared" si="267"/>
      </c>
      <c r="O324" s="677" t="s">
        <v>809</v>
      </c>
      <c r="P324" s="678" t="s">
        <v>827</v>
      </c>
      <c r="Q324" s="717">
        <v>270514</v>
      </c>
      <c r="R324" s="717">
        <v>26848</v>
      </c>
      <c r="S324" s="717">
        <v>100</v>
      </c>
      <c r="T324" s="717">
        <v>269</v>
      </c>
    </row>
    <row r="325">
      <c r="A325" s="708"/>
      <c r="B325" s="718" t="s">
        <v>815</v>
      </c>
      <c r="C325" s="670" t="s">
        <v>817</v>
      </c>
      <c r="D325" s="670">
        <f t="shared" si="208"/>
      </c>
      <c r="E325" s="670">
        <v>7698.33</v>
      </c>
      <c r="F325" s="698">
        <v>9520.54</v>
      </c>
      <c r="G325" s="671">
        <v>54</v>
      </c>
      <c r="H325" s="670">
        <v>40304.42000000001</v>
      </c>
      <c r="I325" s="672">
        <f t="shared" si="143"/>
      </c>
      <c r="J325" s="672">
        <f t="shared" si="112"/>
      </c>
      <c r="K325" s="673">
        <f t="shared" si="81"/>
      </c>
      <c r="L325" s="674">
        <f t="shared" si="50"/>
      </c>
      <c r="M325" s="675">
        <f t="shared" si="19"/>
      </c>
      <c r="N325" s="676">
        <f t="shared" si="267"/>
      </c>
      <c r="O325" s="677" t="s">
        <v>809</v>
      </c>
      <c r="P325" s="678" t="s">
        <v>827</v>
      </c>
      <c r="Q325" s="697">
        <v>272407</v>
      </c>
      <c r="R325" s="697">
        <v>28145</v>
      </c>
      <c r="S325" s="717">
        <v>76</v>
      </c>
      <c r="T325" s="717">
        <v>293</v>
      </c>
    </row>
    <row r="326">
      <c r="A326" s="708"/>
      <c r="B326" s="718" t="s">
        <v>815</v>
      </c>
      <c r="C326" s="670" t="s">
        <v>818</v>
      </c>
      <c r="D326" s="670">
        <f t="shared" si="208"/>
      </c>
      <c r="E326" s="698">
        <v>8047.09</v>
      </c>
      <c r="F326" s="670">
        <v>10185.59</v>
      </c>
      <c r="G326" s="709">
        <v>48</v>
      </c>
      <c r="H326" s="698">
        <v>24892.159999999974</v>
      </c>
      <c r="I326" s="672">
        <f t="shared" si="143"/>
      </c>
      <c r="J326" s="672">
        <f t="shared" si="112"/>
      </c>
      <c r="K326" s="673">
        <f t="shared" si="81"/>
      </c>
      <c r="L326" s="674">
        <f t="shared" si="50"/>
      </c>
      <c r="M326" s="675">
        <f t="shared" si="19"/>
      </c>
      <c r="N326" s="676">
        <f t="shared" si="267"/>
      </c>
      <c r="O326" s="677" t="s">
        <v>809</v>
      </c>
      <c r="P326" s="678" t="s">
        <v>827</v>
      </c>
      <c r="Q326" s="717">
        <v>319137</v>
      </c>
      <c r="R326" s="697">
        <v>31786</v>
      </c>
      <c r="S326" s="717">
        <v>76</v>
      </c>
      <c r="T326" s="717">
        <v>362</v>
      </c>
    </row>
    <row r="327">
      <c r="A327" s="708"/>
      <c r="B327" s="718" t="s">
        <v>815</v>
      </c>
      <c r="C327" s="670" t="s">
        <v>819</v>
      </c>
      <c r="D327" s="670">
        <f t="shared" si="208"/>
      </c>
      <c r="E327" s="698">
        <v>4519.92</v>
      </c>
      <c r="F327" s="670">
        <v>4393.41</v>
      </c>
      <c r="G327" s="709">
        <v>27</v>
      </c>
      <c r="H327" s="670">
        <v>20665.330000000016</v>
      </c>
      <c r="I327" s="672">
        <f t="shared" si="143"/>
      </c>
      <c r="J327" s="672">
        <f t="shared" si="112"/>
      </c>
      <c r="K327" s="673">
        <f t="shared" si="81"/>
      </c>
      <c r="L327" s="674">
        <f t="shared" si="50"/>
      </c>
      <c r="M327" s="675">
        <f t="shared" si="19"/>
      </c>
      <c r="N327" s="676">
        <f t="shared" si="267"/>
      </c>
      <c r="O327" s="677" t="s">
        <v>809</v>
      </c>
      <c r="P327" s="678" t="s">
        <v>827</v>
      </c>
      <c r="Q327" s="697">
        <v>130799</v>
      </c>
      <c r="R327" s="697">
        <v>13840</v>
      </c>
      <c r="S327" s="717">
        <v>34</v>
      </c>
      <c r="T327" s="717">
        <v>147</v>
      </c>
    </row>
    <row r="328">
      <c r="A328" s="708"/>
      <c r="B328" s="684" t="s">
        <v>814</v>
      </c>
      <c r="C328" s="684"/>
      <c r="D328" s="685">
        <f>SUM(D324:D327)</f>
      </c>
      <c r="E328" s="685">
        <f>SUM(E324:E327)</f>
      </c>
      <c r="F328" s="685">
        <f>SUM(F324:F327)</f>
      </c>
      <c r="G328" s="687">
        <f>SUM(G324:G327)</f>
      </c>
      <c r="H328" s="685">
        <f>SUM(H324:H327)</f>
      </c>
      <c r="I328" s="699">
        <f t="shared" si="143"/>
      </c>
      <c r="J328" s="689">
        <f t="shared" si="112"/>
      </c>
      <c r="K328" s="690">
        <f t="shared" si="81"/>
      </c>
      <c r="L328" s="691">
        <f t="shared" si="50"/>
      </c>
      <c r="M328" s="691">
        <f t="shared" si="19"/>
      </c>
      <c r="N328" s="692">
        <f t="shared" si="267"/>
      </c>
      <c r="O328" s="692"/>
      <c r="P328" s="692"/>
      <c r="Q328" s="687">
        <f>SUM(Q324:Q327)</f>
      </c>
      <c r="R328" s="687">
        <f>SUM(R324:R327)</f>
      </c>
      <c r="S328" s="687">
        <f>SUM(S324:S327)</f>
      </c>
      <c r="T328" s="687">
        <f>SUM(T324:T327)</f>
      </c>
    </row>
    <row r="329">
      <c r="A329" s="708"/>
      <c r="B329" s="718" t="s">
        <v>841</v>
      </c>
      <c r="C329" s="670" t="s">
        <v>830</v>
      </c>
      <c r="D329" s="670">
        <f t="shared" ref="D329:D331" si="209">E329+F329</f>
      </c>
      <c r="E329" s="670">
        <v>2073.62</v>
      </c>
      <c r="F329" s="670">
        <v>5007.71</v>
      </c>
      <c r="G329" s="671">
        <v>15</v>
      </c>
      <c r="H329" s="670">
        <v>10927.799999999988</v>
      </c>
      <c r="I329" s="672">
        <f t="shared" si="143"/>
      </c>
      <c r="J329" s="672">
        <f t="shared" si="112"/>
      </c>
      <c r="K329" s="673">
        <f t="shared" si="81"/>
      </c>
      <c r="L329" s="674">
        <f t="shared" si="50"/>
      </c>
      <c r="M329" s="675">
        <f t="shared" si="19"/>
      </c>
      <c r="N329" s="676">
        <f t="shared" si="267"/>
      </c>
      <c r="O329" s="677" t="s">
        <v>809</v>
      </c>
      <c r="P329" s="678" t="s">
        <v>827</v>
      </c>
      <c r="Q329" s="697">
        <v>106186</v>
      </c>
      <c r="R329" s="697">
        <v>10954</v>
      </c>
      <c r="S329" s="717">
        <v>28</v>
      </c>
      <c r="T329" s="717">
        <v>105</v>
      </c>
    </row>
    <row r="330">
      <c r="A330" s="708"/>
      <c r="B330" s="718" t="s">
        <v>841</v>
      </c>
      <c r="C330" s="698" t="s">
        <v>831</v>
      </c>
      <c r="D330" s="670">
        <f t="shared" si="209"/>
      </c>
      <c r="E330" s="670">
        <v>2322.17</v>
      </c>
      <c r="F330" s="698">
        <v>5058.43</v>
      </c>
      <c r="G330" s="671">
        <v>17</v>
      </c>
      <c r="H330" s="670">
        <v>6353.559999999998</v>
      </c>
      <c r="I330" s="672">
        <f t="shared" si="143"/>
      </c>
      <c r="J330" s="672">
        <f t="shared" si="112"/>
      </c>
      <c r="K330" s="673">
        <f t="shared" si="81"/>
      </c>
      <c r="L330" s="674">
        <f t="shared" si="50"/>
      </c>
      <c r="M330" s="675">
        <f t="shared" si="19"/>
      </c>
      <c r="N330" s="676">
        <f t="shared" si="267"/>
      </c>
      <c r="O330" s="677" t="s">
        <v>809</v>
      </c>
      <c r="P330" s="678" t="s">
        <v>827</v>
      </c>
      <c r="Q330" s="697">
        <v>133905</v>
      </c>
      <c r="R330" s="697">
        <v>11438</v>
      </c>
      <c r="S330" s="717">
        <v>27</v>
      </c>
      <c r="T330" s="717">
        <v>105</v>
      </c>
    </row>
    <row r="331">
      <c r="A331" s="708"/>
      <c r="B331" s="718" t="s">
        <v>841</v>
      </c>
      <c r="C331" s="698" t="s">
        <v>832</v>
      </c>
      <c r="D331" s="670">
        <f t="shared" si="209"/>
      </c>
      <c r="E331" s="698">
        <v>3037.6600000000003</v>
      </c>
      <c r="F331" s="670">
        <v>5361.77</v>
      </c>
      <c r="G331" s="709">
        <v>29</v>
      </c>
      <c r="H331" s="698">
        <v>24610.330000000016</v>
      </c>
      <c r="I331" s="672">
        <f t="shared" si="143"/>
      </c>
      <c r="J331" s="672">
        <f t="shared" si="112"/>
      </c>
      <c r="K331" s="673">
        <f t="shared" si="81"/>
      </c>
      <c r="L331" s="674">
        <f t="shared" si="50"/>
      </c>
      <c r="M331" s="675">
        <f t="shared" si="19"/>
      </c>
      <c r="N331" s="676">
        <f t="shared" si="267"/>
      </c>
      <c r="O331" s="677" t="s">
        <v>809</v>
      </c>
      <c r="P331" s="710" t="s">
        <v>810</v>
      </c>
      <c r="Q331" s="697">
        <v>166794</v>
      </c>
      <c r="R331" s="697">
        <v>13445</v>
      </c>
      <c r="S331" s="717">
        <v>37</v>
      </c>
      <c r="T331" s="717">
        <v>173</v>
      </c>
    </row>
    <row r="332">
      <c r="A332" s="708"/>
      <c r="B332" s="684" t="s">
        <v>814</v>
      </c>
      <c r="C332" s="684"/>
      <c r="D332" s="685">
        <f>SUM(D329:D331)</f>
      </c>
      <c r="E332" s="685">
        <f>SUM(E329:E331)</f>
      </c>
      <c r="F332" s="685">
        <f>SUM(F329:F331)</f>
      </c>
      <c r="G332" s="687">
        <f>SUM(G329:G331)</f>
      </c>
      <c r="H332" s="685">
        <f>SUM(H329:H331)</f>
      </c>
      <c r="I332" s="699">
        <f t="shared" si="143"/>
      </c>
      <c r="J332" s="689">
        <f t="shared" si="112"/>
      </c>
      <c r="K332" s="690">
        <f t="shared" si="81"/>
      </c>
      <c r="L332" s="691">
        <f t="shared" si="50"/>
      </c>
      <c r="M332" s="691">
        <f t="shared" si="19"/>
      </c>
      <c r="N332" s="692">
        <f t="shared" si="267"/>
      </c>
      <c r="O332" s="692"/>
      <c r="P332" s="692"/>
      <c r="Q332" s="687">
        <f>SUM(Q329:Q331)</f>
      </c>
      <c r="R332" s="687">
        <f>SUM(R329:R331)</f>
      </c>
      <c r="S332" s="687">
        <f>SUM(S329:S331)</f>
      </c>
      <c r="T332" s="687">
        <f>SUM(T329:T331)</f>
      </c>
    </row>
    <row r="333">
      <c r="A333" s="708"/>
      <c r="B333" s="700" t="s">
        <v>825</v>
      </c>
      <c r="C333" s="700"/>
      <c r="D333" s="701">
        <f>D323+D328+D332</f>
      </c>
      <c r="E333" s="701">
        <f>E323+E328+E332</f>
      </c>
      <c r="F333" s="701">
        <f>F323+F328+F332</f>
      </c>
      <c r="G333" s="702">
        <f>G323+G328+G332</f>
      </c>
      <c r="H333" s="701">
        <f>H323+H328+H332</f>
      </c>
      <c r="I333" s="703">
        <f t="shared" si="143"/>
      </c>
      <c r="J333" s="703">
        <f t="shared" si="112"/>
      </c>
      <c r="K333" s="704">
        <f t="shared" si="81"/>
      </c>
      <c r="L333" s="705">
        <f t="shared" si="50"/>
      </c>
      <c r="M333" s="705">
        <f t="shared" si="19"/>
      </c>
      <c r="N333" s="703">
        <f t="shared" si="267"/>
      </c>
      <c r="O333" s="706"/>
      <c r="P333" s="706"/>
      <c r="Q333" s="702">
        <f>Q323+Q328+Q332</f>
      </c>
      <c r="R333" s="702">
        <f>R323+R328+R332</f>
      </c>
      <c r="S333" s="702">
        <f>S323+S328+S332</f>
      </c>
      <c r="T333" s="702">
        <f>T323+T328+T332</f>
      </c>
    </row>
    <row r="334">
      <c r="A334" s="655" t="s">
        <v>782</v>
      </c>
      <c r="B334" s="655"/>
      <c r="C334" s="655"/>
      <c r="D334" s="656" t="s">
        <v>783</v>
      </c>
      <c r="E334" s="656"/>
      <c r="F334" s="656"/>
      <c r="G334" s="656"/>
      <c r="H334" s="656"/>
      <c r="I334" s="656"/>
      <c r="J334" s="656"/>
      <c r="K334" s="656"/>
      <c r="L334" s="666" t="s">
        <v>784</v>
      </c>
      <c r="M334" s="666"/>
      <c r="N334" s="666"/>
      <c r="O334" s="666"/>
      <c r="P334" s="666"/>
      <c r="Q334" s="737" t="s">
        <v>785</v>
      </c>
      <c r="R334" s="737"/>
      <c r="S334" s="737"/>
      <c r="T334" s="737"/>
    </row>
    <row r="335">
      <c r="A335" s="660" t="s">
        <v>786</v>
      </c>
      <c r="B335" s="720" t="s">
        <v>787</v>
      </c>
      <c r="C335" s="743" t="s">
        <v>788</v>
      </c>
      <c r="D335" s="722" t="s">
        <v>789</v>
      </c>
      <c r="E335" s="721" t="s">
        <v>790</v>
      </c>
      <c r="F335" s="722" t="s">
        <v>791</v>
      </c>
      <c r="G335" s="662" t="s">
        <v>792</v>
      </c>
      <c r="H335" s="661" t="s">
        <v>793</v>
      </c>
      <c r="I335" s="663" t="s">
        <v>794</v>
      </c>
      <c r="J335" s="664" t="s">
        <v>795</v>
      </c>
      <c r="K335" s="665" t="s">
        <v>796</v>
      </c>
      <c r="L335" s="666" t="s">
        <v>797</v>
      </c>
      <c r="M335" s="666" t="s">
        <v>798</v>
      </c>
      <c r="N335" s="666" t="s">
        <v>799</v>
      </c>
      <c r="O335" s="723" t="s">
        <v>800</v>
      </c>
      <c r="P335" s="738" t="s">
        <v>801</v>
      </c>
      <c r="Q335" s="667" t="s">
        <v>802</v>
      </c>
      <c r="R335" s="667" t="s">
        <v>803</v>
      </c>
      <c r="S335" s="740" t="s">
        <v>804</v>
      </c>
      <c r="T335" s="667" t="s">
        <v>805</v>
      </c>
    </row>
    <row r="336">
      <c r="A336" s="708" t="s">
        <v>854</v>
      </c>
      <c r="B336" s="718" t="s">
        <v>837</v>
      </c>
      <c r="C336" s="670" t="s">
        <v>808</v>
      </c>
      <c r="D336" s="746">
        <f t="shared" ref="D336:D339" si="210">E336+F336</f>
      </c>
      <c r="E336" s="670">
        <v>1268.69</v>
      </c>
      <c r="F336" s="670">
        <v>3067.28</v>
      </c>
      <c r="G336" s="747">
        <v>15</v>
      </c>
      <c r="H336" s="670">
        <v>11420.52</v>
      </c>
      <c r="I336" s="672">
        <f t="shared" ref="I336:I351" si="144">H336/D336</f>
      </c>
      <c r="J336" s="672">
        <f t="shared" ref="J336:J351" si="113">D336/G336</f>
      </c>
      <c r="K336" s="673">
        <f t="shared" ref="K336:K351" si="82">H336/G336</f>
      </c>
      <c r="L336" s="674">
        <f t="shared" ref="L336:L351" si="51">R336/Q336</f>
      </c>
      <c r="M336" s="675">
        <f t="shared" ref="M336:M351" si="20">G336/S336</f>
      </c>
      <c r="N336" s="676">
        <f t="shared" ref="N336:N351" si="268">(T336*1000)/D336</f>
      </c>
      <c r="O336" s="677" t="s">
        <v>809</v>
      </c>
      <c r="P336" s="678" t="s">
        <v>827</v>
      </c>
      <c r="Q336" s="741">
        <v>51436</v>
      </c>
      <c r="R336" s="741">
        <v>7859</v>
      </c>
      <c r="S336" s="711">
        <v>21</v>
      </c>
      <c r="T336" s="711">
        <v>110</v>
      </c>
    </row>
    <row r="337">
      <c r="A337" s="668"/>
      <c r="B337" s="718" t="s">
        <v>837</v>
      </c>
      <c r="C337" s="696" t="s">
        <v>811</v>
      </c>
      <c r="D337" s="746">
        <f t="shared" si="210"/>
      </c>
      <c r="E337" s="727">
        <v>1568.44</v>
      </c>
      <c r="F337" s="696">
        <v>2109.72</v>
      </c>
      <c r="G337" s="671">
        <v>16</v>
      </c>
      <c r="H337" s="670">
        <v>10756.599999999999</v>
      </c>
      <c r="I337" s="672">
        <f t="shared" si="144"/>
      </c>
      <c r="J337" s="672">
        <f t="shared" si="113"/>
      </c>
      <c r="K337" s="673">
        <f t="shared" si="82"/>
      </c>
      <c r="L337" s="674">
        <f t="shared" si="51"/>
      </c>
      <c r="M337" s="675">
        <f t="shared" si="20"/>
      </c>
      <c r="N337" s="676">
        <f t="shared" si="268"/>
      </c>
      <c r="O337" s="677" t="s">
        <v>809</v>
      </c>
      <c r="P337" s="678" t="s">
        <v>827</v>
      </c>
      <c r="Q337" s="679">
        <v>38859</v>
      </c>
      <c r="R337" s="679">
        <v>5340</v>
      </c>
      <c r="S337" s="711">
        <v>24</v>
      </c>
      <c r="T337" s="711">
        <v>99</v>
      </c>
    </row>
    <row r="338">
      <c r="A338" s="668"/>
      <c r="B338" s="718" t="s">
        <v>837</v>
      </c>
      <c r="C338" s="670" t="s">
        <v>812</v>
      </c>
      <c r="D338" s="746">
        <f t="shared" si="210"/>
      </c>
      <c r="E338" s="728">
        <v>1578.13</v>
      </c>
      <c r="F338" s="670">
        <v>982.91</v>
      </c>
      <c r="G338" s="680">
        <v>7</v>
      </c>
      <c r="H338" s="681">
        <v>4234.919999999998</v>
      </c>
      <c r="I338" s="672">
        <f t="shared" si="144"/>
      </c>
      <c r="J338" s="672">
        <f t="shared" si="113"/>
      </c>
      <c r="K338" s="673">
        <f t="shared" si="82"/>
      </c>
      <c r="L338" s="674">
        <f t="shared" si="51"/>
      </c>
      <c r="M338" s="675">
        <f t="shared" si="20"/>
      </c>
      <c r="N338" s="676">
        <f t="shared" si="268"/>
      </c>
      <c r="O338" s="677" t="s">
        <v>809</v>
      </c>
      <c r="P338" s="678" t="s">
        <v>827</v>
      </c>
      <c r="Q338" s="679">
        <v>25005</v>
      </c>
      <c r="R338" s="679">
        <v>3419</v>
      </c>
      <c r="S338" s="711">
        <v>9</v>
      </c>
      <c r="T338" s="711">
        <v>86</v>
      </c>
    </row>
    <row r="339">
      <c r="A339" s="668"/>
      <c r="B339" s="718" t="s">
        <v>837</v>
      </c>
      <c r="C339" s="670" t="s">
        <v>813</v>
      </c>
      <c r="D339" s="746">
        <f t="shared" si="210"/>
      </c>
      <c r="E339" s="728">
        <v>1403.96</v>
      </c>
      <c r="F339" s="670">
        <v>1122.71</v>
      </c>
      <c r="G339" s="680">
        <v>4</v>
      </c>
      <c r="H339" s="681">
        <v>3149.640000000003</v>
      </c>
      <c r="I339" s="672">
        <f t="shared" si="144"/>
      </c>
      <c r="J339" s="672">
        <f t="shared" si="113"/>
      </c>
      <c r="K339" s="673">
        <f t="shared" si="82"/>
      </c>
      <c r="L339" s="674">
        <f t="shared" si="51"/>
      </c>
      <c r="M339" s="675">
        <f t="shared" si="20"/>
      </c>
      <c r="N339" s="676">
        <f t="shared" si="268"/>
      </c>
      <c r="O339" s="677" t="s">
        <v>809</v>
      </c>
      <c r="P339" s="678" t="s">
        <v>827</v>
      </c>
      <c r="Q339" s="679">
        <v>23999</v>
      </c>
      <c r="R339" s="679">
        <v>2936</v>
      </c>
      <c r="S339" s="711">
        <v>8</v>
      </c>
      <c r="T339" s="711">
        <v>66</v>
      </c>
    </row>
    <row r="340">
      <c r="A340" s="668"/>
      <c r="B340" s="730" t="s">
        <v>814</v>
      </c>
      <c r="C340" s="730"/>
      <c r="D340" s="685">
        <f>SUM(D336:D339)</f>
      </c>
      <c r="E340" s="685">
        <f>SUM(E336:E339)</f>
      </c>
      <c r="F340" s="685">
        <f>SUM(F336:F339)</f>
      </c>
      <c r="G340" s="687">
        <f>SUM(G336:G339)</f>
      </c>
      <c r="H340" s="685">
        <f>SUM(H336:H339)</f>
      </c>
      <c r="I340" s="688">
        <f t="shared" si="144"/>
      </c>
      <c r="J340" s="689">
        <f t="shared" si="113"/>
      </c>
      <c r="K340" s="690">
        <f t="shared" si="82"/>
      </c>
      <c r="L340" s="691">
        <f t="shared" si="51"/>
      </c>
      <c r="M340" s="691">
        <f t="shared" si="20"/>
      </c>
      <c r="N340" s="692">
        <f t="shared" si="268"/>
      </c>
      <c r="O340" s="692"/>
      <c r="P340" s="692"/>
      <c r="Q340" s="687">
        <f>SUM(Q336:Q339)</f>
      </c>
      <c r="R340" s="687">
        <f>SUM(R336:R339)</f>
      </c>
      <c r="S340" s="687">
        <f>SUM(S336:S339)</f>
      </c>
      <c r="T340" s="687">
        <f>SUM(T336:T339)</f>
      </c>
    </row>
    <row r="341">
      <c r="A341" s="668"/>
      <c r="B341" s="694" t="s">
        <v>815</v>
      </c>
      <c r="C341" s="670" t="s">
        <v>816</v>
      </c>
      <c r="D341" s="746">
        <f t="shared" ref="D341:D344" si="211">E341+F341</f>
      </c>
      <c r="E341" s="670">
        <v>2056.32</v>
      </c>
      <c r="F341" s="670">
        <v>1284.13</v>
      </c>
      <c r="G341" s="671">
        <v>9</v>
      </c>
      <c r="H341" s="670">
        <v>2398.0800000000017</v>
      </c>
      <c r="I341" s="672">
        <f t="shared" si="144"/>
      </c>
      <c r="J341" s="672">
        <f t="shared" si="113"/>
      </c>
      <c r="K341" s="673">
        <f t="shared" si="82"/>
      </c>
      <c r="L341" s="674">
        <f t="shared" si="51"/>
      </c>
      <c r="M341" s="675">
        <f t="shared" si="20"/>
      </c>
      <c r="N341" s="676">
        <f t="shared" si="268"/>
      </c>
      <c r="O341" s="677" t="s">
        <v>809</v>
      </c>
      <c r="P341" s="678" t="s">
        <v>827</v>
      </c>
      <c r="Q341" s="697">
        <v>36386</v>
      </c>
      <c r="R341" s="697">
        <v>4544</v>
      </c>
      <c r="S341" s="717">
        <v>14</v>
      </c>
      <c r="T341" s="717">
        <v>90</v>
      </c>
    </row>
    <row r="342">
      <c r="A342" s="668"/>
      <c r="B342" s="694" t="s">
        <v>815</v>
      </c>
      <c r="C342" s="670" t="s">
        <v>817</v>
      </c>
      <c r="D342" s="746">
        <f t="shared" si="211"/>
      </c>
      <c r="E342" s="670">
        <v>2716.34</v>
      </c>
      <c r="F342" s="670">
        <v>1294.52</v>
      </c>
      <c r="G342" s="671">
        <v>14</v>
      </c>
      <c r="H342" s="670">
        <v>8499.96</v>
      </c>
      <c r="I342" s="672">
        <f t="shared" si="144"/>
      </c>
      <c r="J342" s="672">
        <f t="shared" si="113"/>
      </c>
      <c r="K342" s="673">
        <f t="shared" si="82"/>
      </c>
      <c r="L342" s="674">
        <f t="shared" si="51"/>
      </c>
      <c r="M342" s="675">
        <f t="shared" si="20"/>
      </c>
      <c r="N342" s="676">
        <f t="shared" si="268"/>
      </c>
      <c r="O342" s="677" t="s">
        <v>809</v>
      </c>
      <c r="P342" s="678" t="s">
        <v>827</v>
      </c>
      <c r="Q342" s="697">
        <v>38465</v>
      </c>
      <c r="R342" s="697">
        <v>4803</v>
      </c>
      <c r="S342" s="717">
        <v>22</v>
      </c>
      <c r="T342" s="717">
        <v>86</v>
      </c>
    </row>
    <row r="343">
      <c r="A343" s="668"/>
      <c r="B343" s="694" t="s">
        <v>815</v>
      </c>
      <c r="C343" s="670" t="s">
        <v>818</v>
      </c>
      <c r="D343" s="746">
        <f t="shared" si="211"/>
      </c>
      <c r="E343" s="670">
        <v>5048.6</v>
      </c>
      <c r="F343" s="670">
        <v>948.4</v>
      </c>
      <c r="G343" s="671">
        <v>28</v>
      </c>
      <c r="H343" s="670">
        <v>16182.720000000001</v>
      </c>
      <c r="I343" s="672">
        <f t="shared" si="144"/>
      </c>
      <c r="J343" s="672">
        <f t="shared" si="113"/>
      </c>
      <c r="K343" s="673">
        <f t="shared" si="82"/>
      </c>
      <c r="L343" s="674">
        <f t="shared" si="51"/>
      </c>
      <c r="M343" s="675">
        <f t="shared" si="20"/>
      </c>
      <c r="N343" s="676">
        <f t="shared" si="268"/>
      </c>
      <c r="O343" s="677" t="s">
        <v>809</v>
      </c>
      <c r="P343" s="678" t="s">
        <v>827</v>
      </c>
      <c r="Q343" s="697">
        <v>59626</v>
      </c>
      <c r="R343" s="697">
        <v>8635</v>
      </c>
      <c r="S343" s="717">
        <v>45</v>
      </c>
      <c r="T343" s="717">
        <v>115</v>
      </c>
    </row>
    <row r="344">
      <c r="A344" s="668"/>
      <c r="B344" s="694" t="s">
        <v>815</v>
      </c>
      <c r="C344" s="670" t="s">
        <v>819</v>
      </c>
      <c r="D344" s="746">
        <f t="shared" si="211"/>
      </c>
      <c r="E344" s="670">
        <v>5755.98</v>
      </c>
      <c r="F344" s="670">
        <v>1751.21</v>
      </c>
      <c r="G344" s="671">
        <v>29</v>
      </c>
      <c r="H344" s="670">
        <v>19733.709999999992</v>
      </c>
      <c r="I344" s="672">
        <f t="shared" si="144"/>
      </c>
      <c r="J344" s="672">
        <f t="shared" si="113"/>
      </c>
      <c r="K344" s="673">
        <f t="shared" si="82"/>
      </c>
      <c r="L344" s="674">
        <f t="shared" si="51"/>
      </c>
      <c r="M344" s="675">
        <f t="shared" si="20"/>
      </c>
      <c r="N344" s="676">
        <f t="shared" si="268"/>
      </c>
      <c r="O344" s="677" t="s">
        <v>809</v>
      </c>
      <c r="P344" s="678" t="s">
        <v>827</v>
      </c>
      <c r="Q344" s="697">
        <v>74397</v>
      </c>
      <c r="R344" s="697">
        <v>10903</v>
      </c>
      <c r="S344" s="717">
        <v>43</v>
      </c>
      <c r="T344" s="717">
        <v>157</v>
      </c>
    </row>
    <row r="345">
      <c r="A345" s="668"/>
      <c r="B345" s="684" t="s">
        <v>814</v>
      </c>
      <c r="C345" s="684"/>
      <c r="D345" s="685">
        <f>SUM(D341:D344)</f>
      </c>
      <c r="E345" s="685">
        <f>SUM(E341:E344)</f>
      </c>
      <c r="F345" s="685">
        <f>SUM(F341:F344)</f>
      </c>
      <c r="G345" s="687">
        <f>SUM(G341:G344)</f>
      </c>
      <c r="H345" s="685">
        <f>SUM(H341:H344)</f>
      </c>
      <c r="I345" s="699">
        <f t="shared" si="144"/>
      </c>
      <c r="J345" s="689">
        <f t="shared" si="113"/>
      </c>
      <c r="K345" s="690">
        <f t="shared" si="82"/>
      </c>
      <c r="L345" s="691">
        <f t="shared" si="51"/>
      </c>
      <c r="M345" s="691">
        <f t="shared" si="20"/>
      </c>
      <c r="N345" s="692">
        <f t="shared" si="268"/>
      </c>
      <c r="O345" s="692"/>
      <c r="P345" s="692"/>
      <c r="Q345" s="687">
        <f>SUM(Q341:Q344)</f>
      </c>
      <c r="R345" s="687">
        <f>SUM(R341:R344)</f>
      </c>
      <c r="S345" s="687">
        <f>SUM(S341:S344)</f>
      </c>
      <c r="T345" s="687">
        <f>SUM(T341:T344)</f>
      </c>
    </row>
    <row r="346">
      <c r="A346" s="668"/>
      <c r="B346" s="694" t="s">
        <v>841</v>
      </c>
      <c r="C346" s="670" t="s">
        <v>830</v>
      </c>
      <c r="D346" s="746">
        <f t="shared" ref="D346:D349" si="212">E346+F346</f>
      </c>
      <c r="E346" s="670">
        <v>3469.22</v>
      </c>
      <c r="F346" s="670">
        <v>830.29</v>
      </c>
      <c r="G346" s="671">
        <v>16</v>
      </c>
      <c r="H346" s="670">
        <v>8467.12000000001</v>
      </c>
      <c r="I346" s="672">
        <f t="shared" si="144"/>
      </c>
      <c r="J346" s="672">
        <f t="shared" si="113"/>
      </c>
      <c r="K346" s="673">
        <f t="shared" si="82"/>
      </c>
      <c r="L346" s="674">
        <f t="shared" si="51"/>
      </c>
      <c r="M346" s="675">
        <f t="shared" si="20"/>
      </c>
      <c r="N346" s="676">
        <f t="shared" si="268"/>
      </c>
      <c r="O346" s="677" t="s">
        <v>809</v>
      </c>
      <c r="P346" s="678" t="s">
        <v>827</v>
      </c>
      <c r="Q346" s="697">
        <v>42862</v>
      </c>
      <c r="R346" s="697">
        <v>5848</v>
      </c>
      <c r="S346" s="717">
        <v>23</v>
      </c>
      <c r="T346" s="717">
        <v>86</v>
      </c>
    </row>
    <row r="347">
      <c r="A347" s="668"/>
      <c r="B347" s="694" t="s">
        <v>841</v>
      </c>
      <c r="C347" s="670" t="s">
        <v>831</v>
      </c>
      <c r="D347" s="746">
        <f t="shared" si="212"/>
      </c>
      <c r="E347" s="670">
        <v>4116.13</v>
      </c>
      <c r="F347" s="670">
        <v>527.94</v>
      </c>
      <c r="G347" s="671">
        <v>18</v>
      </c>
      <c r="H347" s="670">
        <v>18782.289999999994</v>
      </c>
      <c r="I347" s="672">
        <f t="shared" si="144"/>
      </c>
      <c r="J347" s="672">
        <f t="shared" si="113"/>
      </c>
      <c r="K347" s="673">
        <f t="shared" si="82"/>
      </c>
      <c r="L347" s="674">
        <f t="shared" si="51"/>
      </c>
      <c r="M347" s="675">
        <f t="shared" si="20"/>
      </c>
      <c r="N347" s="676">
        <f t="shared" si="268"/>
      </c>
      <c r="O347" s="677" t="s">
        <v>809</v>
      </c>
      <c r="P347" s="678" t="s">
        <v>827</v>
      </c>
      <c r="Q347" s="697">
        <v>48481</v>
      </c>
      <c r="R347" s="697">
        <v>6368</v>
      </c>
      <c r="S347" s="717">
        <v>26</v>
      </c>
      <c r="T347" s="717">
        <v>92</v>
      </c>
    </row>
    <row customHeight="true" ht="16.666666666666668" r="348">
      <c r="A348" s="668"/>
      <c r="B348" s="694" t="s">
        <v>841</v>
      </c>
      <c r="C348" s="670" t="s">
        <v>832</v>
      </c>
      <c r="D348" s="746">
        <f t="shared" si="212"/>
      </c>
      <c r="E348" s="670">
        <v>3950.57</v>
      </c>
      <c r="F348" s="670">
        <v>212.46</v>
      </c>
      <c r="G348" s="671">
        <v>9</v>
      </c>
      <c r="H348" s="670">
        <v>6016.940000000002</v>
      </c>
      <c r="I348" s="672">
        <f t="shared" si="144"/>
      </c>
      <c r="J348" s="672">
        <f t="shared" si="113"/>
      </c>
      <c r="K348" s="673">
        <f t="shared" si="82"/>
      </c>
      <c r="L348" s="674">
        <f t="shared" si="51"/>
      </c>
      <c r="M348" s="675">
        <f t="shared" si="20"/>
      </c>
      <c r="N348" s="676">
        <f t="shared" si="268"/>
      </c>
      <c r="O348" s="677" t="s">
        <v>809</v>
      </c>
      <c r="P348" s="678" t="s">
        <v>810</v>
      </c>
      <c r="Q348" s="697">
        <v>44390</v>
      </c>
      <c r="R348" s="697">
        <v>5743</v>
      </c>
      <c r="S348" s="717">
        <v>13</v>
      </c>
      <c r="T348" s="717">
        <v>75</v>
      </c>
    </row>
    <row r="349">
      <c r="A349" s="668"/>
      <c r="B349" s="694" t="s">
        <v>841</v>
      </c>
      <c r="C349" s="670" t="s">
        <v>833</v>
      </c>
      <c r="D349" s="746">
        <f t="shared" si="212"/>
      </c>
      <c r="E349" s="670">
        <v>1049.53</v>
      </c>
      <c r="F349" s="670">
        <v>220.31</v>
      </c>
      <c r="G349" s="671">
        <v>9</v>
      </c>
      <c r="H349" s="670">
        <v>8716.229999999996</v>
      </c>
      <c r="I349" s="672">
        <f t="shared" si="144"/>
      </c>
      <c r="J349" s="672">
        <f t="shared" si="113"/>
      </c>
      <c r="K349" s="673">
        <f t="shared" si="82"/>
      </c>
      <c r="L349" s="674">
        <f t="shared" si="51"/>
      </c>
      <c r="M349" s="675">
        <f t="shared" si="20"/>
      </c>
      <c r="N349" s="676">
        <f t="shared" si="268"/>
      </c>
      <c r="O349" s="677" t="s">
        <v>809</v>
      </c>
      <c r="P349" s="678" t="s">
        <v>810</v>
      </c>
      <c r="Q349" s="697">
        <v>21874</v>
      </c>
      <c r="R349" s="697">
        <v>2076</v>
      </c>
      <c r="S349" s="717">
        <v>10</v>
      </c>
      <c r="T349" s="717">
        <v>27</v>
      </c>
    </row>
    <row r="350">
      <c r="A350" s="668"/>
      <c r="B350" s="684" t="s">
        <v>814</v>
      </c>
      <c r="C350" s="684"/>
      <c r="D350" s="685">
        <f>SUM(D346:D349)</f>
      </c>
      <c r="E350" s="685">
        <f>SUM(E346:E349)</f>
      </c>
      <c r="F350" s="685">
        <f>SUM(F346:F349)</f>
      </c>
      <c r="G350" s="687">
        <f>SUM(G346:G349)</f>
      </c>
      <c r="H350" s="685">
        <f>SUM(H346:H349)</f>
      </c>
      <c r="I350" s="699">
        <f t="shared" si="144"/>
      </c>
      <c r="J350" s="689">
        <f t="shared" si="113"/>
      </c>
      <c r="K350" s="690">
        <f t="shared" si="82"/>
      </c>
      <c r="L350" s="691">
        <f t="shared" si="51"/>
      </c>
      <c r="M350" s="691">
        <f t="shared" si="20"/>
      </c>
      <c r="N350" s="692">
        <f t="shared" si="268"/>
      </c>
      <c r="O350" s="692"/>
      <c r="P350" s="692"/>
      <c r="Q350" s="687">
        <f>SUM(Q346:Q349)</f>
      </c>
      <c r="R350" s="687">
        <f>SUM(R346:R349)</f>
      </c>
      <c r="S350" s="687">
        <f>SUM(S346:S349)</f>
      </c>
      <c r="T350" s="687">
        <f>SUM(T346:T349)</f>
      </c>
    </row>
    <row r="351">
      <c r="A351" s="668"/>
      <c r="B351" s="700" t="s">
        <v>825</v>
      </c>
      <c r="C351" s="700"/>
      <c r="D351" s="701">
        <f>D340+D345+D350</f>
      </c>
      <c r="E351" s="701">
        <f>E340+E345+E350</f>
      </c>
      <c r="F351" s="701">
        <f>F340+F345+F350</f>
      </c>
      <c r="G351" s="702">
        <f>G340+G345+G350</f>
      </c>
      <c r="H351" s="701">
        <f>H340+H345+H350</f>
      </c>
      <c r="I351" s="703">
        <f t="shared" si="144"/>
      </c>
      <c r="J351" s="703">
        <f t="shared" si="113"/>
      </c>
      <c r="K351" s="704">
        <f t="shared" si="82"/>
      </c>
      <c r="L351" s="705">
        <f t="shared" si="51"/>
      </c>
      <c r="M351" s="705">
        <f t="shared" si="20"/>
      </c>
      <c r="N351" s="703">
        <f t="shared" si="268"/>
      </c>
      <c r="O351" s="706"/>
      <c r="P351" s="706"/>
      <c r="Q351" s="702">
        <f>Q340+Q345+Q350</f>
      </c>
      <c r="R351" s="702">
        <f>R340+R345+R350</f>
      </c>
      <c r="S351" s="702">
        <f>S340+S345+S350</f>
      </c>
      <c r="T351" s="702">
        <f>T340+T345+T350</f>
      </c>
    </row>
    <row r="352">
      <c r="A352" s="655" t="s">
        <v>782</v>
      </c>
      <c r="B352" s="655"/>
      <c r="C352" s="655"/>
      <c r="D352" s="656" t="s">
        <v>783</v>
      </c>
      <c r="E352" s="656"/>
      <c r="F352" s="656"/>
      <c r="G352" s="656"/>
      <c r="H352" s="656"/>
      <c r="I352" s="656"/>
      <c r="J352" s="656"/>
      <c r="K352" s="656"/>
      <c r="L352" s="666" t="s">
        <v>784</v>
      </c>
      <c r="M352" s="666"/>
      <c r="N352" s="666"/>
      <c r="O352" s="666"/>
      <c r="P352" s="666"/>
      <c r="Q352" s="737" t="s">
        <v>785</v>
      </c>
      <c r="R352" s="737"/>
      <c r="S352" s="737"/>
      <c r="T352" s="737"/>
    </row>
    <row r="353">
      <c r="A353" s="660" t="s">
        <v>786</v>
      </c>
      <c r="B353" s="720" t="s">
        <v>787</v>
      </c>
      <c r="C353" s="743" t="s">
        <v>788</v>
      </c>
      <c r="D353" s="722" t="s">
        <v>789</v>
      </c>
      <c r="E353" s="721" t="s">
        <v>790</v>
      </c>
      <c r="F353" s="722" t="s">
        <v>791</v>
      </c>
      <c r="G353" s="662" t="s">
        <v>792</v>
      </c>
      <c r="H353" s="661" t="s">
        <v>793</v>
      </c>
      <c r="I353" s="663" t="s">
        <v>794</v>
      </c>
      <c r="J353" s="664" t="s">
        <v>795</v>
      </c>
      <c r="K353" s="665" t="s">
        <v>796</v>
      </c>
      <c r="L353" s="666" t="s">
        <v>797</v>
      </c>
      <c r="M353" s="666" t="s">
        <v>798</v>
      </c>
      <c r="N353" s="666" t="s">
        <v>799</v>
      </c>
      <c r="O353" s="723" t="s">
        <v>800</v>
      </c>
      <c r="P353" s="738" t="s">
        <v>801</v>
      </c>
      <c r="Q353" s="667" t="s">
        <v>802</v>
      </c>
      <c r="R353" s="667" t="s">
        <v>803</v>
      </c>
      <c r="S353" s="740" t="s">
        <v>804</v>
      </c>
      <c r="T353" s="667" t="s">
        <v>805</v>
      </c>
    </row>
    <row r="354">
      <c r="A354" s="708" t="s">
        <v>855</v>
      </c>
      <c r="B354" s="694" t="s">
        <v>815</v>
      </c>
      <c r="C354" s="670" t="s">
        <v>808</v>
      </c>
      <c r="D354" s="746">
        <f t="shared" ref="D354:D358" si="213">E354+F354</f>
      </c>
      <c r="E354" s="670">
        <v>1395.65</v>
      </c>
      <c r="F354" s="670">
        <v>1065.03</v>
      </c>
      <c r="G354" s="725">
        <v>7</v>
      </c>
      <c r="H354" s="670">
        <v>3833.88</v>
      </c>
      <c r="I354" s="672">
        <f t="shared" ref="I354:I369" si="145">H354/D354</f>
      </c>
      <c r="J354" s="672">
        <f t="shared" ref="J354:J369" si="114">D354/G354</f>
      </c>
      <c r="K354" s="673">
        <f t="shared" ref="K354:K369" si="83">H354/G354</f>
      </c>
      <c r="L354" s="674">
        <f t="shared" ref="L354:L369" si="52">R354/Q354</f>
      </c>
      <c r="M354" s="675">
        <f t="shared" ref="M354:M369" si="21">G354/S354</f>
      </c>
      <c r="N354" s="676">
        <f t="shared" ref="N354:N369" si="269">(T354*1000)/D354</f>
      </c>
      <c r="O354" s="677" t="s">
        <v>809</v>
      </c>
      <c r="P354" s="678" t="s">
        <v>827</v>
      </c>
      <c r="Q354" s="741">
        <v>37147</v>
      </c>
      <c r="R354" s="741">
        <v>3371</v>
      </c>
      <c r="S354" s="711">
        <v>11</v>
      </c>
      <c r="T354" s="711">
        <v>59</v>
      </c>
    </row>
    <row r="355">
      <c r="A355" s="708"/>
      <c r="B355" s="694" t="s">
        <v>815</v>
      </c>
      <c r="C355" s="696" t="s">
        <v>811</v>
      </c>
      <c r="D355" s="746">
        <f t="shared" si="213"/>
      </c>
      <c r="E355" s="727">
        <v>2025.43</v>
      </c>
      <c r="F355" s="696">
        <v>1675.56</v>
      </c>
      <c r="G355" s="671">
        <v>19</v>
      </c>
      <c r="H355" s="670">
        <v>10126.46</v>
      </c>
      <c r="I355" s="672">
        <f t="shared" si="145"/>
      </c>
      <c r="J355" s="672">
        <f t="shared" si="114"/>
      </c>
      <c r="K355" s="673">
        <f t="shared" si="83"/>
      </c>
      <c r="L355" s="674">
        <f t="shared" si="52"/>
      </c>
      <c r="M355" s="675">
        <f t="shared" si="21"/>
      </c>
      <c r="N355" s="676">
        <f t="shared" si="269"/>
      </c>
      <c r="O355" s="677" t="s">
        <v>809</v>
      </c>
      <c r="P355" s="678" t="s">
        <v>827</v>
      </c>
      <c r="Q355" s="679">
        <v>64754</v>
      </c>
      <c r="R355" s="679">
        <v>5119</v>
      </c>
      <c r="S355" s="711">
        <v>24</v>
      </c>
      <c r="T355" s="711">
        <v>94</v>
      </c>
    </row>
    <row r="356">
      <c r="A356" s="708"/>
      <c r="B356" s="694" t="s">
        <v>815</v>
      </c>
      <c r="C356" s="670" t="s">
        <v>812</v>
      </c>
      <c r="D356" s="746">
        <f t="shared" si="213"/>
      </c>
      <c r="E356" s="728">
        <v>1903.89</v>
      </c>
      <c r="F356" s="670">
        <v>2963.1</v>
      </c>
      <c r="G356" s="680">
        <v>21</v>
      </c>
      <c r="H356" s="681">
        <v>13717.34</v>
      </c>
      <c r="I356" s="672">
        <f t="shared" si="145"/>
      </c>
      <c r="J356" s="672">
        <f t="shared" si="114"/>
      </c>
      <c r="K356" s="673">
        <f t="shared" si="83"/>
      </c>
      <c r="L356" s="674">
        <f t="shared" si="52"/>
      </c>
      <c r="M356" s="675">
        <f t="shared" si="21"/>
      </c>
      <c r="N356" s="676">
        <f t="shared" si="269"/>
      </c>
      <c r="O356" s="677" t="s">
        <v>809</v>
      </c>
      <c r="P356" s="678" t="s">
        <v>827</v>
      </c>
      <c r="Q356" s="679">
        <v>60535</v>
      </c>
      <c r="R356" s="679">
        <v>4698</v>
      </c>
      <c r="S356" s="711">
        <v>29</v>
      </c>
      <c r="T356" s="711">
        <v>106</v>
      </c>
    </row>
    <row customHeight="true" ht="16.666666666666668" r="357">
      <c r="A357" s="708"/>
      <c r="B357" s="694" t="s">
        <v>815</v>
      </c>
      <c r="C357" s="670" t="s">
        <v>813</v>
      </c>
      <c r="D357" s="746">
        <f t="shared" si="213"/>
      </c>
      <c r="E357" s="728">
        <v>2023.05</v>
      </c>
      <c r="F357" s="670">
        <v>2366.15</v>
      </c>
      <c r="G357" s="680">
        <v>10</v>
      </c>
      <c r="H357" s="719">
        <v>8117.52</v>
      </c>
      <c r="I357" s="672">
        <f t="shared" si="145"/>
      </c>
      <c r="J357" s="672">
        <f t="shared" si="114"/>
      </c>
      <c r="K357" s="673">
        <f t="shared" si="83"/>
      </c>
      <c r="L357" s="674">
        <f t="shared" si="52"/>
      </c>
      <c r="M357" s="675">
        <f t="shared" si="21"/>
      </c>
      <c r="N357" s="676">
        <f t="shared" si="269"/>
      </c>
      <c r="O357" s="677" t="s">
        <v>809</v>
      </c>
      <c r="P357" s="678" t="s">
        <v>827</v>
      </c>
      <c r="Q357" s="697">
        <v>99179</v>
      </c>
      <c r="R357" s="697">
        <v>5681</v>
      </c>
      <c r="S357" s="717">
        <v>16</v>
      </c>
      <c r="T357" s="717">
        <v>84</v>
      </c>
    </row>
    <row r="358">
      <c r="A358" s="708"/>
      <c r="B358" s="694" t="s">
        <v>815</v>
      </c>
      <c r="C358" s="670" t="s">
        <v>816</v>
      </c>
      <c r="D358" s="746">
        <f t="shared" si="213"/>
      </c>
      <c r="E358" s="728">
        <v>1607.99</v>
      </c>
      <c r="F358" s="670">
        <v>1129.32</v>
      </c>
      <c r="G358" s="680">
        <v>9</v>
      </c>
      <c r="H358" s="681">
        <v>3776.9199999999983</v>
      </c>
      <c r="I358" s="672">
        <f t="shared" si="145"/>
      </c>
      <c r="J358" s="672">
        <f t="shared" si="114"/>
      </c>
      <c r="K358" s="673">
        <f t="shared" si="83"/>
      </c>
      <c r="L358" s="674">
        <f t="shared" si="52"/>
      </c>
      <c r="M358" s="675">
        <f t="shared" si="21"/>
      </c>
      <c r="N358" s="676">
        <f t="shared" si="269"/>
      </c>
      <c r="O358" s="677" t="s">
        <v>809</v>
      </c>
      <c r="P358" s="678" t="s">
        <v>827</v>
      </c>
      <c r="Q358" s="679">
        <v>60885</v>
      </c>
      <c r="R358" s="679">
        <v>3372</v>
      </c>
      <c r="S358" s="711">
        <v>14</v>
      </c>
      <c r="T358" s="711">
        <v>70</v>
      </c>
    </row>
    <row r="359">
      <c r="A359" s="708"/>
      <c r="B359" s="730" t="s">
        <v>814</v>
      </c>
      <c r="C359" s="730"/>
      <c r="D359" s="685">
        <f>SUM(D354:D358)</f>
      </c>
      <c r="E359" s="685">
        <f>SUM(E354:E358)</f>
      </c>
      <c r="F359" s="685">
        <f>SUM(F354:F358)</f>
      </c>
      <c r="G359" s="687">
        <f>SUM(G354:G358)</f>
      </c>
      <c r="H359" s="685">
        <f>SUM(H354:H358)</f>
      </c>
      <c r="I359" s="688">
        <f t="shared" si="145"/>
      </c>
      <c r="J359" s="689">
        <f t="shared" si="114"/>
      </c>
      <c r="K359" s="690">
        <f t="shared" si="83"/>
      </c>
      <c r="L359" s="691">
        <f t="shared" si="52"/>
      </c>
      <c r="M359" s="691">
        <f t="shared" si="21"/>
      </c>
      <c r="N359" s="692">
        <f t="shared" si="269"/>
      </c>
      <c r="O359" s="692"/>
      <c r="P359" s="692"/>
      <c r="Q359" s="687">
        <f>SUM(Q354:Q358)</f>
      </c>
      <c r="R359" s="687">
        <f>SUM(R354:R358)</f>
      </c>
      <c r="S359" s="687">
        <f>SUM(S354:S358)</f>
      </c>
      <c r="T359" s="687">
        <f>SUM(T354:T358)</f>
      </c>
    </row>
    <row r="360">
      <c r="A360" s="708"/>
      <c r="B360" s="718" t="s">
        <v>807</v>
      </c>
      <c r="C360" s="670" t="s">
        <v>817</v>
      </c>
      <c r="D360" s="746">
        <f t="shared" ref="D360:D363" si="214">E360+F360</f>
      </c>
      <c r="E360" s="670">
        <v>1951.1</v>
      </c>
      <c r="F360" s="670">
        <v>918.34</v>
      </c>
      <c r="G360" s="671">
        <v>7</v>
      </c>
      <c r="H360" s="670">
        <v>1968</v>
      </c>
      <c r="I360" s="672">
        <f t="shared" si="145"/>
      </c>
      <c r="J360" s="672">
        <f t="shared" si="114"/>
      </c>
      <c r="K360" s="673">
        <f t="shared" si="83"/>
      </c>
      <c r="L360" s="674">
        <f t="shared" si="52"/>
      </c>
      <c r="M360" s="675">
        <f t="shared" si="21"/>
      </c>
      <c r="N360" s="676">
        <f t="shared" si="269"/>
      </c>
      <c r="O360" s="677" t="s">
        <v>809</v>
      </c>
      <c r="P360" s="678" t="s">
        <v>827</v>
      </c>
      <c r="Q360" s="697">
        <v>65247</v>
      </c>
      <c r="R360" s="697">
        <v>3408</v>
      </c>
      <c r="S360" s="717">
        <v>10</v>
      </c>
      <c r="T360" s="717">
        <v>74</v>
      </c>
    </row>
    <row r="361">
      <c r="A361" s="708"/>
      <c r="B361" s="718" t="s">
        <v>807</v>
      </c>
      <c r="C361" s="670" t="s">
        <v>818</v>
      </c>
      <c r="D361" s="746">
        <f t="shared" si="214"/>
      </c>
      <c r="E361" s="670">
        <v>1415.7</v>
      </c>
      <c r="F361" s="670">
        <v>1366.76</v>
      </c>
      <c r="G361" s="671">
        <v>9</v>
      </c>
      <c r="H361" s="670">
        <v>3284.2000000000044</v>
      </c>
      <c r="I361" s="672">
        <f t="shared" si="145"/>
      </c>
      <c r="J361" s="672">
        <f t="shared" si="114"/>
      </c>
      <c r="K361" s="673">
        <f t="shared" si="83"/>
      </c>
      <c r="L361" s="674">
        <f t="shared" si="52"/>
      </c>
      <c r="M361" s="675">
        <f t="shared" si="21"/>
      </c>
      <c r="N361" s="676">
        <f t="shared" si="269"/>
      </c>
      <c r="O361" s="677" t="s">
        <v>809</v>
      </c>
      <c r="P361" s="678" t="s">
        <v>827</v>
      </c>
      <c r="Q361" s="697">
        <v>67440</v>
      </c>
      <c r="R361" s="697">
        <v>3138</v>
      </c>
      <c r="S361" s="717">
        <v>19</v>
      </c>
      <c r="T361" s="717">
        <v>57</v>
      </c>
    </row>
    <row r="362">
      <c r="A362" s="708"/>
      <c r="B362" s="718" t="s">
        <v>807</v>
      </c>
      <c r="C362" s="670" t="s">
        <v>819</v>
      </c>
      <c r="D362" s="746">
        <f t="shared" si="214"/>
      </c>
      <c r="E362" s="670">
        <v>1097.66</v>
      </c>
      <c r="F362" s="670">
        <v>2321.33</v>
      </c>
      <c r="G362" s="671">
        <v>12</v>
      </c>
      <c r="H362" s="670">
        <v>7248.019999999997</v>
      </c>
      <c r="I362" s="672">
        <f t="shared" si="145"/>
      </c>
      <c r="J362" s="672">
        <f t="shared" si="114"/>
      </c>
      <c r="K362" s="673">
        <f t="shared" si="83"/>
      </c>
      <c r="L362" s="674">
        <f t="shared" si="52"/>
      </c>
      <c r="M362" s="675">
        <f t="shared" si="21"/>
      </c>
      <c r="N362" s="676">
        <f t="shared" si="269"/>
      </c>
      <c r="O362" s="677" t="s">
        <v>809</v>
      </c>
      <c r="P362" s="678" t="s">
        <v>827</v>
      </c>
      <c r="Q362" s="697">
        <v>108098</v>
      </c>
      <c r="R362" s="697">
        <v>3743</v>
      </c>
      <c r="S362" s="717">
        <v>14</v>
      </c>
      <c r="T362" s="717">
        <v>77</v>
      </c>
    </row>
    <row r="363">
      <c r="A363" s="708"/>
      <c r="B363" s="718" t="s">
        <v>807</v>
      </c>
      <c r="C363" s="670" t="s">
        <v>830</v>
      </c>
      <c r="D363" s="746">
        <f t="shared" si="214"/>
      </c>
      <c r="E363" s="670">
        <v>1169.7</v>
      </c>
      <c r="F363" s="670">
        <v>1799.34</v>
      </c>
      <c r="G363" s="671">
        <v>11</v>
      </c>
      <c r="H363" s="670">
        <v>6424.459999999999</v>
      </c>
      <c r="I363" s="672">
        <f t="shared" si="145"/>
      </c>
      <c r="J363" s="672">
        <f t="shared" si="114"/>
      </c>
      <c r="K363" s="673">
        <f t="shared" si="83"/>
      </c>
      <c r="L363" s="674">
        <f t="shared" si="52"/>
      </c>
      <c r="M363" s="675">
        <f t="shared" si="21"/>
      </c>
      <c r="N363" s="676">
        <f t="shared" si="269"/>
      </c>
      <c r="O363" s="677" t="s">
        <v>809</v>
      </c>
      <c r="P363" s="678" t="s">
        <v>827</v>
      </c>
      <c r="Q363" s="697">
        <v>85209</v>
      </c>
      <c r="R363" s="697">
        <v>3338</v>
      </c>
      <c r="S363" s="717">
        <v>12</v>
      </c>
      <c r="T363" s="717">
        <v>72</v>
      </c>
    </row>
    <row r="364">
      <c r="A364" s="708"/>
      <c r="B364" s="684" t="s">
        <v>814</v>
      </c>
      <c r="C364" s="684"/>
      <c r="D364" s="685">
        <f>SUM(D360:D363)</f>
      </c>
      <c r="E364" s="685">
        <f>SUM(E360:E363)</f>
      </c>
      <c r="F364" s="685">
        <f>SUM(F360:F363)</f>
      </c>
      <c r="G364" s="687">
        <f>SUM(G360:G363)</f>
      </c>
      <c r="H364" s="685">
        <f>SUM(H360:H363)</f>
      </c>
      <c r="I364" s="699">
        <f t="shared" si="145"/>
      </c>
      <c r="J364" s="689">
        <f t="shared" si="114"/>
      </c>
      <c r="K364" s="690">
        <f t="shared" si="83"/>
      </c>
      <c r="L364" s="691">
        <f t="shared" si="52"/>
      </c>
      <c r="M364" s="691">
        <f t="shared" si="21"/>
      </c>
      <c r="N364" s="692">
        <f t="shared" si="269"/>
      </c>
      <c r="O364" s="692"/>
      <c r="P364" s="692"/>
      <c r="Q364" s="687">
        <f>SUM(Q360:Q363)</f>
      </c>
      <c r="R364" s="687">
        <f>SUM(R360:R363)</f>
      </c>
      <c r="S364" s="687">
        <f>SUM(S360:S363)</f>
      </c>
      <c r="T364" s="687">
        <f>SUM(T360:T363)</f>
      </c>
    </row>
    <row r="365">
      <c r="A365" s="708"/>
      <c r="B365" s="694" t="s">
        <v>841</v>
      </c>
      <c r="C365" s="670" t="s">
        <v>831</v>
      </c>
      <c r="D365" s="746">
        <f t="shared" ref="D365:D367" si="215">E365+F365</f>
      </c>
      <c r="E365" s="670">
        <v>1451.79</v>
      </c>
      <c r="F365" s="670">
        <v>1691.21</v>
      </c>
      <c r="G365" s="671">
        <v>12</v>
      </c>
      <c r="H365" s="670">
        <v>7070.770000000011</v>
      </c>
      <c r="I365" s="672">
        <f t="shared" si="145"/>
      </c>
      <c r="J365" s="672">
        <f t="shared" si="114"/>
      </c>
      <c r="K365" s="673">
        <f t="shared" si="83"/>
      </c>
      <c r="L365" s="674">
        <f t="shared" si="52"/>
      </c>
      <c r="M365" s="675">
        <f t="shared" si="21"/>
      </c>
      <c r="N365" s="676">
        <f t="shared" si="269"/>
      </c>
      <c r="O365" s="677" t="s">
        <v>809</v>
      </c>
      <c r="P365" s="678" t="s">
        <v>827</v>
      </c>
      <c r="Q365" s="697">
        <v>84663</v>
      </c>
      <c r="R365" s="697">
        <v>3663</v>
      </c>
      <c r="S365" s="717">
        <v>17</v>
      </c>
      <c r="T365" s="717">
        <v>51</v>
      </c>
    </row>
    <row r="366">
      <c r="A366" s="708"/>
      <c r="B366" s="694" t="s">
        <v>841</v>
      </c>
      <c r="C366" s="670" t="s">
        <v>832</v>
      </c>
      <c r="D366" s="746">
        <f t="shared" si="215"/>
      </c>
      <c r="E366" s="670">
        <v>1280.72</v>
      </c>
      <c r="F366" s="670">
        <v>1245.23</v>
      </c>
      <c r="G366" s="671">
        <v>10</v>
      </c>
      <c r="H366" s="670">
        <v>8033.279999999999</v>
      </c>
      <c r="I366" s="672">
        <f t="shared" si="145"/>
      </c>
      <c r="J366" s="672">
        <f t="shared" si="114"/>
      </c>
      <c r="K366" s="673">
        <f t="shared" si="83"/>
      </c>
      <c r="L366" s="674">
        <f t="shared" si="52"/>
      </c>
      <c r="M366" s="675">
        <f t="shared" si="21"/>
      </c>
      <c r="N366" s="676">
        <f t="shared" si="269"/>
      </c>
      <c r="O366" s="677" t="s">
        <v>809</v>
      </c>
      <c r="P366" s="678" t="s">
        <v>810</v>
      </c>
      <c r="Q366" s="697">
        <v>57325</v>
      </c>
      <c r="R366" s="697">
        <v>2597</v>
      </c>
      <c r="S366" s="717">
        <v>19</v>
      </c>
      <c r="T366" s="717">
        <v>46</v>
      </c>
    </row>
    <row r="367">
      <c r="A367" s="708"/>
      <c r="B367" s="694" t="s">
        <v>841</v>
      </c>
      <c r="C367" s="698" t="s">
        <v>833</v>
      </c>
      <c r="D367" s="746">
        <f t="shared" si="215"/>
      </c>
      <c r="E367" s="670">
        <v>946.5799999999999</v>
      </c>
      <c r="F367" s="670">
        <v>1526.6200000000001</v>
      </c>
      <c r="G367" s="671">
        <v>10</v>
      </c>
      <c r="H367" s="670">
        <v>4343.539999999994</v>
      </c>
      <c r="I367" s="672">
        <f t="shared" si="145"/>
      </c>
      <c r="J367" s="672">
        <f t="shared" si="114"/>
      </c>
      <c r="K367" s="673">
        <f t="shared" si="83"/>
      </c>
      <c r="L367" s="674">
        <f t="shared" si="52"/>
      </c>
      <c r="M367" s="675">
        <f t="shared" si="21"/>
      </c>
      <c r="N367" s="676">
        <f t="shared" si="269"/>
      </c>
      <c r="O367" s="677" t="s">
        <v>809</v>
      </c>
      <c r="P367" s="678" t="s">
        <v>810</v>
      </c>
      <c r="Q367" s="697">
        <v>67389</v>
      </c>
      <c r="R367" s="697">
        <v>1349</v>
      </c>
      <c r="S367" s="717">
        <v>15</v>
      </c>
      <c r="T367" s="717">
        <v>62</v>
      </c>
    </row>
    <row r="368">
      <c r="A368" s="708"/>
      <c r="B368" s="684" t="s">
        <v>814</v>
      </c>
      <c r="C368" s="684"/>
      <c r="D368" s="685">
        <f>SUM(D365:D367)</f>
      </c>
      <c r="E368" s="685">
        <f>SUM(E365:E367)</f>
      </c>
      <c r="F368" s="685">
        <f>SUM(F365:F367)</f>
      </c>
      <c r="G368" s="687">
        <f>SUM(G365:G367)</f>
      </c>
      <c r="H368" s="685">
        <f>SUM(H365:H367)</f>
      </c>
      <c r="I368" s="699">
        <f t="shared" si="145"/>
      </c>
      <c r="J368" s="689">
        <f t="shared" si="114"/>
      </c>
      <c r="K368" s="690">
        <f t="shared" si="83"/>
      </c>
      <c r="L368" s="691">
        <f t="shared" si="52"/>
      </c>
      <c r="M368" s="691">
        <f t="shared" si="21"/>
      </c>
      <c r="N368" s="692">
        <f t="shared" si="269"/>
      </c>
      <c r="O368" s="692"/>
      <c r="P368" s="692"/>
      <c r="Q368" s="687">
        <f>SUM(Q365:Q367)</f>
      </c>
      <c r="R368" s="687">
        <f>SUM(R365:R367)</f>
      </c>
      <c r="S368" s="687">
        <f>SUM(S365:S367)</f>
      </c>
      <c r="T368" s="687">
        <f>SUM(T365:T367)</f>
      </c>
    </row>
    <row r="369">
      <c r="A369" s="708"/>
      <c r="B369" s="700" t="s">
        <v>825</v>
      </c>
      <c r="C369" s="700"/>
      <c r="D369" s="701">
        <f>D359+D364+D368</f>
      </c>
      <c r="E369" s="701">
        <f>E359+E364+E368</f>
      </c>
      <c r="F369" s="701">
        <f>F359+F364+F368</f>
      </c>
      <c r="G369" s="702">
        <f>G359+G364+G368</f>
      </c>
      <c r="H369" s="701">
        <f>H359+H364+H368</f>
      </c>
      <c r="I369" s="703">
        <f t="shared" si="145"/>
      </c>
      <c r="J369" s="703">
        <f t="shared" si="114"/>
      </c>
      <c r="K369" s="704">
        <f t="shared" si="83"/>
      </c>
      <c r="L369" s="705">
        <f t="shared" si="52"/>
      </c>
      <c r="M369" s="705">
        <f t="shared" si="21"/>
      </c>
      <c r="N369" s="703">
        <f t="shared" si="269"/>
      </c>
      <c r="O369" s="706"/>
      <c r="P369" s="706"/>
      <c r="Q369" s="702">
        <f>Q359+Q364+Q368</f>
      </c>
      <c r="R369" s="702">
        <f>R359+R364+R368</f>
      </c>
      <c r="S369" s="702">
        <f>S359+S364+S368</f>
      </c>
      <c r="T369" s="702">
        <f>T359+T364+T368</f>
      </c>
    </row>
    <row r="370">
      <c r="A370" s="655" t="s">
        <v>782</v>
      </c>
      <c r="B370" s="655"/>
      <c r="C370" s="655"/>
      <c r="D370" s="656" t="s">
        <v>783</v>
      </c>
      <c r="E370" s="656"/>
      <c r="F370" s="656"/>
      <c r="G370" s="656"/>
      <c r="H370" s="656"/>
      <c r="I370" s="656"/>
      <c r="J370" s="656"/>
      <c r="K370" s="656"/>
      <c r="L370" s="666" t="s">
        <v>784</v>
      </c>
      <c r="M370" s="666"/>
      <c r="N370" s="666"/>
      <c r="O370" s="666"/>
      <c r="P370" s="666"/>
      <c r="Q370" s="737" t="s">
        <v>785</v>
      </c>
      <c r="R370" s="737"/>
      <c r="S370" s="737"/>
      <c r="T370" s="737"/>
    </row>
    <row r="371">
      <c r="A371" s="660" t="s">
        <v>786</v>
      </c>
      <c r="B371" s="720" t="s">
        <v>787</v>
      </c>
      <c r="C371" s="743" t="s">
        <v>788</v>
      </c>
      <c r="D371" s="722" t="s">
        <v>789</v>
      </c>
      <c r="E371" s="721" t="s">
        <v>790</v>
      </c>
      <c r="F371" s="722" t="s">
        <v>791</v>
      </c>
      <c r="G371" s="662" t="s">
        <v>792</v>
      </c>
      <c r="H371" s="661" t="s">
        <v>793</v>
      </c>
      <c r="I371" s="663" t="s">
        <v>794</v>
      </c>
      <c r="J371" s="664" t="s">
        <v>795</v>
      </c>
      <c r="K371" s="665" t="s">
        <v>796</v>
      </c>
      <c r="L371" s="666" t="s">
        <v>797</v>
      </c>
      <c r="M371" s="666" t="s">
        <v>798</v>
      </c>
      <c r="N371" s="666" t="s">
        <v>799</v>
      </c>
      <c r="O371" s="723" t="s">
        <v>800</v>
      </c>
      <c r="P371" s="738" t="s">
        <v>801</v>
      </c>
      <c r="Q371" s="667" t="s">
        <v>802</v>
      </c>
      <c r="R371" s="667" t="s">
        <v>803</v>
      </c>
      <c r="S371" s="740" t="s">
        <v>804</v>
      </c>
      <c r="T371" s="667" t="s">
        <v>805</v>
      </c>
    </row>
    <row r="372">
      <c r="A372" s="708" t="s">
        <v>856</v>
      </c>
      <c r="B372" s="694" t="s">
        <v>815</v>
      </c>
      <c r="C372" s="670" t="s">
        <v>808</v>
      </c>
      <c r="D372" s="746">
        <f t="shared" ref="D372:D375" si="216">E372+F372</f>
      </c>
      <c r="E372" s="670">
        <v>1481.03</v>
      </c>
      <c r="F372" s="670">
        <v>1697.71</v>
      </c>
      <c r="G372" s="725">
        <v>16</v>
      </c>
      <c r="H372" s="670">
        <v>11214.86</v>
      </c>
      <c r="I372" s="672">
        <f t="shared" ref="I372:I387" si="146">H372/D372</f>
      </c>
      <c r="J372" s="672">
        <f t="shared" ref="J372:J383" si="115">D372/G372</f>
      </c>
      <c r="K372" s="673">
        <f t="shared" ref="K372:K383" si="84">H372/G372</f>
      </c>
      <c r="L372" s="674">
        <f t="shared" ref="L372:L383" si="53">R372/Q372</f>
      </c>
      <c r="M372" s="675">
        <f t="shared" ref="M372:M383" si="22">G372/S372</f>
      </c>
      <c r="N372" s="676">
        <f t="shared" ref="N372:N383" si="270">(T372*1000)/D372</f>
      </c>
      <c r="O372" s="677" t="s">
        <v>809</v>
      </c>
      <c r="P372" s="678" t="s">
        <v>827</v>
      </c>
      <c r="Q372" s="741">
        <v>45287</v>
      </c>
      <c r="R372" s="741">
        <v>4071</v>
      </c>
      <c r="S372" s="711">
        <v>16</v>
      </c>
      <c r="T372" s="711">
        <v>67</v>
      </c>
    </row>
    <row r="373">
      <c r="A373" s="708"/>
      <c r="B373" s="694" t="s">
        <v>815</v>
      </c>
      <c r="C373" s="696" t="s">
        <v>811</v>
      </c>
      <c r="D373" s="746">
        <f t="shared" si="216"/>
      </c>
      <c r="E373" s="727">
        <v>1678.42</v>
      </c>
      <c r="F373" s="696">
        <v>1400.5</v>
      </c>
      <c r="G373" s="671">
        <v>4</v>
      </c>
      <c r="H373" s="670">
        <v>860.159999999998</v>
      </c>
      <c r="I373" s="672">
        <f t="shared" si="146"/>
      </c>
      <c r="J373" s="672">
        <f t="shared" si="115"/>
      </c>
      <c r="K373" s="673">
        <f t="shared" si="84"/>
      </c>
      <c r="L373" s="674">
        <f t="shared" si="53"/>
      </c>
      <c r="M373" s="675">
        <f t="shared" si="22"/>
      </c>
      <c r="N373" s="676">
        <f t="shared" si="270"/>
      </c>
      <c r="O373" s="677" t="s">
        <v>809</v>
      </c>
      <c r="P373" s="678" t="s">
        <v>827</v>
      </c>
      <c r="Q373" s="679">
        <v>43248</v>
      </c>
      <c r="R373" s="679">
        <v>4718</v>
      </c>
      <c r="S373" s="711">
        <v>4</v>
      </c>
      <c r="T373" s="711">
        <v>65</v>
      </c>
    </row>
    <row r="374">
      <c r="A374" s="708"/>
      <c r="B374" s="694" t="s">
        <v>815</v>
      </c>
      <c r="C374" s="670" t="s">
        <v>812</v>
      </c>
      <c r="D374" s="746">
        <f t="shared" si="216"/>
      </c>
      <c r="E374" s="728">
        <v>1066.67</v>
      </c>
      <c r="F374" s="670">
        <v>844.79</v>
      </c>
      <c r="G374" s="680">
        <v>9</v>
      </c>
      <c r="H374" s="681">
        <v>6484.3200000000015</v>
      </c>
      <c r="I374" s="672">
        <f t="shared" si="146"/>
      </c>
      <c r="J374" s="672">
        <f t="shared" si="115"/>
      </c>
      <c r="K374" s="673">
        <f t="shared" si="84"/>
      </c>
      <c r="L374" s="674">
        <f t="shared" si="53"/>
      </c>
      <c r="M374" s="675">
        <f t="shared" si="22"/>
      </c>
      <c r="N374" s="676">
        <f t="shared" si="270"/>
      </c>
      <c r="O374" s="677" t="s">
        <v>809</v>
      </c>
      <c r="P374" s="678" t="s">
        <v>827</v>
      </c>
      <c r="Q374" s="679">
        <v>35449</v>
      </c>
      <c r="R374" s="679">
        <v>2716</v>
      </c>
      <c r="S374" s="711">
        <v>14</v>
      </c>
      <c r="T374" s="711">
        <v>65</v>
      </c>
    </row>
    <row r="375">
      <c r="A375" s="708"/>
      <c r="B375" s="694" t="s">
        <v>815</v>
      </c>
      <c r="C375" s="670" t="s">
        <v>813</v>
      </c>
      <c r="D375" s="746">
        <f t="shared" si="216"/>
      </c>
      <c r="E375" s="728">
        <v>1534.82</v>
      </c>
      <c r="F375" s="670">
        <v>526.74</v>
      </c>
      <c r="G375" s="680">
        <v>5</v>
      </c>
      <c r="H375" s="719">
        <v>2956.079999999998</v>
      </c>
      <c r="I375" s="672">
        <f t="shared" si="146"/>
      </c>
      <c r="J375" s="672">
        <f t="shared" si="115"/>
      </c>
      <c r="K375" s="673">
        <f t="shared" si="84"/>
      </c>
      <c r="L375" s="674">
        <f t="shared" si="53"/>
      </c>
      <c r="M375" s="675">
        <f t="shared" si="22"/>
      </c>
      <c r="N375" s="676">
        <f t="shared" si="270"/>
      </c>
      <c r="O375" s="677" t="s">
        <v>809</v>
      </c>
      <c r="P375" s="678" t="s">
        <v>827</v>
      </c>
      <c r="Q375" s="697">
        <v>24666</v>
      </c>
      <c r="R375" s="697">
        <v>2808</v>
      </c>
      <c r="S375" s="717">
        <v>8</v>
      </c>
      <c r="T375" s="717">
        <v>49</v>
      </c>
    </row>
    <row r="376">
      <c r="A376" s="708"/>
      <c r="B376" s="730" t="s">
        <v>814</v>
      </c>
      <c r="C376" s="730"/>
      <c r="D376" s="685">
        <f>SUM(D372:D375)</f>
      </c>
      <c r="E376" s="685">
        <f>SUM(E372:E375)</f>
      </c>
      <c r="F376" s="685">
        <f>SUM(F372:F375)</f>
      </c>
      <c r="G376" s="687">
        <f>SUM(G372:G375)</f>
      </c>
      <c r="H376" s="685">
        <f>SUM(H372:H375)</f>
      </c>
      <c r="I376" s="688">
        <f t="shared" si="146"/>
      </c>
      <c r="J376" s="689">
        <f t="shared" si="115"/>
      </c>
      <c r="K376" s="690">
        <f t="shared" si="84"/>
      </c>
      <c r="L376" s="691">
        <f t="shared" si="53"/>
      </c>
      <c r="M376" s="691">
        <f t="shared" si="22"/>
      </c>
      <c r="N376" s="692">
        <f t="shared" si="270"/>
      </c>
      <c r="O376" s="692"/>
      <c r="P376" s="692"/>
      <c r="Q376" s="687">
        <f>SUM(Q372:Q375)</f>
      </c>
      <c r="R376" s="687">
        <f>SUM(R372:R375)</f>
      </c>
      <c r="S376" s="687">
        <f>SUM(S372:S375)</f>
      </c>
      <c r="T376" s="687">
        <f>SUM(T372:T375)</f>
      </c>
    </row>
    <row r="377">
      <c r="A377" s="708"/>
      <c r="B377" s="718" t="s">
        <v>807</v>
      </c>
      <c r="C377" s="670" t="s">
        <v>816</v>
      </c>
      <c r="D377" s="746">
        <f t="shared" ref="D377:D380" si="217">E377+F377</f>
      </c>
      <c r="E377" s="670">
        <v>1806.98</v>
      </c>
      <c r="F377" s="670">
        <v>653.17</v>
      </c>
      <c r="G377" s="671">
        <v>8</v>
      </c>
      <c r="H377" s="670">
        <v>3566.540000000001</v>
      </c>
      <c r="I377" s="672">
        <f t="shared" si="146"/>
      </c>
      <c r="J377" s="672">
        <f t="shared" si="115"/>
      </c>
      <c r="K377" s="673">
        <f t="shared" si="84"/>
      </c>
      <c r="L377" s="674">
        <f t="shared" si="53"/>
      </c>
      <c r="M377" s="675">
        <f t="shared" si="22"/>
      </c>
      <c r="N377" s="676">
        <f t="shared" si="270"/>
      </c>
      <c r="O377" s="677" t="s">
        <v>809</v>
      </c>
      <c r="P377" s="678" t="s">
        <v>827</v>
      </c>
      <c r="Q377" s="697">
        <v>30592</v>
      </c>
      <c r="R377" s="697">
        <v>3532</v>
      </c>
      <c r="S377" s="717">
        <v>9</v>
      </c>
      <c r="T377" s="717">
        <v>78</v>
      </c>
    </row>
    <row r="378">
      <c r="A378" s="708"/>
      <c r="B378" s="718" t="s">
        <v>807</v>
      </c>
      <c r="C378" s="670" t="s">
        <v>817</v>
      </c>
      <c r="D378" s="746">
        <f t="shared" si="217"/>
      </c>
      <c r="E378" s="670">
        <v>4229.62</v>
      </c>
      <c r="F378" s="670">
        <v>875.5</v>
      </c>
      <c r="G378" s="671">
        <v>16</v>
      </c>
      <c r="H378" s="670">
        <v>7315.290000000001</v>
      </c>
      <c r="I378" s="672">
        <f t="shared" si="146"/>
      </c>
      <c r="J378" s="672">
        <f t="shared" si="115"/>
      </c>
      <c r="K378" s="673">
        <f t="shared" si="84"/>
      </c>
      <c r="L378" s="674">
        <f t="shared" si="53"/>
      </c>
      <c r="M378" s="675">
        <f t="shared" si="22"/>
      </c>
      <c r="N378" s="676">
        <f t="shared" si="270"/>
      </c>
      <c r="O378" s="677" t="s">
        <v>809</v>
      </c>
      <c r="P378" s="678" t="s">
        <v>827</v>
      </c>
      <c r="Q378" s="697">
        <v>69618</v>
      </c>
      <c r="R378" s="697">
        <v>7969</v>
      </c>
      <c r="S378" s="717">
        <v>22</v>
      </c>
      <c r="T378" s="717">
        <v>144</v>
      </c>
    </row>
    <row r="379">
      <c r="A379" s="708"/>
      <c r="B379" s="718" t="s">
        <v>807</v>
      </c>
      <c r="C379" s="670" t="s">
        <v>818</v>
      </c>
      <c r="D379" s="746">
        <f t="shared" si="217"/>
      </c>
      <c r="E379" s="670">
        <v>4117.09</v>
      </c>
      <c r="F379" s="670">
        <v>2047.46</v>
      </c>
      <c r="G379" s="671">
        <v>12</v>
      </c>
      <c r="H379" s="670">
        <v>5825.199999999997</v>
      </c>
      <c r="I379" s="672">
        <f t="shared" si="146"/>
      </c>
      <c r="J379" s="672">
        <f t="shared" si="115"/>
      </c>
      <c r="K379" s="673">
        <f t="shared" si="84"/>
      </c>
      <c r="L379" s="674">
        <f t="shared" si="53"/>
      </c>
      <c r="M379" s="675">
        <f t="shared" si="22"/>
      </c>
      <c r="N379" s="676">
        <f t="shared" si="270"/>
      </c>
      <c r="O379" s="677" t="s">
        <v>809</v>
      </c>
      <c r="P379" s="678" t="s">
        <v>827</v>
      </c>
      <c r="Q379" s="697">
        <v>100836</v>
      </c>
      <c r="R379" s="697">
        <v>9829</v>
      </c>
      <c r="S379" s="717">
        <v>22</v>
      </c>
      <c r="T379" s="717">
        <v>175</v>
      </c>
    </row>
    <row r="380">
      <c r="A380" s="708"/>
      <c r="B380" s="718" t="s">
        <v>807</v>
      </c>
      <c r="C380" s="670" t="s">
        <v>819</v>
      </c>
      <c r="D380" s="746">
        <f t="shared" si="217"/>
      </c>
      <c r="E380" s="670">
        <v>568.41</v>
      </c>
      <c r="F380" s="670">
        <v>890.71</v>
      </c>
      <c r="G380" s="671">
        <v>6</v>
      </c>
      <c r="H380" s="670">
        <v>3102</v>
      </c>
      <c r="I380" s="672">
        <f t="shared" si="146"/>
      </c>
      <c r="J380" s="672">
        <f t="shared" si="115"/>
      </c>
      <c r="K380" s="673">
        <f t="shared" si="84"/>
      </c>
      <c r="L380" s="674">
        <f t="shared" si="53"/>
      </c>
      <c r="M380" s="675">
        <f t="shared" si="22"/>
      </c>
      <c r="N380" s="676">
        <f t="shared" si="270"/>
      </c>
      <c r="O380" s="677" t="s">
        <v>809</v>
      </c>
      <c r="P380" s="678" t="s">
        <v>827</v>
      </c>
      <c r="Q380" s="697">
        <v>15223</v>
      </c>
      <c r="R380" s="697">
        <v>1699</v>
      </c>
      <c r="S380" s="717">
        <v>9</v>
      </c>
      <c r="T380" s="717">
        <v>33</v>
      </c>
    </row>
    <row r="381">
      <c r="A381" s="708"/>
      <c r="B381" s="684" t="s">
        <v>814</v>
      </c>
      <c r="C381" s="684"/>
      <c r="D381" s="685">
        <f>SUM(D377:D380)</f>
      </c>
      <c r="E381" s="685">
        <f>SUM(E377:E380)</f>
      </c>
      <c r="F381" s="685">
        <f>SUM(F377:F380)</f>
      </c>
      <c r="G381" s="687">
        <f>SUM(G377:G380)</f>
      </c>
      <c r="H381" s="685">
        <f>SUM(H377:H380)</f>
      </c>
      <c r="I381" s="699">
        <f t="shared" si="146"/>
      </c>
      <c r="J381" s="689">
        <f t="shared" si="115"/>
      </c>
      <c r="K381" s="690">
        <f t="shared" si="84"/>
      </c>
      <c r="L381" s="691">
        <f t="shared" si="53"/>
      </c>
      <c r="M381" s="691">
        <f t="shared" si="22"/>
      </c>
      <c r="N381" s="692">
        <f t="shared" si="270"/>
      </c>
      <c r="O381" s="692"/>
      <c r="P381" s="692"/>
      <c r="Q381" s="687">
        <f>SUM(Q377:Q380)</f>
      </c>
      <c r="R381" s="687">
        <f>SUM(R377:R380)</f>
      </c>
      <c r="S381" s="687">
        <f>SUM(S377:S380)</f>
      </c>
      <c r="T381" s="687">
        <f>SUM(T377:T380)</f>
      </c>
    </row>
    <row r="382">
      <c r="A382" s="708"/>
      <c r="B382" s="694" t="s">
        <v>841</v>
      </c>
      <c r="C382" s="670" t="s">
        <v>830</v>
      </c>
      <c r="D382" s="746">
        <f t="shared" ref="D382:D385" si="218">E382+F382</f>
      </c>
      <c r="E382" s="670">
        <v>1103.01</v>
      </c>
      <c r="F382" s="670">
        <v>796.43</v>
      </c>
      <c r="G382" s="671">
        <v>6</v>
      </c>
      <c r="H382" s="670">
        <v>4451.040000000001</v>
      </c>
      <c r="I382" s="672">
        <f t="shared" si="146"/>
      </c>
      <c r="J382" s="672">
        <f t="shared" si="115"/>
      </c>
      <c r="K382" s="673">
        <f t="shared" si="84"/>
      </c>
      <c r="L382" s="674">
        <f t="shared" si="53"/>
      </c>
      <c r="M382" s="675">
        <f t="shared" si="22"/>
      </c>
      <c r="N382" s="676">
        <f t="shared" si="270"/>
      </c>
      <c r="O382" s="677" t="s">
        <v>809</v>
      </c>
      <c r="P382" s="678" t="s">
        <v>827</v>
      </c>
      <c r="Q382" s="697">
        <v>15049</v>
      </c>
      <c r="R382" s="697">
        <v>2185</v>
      </c>
      <c r="S382" s="717">
        <v>8</v>
      </c>
      <c r="T382" s="717">
        <v>52</v>
      </c>
    </row>
    <row r="383">
      <c r="A383" s="708"/>
      <c r="B383" s="694" t="s">
        <v>841</v>
      </c>
      <c r="C383" s="698" t="s">
        <v>831</v>
      </c>
      <c r="D383" s="746">
        <f t="shared" si="218"/>
      </c>
      <c r="E383" s="670">
        <v>1071.74</v>
      </c>
      <c r="F383" s="670">
        <v>638.72</v>
      </c>
      <c r="G383" s="671">
        <v>7</v>
      </c>
      <c r="H383" s="670">
        <v>3351.5</v>
      </c>
      <c r="I383" s="672">
        <f t="shared" si="146"/>
      </c>
      <c r="J383" s="672">
        <f t="shared" si="115"/>
      </c>
      <c r="K383" s="673">
        <f t="shared" si="84"/>
      </c>
      <c r="L383" s="674">
        <f t="shared" si="53"/>
      </c>
      <c r="M383" s="675">
        <f t="shared" si="22"/>
      </c>
      <c r="N383" s="676">
        <f t="shared" si="270"/>
      </c>
      <c r="O383" s="677" t="s">
        <v>809</v>
      </c>
      <c r="P383" s="678" t="s">
        <v>827</v>
      </c>
      <c r="Q383" s="697">
        <v>15795</v>
      </c>
      <c r="R383" s="697">
        <v>2079</v>
      </c>
      <c r="S383" s="717">
        <v>9</v>
      </c>
      <c r="T383" s="717">
        <v>41</v>
      </c>
    </row>
    <row customHeight="true" ht="16.666666666666668" r="384">
      <c r="A384" s="708"/>
      <c r="B384" s="694" t="s">
        <v>841</v>
      </c>
      <c r="C384" s="698" t="s">
        <v>832</v>
      </c>
      <c r="D384" s="746">
        <f t="shared" si="218"/>
      </c>
      <c r="E384" s="670">
        <v>1221.17</v>
      </c>
      <c r="F384" s="670">
        <v>1021.58</v>
      </c>
      <c r="G384" s="671">
        <v>8</v>
      </c>
      <c r="H384" s="670">
        <v>7633.32</v>
      </c>
      <c r="I384" s="672">
        <f t="shared" si="146"/>
      </c>
      <c r="J384" s="672" t="str">
        <v>#DIV/0!</v>
      </c>
      <c r="K384" s="673" t="str">
        <v>#DIV/0!</v>
      </c>
      <c r="L384" s="674" t="str">
        <v>#DIV/0!</v>
      </c>
      <c r="M384" s="675" t="str">
        <v>#DIV/0!</v>
      </c>
      <c r="N384" s="676" t="str">
        <v>#DIV/0!</v>
      </c>
      <c r="O384" s="677" t="s">
        <v>809</v>
      </c>
      <c r="P384" s="678" t="s">
        <v>810</v>
      </c>
      <c r="Q384" s="697">
        <v>25304</v>
      </c>
      <c r="R384" s="697">
        <v>3163</v>
      </c>
      <c r="S384" s="717">
        <v>12</v>
      </c>
      <c r="T384" s="717">
        <v>68</v>
      </c>
    </row>
    <row r="385">
      <c r="A385" s="708"/>
      <c r="B385" s="694" t="s">
        <v>841</v>
      </c>
      <c r="C385" s="698" t="s">
        <v>833</v>
      </c>
      <c r="D385" s="746">
        <f t="shared" si="218"/>
      </c>
      <c r="E385" s="670">
        <v>759.09</v>
      </c>
      <c r="F385" s="670">
        <v>987.4599999999999</v>
      </c>
      <c r="G385" s="671">
        <v>2</v>
      </c>
      <c r="H385" s="670">
        <v>430.08000000000175</v>
      </c>
      <c r="I385" s="672">
        <f t="shared" si="146"/>
      </c>
      <c r="J385" s="672">
        <f t="shared" ref="J385:J387" si="116">D385/G385</f>
      </c>
      <c r="K385" s="673">
        <f t="shared" ref="K385:K387" si="85">H385/G385</f>
      </c>
      <c r="L385" s="674">
        <f t="shared" ref="L385:L387" si="54">R385/Q385</f>
      </c>
      <c r="M385" s="675">
        <f t="shared" ref="M385:M387" si="23">G385/S385</f>
      </c>
      <c r="N385" s="676">
        <f t="shared" ref="N385:N387" si="271">(T385*1000)/D385</f>
      </c>
      <c r="O385" s="677" t="s">
        <v>809</v>
      </c>
      <c r="P385" s="678" t="s">
        <v>810</v>
      </c>
      <c r="Q385" s="697">
        <v>23092</v>
      </c>
      <c r="R385" s="697">
        <v>2418</v>
      </c>
      <c r="S385" s="717">
        <v>9</v>
      </c>
      <c r="T385" s="717">
        <v>58</v>
      </c>
    </row>
    <row r="386">
      <c r="A386" s="708"/>
      <c r="B386" s="684" t="s">
        <v>814</v>
      </c>
      <c r="C386" s="684"/>
      <c r="D386" s="685">
        <f>SUM(D382:D385)</f>
      </c>
      <c r="E386" s="685">
        <f>SUM(E382:E385)</f>
      </c>
      <c r="F386" s="685">
        <f>SUM(F382:F385)</f>
      </c>
      <c r="G386" s="687">
        <f>SUM(G382:G385)</f>
      </c>
      <c r="H386" s="685">
        <f>SUM(H382:H385)</f>
      </c>
      <c r="I386" s="699">
        <f t="shared" si="146"/>
      </c>
      <c r="J386" s="689">
        <f t="shared" si="116"/>
      </c>
      <c r="K386" s="690">
        <f t="shared" si="85"/>
      </c>
      <c r="L386" s="691">
        <f t="shared" si="54"/>
      </c>
      <c r="M386" s="691">
        <f t="shared" si="23"/>
      </c>
      <c r="N386" s="692">
        <f t="shared" si="271"/>
      </c>
      <c r="O386" s="692"/>
      <c r="P386" s="692"/>
      <c r="Q386" s="687">
        <f>SUM(Q382:Q385)</f>
      </c>
      <c r="R386" s="687">
        <f>SUM(R382:R385)</f>
      </c>
      <c r="S386" s="687">
        <f>SUM(S382:S385)</f>
      </c>
      <c r="T386" s="687">
        <f>SUM(T382:T385)</f>
      </c>
    </row>
    <row r="387">
      <c r="A387" s="708"/>
      <c r="B387" s="700" t="s">
        <v>825</v>
      </c>
      <c r="C387" s="700"/>
      <c r="D387" s="701">
        <f>D376+D381+D386</f>
      </c>
      <c r="E387" s="701">
        <f>E376+E381+E386</f>
      </c>
      <c r="F387" s="701">
        <f>F376+F381+F386</f>
      </c>
      <c r="G387" s="702">
        <f>G376+G381+G386</f>
      </c>
      <c r="H387" s="701">
        <f>H376+H381+H386</f>
      </c>
      <c r="I387" s="703">
        <f t="shared" si="146"/>
      </c>
      <c r="J387" s="703">
        <f t="shared" si="116"/>
      </c>
      <c r="K387" s="704">
        <f t="shared" si="85"/>
      </c>
      <c r="L387" s="705">
        <f t="shared" si="54"/>
      </c>
      <c r="M387" s="705">
        <f t="shared" si="23"/>
      </c>
      <c r="N387" s="703">
        <f t="shared" si="271"/>
      </c>
      <c r="O387" s="706"/>
      <c r="P387" s="706"/>
      <c r="Q387" s="702">
        <f>Q376+Q381+Q386</f>
      </c>
      <c r="R387" s="702">
        <f>R376+R381+R386</f>
      </c>
      <c r="S387" s="702">
        <f>S376+S381+S386</f>
      </c>
      <c r="T387" s="702">
        <f>T376+T381+T386</f>
      </c>
    </row>
    <row r="388">
      <c r="A388" s="655" t="s">
        <v>782</v>
      </c>
      <c r="B388" s="655"/>
      <c r="C388" s="655"/>
      <c r="D388" s="656" t="s">
        <v>783</v>
      </c>
      <c r="E388" s="656"/>
      <c r="F388" s="656"/>
      <c r="G388" s="656"/>
      <c r="H388" s="656"/>
      <c r="I388" s="656"/>
      <c r="J388" s="656"/>
      <c r="K388" s="656"/>
      <c r="L388" s="666" t="s">
        <v>784</v>
      </c>
      <c r="M388" s="666"/>
      <c r="N388" s="666"/>
      <c r="O388" s="666"/>
      <c r="P388" s="666"/>
      <c r="Q388" s="737" t="s">
        <v>785</v>
      </c>
      <c r="R388" s="737"/>
      <c r="S388" s="737"/>
      <c r="T388" s="737"/>
    </row>
    <row customHeight="true" ht="17.003119357440525" r="389">
      <c r="A389" s="660" t="s">
        <v>786</v>
      </c>
      <c r="B389" s="720" t="s">
        <v>787</v>
      </c>
      <c r="C389" s="743" t="s">
        <v>788</v>
      </c>
      <c r="D389" s="722" t="s">
        <v>789</v>
      </c>
      <c r="E389" s="721" t="s">
        <v>790</v>
      </c>
      <c r="F389" s="722" t="s">
        <v>791</v>
      </c>
      <c r="G389" s="662" t="s">
        <v>792</v>
      </c>
      <c r="H389" s="661" t="s">
        <v>793</v>
      </c>
      <c r="I389" s="663" t="s">
        <v>794</v>
      </c>
      <c r="J389" s="664" t="s">
        <v>795</v>
      </c>
      <c r="K389" s="665" t="s">
        <v>796</v>
      </c>
      <c r="L389" s="666" t="s">
        <v>797</v>
      </c>
      <c r="M389" s="666" t="s">
        <v>798</v>
      </c>
      <c r="N389" s="666" t="s">
        <v>799</v>
      </c>
      <c r="O389" s="723" t="s">
        <v>800</v>
      </c>
      <c r="P389" s="738" t="s">
        <v>801</v>
      </c>
      <c r="Q389" s="667" t="s">
        <v>802</v>
      </c>
      <c r="R389" s="667" t="s">
        <v>803</v>
      </c>
      <c r="S389" s="740" t="s">
        <v>804</v>
      </c>
      <c r="T389" s="667" t="s">
        <v>805</v>
      </c>
    </row>
    <row r="390">
      <c r="A390" s="708" t="s">
        <v>857</v>
      </c>
      <c r="B390" s="748" t="s">
        <v>815</v>
      </c>
      <c r="C390" s="724" t="s">
        <v>808</v>
      </c>
      <c r="D390" s="724">
        <f t="shared" ref="D390:D393" si="219">E390+F390</f>
      </c>
      <c r="E390" s="745">
        <v>1005.13</v>
      </c>
      <c r="F390" s="670">
        <v>1054.81</v>
      </c>
      <c r="G390" s="725">
        <v>7</v>
      </c>
      <c r="H390" s="670">
        <v>4705.2</v>
      </c>
      <c r="I390" s="672">
        <f t="shared" ref="I390:I409" si="147">H390/D390</f>
      </c>
      <c r="J390" s="672">
        <f t="shared" ref="J390:J409" si="117">D390/G390</f>
      </c>
      <c r="K390" s="673">
        <f t="shared" ref="K390:K409" si="86">H390/G390</f>
      </c>
      <c r="L390" s="674">
        <f t="shared" ref="L390:L409" si="55">R390/Q390</f>
      </c>
      <c r="M390" s="675">
        <f t="shared" ref="M390:M409" si="24">G390/S390</f>
      </c>
      <c r="N390" s="676">
        <f t="shared" ref="N390:N409" si="272">(T390*1000)/D390</f>
      </c>
      <c r="O390" s="677" t="s">
        <v>809</v>
      </c>
      <c r="P390" s="678" t="s">
        <v>810</v>
      </c>
      <c r="Q390" s="741">
        <v>25505</v>
      </c>
      <c r="R390" s="741">
        <v>2915</v>
      </c>
      <c r="S390" s="711">
        <v>10</v>
      </c>
      <c r="T390" s="711">
        <v>52</v>
      </c>
    </row>
    <row r="391">
      <c r="A391" s="708"/>
      <c r="B391" s="694" t="s">
        <v>815</v>
      </c>
      <c r="C391" s="696" t="s">
        <v>811</v>
      </c>
      <c r="D391" s="749">
        <f t="shared" si="219"/>
      </c>
      <c r="E391" s="727">
        <v>1698.58</v>
      </c>
      <c r="F391" s="696">
        <v>962.42</v>
      </c>
      <c r="G391" s="671">
        <v>13</v>
      </c>
      <c r="H391" s="670">
        <v>5956.320000000001</v>
      </c>
      <c r="I391" s="672">
        <f t="shared" si="147"/>
      </c>
      <c r="J391" s="672">
        <f t="shared" si="117"/>
      </c>
      <c r="K391" s="673">
        <f t="shared" si="86"/>
      </c>
      <c r="L391" s="674">
        <f t="shared" si="55"/>
      </c>
      <c r="M391" s="675">
        <f t="shared" si="24"/>
      </c>
      <c r="N391" s="676">
        <f t="shared" si="272"/>
      </c>
      <c r="O391" s="677" t="s">
        <v>809</v>
      </c>
      <c r="P391" s="678" t="s">
        <v>810</v>
      </c>
      <c r="Q391" s="679">
        <v>36019</v>
      </c>
      <c r="R391" s="679">
        <v>4309</v>
      </c>
      <c r="S391" s="711">
        <v>12</v>
      </c>
      <c r="T391" s="711">
        <v>49</v>
      </c>
    </row>
    <row r="392">
      <c r="A392" s="708"/>
      <c r="B392" s="694" t="s">
        <v>815</v>
      </c>
      <c r="C392" s="670" t="s">
        <v>812</v>
      </c>
      <c r="D392" s="746">
        <f t="shared" si="219"/>
      </c>
      <c r="E392" s="728">
        <v>2205.3</v>
      </c>
      <c r="F392" s="670">
        <v>614.55</v>
      </c>
      <c r="G392" s="680">
        <v>7</v>
      </c>
      <c r="H392" s="681">
        <v>4257.48</v>
      </c>
      <c r="I392" s="672">
        <f t="shared" si="147"/>
      </c>
      <c r="J392" s="672">
        <f t="shared" si="117"/>
      </c>
      <c r="K392" s="673">
        <f t="shared" si="86"/>
      </c>
      <c r="L392" s="674">
        <f t="shared" si="55"/>
      </c>
      <c r="M392" s="675">
        <f t="shared" si="24"/>
      </c>
      <c r="N392" s="676">
        <f t="shared" si="272"/>
      </c>
      <c r="O392" s="677" t="s">
        <v>809</v>
      </c>
      <c r="P392" s="678" t="s">
        <v>810</v>
      </c>
      <c r="Q392" s="679">
        <v>30744</v>
      </c>
      <c r="R392" s="679">
        <v>4436</v>
      </c>
      <c r="S392" s="711">
        <v>11</v>
      </c>
      <c r="T392" s="711">
        <v>53</v>
      </c>
    </row>
    <row r="393">
      <c r="A393" s="708"/>
      <c r="B393" s="694" t="s">
        <v>815</v>
      </c>
      <c r="C393" s="670" t="s">
        <v>813</v>
      </c>
      <c r="D393" s="746">
        <f t="shared" si="219"/>
      </c>
      <c r="E393" s="728">
        <v>1866.6</v>
      </c>
      <c r="F393" s="670">
        <v>403.47</v>
      </c>
      <c r="G393" s="680">
        <v>6</v>
      </c>
      <c r="H393" s="719">
        <v>5923.32</v>
      </c>
      <c r="I393" s="672">
        <f t="shared" si="147"/>
      </c>
      <c r="J393" s="672">
        <f t="shared" si="117"/>
      </c>
      <c r="K393" s="673">
        <f t="shared" si="86"/>
      </c>
      <c r="L393" s="674">
        <f t="shared" si="55"/>
      </c>
      <c r="M393" s="675">
        <f t="shared" si="24"/>
      </c>
      <c r="N393" s="676">
        <f t="shared" si="272"/>
      </c>
      <c r="O393" s="677" t="s">
        <v>809</v>
      </c>
      <c r="P393" s="678" t="s">
        <v>827</v>
      </c>
      <c r="Q393" s="697">
        <v>21351</v>
      </c>
      <c r="R393" s="697">
        <v>2796</v>
      </c>
      <c r="S393" s="717">
        <v>11</v>
      </c>
      <c r="T393" s="717">
        <v>59</v>
      </c>
    </row>
    <row r="394">
      <c r="A394" s="708"/>
      <c r="B394" s="730" t="s">
        <v>814</v>
      </c>
      <c r="C394" s="730"/>
      <c r="D394" s="685">
        <f>SUM(D390:D393)</f>
      </c>
      <c r="E394" s="685">
        <f>SUM(E390:E393)</f>
      </c>
      <c r="F394" s="685">
        <f>SUM(F390:F393)</f>
      </c>
      <c r="G394" s="687">
        <f>SUM(G390:G393)</f>
      </c>
      <c r="H394" s="685">
        <f>SUM(H390:H393)</f>
      </c>
      <c r="I394" s="688">
        <f t="shared" si="147"/>
      </c>
      <c r="J394" s="689">
        <f t="shared" si="117"/>
      </c>
      <c r="K394" s="690">
        <f t="shared" si="86"/>
      </c>
      <c r="L394" s="691">
        <f t="shared" si="55"/>
      </c>
      <c r="M394" s="691">
        <f t="shared" si="24"/>
      </c>
      <c r="N394" s="692">
        <f t="shared" si="272"/>
      </c>
      <c r="O394" s="692"/>
      <c r="P394" s="692"/>
      <c r="Q394" s="687">
        <f>SUM(Q390:Q393)</f>
      </c>
      <c r="R394" s="687">
        <f>SUM(R390:R393)</f>
      </c>
      <c r="S394" s="687">
        <f>SUM(S390:S393)</f>
      </c>
      <c r="T394" s="687">
        <f>SUM(T390:T393)</f>
      </c>
    </row>
    <row r="395">
      <c r="A395" s="708"/>
      <c r="B395" s="718" t="s">
        <v>807</v>
      </c>
      <c r="C395" s="670" t="s">
        <v>816</v>
      </c>
      <c r="D395" s="746">
        <f t="shared" ref="D395:D398" si="220">E395+F395</f>
      </c>
      <c r="E395" s="670">
        <v>1504.29</v>
      </c>
      <c r="F395" s="670">
        <v>867.38</v>
      </c>
      <c r="G395" s="671">
        <v>8</v>
      </c>
      <c r="H395" s="670">
        <v>5801.9000000000015</v>
      </c>
      <c r="I395" s="672">
        <f t="shared" si="147"/>
      </c>
      <c r="J395" s="672">
        <f t="shared" si="117"/>
      </c>
      <c r="K395" s="673">
        <f t="shared" si="86"/>
      </c>
      <c r="L395" s="674">
        <f t="shared" si="55"/>
      </c>
      <c r="M395" s="675">
        <f t="shared" si="24"/>
      </c>
      <c r="N395" s="676">
        <f t="shared" si="272"/>
      </c>
      <c r="O395" s="677" t="s">
        <v>809</v>
      </c>
      <c r="P395" s="678" t="s">
        <v>827</v>
      </c>
      <c r="Q395" s="697">
        <v>25842</v>
      </c>
      <c r="R395" s="697">
        <v>2176</v>
      </c>
      <c r="S395" s="717">
        <v>12</v>
      </c>
      <c r="T395" s="717">
        <v>60</v>
      </c>
    </row>
    <row r="396">
      <c r="A396" s="708"/>
      <c r="B396" s="718" t="s">
        <v>807</v>
      </c>
      <c r="C396" s="670" t="s">
        <v>817</v>
      </c>
      <c r="D396" s="746">
        <f t="shared" si="220"/>
      </c>
      <c r="E396" s="670">
        <v>1422.55</v>
      </c>
      <c r="F396" s="670">
        <v>2321.64</v>
      </c>
      <c r="G396" s="671">
        <v>15</v>
      </c>
      <c r="H396" s="670">
        <v>11297.279999999999</v>
      </c>
      <c r="I396" s="672">
        <f t="shared" si="147"/>
      </c>
      <c r="J396" s="672">
        <f t="shared" si="117"/>
      </c>
      <c r="K396" s="673">
        <f t="shared" si="86"/>
      </c>
      <c r="L396" s="674">
        <f t="shared" si="55"/>
      </c>
      <c r="M396" s="675">
        <f t="shared" si="24"/>
      </c>
      <c r="N396" s="676">
        <f t="shared" si="272"/>
      </c>
      <c r="O396" s="677" t="s">
        <v>809</v>
      </c>
      <c r="P396" s="678" t="s">
        <v>827</v>
      </c>
      <c r="Q396" s="697">
        <v>55002</v>
      </c>
      <c r="R396" s="697">
        <v>4044</v>
      </c>
      <c r="S396" s="717">
        <v>22</v>
      </c>
      <c r="T396" s="717">
        <v>62</v>
      </c>
    </row>
    <row r="397">
      <c r="A397" s="708"/>
      <c r="B397" s="718" t="s">
        <v>807</v>
      </c>
      <c r="C397" s="670" t="s">
        <v>818</v>
      </c>
      <c r="D397" s="746">
        <f t="shared" si="220"/>
      </c>
      <c r="E397" s="670">
        <v>906.42</v>
      </c>
      <c r="F397" s="670">
        <v>2722.29</v>
      </c>
      <c r="G397" s="671">
        <v>7</v>
      </c>
      <c r="H397" s="670">
        <v>6015.120000000003</v>
      </c>
      <c r="I397" s="672">
        <f t="shared" si="147"/>
      </c>
      <c r="J397" s="672">
        <f t="shared" si="117"/>
      </c>
      <c r="K397" s="673">
        <f t="shared" si="86"/>
      </c>
      <c r="L397" s="674">
        <f t="shared" si="55"/>
      </c>
      <c r="M397" s="675">
        <f t="shared" si="24"/>
      </c>
      <c r="N397" s="676">
        <f t="shared" si="272"/>
      </c>
      <c r="O397" s="677" t="s">
        <v>809</v>
      </c>
      <c r="P397" s="678" t="s">
        <v>827</v>
      </c>
      <c r="Q397" s="697">
        <v>80198</v>
      </c>
      <c r="R397" s="697">
        <v>3617</v>
      </c>
      <c r="S397" s="717">
        <v>10</v>
      </c>
      <c r="T397" s="717">
        <v>94</v>
      </c>
    </row>
    <row r="398">
      <c r="A398" s="708"/>
      <c r="B398" s="718" t="s">
        <v>807</v>
      </c>
      <c r="C398" s="670" t="s">
        <v>819</v>
      </c>
      <c r="D398" s="746">
        <f t="shared" si="220"/>
      </c>
      <c r="E398" s="670">
        <v>1110.76</v>
      </c>
      <c r="F398" s="670">
        <v>1158.42</v>
      </c>
      <c r="G398" s="671">
        <v>12</v>
      </c>
      <c r="H398" s="670">
        <v>7572.5</v>
      </c>
      <c r="I398" s="672">
        <f t="shared" si="147"/>
      </c>
      <c r="J398" s="672">
        <f t="shared" si="117"/>
      </c>
      <c r="K398" s="673">
        <f t="shared" si="86"/>
      </c>
      <c r="L398" s="674">
        <f t="shared" si="55"/>
      </c>
      <c r="M398" s="675">
        <f t="shared" si="24"/>
      </c>
      <c r="N398" s="676">
        <f t="shared" si="272"/>
      </c>
      <c r="O398" s="677" t="s">
        <v>809</v>
      </c>
      <c r="P398" s="678" t="s">
        <v>827</v>
      </c>
      <c r="Q398" s="697">
        <v>36432</v>
      </c>
      <c r="R398" s="697">
        <v>2373</v>
      </c>
      <c r="S398" s="717">
        <v>16</v>
      </c>
      <c r="T398" s="717">
        <v>41</v>
      </c>
    </row>
    <row r="399">
      <c r="A399" s="708"/>
      <c r="B399" s="684" t="s">
        <v>814</v>
      </c>
      <c r="C399" s="684"/>
      <c r="D399" s="685">
        <f>SUM(D395:D398)</f>
      </c>
      <c r="E399" s="685">
        <f>SUM(E395:E398)</f>
      </c>
      <c r="F399" s="685">
        <f>SUM(F395:F398)</f>
      </c>
      <c r="G399" s="687">
        <f>SUM(G395:G398)</f>
      </c>
      <c r="H399" s="685">
        <f>SUM(H395:H398)</f>
      </c>
      <c r="I399" s="699">
        <f t="shared" si="147"/>
      </c>
      <c r="J399" s="689">
        <f t="shared" si="117"/>
      </c>
      <c r="K399" s="690">
        <f t="shared" si="86"/>
      </c>
      <c r="L399" s="691">
        <f t="shared" si="55"/>
      </c>
      <c r="M399" s="691">
        <f t="shared" si="24"/>
      </c>
      <c r="N399" s="692">
        <f t="shared" si="272"/>
      </c>
      <c r="O399" s="692"/>
      <c r="P399" s="692"/>
      <c r="Q399" s="687">
        <f>SUM(Q395:Q398)</f>
      </c>
      <c r="R399" s="687">
        <f>SUM(R395:R398)</f>
      </c>
      <c r="S399" s="687">
        <f>SUM(S395:S398)</f>
      </c>
      <c r="T399" s="687">
        <f>SUM(T395:T398)</f>
      </c>
    </row>
    <row r="400">
      <c r="A400" s="708"/>
      <c r="B400" s="694" t="s">
        <v>841</v>
      </c>
      <c r="C400" s="670" t="s">
        <v>830</v>
      </c>
      <c r="D400" s="746">
        <f t="shared" ref="D400:D403" si="221">E400+F400</f>
      </c>
      <c r="E400" s="670">
        <v>1204.46</v>
      </c>
      <c r="F400" s="670">
        <v>881.13</v>
      </c>
      <c r="G400" s="671">
        <v>8</v>
      </c>
      <c r="H400" s="670">
        <v>6747</v>
      </c>
      <c r="I400" s="672">
        <f t="shared" si="147"/>
      </c>
      <c r="J400" s="672">
        <f t="shared" si="117"/>
      </c>
      <c r="K400" s="673">
        <f t="shared" si="86"/>
      </c>
      <c r="L400" s="674">
        <f t="shared" si="55"/>
      </c>
      <c r="M400" s="675">
        <f t="shared" si="24"/>
      </c>
      <c r="N400" s="676">
        <f t="shared" si="272"/>
      </c>
      <c r="O400" s="677" t="s">
        <v>809</v>
      </c>
      <c r="P400" s="678" t="s">
        <v>827</v>
      </c>
      <c r="Q400" s="697">
        <v>27599</v>
      </c>
      <c r="R400" s="697">
        <v>2526</v>
      </c>
      <c r="S400" s="717">
        <v>11</v>
      </c>
      <c r="T400" s="717">
        <v>52</v>
      </c>
    </row>
    <row r="401">
      <c r="A401" s="708"/>
      <c r="B401" s="694" t="s">
        <v>841</v>
      </c>
      <c r="C401" s="698" t="s">
        <v>831</v>
      </c>
      <c r="D401" s="746">
        <f t="shared" si="221"/>
      </c>
      <c r="E401" s="670">
        <v>1772.72</v>
      </c>
      <c r="F401" s="670">
        <v>777.22</v>
      </c>
      <c r="G401" s="671">
        <v>7</v>
      </c>
      <c r="H401" s="670">
        <v>4966.790000000001</v>
      </c>
      <c r="I401" s="672">
        <f t="shared" si="147"/>
      </c>
      <c r="J401" s="672">
        <f t="shared" si="117"/>
      </c>
      <c r="K401" s="673">
        <f t="shared" si="86"/>
      </c>
      <c r="L401" s="674">
        <f t="shared" si="55"/>
      </c>
      <c r="M401" s="675">
        <f t="shared" si="24"/>
      </c>
      <c r="N401" s="676">
        <f t="shared" si="272"/>
      </c>
      <c r="O401" s="677" t="s">
        <v>809</v>
      </c>
      <c r="P401" s="678" t="s">
        <v>827</v>
      </c>
      <c r="Q401" s="697">
        <v>25929</v>
      </c>
      <c r="R401" s="697">
        <v>2803</v>
      </c>
      <c r="S401" s="717">
        <v>11</v>
      </c>
      <c r="T401" s="717">
        <v>50</v>
      </c>
    </row>
    <row r="402">
      <c r="A402" s="708"/>
      <c r="B402" s="694" t="s">
        <v>841</v>
      </c>
      <c r="C402" s="698" t="s">
        <v>832</v>
      </c>
      <c r="D402" s="746">
        <f t="shared" si="221"/>
      </c>
      <c r="E402" s="670">
        <v>1329.11</v>
      </c>
      <c r="F402" s="670">
        <v>718.76</v>
      </c>
      <c r="G402" s="671">
        <v>10</v>
      </c>
      <c r="H402" s="670">
        <v>5168.849999999991</v>
      </c>
      <c r="I402" s="672">
        <f t="shared" si="147"/>
      </c>
      <c r="J402" s="672">
        <f t="shared" si="117"/>
      </c>
      <c r="K402" s="673">
        <f t="shared" si="86"/>
      </c>
      <c r="L402" s="674">
        <f t="shared" si="55"/>
      </c>
      <c r="M402" s="675">
        <f t="shared" si="24"/>
      </c>
      <c r="N402" s="676">
        <f t="shared" si="272"/>
      </c>
      <c r="O402" s="677" t="s">
        <v>809</v>
      </c>
      <c r="P402" s="678" t="s">
        <v>827</v>
      </c>
      <c r="Q402" s="697">
        <v>28282</v>
      </c>
      <c r="R402" s="697">
        <v>2497</v>
      </c>
      <c r="S402" s="717">
        <v>12</v>
      </c>
      <c r="T402" s="717">
        <v>35</v>
      </c>
    </row>
    <row r="403">
      <c r="A403" s="708"/>
      <c r="B403" s="694" t="s">
        <v>841</v>
      </c>
      <c r="C403" s="698" t="s">
        <v>833</v>
      </c>
      <c r="D403" s="746">
        <f t="shared" si="221"/>
      </c>
      <c r="E403" s="670">
        <v>875.7</v>
      </c>
      <c r="F403" s="670">
        <v>1085.37</v>
      </c>
      <c r="G403" s="671">
        <v>9</v>
      </c>
      <c r="H403" s="670">
        <v>3742.2600000000093</v>
      </c>
      <c r="I403" s="672">
        <f t="shared" si="147"/>
      </c>
      <c r="J403" s="672">
        <f t="shared" si="117"/>
      </c>
      <c r="K403" s="673">
        <f t="shared" si="86"/>
      </c>
      <c r="L403" s="674">
        <f t="shared" si="55"/>
      </c>
      <c r="M403" s="675">
        <f t="shared" si="24"/>
      </c>
      <c r="N403" s="676">
        <f t="shared" si="272"/>
      </c>
      <c r="O403" s="677" t="s">
        <v>809</v>
      </c>
      <c r="P403" s="678" t="s">
        <v>827</v>
      </c>
      <c r="Q403" s="697">
        <v>27818</v>
      </c>
      <c r="R403" s="697">
        <v>2088</v>
      </c>
      <c r="S403" s="717">
        <v>12</v>
      </c>
      <c r="T403" s="717">
        <v>51</v>
      </c>
    </row>
    <row r="404">
      <c r="A404" s="708"/>
      <c r="B404" s="684" t="s">
        <v>814</v>
      </c>
      <c r="C404" s="684"/>
      <c r="D404" s="685">
        <f>SUM(D400:D403)</f>
      </c>
      <c r="E404" s="685">
        <f>SUM(E400:E403)</f>
      </c>
      <c r="F404" s="685">
        <f>SUM(F400:F403)</f>
      </c>
      <c r="G404" s="687">
        <f>SUM(G400:G403)</f>
      </c>
      <c r="H404" s="685">
        <f>SUM(H400:H403)</f>
      </c>
      <c r="I404" s="699">
        <f t="shared" si="147"/>
      </c>
      <c r="J404" s="689">
        <f t="shared" si="117"/>
      </c>
      <c r="K404" s="690">
        <f t="shared" si="86"/>
      </c>
      <c r="L404" s="691">
        <f t="shared" si="55"/>
      </c>
      <c r="M404" s="691">
        <f t="shared" si="24"/>
      </c>
      <c r="N404" s="692">
        <f t="shared" si="272"/>
      </c>
      <c r="O404" s="692"/>
      <c r="P404" s="692"/>
      <c r="Q404" s="687">
        <f>SUM(Q400:Q403)</f>
      </c>
      <c r="R404" s="687">
        <f>SUM(R400:R403)</f>
      </c>
      <c r="S404" s="687">
        <f>SUM(S400:S403)</f>
      </c>
      <c r="T404" s="687">
        <f>SUM(T400:T403)</f>
      </c>
    </row>
    <row customHeight="true" ht="18.452380952380953" r="405">
      <c r="A405" s="708"/>
      <c r="B405" s="694" t="s">
        <v>858</v>
      </c>
      <c r="C405" s="698" t="s">
        <v>845</v>
      </c>
      <c r="D405" s="746">
        <f t="shared" ref="D405:D407" si="222">E405+F405</f>
      </c>
      <c r="E405" s="670">
        <v>964.26</v>
      </c>
      <c r="F405" s="670">
        <v>694.28</v>
      </c>
      <c r="G405" s="671">
        <v>3</v>
      </c>
      <c r="H405" s="670">
        <v>1107.8399999999965</v>
      </c>
      <c r="I405" s="672">
        <f t="shared" si="147"/>
      </c>
      <c r="J405" s="672">
        <f t="shared" si="117"/>
      </c>
      <c r="K405" s="673">
        <f t="shared" si="86"/>
      </c>
      <c r="L405" s="674">
        <f t="shared" si="55"/>
      </c>
      <c r="M405" s="675">
        <f t="shared" si="24"/>
      </c>
      <c r="N405" s="676">
        <f t="shared" si="272"/>
      </c>
      <c r="O405" s="677" t="s">
        <v>809</v>
      </c>
      <c r="P405" s="678" t="s">
        <v>827</v>
      </c>
      <c r="Q405" s="697">
        <v>22806</v>
      </c>
      <c r="R405" s="697">
        <v>2833</v>
      </c>
      <c r="S405" s="717">
        <v>4</v>
      </c>
      <c r="T405" s="717">
        <v>49</v>
      </c>
    </row>
    <row customHeight="true" ht="18.452380952380953" r="406">
      <c r="A406" s="708"/>
      <c r="B406" s="694" t="s">
        <v>858</v>
      </c>
      <c r="C406" s="698" t="s">
        <v>821</v>
      </c>
      <c r="D406" s="746">
        <f t="shared" si="222"/>
      </c>
      <c r="E406" s="670">
        <v>1303.76</v>
      </c>
      <c r="F406" s="670">
        <v>839.21</v>
      </c>
      <c r="G406" s="671">
        <v>6</v>
      </c>
      <c r="H406" s="670">
        <v>4042.4400000000023</v>
      </c>
      <c r="I406" s="672">
        <f t="shared" si="147"/>
      </c>
      <c r="J406" s="672">
        <f t="shared" si="117"/>
      </c>
      <c r="K406" s="673">
        <f t="shared" si="86"/>
      </c>
      <c r="L406" s="674">
        <f t="shared" si="55"/>
      </c>
      <c r="M406" s="675">
        <f t="shared" si="24"/>
      </c>
      <c r="N406" s="676">
        <f t="shared" si="272"/>
      </c>
      <c r="O406" s="677" t="s">
        <v>809</v>
      </c>
      <c r="P406" s="710" t="s">
        <v>859</v>
      </c>
      <c r="Q406" s="697">
        <v>30279</v>
      </c>
      <c r="R406" s="697">
        <v>3013</v>
      </c>
      <c r="S406" s="717">
        <v>13</v>
      </c>
      <c r="T406" s="717">
        <v>79</v>
      </c>
    </row>
    <row customHeight="true" ht="18.452380952380953" r="407">
      <c r="A407" s="708"/>
      <c r="B407" s="694" t="s">
        <v>858</v>
      </c>
      <c r="C407" s="698" t="s">
        <v>823</v>
      </c>
      <c r="D407" s="746">
        <f t="shared" si="222"/>
      </c>
      <c r="E407" s="670">
        <v>1038.4099999999999</v>
      </c>
      <c r="F407" s="670">
        <v>1306.31</v>
      </c>
      <c r="G407" s="671">
        <v>6</v>
      </c>
      <c r="H407" s="670">
        <v>3968.659999999989</v>
      </c>
      <c r="I407" s="672">
        <f t="shared" si="147"/>
      </c>
      <c r="J407" s="672">
        <f t="shared" si="117"/>
      </c>
      <c r="K407" s="673">
        <f t="shared" si="86"/>
      </c>
      <c r="L407" s="674">
        <f t="shared" si="55"/>
      </c>
      <c r="M407" s="675">
        <f t="shared" si="24"/>
      </c>
      <c r="N407" s="676">
        <f t="shared" si="272"/>
      </c>
      <c r="O407" s="677" t="s">
        <v>809</v>
      </c>
      <c r="P407" s="710" t="s">
        <v>859</v>
      </c>
      <c r="Q407" s="697">
        <v>28186</v>
      </c>
      <c r="R407" s="697">
        <v>2714</v>
      </c>
      <c r="S407" s="717">
        <v>10</v>
      </c>
      <c r="T407" s="717">
        <v>31</v>
      </c>
    </row>
    <row customHeight="true" ht="18.452380952380953" r="408">
      <c r="A408" s="708"/>
      <c r="B408" s="684" t="s">
        <v>814</v>
      </c>
      <c r="C408" s="684"/>
      <c r="D408" s="750">
        <f>SUM(D405:D407)</f>
      </c>
      <c r="E408" s="750">
        <f>SUM(E405:E407)</f>
      </c>
      <c r="F408" s="750">
        <f>SUM(F405:F407)</f>
      </c>
      <c r="G408" s="750">
        <f>SUM(G405:G407)</f>
      </c>
      <c r="H408" s="750">
        <f>SUM(H405:H407)</f>
      </c>
      <c r="I408" s="689">
        <f t="shared" si="147"/>
      </c>
      <c r="J408" s="692">
        <f t="shared" si="117"/>
      </c>
      <c r="K408" s="692">
        <f t="shared" si="86"/>
      </c>
      <c r="L408" s="692">
        <f t="shared" si="55"/>
      </c>
      <c r="M408" s="691">
        <f t="shared" si="24"/>
      </c>
      <c r="N408" s="692">
        <f t="shared" si="272"/>
      </c>
      <c r="O408" s="692"/>
      <c r="P408" s="692"/>
      <c r="Q408" s="687">
        <f>SUM(Q405:Q407)</f>
      </c>
      <c r="R408" s="687">
        <f>SUM(R405:R407)</f>
      </c>
      <c r="S408" s="687">
        <f>SUM(S405:S407)</f>
      </c>
      <c r="T408" s="687">
        <f>SUM(T405:T407)</f>
      </c>
    </row>
    <row r="409">
      <c r="A409" s="708"/>
      <c r="B409" s="700" t="s">
        <v>825</v>
      </c>
      <c r="C409" s="700"/>
      <c r="D409" s="701">
        <f>D394+D399+D404+D408</f>
      </c>
      <c r="E409" s="701">
        <f>E394+E399+E404+E408</f>
      </c>
      <c r="F409" s="701">
        <f>F394+F399+F404+F408</f>
      </c>
      <c r="G409" s="702">
        <f>G394+G399+G404+G408</f>
      </c>
      <c r="H409" s="701">
        <f>H394+H399+H404+H408</f>
      </c>
      <c r="I409" s="703">
        <f t="shared" si="147"/>
      </c>
      <c r="J409" s="703">
        <f t="shared" si="117"/>
      </c>
      <c r="K409" s="704">
        <f t="shared" si="86"/>
      </c>
      <c r="L409" s="705">
        <f t="shared" si="55"/>
      </c>
      <c r="M409" s="705">
        <f t="shared" si="24"/>
      </c>
      <c r="N409" s="703">
        <f t="shared" si="272"/>
      </c>
      <c r="O409" s="706"/>
      <c r="P409" s="706"/>
      <c r="Q409" s="702">
        <f>Q394+Q399+Q404+Q408</f>
      </c>
      <c r="R409" s="702">
        <f>R394+R399+R404+R408</f>
      </c>
      <c r="S409" s="702">
        <f>S394+S399+S404+S408</f>
      </c>
      <c r="T409" s="702">
        <f>T394+T399+T404+T408</f>
      </c>
    </row>
    <row r="410">
      <c r="A410" s="655" t="s">
        <v>782</v>
      </c>
      <c r="B410" s="655"/>
      <c r="C410" s="655"/>
      <c r="D410" s="656" t="s">
        <v>783</v>
      </c>
      <c r="E410" s="656"/>
      <c r="F410" s="656"/>
      <c r="G410" s="656"/>
      <c r="H410" s="656"/>
      <c r="I410" s="656"/>
      <c r="J410" s="656"/>
      <c r="K410" s="656"/>
      <c r="L410" s="666" t="s">
        <v>784</v>
      </c>
      <c r="M410" s="666"/>
      <c r="N410" s="666"/>
      <c r="O410" s="666"/>
      <c r="P410" s="666"/>
      <c r="Q410" s="737" t="s">
        <v>785</v>
      </c>
      <c r="R410" s="737"/>
      <c r="S410" s="737"/>
      <c r="T410" s="737"/>
    </row>
    <row r="411">
      <c r="A411" s="660" t="s">
        <v>786</v>
      </c>
      <c r="B411" s="720" t="s">
        <v>787</v>
      </c>
      <c r="C411" s="743" t="s">
        <v>788</v>
      </c>
      <c r="D411" s="722" t="s">
        <v>789</v>
      </c>
      <c r="E411" s="721" t="s">
        <v>790</v>
      </c>
      <c r="F411" s="722" t="s">
        <v>791</v>
      </c>
      <c r="G411" s="662" t="s">
        <v>792</v>
      </c>
      <c r="H411" s="661" t="s">
        <v>793</v>
      </c>
      <c r="I411" s="663" t="s">
        <v>794</v>
      </c>
      <c r="J411" s="664" t="s">
        <v>795</v>
      </c>
      <c r="K411" s="665" t="s">
        <v>796</v>
      </c>
      <c r="L411" s="666" t="s">
        <v>797</v>
      </c>
      <c r="M411" s="666" t="s">
        <v>798</v>
      </c>
      <c r="N411" s="666" t="s">
        <v>799</v>
      </c>
      <c r="O411" s="723" t="s">
        <v>800</v>
      </c>
      <c r="P411" s="738" t="s">
        <v>801</v>
      </c>
      <c r="Q411" s="667" t="s">
        <v>802</v>
      </c>
      <c r="R411" s="667" t="s">
        <v>803</v>
      </c>
      <c r="S411" s="740" t="s">
        <v>804</v>
      </c>
      <c r="T411" s="667" t="s">
        <v>805</v>
      </c>
    </row>
    <row r="412">
      <c r="A412" s="708" t="s">
        <v>860</v>
      </c>
      <c r="B412" s="718" t="s">
        <v>807</v>
      </c>
      <c r="C412" s="724" t="s">
        <v>808</v>
      </c>
      <c r="D412" s="724">
        <f t="shared" ref="D412:D415" si="223">E412+F412</f>
      </c>
      <c r="E412" s="745">
        <v>930.24</v>
      </c>
      <c r="F412" s="670">
        <v>1727.17</v>
      </c>
      <c r="G412" s="725">
        <v>6</v>
      </c>
      <c r="H412" s="670">
        <v>4989.36</v>
      </c>
      <c r="I412" s="672">
        <f t="shared" ref="I412:I431" si="148">H412/D412</f>
      </c>
      <c r="J412" s="672">
        <f t="shared" ref="J412:J431" si="118">D412/G412</f>
      </c>
      <c r="K412" s="673">
        <f t="shared" ref="K412:K431" si="87">H412/G412</f>
      </c>
      <c r="L412" s="674">
        <f t="shared" ref="L412:L431" si="56">R412/Q412</f>
      </c>
      <c r="M412" s="675">
        <f t="shared" ref="M412:M431" si="25">G412/S412</f>
      </c>
      <c r="N412" s="676">
        <f t="shared" ref="N412:N431" si="273">(T412*1000)/D412</f>
      </c>
      <c r="O412" s="677" t="s">
        <v>809</v>
      </c>
      <c r="P412" s="678" t="s">
        <v>810</v>
      </c>
      <c r="Q412" s="741">
        <v>30596</v>
      </c>
      <c r="R412" s="741">
        <v>3590</v>
      </c>
      <c r="S412" s="711">
        <v>15</v>
      </c>
      <c r="T412" s="711">
        <v>68</v>
      </c>
    </row>
    <row r="413">
      <c r="A413" s="708"/>
      <c r="B413" s="718" t="s">
        <v>807</v>
      </c>
      <c r="C413" s="696" t="s">
        <v>811</v>
      </c>
      <c r="D413" s="749">
        <f t="shared" si="223"/>
      </c>
      <c r="E413" s="727">
        <v>1173.67</v>
      </c>
      <c r="F413" s="696">
        <v>2339.95</v>
      </c>
      <c r="G413" s="671">
        <v>13</v>
      </c>
      <c r="H413" s="670">
        <v>6963.86</v>
      </c>
      <c r="I413" s="672">
        <f t="shared" si="148"/>
      </c>
      <c r="J413" s="672">
        <f t="shared" si="118"/>
      </c>
      <c r="K413" s="673">
        <f t="shared" si="87"/>
      </c>
      <c r="L413" s="674">
        <f t="shared" si="56"/>
      </c>
      <c r="M413" s="675">
        <f t="shared" si="25"/>
      </c>
      <c r="N413" s="676">
        <f t="shared" si="273"/>
      </c>
      <c r="O413" s="677" t="s">
        <v>809</v>
      </c>
      <c r="P413" s="678" t="s">
        <v>810</v>
      </c>
      <c r="Q413" s="679">
        <v>46481</v>
      </c>
      <c r="R413" s="679">
        <v>4466</v>
      </c>
      <c r="S413" s="711">
        <v>17</v>
      </c>
      <c r="T413" s="711">
        <v>77</v>
      </c>
    </row>
    <row r="414">
      <c r="A414" s="708"/>
      <c r="B414" s="718" t="s">
        <v>807</v>
      </c>
      <c r="C414" s="670" t="s">
        <v>812</v>
      </c>
      <c r="D414" s="746">
        <f t="shared" si="223"/>
      </c>
      <c r="E414" s="728">
        <v>596.2</v>
      </c>
      <c r="F414" s="670">
        <v>978.38</v>
      </c>
      <c r="G414" s="680">
        <v>2</v>
      </c>
      <c r="H414" s="681">
        <v>1355.5200000000004</v>
      </c>
      <c r="I414" s="672">
        <f t="shared" si="148"/>
      </c>
      <c r="J414" s="672">
        <f t="shared" si="118"/>
      </c>
      <c r="K414" s="673">
        <f t="shared" si="87"/>
      </c>
      <c r="L414" s="674">
        <f t="shared" si="56"/>
      </c>
      <c r="M414" s="675">
        <f t="shared" si="25"/>
      </c>
      <c r="N414" s="676">
        <f t="shared" si="273"/>
      </c>
      <c r="O414" s="677" t="s">
        <v>809</v>
      </c>
      <c r="P414" s="678" t="s">
        <v>810</v>
      </c>
      <c r="Q414" s="679">
        <v>21997</v>
      </c>
      <c r="R414" s="679">
        <v>2305</v>
      </c>
      <c r="S414" s="711">
        <v>10</v>
      </c>
      <c r="T414" s="711">
        <v>60</v>
      </c>
    </row>
    <row r="415">
      <c r="A415" s="708"/>
      <c r="B415" s="718" t="s">
        <v>807</v>
      </c>
      <c r="C415" s="670" t="s">
        <v>813</v>
      </c>
      <c r="D415" s="746">
        <f t="shared" si="223"/>
      </c>
      <c r="E415" s="728">
        <v>851.2</v>
      </c>
      <c r="F415" s="670">
        <v>646.69</v>
      </c>
      <c r="G415" s="680">
        <v>9</v>
      </c>
      <c r="H415" s="719">
        <v>7385.640000000001</v>
      </c>
      <c r="I415" s="672">
        <f t="shared" si="148"/>
      </c>
      <c r="J415" s="672">
        <f t="shared" si="118"/>
      </c>
      <c r="K415" s="673">
        <f t="shared" si="87"/>
      </c>
      <c r="L415" s="674">
        <f t="shared" si="56"/>
      </c>
      <c r="M415" s="675">
        <f t="shared" si="25"/>
      </c>
      <c r="N415" s="676">
        <f t="shared" si="273"/>
      </c>
      <c r="O415" s="677" t="s">
        <v>809</v>
      </c>
      <c r="P415" s="678" t="s">
        <v>810</v>
      </c>
      <c r="Q415" s="697">
        <v>14117</v>
      </c>
      <c r="R415" s="697">
        <v>1786</v>
      </c>
      <c r="S415" s="717">
        <v>9</v>
      </c>
      <c r="T415" s="717">
        <v>30</v>
      </c>
    </row>
    <row r="416">
      <c r="A416" s="708"/>
      <c r="B416" s="730" t="s">
        <v>814</v>
      </c>
      <c r="C416" s="730"/>
      <c r="D416" s="685">
        <f>SUM(D412:D415)</f>
      </c>
      <c r="E416" s="685">
        <f>SUM(E412:E415)</f>
      </c>
      <c r="F416" s="685">
        <f>SUM(F412:F415)</f>
      </c>
      <c r="G416" s="687">
        <f>SUM(G412:G415)</f>
      </c>
      <c r="H416" s="685">
        <f>SUM(H412:H415)</f>
      </c>
      <c r="I416" s="688">
        <f t="shared" si="148"/>
      </c>
      <c r="J416" s="689">
        <f t="shared" si="118"/>
      </c>
      <c r="K416" s="690">
        <f t="shared" si="87"/>
      </c>
      <c r="L416" s="691">
        <f t="shared" si="56"/>
      </c>
      <c r="M416" s="691">
        <f t="shared" si="25"/>
      </c>
      <c r="N416" s="692">
        <f t="shared" si="273"/>
      </c>
      <c r="O416" s="692"/>
      <c r="P416" s="692"/>
      <c r="Q416" s="687">
        <f>SUM(Q412:Q415)</f>
      </c>
      <c r="R416" s="687">
        <f>SUM(R412:R415)</f>
      </c>
      <c r="S416" s="687">
        <f>SUM(S412:S415)</f>
      </c>
      <c r="T416" s="687">
        <f>SUM(T412:T415)</f>
      </c>
    </row>
    <row r="417">
      <c r="A417" s="708"/>
      <c r="B417" s="694" t="s">
        <v>815</v>
      </c>
      <c r="C417" s="670" t="s">
        <v>816</v>
      </c>
      <c r="D417" s="746">
        <f t="shared" ref="D417:D420" si="224">E417+F417</f>
      </c>
      <c r="E417" s="670">
        <v>768.16</v>
      </c>
      <c r="F417" s="670">
        <v>741.51</v>
      </c>
      <c r="G417" s="671">
        <v>7</v>
      </c>
      <c r="H417" s="670">
        <v>2854.119999999999</v>
      </c>
      <c r="I417" s="672">
        <f t="shared" si="148"/>
      </c>
      <c r="J417" s="672">
        <f t="shared" si="118"/>
      </c>
      <c r="K417" s="673">
        <f t="shared" si="87"/>
      </c>
      <c r="L417" s="674">
        <f t="shared" si="56"/>
      </c>
      <c r="M417" s="675">
        <f t="shared" si="25"/>
      </c>
      <c r="N417" s="676">
        <f t="shared" si="273"/>
      </c>
      <c r="O417" s="677" t="s">
        <v>809</v>
      </c>
      <c r="P417" s="678" t="s">
        <v>810</v>
      </c>
      <c r="Q417" s="697">
        <v>11403</v>
      </c>
      <c r="R417" s="697">
        <v>1237</v>
      </c>
      <c r="S417" s="717">
        <v>14</v>
      </c>
      <c r="T417" s="717">
        <v>37</v>
      </c>
    </row>
    <row r="418">
      <c r="A418" s="708"/>
      <c r="B418" s="694" t="s">
        <v>815</v>
      </c>
      <c r="C418" s="670" t="s">
        <v>817</v>
      </c>
      <c r="D418" s="746">
        <f t="shared" si="224"/>
      </c>
      <c r="E418" s="670">
        <v>517.35</v>
      </c>
      <c r="F418" s="670">
        <v>693.82</v>
      </c>
      <c r="G418" s="671">
        <v>3</v>
      </c>
      <c r="H418" s="670">
        <v>1570.5600000000013</v>
      </c>
      <c r="I418" s="672">
        <f t="shared" si="148"/>
      </c>
      <c r="J418" s="672">
        <f t="shared" si="118"/>
      </c>
      <c r="K418" s="673">
        <f t="shared" si="87"/>
      </c>
      <c r="L418" s="674">
        <f t="shared" si="56"/>
      </c>
      <c r="M418" s="675">
        <f t="shared" si="25"/>
      </c>
      <c r="N418" s="676">
        <f t="shared" si="273"/>
      </c>
      <c r="O418" s="677" t="s">
        <v>809</v>
      </c>
      <c r="P418" s="678" t="s">
        <v>810</v>
      </c>
      <c r="Q418" s="697">
        <v>13110</v>
      </c>
      <c r="R418" s="697">
        <v>1572</v>
      </c>
      <c r="S418" s="717">
        <v>5</v>
      </c>
      <c r="T418" s="717">
        <v>31</v>
      </c>
    </row>
    <row r="419">
      <c r="A419" s="708"/>
      <c r="B419" s="694" t="s">
        <v>815</v>
      </c>
      <c r="C419" s="670" t="s">
        <v>818</v>
      </c>
      <c r="D419" s="746">
        <f t="shared" si="224"/>
      </c>
      <c r="E419" s="670">
        <v>435.05</v>
      </c>
      <c r="F419" s="670">
        <v>902.98</v>
      </c>
      <c r="G419" s="671">
        <v>3</v>
      </c>
      <c r="H419" s="670">
        <v>1994.1599999999999</v>
      </c>
      <c r="I419" s="672">
        <f t="shared" si="148"/>
      </c>
      <c r="J419" s="672">
        <f t="shared" si="118"/>
      </c>
      <c r="K419" s="673">
        <f t="shared" si="87"/>
      </c>
      <c r="L419" s="674">
        <f t="shared" si="56"/>
      </c>
      <c r="M419" s="675">
        <f t="shared" si="25"/>
      </c>
      <c r="N419" s="676">
        <f t="shared" si="273"/>
      </c>
      <c r="O419" s="677" t="s">
        <v>809</v>
      </c>
      <c r="P419" s="678" t="s">
        <v>827</v>
      </c>
      <c r="Q419" s="697">
        <v>13527</v>
      </c>
      <c r="R419" s="697">
        <v>1489</v>
      </c>
      <c r="S419" s="717">
        <v>7</v>
      </c>
      <c r="T419" s="717">
        <v>37</v>
      </c>
    </row>
    <row r="420">
      <c r="A420" s="708"/>
      <c r="B420" s="694" t="s">
        <v>815</v>
      </c>
      <c r="C420" s="670" t="s">
        <v>819</v>
      </c>
      <c r="D420" s="746">
        <f t="shared" si="224"/>
      </c>
      <c r="E420" s="670">
        <v>522.99</v>
      </c>
      <c r="F420" s="670">
        <v>1304.88</v>
      </c>
      <c r="G420" s="671">
        <v>4</v>
      </c>
      <c r="H420" s="670">
        <v>1322.880000000001</v>
      </c>
      <c r="I420" s="672">
        <f t="shared" si="148"/>
      </c>
      <c r="J420" s="672">
        <f t="shared" si="118"/>
      </c>
      <c r="K420" s="673">
        <f t="shared" si="87"/>
      </c>
      <c r="L420" s="674">
        <f t="shared" si="56"/>
      </c>
      <c r="M420" s="675">
        <f t="shared" si="25"/>
      </c>
      <c r="N420" s="676">
        <f t="shared" si="273"/>
      </c>
      <c r="O420" s="677" t="s">
        <v>809</v>
      </c>
      <c r="P420" s="678" t="s">
        <v>827</v>
      </c>
      <c r="Q420" s="697">
        <v>15435</v>
      </c>
      <c r="R420" s="697">
        <v>2212</v>
      </c>
      <c r="S420" s="717">
        <v>5</v>
      </c>
      <c r="T420" s="717">
        <v>37</v>
      </c>
    </row>
    <row r="421">
      <c r="A421" s="708"/>
      <c r="B421" s="684" t="s">
        <v>814</v>
      </c>
      <c r="C421" s="684"/>
      <c r="D421" s="685">
        <f>SUM(D417:D420)</f>
      </c>
      <c r="E421" s="685">
        <f>SUM(E417:E420)</f>
      </c>
      <c r="F421" s="685">
        <f>SUM(F417:F420)</f>
      </c>
      <c r="G421" s="687">
        <f>SUM(G417:G420)</f>
      </c>
      <c r="H421" s="685">
        <f>SUM(H417:H420)</f>
      </c>
      <c r="I421" s="699">
        <f t="shared" si="148"/>
      </c>
      <c r="J421" s="689">
        <f t="shared" si="118"/>
      </c>
      <c r="K421" s="690">
        <f t="shared" si="87"/>
      </c>
      <c r="L421" s="691">
        <f t="shared" si="56"/>
      </c>
      <c r="M421" s="691">
        <f t="shared" si="25"/>
      </c>
      <c r="N421" s="692">
        <f t="shared" si="273"/>
      </c>
      <c r="O421" s="692"/>
      <c r="P421" s="692"/>
      <c r="Q421" s="687">
        <f>SUM(Q417:Q420)</f>
      </c>
      <c r="R421" s="687">
        <f>SUM(R417:R420)</f>
      </c>
      <c r="S421" s="687">
        <f>SUM(S417:S420)</f>
      </c>
      <c r="T421" s="687">
        <f>SUM(T417:T420)</f>
      </c>
    </row>
    <row r="422">
      <c r="A422" s="708"/>
      <c r="B422" s="694" t="s">
        <v>841</v>
      </c>
      <c r="C422" s="670" t="s">
        <v>830</v>
      </c>
      <c r="D422" s="746">
        <f t="shared" ref="D422:D424" si="225">E422+F422</f>
      </c>
      <c r="E422" s="670">
        <v>1121.63</v>
      </c>
      <c r="F422" s="670">
        <v>1342.3</v>
      </c>
      <c r="G422" s="671">
        <v>7</v>
      </c>
      <c r="H422" s="670">
        <v>2893.439999999995</v>
      </c>
      <c r="I422" s="672">
        <f t="shared" si="148"/>
      </c>
      <c r="J422" s="672">
        <f t="shared" si="118"/>
      </c>
      <c r="K422" s="673">
        <f t="shared" si="87"/>
      </c>
      <c r="L422" s="674">
        <f t="shared" si="56"/>
      </c>
      <c r="M422" s="675">
        <f t="shared" si="25"/>
      </c>
      <c r="N422" s="676">
        <f t="shared" si="273"/>
      </c>
      <c r="O422" s="677" t="s">
        <v>809</v>
      </c>
      <c r="P422" s="678" t="s">
        <v>827</v>
      </c>
      <c r="Q422" s="697">
        <v>24148</v>
      </c>
      <c r="R422" s="697">
        <v>3018</v>
      </c>
      <c r="S422" s="717">
        <v>9</v>
      </c>
      <c r="T422" s="717">
        <v>52</v>
      </c>
    </row>
    <row r="423">
      <c r="A423" s="708"/>
      <c r="B423" s="694" t="s">
        <v>841</v>
      </c>
      <c r="C423" s="698" t="s">
        <v>831</v>
      </c>
      <c r="D423" s="746">
        <f t="shared" si="225"/>
      </c>
      <c r="E423" s="670">
        <v>1585.27</v>
      </c>
      <c r="F423" s="670">
        <v>1657.35</v>
      </c>
      <c r="G423" s="671">
        <v>10</v>
      </c>
      <c r="H423" s="670">
        <v>6660.240000000002</v>
      </c>
      <c r="I423" s="672">
        <f t="shared" si="148"/>
      </c>
      <c r="J423" s="672">
        <f t="shared" si="118"/>
      </c>
      <c r="K423" s="673">
        <f t="shared" si="87"/>
      </c>
      <c r="L423" s="674">
        <f t="shared" si="56"/>
      </c>
      <c r="M423" s="675">
        <f t="shared" si="25"/>
      </c>
      <c r="N423" s="676">
        <f t="shared" si="273"/>
      </c>
      <c r="O423" s="677" t="s">
        <v>809</v>
      </c>
      <c r="P423" s="678" t="s">
        <v>827</v>
      </c>
      <c r="Q423" s="697">
        <v>37784</v>
      </c>
      <c r="R423" s="697">
        <v>4671</v>
      </c>
      <c r="S423" s="717">
        <v>12</v>
      </c>
      <c r="T423" s="717">
        <v>72</v>
      </c>
    </row>
    <row r="424">
      <c r="A424" s="708"/>
      <c r="B424" s="694" t="s">
        <v>841</v>
      </c>
      <c r="C424" s="698" t="s">
        <v>832</v>
      </c>
      <c r="D424" s="746">
        <f t="shared" si="225"/>
      </c>
      <c r="E424" s="670">
        <v>671.7</v>
      </c>
      <c r="F424" s="670">
        <v>1273.41</v>
      </c>
      <c r="G424" s="671">
        <v>4</v>
      </c>
      <c r="H424" s="670">
        <v>2671.9199999999983</v>
      </c>
      <c r="I424" s="672">
        <f t="shared" si="148"/>
      </c>
      <c r="J424" s="672">
        <f t="shared" si="118"/>
      </c>
      <c r="K424" s="673">
        <f t="shared" si="87"/>
      </c>
      <c r="L424" s="674">
        <f t="shared" si="56"/>
      </c>
      <c r="M424" s="675">
        <f t="shared" si="25"/>
      </c>
      <c r="N424" s="676">
        <f t="shared" si="273"/>
      </c>
      <c r="O424" s="677" t="s">
        <v>809</v>
      </c>
      <c r="P424" s="678" t="s">
        <v>827</v>
      </c>
      <c r="Q424" s="697">
        <v>25218</v>
      </c>
      <c r="R424" s="697">
        <v>4617</v>
      </c>
      <c r="S424" s="717">
        <v>7</v>
      </c>
      <c r="T424" s="717">
        <v>56</v>
      </c>
    </row>
    <row r="425">
      <c r="A425" s="708"/>
      <c r="B425" s="684" t="s">
        <v>814</v>
      </c>
      <c r="C425" s="684"/>
      <c r="D425" s="685">
        <f>SUM(D422:D424)</f>
      </c>
      <c r="E425" s="685">
        <f>SUM(E422:E424)</f>
      </c>
      <c r="F425" s="685">
        <f>SUM(F422:F424)</f>
      </c>
      <c r="G425" s="687">
        <f>SUM(G422:G424)</f>
      </c>
      <c r="H425" s="685">
        <f>SUM(H422:H424)</f>
      </c>
      <c r="I425" s="699">
        <f t="shared" si="148"/>
      </c>
      <c r="J425" s="689">
        <f t="shared" si="118"/>
      </c>
      <c r="K425" s="690">
        <f t="shared" si="87"/>
      </c>
      <c r="L425" s="691">
        <f t="shared" si="56"/>
      </c>
      <c r="M425" s="691">
        <f t="shared" si="25"/>
      </c>
      <c r="N425" s="692">
        <f t="shared" si="273"/>
      </c>
      <c r="O425" s="692"/>
      <c r="P425" s="692"/>
      <c r="Q425" s="687">
        <f>SUM(Q422:Q424)</f>
      </c>
      <c r="R425" s="687">
        <f>SUM(R422:R424)</f>
      </c>
      <c r="S425" s="687">
        <f>SUM(S422:S424)</f>
      </c>
      <c r="T425" s="687">
        <f>SUM(T422:T424)</f>
      </c>
    </row>
    <row r="426">
      <c r="A426" s="708"/>
      <c r="B426" s="718" t="s">
        <v>861</v>
      </c>
      <c r="C426" s="698" t="s">
        <v>833</v>
      </c>
      <c r="D426" s="746">
        <f t="shared" ref="D426:D429" si="226">E426+F426</f>
      </c>
      <c r="E426" s="670">
        <v>795.09</v>
      </c>
      <c r="F426" s="670">
        <v>1106.93</v>
      </c>
      <c r="G426" s="671">
        <v>6</v>
      </c>
      <c r="H426" s="670">
        <v>4574.280000000006</v>
      </c>
      <c r="I426" s="672">
        <f t="shared" si="148"/>
      </c>
      <c r="J426" s="672">
        <f t="shared" si="118"/>
      </c>
      <c r="K426" s="673">
        <f t="shared" si="87"/>
      </c>
      <c r="L426" s="674">
        <f t="shared" si="56"/>
      </c>
      <c r="M426" s="675">
        <f t="shared" si="25"/>
      </c>
      <c r="N426" s="676">
        <f t="shared" si="273"/>
      </c>
      <c r="O426" s="677" t="s">
        <v>809</v>
      </c>
      <c r="P426" s="678" t="s">
        <v>827</v>
      </c>
      <c r="Q426" s="697">
        <v>23286</v>
      </c>
      <c r="R426" s="697">
        <v>2850</v>
      </c>
      <c r="S426" s="717">
        <v>9</v>
      </c>
      <c r="T426" s="717">
        <v>70</v>
      </c>
    </row>
    <row r="427">
      <c r="A427" s="708"/>
      <c r="B427" s="718" t="s">
        <v>861</v>
      </c>
      <c r="C427" s="698" t="s">
        <v>845</v>
      </c>
      <c r="D427" s="746">
        <f t="shared" si="226"/>
      </c>
      <c r="E427" s="670">
        <v>1069.17</v>
      </c>
      <c r="F427" s="670">
        <v>704.64</v>
      </c>
      <c r="G427" s="671">
        <v>6</v>
      </c>
      <c r="H427" s="670">
        <v>3564.720000000001</v>
      </c>
      <c r="I427" s="672">
        <f t="shared" si="148"/>
      </c>
      <c r="J427" s="672">
        <f t="shared" si="118"/>
      </c>
      <c r="K427" s="673">
        <f t="shared" si="87"/>
      </c>
      <c r="L427" s="674">
        <f t="shared" si="56"/>
      </c>
      <c r="M427" s="675">
        <f t="shared" si="25"/>
      </c>
      <c r="N427" s="676">
        <f t="shared" si="273"/>
      </c>
      <c r="O427" s="677" t="s">
        <v>809</v>
      </c>
      <c r="P427" s="678" t="s">
        <v>827</v>
      </c>
      <c r="Q427" s="697">
        <v>29311</v>
      </c>
      <c r="R427" s="697">
        <v>2492</v>
      </c>
      <c r="S427" s="717">
        <v>9</v>
      </c>
      <c r="T427" s="717">
        <v>56</v>
      </c>
    </row>
    <row customHeight="true" ht="16.666666666666668" r="428">
      <c r="A428" s="708"/>
      <c r="B428" s="718" t="s">
        <v>861</v>
      </c>
      <c r="C428" s="698" t="s">
        <v>821</v>
      </c>
      <c r="D428" s="746">
        <f t="shared" si="226"/>
      </c>
      <c r="E428" s="670">
        <v>751.02</v>
      </c>
      <c r="F428" s="670">
        <v>1755.08</v>
      </c>
      <c r="G428" s="671">
        <v>9</v>
      </c>
      <c r="H428" s="670">
        <v>4687.559999999998</v>
      </c>
      <c r="I428" s="672">
        <f t="shared" si="148"/>
      </c>
      <c r="J428" s="672">
        <f t="shared" si="118"/>
      </c>
      <c r="K428" s="673">
        <f t="shared" si="87"/>
      </c>
      <c r="L428" s="674">
        <f t="shared" si="56"/>
      </c>
      <c r="M428" s="675">
        <f t="shared" si="25"/>
      </c>
      <c r="N428" s="676">
        <f t="shared" si="273"/>
      </c>
      <c r="O428" s="677" t="s">
        <v>809</v>
      </c>
      <c r="P428" s="678" t="s">
        <v>827</v>
      </c>
      <c r="Q428" s="697">
        <v>31537</v>
      </c>
      <c r="R428" s="697">
        <v>3872</v>
      </c>
      <c r="S428" s="717">
        <v>12</v>
      </c>
      <c r="T428" s="717">
        <v>75</v>
      </c>
    </row>
    <row r="429">
      <c r="A429" s="708"/>
      <c r="B429" s="718" t="s">
        <v>861</v>
      </c>
      <c r="C429" s="698" t="s">
        <v>823</v>
      </c>
      <c r="D429" s="746">
        <f t="shared" si="226"/>
      </c>
      <c r="E429" s="670">
        <v>451.71999999999997</v>
      </c>
      <c r="F429" s="670">
        <v>4070.27</v>
      </c>
      <c r="G429" s="671">
        <v>27</v>
      </c>
      <c r="H429" s="670">
        <v>15893.900000000001</v>
      </c>
      <c r="I429" s="672">
        <f t="shared" si="148"/>
      </c>
      <c r="J429" s="672">
        <f t="shared" si="118"/>
      </c>
      <c r="K429" s="673">
        <f t="shared" si="87"/>
      </c>
      <c r="L429" s="674">
        <f t="shared" si="56"/>
      </c>
      <c r="M429" s="675">
        <f t="shared" si="25"/>
      </c>
      <c r="N429" s="676">
        <f t="shared" si="273"/>
      </c>
      <c r="O429" s="677" t="s">
        <v>809</v>
      </c>
      <c r="P429" s="678" t="s">
        <v>827</v>
      </c>
      <c r="Q429" s="697">
        <v>53982</v>
      </c>
      <c r="R429" s="697">
        <v>6528</v>
      </c>
      <c r="S429" s="717">
        <v>32</v>
      </c>
      <c r="T429" s="717">
        <v>106</v>
      </c>
    </row>
    <row r="430">
      <c r="A430" s="708"/>
      <c r="B430" s="684" t="s">
        <v>814</v>
      </c>
      <c r="C430" s="684"/>
      <c r="D430" s="750">
        <f>SUM(D426:D429)</f>
      </c>
      <c r="E430" s="750">
        <f>SUM(E426:E429)</f>
      </c>
      <c r="F430" s="750">
        <f>SUM(F426:F429)</f>
      </c>
      <c r="G430" s="750">
        <f>SUM(G426:G429)</f>
      </c>
      <c r="H430" s="750">
        <f>SUM(H426:H429)</f>
      </c>
      <c r="I430" s="689">
        <f t="shared" si="148"/>
      </c>
      <c r="J430" s="692">
        <f t="shared" si="118"/>
      </c>
      <c r="K430" s="692">
        <f t="shared" si="87"/>
      </c>
      <c r="L430" s="692">
        <f t="shared" si="56"/>
      </c>
      <c r="M430" s="691">
        <f t="shared" si="25"/>
      </c>
      <c r="N430" s="692">
        <f t="shared" si="273"/>
      </c>
      <c r="O430" s="692"/>
      <c r="P430" s="692"/>
      <c r="Q430" s="687">
        <f>SUM(Q426:Q429)</f>
      </c>
      <c r="R430" s="687">
        <f>SUM(R426:R429)</f>
      </c>
      <c r="S430" s="687">
        <f>SUM(S426:S429)</f>
      </c>
      <c r="T430" s="687">
        <f>SUM(T426:T429)</f>
      </c>
    </row>
    <row r="431">
      <c r="A431" s="708"/>
      <c r="B431" s="700" t="s">
        <v>825</v>
      </c>
      <c r="C431" s="700"/>
      <c r="D431" s="701">
        <f>D416+D421+D425+D430</f>
      </c>
      <c r="E431" s="701">
        <f>E416+E421+E425+E430</f>
      </c>
      <c r="F431" s="701">
        <f>F416+F421+F425+F430</f>
      </c>
      <c r="G431" s="702">
        <f>G416+G421+G425+G430</f>
      </c>
      <c r="H431" s="701">
        <f>H416+H421+H425+H430</f>
      </c>
      <c r="I431" s="703">
        <f t="shared" si="148"/>
      </c>
      <c r="J431" s="703">
        <f t="shared" si="118"/>
      </c>
      <c r="K431" s="704">
        <f t="shared" si="87"/>
      </c>
      <c r="L431" s="705">
        <f t="shared" si="56"/>
      </c>
      <c r="M431" s="705">
        <f t="shared" si="25"/>
      </c>
      <c r="N431" s="703">
        <f t="shared" si="273"/>
      </c>
      <c r="O431" s="706"/>
      <c r="P431" s="706"/>
      <c r="Q431" s="702">
        <f>Q416+Q421+Q425+Q430</f>
      </c>
      <c r="R431" s="702">
        <f>R416+R421+R425+R430</f>
      </c>
      <c r="S431" s="702">
        <f>S416+S421+S425+S430</f>
      </c>
      <c r="T431" s="702">
        <f>T416+T421+T425+T430</f>
      </c>
    </row>
    <row r="432">
      <c r="A432" s="655" t="s">
        <v>782</v>
      </c>
      <c r="B432" s="655"/>
      <c r="C432" s="655"/>
      <c r="D432" s="656" t="s">
        <v>783</v>
      </c>
      <c r="E432" s="656"/>
      <c r="F432" s="656"/>
      <c r="G432" s="656"/>
      <c r="H432" s="656"/>
      <c r="I432" s="656"/>
      <c r="J432" s="656"/>
      <c r="K432" s="656"/>
      <c r="L432" s="666" t="s">
        <v>784</v>
      </c>
      <c r="M432" s="666"/>
      <c r="N432" s="666"/>
      <c r="O432" s="666"/>
      <c r="P432" s="666"/>
      <c r="Q432" s="737" t="s">
        <v>785</v>
      </c>
      <c r="R432" s="737"/>
      <c r="S432" s="737"/>
      <c r="T432" s="737"/>
    </row>
    <row r="433">
      <c r="A433" s="660" t="s">
        <v>786</v>
      </c>
      <c r="B433" s="720" t="s">
        <v>787</v>
      </c>
      <c r="C433" s="743" t="s">
        <v>788</v>
      </c>
      <c r="D433" s="722" t="s">
        <v>789</v>
      </c>
      <c r="E433" s="721" t="s">
        <v>790</v>
      </c>
      <c r="F433" s="722" t="s">
        <v>791</v>
      </c>
      <c r="G433" s="662" t="s">
        <v>792</v>
      </c>
      <c r="H433" s="661" t="s">
        <v>793</v>
      </c>
      <c r="I433" s="663" t="s">
        <v>794</v>
      </c>
      <c r="J433" s="664" t="s">
        <v>795</v>
      </c>
      <c r="K433" s="665" t="s">
        <v>796</v>
      </c>
      <c r="L433" s="666" t="s">
        <v>797</v>
      </c>
      <c r="M433" s="666" t="s">
        <v>798</v>
      </c>
      <c r="N433" s="666" t="s">
        <v>799</v>
      </c>
      <c r="O433" s="723" t="s">
        <v>800</v>
      </c>
      <c r="P433" s="738" t="s">
        <v>801</v>
      </c>
      <c r="Q433" s="667" t="s">
        <v>802</v>
      </c>
      <c r="R433" s="667" t="s">
        <v>803</v>
      </c>
      <c r="S433" s="740" t="s">
        <v>804</v>
      </c>
      <c r="T433" s="667" t="s">
        <v>805</v>
      </c>
    </row>
    <row r="434">
      <c r="A434" s="708" t="s">
        <v>862</v>
      </c>
      <c r="B434" s="694" t="s">
        <v>815</v>
      </c>
      <c r="C434" s="724" t="s">
        <v>808</v>
      </c>
      <c r="D434" s="724">
        <f t="shared" ref="D434:D437" si="227">E434+F434</f>
      </c>
      <c r="E434" s="745">
        <v>1149.13</v>
      </c>
      <c r="F434" s="670">
        <v>3231.96</v>
      </c>
      <c r="G434" s="725">
        <v>19</v>
      </c>
      <c r="H434" s="670">
        <v>12663.74</v>
      </c>
      <c r="I434" s="672">
        <f t="shared" ref="I434:I454" si="149">H434/D434</f>
      </c>
      <c r="J434" s="672">
        <f t="shared" ref="J434:J454" si="119">D434/G434</f>
      </c>
      <c r="K434" s="673">
        <f t="shared" ref="K434:K454" si="88">H434/G434</f>
      </c>
      <c r="L434" s="674">
        <f t="shared" ref="L434:L454" si="57">R434/Q434</f>
      </c>
      <c r="M434" s="675">
        <f t="shared" ref="M434:M454" si="26">G434/S434</f>
      </c>
      <c r="N434" s="676">
        <f t="shared" ref="N434:N454" si="274">(T434*1000)/D434</f>
      </c>
      <c r="O434" s="677" t="s">
        <v>809</v>
      </c>
      <c r="P434" s="678" t="s">
        <v>810</v>
      </c>
      <c r="Q434" s="741">
        <v>50583</v>
      </c>
      <c r="R434" s="741">
        <v>6348</v>
      </c>
      <c r="S434" s="711">
        <v>24</v>
      </c>
      <c r="T434" s="711">
        <v>95</v>
      </c>
    </row>
    <row r="435">
      <c r="A435" s="708"/>
      <c r="B435" s="694" t="s">
        <v>815</v>
      </c>
      <c r="C435" s="696" t="s">
        <v>811</v>
      </c>
      <c r="D435" s="749">
        <f t="shared" si="227"/>
      </c>
      <c r="E435" s="727">
        <v>1600.37</v>
      </c>
      <c r="F435" s="696">
        <v>4969.22</v>
      </c>
      <c r="G435" s="671">
        <v>22</v>
      </c>
      <c r="H435" s="670">
        <v>13046.06</v>
      </c>
      <c r="I435" s="672">
        <f t="shared" si="149"/>
      </c>
      <c r="J435" s="672">
        <f t="shared" si="119"/>
      </c>
      <c r="K435" s="673">
        <f t="shared" si="88"/>
      </c>
      <c r="L435" s="674">
        <f t="shared" si="57"/>
      </c>
      <c r="M435" s="675">
        <f t="shared" si="26"/>
      </c>
      <c r="N435" s="676">
        <f t="shared" si="274"/>
      </c>
      <c r="O435" s="677" t="s">
        <v>809</v>
      </c>
      <c r="P435" s="678" t="s">
        <v>810</v>
      </c>
      <c r="Q435" s="679">
        <v>85719</v>
      </c>
      <c r="R435" s="679">
        <v>9676</v>
      </c>
      <c r="S435" s="711">
        <v>36</v>
      </c>
      <c r="T435" s="711">
        <v>143</v>
      </c>
    </row>
    <row r="436">
      <c r="A436" s="708"/>
      <c r="B436" s="694" t="s">
        <v>815</v>
      </c>
      <c r="C436" s="670" t="s">
        <v>812</v>
      </c>
      <c r="D436" s="746">
        <f t="shared" si="227"/>
      </c>
      <c r="E436" s="728">
        <v>1663.71</v>
      </c>
      <c r="F436" s="670">
        <v>8773.97</v>
      </c>
      <c r="G436" s="680">
        <v>31</v>
      </c>
      <c r="H436" s="681">
        <v>18157.219999999998</v>
      </c>
      <c r="I436" s="672">
        <f t="shared" si="149"/>
      </c>
      <c r="J436" s="672">
        <f t="shared" si="119"/>
      </c>
      <c r="K436" s="673">
        <f t="shared" si="88"/>
      </c>
      <c r="L436" s="674">
        <f t="shared" si="57"/>
      </c>
      <c r="M436" s="675">
        <f t="shared" si="26"/>
      </c>
      <c r="N436" s="676">
        <f t="shared" si="274"/>
      </c>
      <c r="O436" s="677" t="s">
        <v>809</v>
      </c>
      <c r="P436" s="678" t="s">
        <v>810</v>
      </c>
      <c r="Q436" s="679">
        <v>122694</v>
      </c>
      <c r="R436" s="679">
        <v>18593</v>
      </c>
      <c r="S436" s="711">
        <v>43</v>
      </c>
      <c r="T436" s="711">
        <v>210</v>
      </c>
    </row>
    <row r="437">
      <c r="A437" s="708"/>
      <c r="B437" s="694" t="s">
        <v>815</v>
      </c>
      <c r="C437" s="670" t="s">
        <v>813</v>
      </c>
      <c r="D437" s="746">
        <f t="shared" si="227"/>
      </c>
      <c r="E437" s="728">
        <v>909.2</v>
      </c>
      <c r="F437" s="670">
        <v>2934.01</v>
      </c>
      <c r="G437" s="680">
        <v>11</v>
      </c>
      <c r="H437" s="719">
        <v>7740.290000000001</v>
      </c>
      <c r="I437" s="672">
        <f t="shared" si="149"/>
      </c>
      <c r="J437" s="672">
        <f t="shared" si="119"/>
      </c>
      <c r="K437" s="673">
        <f t="shared" si="88"/>
      </c>
      <c r="L437" s="674">
        <f t="shared" si="57"/>
      </c>
      <c r="M437" s="675">
        <f t="shared" si="26"/>
      </c>
      <c r="N437" s="676">
        <f t="shared" si="274"/>
      </c>
      <c r="O437" s="677" t="s">
        <v>809</v>
      </c>
      <c r="P437" s="678" t="s">
        <v>810</v>
      </c>
      <c r="Q437" s="697">
        <v>44985</v>
      </c>
      <c r="R437" s="697">
        <v>4782</v>
      </c>
      <c r="S437" s="717">
        <v>10</v>
      </c>
      <c r="T437" s="717">
        <v>68</v>
      </c>
    </row>
    <row r="438">
      <c r="A438" s="708"/>
      <c r="B438" s="730" t="s">
        <v>814</v>
      </c>
      <c r="C438" s="730"/>
      <c r="D438" s="685">
        <f>SUM(D434:D437)</f>
      </c>
      <c r="E438" s="685">
        <f>SUM(E434:E437)</f>
      </c>
      <c r="F438" s="685">
        <f>SUM(F434:F437)</f>
      </c>
      <c r="G438" s="687">
        <f>SUM(G434:G437)</f>
      </c>
      <c r="H438" s="685">
        <f>SUM(H434:H437)</f>
      </c>
      <c r="I438" s="688">
        <f t="shared" si="149"/>
      </c>
      <c r="J438" s="689">
        <f t="shared" si="119"/>
      </c>
      <c r="K438" s="690">
        <f t="shared" si="88"/>
      </c>
      <c r="L438" s="691">
        <f t="shared" si="57"/>
      </c>
      <c r="M438" s="691">
        <f t="shared" si="26"/>
      </c>
      <c r="N438" s="692">
        <f t="shared" si="274"/>
      </c>
      <c r="O438" s="692"/>
      <c r="P438" s="692"/>
      <c r="Q438" s="687">
        <f>SUM(Q434:Q437)</f>
      </c>
      <c r="R438" s="687">
        <f>SUM(R434:R437)</f>
      </c>
      <c r="S438" s="687">
        <f>SUM(S434:S437)</f>
      </c>
      <c r="T438" s="687">
        <f>SUM(T434:T437)</f>
      </c>
    </row>
    <row r="439">
      <c r="A439" s="708"/>
      <c r="B439" s="694" t="s">
        <v>841</v>
      </c>
      <c r="C439" s="670" t="s">
        <v>816</v>
      </c>
      <c r="D439" s="746">
        <f t="shared" ref="D439:D442" si="228">E439+F439</f>
      </c>
      <c r="E439" s="670">
        <v>739.01</v>
      </c>
      <c r="F439" s="670">
        <v>2016.76</v>
      </c>
      <c r="G439" s="671">
        <v>8</v>
      </c>
      <c r="H439" s="670">
        <v>2626.100000000006</v>
      </c>
      <c r="I439" s="672">
        <f t="shared" si="149"/>
      </c>
      <c r="J439" s="672">
        <f t="shared" si="119"/>
      </c>
      <c r="K439" s="673">
        <f t="shared" si="88"/>
      </c>
      <c r="L439" s="674">
        <f t="shared" si="57"/>
      </c>
      <c r="M439" s="675">
        <f t="shared" si="26"/>
      </c>
      <c r="N439" s="676">
        <f t="shared" si="274"/>
      </c>
      <c r="O439" s="677" t="s">
        <v>809</v>
      </c>
      <c r="P439" s="678" t="s">
        <v>810</v>
      </c>
      <c r="Q439" s="697">
        <v>32060</v>
      </c>
      <c r="R439" s="697">
        <v>3123</v>
      </c>
      <c r="S439" s="717">
        <v>12</v>
      </c>
      <c r="T439" s="717">
        <v>48</v>
      </c>
    </row>
    <row r="440">
      <c r="A440" s="708"/>
      <c r="B440" s="694" t="s">
        <v>841</v>
      </c>
      <c r="C440" s="670" t="s">
        <v>817</v>
      </c>
      <c r="D440" s="746">
        <f t="shared" si="228"/>
      </c>
      <c r="E440" s="670">
        <v>3373.1</v>
      </c>
      <c r="F440" s="670">
        <v>1304.59</v>
      </c>
      <c r="G440" s="671">
        <v>12</v>
      </c>
      <c r="H440" s="670">
        <v>6080.439999999995</v>
      </c>
      <c r="I440" s="672">
        <f t="shared" si="149"/>
      </c>
      <c r="J440" s="672">
        <f t="shared" si="119"/>
      </c>
      <c r="K440" s="673">
        <f t="shared" si="88"/>
      </c>
      <c r="L440" s="674">
        <f t="shared" si="57"/>
      </c>
      <c r="M440" s="675">
        <f t="shared" si="26"/>
      </c>
      <c r="N440" s="676">
        <f t="shared" si="274"/>
      </c>
      <c r="O440" s="677" t="s">
        <v>809</v>
      </c>
      <c r="P440" s="678" t="s">
        <v>810</v>
      </c>
      <c r="Q440" s="697">
        <v>43550</v>
      </c>
      <c r="R440" s="697">
        <v>5124</v>
      </c>
      <c r="S440" s="717">
        <v>20</v>
      </c>
      <c r="T440" s="717">
        <v>92</v>
      </c>
    </row>
    <row r="441">
      <c r="A441" s="708"/>
      <c r="B441" s="694" t="s">
        <v>841</v>
      </c>
      <c r="C441" s="670" t="s">
        <v>818</v>
      </c>
      <c r="D441" s="746">
        <f t="shared" si="228"/>
      </c>
      <c r="E441" s="670">
        <v>2507.69</v>
      </c>
      <c r="F441" s="670">
        <v>1361.17</v>
      </c>
      <c r="G441" s="671">
        <v>7</v>
      </c>
      <c r="H441" s="670">
        <v>4666.080000000002</v>
      </c>
      <c r="I441" s="672">
        <f t="shared" si="149"/>
      </c>
      <c r="J441" s="672">
        <f t="shared" si="119"/>
      </c>
      <c r="K441" s="673">
        <f t="shared" si="88"/>
      </c>
      <c r="L441" s="674">
        <f t="shared" si="57"/>
      </c>
      <c r="M441" s="675">
        <f t="shared" si="26"/>
      </c>
      <c r="N441" s="676">
        <f t="shared" si="274"/>
      </c>
      <c r="O441" s="677" t="s">
        <v>809</v>
      </c>
      <c r="P441" s="678" t="s">
        <v>827</v>
      </c>
      <c r="Q441" s="697">
        <v>37236</v>
      </c>
      <c r="R441" s="697">
        <v>4823</v>
      </c>
      <c r="S441" s="717">
        <v>9</v>
      </c>
      <c r="T441" s="717">
        <v>60</v>
      </c>
    </row>
    <row r="442">
      <c r="A442" s="708"/>
      <c r="B442" s="694" t="s">
        <v>841</v>
      </c>
      <c r="C442" s="670" t="s">
        <v>819</v>
      </c>
      <c r="D442" s="746">
        <f t="shared" si="228"/>
      </c>
      <c r="E442" s="670">
        <v>517.69</v>
      </c>
      <c r="F442" s="670">
        <v>1571.33</v>
      </c>
      <c r="G442" s="671">
        <v>10</v>
      </c>
      <c r="H442" s="670">
        <v>7177.0799999999945</v>
      </c>
      <c r="I442" s="672">
        <f t="shared" si="149"/>
      </c>
      <c r="J442" s="672">
        <f t="shared" si="119"/>
      </c>
      <c r="K442" s="673">
        <f t="shared" si="88"/>
      </c>
      <c r="L442" s="674">
        <f t="shared" si="57"/>
      </c>
      <c r="M442" s="675">
        <f t="shared" si="26"/>
      </c>
      <c r="N442" s="676">
        <f t="shared" si="274"/>
      </c>
      <c r="O442" s="677" t="s">
        <v>809</v>
      </c>
      <c r="P442" s="678" t="s">
        <v>827</v>
      </c>
      <c r="Q442" s="697">
        <v>21586</v>
      </c>
      <c r="R442" s="697">
        <v>1833</v>
      </c>
      <c r="S442" s="717">
        <v>16</v>
      </c>
      <c r="T442" s="717">
        <v>44</v>
      </c>
    </row>
    <row r="443">
      <c r="A443" s="708"/>
      <c r="B443" s="684" t="s">
        <v>814</v>
      </c>
      <c r="C443" s="684"/>
      <c r="D443" s="685">
        <f>SUM(D439:D442)</f>
      </c>
      <c r="E443" s="685">
        <f>SUM(E439:E442)</f>
      </c>
      <c r="F443" s="685">
        <f>SUM(F439:F442)</f>
      </c>
      <c r="G443" s="687">
        <f>SUM(G439:G442)</f>
      </c>
      <c r="H443" s="685">
        <f>SUM(H439:H442)</f>
      </c>
      <c r="I443" s="699">
        <f t="shared" si="149"/>
      </c>
      <c r="J443" s="689">
        <f t="shared" si="119"/>
      </c>
      <c r="K443" s="690">
        <f t="shared" si="88"/>
      </c>
      <c r="L443" s="691">
        <f t="shared" si="57"/>
      </c>
      <c r="M443" s="691">
        <f t="shared" si="26"/>
      </c>
      <c r="N443" s="692">
        <f t="shared" si="274"/>
      </c>
      <c r="O443" s="692"/>
      <c r="P443" s="692"/>
      <c r="Q443" s="687">
        <f>SUM(Q439:Q442)</f>
      </c>
      <c r="R443" s="687">
        <f>SUM(R439:R442)</f>
      </c>
      <c r="S443" s="687">
        <f>SUM(S439:S442)</f>
      </c>
      <c r="T443" s="687">
        <f>SUM(T439:T442)</f>
      </c>
    </row>
    <row r="444">
      <c r="A444" s="708"/>
      <c r="B444" s="718" t="s">
        <v>861</v>
      </c>
      <c r="C444" s="670" t="s">
        <v>830</v>
      </c>
      <c r="D444" s="746">
        <f t="shared" ref="D444:D447" si="229">E444+F444</f>
      </c>
      <c r="E444" s="670">
        <v>392.2</v>
      </c>
      <c r="F444" s="670">
        <v>2693.17</v>
      </c>
      <c r="G444" s="671">
        <v>11</v>
      </c>
      <c r="H444" s="670">
        <v>7392.12000000001</v>
      </c>
      <c r="I444" s="672">
        <f t="shared" si="149"/>
      </c>
      <c r="J444" s="672">
        <f t="shared" si="119"/>
      </c>
      <c r="K444" s="673">
        <f t="shared" si="88"/>
      </c>
      <c r="L444" s="674">
        <f t="shared" si="57"/>
      </c>
      <c r="M444" s="675">
        <f t="shared" si="26"/>
      </c>
      <c r="N444" s="676">
        <f t="shared" si="274"/>
      </c>
      <c r="O444" s="677" t="s">
        <v>809</v>
      </c>
      <c r="P444" s="678" t="s">
        <v>827</v>
      </c>
      <c r="Q444" s="697">
        <v>30135</v>
      </c>
      <c r="R444" s="697">
        <v>1654</v>
      </c>
      <c r="S444" s="717">
        <v>24</v>
      </c>
      <c r="T444" s="717">
        <v>50</v>
      </c>
    </row>
    <row r="445">
      <c r="A445" s="708"/>
      <c r="B445" s="718" t="s">
        <v>861</v>
      </c>
      <c r="C445" s="698" t="s">
        <v>831</v>
      </c>
      <c r="D445" s="746">
        <f t="shared" si="229"/>
      </c>
      <c r="E445" s="670">
        <v>688.1</v>
      </c>
      <c r="F445" s="670">
        <v>1842.93</v>
      </c>
      <c r="G445" s="671">
        <v>10</v>
      </c>
      <c r="H445" s="670">
        <v>5828.039999999994</v>
      </c>
      <c r="I445" s="672">
        <f t="shared" si="149"/>
      </c>
      <c r="J445" s="672">
        <f t="shared" si="119"/>
      </c>
      <c r="K445" s="673">
        <f t="shared" si="88"/>
      </c>
      <c r="L445" s="674">
        <f t="shared" si="57"/>
      </c>
      <c r="M445" s="675">
        <f t="shared" si="26"/>
      </c>
      <c r="N445" s="676">
        <f t="shared" si="274"/>
      </c>
      <c r="O445" s="677" t="s">
        <v>809</v>
      </c>
      <c r="P445" s="678" t="s">
        <v>827</v>
      </c>
      <c r="Q445" s="697">
        <v>27489</v>
      </c>
      <c r="R445" s="697">
        <v>1724</v>
      </c>
      <c r="S445" s="717">
        <v>13</v>
      </c>
      <c r="T445" s="717">
        <v>44</v>
      </c>
    </row>
    <row customHeight="true" ht="16.666666666666668" r="446">
      <c r="A446" s="708"/>
      <c r="B446" s="718" t="s">
        <v>861</v>
      </c>
      <c r="C446" s="698" t="s">
        <v>832</v>
      </c>
      <c r="D446" s="746">
        <f t="shared" si="229"/>
      </c>
      <c r="E446" s="670">
        <v>249.46</v>
      </c>
      <c r="F446" s="670">
        <v>2441.83</v>
      </c>
      <c r="G446" s="671">
        <v>6</v>
      </c>
      <c r="H446" s="670">
        <v>2678.4000000000087</v>
      </c>
      <c r="I446" s="672">
        <f t="shared" si="149"/>
      </c>
      <c r="J446" s="672">
        <f t="shared" si="119"/>
      </c>
      <c r="K446" s="673">
        <f t="shared" si="88"/>
      </c>
      <c r="L446" s="674">
        <f t="shared" si="57"/>
      </c>
      <c r="M446" s="675">
        <f t="shared" si="26"/>
      </c>
      <c r="N446" s="676">
        <f t="shared" si="274"/>
      </c>
      <c r="O446" s="677" t="s">
        <v>809</v>
      </c>
      <c r="P446" s="678" t="s">
        <v>827</v>
      </c>
      <c r="Q446" s="697">
        <v>35144</v>
      </c>
      <c r="R446" s="697">
        <v>1512</v>
      </c>
      <c r="S446" s="717">
        <v>11</v>
      </c>
      <c r="T446" s="717">
        <v>62</v>
      </c>
    </row>
    <row r="447">
      <c r="A447" s="708"/>
      <c r="B447" s="718" t="s">
        <v>861</v>
      </c>
      <c r="C447" s="698" t="s">
        <v>833</v>
      </c>
      <c r="D447" s="746">
        <f t="shared" si="229"/>
      </c>
      <c r="E447" s="670">
        <v>248.37</v>
      </c>
      <c r="F447" s="670">
        <v>2714.61</v>
      </c>
      <c r="G447" s="671">
        <v>10</v>
      </c>
      <c r="H447" s="670">
        <v>5345.659999999989</v>
      </c>
      <c r="I447" s="672">
        <f t="shared" si="149"/>
      </c>
      <c r="J447" s="672">
        <f t="shared" si="119"/>
      </c>
      <c r="K447" s="673">
        <f t="shared" si="88"/>
      </c>
      <c r="L447" s="674">
        <f t="shared" si="57"/>
      </c>
      <c r="M447" s="675">
        <f t="shared" si="26"/>
      </c>
      <c r="N447" s="676">
        <f t="shared" si="274"/>
      </c>
      <c r="O447" s="677" t="s">
        <v>809</v>
      </c>
      <c r="P447" s="678" t="s">
        <v>827</v>
      </c>
      <c r="Q447" s="697">
        <v>47842</v>
      </c>
      <c r="R447" s="697">
        <v>1433</v>
      </c>
      <c r="S447" s="717">
        <v>17</v>
      </c>
      <c r="T447" s="717">
        <v>39</v>
      </c>
    </row>
    <row r="448">
      <c r="A448" s="708"/>
      <c r="B448" s="684" t="s">
        <v>814</v>
      </c>
      <c r="C448" s="684"/>
      <c r="D448" s="685">
        <f>SUM(D444:D447)</f>
      </c>
      <c r="E448" s="685">
        <f>SUM(E444:E447)</f>
      </c>
      <c r="F448" s="685">
        <f>SUM(F444:F447)</f>
      </c>
      <c r="G448" s="687">
        <f>SUM(G444:G447)</f>
      </c>
      <c r="H448" s="685">
        <f>SUM(H444:H447)</f>
      </c>
      <c r="I448" s="699">
        <f t="shared" si="149"/>
      </c>
      <c r="J448" s="689">
        <f t="shared" si="119"/>
      </c>
      <c r="K448" s="690">
        <f t="shared" si="88"/>
      </c>
      <c r="L448" s="691">
        <f t="shared" si="57"/>
      </c>
      <c r="M448" s="691">
        <f t="shared" si="26"/>
      </c>
      <c r="N448" s="692">
        <f t="shared" si="274"/>
      </c>
      <c r="O448" s="692"/>
      <c r="P448" s="692"/>
      <c r="Q448" s="687">
        <f>SUM(Q444:Q447)</f>
      </c>
      <c r="R448" s="687">
        <f>SUM(R444:R447)</f>
      </c>
      <c r="S448" s="687">
        <f>SUM(S444:S447)</f>
      </c>
      <c r="T448" s="687">
        <f>SUM(T444:T447)</f>
      </c>
    </row>
    <row r="449">
      <c r="A449" s="708"/>
      <c r="B449" s="718" t="s">
        <v>807</v>
      </c>
      <c r="C449" s="698" t="s">
        <v>845</v>
      </c>
      <c r="D449" s="746">
        <f t="shared" ref="D449:D452" si="230">E449+F449</f>
      </c>
      <c r="E449" s="670">
        <v>163.29</v>
      </c>
      <c r="F449" s="670">
        <v>3566.11</v>
      </c>
      <c r="G449" s="671">
        <v>11</v>
      </c>
      <c r="H449" s="670">
        <v>4192</v>
      </c>
      <c r="I449" s="672">
        <f t="shared" si="149"/>
      </c>
      <c r="J449" s="672">
        <f t="shared" si="119"/>
      </c>
      <c r="K449" s="673">
        <f t="shared" si="88"/>
      </c>
      <c r="L449" s="674">
        <f t="shared" si="57"/>
      </c>
      <c r="M449" s="675">
        <f t="shared" si="26"/>
      </c>
      <c r="N449" s="676">
        <f t="shared" si="274"/>
      </c>
      <c r="O449" s="677" t="s">
        <v>809</v>
      </c>
      <c r="P449" s="678" t="s">
        <v>827</v>
      </c>
      <c r="Q449" s="697">
        <v>53397</v>
      </c>
      <c r="R449" s="697">
        <v>1861</v>
      </c>
      <c r="S449" s="717">
        <v>18</v>
      </c>
      <c r="T449" s="717">
        <v>54</v>
      </c>
    </row>
    <row r="450">
      <c r="A450" s="708"/>
      <c r="B450" s="718" t="s">
        <v>807</v>
      </c>
      <c r="C450" s="698" t="s">
        <v>821</v>
      </c>
      <c r="D450" s="746">
        <f t="shared" si="230"/>
      </c>
      <c r="E450" s="670">
        <v>255.01</v>
      </c>
      <c r="F450" s="670">
        <v>5695.05</v>
      </c>
      <c r="G450" s="671">
        <v>26</v>
      </c>
      <c r="H450" s="670">
        <v>14043.900000000009</v>
      </c>
      <c r="I450" s="672">
        <f t="shared" si="149"/>
      </c>
      <c r="J450" s="672">
        <f t="shared" si="119"/>
      </c>
      <c r="K450" s="673">
        <f t="shared" si="88"/>
      </c>
      <c r="L450" s="674">
        <f t="shared" si="57"/>
      </c>
      <c r="M450" s="675">
        <f t="shared" si="26"/>
      </c>
      <c r="N450" s="676">
        <f t="shared" si="274"/>
      </c>
      <c r="O450" s="677" t="s">
        <v>809</v>
      </c>
      <c r="P450" s="678" t="s">
        <v>827</v>
      </c>
      <c r="Q450" s="697">
        <v>86498</v>
      </c>
      <c r="R450" s="697">
        <v>3519</v>
      </c>
      <c r="S450" s="717">
        <v>39</v>
      </c>
      <c r="T450" s="717">
        <v>100</v>
      </c>
    </row>
    <row r="451">
      <c r="A451" s="708"/>
      <c r="B451" s="718" t="s">
        <v>807</v>
      </c>
      <c r="C451" s="698" t="s">
        <v>823</v>
      </c>
      <c r="D451" s="746">
        <f t="shared" si="230"/>
      </c>
      <c r="E451" s="670">
        <v>336.8</v>
      </c>
      <c r="F451" s="670">
        <v>4240.01</v>
      </c>
      <c r="G451" s="671">
        <v>13</v>
      </c>
      <c r="H451" s="670">
        <v>5042.779999999999</v>
      </c>
      <c r="I451" s="672">
        <f t="shared" si="149"/>
      </c>
      <c r="J451" s="672">
        <f t="shared" si="119"/>
      </c>
      <c r="K451" s="673">
        <f t="shared" si="88"/>
      </c>
      <c r="L451" s="674">
        <f t="shared" si="57"/>
      </c>
      <c r="M451" s="675">
        <f t="shared" si="26"/>
      </c>
      <c r="N451" s="676">
        <f t="shared" si="274"/>
      </c>
      <c r="O451" s="677" t="s">
        <v>809</v>
      </c>
      <c r="P451" s="678" t="s">
        <v>827</v>
      </c>
      <c r="Q451" s="697">
        <v>57967</v>
      </c>
      <c r="R451" s="697">
        <v>4799</v>
      </c>
      <c r="S451" s="717">
        <v>19</v>
      </c>
      <c r="T451" s="717">
        <v>89</v>
      </c>
    </row>
    <row r="452">
      <c r="A452" s="708"/>
      <c r="B452" s="718" t="s">
        <v>807</v>
      </c>
      <c r="C452" s="698" t="s">
        <v>824</v>
      </c>
      <c r="D452" s="746">
        <f t="shared" si="230"/>
      </c>
      <c r="E452" s="670">
        <v>269.04</v>
      </c>
      <c r="F452" s="670">
        <v>2814.48</v>
      </c>
      <c r="G452" s="671">
        <v>13</v>
      </c>
      <c r="H452" s="670">
        <v>4159.360000000001</v>
      </c>
      <c r="I452" s="672">
        <f t="shared" si="149"/>
      </c>
      <c r="J452" s="672">
        <f t="shared" si="119"/>
      </c>
      <c r="K452" s="673">
        <f t="shared" si="88"/>
      </c>
      <c r="L452" s="674">
        <f t="shared" si="57"/>
      </c>
      <c r="M452" s="675">
        <f t="shared" si="26"/>
      </c>
      <c r="N452" s="676">
        <f t="shared" si="274"/>
      </c>
      <c r="O452" s="677" t="s">
        <v>809</v>
      </c>
      <c r="P452" s="678" t="s">
        <v>827</v>
      </c>
      <c r="Q452" s="697">
        <v>37207</v>
      </c>
      <c r="R452" s="697">
        <v>4690</v>
      </c>
      <c r="S452" s="717">
        <v>16</v>
      </c>
      <c r="T452" s="717">
        <v>71</v>
      </c>
    </row>
    <row r="453">
      <c r="A453" s="708"/>
      <c r="B453" s="684" t="s">
        <v>814</v>
      </c>
      <c r="C453" s="684"/>
      <c r="D453" s="750">
        <f>SUM(D449:D452)</f>
      </c>
      <c r="E453" s="750">
        <f>SUM(E449:E452)</f>
      </c>
      <c r="F453" s="750">
        <f>SUM(F449:F452)</f>
      </c>
      <c r="G453" s="687">
        <f>SUM(G449:G452)</f>
      </c>
      <c r="H453" s="750">
        <f>SUM(H449:H452)</f>
      </c>
      <c r="I453" s="689">
        <f t="shared" si="149"/>
      </c>
      <c r="J453" s="692">
        <f t="shared" si="119"/>
      </c>
      <c r="K453" s="692">
        <f t="shared" si="88"/>
      </c>
      <c r="L453" s="692">
        <f t="shared" si="57"/>
      </c>
      <c r="M453" s="691">
        <f t="shared" si="26"/>
      </c>
      <c r="N453" s="692">
        <f t="shared" si="274"/>
      </c>
      <c r="O453" s="692"/>
      <c r="P453" s="692"/>
      <c r="Q453" s="687">
        <f>SUM(Q449:Q452)</f>
      </c>
      <c r="R453" s="687">
        <f>SUM(R449:R452)</f>
      </c>
      <c r="S453" s="687">
        <f>SUM(S449:S452)</f>
      </c>
      <c r="T453" s="687">
        <f>SUM(T449:T452)</f>
      </c>
    </row>
    <row r="454">
      <c r="A454" s="708"/>
      <c r="B454" s="700" t="s">
        <v>825</v>
      </c>
      <c r="C454" s="700"/>
      <c r="D454" s="701">
        <f>D438+D443+D448+D453</f>
      </c>
      <c r="E454" s="701">
        <f>E438+E443+E448+E453</f>
      </c>
      <c r="F454" s="701">
        <f>F438+F443+F448+F453</f>
      </c>
      <c r="G454" s="702">
        <f>G438+G443+G448+G453</f>
      </c>
      <c r="H454" s="701">
        <f>H438+H443+H448+H453</f>
      </c>
      <c r="I454" s="703">
        <f t="shared" si="149"/>
      </c>
      <c r="J454" s="703">
        <f t="shared" si="119"/>
      </c>
      <c r="K454" s="704">
        <f t="shared" si="88"/>
      </c>
      <c r="L454" s="705">
        <f t="shared" si="57"/>
      </c>
      <c r="M454" s="705">
        <f t="shared" si="26"/>
      </c>
      <c r="N454" s="703">
        <f t="shared" si="274"/>
      </c>
      <c r="O454" s="706"/>
      <c r="P454" s="706"/>
      <c r="Q454" s="702">
        <f>Q438+Q443+Q448+Q453</f>
      </c>
      <c r="R454" s="702">
        <f>R438+R443+R448+R453</f>
      </c>
      <c r="S454" s="702">
        <f>S438+S443+S448+S453</f>
      </c>
      <c r="T454" s="702">
        <f>T438+T443+T448+T453</f>
      </c>
    </row>
    <row r="455">
      <c r="A455" s="655" t="s">
        <v>782</v>
      </c>
      <c r="B455" s="655"/>
      <c r="C455" s="655"/>
      <c r="D455" s="656" t="s">
        <v>783</v>
      </c>
      <c r="E455" s="656"/>
      <c r="F455" s="656"/>
      <c r="G455" s="656"/>
      <c r="H455" s="656"/>
      <c r="I455" s="656"/>
      <c r="J455" s="656"/>
      <c r="K455" s="656"/>
      <c r="L455" s="666" t="s">
        <v>784</v>
      </c>
      <c r="M455" s="666"/>
      <c r="N455" s="666"/>
      <c r="O455" s="666"/>
      <c r="P455" s="666"/>
      <c r="Q455" s="737" t="s">
        <v>785</v>
      </c>
      <c r="R455" s="737"/>
      <c r="S455" s="737"/>
      <c r="T455" s="737"/>
    </row>
    <row r="456">
      <c r="A456" s="660" t="s">
        <v>786</v>
      </c>
      <c r="B456" s="720" t="s">
        <v>787</v>
      </c>
      <c r="C456" s="743" t="s">
        <v>788</v>
      </c>
      <c r="D456" s="722" t="s">
        <v>789</v>
      </c>
      <c r="E456" s="721" t="s">
        <v>790</v>
      </c>
      <c r="F456" s="722" t="s">
        <v>791</v>
      </c>
      <c r="G456" s="662" t="s">
        <v>792</v>
      </c>
      <c r="H456" s="661" t="s">
        <v>793</v>
      </c>
      <c r="I456" s="663" t="s">
        <v>794</v>
      </c>
      <c r="J456" s="664" t="s">
        <v>795</v>
      </c>
      <c r="K456" s="665" t="s">
        <v>796</v>
      </c>
      <c r="L456" s="666" t="s">
        <v>797</v>
      </c>
      <c r="M456" s="666" t="s">
        <v>798</v>
      </c>
      <c r="N456" s="666" t="s">
        <v>799</v>
      </c>
      <c r="O456" s="723" t="s">
        <v>800</v>
      </c>
      <c r="P456" s="738" t="s">
        <v>801</v>
      </c>
      <c r="Q456" s="667" t="s">
        <v>802</v>
      </c>
      <c r="R456" s="667" t="s">
        <v>803</v>
      </c>
      <c r="S456" s="740" t="s">
        <v>804</v>
      </c>
      <c r="T456" s="667" t="s">
        <v>805</v>
      </c>
    </row>
    <row r="457">
      <c r="A457" s="708" t="s">
        <v>863</v>
      </c>
      <c r="B457" s="694" t="s">
        <v>815</v>
      </c>
      <c r="C457" s="724" t="s">
        <v>808</v>
      </c>
      <c r="D457" s="724">
        <f t="shared" ref="D457:D461" si="231">E457+F457</f>
      </c>
      <c r="E457" s="745">
        <v>830.61</v>
      </c>
      <c r="F457" s="670">
        <v>2856.85</v>
      </c>
      <c r="G457" s="725">
        <v>20</v>
      </c>
      <c r="H457" s="670">
        <v>10215.36</v>
      </c>
      <c r="I457" s="672">
        <f t="shared" ref="I457:I479" si="150">H457/D457</f>
      </c>
      <c r="J457" s="672">
        <f t="shared" ref="J457:J479" si="120">D457/G457</f>
      </c>
      <c r="K457" s="673">
        <f t="shared" ref="K457:K479" si="89">H457/G457</f>
      </c>
      <c r="L457" s="674">
        <f t="shared" ref="L457:L479" si="58">R457/Q457</f>
      </c>
      <c r="M457" s="675">
        <f t="shared" ref="M457:M479" si="27">G457/S457</f>
      </c>
      <c r="N457" s="676">
        <f t="shared" ref="N457:N479" si="275">(T457*1000)/D457</f>
      </c>
      <c r="O457" s="677" t="s">
        <v>809</v>
      </c>
      <c r="P457" s="678" t="s">
        <v>810</v>
      </c>
      <c r="Q457" s="741">
        <v>40348</v>
      </c>
      <c r="R457" s="741">
        <v>4504</v>
      </c>
      <c r="S457" s="711">
        <v>30</v>
      </c>
      <c r="T457" s="711">
        <v>69</v>
      </c>
    </row>
    <row r="458">
      <c r="A458" s="708"/>
      <c r="B458" s="694" t="s">
        <v>815</v>
      </c>
      <c r="C458" s="696" t="s">
        <v>811</v>
      </c>
      <c r="D458" s="749">
        <f t="shared" si="231"/>
      </c>
      <c r="E458" s="727">
        <v>3061.88</v>
      </c>
      <c r="F458" s="696">
        <v>6727.72</v>
      </c>
      <c r="G458" s="671">
        <v>47</v>
      </c>
      <c r="H458" s="670">
        <v>32091.949999999997</v>
      </c>
      <c r="I458" s="672">
        <f t="shared" si="150"/>
      </c>
      <c r="J458" s="672">
        <f t="shared" si="120"/>
      </c>
      <c r="K458" s="673">
        <f t="shared" si="89"/>
      </c>
      <c r="L458" s="674">
        <f t="shared" si="58"/>
      </c>
      <c r="M458" s="675">
        <f t="shared" si="27"/>
      </c>
      <c r="N458" s="676">
        <f t="shared" si="275"/>
      </c>
      <c r="O458" s="677" t="s">
        <v>809</v>
      </c>
      <c r="P458" s="678" t="s">
        <v>810</v>
      </c>
      <c r="Q458" s="679">
        <v>119950</v>
      </c>
      <c r="R458" s="679">
        <v>13521</v>
      </c>
      <c r="S458" s="711">
        <v>62</v>
      </c>
      <c r="T458" s="711">
        <v>184</v>
      </c>
    </row>
    <row r="459">
      <c r="A459" s="708"/>
      <c r="B459" s="694" t="s">
        <v>815</v>
      </c>
      <c r="C459" s="670" t="s">
        <v>812</v>
      </c>
      <c r="D459" s="746">
        <f t="shared" si="231"/>
      </c>
      <c r="E459" s="728">
        <v>6379.74</v>
      </c>
      <c r="F459" s="670">
        <v>11080.07</v>
      </c>
      <c r="G459" s="680">
        <v>71</v>
      </c>
      <c r="H459" s="681">
        <v>36140.01999999999</v>
      </c>
      <c r="I459" s="672">
        <f t="shared" si="150"/>
      </c>
      <c r="J459" s="672">
        <f t="shared" si="120"/>
      </c>
      <c r="K459" s="673">
        <f t="shared" si="89"/>
      </c>
      <c r="L459" s="674">
        <f t="shared" si="58"/>
      </c>
      <c r="M459" s="675">
        <f t="shared" si="27"/>
      </c>
      <c r="N459" s="676">
        <f t="shared" si="275"/>
      </c>
      <c r="O459" s="677" t="s">
        <v>809</v>
      </c>
      <c r="P459" s="678" t="s">
        <v>810</v>
      </c>
      <c r="Q459" s="679">
        <v>215972</v>
      </c>
      <c r="R459" s="679">
        <v>20213</v>
      </c>
      <c r="S459" s="711">
        <v>88</v>
      </c>
      <c r="T459" s="711">
        <v>234</v>
      </c>
    </row>
    <row customHeight="true" ht="16.666666666666668" r="460">
      <c r="A460" s="708"/>
      <c r="B460" s="694" t="s">
        <v>815</v>
      </c>
      <c r="C460" s="670" t="s">
        <v>813</v>
      </c>
      <c r="D460" s="746">
        <f t="shared" si="231"/>
      </c>
      <c r="E460" s="728">
        <v>7902.44</v>
      </c>
      <c r="F460" s="670">
        <v>12299.54</v>
      </c>
      <c r="G460" s="680">
        <v>57</v>
      </c>
      <c r="H460" s="719">
        <v>37582.080000000016</v>
      </c>
      <c r="I460" s="672">
        <f t="shared" si="150"/>
      </c>
      <c r="J460" s="672">
        <f t="shared" si="120"/>
      </c>
      <c r="K460" s="673">
        <f t="shared" si="89"/>
      </c>
      <c r="L460" s="674">
        <f t="shared" si="58"/>
      </c>
      <c r="M460" s="675">
        <f t="shared" si="27"/>
      </c>
      <c r="N460" s="676">
        <f t="shared" si="275"/>
      </c>
      <c r="O460" s="677" t="s">
        <v>809</v>
      </c>
      <c r="P460" s="678" t="s">
        <v>810</v>
      </c>
      <c r="Q460" s="697">
        <v>250707</v>
      </c>
      <c r="R460" s="697">
        <v>24116</v>
      </c>
      <c r="S460" s="717">
        <v>77</v>
      </c>
      <c r="T460" s="717">
        <v>305</v>
      </c>
    </row>
    <row r="461">
      <c r="A461" s="708"/>
      <c r="B461" s="694" t="s">
        <v>815</v>
      </c>
      <c r="C461" s="670" t="s">
        <v>816</v>
      </c>
      <c r="D461" s="746">
        <f t="shared" si="231"/>
      </c>
      <c r="E461" s="728">
        <v>6943.69</v>
      </c>
      <c r="F461" s="670">
        <v>3716.34</v>
      </c>
      <c r="G461" s="712">
        <v>48</v>
      </c>
      <c r="H461" s="719">
        <f>215.04+25729.78</f>
      </c>
      <c r="I461" s="672">
        <f t="shared" si="150"/>
      </c>
      <c r="J461" s="672">
        <f t="shared" si="120"/>
      </c>
      <c r="K461" s="673">
        <f t="shared" si="89"/>
      </c>
      <c r="L461" s="674">
        <f t="shared" si="58"/>
      </c>
      <c r="M461" s="675">
        <f t="shared" si="27"/>
      </c>
      <c r="N461" s="676">
        <f t="shared" si="275"/>
      </c>
      <c r="O461" s="677" t="s">
        <v>809</v>
      </c>
      <c r="P461" s="678" t="s">
        <v>810</v>
      </c>
      <c r="Q461" s="697">
        <v>150498</v>
      </c>
      <c r="R461" s="697">
        <v>12021</v>
      </c>
      <c r="S461" s="717">
        <v>47</v>
      </c>
      <c r="T461" s="717">
        <v>156</v>
      </c>
    </row>
    <row r="462">
      <c r="A462" s="708"/>
      <c r="B462" s="730" t="s">
        <v>814</v>
      </c>
      <c r="C462" s="730"/>
      <c r="D462" s="685">
        <f>SUM(D457:D461)</f>
      </c>
      <c r="E462" s="685">
        <f>SUM(E457:E461)</f>
      </c>
      <c r="F462" s="685">
        <f>SUM(F457:F461)</f>
      </c>
      <c r="G462" s="687">
        <f>SUM(G457:G461)</f>
      </c>
      <c r="H462" s="685">
        <f>SUM(H457:H461)</f>
      </c>
      <c r="I462" s="688">
        <f t="shared" si="150"/>
      </c>
      <c r="J462" s="689">
        <f t="shared" si="120"/>
      </c>
      <c r="K462" s="690">
        <f t="shared" si="89"/>
      </c>
      <c r="L462" s="691">
        <f t="shared" si="58"/>
      </c>
      <c r="M462" s="691">
        <f t="shared" si="27"/>
      </c>
      <c r="N462" s="692">
        <f t="shared" si="275"/>
      </c>
      <c r="O462" s="692"/>
      <c r="P462" s="692"/>
      <c r="Q462" s="687">
        <f>SUM(Q457:Q461)</f>
      </c>
      <c r="R462" s="687">
        <f>SUM(R457:R461)</f>
      </c>
      <c r="S462" s="687">
        <f>SUM(S457:S461)</f>
      </c>
      <c r="T462" s="687">
        <f>SUM(T457:T461)</f>
      </c>
    </row>
    <row r="463">
      <c r="A463" s="708"/>
      <c r="B463" s="718" t="s">
        <v>807</v>
      </c>
      <c r="C463" s="670" t="s">
        <v>817</v>
      </c>
      <c r="D463" s="746">
        <f t="shared" ref="D463:D466" si="232">E463+F463</f>
      </c>
      <c r="E463" s="670">
        <v>7219.4</v>
      </c>
      <c r="F463" s="670">
        <v>2930.59</v>
      </c>
      <c r="G463" s="671">
        <v>38</v>
      </c>
      <c r="H463" s="670">
        <v>20957.01999999999</v>
      </c>
      <c r="I463" s="672">
        <f t="shared" si="150"/>
      </c>
      <c r="J463" s="672">
        <f t="shared" si="120"/>
      </c>
      <c r="K463" s="673">
        <f t="shared" si="89"/>
      </c>
      <c r="L463" s="674">
        <f t="shared" si="58"/>
      </c>
      <c r="M463" s="675">
        <f t="shared" si="27"/>
      </c>
      <c r="N463" s="676">
        <f t="shared" si="275"/>
      </c>
      <c r="O463" s="677" t="s">
        <v>809</v>
      </c>
      <c r="P463" s="678" t="s">
        <v>810</v>
      </c>
      <c r="Q463" s="697">
        <v>135559</v>
      </c>
      <c r="R463" s="697">
        <v>10951</v>
      </c>
      <c r="S463" s="717">
        <v>57</v>
      </c>
      <c r="T463" s="717">
        <v>163</v>
      </c>
    </row>
    <row r="464">
      <c r="A464" s="708"/>
      <c r="B464" s="718" t="s">
        <v>807</v>
      </c>
      <c r="C464" s="670" t="s">
        <v>818</v>
      </c>
      <c r="D464" s="746">
        <f t="shared" si="232"/>
      </c>
      <c r="E464" s="670">
        <v>7837.74</v>
      </c>
      <c r="F464" s="670">
        <v>2142.55</v>
      </c>
      <c r="G464" s="671">
        <v>53</v>
      </c>
      <c r="H464" s="670">
        <v>27863.46000000002</v>
      </c>
      <c r="I464" s="672">
        <f t="shared" si="150"/>
      </c>
      <c r="J464" s="672">
        <f t="shared" si="120"/>
      </c>
      <c r="K464" s="673">
        <f t="shared" si="89"/>
      </c>
      <c r="L464" s="674">
        <f t="shared" si="58"/>
      </c>
      <c r="M464" s="675">
        <f t="shared" si="27"/>
      </c>
      <c r="N464" s="676">
        <f t="shared" si="275"/>
      </c>
      <c r="O464" s="677" t="s">
        <v>809</v>
      </c>
      <c r="P464" s="678" t="s">
        <v>827</v>
      </c>
      <c r="Q464" s="697">
        <v>148645</v>
      </c>
      <c r="R464" s="697">
        <v>11978</v>
      </c>
      <c r="S464" s="717">
        <v>66</v>
      </c>
      <c r="T464" s="717">
        <v>262</v>
      </c>
    </row>
    <row r="465">
      <c r="A465" s="708"/>
      <c r="B465" s="718" t="s">
        <v>807</v>
      </c>
      <c r="C465" s="670" t="s">
        <v>819</v>
      </c>
      <c r="D465" s="746">
        <f t="shared" si="232"/>
      </c>
      <c r="E465" s="670">
        <v>50762.79</v>
      </c>
      <c r="F465" s="670">
        <v>3474.51</v>
      </c>
      <c r="G465" s="671">
        <v>151</v>
      </c>
      <c r="H465" s="670">
        <v>72720.31999999995</v>
      </c>
      <c r="I465" s="672">
        <f t="shared" si="150"/>
      </c>
      <c r="J465" s="672">
        <f t="shared" si="120"/>
      </c>
      <c r="K465" s="673">
        <f t="shared" si="89"/>
      </c>
      <c r="L465" s="674">
        <f t="shared" si="58"/>
      </c>
      <c r="M465" s="675">
        <f t="shared" si="27"/>
      </c>
      <c r="N465" s="676">
        <f t="shared" si="275"/>
      </c>
      <c r="O465" s="677" t="s">
        <v>809</v>
      </c>
      <c r="P465" s="678" t="s">
        <v>827</v>
      </c>
      <c r="Q465" s="697">
        <v>847521</v>
      </c>
      <c r="R465" s="697">
        <v>75065</v>
      </c>
      <c r="S465" s="717">
        <v>212</v>
      </c>
      <c r="T465" s="717">
        <v>866</v>
      </c>
    </row>
    <row r="466">
      <c r="A466" s="708"/>
      <c r="B466" s="718" t="s">
        <v>807</v>
      </c>
      <c r="C466" s="670" t="s">
        <v>830</v>
      </c>
      <c r="D466" s="746">
        <f t="shared" si="232"/>
      </c>
      <c r="E466" s="670">
        <v>69791.55</v>
      </c>
      <c r="F466" s="670">
        <v>5783.93</v>
      </c>
      <c r="G466" s="671">
        <v>283</v>
      </c>
      <c r="H466" s="670">
        <v>171562.69000000006</v>
      </c>
      <c r="I466" s="672">
        <f t="shared" si="150"/>
      </c>
      <c r="J466" s="672">
        <f t="shared" si="120"/>
      </c>
      <c r="K466" s="673">
        <f t="shared" si="89"/>
      </c>
      <c r="L466" s="674">
        <f t="shared" si="58"/>
      </c>
      <c r="M466" s="675">
        <f t="shared" si="27"/>
      </c>
      <c r="N466" s="676">
        <f t="shared" si="275"/>
      </c>
      <c r="O466" s="677" t="s">
        <v>809</v>
      </c>
      <c r="P466" s="678" t="s">
        <v>827</v>
      </c>
      <c r="Q466" s="697">
        <v>1225996</v>
      </c>
      <c r="R466" s="697">
        <v>111518</v>
      </c>
      <c r="S466" s="717">
        <v>417</v>
      </c>
      <c r="T466" s="717">
        <v>969</v>
      </c>
    </row>
    <row r="467">
      <c r="A467" s="708"/>
      <c r="B467" s="684" t="s">
        <v>814</v>
      </c>
      <c r="C467" s="684"/>
      <c r="D467" s="685">
        <f>SUM(D463:D466)</f>
      </c>
      <c r="E467" s="685">
        <f>SUM(E463:E466)</f>
      </c>
      <c r="F467" s="685">
        <f>SUM(F463:F466)</f>
      </c>
      <c r="G467" s="687">
        <f>SUM(G463:G466)</f>
      </c>
      <c r="H467" s="685">
        <f>SUM(H463:H466)</f>
      </c>
      <c r="I467" s="699">
        <f t="shared" si="150"/>
      </c>
      <c r="J467" s="689">
        <f t="shared" si="120"/>
      </c>
      <c r="K467" s="690">
        <f t="shared" si="89"/>
      </c>
      <c r="L467" s="691">
        <f t="shared" si="58"/>
      </c>
      <c r="M467" s="691">
        <f t="shared" si="27"/>
      </c>
      <c r="N467" s="692">
        <f t="shared" si="275"/>
      </c>
      <c r="O467" s="692"/>
      <c r="P467" s="692"/>
      <c r="Q467" s="687">
        <f>SUM(Q463:Q466)</f>
      </c>
      <c r="R467" s="687">
        <f>SUM(R463:R466)</f>
      </c>
      <c r="S467" s="687">
        <f>SUM(S463:S466)</f>
      </c>
      <c r="T467" s="687">
        <f>SUM(T463:T466)</f>
      </c>
    </row>
    <row r="468">
      <c r="A468" s="708"/>
      <c r="B468" s="718" t="s">
        <v>861</v>
      </c>
      <c r="C468" s="698" t="s">
        <v>831</v>
      </c>
      <c r="D468" s="746">
        <f t="shared" ref="D468:D472" si="233">E468+F468</f>
      </c>
      <c r="E468" s="670">
        <v>45640.33</v>
      </c>
      <c r="F468" s="670">
        <v>1749.98</v>
      </c>
      <c r="G468" s="671">
        <v>214</v>
      </c>
      <c r="H468" s="670">
        <v>146413.82000000007</v>
      </c>
      <c r="I468" s="672">
        <f t="shared" si="150"/>
      </c>
      <c r="J468" s="672">
        <f t="shared" si="120"/>
      </c>
      <c r="K468" s="673">
        <f t="shared" si="89"/>
      </c>
      <c r="L468" s="674">
        <f t="shared" si="58"/>
      </c>
      <c r="M468" s="675">
        <f t="shared" si="27"/>
      </c>
      <c r="N468" s="676">
        <f t="shared" si="275"/>
      </c>
      <c r="O468" s="677" t="s">
        <v>809</v>
      </c>
      <c r="P468" s="678" t="s">
        <v>827</v>
      </c>
      <c r="Q468" s="697">
        <v>843932</v>
      </c>
      <c r="R468" s="697">
        <v>74506</v>
      </c>
      <c r="S468" s="717">
        <v>257</v>
      </c>
      <c r="T468" s="717">
        <v>886</v>
      </c>
    </row>
    <row r="469">
      <c r="A469" s="708"/>
      <c r="B469" s="718" t="s">
        <v>861</v>
      </c>
      <c r="C469" s="698" t="s">
        <v>832</v>
      </c>
      <c r="D469" s="746">
        <f t="shared" si="233"/>
      </c>
      <c r="E469" s="670">
        <v>46642.93</v>
      </c>
      <c r="F469" s="670">
        <v>654.48</v>
      </c>
      <c r="G469" s="671">
        <v>188</v>
      </c>
      <c r="H469" s="670">
        <v>107429.96999999997</v>
      </c>
      <c r="I469" s="672">
        <f t="shared" si="150"/>
      </c>
      <c r="J469" s="672">
        <f t="shared" si="120"/>
      </c>
      <c r="K469" s="673">
        <f t="shared" si="89"/>
      </c>
      <c r="L469" s="674">
        <f t="shared" si="58"/>
      </c>
      <c r="M469" s="675">
        <f t="shared" si="27"/>
      </c>
      <c r="N469" s="676">
        <f t="shared" si="275"/>
      </c>
      <c r="O469" s="677" t="s">
        <v>809</v>
      </c>
      <c r="P469" s="678" t="s">
        <v>827</v>
      </c>
      <c r="Q469" s="697">
        <v>821965</v>
      </c>
      <c r="R469" s="697">
        <v>70147</v>
      </c>
      <c r="S469" s="717">
        <v>276</v>
      </c>
      <c r="T469" s="717">
        <v>697</v>
      </c>
    </row>
    <row r="470">
      <c r="A470" s="708"/>
      <c r="B470" s="718" t="s">
        <v>861</v>
      </c>
      <c r="C470" s="698" t="s">
        <v>833</v>
      </c>
      <c r="D470" s="746">
        <f t="shared" si="233"/>
      </c>
      <c r="E470" s="670">
        <v>68686.84</v>
      </c>
      <c r="F470" s="670">
        <v>6248.76</v>
      </c>
      <c r="G470" s="671">
        <v>271</v>
      </c>
      <c r="H470" s="670">
        <v>166090.02000000002</v>
      </c>
      <c r="I470" s="672">
        <f t="shared" si="150"/>
      </c>
      <c r="J470" s="672">
        <f t="shared" si="120"/>
      </c>
      <c r="K470" s="673">
        <f t="shared" si="89"/>
      </c>
      <c r="L470" s="674">
        <f t="shared" si="58"/>
      </c>
      <c r="M470" s="675">
        <f t="shared" si="27"/>
      </c>
      <c r="N470" s="676">
        <f t="shared" si="275"/>
      </c>
      <c r="O470" s="677" t="s">
        <v>809</v>
      </c>
      <c r="P470" s="678" t="s">
        <v>827</v>
      </c>
      <c r="Q470" s="697">
        <v>1401110</v>
      </c>
      <c r="R470" s="697">
        <v>118609</v>
      </c>
      <c r="S470" s="717">
        <v>350</v>
      </c>
      <c r="T470" s="717">
        <v>1063</v>
      </c>
    </row>
    <row customHeight="true" ht="16.666666666666668" r="471">
      <c r="A471" s="708"/>
      <c r="B471" s="718" t="s">
        <v>861</v>
      </c>
      <c r="C471" s="698" t="s">
        <v>845</v>
      </c>
      <c r="D471" s="746">
        <f t="shared" si="233"/>
      </c>
      <c r="E471" s="670">
        <v>45728.5</v>
      </c>
      <c r="F471" s="670">
        <v>8434.19</v>
      </c>
      <c r="G471" s="671">
        <v>182</v>
      </c>
      <c r="H471" s="670">
        <v>114565.83999999997</v>
      </c>
      <c r="I471" s="672">
        <f t="shared" si="150"/>
      </c>
      <c r="J471" s="672">
        <f t="shared" si="120"/>
      </c>
      <c r="K471" s="673">
        <f t="shared" si="89"/>
      </c>
      <c r="L471" s="674">
        <f t="shared" si="58"/>
      </c>
      <c r="M471" s="675">
        <f t="shared" si="27"/>
      </c>
      <c r="N471" s="676">
        <f t="shared" si="275"/>
      </c>
      <c r="O471" s="677" t="s">
        <v>809</v>
      </c>
      <c r="P471" s="678" t="s">
        <v>827</v>
      </c>
      <c r="Q471" s="697">
        <v>1029485</v>
      </c>
      <c r="R471" s="697">
        <v>79602</v>
      </c>
      <c r="S471" s="717">
        <v>268</v>
      </c>
      <c r="T471" s="717">
        <v>793</v>
      </c>
    </row>
    <row r="472">
      <c r="A472" s="708"/>
      <c r="B472" s="718" t="s">
        <v>861</v>
      </c>
      <c r="C472" s="698" t="s">
        <v>821</v>
      </c>
      <c r="D472" s="746">
        <f t="shared" si="233"/>
      </c>
      <c r="E472" s="670">
        <v>34158.29</v>
      </c>
      <c r="F472" s="670">
        <v>5769.64</v>
      </c>
      <c r="G472" s="671">
        <v>134</v>
      </c>
      <c r="H472" s="670">
        <v>84123.91000000003</v>
      </c>
      <c r="I472" s="672">
        <f t="shared" si="150"/>
      </c>
      <c r="J472" s="672">
        <f t="shared" si="120"/>
      </c>
      <c r="K472" s="673">
        <f t="shared" si="89"/>
      </c>
      <c r="L472" s="674">
        <f t="shared" si="58"/>
      </c>
      <c r="M472" s="675">
        <f t="shared" si="27"/>
      </c>
      <c r="N472" s="676">
        <f t="shared" si="275"/>
      </c>
      <c r="O472" s="677" t="s">
        <v>809</v>
      </c>
      <c r="P472" s="678" t="s">
        <v>827</v>
      </c>
      <c r="Q472" s="697">
        <v>752008</v>
      </c>
      <c r="R472" s="697">
        <v>55444</v>
      </c>
      <c r="S472" s="717">
        <v>138</v>
      </c>
      <c r="T472" s="717">
        <v>428</v>
      </c>
    </row>
    <row r="473">
      <c r="A473" s="708"/>
      <c r="B473" s="684" t="s">
        <v>814</v>
      </c>
      <c r="C473" s="684"/>
      <c r="D473" s="685">
        <f>SUM(D468:D472)</f>
      </c>
      <c r="E473" s="685">
        <f>SUM(E468:E472)</f>
      </c>
      <c r="F473" s="685">
        <f>SUM(F468:F472)</f>
      </c>
      <c r="G473" s="687">
        <f>SUM(G468:G472)</f>
      </c>
      <c r="H473" s="685">
        <f>SUM(H468:H472)</f>
      </c>
      <c r="I473" s="699">
        <f t="shared" si="150"/>
      </c>
      <c r="J473" s="689">
        <f t="shared" si="120"/>
      </c>
      <c r="K473" s="690">
        <f t="shared" si="89"/>
      </c>
      <c r="L473" s="691">
        <f t="shared" si="58"/>
      </c>
      <c r="M473" s="691">
        <f t="shared" si="27"/>
      </c>
      <c r="N473" s="692">
        <f t="shared" si="275"/>
      </c>
      <c r="O473" s="692"/>
      <c r="P473" s="692"/>
      <c r="Q473" s="687">
        <f>SUM(Q468:Q472)</f>
      </c>
      <c r="R473" s="687">
        <f>SUM(R468:R472)</f>
      </c>
      <c r="S473" s="687">
        <f>SUM(S468:S472)</f>
      </c>
      <c r="T473" s="687">
        <f>SUM(T468:T472)</f>
      </c>
    </row>
    <row r="474">
      <c r="A474" s="708"/>
      <c r="B474" s="718" t="s">
        <v>837</v>
      </c>
      <c r="C474" s="698" t="s">
        <v>823</v>
      </c>
      <c r="D474" s="746">
        <f t="shared" ref="D474:D477" si="234">E474+F474</f>
      </c>
      <c r="E474" s="670">
        <v>37717.01</v>
      </c>
      <c r="F474" s="670">
        <v>7890.06</v>
      </c>
      <c r="G474" s="671">
        <v>119</v>
      </c>
      <c r="H474" s="670">
        <v>82942.78000000003</v>
      </c>
      <c r="I474" s="672">
        <f t="shared" si="150"/>
      </c>
      <c r="J474" s="672">
        <f t="shared" si="120"/>
      </c>
      <c r="K474" s="673">
        <f t="shared" si="89"/>
      </c>
      <c r="L474" s="674">
        <f t="shared" si="58"/>
      </c>
      <c r="M474" s="675">
        <f t="shared" si="27"/>
      </c>
      <c r="N474" s="676">
        <f t="shared" si="275"/>
      </c>
      <c r="O474" s="677" t="s">
        <v>809</v>
      </c>
      <c r="P474" s="678" t="s">
        <v>827</v>
      </c>
      <c r="Q474" s="697">
        <v>928755</v>
      </c>
      <c r="R474" s="697">
        <v>64387</v>
      </c>
      <c r="S474" s="717">
        <v>213</v>
      </c>
      <c r="T474" s="717">
        <v>487</v>
      </c>
    </row>
    <row r="475">
      <c r="A475" s="708"/>
      <c r="B475" s="718" t="s">
        <v>837</v>
      </c>
      <c r="C475" s="698" t="s">
        <v>824</v>
      </c>
      <c r="D475" s="746">
        <f t="shared" si="234"/>
      </c>
      <c r="E475" s="670">
        <v>8526.74</v>
      </c>
      <c r="F475" s="670">
        <v>16791.79</v>
      </c>
      <c r="G475" s="671">
        <v>113</v>
      </c>
      <c r="H475" s="670">
        <v>69570.07000000007</v>
      </c>
      <c r="I475" s="672">
        <f t="shared" si="150"/>
      </c>
      <c r="J475" s="672">
        <f t="shared" si="120"/>
      </c>
      <c r="K475" s="673">
        <f t="shared" si="89"/>
      </c>
      <c r="L475" s="674">
        <f t="shared" si="58"/>
      </c>
      <c r="M475" s="675">
        <f t="shared" si="27"/>
      </c>
      <c r="N475" s="676">
        <f t="shared" si="275"/>
      </c>
      <c r="O475" s="677" t="s">
        <v>809</v>
      </c>
      <c r="P475" s="678" t="s">
        <v>827</v>
      </c>
      <c r="Q475" s="697">
        <v>394129</v>
      </c>
      <c r="R475" s="697">
        <v>31390</v>
      </c>
      <c r="S475" s="717">
        <v>144</v>
      </c>
      <c r="T475" s="717">
        <v>284</v>
      </c>
    </row>
    <row r="476">
      <c r="A476" s="708"/>
      <c r="B476" s="718" t="s">
        <v>837</v>
      </c>
      <c r="C476" s="698" t="s">
        <v>864</v>
      </c>
      <c r="D476" s="746">
        <f t="shared" si="234"/>
      </c>
      <c r="E476" s="670">
        <v>11058</v>
      </c>
      <c r="F476" s="670">
        <v>18249.65</v>
      </c>
      <c r="G476" s="671">
        <v>100</v>
      </c>
      <c r="H476" s="670">
        <v>63000.779999999795</v>
      </c>
      <c r="I476" s="672">
        <f t="shared" si="150"/>
      </c>
      <c r="J476" s="672">
        <f t="shared" si="120"/>
      </c>
      <c r="K476" s="673">
        <f t="shared" si="89"/>
      </c>
      <c r="L476" s="674">
        <f t="shared" si="58"/>
      </c>
      <c r="M476" s="675">
        <f t="shared" si="27"/>
      </c>
      <c r="N476" s="676">
        <f t="shared" si="275"/>
      </c>
      <c r="O476" s="677" t="s">
        <v>809</v>
      </c>
      <c r="P476" s="678" t="s">
        <v>827</v>
      </c>
      <c r="Q476" s="697">
        <v>407539</v>
      </c>
      <c r="R476" s="697">
        <v>33911</v>
      </c>
      <c r="S476" s="717">
        <v>142</v>
      </c>
      <c r="T476" s="717">
        <v>299</v>
      </c>
    </row>
    <row r="477">
      <c r="A477" s="708"/>
      <c r="B477" s="718" t="s">
        <v>837</v>
      </c>
      <c r="C477" s="698" t="s">
        <v>865</v>
      </c>
      <c r="D477" s="746">
        <f t="shared" si="234"/>
      </c>
      <c r="E477" s="670">
        <v>25147.21</v>
      </c>
      <c r="F477" s="670">
        <v>8583.07</v>
      </c>
      <c r="G477" s="671">
        <v>116</v>
      </c>
      <c r="H477" s="670">
        <v>79761.02000000002</v>
      </c>
      <c r="I477" s="672">
        <f t="shared" si="150"/>
      </c>
      <c r="J477" s="672">
        <f t="shared" si="120"/>
      </c>
      <c r="K477" s="673">
        <f t="shared" si="89"/>
      </c>
      <c r="L477" s="674">
        <f t="shared" si="58"/>
      </c>
      <c r="M477" s="675">
        <f t="shared" si="27"/>
      </c>
      <c r="N477" s="676">
        <f t="shared" si="275"/>
      </c>
      <c r="O477" s="677" t="s">
        <v>809</v>
      </c>
      <c r="P477" s="678" t="s">
        <v>827</v>
      </c>
      <c r="Q477" s="697">
        <v>453129</v>
      </c>
      <c r="R477" s="697">
        <v>44524</v>
      </c>
      <c r="S477" s="717">
        <v>144</v>
      </c>
      <c r="T477" s="717">
        <v>331</v>
      </c>
    </row>
    <row r="478">
      <c r="A478" s="708"/>
      <c r="B478" s="684" t="s">
        <v>814</v>
      </c>
      <c r="C478" s="684"/>
      <c r="D478" s="750">
        <f>SUM(D474:D477)</f>
      </c>
      <c r="E478" s="750">
        <f>SUM(E474:E477)</f>
      </c>
      <c r="F478" s="750">
        <f>SUM(F474:F477)</f>
      </c>
      <c r="G478" s="750">
        <f>SUM(G474:G477)</f>
      </c>
      <c r="H478" s="750">
        <f>SUM(H474:H477)</f>
      </c>
      <c r="I478" s="689">
        <f t="shared" si="150"/>
      </c>
      <c r="J478" s="692">
        <f t="shared" si="120"/>
      </c>
      <c r="K478" s="692">
        <f t="shared" si="89"/>
      </c>
      <c r="L478" s="692">
        <f t="shared" si="58"/>
      </c>
      <c r="M478" s="691">
        <f t="shared" si="27"/>
      </c>
      <c r="N478" s="692">
        <f t="shared" si="275"/>
      </c>
      <c r="O478" s="692"/>
      <c r="P478" s="692"/>
      <c r="Q478" s="687">
        <f>SUM(Q474:Q477)</f>
      </c>
      <c r="R478" s="687">
        <f>SUM(R474:R477)</f>
      </c>
      <c r="S478" s="687">
        <f>SUM(S474:S477)</f>
      </c>
      <c r="T478" s="687">
        <f>SUM(T474:T477)</f>
      </c>
    </row>
    <row r="479">
      <c r="A479" s="708"/>
      <c r="B479" s="700" t="s">
        <v>825</v>
      </c>
      <c r="C479" s="700"/>
      <c r="D479" s="701">
        <f>D462+D467+D473+D478</f>
      </c>
      <c r="E479" s="701">
        <f>E462+E467+E473+E478</f>
      </c>
      <c r="F479" s="701">
        <f>F462+F467+F473+F478</f>
      </c>
      <c r="G479" s="702">
        <f>G462+G467+G473+G478</f>
      </c>
      <c r="H479" s="701">
        <f>H462+H467+H473+H478</f>
      </c>
      <c r="I479" s="703">
        <f t="shared" si="150"/>
      </c>
      <c r="J479" s="703">
        <f t="shared" si="120"/>
      </c>
      <c r="K479" s="704">
        <f t="shared" si="89"/>
      </c>
      <c r="L479" s="705">
        <f t="shared" si="58"/>
      </c>
      <c r="M479" s="705">
        <f t="shared" si="27"/>
      </c>
      <c r="N479" s="703">
        <f t="shared" si="275"/>
      </c>
      <c r="O479" s="706"/>
      <c r="P479" s="706"/>
      <c r="Q479" s="702">
        <f>Q462+Q467+Q473+Q478</f>
      </c>
      <c r="R479" s="702">
        <f>R462+R467+R473+R478</f>
      </c>
      <c r="S479" s="702">
        <f>S462+S467+S473+S478</f>
      </c>
      <c r="T479" s="702">
        <f>T462+T467+T473+T478</f>
      </c>
    </row>
    <row r="480">
      <c r="A480" s="655" t="s">
        <v>782</v>
      </c>
      <c r="B480" s="655"/>
      <c r="C480" s="655"/>
      <c r="D480" s="656" t="s">
        <v>783</v>
      </c>
      <c r="E480" s="656"/>
      <c r="F480" s="656"/>
      <c r="G480" s="656"/>
      <c r="H480" s="656"/>
      <c r="I480" s="656"/>
      <c r="J480" s="656"/>
      <c r="K480" s="656"/>
      <c r="L480" s="666" t="s">
        <v>784</v>
      </c>
      <c r="M480" s="666"/>
      <c r="N480" s="666"/>
      <c r="O480" s="666"/>
      <c r="P480" s="666"/>
      <c r="Q480" s="737" t="s">
        <v>785</v>
      </c>
      <c r="R480" s="737"/>
      <c r="S480" s="737"/>
      <c r="T480" s="737"/>
    </row>
    <row r="481">
      <c r="A481" s="660" t="s">
        <v>786</v>
      </c>
      <c r="B481" s="720" t="s">
        <v>787</v>
      </c>
      <c r="C481" s="743" t="s">
        <v>788</v>
      </c>
      <c r="D481" s="722" t="s">
        <v>789</v>
      </c>
      <c r="E481" s="721" t="s">
        <v>790</v>
      </c>
      <c r="F481" s="722" t="s">
        <v>791</v>
      </c>
      <c r="G481" s="662" t="s">
        <v>792</v>
      </c>
      <c r="H481" s="661" t="s">
        <v>793</v>
      </c>
      <c r="I481" s="663" t="s">
        <v>794</v>
      </c>
      <c r="J481" s="664" t="s">
        <v>795</v>
      </c>
      <c r="K481" s="665" t="s">
        <v>796</v>
      </c>
      <c r="L481" s="666" t="s">
        <v>797</v>
      </c>
      <c r="M481" s="666" t="s">
        <v>798</v>
      </c>
      <c r="N481" s="666" t="s">
        <v>799</v>
      </c>
      <c r="O481" s="723" t="s">
        <v>800</v>
      </c>
      <c r="P481" s="738" t="s">
        <v>801</v>
      </c>
      <c r="Q481" s="667" t="s">
        <v>802</v>
      </c>
      <c r="R481" s="667" t="s">
        <v>803</v>
      </c>
      <c r="S481" s="740" t="s">
        <v>804</v>
      </c>
      <c r="T481" s="667" t="s">
        <v>805</v>
      </c>
    </row>
    <row r="482">
      <c r="A482" s="708" t="s">
        <v>866</v>
      </c>
      <c r="B482" s="718" t="s">
        <v>807</v>
      </c>
      <c r="C482" s="724" t="s">
        <v>808</v>
      </c>
      <c r="D482" s="724">
        <f t="shared" ref="D482:D486" si="235">E482+F482</f>
      </c>
      <c r="E482" s="745">
        <v>18231.39</v>
      </c>
      <c r="F482" s="670">
        <v>4295.31</v>
      </c>
      <c r="G482" s="725">
        <v>94</v>
      </c>
      <c r="H482" s="670">
        <v>59970.520000000004</v>
      </c>
      <c r="I482" s="672">
        <f t="shared" ref="I482:I507" si="151">H482/D482</f>
      </c>
      <c r="J482" s="672">
        <f t="shared" ref="J482:J507" si="121">D482/G482</f>
      </c>
      <c r="K482" s="673">
        <f t="shared" ref="K482:K507" si="90">H482/G482</f>
      </c>
      <c r="L482" s="674">
        <f t="shared" ref="L482:L507" si="59">R482/Q482</f>
      </c>
      <c r="M482" s="675">
        <f t="shared" ref="M482:M507" si="28">G482/S482</f>
      </c>
      <c r="N482" s="676">
        <f t="shared" ref="N482:N507" si="276">(T482*1000)/D482</f>
      </c>
      <c r="O482" s="677" t="s">
        <v>809</v>
      </c>
      <c r="P482" s="678" t="s">
        <v>810</v>
      </c>
      <c r="Q482" s="741">
        <v>226074</v>
      </c>
      <c r="R482" s="741">
        <v>27575</v>
      </c>
      <c r="S482" s="711">
        <v>129</v>
      </c>
      <c r="T482" s="711">
        <v>394</v>
      </c>
    </row>
    <row r="483">
      <c r="A483" s="708"/>
      <c r="B483" s="718" t="s">
        <v>807</v>
      </c>
      <c r="C483" s="696" t="s">
        <v>811</v>
      </c>
      <c r="D483" s="749">
        <f t="shared" si="235"/>
      </c>
      <c r="E483" s="727">
        <v>56693.48</v>
      </c>
      <c r="F483" s="696">
        <v>12292.74</v>
      </c>
      <c r="G483" s="671">
        <v>254</v>
      </c>
      <c r="H483" s="670">
        <v>150097.29000000004</v>
      </c>
      <c r="I483" s="672">
        <f t="shared" si="151"/>
      </c>
      <c r="J483" s="672">
        <f t="shared" si="121"/>
      </c>
      <c r="K483" s="673">
        <f t="shared" si="90"/>
      </c>
      <c r="L483" s="674">
        <f t="shared" si="59"/>
      </c>
      <c r="M483" s="675">
        <f t="shared" si="28"/>
      </c>
      <c r="N483" s="676">
        <f t="shared" si="276"/>
      </c>
      <c r="O483" s="677" t="s">
        <v>809</v>
      </c>
      <c r="P483" s="678" t="s">
        <v>810</v>
      </c>
      <c r="Q483" s="679">
        <v>608606</v>
      </c>
      <c r="R483" s="679">
        <v>81979</v>
      </c>
      <c r="S483" s="711">
        <v>343</v>
      </c>
      <c r="T483" s="711">
        <v>861</v>
      </c>
    </row>
    <row r="484">
      <c r="A484" s="708"/>
      <c r="B484" s="718" t="s">
        <v>807</v>
      </c>
      <c r="C484" s="670" t="s">
        <v>812</v>
      </c>
      <c r="D484" s="746">
        <f t="shared" si="235"/>
      </c>
      <c r="E484" s="728">
        <v>53337.54</v>
      </c>
      <c r="F484" s="670">
        <v>12926.76</v>
      </c>
      <c r="G484" s="680">
        <v>192</v>
      </c>
      <c r="H484" s="681">
        <v>107483.81999999995</v>
      </c>
      <c r="I484" s="672">
        <f t="shared" si="151"/>
      </c>
      <c r="J484" s="672">
        <f t="shared" si="121"/>
      </c>
      <c r="K484" s="673">
        <f t="shared" si="90"/>
      </c>
      <c r="L484" s="674">
        <f t="shared" si="59"/>
      </c>
      <c r="M484" s="675">
        <f t="shared" si="28"/>
      </c>
      <c r="N484" s="676">
        <f t="shared" si="276"/>
      </c>
      <c r="O484" s="677" t="s">
        <v>809</v>
      </c>
      <c r="P484" s="678" t="s">
        <v>810</v>
      </c>
      <c r="Q484" s="679">
        <v>599583</v>
      </c>
      <c r="R484" s="679">
        <v>77970</v>
      </c>
      <c r="S484" s="711">
        <v>256</v>
      </c>
      <c r="T484" s="711">
        <v>850</v>
      </c>
    </row>
    <row customHeight="true" ht="16.666666666666668" r="485">
      <c r="A485" s="708"/>
      <c r="B485" s="718" t="s">
        <v>807</v>
      </c>
      <c r="C485" s="670" t="s">
        <v>813</v>
      </c>
      <c r="D485" s="746">
        <f t="shared" si="235"/>
      </c>
      <c r="E485" s="728">
        <v>26571.77</v>
      </c>
      <c r="F485" s="670">
        <v>12374.96</v>
      </c>
      <c r="G485" s="712">
        <v>158</v>
      </c>
      <c r="H485" s="719">
        <v>85521.91999999998</v>
      </c>
      <c r="I485" s="672">
        <f t="shared" si="151"/>
      </c>
      <c r="J485" s="672">
        <f t="shared" si="121"/>
      </c>
      <c r="K485" s="673">
        <f t="shared" si="90"/>
      </c>
      <c r="L485" s="674">
        <f t="shared" si="59"/>
      </c>
      <c r="M485" s="675">
        <f t="shared" si="28"/>
      </c>
      <c r="N485" s="676">
        <f t="shared" si="276"/>
      </c>
      <c r="O485" s="677" t="s">
        <v>809</v>
      </c>
      <c r="P485" s="678" t="s">
        <v>810</v>
      </c>
      <c r="Q485" s="697">
        <v>400160</v>
      </c>
      <c r="R485" s="697">
        <v>45986</v>
      </c>
      <c r="S485" s="717">
        <v>206</v>
      </c>
      <c r="T485" s="711">
        <v>525</v>
      </c>
    </row>
    <row r="486">
      <c r="A486" s="708"/>
      <c r="B486" s="718" t="s">
        <v>807</v>
      </c>
      <c r="C486" s="670" t="s">
        <v>816</v>
      </c>
      <c r="D486" s="746">
        <f t="shared" si="235"/>
      </c>
      <c r="E486" s="728">
        <v>44522.11</v>
      </c>
      <c r="F486" s="670">
        <v>15309.53</v>
      </c>
      <c r="G486" s="712">
        <v>218</v>
      </c>
      <c r="H486" s="719">
        <v>124906.29999999999</v>
      </c>
      <c r="I486" s="672">
        <f t="shared" si="151"/>
      </c>
      <c r="J486" s="672">
        <f t="shared" si="121"/>
      </c>
      <c r="K486" s="673">
        <f t="shared" si="90"/>
      </c>
      <c r="L486" s="674">
        <f t="shared" si="59"/>
      </c>
      <c r="M486" s="675">
        <f t="shared" si="28"/>
      </c>
      <c r="N486" s="676">
        <f t="shared" si="276"/>
      </c>
      <c r="O486" s="677" t="s">
        <v>809</v>
      </c>
      <c r="P486" s="678" t="s">
        <v>810</v>
      </c>
      <c r="Q486" s="697">
        <v>617025</v>
      </c>
      <c r="R486" s="697">
        <v>79968</v>
      </c>
      <c r="S486" s="717">
        <v>298</v>
      </c>
      <c r="T486" s="711">
        <v>781</v>
      </c>
    </row>
    <row r="487">
      <c r="A487" s="708"/>
      <c r="B487" s="730" t="s">
        <v>814</v>
      </c>
      <c r="C487" s="730"/>
      <c r="D487" s="685">
        <f>SUM(D482:D486)</f>
      </c>
      <c r="E487" s="685">
        <f>SUM(E482:E486)</f>
      </c>
      <c r="F487" s="685">
        <f>SUM(F482:F486)</f>
      </c>
      <c r="G487" s="687">
        <f>SUM(G482:G486)</f>
      </c>
      <c r="H487" s="685">
        <f>SUM(H482:H486)</f>
      </c>
      <c r="I487" s="688">
        <f t="shared" si="151"/>
      </c>
      <c r="J487" s="689">
        <f t="shared" si="121"/>
      </c>
      <c r="K487" s="690">
        <f t="shared" si="90"/>
      </c>
      <c r="L487" s="691">
        <f t="shared" si="59"/>
      </c>
      <c r="M487" s="691">
        <f t="shared" si="28"/>
      </c>
      <c r="N487" s="692">
        <f t="shared" si="276"/>
      </c>
      <c r="O487" s="692"/>
      <c r="P487" s="692"/>
      <c r="Q487" s="687">
        <f>SUM(Q482:Q486)</f>
      </c>
      <c r="R487" s="687">
        <f>SUM(R482:R486)</f>
      </c>
      <c r="S487" s="687">
        <f>SUM(S482:S486)</f>
      </c>
      <c r="T487" s="687">
        <f>SUM(T482:T486)</f>
      </c>
    </row>
    <row r="488">
      <c r="A488" s="708"/>
      <c r="B488" s="718" t="s">
        <v>861</v>
      </c>
      <c r="C488" s="670" t="s">
        <v>817</v>
      </c>
      <c r="D488" s="746">
        <f t="shared" ref="D488:D492" si="236">E488+F488</f>
      </c>
      <c r="E488" s="670">
        <v>70937.33</v>
      </c>
      <c r="F488" s="670">
        <v>14968.68</v>
      </c>
      <c r="G488" s="671">
        <v>299</v>
      </c>
      <c r="H488" s="670">
        <v>195217.80000000005</v>
      </c>
      <c r="I488" s="672">
        <f t="shared" si="151"/>
      </c>
      <c r="J488" s="672">
        <f t="shared" si="121"/>
      </c>
      <c r="K488" s="673">
        <f t="shared" si="90"/>
      </c>
      <c r="L488" s="674">
        <f t="shared" si="59"/>
      </c>
      <c r="M488" s="675">
        <f t="shared" si="28"/>
      </c>
      <c r="N488" s="676">
        <f t="shared" si="276"/>
      </c>
      <c r="O488" s="677" t="s">
        <v>809</v>
      </c>
      <c r="P488" s="678" t="s">
        <v>810</v>
      </c>
      <c r="Q488" s="697">
        <v>931487</v>
      </c>
      <c r="R488" s="697">
        <v>115754</v>
      </c>
      <c r="S488" s="717">
        <v>363</v>
      </c>
      <c r="T488" s="717">
        <v>926</v>
      </c>
    </row>
    <row r="489">
      <c r="A489" s="708"/>
      <c r="B489" s="718" t="s">
        <v>861</v>
      </c>
      <c r="C489" s="670" t="s">
        <v>818</v>
      </c>
      <c r="D489" s="746">
        <f t="shared" si="236"/>
      </c>
      <c r="E489" s="670">
        <v>92341.64</v>
      </c>
      <c r="F489" s="670">
        <v>27176.7</v>
      </c>
      <c r="G489" s="671">
        <v>369</v>
      </c>
      <c r="H489" s="670">
        <v>254336.07999999996</v>
      </c>
      <c r="I489" s="672">
        <f t="shared" si="151"/>
      </c>
      <c r="J489" s="672">
        <f t="shared" si="121"/>
      </c>
      <c r="K489" s="673">
        <f t="shared" si="90"/>
      </c>
      <c r="L489" s="674">
        <f t="shared" si="59"/>
      </c>
      <c r="M489" s="675">
        <f t="shared" si="28"/>
      </c>
      <c r="N489" s="676">
        <f t="shared" si="276"/>
      </c>
      <c r="O489" s="677" t="s">
        <v>809</v>
      </c>
      <c r="P489" s="678" t="s">
        <v>810</v>
      </c>
      <c r="Q489" s="697">
        <v>1369332</v>
      </c>
      <c r="R489" s="697">
        <v>153894</v>
      </c>
      <c r="S489" s="717">
        <v>487</v>
      </c>
      <c r="T489" s="717">
        <v>1334</v>
      </c>
    </row>
    <row r="490">
      <c r="A490" s="708"/>
      <c r="B490" s="718" t="s">
        <v>861</v>
      </c>
      <c r="C490" s="670" t="s">
        <v>819</v>
      </c>
      <c r="D490" s="746">
        <f t="shared" si="236"/>
      </c>
      <c r="E490" s="670">
        <v>54624.72</v>
      </c>
      <c r="F490" s="670">
        <v>26580.09</v>
      </c>
      <c r="G490" s="671">
        <v>280</v>
      </c>
      <c r="H490" s="670">
        <v>208631.66999999993</v>
      </c>
      <c r="I490" s="672">
        <f t="shared" si="151"/>
      </c>
      <c r="J490" s="672">
        <f t="shared" si="121"/>
      </c>
      <c r="K490" s="673">
        <f t="shared" si="90"/>
      </c>
      <c r="L490" s="674">
        <f t="shared" si="59"/>
      </c>
      <c r="M490" s="675">
        <f t="shared" si="28"/>
      </c>
      <c r="N490" s="676">
        <f t="shared" si="276"/>
      </c>
      <c r="O490" s="677" t="s">
        <v>809</v>
      </c>
      <c r="P490" s="678" t="s">
        <v>827</v>
      </c>
      <c r="Q490" s="697">
        <v>920424</v>
      </c>
      <c r="R490" s="697">
        <v>98446</v>
      </c>
      <c r="S490" s="717">
        <v>401</v>
      </c>
      <c r="T490" s="717">
        <v>853</v>
      </c>
    </row>
    <row customHeight="true" ht="16.666666666666668" r="491">
      <c r="A491" s="708"/>
      <c r="B491" s="718" t="s">
        <v>861</v>
      </c>
      <c r="C491" s="670" t="s">
        <v>830</v>
      </c>
      <c r="D491" s="746">
        <f t="shared" si="236"/>
      </c>
      <c r="E491" s="670">
        <v>30852.05</v>
      </c>
      <c r="F491" s="670">
        <v>16945.13</v>
      </c>
      <c r="G491" s="671">
        <v>154</v>
      </c>
      <c r="H491" s="670">
        <v>108918.02000000002</v>
      </c>
      <c r="I491" s="672">
        <f t="shared" si="151"/>
      </c>
      <c r="J491" s="672">
        <f t="shared" si="121"/>
      </c>
      <c r="K491" s="673">
        <f t="shared" si="90"/>
      </c>
      <c r="L491" s="674">
        <f t="shared" si="59"/>
      </c>
      <c r="M491" s="675">
        <f t="shared" si="28"/>
      </c>
      <c r="N491" s="676">
        <f t="shared" si="276"/>
      </c>
      <c r="O491" s="677" t="s">
        <v>809</v>
      </c>
      <c r="P491" s="678" t="s">
        <v>827</v>
      </c>
      <c r="Q491" s="697">
        <v>539646</v>
      </c>
      <c r="R491" s="697">
        <v>54448</v>
      </c>
      <c r="S491" s="717">
        <v>199</v>
      </c>
      <c r="T491" s="717">
        <v>493</v>
      </c>
    </row>
    <row r="492">
      <c r="A492" s="708"/>
      <c r="B492" s="718" t="s">
        <v>861</v>
      </c>
      <c r="C492" s="670" t="s">
        <v>830</v>
      </c>
      <c r="D492" s="746">
        <f t="shared" si="236"/>
      </c>
      <c r="E492" s="670">
        <v>22463.82</v>
      </c>
      <c r="F492" s="670">
        <v>11668.4</v>
      </c>
      <c r="G492" s="671">
        <v>121</v>
      </c>
      <c r="H492" s="670">
        <v>82825.09000000008</v>
      </c>
      <c r="I492" s="672">
        <f t="shared" si="151"/>
      </c>
      <c r="J492" s="672">
        <f t="shared" si="121"/>
      </c>
      <c r="K492" s="673">
        <f t="shared" si="90"/>
      </c>
      <c r="L492" s="674">
        <f t="shared" si="59"/>
      </c>
      <c r="M492" s="675">
        <f t="shared" si="28"/>
      </c>
      <c r="N492" s="676">
        <f t="shared" si="276"/>
      </c>
      <c r="O492" s="677" t="s">
        <v>809</v>
      </c>
      <c r="P492" s="678" t="s">
        <v>827</v>
      </c>
      <c r="Q492" s="697">
        <v>375109</v>
      </c>
      <c r="R492" s="697">
        <v>37754</v>
      </c>
      <c r="S492" s="717">
        <v>170</v>
      </c>
      <c r="T492" s="717">
        <v>403</v>
      </c>
    </row>
    <row r="493">
      <c r="A493" s="708"/>
      <c r="B493" s="684" t="s">
        <v>814</v>
      </c>
      <c r="C493" s="684"/>
      <c r="D493" s="685">
        <f>SUM(D488:D492)</f>
      </c>
      <c r="E493" s="685">
        <f>SUM(E488:E492)</f>
      </c>
      <c r="F493" s="685">
        <f>SUM(F488:F492)</f>
      </c>
      <c r="G493" s="687">
        <f>SUM(G488:G492)</f>
      </c>
      <c r="H493" s="685">
        <f>SUM(H488:H492)</f>
      </c>
      <c r="I493" s="699">
        <f t="shared" si="151"/>
      </c>
      <c r="J493" s="689">
        <f t="shared" si="121"/>
      </c>
      <c r="K493" s="690">
        <f t="shared" si="90"/>
      </c>
      <c r="L493" s="691">
        <f t="shared" si="59"/>
      </c>
      <c r="M493" s="691">
        <f t="shared" si="28"/>
      </c>
      <c r="N493" s="692">
        <f t="shared" si="276"/>
      </c>
      <c r="O493" s="692"/>
      <c r="P493" s="692"/>
      <c r="Q493" s="687">
        <f>SUM(Q488:Q492)</f>
      </c>
      <c r="R493" s="687">
        <f>SUM(R488:R492)</f>
      </c>
      <c r="S493" s="687">
        <f>SUM(S488:S492)</f>
      </c>
      <c r="T493" s="687">
        <f>SUM(T488:T492)</f>
      </c>
    </row>
    <row r="494">
      <c r="A494" s="708"/>
      <c r="B494" s="718" t="s">
        <v>837</v>
      </c>
      <c r="C494" s="698" t="s">
        <v>832</v>
      </c>
      <c r="D494" s="746">
        <f t="shared" ref="D494:D496" si="237">E494+F494</f>
      </c>
      <c r="E494" s="670">
        <v>21893.08</v>
      </c>
      <c r="F494" s="670">
        <v>11106.85</v>
      </c>
      <c r="G494" s="671">
        <v>113</v>
      </c>
      <c r="H494" s="670">
        <v>72838.15999999992</v>
      </c>
      <c r="I494" s="672">
        <f t="shared" si="151"/>
      </c>
      <c r="J494" s="672">
        <f t="shared" si="121"/>
      </c>
      <c r="K494" s="673">
        <f t="shared" si="90"/>
      </c>
      <c r="L494" s="674">
        <f t="shared" si="59"/>
      </c>
      <c r="M494" s="675">
        <f t="shared" si="28"/>
      </c>
      <c r="N494" s="676">
        <f t="shared" si="276"/>
      </c>
      <c r="O494" s="677" t="s">
        <v>809</v>
      </c>
      <c r="P494" s="678" t="s">
        <v>827</v>
      </c>
      <c r="Q494" s="697">
        <v>434866</v>
      </c>
      <c r="R494" s="697">
        <v>40092</v>
      </c>
      <c r="S494" s="717">
        <v>157</v>
      </c>
      <c r="T494" s="717">
        <v>368</v>
      </c>
    </row>
    <row r="495">
      <c r="A495" s="708"/>
      <c r="B495" s="718" t="s">
        <v>837</v>
      </c>
      <c r="C495" s="698" t="s">
        <v>833</v>
      </c>
      <c r="D495" s="746">
        <f t="shared" si="237"/>
      </c>
      <c r="E495" s="670">
        <v>22411.27</v>
      </c>
      <c r="F495" s="670">
        <v>10905.1</v>
      </c>
      <c r="G495" s="671">
        <v>117</v>
      </c>
      <c r="H495" s="670">
        <v>87500.84999999986</v>
      </c>
      <c r="I495" s="672">
        <f t="shared" si="151"/>
      </c>
      <c r="J495" s="672">
        <f t="shared" si="121"/>
      </c>
      <c r="K495" s="673">
        <f t="shared" si="90"/>
      </c>
      <c r="L495" s="674">
        <f t="shared" si="59"/>
      </c>
      <c r="M495" s="675">
        <f t="shared" si="28"/>
      </c>
      <c r="N495" s="676">
        <f t="shared" si="276"/>
      </c>
      <c r="O495" s="677" t="s">
        <v>809</v>
      </c>
      <c r="P495" s="678" t="s">
        <v>827</v>
      </c>
      <c r="Q495" s="697">
        <v>430644</v>
      </c>
      <c r="R495" s="697">
        <v>43367</v>
      </c>
      <c r="S495" s="717">
        <v>157</v>
      </c>
      <c r="T495" s="717">
        <v>376</v>
      </c>
    </row>
    <row r="496">
      <c r="A496" s="708"/>
      <c r="B496" s="718" t="s">
        <v>837</v>
      </c>
      <c r="C496" s="698" t="s">
        <v>845</v>
      </c>
      <c r="D496" s="746">
        <f t="shared" si="237"/>
      </c>
      <c r="E496" s="670">
        <v>18594.35</v>
      </c>
      <c r="F496" s="670">
        <v>8554.72</v>
      </c>
      <c r="G496" s="671">
        <v>111</v>
      </c>
      <c r="H496" s="670">
        <v>70138.8600000001</v>
      </c>
      <c r="I496" s="672">
        <f t="shared" si="151"/>
      </c>
      <c r="J496" s="672">
        <f t="shared" si="121"/>
      </c>
      <c r="K496" s="673">
        <f t="shared" si="90"/>
      </c>
      <c r="L496" s="674">
        <f t="shared" si="59"/>
      </c>
      <c r="M496" s="675">
        <f t="shared" si="28"/>
      </c>
      <c r="N496" s="676">
        <f t="shared" si="276"/>
      </c>
      <c r="O496" s="677" t="s">
        <v>809</v>
      </c>
      <c r="P496" s="678" t="s">
        <v>827</v>
      </c>
      <c r="Q496" s="697">
        <v>331756</v>
      </c>
      <c r="R496" s="697">
        <v>32662</v>
      </c>
      <c r="S496" s="717">
        <v>138</v>
      </c>
      <c r="T496" s="717">
        <v>321</v>
      </c>
    </row>
    <row r="497">
      <c r="A497" s="708"/>
      <c r="B497" s="684" t="s">
        <v>814</v>
      </c>
      <c r="C497" s="684"/>
      <c r="D497" s="685">
        <f>SUM(D494:D496)</f>
      </c>
      <c r="E497" s="685">
        <f>SUM(E494:E496)</f>
      </c>
      <c r="F497" s="685">
        <f>SUM(F494:F496)</f>
      </c>
      <c r="G497" s="687">
        <f>SUM(G494:G496)</f>
      </c>
      <c r="H497" s="685">
        <f>SUM(H494:H496)</f>
      </c>
      <c r="I497" s="699">
        <f t="shared" si="151"/>
      </c>
      <c r="J497" s="689">
        <f t="shared" si="121"/>
      </c>
      <c r="K497" s="690">
        <f t="shared" si="90"/>
      </c>
      <c r="L497" s="691">
        <f t="shared" si="59"/>
      </c>
      <c r="M497" s="691">
        <f t="shared" si="28"/>
      </c>
      <c r="N497" s="692">
        <f t="shared" si="276"/>
      </c>
      <c r="O497" s="692"/>
      <c r="P497" s="692"/>
      <c r="Q497" s="687">
        <f>SUM(Q494:Q496)</f>
      </c>
      <c r="R497" s="687">
        <f>SUM(R494:R496)</f>
      </c>
      <c r="S497" s="687">
        <f>SUM(S494:S496)</f>
      </c>
      <c r="T497" s="687">
        <f>SUM(T494:T496)</f>
      </c>
    </row>
    <row customHeight="true" ht="16.666666666666668" r="498">
      <c r="A498" s="708"/>
      <c r="B498" s="718" t="s">
        <v>841</v>
      </c>
      <c r="C498" s="698" t="s">
        <v>821</v>
      </c>
      <c r="D498" s="746">
        <f t="shared" ref="D498:D502" si="238">E498+F498</f>
      </c>
      <c r="E498" s="670">
        <v>19403.11</v>
      </c>
      <c r="F498" s="670">
        <v>6909.09</v>
      </c>
      <c r="G498" s="671">
        <v>69</v>
      </c>
      <c r="H498" s="670">
        <v>47579.52000000002</v>
      </c>
      <c r="I498" s="672">
        <f t="shared" si="151"/>
      </c>
      <c r="J498" s="672">
        <f t="shared" si="121"/>
      </c>
      <c r="K498" s="673">
        <f t="shared" si="90"/>
      </c>
      <c r="L498" s="674">
        <f t="shared" si="59"/>
      </c>
      <c r="M498" s="675">
        <f t="shared" si="28"/>
      </c>
      <c r="N498" s="676">
        <f t="shared" si="276"/>
      </c>
      <c r="O498" s="677" t="s">
        <v>809</v>
      </c>
      <c r="P498" s="678" t="s">
        <v>827</v>
      </c>
      <c r="Q498" s="697">
        <v>305405</v>
      </c>
      <c r="R498" s="697">
        <v>29757</v>
      </c>
      <c r="S498" s="717">
        <v>88</v>
      </c>
      <c r="T498" s="717">
        <v>242</v>
      </c>
    </row>
    <row r="499">
      <c r="A499" s="708"/>
      <c r="B499" s="718" t="s">
        <v>841</v>
      </c>
      <c r="C499" s="698" t="s">
        <v>823</v>
      </c>
      <c r="D499" s="746">
        <f t="shared" si="238"/>
      </c>
      <c r="E499" s="670">
        <v>21395.05</v>
      </c>
      <c r="F499" s="670">
        <v>8673.96</v>
      </c>
      <c r="G499" s="671">
        <v>100</v>
      </c>
      <c r="H499" s="670">
        <v>67441.27999999998</v>
      </c>
      <c r="I499" s="672">
        <f t="shared" si="151"/>
      </c>
      <c r="J499" s="672">
        <f t="shared" si="121"/>
      </c>
      <c r="K499" s="673">
        <f t="shared" si="90"/>
      </c>
      <c r="L499" s="674">
        <f t="shared" si="59"/>
      </c>
      <c r="M499" s="675">
        <f t="shared" si="28"/>
      </c>
      <c r="N499" s="676">
        <f t="shared" si="276"/>
      </c>
      <c r="O499" s="677" t="s">
        <v>809</v>
      </c>
      <c r="P499" s="678" t="s">
        <v>827</v>
      </c>
      <c r="Q499" s="697">
        <v>365707</v>
      </c>
      <c r="R499" s="697">
        <v>33197</v>
      </c>
      <c r="S499" s="717">
        <v>126</v>
      </c>
      <c r="T499" s="717">
        <v>221</v>
      </c>
    </row>
    <row r="500">
      <c r="A500" s="708"/>
      <c r="B500" s="718" t="s">
        <v>841</v>
      </c>
      <c r="C500" s="698" t="s">
        <v>824</v>
      </c>
      <c r="D500" s="746">
        <f t="shared" si="238"/>
      </c>
      <c r="E500" s="670">
        <v>27798.37</v>
      </c>
      <c r="F500" s="670">
        <v>16629.54</v>
      </c>
      <c r="G500" s="671">
        <v>130</v>
      </c>
      <c r="H500" s="670">
        <v>86267.3600000001</v>
      </c>
      <c r="I500" s="672">
        <f t="shared" si="151"/>
      </c>
      <c r="J500" s="672">
        <f t="shared" si="121"/>
      </c>
      <c r="K500" s="673">
        <f t="shared" si="90"/>
      </c>
      <c r="L500" s="674">
        <f t="shared" si="59"/>
      </c>
      <c r="M500" s="675">
        <f t="shared" si="28"/>
      </c>
      <c r="N500" s="676">
        <f t="shared" si="276"/>
      </c>
      <c r="O500" s="677" t="s">
        <v>809</v>
      </c>
      <c r="P500" s="678" t="s">
        <v>827</v>
      </c>
      <c r="Q500" s="697">
        <v>561374</v>
      </c>
      <c r="R500" s="697">
        <v>50495</v>
      </c>
      <c r="S500" s="717">
        <v>187</v>
      </c>
      <c r="T500" s="717">
        <v>426</v>
      </c>
    </row>
    <row r="501">
      <c r="A501" s="708"/>
      <c r="B501" s="718" t="s">
        <v>841</v>
      </c>
      <c r="C501" s="698" t="s">
        <v>864</v>
      </c>
      <c r="D501" s="746">
        <f t="shared" si="238"/>
      </c>
      <c r="E501" s="670">
        <v>42448.45</v>
      </c>
      <c r="F501" s="670">
        <v>3916.55</v>
      </c>
      <c r="G501" s="671">
        <v>88</v>
      </c>
      <c r="H501" s="670">
        <v>61619.939999999944</v>
      </c>
      <c r="I501" s="672">
        <f t="shared" si="151"/>
      </c>
      <c r="J501" s="672">
        <f t="shared" si="121"/>
      </c>
      <c r="K501" s="673">
        <f t="shared" si="90"/>
      </c>
      <c r="L501" s="674">
        <f t="shared" si="59"/>
      </c>
      <c r="M501" s="675">
        <f t="shared" si="28"/>
      </c>
      <c r="N501" s="676">
        <f t="shared" si="276"/>
      </c>
      <c r="O501" s="677" t="s">
        <v>809</v>
      </c>
      <c r="P501" s="678" t="s">
        <v>827</v>
      </c>
      <c r="Q501" s="697">
        <v>439754</v>
      </c>
      <c r="R501" s="697">
        <v>55385</v>
      </c>
      <c r="S501" s="717">
        <v>136</v>
      </c>
      <c r="T501" s="717">
        <v>411</v>
      </c>
    </row>
    <row r="502">
      <c r="A502" s="708"/>
      <c r="B502" s="718" t="s">
        <v>841</v>
      </c>
      <c r="C502" s="698" t="s">
        <v>865</v>
      </c>
      <c r="D502" s="746">
        <f t="shared" si="238"/>
      </c>
      <c r="E502" s="670">
        <v>27293.02</v>
      </c>
      <c r="F502" s="670">
        <v>8816.09</v>
      </c>
      <c r="G502" s="671">
        <v>103</v>
      </c>
      <c r="H502" s="670">
        <v>60858.17000000016</v>
      </c>
      <c r="I502" s="672">
        <f t="shared" si="151"/>
      </c>
      <c r="J502" s="672">
        <f t="shared" si="121"/>
      </c>
      <c r="K502" s="673">
        <f t="shared" si="90"/>
      </c>
      <c r="L502" s="674">
        <f t="shared" si="59"/>
      </c>
      <c r="M502" s="675">
        <f t="shared" si="28"/>
      </c>
      <c r="N502" s="676">
        <f t="shared" si="276"/>
      </c>
      <c r="O502" s="677" t="s">
        <v>809</v>
      </c>
      <c r="P502" s="678" t="s">
        <v>827</v>
      </c>
      <c r="Q502" s="697">
        <v>397795</v>
      </c>
      <c r="R502" s="697">
        <v>40192</v>
      </c>
      <c r="S502" s="717">
        <v>67</v>
      </c>
      <c r="T502" s="717">
        <v>331</v>
      </c>
    </row>
    <row r="503">
      <c r="A503" s="708"/>
      <c r="B503" s="684" t="s">
        <v>814</v>
      </c>
      <c r="C503" s="684"/>
      <c r="D503" s="687">
        <f>SUM(D498:D502)</f>
      </c>
      <c r="E503" s="687">
        <f>SUM(E498:E502)</f>
      </c>
      <c r="F503" s="687">
        <f>SUM(F498:F502)</f>
      </c>
      <c r="G503" s="687">
        <f>SUM(G498:G502)</f>
      </c>
      <c r="H503" s="687">
        <f>SUM(H498:H502)</f>
      </c>
      <c r="I503" s="689">
        <f t="shared" si="151"/>
      </c>
      <c r="J503" s="692">
        <f t="shared" si="121"/>
      </c>
      <c r="K503" s="692">
        <f t="shared" si="90"/>
      </c>
      <c r="L503" s="692">
        <f t="shared" si="59"/>
      </c>
      <c r="M503" s="691">
        <f t="shared" si="28"/>
      </c>
      <c r="N503" s="692">
        <f t="shared" si="276"/>
      </c>
      <c r="O503" s="692"/>
      <c r="P503" s="692"/>
      <c r="Q503" s="687">
        <f>SUM(Q498:Q502)</f>
      </c>
      <c r="R503" s="687">
        <f>SUM(R498:R502)</f>
      </c>
      <c r="S503" s="687">
        <f>SUM(S498:S502)</f>
      </c>
      <c r="T503" s="687">
        <f>SUM(T498:T502)</f>
      </c>
    </row>
    <row customHeight="true" ht="18.452380952380953" r="504">
      <c r="A504" s="708"/>
      <c r="B504" s="694" t="s">
        <v>815</v>
      </c>
      <c r="C504" s="751" t="s">
        <v>867</v>
      </c>
      <c r="D504" s="724">
        <f t="shared" ref="D504:D505" si="239">E504+F504</f>
      </c>
      <c r="E504" s="745">
        <v>13179.47</v>
      </c>
      <c r="F504" s="670">
        <v>2278.66</v>
      </c>
      <c r="G504" s="725">
        <v>60</v>
      </c>
      <c r="H504" s="670">
        <v>44096.3899999999</v>
      </c>
      <c r="I504" s="672">
        <f t="shared" si="151"/>
      </c>
      <c r="J504" s="672">
        <f t="shared" si="121"/>
      </c>
      <c r="K504" s="673">
        <f t="shared" si="90"/>
      </c>
      <c r="L504" s="674">
        <f t="shared" si="59"/>
      </c>
      <c r="M504" s="675">
        <f t="shared" si="28"/>
      </c>
      <c r="N504" s="676">
        <f t="shared" si="276"/>
      </c>
      <c r="O504" s="677" t="s">
        <v>809</v>
      </c>
      <c r="P504" s="678" t="s">
        <v>827</v>
      </c>
      <c r="Q504" s="741">
        <v>162597</v>
      </c>
      <c r="R504" s="741">
        <v>22235</v>
      </c>
      <c r="S504" s="711">
        <v>158</v>
      </c>
      <c r="T504" s="711">
        <v>141</v>
      </c>
    </row>
    <row customHeight="true" ht="18.452380952380953" r="505">
      <c r="A505" s="708"/>
      <c r="B505" s="694" t="s">
        <v>815</v>
      </c>
      <c r="C505" s="751" t="s">
        <v>868</v>
      </c>
      <c r="D505" s="724">
        <f t="shared" si="239"/>
      </c>
      <c r="E505" s="745">
        <v>3869.2200000000003</v>
      </c>
      <c r="F505" s="670">
        <v>1343.8</v>
      </c>
      <c r="G505" s="725">
        <v>38</v>
      </c>
      <c r="H505" s="670">
        <v>24152.679999999935</v>
      </c>
      <c r="I505" s="672">
        <f t="shared" si="151"/>
      </c>
      <c r="J505" s="672">
        <f t="shared" si="121"/>
      </c>
      <c r="K505" s="673">
        <f t="shared" si="90"/>
      </c>
      <c r="L505" s="674">
        <f t="shared" si="59"/>
      </c>
      <c r="M505" s="675">
        <f t="shared" si="28"/>
      </c>
      <c r="N505" s="676">
        <f t="shared" si="276"/>
      </c>
      <c r="O505" s="677" t="s">
        <v>809</v>
      </c>
      <c r="P505" s="678" t="s">
        <v>827</v>
      </c>
      <c r="Q505" s="741">
        <v>49959</v>
      </c>
      <c r="R505" s="741">
        <v>7809</v>
      </c>
      <c r="S505" s="711">
        <v>53</v>
      </c>
      <c r="T505" s="711">
        <v>75</v>
      </c>
    </row>
    <row customHeight="true" ht="18.452380952380953" r="506">
      <c r="A506" s="708"/>
      <c r="B506" s="684" t="s">
        <v>814</v>
      </c>
      <c r="C506" s="684"/>
      <c r="D506" s="687">
        <f>D504+D505</f>
      </c>
      <c r="E506" s="687">
        <f>E504+E505</f>
      </c>
      <c r="F506" s="687">
        <f>F504+F505</f>
      </c>
      <c r="G506" s="687">
        <f>G504+G505</f>
      </c>
      <c r="H506" s="687">
        <f>H504+H505</f>
      </c>
      <c r="I506" s="689">
        <f t="shared" si="151"/>
      </c>
      <c r="J506" s="692">
        <f t="shared" si="121"/>
      </c>
      <c r="K506" s="692">
        <f t="shared" si="90"/>
      </c>
      <c r="L506" s="692">
        <f t="shared" si="59"/>
      </c>
      <c r="M506" s="691">
        <f t="shared" si="28"/>
      </c>
      <c r="N506" s="692">
        <f t="shared" si="276"/>
      </c>
      <c r="O506" s="692"/>
      <c r="P506" s="692"/>
      <c r="Q506" s="687">
        <f>Q504+Q505</f>
      </c>
      <c r="R506" s="687">
        <f>R504+R505</f>
      </c>
      <c r="S506" s="687">
        <f>S504+S505</f>
      </c>
      <c r="T506" s="687">
        <f>T504+T505</f>
      </c>
    </row>
    <row r="507">
      <c r="A507" s="708"/>
      <c r="B507" s="700" t="s">
        <v>825</v>
      </c>
      <c r="C507" s="700"/>
      <c r="D507" s="701">
        <f>D487+D493+D497+D503+D506</f>
      </c>
      <c r="E507" s="701">
        <f>E487+E493+E497+E503+E506</f>
      </c>
      <c r="F507" s="701">
        <f>F487+F493+F497+F503+F506</f>
      </c>
      <c r="G507" s="701">
        <f>G487+G493+G497+G503+G506</f>
      </c>
      <c r="H507" s="701">
        <f>H487+H493+H497+H503+H506</f>
      </c>
      <c r="I507" s="703">
        <f t="shared" si="151"/>
      </c>
      <c r="J507" s="703">
        <f t="shared" si="121"/>
      </c>
      <c r="K507" s="704">
        <f t="shared" si="90"/>
      </c>
      <c r="L507" s="705">
        <f t="shared" si="59"/>
      </c>
      <c r="M507" s="705">
        <f t="shared" si="28"/>
      </c>
      <c r="N507" s="703">
        <f t="shared" si="276"/>
      </c>
      <c r="O507" s="706"/>
      <c r="P507" s="706"/>
      <c r="Q507" s="701">
        <f>Q487+Q493+Q497+Q503+Q506</f>
      </c>
      <c r="R507" s="701">
        <f>R487+R493+R497+R503+R506</f>
      </c>
      <c r="S507" s="701">
        <f>S487+S493+S497+S503+S506</f>
      </c>
      <c r="T507" s="701">
        <f>T487+T493+T497+T503+T506</f>
      </c>
    </row>
    <row r="508">
      <c r="A508" s="655" t="s">
        <v>782</v>
      </c>
      <c r="B508" s="655"/>
      <c r="C508" s="655"/>
      <c r="D508" s="656" t="s">
        <v>783</v>
      </c>
      <c r="E508" s="656"/>
      <c r="F508" s="656"/>
      <c r="G508" s="656"/>
      <c r="H508" s="656"/>
      <c r="I508" s="656"/>
      <c r="J508" s="656"/>
      <c r="K508" s="656"/>
      <c r="L508" s="666" t="s">
        <v>784</v>
      </c>
      <c r="M508" s="666"/>
      <c r="N508" s="666"/>
      <c r="O508" s="666"/>
      <c r="P508" s="666"/>
      <c r="Q508" s="737" t="s">
        <v>785</v>
      </c>
      <c r="R508" s="737"/>
      <c r="S508" s="737"/>
      <c r="T508" s="737"/>
    </row>
    <row r="509">
      <c r="A509" s="660" t="s">
        <v>786</v>
      </c>
      <c r="B509" s="720" t="s">
        <v>787</v>
      </c>
      <c r="C509" s="743" t="s">
        <v>788</v>
      </c>
      <c r="D509" s="722" t="s">
        <v>789</v>
      </c>
      <c r="E509" s="721" t="s">
        <v>790</v>
      </c>
      <c r="F509" s="722" t="s">
        <v>791</v>
      </c>
      <c r="G509" s="662" t="s">
        <v>792</v>
      </c>
      <c r="H509" s="661" t="s">
        <v>793</v>
      </c>
      <c r="I509" s="663" t="s">
        <v>794</v>
      </c>
      <c r="J509" s="664" t="s">
        <v>795</v>
      </c>
      <c r="K509" s="665" t="s">
        <v>796</v>
      </c>
      <c r="L509" s="666" t="s">
        <v>797</v>
      </c>
      <c r="M509" s="666" t="s">
        <v>798</v>
      </c>
      <c r="N509" s="666" t="s">
        <v>799</v>
      </c>
      <c r="O509" s="723" t="s">
        <v>800</v>
      </c>
      <c r="P509" s="738" t="s">
        <v>801</v>
      </c>
      <c r="Q509" s="667" t="s">
        <v>802</v>
      </c>
      <c r="R509" s="667" t="s">
        <v>803</v>
      </c>
      <c r="S509" s="740" t="s">
        <v>804</v>
      </c>
      <c r="T509" s="667" t="s">
        <v>805</v>
      </c>
    </row>
    <row r="510">
      <c r="A510" s="668" t="s">
        <v>869</v>
      </c>
      <c r="B510" s="694" t="s">
        <v>807</v>
      </c>
      <c r="C510" s="670" t="s">
        <v>808</v>
      </c>
      <c r="D510" s="670">
        <f t="shared" ref="D510:D513" si="240">E510+F510</f>
      </c>
      <c r="E510" s="745">
        <v>8092.18</v>
      </c>
      <c r="F510" s="670">
        <v>11852.95</v>
      </c>
      <c r="G510" s="747">
        <v>61</v>
      </c>
      <c r="H510" s="670">
        <v>38478.15</v>
      </c>
      <c r="I510" s="672">
        <f t="shared" ref="I510:I531" si="152">H510/D510</f>
      </c>
      <c r="J510" s="672">
        <f t="shared" ref="J510:J531" si="122">D510/G510</f>
      </c>
      <c r="K510" s="673">
        <f t="shared" ref="K510:K531" si="91">H510/G510</f>
      </c>
      <c r="L510" s="674">
        <f t="shared" ref="L510:L531" si="60">R510/Q510</f>
      </c>
      <c r="M510" s="675">
        <f t="shared" ref="M510:M531" si="29">G510/S510</f>
      </c>
      <c r="N510" s="676">
        <f t="shared" ref="N510:N531" si="277">(T510*1000)/D510</f>
      </c>
      <c r="O510" s="677" t="s">
        <v>809</v>
      </c>
      <c r="P510" s="678" t="s">
        <v>810</v>
      </c>
      <c r="Q510" s="741">
        <v>198596</v>
      </c>
      <c r="R510" s="741">
        <v>27152</v>
      </c>
      <c r="S510" s="711">
        <v>82</v>
      </c>
      <c r="T510" s="711">
        <v>359</v>
      </c>
    </row>
    <row r="511">
      <c r="A511" s="668"/>
      <c r="B511" s="694" t="s">
        <v>807</v>
      </c>
      <c r="C511" s="696" t="s">
        <v>811</v>
      </c>
      <c r="D511" s="752">
        <f t="shared" si="240"/>
      </c>
      <c r="E511" s="727">
        <v>15963.64</v>
      </c>
      <c r="F511" s="696">
        <v>13862.89</v>
      </c>
      <c r="G511" s="671">
        <v>89</v>
      </c>
      <c r="H511" s="670">
        <v>52765.299999999996</v>
      </c>
      <c r="I511" s="672">
        <f t="shared" si="152"/>
      </c>
      <c r="J511" s="672">
        <f t="shared" si="122"/>
      </c>
      <c r="K511" s="673">
        <f t="shared" si="91"/>
      </c>
      <c r="L511" s="674">
        <f t="shared" si="60"/>
      </c>
      <c r="M511" s="675">
        <f t="shared" si="29"/>
      </c>
      <c r="N511" s="676">
        <f t="shared" si="277"/>
      </c>
      <c r="O511" s="677" t="s">
        <v>809</v>
      </c>
      <c r="P511" s="678" t="s">
        <v>810</v>
      </c>
      <c r="Q511" s="679">
        <v>263265</v>
      </c>
      <c r="R511" s="679">
        <v>35865</v>
      </c>
      <c r="S511" s="711">
        <v>123</v>
      </c>
      <c r="T511" s="711">
        <v>411</v>
      </c>
    </row>
    <row r="512">
      <c r="A512" s="668"/>
      <c r="B512" s="694" t="s">
        <v>807</v>
      </c>
      <c r="C512" s="670" t="s">
        <v>812</v>
      </c>
      <c r="D512" s="682">
        <f t="shared" si="240"/>
      </c>
      <c r="E512" s="728">
        <v>23807.27</v>
      </c>
      <c r="F512" s="670">
        <v>6653.33</v>
      </c>
      <c r="G512" s="680">
        <v>103</v>
      </c>
      <c r="H512" s="681">
        <v>58661.62999999999</v>
      </c>
      <c r="I512" s="672">
        <f t="shared" si="152"/>
      </c>
      <c r="J512" s="672">
        <f t="shared" si="122"/>
      </c>
      <c r="K512" s="673">
        <f t="shared" si="91"/>
      </c>
      <c r="L512" s="674">
        <f t="shared" si="60"/>
      </c>
      <c r="M512" s="675">
        <f t="shared" si="29"/>
      </c>
      <c r="N512" s="676">
        <f t="shared" si="277"/>
      </c>
      <c r="O512" s="677" t="s">
        <v>809</v>
      </c>
      <c r="P512" s="678" t="s">
        <v>810</v>
      </c>
      <c r="Q512" s="679">
        <v>252933</v>
      </c>
      <c r="R512" s="679">
        <v>39515</v>
      </c>
      <c r="S512" s="711">
        <v>126</v>
      </c>
      <c r="T512" s="711">
        <v>432</v>
      </c>
    </row>
    <row r="513">
      <c r="A513" s="668"/>
      <c r="B513" s="694" t="s">
        <v>807</v>
      </c>
      <c r="C513" s="670" t="s">
        <v>813</v>
      </c>
      <c r="D513" s="682">
        <f t="shared" si="240"/>
      </c>
      <c r="E513" s="728">
        <v>11389.68</v>
      </c>
      <c r="F513" s="670">
        <v>3661.43</v>
      </c>
      <c r="G513" s="712">
        <v>33</v>
      </c>
      <c r="H513" s="681">
        <f>195.38+17207.46</f>
      </c>
      <c r="I513" s="672">
        <f t="shared" si="152"/>
      </c>
      <c r="J513" s="672">
        <f t="shared" si="122"/>
      </c>
      <c r="K513" s="673">
        <f t="shared" si="91"/>
      </c>
      <c r="L513" s="674">
        <f t="shared" si="60"/>
      </c>
      <c r="M513" s="675">
        <f t="shared" si="29"/>
      </c>
      <c r="N513" s="676">
        <f t="shared" si="277"/>
      </c>
      <c r="O513" s="677" t="s">
        <v>809</v>
      </c>
      <c r="P513" s="678" t="s">
        <v>810</v>
      </c>
      <c r="Q513" s="697">
        <v>113362</v>
      </c>
      <c r="R513" s="697">
        <v>17339</v>
      </c>
      <c r="S513" s="717">
        <v>75</v>
      </c>
      <c r="T513" s="717">
        <v>211</v>
      </c>
    </row>
    <row r="514">
      <c r="A514" s="668"/>
      <c r="B514" s="730" t="s">
        <v>814</v>
      </c>
      <c r="C514" s="730"/>
      <c r="D514" s="685">
        <f>SUM(D510:D513)</f>
      </c>
      <c r="E514" s="685">
        <f>SUM(E510:E513)</f>
      </c>
      <c r="F514" s="685">
        <f>SUM(F510:F513)</f>
      </c>
      <c r="G514" s="687">
        <f>SUM(G510:G513)</f>
      </c>
      <c r="H514" s="685">
        <f>SUM(H510:H513)</f>
      </c>
      <c r="I514" s="688">
        <f t="shared" si="152"/>
      </c>
      <c r="J514" s="689">
        <f t="shared" si="122"/>
      </c>
      <c r="K514" s="690">
        <f t="shared" si="91"/>
      </c>
      <c r="L514" s="691">
        <f t="shared" si="60"/>
      </c>
      <c r="M514" s="691">
        <f t="shared" si="29"/>
      </c>
      <c r="N514" s="692">
        <f t="shared" si="277"/>
      </c>
      <c r="O514" s="692"/>
      <c r="P514" s="692"/>
      <c r="Q514" s="687">
        <f>SUM(Q510:Q513)</f>
      </c>
      <c r="R514" s="687">
        <f>SUM(R510:R513)</f>
      </c>
      <c r="S514" s="687">
        <f>SUM(S510:S513)</f>
      </c>
      <c r="T514" s="687">
        <f>SUM(T510:T513)</f>
      </c>
    </row>
    <row r="515">
      <c r="A515" s="668"/>
      <c r="B515" s="694" t="s">
        <v>861</v>
      </c>
      <c r="C515" s="670" t="s">
        <v>816</v>
      </c>
      <c r="D515" s="682">
        <f t="shared" ref="D515:D519" si="241">E515+F515</f>
      </c>
      <c r="E515" s="670">
        <v>7155.56</v>
      </c>
      <c r="F515" s="670">
        <v>2757.11</v>
      </c>
      <c r="G515" s="671">
        <v>49</v>
      </c>
      <c r="H515" s="670">
        <v>30380.670000000013</v>
      </c>
      <c r="I515" s="672">
        <f t="shared" si="152"/>
      </c>
      <c r="J515" s="672">
        <f t="shared" si="122"/>
      </c>
      <c r="K515" s="673">
        <f t="shared" si="91"/>
      </c>
      <c r="L515" s="674">
        <f t="shared" si="60"/>
      </c>
      <c r="M515" s="675">
        <f t="shared" si="29"/>
      </c>
      <c r="N515" s="676">
        <f t="shared" si="277"/>
      </c>
      <c r="O515" s="677" t="s">
        <v>809</v>
      </c>
      <c r="P515" s="678" t="s">
        <v>810</v>
      </c>
      <c r="Q515" s="697">
        <v>63962</v>
      </c>
      <c r="R515" s="697">
        <v>9594</v>
      </c>
      <c r="S515" s="717">
        <v>62</v>
      </c>
      <c r="T515" s="717">
        <v>121</v>
      </c>
    </row>
    <row r="516">
      <c r="A516" s="668"/>
      <c r="B516" s="694" t="s">
        <v>861</v>
      </c>
      <c r="C516" s="670" t="s">
        <v>817</v>
      </c>
      <c r="D516" s="682">
        <f t="shared" si="241"/>
      </c>
      <c r="E516" s="670">
        <v>14655.04</v>
      </c>
      <c r="F516" s="670">
        <v>3038.7</v>
      </c>
      <c r="G516" s="671">
        <v>73</v>
      </c>
      <c r="H516" s="670">
        <v>45648.00999999998</v>
      </c>
      <c r="I516" s="672">
        <f t="shared" si="152"/>
      </c>
      <c r="J516" s="672">
        <f t="shared" si="122"/>
      </c>
      <c r="K516" s="673">
        <f t="shared" si="91"/>
      </c>
      <c r="L516" s="674">
        <f t="shared" si="60"/>
      </c>
      <c r="M516" s="675">
        <f t="shared" si="29"/>
      </c>
      <c r="N516" s="676">
        <f t="shared" si="277"/>
      </c>
      <c r="O516" s="677" t="s">
        <v>809</v>
      </c>
      <c r="P516" s="678" t="s">
        <v>810</v>
      </c>
      <c r="Q516" s="697">
        <v>149000</v>
      </c>
      <c r="R516" s="697">
        <v>20687</v>
      </c>
      <c r="S516" s="717">
        <v>94</v>
      </c>
      <c r="T516" s="717">
        <v>239</v>
      </c>
    </row>
    <row r="517">
      <c r="A517" s="668"/>
      <c r="B517" s="694" t="s">
        <v>861</v>
      </c>
      <c r="C517" s="670" t="s">
        <v>818</v>
      </c>
      <c r="D517" s="682">
        <f t="shared" si="241"/>
      </c>
      <c r="E517" s="670">
        <v>12451.47</v>
      </c>
      <c r="F517" s="670">
        <v>7233.79</v>
      </c>
      <c r="G517" s="671">
        <v>64</v>
      </c>
      <c r="H517" s="670">
        <v>35618.96000000002</v>
      </c>
      <c r="I517" s="672">
        <f t="shared" si="152"/>
      </c>
      <c r="J517" s="672">
        <f t="shared" si="122"/>
      </c>
      <c r="K517" s="673">
        <f t="shared" si="91"/>
      </c>
      <c r="L517" s="674">
        <f t="shared" si="60"/>
      </c>
      <c r="M517" s="675">
        <f t="shared" si="29"/>
      </c>
      <c r="N517" s="676">
        <f t="shared" si="277"/>
      </c>
      <c r="O517" s="677" t="s">
        <v>809</v>
      </c>
      <c r="P517" s="678" t="s">
        <v>810</v>
      </c>
      <c r="Q517" s="697">
        <v>179860</v>
      </c>
      <c r="R517" s="697">
        <v>22689</v>
      </c>
      <c r="S517" s="717">
        <v>90</v>
      </c>
      <c r="T517" s="717">
        <v>266</v>
      </c>
    </row>
    <row customHeight="true" ht="16.666666666666668" r="518">
      <c r="A518" s="668"/>
      <c r="B518" s="694" t="s">
        <v>861</v>
      </c>
      <c r="C518" s="670" t="s">
        <v>819</v>
      </c>
      <c r="D518" s="682">
        <f t="shared" si="241"/>
      </c>
      <c r="E518" s="670">
        <v>14050.22</v>
      </c>
      <c r="F518" s="670">
        <v>6612.17</v>
      </c>
      <c r="G518" s="671">
        <v>78</v>
      </c>
      <c r="H518" s="670">
        <v>60729.110000000044</v>
      </c>
      <c r="I518" s="672">
        <f t="shared" si="152"/>
      </c>
      <c r="J518" s="672">
        <f t="shared" si="122"/>
      </c>
      <c r="K518" s="673">
        <f t="shared" si="91"/>
      </c>
      <c r="L518" s="674">
        <f t="shared" si="60"/>
      </c>
      <c r="M518" s="675">
        <f t="shared" si="29"/>
      </c>
      <c r="N518" s="676">
        <f t="shared" si="277"/>
      </c>
      <c r="O518" s="677" t="s">
        <v>809</v>
      </c>
      <c r="P518" s="678" t="s">
        <v>810</v>
      </c>
      <c r="Q518" s="697">
        <v>213095</v>
      </c>
      <c r="R518" s="697">
        <v>17941</v>
      </c>
      <c r="S518" s="717">
        <v>115</v>
      </c>
      <c r="T518" s="717">
        <v>316</v>
      </c>
    </row>
    <row r="519">
      <c r="A519" s="668"/>
      <c r="B519" s="694" t="s">
        <v>861</v>
      </c>
      <c r="C519" s="670" t="s">
        <v>830</v>
      </c>
      <c r="D519" s="682">
        <f t="shared" si="241"/>
      </c>
      <c r="E519" s="670">
        <v>10357.44</v>
      </c>
      <c r="F519" s="670">
        <v>9244.07</v>
      </c>
      <c r="G519" s="671">
        <v>85</v>
      </c>
      <c r="H519" s="670">
        <v>56788.57999999996</v>
      </c>
      <c r="I519" s="672">
        <f t="shared" si="152"/>
      </c>
      <c r="J519" s="672">
        <f t="shared" si="122"/>
      </c>
      <c r="K519" s="673">
        <f t="shared" si="91"/>
      </c>
      <c r="L519" s="674">
        <f t="shared" si="60"/>
      </c>
      <c r="M519" s="675">
        <f t="shared" si="29"/>
      </c>
      <c r="N519" s="676">
        <f t="shared" si="277"/>
      </c>
      <c r="O519" s="677" t="s">
        <v>809</v>
      </c>
      <c r="P519" s="678" t="s">
        <v>810</v>
      </c>
      <c r="Q519" s="697">
        <v>241895</v>
      </c>
      <c r="R519" s="697">
        <v>18294</v>
      </c>
      <c r="S519" s="717">
        <v>111</v>
      </c>
      <c r="T519" s="717">
        <v>291</v>
      </c>
    </row>
    <row r="520">
      <c r="A520" s="668"/>
      <c r="B520" s="684" t="s">
        <v>814</v>
      </c>
      <c r="C520" s="684"/>
      <c r="D520" s="685">
        <f>SUM(D515:D519)</f>
      </c>
      <c r="E520" s="685">
        <f>SUM(E515:E519)</f>
      </c>
      <c r="F520" s="685">
        <f>SUM(F515:F519)</f>
      </c>
      <c r="G520" s="687">
        <f>SUM(G515:G519)</f>
      </c>
      <c r="H520" s="685">
        <f>SUM(H515:H519)</f>
      </c>
      <c r="I520" s="699">
        <f t="shared" si="152"/>
      </c>
      <c r="J520" s="689">
        <f t="shared" si="122"/>
      </c>
      <c r="K520" s="690">
        <f t="shared" si="91"/>
      </c>
      <c r="L520" s="691">
        <f t="shared" si="60"/>
      </c>
      <c r="M520" s="691">
        <f t="shared" si="29"/>
      </c>
      <c r="N520" s="692">
        <f t="shared" si="277"/>
      </c>
      <c r="O520" s="692"/>
      <c r="P520" s="692"/>
      <c r="Q520" s="687">
        <f>SUM(Q515:Q519)</f>
      </c>
      <c r="R520" s="687">
        <f>SUM(R515:R519)</f>
      </c>
      <c r="S520" s="687">
        <f>SUM(S515:S519)</f>
      </c>
      <c r="T520" s="687">
        <f>SUM(T515:T519)</f>
      </c>
    </row>
    <row r="521">
      <c r="A521" s="668"/>
      <c r="B521" s="694" t="s">
        <v>815</v>
      </c>
      <c r="C521" s="670" t="s">
        <v>831</v>
      </c>
      <c r="D521" s="682">
        <f t="shared" ref="D521:D524" si="242">E521+F521</f>
      </c>
      <c r="E521" s="670">
        <v>10397.2</v>
      </c>
      <c r="F521" s="670">
        <v>10735.31</v>
      </c>
      <c r="G521" s="671">
        <v>54</v>
      </c>
      <c r="H521" s="670">
        <v>39896.71000000002</v>
      </c>
      <c r="I521" s="672">
        <f t="shared" si="152"/>
      </c>
      <c r="J521" s="672">
        <f t="shared" si="122"/>
      </c>
      <c r="K521" s="673">
        <f t="shared" si="91"/>
      </c>
      <c r="L521" s="674">
        <f t="shared" si="60"/>
      </c>
      <c r="M521" s="675">
        <f t="shared" si="29"/>
      </c>
      <c r="N521" s="676">
        <f t="shared" si="277"/>
      </c>
      <c r="O521" s="677" t="s">
        <v>809</v>
      </c>
      <c r="P521" s="678" t="s">
        <v>810</v>
      </c>
      <c r="Q521" s="697">
        <v>305873</v>
      </c>
      <c r="R521" s="697">
        <v>22272</v>
      </c>
      <c r="S521" s="717">
        <v>66</v>
      </c>
      <c r="T521" s="717">
        <v>161</v>
      </c>
    </row>
    <row r="522">
      <c r="A522" s="668"/>
      <c r="B522" s="694" t="s">
        <v>815</v>
      </c>
      <c r="C522" s="670" t="s">
        <v>832</v>
      </c>
      <c r="D522" s="682">
        <f t="shared" si="242"/>
      </c>
      <c r="E522" s="670">
        <v>7765.42</v>
      </c>
      <c r="F522" s="670">
        <v>6573.89</v>
      </c>
      <c r="G522" s="709">
        <v>54</v>
      </c>
      <c r="H522" s="670">
        <v>39356.67999999997</v>
      </c>
      <c r="I522" s="672">
        <f t="shared" si="152"/>
      </c>
      <c r="J522" s="672">
        <f t="shared" si="122"/>
      </c>
      <c r="K522" s="673">
        <f t="shared" si="91"/>
      </c>
      <c r="L522" s="674">
        <f t="shared" si="60"/>
      </c>
      <c r="M522" s="675">
        <f t="shared" si="29"/>
      </c>
      <c r="N522" s="676">
        <f t="shared" si="277"/>
      </c>
      <c r="O522" s="677" t="s">
        <v>809</v>
      </c>
      <c r="P522" s="678" t="s">
        <v>827</v>
      </c>
      <c r="Q522" s="697">
        <v>203857</v>
      </c>
      <c r="R522" s="697">
        <v>14131</v>
      </c>
      <c r="S522" s="717">
        <v>77</v>
      </c>
      <c r="T522" s="717">
        <v>240</v>
      </c>
    </row>
    <row r="523">
      <c r="A523" s="668"/>
      <c r="B523" s="694" t="s">
        <v>815</v>
      </c>
      <c r="C523" s="670" t="s">
        <v>833</v>
      </c>
      <c r="D523" s="682">
        <f t="shared" si="242"/>
      </c>
      <c r="E523" s="670">
        <v>7440.22</v>
      </c>
      <c r="F523" s="670">
        <v>6289.53</v>
      </c>
      <c r="G523" s="671">
        <v>36</v>
      </c>
      <c r="H523" s="670">
        <v>23106.780000000028</v>
      </c>
      <c r="I523" s="672">
        <f t="shared" si="152"/>
      </c>
      <c r="J523" s="672">
        <f t="shared" si="122"/>
      </c>
      <c r="K523" s="673">
        <f t="shared" si="91"/>
      </c>
      <c r="L523" s="674">
        <f t="shared" si="60"/>
      </c>
      <c r="M523" s="675">
        <f t="shared" si="29"/>
      </c>
      <c r="N523" s="676">
        <f t="shared" si="277"/>
      </c>
      <c r="O523" s="677" t="s">
        <v>809</v>
      </c>
      <c r="P523" s="678" t="s">
        <v>827</v>
      </c>
      <c r="Q523" s="697">
        <v>200816</v>
      </c>
      <c r="R523" s="697">
        <v>14225</v>
      </c>
      <c r="S523" s="717">
        <v>64</v>
      </c>
      <c r="T523" s="717">
        <v>177</v>
      </c>
    </row>
    <row r="524">
      <c r="A524" s="668"/>
      <c r="B524" s="694" t="s">
        <v>815</v>
      </c>
      <c r="C524" s="670" t="s">
        <v>845</v>
      </c>
      <c r="D524" s="682">
        <f t="shared" si="242"/>
      </c>
      <c r="E524" s="670">
        <v>5978.87</v>
      </c>
      <c r="F524" s="670">
        <v>4857.37</v>
      </c>
      <c r="G524" s="671">
        <v>32</v>
      </c>
      <c r="H524" s="670">
        <v>21359.28999999998</v>
      </c>
      <c r="I524" s="672">
        <f t="shared" si="152"/>
      </c>
      <c r="J524" s="672">
        <f t="shared" si="122"/>
      </c>
      <c r="K524" s="673">
        <f t="shared" si="91"/>
      </c>
      <c r="L524" s="674">
        <f t="shared" si="60"/>
      </c>
      <c r="M524" s="675">
        <f t="shared" si="29"/>
      </c>
      <c r="N524" s="676">
        <f t="shared" si="277"/>
      </c>
      <c r="O524" s="677" t="s">
        <v>809</v>
      </c>
      <c r="P524" s="678" t="s">
        <v>827</v>
      </c>
      <c r="Q524" s="697">
        <v>148155</v>
      </c>
      <c r="R524" s="697">
        <v>11706</v>
      </c>
      <c r="S524" s="717">
        <v>49</v>
      </c>
      <c r="T524" s="717">
        <v>142</v>
      </c>
    </row>
    <row r="525">
      <c r="A525" s="668"/>
      <c r="B525" s="684" t="s">
        <v>814</v>
      </c>
      <c r="C525" s="684"/>
      <c r="D525" s="685">
        <f>SUM(D521:D524)</f>
      </c>
      <c r="E525" s="685">
        <f>SUM(E521:E524)</f>
      </c>
      <c r="F525" s="685">
        <f>SUM(F521:F524)</f>
      </c>
      <c r="G525" s="687">
        <f>SUM(G521:G524)</f>
      </c>
      <c r="H525" s="685">
        <f>SUM(H521:H524)</f>
      </c>
      <c r="I525" s="699">
        <f t="shared" si="152"/>
      </c>
      <c r="J525" s="689">
        <f t="shared" si="122"/>
      </c>
      <c r="K525" s="690">
        <f t="shared" si="91"/>
      </c>
      <c r="L525" s="691">
        <f t="shared" si="60"/>
      </c>
      <c r="M525" s="691">
        <f t="shared" si="29"/>
      </c>
      <c r="N525" s="692">
        <f t="shared" si="277"/>
      </c>
      <c r="O525" s="692"/>
      <c r="P525" s="692"/>
      <c r="Q525" s="687">
        <f>SUM(Q521:Q524)</f>
      </c>
      <c r="R525" s="687">
        <f>SUM(R521:R524)</f>
      </c>
      <c r="S525" s="687">
        <f>SUM(S521:S524)</f>
      </c>
      <c r="T525" s="687">
        <f>SUM(T521:T524)</f>
      </c>
    </row>
    <row r="526">
      <c r="A526" s="668"/>
      <c r="B526" s="694" t="s">
        <v>841</v>
      </c>
      <c r="C526" s="670" t="s">
        <v>821</v>
      </c>
      <c r="D526" s="682">
        <f t="shared" ref="D526:D529" si="243">E526+F526</f>
      </c>
      <c r="E526" s="670">
        <v>5251.05</v>
      </c>
      <c r="F526" s="670">
        <v>6010.75</v>
      </c>
      <c r="G526" s="671">
        <v>38</v>
      </c>
      <c r="H526" s="670">
        <v>26401.19000000006</v>
      </c>
      <c r="I526" s="672">
        <f t="shared" si="152"/>
      </c>
      <c r="J526" s="672">
        <f t="shared" si="122"/>
      </c>
      <c r="K526" s="673">
        <f t="shared" si="91"/>
      </c>
      <c r="L526" s="674">
        <f t="shared" si="60"/>
      </c>
      <c r="M526" s="675">
        <f t="shared" si="29"/>
      </c>
      <c r="N526" s="676">
        <f t="shared" si="277"/>
      </c>
      <c r="O526" s="677" t="s">
        <v>809</v>
      </c>
      <c r="P526" s="678" t="s">
        <v>827</v>
      </c>
      <c r="Q526" s="697">
        <v>129303</v>
      </c>
      <c r="R526" s="697">
        <v>10761</v>
      </c>
      <c r="S526" s="717">
        <v>58</v>
      </c>
      <c r="T526" s="717">
        <v>145</v>
      </c>
    </row>
    <row r="527">
      <c r="A527" s="668"/>
      <c r="B527" s="694" t="s">
        <v>841</v>
      </c>
      <c r="C527" s="670" t="s">
        <v>823</v>
      </c>
      <c r="D527" s="682">
        <f t="shared" si="243"/>
      </c>
      <c r="E527" s="670">
        <v>5193.4</v>
      </c>
      <c r="F527" s="670">
        <v>5745.82</v>
      </c>
      <c r="G527" s="671">
        <v>30</v>
      </c>
      <c r="H527" s="670">
        <v>19731.05999999994</v>
      </c>
      <c r="I527" s="672">
        <f t="shared" si="152"/>
      </c>
      <c r="J527" s="672">
        <f t="shared" si="122"/>
      </c>
      <c r="K527" s="673">
        <f t="shared" si="91"/>
      </c>
      <c r="L527" s="674">
        <f t="shared" si="60"/>
      </c>
      <c r="M527" s="675">
        <f t="shared" si="29"/>
      </c>
      <c r="N527" s="676">
        <f t="shared" si="277"/>
      </c>
      <c r="O527" s="677" t="s">
        <v>809</v>
      </c>
      <c r="P527" s="678" t="s">
        <v>827</v>
      </c>
      <c r="Q527" s="697">
        <v>97061</v>
      </c>
      <c r="R527" s="697">
        <v>9749</v>
      </c>
      <c r="S527" s="717">
        <v>41</v>
      </c>
      <c r="T527" s="717">
        <v>98</v>
      </c>
    </row>
    <row r="528">
      <c r="A528" s="668"/>
      <c r="B528" s="694" t="s">
        <v>841</v>
      </c>
      <c r="C528" s="670" t="s">
        <v>824</v>
      </c>
      <c r="D528" s="682">
        <f t="shared" si="243"/>
      </c>
      <c r="E528" s="670">
        <v>5711.45</v>
      </c>
      <c r="F528" s="670">
        <v>5290.16</v>
      </c>
      <c r="G528" s="671">
        <v>27</v>
      </c>
      <c r="H528" s="670">
        <v>14401.839999999967</v>
      </c>
      <c r="I528" s="672">
        <f t="shared" si="152"/>
      </c>
      <c r="J528" s="672">
        <f t="shared" si="122"/>
      </c>
      <c r="K528" s="673">
        <f t="shared" si="91"/>
      </c>
      <c r="L528" s="674">
        <f t="shared" si="60"/>
      </c>
      <c r="M528" s="675">
        <f t="shared" si="29"/>
      </c>
      <c r="N528" s="676">
        <f t="shared" si="277"/>
      </c>
      <c r="O528" s="677" t="s">
        <v>809</v>
      </c>
      <c r="P528" s="678" t="s">
        <v>827</v>
      </c>
      <c r="Q528" s="697">
        <v>96328</v>
      </c>
      <c r="R528" s="697">
        <v>9566</v>
      </c>
      <c r="S528" s="717">
        <v>43</v>
      </c>
      <c r="T528" s="717">
        <v>96</v>
      </c>
    </row>
    <row customHeight="true" ht="18.452380952380953" r="529">
      <c r="A529" s="668"/>
      <c r="B529" s="694" t="s">
        <v>841</v>
      </c>
      <c r="C529" s="698" t="s">
        <v>864</v>
      </c>
      <c r="D529" s="682">
        <f t="shared" si="243"/>
      </c>
      <c r="E529" s="670">
        <v>5618.15</v>
      </c>
      <c r="F529" s="670">
        <v>4689.610000000001</v>
      </c>
      <c r="G529" s="671">
        <v>33</v>
      </c>
      <c r="H529" s="670">
        <v>22329.51000000001</v>
      </c>
      <c r="I529" s="672">
        <f t="shared" si="152"/>
      </c>
      <c r="J529" s="672">
        <f t="shared" si="122"/>
      </c>
      <c r="K529" s="673">
        <f t="shared" si="91"/>
      </c>
      <c r="L529" s="674">
        <f t="shared" si="60"/>
      </c>
      <c r="M529" s="675">
        <f t="shared" si="29"/>
      </c>
      <c r="N529" s="676">
        <f t="shared" si="277"/>
      </c>
      <c r="O529" s="677" t="s">
        <v>809</v>
      </c>
      <c r="P529" s="678" t="s">
        <v>827</v>
      </c>
      <c r="Q529" s="697">
        <v>112126</v>
      </c>
      <c r="R529" s="697">
        <v>8200</v>
      </c>
      <c r="S529" s="717">
        <v>41</v>
      </c>
      <c r="T529" s="717">
        <v>87</v>
      </c>
    </row>
    <row r="530">
      <c r="A530" s="668"/>
      <c r="B530" s="684" t="s">
        <v>814</v>
      </c>
      <c r="C530" s="684"/>
      <c r="D530" s="685">
        <f>SUM(D526:D529)</f>
      </c>
      <c r="E530" s="685">
        <f>SUM(E526:E529)</f>
      </c>
      <c r="F530" s="685">
        <f>SUM(F526:F529)</f>
      </c>
      <c r="G530" s="687">
        <f>SUM(G526:G529)</f>
      </c>
      <c r="H530" s="685">
        <f>SUM(H526:H529)</f>
      </c>
      <c r="I530" s="689">
        <f t="shared" si="152"/>
      </c>
      <c r="J530" s="692">
        <f t="shared" si="122"/>
      </c>
      <c r="K530" s="692">
        <f t="shared" si="91"/>
      </c>
      <c r="L530" s="692">
        <f t="shared" si="60"/>
      </c>
      <c r="M530" s="691">
        <f t="shared" si="29"/>
      </c>
      <c r="N530" s="692">
        <f t="shared" si="277"/>
      </c>
      <c r="O530" s="692"/>
      <c r="P530" s="692"/>
      <c r="Q530" s="687">
        <f>SUM(Q526:Q529)</f>
      </c>
      <c r="R530" s="687">
        <f>SUM(R526:R529)</f>
      </c>
      <c r="S530" s="687">
        <f>SUM(S526:S529)</f>
      </c>
      <c r="T530" s="687">
        <f>SUM(T526:T529)</f>
      </c>
    </row>
    <row r="531">
      <c r="A531" s="668"/>
      <c r="B531" s="700" t="s">
        <v>825</v>
      </c>
      <c r="C531" s="700"/>
      <c r="D531" s="701">
        <f>D514+D520+D525+D530</f>
      </c>
      <c r="E531" s="701">
        <f>E514+E520+E525+E530</f>
      </c>
      <c r="F531" s="701">
        <f>F514+F520+F525+F530</f>
      </c>
      <c r="G531" s="702">
        <f>G514+G520+G525+G530</f>
      </c>
      <c r="H531" s="701">
        <f>H514+H520+H525+H530</f>
      </c>
      <c r="I531" s="703">
        <f t="shared" si="152"/>
      </c>
      <c r="J531" s="703">
        <f t="shared" si="122"/>
      </c>
      <c r="K531" s="704">
        <f t="shared" si="91"/>
      </c>
      <c r="L531" s="705">
        <f t="shared" si="60"/>
      </c>
      <c r="M531" s="705">
        <f t="shared" si="29"/>
      </c>
      <c r="N531" s="703">
        <f t="shared" si="277"/>
      </c>
      <c r="O531" s="706"/>
      <c r="P531" s="706"/>
      <c r="Q531" s="702">
        <f>Q514+Q520+Q525+Q530</f>
      </c>
      <c r="R531" s="702">
        <f>R514+R520+R525+R530</f>
      </c>
      <c r="S531" s="702">
        <f>S514+S520+S525+S530</f>
      </c>
      <c r="T531" s="702">
        <f>T514+T520+T525+T530</f>
      </c>
    </row>
    <row r="532">
      <c r="A532" s="655" t="s">
        <v>782</v>
      </c>
      <c r="B532" s="655"/>
      <c r="C532" s="655"/>
      <c r="D532" s="656" t="s">
        <v>783</v>
      </c>
      <c r="E532" s="656"/>
      <c r="F532" s="656"/>
      <c r="G532" s="656"/>
      <c r="H532" s="656"/>
      <c r="I532" s="656"/>
      <c r="J532" s="656"/>
      <c r="K532" s="656"/>
      <c r="L532" s="666" t="s">
        <v>784</v>
      </c>
      <c r="M532" s="666"/>
      <c r="N532" s="666"/>
      <c r="O532" s="666"/>
      <c r="P532" s="666"/>
      <c r="Q532" s="737" t="s">
        <v>785</v>
      </c>
      <c r="R532" s="737"/>
      <c r="S532" s="737"/>
      <c r="T532" s="737"/>
    </row>
    <row r="533">
      <c r="A533" s="660" t="s">
        <v>786</v>
      </c>
      <c r="B533" s="720" t="s">
        <v>787</v>
      </c>
      <c r="C533" s="743" t="s">
        <v>788</v>
      </c>
      <c r="D533" s="722" t="s">
        <v>789</v>
      </c>
      <c r="E533" s="721" t="s">
        <v>790</v>
      </c>
      <c r="F533" s="722" t="s">
        <v>791</v>
      </c>
      <c r="G533" s="662" t="s">
        <v>792</v>
      </c>
      <c r="H533" s="661" t="s">
        <v>793</v>
      </c>
      <c r="I533" s="663" t="s">
        <v>794</v>
      </c>
      <c r="J533" s="664" t="s">
        <v>795</v>
      </c>
      <c r="K533" s="665" t="s">
        <v>796</v>
      </c>
      <c r="L533" s="666" t="s">
        <v>797</v>
      </c>
      <c r="M533" s="666" t="s">
        <v>798</v>
      </c>
      <c r="N533" s="666" t="s">
        <v>799</v>
      </c>
      <c r="O533" s="723" t="s">
        <v>800</v>
      </c>
      <c r="P533" s="738" t="s">
        <v>801</v>
      </c>
      <c r="Q533" s="667" t="s">
        <v>802</v>
      </c>
      <c r="R533" s="667" t="s">
        <v>803</v>
      </c>
      <c r="S533" s="740" t="s">
        <v>804</v>
      </c>
      <c r="T533" s="667" t="s">
        <v>805</v>
      </c>
    </row>
    <row r="534">
      <c r="A534" s="708" t="s">
        <v>870</v>
      </c>
      <c r="B534" s="694" t="s">
        <v>861</v>
      </c>
      <c r="C534" s="670" t="s">
        <v>808</v>
      </c>
      <c r="D534" s="670">
        <f t="shared" ref="D534:D537" si="244">E534+F534</f>
      </c>
      <c r="E534" s="745">
        <v>3984.17</v>
      </c>
      <c r="F534" s="670">
        <v>6172.88</v>
      </c>
      <c r="G534" s="747">
        <v>40</v>
      </c>
      <c r="H534" s="670">
        <v>23149.6</v>
      </c>
      <c r="I534" s="672">
        <f t="shared" ref="I534:I555" si="153">H534/D534</f>
      </c>
      <c r="J534" s="672">
        <f t="shared" ref="J534:J555" si="123">D534/G534</f>
      </c>
      <c r="K534" s="673">
        <f t="shared" ref="K534:K555" si="92">H534/G534</f>
      </c>
      <c r="L534" s="674">
        <f t="shared" ref="L534:L555" si="61">R534/Q534</f>
      </c>
      <c r="M534" s="675">
        <f t="shared" ref="M534:M555" si="30">G534/S534</f>
      </c>
      <c r="N534" s="676">
        <f t="shared" ref="N534:N555" si="278">(T534*1000)/D534</f>
      </c>
      <c r="O534" s="677" t="s">
        <v>809</v>
      </c>
      <c r="P534" s="678" t="s">
        <v>810</v>
      </c>
      <c r="Q534" s="741">
        <v>98577</v>
      </c>
      <c r="R534" s="741">
        <v>11463</v>
      </c>
      <c r="S534" s="711">
        <v>53</v>
      </c>
      <c r="T534" s="711">
        <v>180</v>
      </c>
    </row>
    <row r="535">
      <c r="A535" s="708"/>
      <c r="B535" s="694" t="s">
        <v>861</v>
      </c>
      <c r="C535" s="696" t="s">
        <v>811</v>
      </c>
      <c r="D535" s="752">
        <f t="shared" si="244"/>
      </c>
      <c r="E535" s="727">
        <v>8160.74</v>
      </c>
      <c r="F535" s="696">
        <v>8794.02</v>
      </c>
      <c r="G535" s="671">
        <v>62</v>
      </c>
      <c r="H535" s="670">
        <v>41814.71</v>
      </c>
      <c r="I535" s="672">
        <f t="shared" si="153"/>
      </c>
      <c r="J535" s="672">
        <f t="shared" si="123"/>
      </c>
      <c r="K535" s="673">
        <f t="shared" si="92"/>
      </c>
      <c r="L535" s="674">
        <f t="shared" si="61"/>
      </c>
      <c r="M535" s="675">
        <f t="shared" si="30"/>
      </c>
      <c r="N535" s="676">
        <f t="shared" si="278"/>
      </c>
      <c r="O535" s="677" t="s">
        <v>809</v>
      </c>
      <c r="P535" s="678" t="s">
        <v>810</v>
      </c>
      <c r="Q535" s="679">
        <v>177279</v>
      </c>
      <c r="R535" s="679">
        <v>21317</v>
      </c>
      <c r="S535" s="711">
        <v>79</v>
      </c>
      <c r="T535" s="711">
        <v>253</v>
      </c>
    </row>
    <row r="536">
      <c r="A536" s="708"/>
      <c r="B536" s="694" t="s">
        <v>861</v>
      </c>
      <c r="C536" s="670" t="s">
        <v>812</v>
      </c>
      <c r="D536" s="682">
        <f t="shared" si="244"/>
      </c>
      <c r="E536" s="728">
        <v>7827.04</v>
      </c>
      <c r="F536" s="670">
        <v>5210.69</v>
      </c>
      <c r="G536" s="680">
        <v>44</v>
      </c>
      <c r="H536" s="681">
        <v>29692.530000000013</v>
      </c>
      <c r="I536" s="672">
        <f t="shared" si="153"/>
      </c>
      <c r="J536" s="672">
        <f t="shared" si="123"/>
      </c>
      <c r="K536" s="673">
        <f t="shared" si="92"/>
      </c>
      <c r="L536" s="674">
        <f t="shared" si="61"/>
      </c>
      <c r="M536" s="675">
        <f t="shared" si="30"/>
      </c>
      <c r="N536" s="676">
        <f t="shared" si="278"/>
      </c>
      <c r="O536" s="677" t="s">
        <v>809</v>
      </c>
      <c r="P536" s="678" t="s">
        <v>810</v>
      </c>
      <c r="Q536" s="679">
        <v>182091</v>
      </c>
      <c r="R536" s="679">
        <v>14922</v>
      </c>
      <c r="S536" s="711">
        <v>66</v>
      </c>
      <c r="T536" s="711">
        <v>301</v>
      </c>
    </row>
    <row r="537">
      <c r="A537" s="708"/>
      <c r="B537" s="694" t="s">
        <v>861</v>
      </c>
      <c r="C537" s="670" t="s">
        <v>813</v>
      </c>
      <c r="D537" s="682">
        <f t="shared" si="244"/>
      </c>
      <c r="E537" s="728">
        <v>17150.69</v>
      </c>
      <c r="F537" s="670">
        <v>4617.38</v>
      </c>
      <c r="G537" s="712">
        <v>95</v>
      </c>
      <c r="H537" s="681">
        <v>57555.14999999998</v>
      </c>
      <c r="I537" s="672">
        <f t="shared" si="153"/>
      </c>
      <c r="J537" s="672">
        <f t="shared" si="123"/>
      </c>
      <c r="K537" s="673">
        <f t="shared" si="92"/>
      </c>
      <c r="L537" s="674">
        <f t="shared" si="61"/>
      </c>
      <c r="M537" s="675">
        <f t="shared" si="30"/>
      </c>
      <c r="N537" s="676">
        <f t="shared" si="278"/>
      </c>
      <c r="O537" s="677" t="s">
        <v>809</v>
      </c>
      <c r="P537" s="678" t="s">
        <v>810</v>
      </c>
      <c r="Q537" s="697">
        <v>231656</v>
      </c>
      <c r="R537" s="697">
        <v>23625</v>
      </c>
      <c r="S537" s="717">
        <v>102</v>
      </c>
      <c r="T537" s="717">
        <v>211</v>
      </c>
    </row>
    <row r="538">
      <c r="A538" s="708"/>
      <c r="B538" s="730" t="s">
        <v>814</v>
      </c>
      <c r="C538" s="730"/>
      <c r="D538" s="685">
        <f>SUM(D534:D537)</f>
      </c>
      <c r="E538" s="685">
        <f>SUM(E534:E537)</f>
      </c>
      <c r="F538" s="685">
        <f>SUM(F534:F537)</f>
      </c>
      <c r="G538" s="687">
        <f>SUM(G534:G537)</f>
      </c>
      <c r="H538" s="685">
        <f>SUM(H534:H537)</f>
      </c>
      <c r="I538" s="688">
        <f t="shared" si="153"/>
      </c>
      <c r="J538" s="689">
        <f t="shared" si="123"/>
      </c>
      <c r="K538" s="690">
        <f t="shared" si="92"/>
      </c>
      <c r="L538" s="691">
        <f t="shared" si="61"/>
      </c>
      <c r="M538" s="691">
        <f t="shared" si="30"/>
      </c>
      <c r="N538" s="692">
        <f t="shared" si="278"/>
      </c>
      <c r="O538" s="692"/>
      <c r="P538" s="692"/>
      <c r="Q538" s="687">
        <f>SUM(Q534:Q537)</f>
      </c>
      <c r="R538" s="687">
        <f>SUM(R534:R537)</f>
      </c>
      <c r="S538" s="687">
        <f>SUM(S534:S537)</f>
      </c>
      <c r="T538" s="687">
        <f>SUM(T534:T537)</f>
      </c>
    </row>
    <row r="539">
      <c r="A539" s="708"/>
      <c r="B539" s="694" t="s">
        <v>815</v>
      </c>
      <c r="C539" s="670" t="s">
        <v>816</v>
      </c>
      <c r="D539" s="682">
        <f t="shared" ref="D539:D542" si="245">E539+F539</f>
      </c>
      <c r="E539" s="670">
        <v>8361.85</v>
      </c>
      <c r="F539" s="670">
        <v>4046.15</v>
      </c>
      <c r="G539" s="671">
        <v>30</v>
      </c>
      <c r="H539" s="670">
        <v>18691.080000000016</v>
      </c>
      <c r="I539" s="672">
        <f t="shared" si="153"/>
      </c>
      <c r="J539" s="672">
        <f t="shared" si="123"/>
      </c>
      <c r="K539" s="673">
        <f t="shared" si="92"/>
      </c>
      <c r="L539" s="674">
        <f t="shared" si="61"/>
      </c>
      <c r="M539" s="675">
        <f t="shared" si="30"/>
      </c>
      <c r="N539" s="676">
        <f t="shared" si="278"/>
      </c>
      <c r="O539" s="677" t="s">
        <v>809</v>
      </c>
      <c r="P539" s="678" t="s">
        <v>810</v>
      </c>
      <c r="Q539" s="697">
        <v>146583</v>
      </c>
      <c r="R539" s="697">
        <v>11439</v>
      </c>
      <c r="S539" s="717">
        <v>54</v>
      </c>
      <c r="T539" s="717">
        <v>110</v>
      </c>
    </row>
    <row r="540">
      <c r="A540" s="708"/>
      <c r="B540" s="694" t="s">
        <v>815</v>
      </c>
      <c r="C540" s="670" t="s">
        <v>817</v>
      </c>
      <c r="D540" s="682">
        <f t="shared" si="245"/>
      </c>
      <c r="E540" s="670">
        <v>4848.29</v>
      </c>
      <c r="F540" s="670">
        <v>4225.72</v>
      </c>
      <c r="G540" s="671">
        <v>48</v>
      </c>
      <c r="H540" s="670">
        <v>31896.059999999998</v>
      </c>
      <c r="I540" s="672">
        <f t="shared" si="153"/>
      </c>
      <c r="J540" s="672">
        <f t="shared" si="123"/>
      </c>
      <c r="K540" s="673">
        <f t="shared" si="92"/>
      </c>
      <c r="L540" s="674">
        <f t="shared" si="61"/>
      </c>
      <c r="M540" s="675">
        <f t="shared" si="30"/>
      </c>
      <c r="N540" s="676">
        <f t="shared" si="278"/>
      </c>
      <c r="O540" s="677" t="s">
        <v>809</v>
      </c>
      <c r="P540" s="678" t="s">
        <v>810</v>
      </c>
      <c r="Q540" s="697">
        <v>109285</v>
      </c>
      <c r="R540" s="697">
        <v>7830</v>
      </c>
      <c r="S540" s="717">
        <v>59</v>
      </c>
      <c r="T540" s="717">
        <v>134</v>
      </c>
    </row>
    <row r="541">
      <c r="A541" s="708"/>
      <c r="B541" s="694" t="s">
        <v>815</v>
      </c>
      <c r="C541" s="670" t="s">
        <v>818</v>
      </c>
      <c r="D541" s="682">
        <f t="shared" si="245"/>
      </c>
      <c r="E541" s="670">
        <v>6679.49</v>
      </c>
      <c r="F541" s="670">
        <v>12151</v>
      </c>
      <c r="G541" s="671">
        <v>60</v>
      </c>
      <c r="H541" s="670">
        <v>42229.44999999998</v>
      </c>
      <c r="I541" s="672">
        <f t="shared" si="153"/>
      </c>
      <c r="J541" s="672">
        <f t="shared" si="123"/>
      </c>
      <c r="K541" s="673">
        <f t="shared" si="92"/>
      </c>
      <c r="L541" s="674">
        <f t="shared" si="61"/>
      </c>
      <c r="M541" s="675">
        <f t="shared" si="30"/>
      </c>
      <c r="N541" s="676">
        <f t="shared" si="278"/>
      </c>
      <c r="O541" s="677" t="s">
        <v>809</v>
      </c>
      <c r="P541" s="678" t="s">
        <v>810</v>
      </c>
      <c r="Q541" s="697">
        <v>239876</v>
      </c>
      <c r="R541" s="697">
        <v>15399</v>
      </c>
      <c r="S541" s="717">
        <v>81</v>
      </c>
      <c r="T541" s="717">
        <v>197</v>
      </c>
    </row>
    <row r="542">
      <c r="A542" s="708"/>
      <c r="B542" s="694" t="s">
        <v>815</v>
      </c>
      <c r="C542" s="670" t="s">
        <v>819</v>
      </c>
      <c r="D542" s="682">
        <f t="shared" si="245"/>
      </c>
      <c r="E542" s="670">
        <v>8810.25</v>
      </c>
      <c r="F542" s="670">
        <v>12384.18</v>
      </c>
      <c r="G542" s="671">
        <v>65</v>
      </c>
      <c r="H542" s="670">
        <v>48353.639999999985</v>
      </c>
      <c r="I542" s="672">
        <f t="shared" si="153"/>
      </c>
      <c r="J542" s="672">
        <f t="shared" si="123"/>
      </c>
      <c r="K542" s="673">
        <f t="shared" si="92"/>
      </c>
      <c r="L542" s="674">
        <f t="shared" si="61"/>
      </c>
      <c r="M542" s="675">
        <f t="shared" si="30"/>
      </c>
      <c r="N542" s="676">
        <f t="shared" si="278"/>
      </c>
      <c r="O542" s="677" t="s">
        <v>809</v>
      </c>
      <c r="P542" s="678" t="s">
        <v>810</v>
      </c>
      <c r="Q542" s="697">
        <v>227758</v>
      </c>
      <c r="R542" s="697">
        <v>20965</v>
      </c>
      <c r="S542" s="717">
        <v>92</v>
      </c>
      <c r="T542" s="717">
        <v>217</v>
      </c>
    </row>
    <row r="543">
      <c r="A543" s="708"/>
      <c r="B543" s="684" t="s">
        <v>814</v>
      </c>
      <c r="C543" s="684"/>
      <c r="D543" s="685">
        <f>SUM(D539:D542)</f>
      </c>
      <c r="E543" s="685">
        <f>SUM(E539:E542)</f>
      </c>
      <c r="F543" s="685">
        <f>SUM(F539:F542)</f>
      </c>
      <c r="G543" s="687">
        <f>SUM(G539:G542)</f>
      </c>
      <c r="H543" s="685">
        <f>SUM(H539:H542)</f>
      </c>
      <c r="I543" s="699">
        <f t="shared" si="153"/>
      </c>
      <c r="J543" s="689">
        <f t="shared" si="123"/>
      </c>
      <c r="K543" s="690">
        <f t="shared" si="92"/>
      </c>
      <c r="L543" s="691">
        <f t="shared" si="61"/>
      </c>
      <c r="M543" s="691">
        <f t="shared" si="30"/>
      </c>
      <c r="N543" s="692">
        <f t="shared" si="278"/>
      </c>
      <c r="O543" s="692"/>
      <c r="P543" s="692"/>
      <c r="Q543" s="687">
        <f>SUM(Q539:Q542)</f>
      </c>
      <c r="R543" s="687">
        <f>SUM(R539:R542)</f>
      </c>
      <c r="S543" s="687">
        <f>SUM(S539:S542)</f>
      </c>
      <c r="T543" s="687">
        <f>SUM(T539:T542)</f>
      </c>
    </row>
    <row r="544">
      <c r="A544" s="708"/>
      <c r="B544" s="694" t="s">
        <v>841</v>
      </c>
      <c r="C544" s="670" t="s">
        <v>830</v>
      </c>
      <c r="D544" s="682">
        <f t="shared" ref="D544:D546" si="246">E544+F544</f>
      </c>
      <c r="E544" s="670">
        <v>7350.81</v>
      </c>
      <c r="F544" s="670">
        <v>4734.01</v>
      </c>
      <c r="G544" s="671">
        <v>38</v>
      </c>
      <c r="H544" s="670">
        <v>21230.359999999986</v>
      </c>
      <c r="I544" s="672">
        <f t="shared" si="153"/>
      </c>
      <c r="J544" s="672">
        <f t="shared" si="123"/>
      </c>
      <c r="K544" s="673">
        <f t="shared" si="92"/>
      </c>
      <c r="L544" s="674">
        <f t="shared" si="61"/>
      </c>
      <c r="M544" s="675">
        <f t="shared" si="30"/>
      </c>
      <c r="N544" s="676">
        <f t="shared" si="278"/>
      </c>
      <c r="O544" s="677" t="s">
        <v>809</v>
      </c>
      <c r="P544" s="678" t="s">
        <v>810</v>
      </c>
      <c r="Q544" s="697">
        <v>126079</v>
      </c>
      <c r="R544" s="697">
        <v>11692</v>
      </c>
      <c r="S544" s="717">
        <v>52</v>
      </c>
      <c r="T544" s="717">
        <v>128</v>
      </c>
    </row>
    <row r="545">
      <c r="A545" s="708"/>
      <c r="B545" s="694" t="s">
        <v>841</v>
      </c>
      <c r="C545" s="670" t="s">
        <v>831</v>
      </c>
      <c r="D545" s="682">
        <f t="shared" si="246"/>
      </c>
      <c r="E545" s="670">
        <v>3805.27</v>
      </c>
      <c r="F545" s="670">
        <v>4382.2</v>
      </c>
      <c r="G545" s="709">
        <v>19</v>
      </c>
      <c r="H545" s="670">
        <v>10322.920000000042</v>
      </c>
      <c r="I545" s="672">
        <f t="shared" si="153"/>
      </c>
      <c r="J545" s="672">
        <f t="shared" si="123"/>
      </c>
      <c r="K545" s="673">
        <f t="shared" si="92"/>
      </c>
      <c r="L545" s="674">
        <f t="shared" si="61"/>
      </c>
      <c r="M545" s="675">
        <f t="shared" si="30"/>
      </c>
      <c r="N545" s="676">
        <f t="shared" si="278"/>
      </c>
      <c r="O545" s="677" t="s">
        <v>809</v>
      </c>
      <c r="P545" s="678" t="s">
        <v>810</v>
      </c>
      <c r="Q545" s="697">
        <v>78820</v>
      </c>
      <c r="R545" s="697">
        <v>7744</v>
      </c>
      <c r="S545" s="717">
        <v>33</v>
      </c>
      <c r="T545" s="717">
        <v>96</v>
      </c>
    </row>
    <row r="546">
      <c r="A546" s="708"/>
      <c r="B546" s="694" t="s">
        <v>841</v>
      </c>
      <c r="C546" s="670" t="s">
        <v>832</v>
      </c>
      <c r="D546" s="682">
        <f t="shared" si="246"/>
      </c>
      <c r="E546" s="670">
        <v>2287.73</v>
      </c>
      <c r="F546" s="670">
        <v>2265.96</v>
      </c>
      <c r="G546" s="671">
        <v>12</v>
      </c>
      <c r="H546" s="670">
        <v>6666.719999999972</v>
      </c>
      <c r="I546" s="672">
        <f t="shared" si="153"/>
      </c>
      <c r="J546" s="672">
        <f t="shared" si="123"/>
      </c>
      <c r="K546" s="673">
        <f t="shared" si="92"/>
      </c>
      <c r="L546" s="674">
        <f t="shared" si="61"/>
      </c>
      <c r="M546" s="675">
        <f t="shared" si="30"/>
      </c>
      <c r="N546" s="676">
        <f t="shared" si="278"/>
      </c>
      <c r="O546" s="677" t="s">
        <v>809</v>
      </c>
      <c r="P546" s="710" t="s">
        <v>871</v>
      </c>
      <c r="Q546" s="697">
        <v>46633</v>
      </c>
      <c r="R546" s="697">
        <v>4604</v>
      </c>
      <c r="S546" s="717">
        <v>18</v>
      </c>
      <c r="T546" s="717">
        <v>66</v>
      </c>
    </row>
    <row r="547">
      <c r="A547" s="708"/>
      <c r="B547" s="684" t="s">
        <v>814</v>
      </c>
      <c r="C547" s="684"/>
      <c r="D547" s="685">
        <f>SUM(D544:D546)</f>
      </c>
      <c r="E547" s="685">
        <f>SUM(E544:E546)</f>
      </c>
      <c r="F547" s="685">
        <f>SUM(F544:F546)</f>
      </c>
      <c r="G547" s="687">
        <f>SUM(G544:G546)</f>
      </c>
      <c r="H547" s="685">
        <f>SUM(H544:H546)</f>
      </c>
      <c r="I547" s="699">
        <f t="shared" si="153"/>
      </c>
      <c r="J547" s="689">
        <f t="shared" si="123"/>
      </c>
      <c r="K547" s="690">
        <f t="shared" si="92"/>
      </c>
      <c r="L547" s="691">
        <f t="shared" si="61"/>
      </c>
      <c r="M547" s="691">
        <f t="shared" si="30"/>
      </c>
      <c r="N547" s="692">
        <f t="shared" si="278"/>
      </c>
      <c r="O547" s="692"/>
      <c r="P547" s="692"/>
      <c r="Q547" s="687">
        <f>SUM(Q544:Q546)</f>
      </c>
      <c r="R547" s="687">
        <f>SUM(R544:R546)</f>
      </c>
      <c r="S547" s="687">
        <f>SUM(S544:S546)</f>
      </c>
      <c r="T547" s="687">
        <f>SUM(T544:T546)</f>
      </c>
    </row>
    <row customHeight="true" ht="18.452380952380953" r="548">
      <c r="A548" s="708"/>
      <c r="B548" s="694" t="s">
        <v>861</v>
      </c>
      <c r="C548" s="698" t="s">
        <v>833</v>
      </c>
      <c r="D548" s="682">
        <f>E548+F548</f>
      </c>
      <c r="E548" s="728">
        <v>3390.58</v>
      </c>
      <c r="F548" s="670">
        <v>3864.48</v>
      </c>
      <c r="G548" s="712">
        <v>44</v>
      </c>
      <c r="H548" s="681">
        <f>33411.47+1564.08</f>
      </c>
      <c r="I548" s="672">
        <f t="shared" si="153"/>
      </c>
      <c r="J548" s="672">
        <f t="shared" si="123"/>
      </c>
      <c r="K548" s="673">
        <f t="shared" si="92"/>
      </c>
      <c r="L548" s="674">
        <f t="shared" si="61"/>
      </c>
      <c r="M548" s="675">
        <f t="shared" si="30"/>
      </c>
      <c r="N548" s="676">
        <f t="shared" si="278"/>
      </c>
      <c r="O548" s="677" t="s">
        <v>809</v>
      </c>
      <c r="P548" s="710" t="s">
        <v>871</v>
      </c>
      <c r="Q548" s="697">
        <v>77517</v>
      </c>
      <c r="R548" s="697">
        <v>8602</v>
      </c>
      <c r="S548" s="717">
        <v>64</v>
      </c>
      <c r="T548" s="717">
        <v>129</v>
      </c>
    </row>
    <row customHeight="true" ht="18.452380952380953" r="549">
      <c r="A549" s="708"/>
      <c r="B549" s="730" t="s">
        <v>814</v>
      </c>
      <c r="C549" s="730"/>
      <c r="D549" s="685">
        <f>D548</f>
      </c>
      <c r="E549" s="685">
        <f>E548</f>
      </c>
      <c r="F549" s="685">
        <f>F548</f>
      </c>
      <c r="G549" s="753">
        <f>G548</f>
      </c>
      <c r="H549" s="685">
        <f>H548</f>
      </c>
      <c r="I549" s="688">
        <f t="shared" si="153"/>
      </c>
      <c r="J549" s="689">
        <f t="shared" si="123"/>
      </c>
      <c r="K549" s="690">
        <f t="shared" si="92"/>
      </c>
      <c r="L549" s="691">
        <f t="shared" si="61"/>
      </c>
      <c r="M549" s="691">
        <f t="shared" si="30"/>
      </c>
      <c r="N549" s="692">
        <f t="shared" si="278"/>
      </c>
      <c r="O549" s="692"/>
      <c r="P549" s="692"/>
      <c r="Q549" s="753">
        <f>Q548</f>
      </c>
      <c r="R549" s="753">
        <f>R548</f>
      </c>
      <c r="S549" s="753">
        <f>S548</f>
      </c>
      <c r="T549" s="753">
        <f>T548</f>
      </c>
    </row>
    <row r="550">
      <c r="A550" s="708"/>
      <c r="B550" s="694" t="s">
        <v>807</v>
      </c>
      <c r="C550" s="670" t="s">
        <v>845</v>
      </c>
      <c r="D550" s="682">
        <f t="shared" ref="D550:D553" si="247">E550+F550</f>
      </c>
      <c r="E550" s="670">
        <v>8416.48</v>
      </c>
      <c r="F550" s="670">
        <v>4293.61</v>
      </c>
      <c r="G550" s="671">
        <v>32</v>
      </c>
      <c r="H550" s="670">
        <v>15022.930000000051</v>
      </c>
      <c r="I550" s="672">
        <f t="shared" si="153"/>
      </c>
      <c r="J550" s="672">
        <f t="shared" si="123"/>
      </c>
      <c r="K550" s="673">
        <f t="shared" si="92"/>
      </c>
      <c r="L550" s="674">
        <f t="shared" si="61"/>
      </c>
      <c r="M550" s="675">
        <f t="shared" si="30"/>
      </c>
      <c r="N550" s="676">
        <f t="shared" si="278"/>
      </c>
      <c r="O550" s="677" t="s">
        <v>809</v>
      </c>
      <c r="P550" s="710" t="s">
        <v>871</v>
      </c>
      <c r="Q550" s="697">
        <v>133181</v>
      </c>
      <c r="R550" s="697">
        <v>18243</v>
      </c>
      <c r="S550" s="717">
        <v>47</v>
      </c>
      <c r="T550" s="717">
        <v>222</v>
      </c>
    </row>
    <row r="551">
      <c r="A551" s="708"/>
      <c r="B551" s="694" t="s">
        <v>807</v>
      </c>
      <c r="C551" s="670" t="s">
        <v>821</v>
      </c>
      <c r="D551" s="682">
        <f t="shared" si="247"/>
      </c>
      <c r="E551" s="670">
        <v>12480.64</v>
      </c>
      <c r="F551" s="670">
        <v>3519.58</v>
      </c>
      <c r="G551" s="671">
        <v>60</v>
      </c>
      <c r="H551" s="670">
        <v>34644.69</v>
      </c>
      <c r="I551" s="672">
        <f t="shared" si="153"/>
      </c>
      <c r="J551" s="672">
        <f t="shared" si="123"/>
      </c>
      <c r="K551" s="673">
        <f t="shared" si="92"/>
      </c>
      <c r="L551" s="674">
        <f t="shared" si="61"/>
      </c>
      <c r="M551" s="675">
        <f t="shared" si="30"/>
      </c>
      <c r="N551" s="676">
        <f t="shared" si="278"/>
      </c>
      <c r="O551" s="677" t="s">
        <v>809</v>
      </c>
      <c r="P551" s="710" t="s">
        <v>871</v>
      </c>
      <c r="Q551" s="697">
        <v>146523</v>
      </c>
      <c r="R551" s="697">
        <v>21621</v>
      </c>
      <c r="S551" s="717">
        <v>75</v>
      </c>
      <c r="T551" s="717">
        <v>207</v>
      </c>
    </row>
    <row r="552">
      <c r="A552" s="708"/>
      <c r="B552" s="694" t="s">
        <v>807</v>
      </c>
      <c r="C552" s="670" t="s">
        <v>823</v>
      </c>
      <c r="D552" s="682">
        <f t="shared" si="247"/>
      </c>
      <c r="E552" s="670">
        <v>13785.03</v>
      </c>
      <c r="F552" s="670">
        <v>3768.86</v>
      </c>
      <c r="G552" s="671">
        <v>57</v>
      </c>
      <c r="H552" s="670">
        <v>32931.71999999997</v>
      </c>
      <c r="I552" s="672">
        <f t="shared" si="153"/>
      </c>
      <c r="J552" s="672">
        <f t="shared" si="123"/>
      </c>
      <c r="K552" s="673">
        <f t="shared" si="92"/>
      </c>
      <c r="L552" s="674">
        <f t="shared" si="61"/>
      </c>
      <c r="M552" s="675">
        <f t="shared" si="30"/>
      </c>
      <c r="N552" s="676">
        <f t="shared" si="278"/>
      </c>
      <c r="O552" s="677" t="s">
        <v>809</v>
      </c>
      <c r="P552" s="710" t="s">
        <v>871</v>
      </c>
      <c r="Q552" s="697">
        <v>176721</v>
      </c>
      <c r="R552" s="697">
        <v>21635</v>
      </c>
      <c r="S552" s="717">
        <v>78</v>
      </c>
      <c r="T552" s="717">
        <v>234</v>
      </c>
    </row>
    <row r="553">
      <c r="A553" s="708"/>
      <c r="B553" s="694" t="s">
        <v>807</v>
      </c>
      <c r="C553" s="670" t="s">
        <v>824</v>
      </c>
      <c r="D553" s="682">
        <f t="shared" si="247"/>
      </c>
      <c r="E553" s="670">
        <v>9561.75</v>
      </c>
      <c r="F553" s="670">
        <v>1292.3799999999999</v>
      </c>
      <c r="G553" s="671">
        <v>46</v>
      </c>
      <c r="H553" s="670">
        <v>25439.54999999999</v>
      </c>
      <c r="I553" s="672">
        <f t="shared" si="153"/>
      </c>
      <c r="J553" s="672">
        <f t="shared" si="123"/>
      </c>
      <c r="K553" s="673">
        <f t="shared" si="92"/>
      </c>
      <c r="L553" s="674">
        <f t="shared" si="61"/>
      </c>
      <c r="M553" s="675">
        <f t="shared" si="30"/>
      </c>
      <c r="N553" s="676">
        <f t="shared" si="278"/>
      </c>
      <c r="O553" s="677" t="s">
        <v>809</v>
      </c>
      <c r="P553" s="710" t="s">
        <v>871</v>
      </c>
      <c r="Q553" s="697">
        <v>107232</v>
      </c>
      <c r="R553" s="697">
        <v>14648</v>
      </c>
      <c r="S553" s="717">
        <v>75</v>
      </c>
      <c r="T553" s="717">
        <v>159</v>
      </c>
    </row>
    <row r="554">
      <c r="A554" s="708"/>
      <c r="B554" s="684" t="s">
        <v>814</v>
      </c>
      <c r="C554" s="684"/>
      <c r="D554" s="685">
        <f>SUM(D550:D553)</f>
      </c>
      <c r="E554" s="685">
        <f>SUM(E550:E553)</f>
      </c>
      <c r="F554" s="685">
        <f>SUM(F550:F553)</f>
      </c>
      <c r="G554" s="687">
        <f>SUM(G550:G553)</f>
      </c>
      <c r="H554" s="685">
        <f>SUM(H550:H553)</f>
      </c>
      <c r="I554" s="689">
        <f t="shared" si="153"/>
      </c>
      <c r="J554" s="692">
        <f t="shared" si="123"/>
      </c>
      <c r="K554" s="692">
        <f t="shared" si="92"/>
      </c>
      <c r="L554" s="692">
        <f t="shared" si="61"/>
      </c>
      <c r="M554" s="691">
        <f t="shared" si="30"/>
      </c>
      <c r="N554" s="692">
        <f t="shared" si="278"/>
      </c>
      <c r="O554" s="692"/>
      <c r="P554" s="692"/>
      <c r="Q554" s="687">
        <f>SUM(Q550:Q553)</f>
      </c>
      <c r="R554" s="687">
        <f>SUM(R550:R553)</f>
      </c>
      <c r="S554" s="687">
        <f>SUM(S550:S553)</f>
      </c>
      <c r="T554" s="687">
        <f>SUM(T550:T553)</f>
      </c>
    </row>
    <row r="555">
      <c r="A555" s="708"/>
      <c r="B555" s="700" t="s">
        <v>825</v>
      </c>
      <c r="C555" s="700"/>
      <c r="D555" s="701">
        <f>D538+D543+D547+D554+D549</f>
      </c>
      <c r="E555" s="701">
        <f>E538+E543+E547+E554+E549</f>
      </c>
      <c r="F555" s="701">
        <f>F538+F543+F547+F554+F549</f>
      </c>
      <c r="G555" s="702">
        <f>G538+G543+G547+G554+G549</f>
      </c>
      <c r="H555" s="701">
        <f>H538+H543+H547+H554+H549</f>
      </c>
      <c r="I555" s="703">
        <f t="shared" si="153"/>
      </c>
      <c r="J555" s="703">
        <f t="shared" si="123"/>
      </c>
      <c r="K555" s="704">
        <f t="shared" si="92"/>
      </c>
      <c r="L555" s="705">
        <f t="shared" si="61"/>
      </c>
      <c r="M555" s="705">
        <f t="shared" si="30"/>
      </c>
      <c r="N555" s="703">
        <f t="shared" si="278"/>
      </c>
      <c r="O555" s="706"/>
      <c r="P555" s="706"/>
      <c r="Q555" s="702">
        <f>Q538+Q543+Q547+Q554+Q549</f>
      </c>
      <c r="R555" s="702">
        <f>R538+R543+R547+R554+R549</f>
      </c>
      <c r="S555" s="702">
        <f>S538+S543+S547+S554+S549</f>
      </c>
      <c r="T555" s="702">
        <f>T538+T543+T547+T554+T549</f>
      </c>
    </row>
    <row r="556">
      <c r="A556" s="754"/>
      <c r="B556" s="755"/>
      <c r="C556" s="755"/>
      <c r="D556" s="755"/>
      <c r="E556" s="755"/>
      <c r="F556" s="755"/>
      <c r="G556" s="756">
        <f>G557-G555</f>
      </c>
      <c r="H556" s="757">
        <f>H557-H555</f>
      </c>
      <c r="I556" s="755"/>
      <c r="M556" s="755"/>
      <c r="N556" s="755"/>
      <c r="O556" s="755"/>
      <c r="P556" s="755"/>
      <c r="Q556" s="758">
        <v>92668</v>
      </c>
      <c r="R556" s="758">
        <v>13481</v>
      </c>
      <c r="S556" s="759"/>
      <c r="T556" s="755">
        <f>T557-T555</f>
      </c>
    </row>
    <row r="557">
      <c r="A557" s="755"/>
      <c r="B557" s="755" t="s">
        <v>872</v>
      </c>
      <c r="C557" s="755"/>
      <c r="D557" s="755"/>
      <c r="E557" s="755"/>
      <c r="F557" s="755"/>
      <c r="G557" s="760">
        <f>F559+COUNTA(B558:B888)</f>
      </c>
      <c r="H557" s="761">
        <f>E559+D559</f>
      </c>
      <c r="I557" s="755"/>
      <c r="K557" s="755"/>
      <c r="L557" s="755"/>
      <c r="M557" s="755"/>
      <c r="N557" s="755"/>
      <c r="O557" s="755"/>
      <c r="P557" s="755"/>
      <c r="Q557" s="758">
        <v>14564</v>
      </c>
      <c r="R557" s="758">
        <v>1167</v>
      </c>
      <c r="S557" s="759"/>
      <c r="T557" s="762">
        <v>2844</v>
      </c>
    </row>
    <row r="558">
      <c r="A558" s="755"/>
      <c r="B558" s="763"/>
      <c r="C558" s="755"/>
      <c r="D558" s="764" t="s">
        <v>873</v>
      </c>
      <c r="E558" s="764" t="s">
        <v>874</v>
      </c>
      <c r="F558" s="764" t="s">
        <v>875</v>
      </c>
      <c r="G558" s="765"/>
      <c r="H558" s="766"/>
      <c r="I558" s="755"/>
      <c r="K558" s="767"/>
      <c r="L558" s="768"/>
      <c r="M558" s="755"/>
      <c r="N558" s="755"/>
      <c r="O558" s="755"/>
      <c r="P558" s="755"/>
      <c r="Q558" s="764">
        <f>Q556+Q557</f>
      </c>
      <c r="R558" s="764">
        <f>R556+R557</f>
      </c>
      <c r="S558" s="755">
        <f>S559-S555</f>
      </c>
      <c r="T558" s="755"/>
    </row>
    <row r="559">
      <c r="A559" s="755"/>
      <c r="B559" s="769"/>
      <c r="C559" s="768"/>
      <c r="D559" s="764">
        <f>SUM(B558:B628)</f>
      </c>
      <c r="E559" s="770">
        <v>458559.67</v>
      </c>
      <c r="F559" s="771">
        <v>734</v>
      </c>
      <c r="G559" s="772"/>
      <c r="H559" s="773"/>
      <c r="I559" s="755"/>
      <c r="K559" s="755"/>
      <c r="L559" s="755"/>
      <c r="M559" s="774"/>
      <c r="N559" s="755"/>
      <c r="O559" s="755"/>
      <c r="P559" s="755"/>
      <c r="Q559" s="755"/>
      <c r="R559" s="755"/>
      <c r="S559" s="762">
        <v>1027</v>
      </c>
      <c r="T559" s="755"/>
    </row>
    <row r="560">
      <c r="A560" s="755"/>
      <c r="B560" s="763"/>
      <c r="C560" s="755"/>
      <c r="D560" s="755"/>
      <c r="F560" s="762" t="s">
        <v>876</v>
      </c>
      <c r="G560" s="772"/>
      <c r="H560" s="766"/>
      <c r="I560" s="755"/>
      <c r="K560" s="763"/>
      <c r="L560" s="755"/>
      <c r="M560" s="774"/>
      <c r="N560" s="762"/>
      <c r="O560" s="755"/>
      <c r="P560" s="755"/>
      <c r="Q560" s="755"/>
      <c r="R560" s="755"/>
      <c r="T560" s="755"/>
    </row>
    <row r="561">
      <c r="A561" s="755"/>
      <c r="B561" s="763"/>
      <c r="C561" s="755"/>
      <c r="D561" s="755"/>
      <c r="E561" s="755"/>
      <c r="F561" s="755"/>
      <c r="I561" s="755"/>
      <c r="J561" s="755"/>
      <c r="K561" s="763"/>
      <c r="L561" s="755"/>
      <c r="M561" s="774"/>
      <c r="N561" s="755"/>
      <c r="O561" s="755"/>
      <c r="P561" s="755"/>
      <c r="Q561" s="755"/>
      <c r="R561" s="755"/>
      <c r="S561" s="755"/>
      <c r="T561" s="755"/>
    </row>
    <row r="562">
      <c r="A562" s="755"/>
      <c r="B562" s="763"/>
      <c r="C562" s="755"/>
      <c r="D562" s="755"/>
      <c r="E562" s="755"/>
      <c r="F562" s="755"/>
      <c r="I562" s="755"/>
      <c r="J562" s="755"/>
      <c r="K562" s="763"/>
      <c r="L562" s="755"/>
      <c r="M562" s="774"/>
      <c r="N562" s="755"/>
      <c r="O562" s="755"/>
      <c r="P562" s="755"/>
      <c r="Q562" s="755"/>
      <c r="R562" s="755"/>
      <c r="S562" s="755"/>
      <c r="T562" s="755"/>
    </row>
    <row r="563">
      <c r="A563" s="755"/>
      <c r="B563" s="763"/>
      <c r="C563" s="755"/>
      <c r="E563" s="755"/>
      <c r="F563" s="755"/>
      <c r="I563" s="755"/>
      <c r="J563" s="755"/>
      <c r="K563" s="763"/>
      <c r="L563" s="755"/>
      <c r="M563" s="774"/>
      <c r="N563" s="755"/>
      <c r="O563" s="755"/>
      <c r="P563" s="755"/>
      <c r="Q563" s="755"/>
      <c r="R563" s="755"/>
      <c r="S563" s="755"/>
      <c r="T563" s="755"/>
    </row>
    <row r="564">
      <c r="A564" s="755"/>
      <c r="B564" s="763"/>
      <c r="C564" s="755"/>
      <c r="E564" s="755"/>
      <c r="F564" s="755"/>
      <c r="I564" s="755"/>
      <c r="J564" s="755"/>
      <c r="K564" s="763"/>
      <c r="L564" s="755"/>
      <c r="M564" s="774"/>
      <c r="N564" s="755"/>
      <c r="O564" s="755"/>
      <c r="P564" s="755"/>
      <c r="Q564" s="755"/>
      <c r="R564" s="755"/>
      <c r="S564" s="755"/>
      <c r="T564" s="755"/>
    </row>
    <row r="565">
      <c r="A565" s="755"/>
      <c r="B565" s="763"/>
      <c r="C565" s="755"/>
      <c r="E565" s="755"/>
      <c r="F565" s="755"/>
      <c r="I565" s="755"/>
      <c r="J565" s="755"/>
      <c r="K565" s="763"/>
      <c r="L565" s="755"/>
      <c r="M565" s="774"/>
      <c r="N565" s="755"/>
      <c r="O565" s="755"/>
      <c r="P565" s="755"/>
      <c r="Q565" s="755"/>
      <c r="R565" s="755"/>
      <c r="S565" s="755"/>
      <c r="T565" s="755"/>
    </row>
    <row r="566">
      <c r="A566" s="755"/>
      <c r="B566" s="763"/>
      <c r="C566" s="755"/>
      <c r="E566" s="755"/>
      <c r="F566" s="755"/>
      <c r="I566" s="755"/>
      <c r="J566" s="755"/>
      <c r="K566" s="763"/>
      <c r="L566" s="755"/>
      <c r="M566" s="774"/>
      <c r="N566" s="755"/>
      <c r="O566" s="755"/>
      <c r="P566" s="755"/>
      <c r="Q566" s="755"/>
      <c r="R566" s="755"/>
      <c r="S566" s="755"/>
      <c r="T566" s="755"/>
    </row>
    <row r="567">
      <c r="A567" s="755"/>
      <c r="B567" s="763"/>
      <c r="C567" s="755"/>
      <c r="E567" s="755"/>
      <c r="F567" s="755"/>
      <c r="I567" s="755"/>
      <c r="J567" s="755"/>
      <c r="K567" s="763"/>
      <c r="L567" s="755"/>
      <c r="M567" s="774"/>
      <c r="N567" s="755"/>
      <c r="O567" s="755"/>
      <c r="P567" s="755"/>
      <c r="Q567" s="755"/>
      <c r="R567" s="755"/>
      <c r="S567" s="755"/>
      <c r="T567" s="755"/>
    </row>
    <row r="568">
      <c r="A568" s="755"/>
      <c r="B568" s="763"/>
      <c r="C568" s="755"/>
      <c r="E568" s="755"/>
      <c r="F568" s="755"/>
      <c r="I568" s="755"/>
      <c r="J568" s="755"/>
      <c r="K568" s="763"/>
      <c r="L568" s="755"/>
      <c r="M568" s="774"/>
      <c r="N568" s="755"/>
      <c r="O568" s="755"/>
      <c r="P568" s="755"/>
      <c r="Q568" s="755"/>
      <c r="R568" s="755"/>
      <c r="S568" s="755"/>
      <c r="T568" s="755"/>
    </row>
    <row r="569">
      <c r="A569" s="755"/>
      <c r="B569" s="763"/>
      <c r="C569" s="755"/>
      <c r="E569" s="755"/>
      <c r="F569" s="755"/>
      <c r="I569" s="755"/>
      <c r="J569" s="755"/>
      <c r="K569" s="763"/>
      <c r="L569" s="755"/>
      <c r="M569" s="774"/>
      <c r="N569" s="755"/>
      <c r="O569" s="755"/>
      <c r="P569" s="755"/>
      <c r="Q569" s="755"/>
      <c r="R569" s="755"/>
      <c r="S569" s="755"/>
      <c r="T569" s="755"/>
    </row>
    <row r="570">
      <c r="A570" s="755"/>
      <c r="B570" s="763"/>
      <c r="C570" s="755"/>
      <c r="E570" s="755"/>
      <c r="F570" s="755"/>
      <c r="I570" s="755"/>
      <c r="J570" s="755"/>
      <c r="K570" s="763"/>
      <c r="L570" s="755"/>
      <c r="M570" s="774"/>
      <c r="N570" s="755"/>
      <c r="O570" s="755"/>
      <c r="P570" s="755"/>
      <c r="Q570" s="755"/>
      <c r="R570" s="755"/>
      <c r="S570" s="755"/>
      <c r="T570" s="755"/>
    </row>
    <row r="571">
      <c r="A571" s="755"/>
      <c r="B571" s="763"/>
      <c r="C571" s="755"/>
      <c r="E571" s="755"/>
      <c r="F571" s="755"/>
      <c r="I571" s="755"/>
      <c r="J571" s="755"/>
      <c r="K571" s="763"/>
      <c r="L571" s="755"/>
      <c r="M571" s="774"/>
      <c r="N571" s="755"/>
      <c r="O571" s="755"/>
      <c r="P571" s="755"/>
      <c r="Q571" s="755"/>
      <c r="R571" s="755"/>
      <c r="S571" s="755"/>
      <c r="T571" s="755"/>
    </row>
    <row r="572">
      <c r="A572" s="755"/>
      <c r="B572" s="763"/>
      <c r="C572" s="755"/>
      <c r="E572" s="755"/>
      <c r="F572" s="755"/>
      <c r="I572" s="755"/>
      <c r="J572" s="755"/>
      <c r="K572" s="763"/>
      <c r="L572" s="755"/>
      <c r="M572" s="774"/>
      <c r="N572" s="755"/>
      <c r="O572" s="755"/>
      <c r="P572" s="755"/>
      <c r="Q572" s="755"/>
      <c r="R572" s="755"/>
      <c r="S572" s="755"/>
      <c r="T572" s="755"/>
    </row>
    <row r="573">
      <c r="A573" s="755"/>
      <c r="B573" s="763"/>
      <c r="C573" s="755"/>
      <c r="E573" s="755"/>
      <c r="F573" s="755"/>
      <c r="I573" s="755"/>
      <c r="J573" s="755"/>
      <c r="K573" s="763"/>
      <c r="L573" s="755"/>
      <c r="M573" s="774"/>
      <c r="N573" s="755"/>
      <c r="O573" s="755"/>
      <c r="P573" s="755"/>
      <c r="Q573" s="755"/>
      <c r="R573" s="755"/>
      <c r="S573" s="755"/>
      <c r="T573" s="755"/>
    </row>
    <row r="574">
      <c r="A574" s="755"/>
      <c r="B574" s="763"/>
      <c r="C574" s="755"/>
      <c r="E574" s="755"/>
      <c r="F574" s="755"/>
      <c r="I574" s="755"/>
      <c r="J574" s="755"/>
      <c r="K574" s="763"/>
      <c r="L574" s="755"/>
      <c r="M574" s="774"/>
      <c r="N574" s="755"/>
      <c r="O574" s="755"/>
      <c r="P574" s="755"/>
      <c r="Q574" s="755"/>
      <c r="R574" s="755"/>
      <c r="S574" s="755"/>
      <c r="T574" s="755"/>
    </row>
    <row r="575">
      <c r="A575" s="755"/>
      <c r="B575" s="763"/>
      <c r="C575" s="774"/>
      <c r="E575" s="755"/>
      <c r="F575" s="755"/>
      <c r="I575" s="755"/>
      <c r="J575" s="755"/>
      <c r="K575" s="763"/>
      <c r="L575" s="755"/>
      <c r="M575" s="774"/>
      <c r="N575" s="755"/>
      <c r="O575" s="755"/>
      <c r="P575" s="755"/>
      <c r="Q575" s="755"/>
      <c r="R575" s="755"/>
      <c r="S575" s="755"/>
      <c r="T575" s="755"/>
    </row>
    <row r="576">
      <c r="A576" s="755"/>
      <c r="B576" s="763"/>
      <c r="C576" s="755"/>
      <c r="E576" s="755"/>
      <c r="F576" s="755"/>
      <c r="I576" s="755"/>
      <c r="J576" s="755"/>
      <c r="K576" s="763"/>
      <c r="L576" s="755"/>
      <c r="M576" s="774"/>
      <c r="N576" s="755"/>
      <c r="O576" s="755"/>
      <c r="P576" s="755"/>
      <c r="Q576" s="755"/>
      <c r="R576" s="755"/>
      <c r="S576" s="755"/>
      <c r="T576" s="755"/>
    </row>
    <row r="577">
      <c r="A577" s="755"/>
      <c r="B577" s="763"/>
      <c r="C577" s="755"/>
      <c r="E577" s="755"/>
      <c r="F577" s="755"/>
      <c r="I577" s="755"/>
      <c r="J577" s="755"/>
      <c r="K577" s="763"/>
      <c r="L577" s="755"/>
      <c r="M577" s="774"/>
      <c r="N577" s="755"/>
      <c r="O577" s="755"/>
      <c r="P577" s="755"/>
      <c r="Q577" s="755"/>
      <c r="R577" s="755"/>
      <c r="S577" s="755"/>
      <c r="T577" s="755"/>
    </row>
    <row r="578">
      <c r="A578" s="755"/>
      <c r="B578" s="763"/>
      <c r="C578" s="755"/>
      <c r="E578" s="755"/>
      <c r="F578" s="755"/>
      <c r="I578" s="755"/>
      <c r="J578" s="755"/>
      <c r="K578" s="763"/>
      <c r="L578" s="755"/>
      <c r="M578" s="774"/>
      <c r="N578" s="755"/>
      <c r="O578" s="755"/>
      <c r="P578" s="755"/>
      <c r="Q578" s="755"/>
      <c r="R578" s="755"/>
      <c r="S578" s="755"/>
      <c r="T578" s="755"/>
    </row>
    <row r="579">
      <c r="A579" s="755"/>
      <c r="B579" s="763"/>
      <c r="C579" s="755"/>
      <c r="E579" s="755"/>
      <c r="F579" s="755"/>
      <c r="I579" s="755"/>
      <c r="J579" s="755"/>
      <c r="K579" s="763"/>
      <c r="L579" s="755"/>
      <c r="M579" s="774"/>
      <c r="N579" s="755"/>
      <c r="O579" s="755"/>
      <c r="P579" s="755"/>
      <c r="Q579" s="755"/>
      <c r="R579" s="755"/>
      <c r="S579" s="755"/>
      <c r="T579" s="755"/>
    </row>
    <row r="580">
      <c r="A580" s="755"/>
      <c r="B580" s="763"/>
      <c r="C580" s="755"/>
      <c r="E580" s="755"/>
      <c r="F580" s="755"/>
      <c r="I580" s="755"/>
      <c r="J580" s="755"/>
      <c r="K580" s="763"/>
      <c r="L580" s="755"/>
      <c r="M580" s="774"/>
      <c r="N580" s="755"/>
      <c r="O580" s="755"/>
      <c r="P580" s="755"/>
      <c r="Q580" s="755"/>
      <c r="R580" s="755"/>
      <c r="S580" s="755"/>
      <c r="T580" s="755"/>
    </row>
    <row r="581">
      <c r="A581" s="755"/>
      <c r="B581" s="763"/>
      <c r="C581" s="755"/>
      <c r="E581" s="755"/>
      <c r="F581" s="755"/>
      <c r="I581" s="755"/>
      <c r="J581" s="755"/>
      <c r="K581" s="763"/>
      <c r="L581" s="755"/>
      <c r="M581" s="774"/>
      <c r="N581" s="755"/>
      <c r="O581" s="755"/>
      <c r="P581" s="755"/>
      <c r="Q581" s="755"/>
      <c r="R581" s="755"/>
      <c r="S581" s="755"/>
      <c r="T581" s="755"/>
    </row>
    <row r="582">
      <c r="A582" s="755"/>
      <c r="B582" s="763"/>
      <c r="C582" s="755"/>
      <c r="E582" s="755"/>
      <c r="F582" s="755"/>
      <c r="I582" s="755"/>
      <c r="J582" s="755"/>
      <c r="K582" s="763"/>
      <c r="L582" s="755"/>
      <c r="M582" s="774"/>
      <c r="N582" s="755"/>
      <c r="O582" s="755"/>
      <c r="P582" s="755"/>
      <c r="Q582" s="755"/>
      <c r="R582" s="755"/>
      <c r="S582" s="755"/>
      <c r="T582" s="755"/>
    </row>
    <row r="583">
      <c r="A583" s="755"/>
      <c r="B583" s="763"/>
      <c r="C583" s="755"/>
      <c r="E583" s="755"/>
      <c r="F583" s="755"/>
      <c r="I583" s="755"/>
      <c r="J583" s="755"/>
      <c r="K583" s="763"/>
      <c r="L583" s="755"/>
      <c r="M583" s="774"/>
      <c r="N583" s="755"/>
      <c r="O583" s="755"/>
      <c r="P583" s="755"/>
      <c r="Q583" s="755"/>
      <c r="R583" s="755"/>
      <c r="S583" s="755"/>
      <c r="T583" s="755"/>
    </row>
    <row r="584">
      <c r="A584" s="755"/>
      <c r="B584" s="763"/>
      <c r="C584" s="755"/>
      <c r="E584" s="755"/>
      <c r="F584" s="755"/>
      <c r="I584" s="755"/>
      <c r="J584" s="755"/>
      <c r="K584" s="763"/>
      <c r="L584" s="755"/>
      <c r="M584" s="774"/>
      <c r="N584" s="755"/>
      <c r="O584" s="755"/>
      <c r="P584" s="755"/>
      <c r="Q584" s="755"/>
      <c r="R584" s="755"/>
      <c r="S584" s="755"/>
      <c r="T584" s="755"/>
    </row>
    <row r="585">
      <c r="A585" s="755"/>
      <c r="B585" s="763"/>
      <c r="C585" s="755"/>
      <c r="E585" s="755"/>
      <c r="F585" s="755"/>
      <c r="I585" s="755"/>
      <c r="J585" s="755"/>
      <c r="K585" s="763"/>
      <c r="L585" s="755"/>
      <c r="M585" s="774"/>
      <c r="N585" s="755"/>
      <c r="O585" s="755"/>
      <c r="P585" s="755"/>
      <c r="Q585" s="755"/>
      <c r="R585" s="755"/>
      <c r="S585" s="755"/>
      <c r="T585" s="755"/>
    </row>
    <row r="586">
      <c r="A586" s="755"/>
      <c r="B586" s="763"/>
      <c r="C586" s="755"/>
      <c r="E586" s="755"/>
      <c r="F586" s="755"/>
      <c r="I586" s="755"/>
      <c r="J586" s="755"/>
      <c r="K586" s="763"/>
      <c r="L586" s="755"/>
      <c r="M586" s="774"/>
      <c r="N586" s="755"/>
      <c r="O586" s="755"/>
      <c r="P586" s="755"/>
      <c r="Q586" s="755"/>
      <c r="R586" s="755"/>
      <c r="S586" s="755"/>
      <c r="T586" s="755"/>
    </row>
    <row r="587">
      <c r="A587" s="755"/>
      <c r="B587" s="763"/>
      <c r="C587" s="755"/>
      <c r="E587" s="755"/>
      <c r="F587" s="755"/>
      <c r="I587" s="755"/>
      <c r="J587" s="755"/>
      <c r="K587" s="763"/>
      <c r="L587" s="755"/>
      <c r="M587" s="774"/>
      <c r="N587" s="755"/>
      <c r="O587" s="755"/>
      <c r="P587" s="755"/>
      <c r="Q587" s="755"/>
      <c r="R587" s="755"/>
      <c r="S587" s="755"/>
      <c r="T587" s="755"/>
    </row>
  </sheetData>
  <mergeCells>
    <mergeCell ref="B503:C503"/>
    <mergeCell ref="A412:A431"/>
    <mergeCell ref="B430:C430"/>
    <mergeCell ref="B431:C431"/>
    <mergeCell ref="B425:C425"/>
    <mergeCell ref="B421:C421"/>
    <mergeCell ref="B416:C416"/>
    <mergeCell ref="A410:C410"/>
    <mergeCell ref="D410:K410"/>
    <mergeCell ref="L410:P410"/>
    <mergeCell ref="Q410:T410"/>
    <mergeCell ref="B381:C381"/>
    <mergeCell ref="B376:C376"/>
    <mergeCell ref="A370:C370"/>
    <mergeCell ref="D370:K370"/>
    <mergeCell ref="L370:P370"/>
    <mergeCell ref="Q370:T370"/>
    <mergeCell ref="A354:A369"/>
    <mergeCell ref="B359:C359"/>
    <mergeCell ref="B364:C364"/>
    <mergeCell ref="B368:C368"/>
    <mergeCell ref="B369:C369"/>
    <mergeCell ref="B333:C333"/>
    <mergeCell ref="B332:C332"/>
    <mergeCell ref="B328:C328"/>
    <mergeCell ref="B323:C323"/>
    <mergeCell ref="A319:A333"/>
    <mergeCell ref="A317:C317"/>
    <mergeCell ref="D317:K317"/>
    <mergeCell ref="L317:P317"/>
    <mergeCell ref="Q317:T317"/>
    <mergeCell ref="A301:A316"/>
    <mergeCell ref="B306:C306"/>
    <mergeCell ref="B311:C311"/>
    <mergeCell ref="B315:C315"/>
    <mergeCell ref="B316:C316"/>
    <mergeCell ref="A299:C299"/>
    <mergeCell ref="D299:K299"/>
    <mergeCell ref="L299:P299"/>
    <mergeCell ref="Q299:T299"/>
    <mergeCell ref="A264:C264"/>
    <mergeCell ref="D264:K264"/>
    <mergeCell ref="L264:P264"/>
    <mergeCell ref="Q264:T264"/>
    <mergeCell ref="A248:A263"/>
    <mergeCell ref="B262:C262"/>
    <mergeCell ref="B263:C263"/>
    <mergeCell ref="B257:C257"/>
    <mergeCell ref="B252:C252"/>
    <mergeCell ref="A246:C246"/>
    <mergeCell ref="D246:K246"/>
    <mergeCell ref="L246:P246"/>
    <mergeCell ref="Q246:T246"/>
    <mergeCell ref="B245:C245"/>
    <mergeCell ref="B244:C244"/>
    <mergeCell ref="B240:C240"/>
    <mergeCell ref="B235:C235"/>
    <mergeCell ref="A231:A245"/>
    <mergeCell ref="A229:C229"/>
    <mergeCell ref="D229:K229"/>
    <mergeCell ref="L229:P229"/>
    <mergeCell ref="Q229:T229"/>
    <mergeCell ref="B228:C228"/>
    <mergeCell ref="B227:C227"/>
    <mergeCell ref="B223:C223"/>
    <mergeCell ref="B218:C218"/>
    <mergeCell ref="A214:A228"/>
    <mergeCell ref="A212:C212"/>
    <mergeCell ref="D212:K212"/>
    <mergeCell ref="L212:P212"/>
    <mergeCell ref="Q212:T212"/>
    <mergeCell ref="B211:C211"/>
    <mergeCell ref="B210:C210"/>
    <mergeCell ref="B206:C206"/>
    <mergeCell ref="B201:C201"/>
    <mergeCell ref="A197:A211"/>
    <mergeCell ref="A195:C195"/>
    <mergeCell ref="D195:K195"/>
    <mergeCell ref="L195:P195"/>
    <mergeCell ref="Q195:T195"/>
    <mergeCell ref="A178:A194"/>
    <mergeCell ref="B193:C193"/>
    <mergeCell ref="B194:C194"/>
    <mergeCell ref="B188:C188"/>
    <mergeCell ref="B183:C183"/>
    <mergeCell ref="A160:A175"/>
    <mergeCell ref="B174:C174"/>
    <mergeCell ref="B175:C175"/>
    <mergeCell ref="B169:C169"/>
    <mergeCell ref="B164:C164"/>
    <mergeCell ref="A158:C158"/>
    <mergeCell ref="D158:K158"/>
    <mergeCell ref="L158:P158"/>
    <mergeCell ref="Q158:T158"/>
    <mergeCell ref="B157:C157"/>
    <mergeCell ref="B156:C156"/>
    <mergeCell ref="B152:C152"/>
    <mergeCell ref="B147:C147"/>
    <mergeCell ref="A143:A157"/>
    <mergeCell ref="A141:C141"/>
    <mergeCell ref="D141:K141"/>
    <mergeCell ref="L141:P141"/>
    <mergeCell ref="Q141:T141"/>
    <mergeCell ref="B139:C139"/>
    <mergeCell ref="B140:C140"/>
    <mergeCell ref="A126:A140"/>
    <mergeCell ref="B135:C135"/>
    <mergeCell ref="B130:C130"/>
    <mergeCell ref="A124:C124"/>
    <mergeCell ref="D124:K124"/>
    <mergeCell ref="L124:P124"/>
    <mergeCell ref="Q124:T124"/>
    <mergeCell ref="B117:C117"/>
    <mergeCell ref="A95:C95"/>
    <mergeCell ref="D95:K95"/>
    <mergeCell ref="L95:P95"/>
    <mergeCell ref="Q95:T95"/>
    <mergeCell ref="B86:C86"/>
    <mergeCell ref="B90:C90"/>
    <mergeCell ref="B94:C94"/>
    <mergeCell ref="B93:C93"/>
    <mergeCell ref="A82:A94"/>
    <mergeCell ref="A80:C80"/>
    <mergeCell ref="D80:K80"/>
    <mergeCell ref="L80:P80"/>
    <mergeCell ref="Q80:T80"/>
    <mergeCell ref="A68:A79"/>
    <mergeCell ref="B79:C79"/>
    <mergeCell ref="B58:C58"/>
    <mergeCell ref="Q52:T52"/>
    <mergeCell ref="L52:P52"/>
    <mergeCell ref="D52:K52"/>
    <mergeCell ref="A52:C52"/>
    <mergeCell ref="B47:C47"/>
    <mergeCell ref="B50:C50"/>
    <mergeCell ref="B51:C51"/>
    <mergeCell ref="B41:C41"/>
    <mergeCell ref="A18:C18"/>
    <mergeCell ref="D18:K18"/>
    <mergeCell ref="L18:P18"/>
    <mergeCell ref="Q18:T18"/>
    <mergeCell ref="B24:C24"/>
    <mergeCell ref="B29:C29"/>
    <mergeCell ref="B32:C32"/>
    <mergeCell ref="B33:C33"/>
    <mergeCell ref="B17:C17"/>
    <mergeCell ref="B16:C16"/>
    <mergeCell ref="B12:C12"/>
    <mergeCell ref="B7:C7"/>
    <mergeCell ref="A3:A17"/>
    <mergeCell ref="Q1:T1"/>
    <mergeCell ref="L1:P1"/>
    <mergeCell ref="D1:K1"/>
    <mergeCell ref="A1:C1"/>
    <mergeCell ref="A20:A33"/>
    <mergeCell ref="A34:C34"/>
    <mergeCell ref="D34:K34"/>
    <mergeCell ref="L34:P34"/>
    <mergeCell ref="Q34:T34"/>
    <mergeCell ref="A36:A51"/>
    <mergeCell ref="A54:A65"/>
    <mergeCell ref="B64:C64"/>
    <mergeCell ref="B65:C65"/>
    <mergeCell ref="A66:C66"/>
    <mergeCell ref="D66:K66"/>
    <mergeCell ref="L66:P66"/>
    <mergeCell ref="Q66:T66"/>
    <mergeCell ref="B72:C72"/>
    <mergeCell ref="B78:C78"/>
    <mergeCell ref="B102:C102"/>
    <mergeCell ref="A97:A109"/>
    <mergeCell ref="B108:C108"/>
    <mergeCell ref="B109:C109"/>
    <mergeCell ref="A110:C110"/>
    <mergeCell ref="D110:K110"/>
    <mergeCell ref="L110:P110"/>
    <mergeCell ref="Q110:T110"/>
    <mergeCell ref="B123:C123"/>
    <mergeCell ref="B122:C122"/>
    <mergeCell ref="A112:A123"/>
    <mergeCell ref="A176:C176"/>
    <mergeCell ref="D176:K176"/>
    <mergeCell ref="L176:P176"/>
    <mergeCell ref="Q176:T176"/>
    <mergeCell ref="A266:A281"/>
    <mergeCell ref="B271:C271"/>
    <mergeCell ref="B276:C276"/>
    <mergeCell ref="B280:C280"/>
    <mergeCell ref="B281:C281"/>
    <mergeCell ref="A282:C282"/>
    <mergeCell ref="D282:K282"/>
    <mergeCell ref="L282:P282"/>
    <mergeCell ref="Q282:T282"/>
    <mergeCell ref="A284:A298"/>
    <mergeCell ref="B288:C288"/>
    <mergeCell ref="B293:C293"/>
    <mergeCell ref="B297:C297"/>
    <mergeCell ref="B298:C298"/>
    <mergeCell ref="A334:C334"/>
    <mergeCell ref="D334:K334"/>
    <mergeCell ref="L334:P334"/>
    <mergeCell ref="Q334:T334"/>
    <mergeCell ref="B340:C340"/>
    <mergeCell ref="B345:C345"/>
    <mergeCell ref="B351:C351"/>
    <mergeCell ref="B350:C350"/>
    <mergeCell ref="A336:A351"/>
    <mergeCell ref="A352:C352"/>
    <mergeCell ref="D352:K352"/>
    <mergeCell ref="L352:P352"/>
    <mergeCell ref="Q352:T352"/>
    <mergeCell ref="A372:A387"/>
    <mergeCell ref="B386:C386"/>
    <mergeCell ref="B387:C387"/>
    <mergeCell ref="A388:C388"/>
    <mergeCell ref="D388:K388"/>
    <mergeCell ref="L388:P388"/>
    <mergeCell ref="Q388:T388"/>
    <mergeCell ref="B394:C394"/>
    <mergeCell ref="B399:C399"/>
    <mergeCell ref="B404:C404"/>
    <mergeCell ref="B409:C409"/>
    <mergeCell ref="A390:A409"/>
    <mergeCell ref="B408:C408"/>
    <mergeCell ref="A432:C432"/>
    <mergeCell ref="D432:K432"/>
    <mergeCell ref="L432:P432"/>
    <mergeCell ref="Q432:T432"/>
    <mergeCell ref="B438:C438"/>
    <mergeCell ref="B443:C443"/>
    <mergeCell ref="B454:C454"/>
    <mergeCell ref="B453:C453"/>
    <mergeCell ref="B448:C448"/>
    <mergeCell ref="A434:A454"/>
    <mergeCell ref="A455:C455"/>
    <mergeCell ref="D455:K455"/>
    <mergeCell ref="L455:P455"/>
    <mergeCell ref="Q455:T455"/>
    <mergeCell ref="B467:C467"/>
    <mergeCell ref="B462:C462"/>
    <mergeCell ref="A457:A479"/>
    <mergeCell ref="B473:C473"/>
    <mergeCell ref="B478:C478"/>
    <mergeCell ref="B479:C479"/>
    <mergeCell ref="A480:C480"/>
    <mergeCell ref="D480:K480"/>
    <mergeCell ref="L480:P480"/>
    <mergeCell ref="Q480:T480"/>
    <mergeCell ref="B487:C487"/>
    <mergeCell ref="B493:C493"/>
    <mergeCell ref="B497:C497"/>
    <mergeCell ref="B507:C507"/>
    <mergeCell ref="A482:A507"/>
    <mergeCell ref="B506:C506"/>
    <mergeCell ref="A508:C508"/>
    <mergeCell ref="D508:K508"/>
    <mergeCell ref="L508:P508"/>
    <mergeCell ref="Q508:T508"/>
    <mergeCell ref="B514:C514"/>
    <mergeCell ref="B531:C531"/>
    <mergeCell ref="B530:C530"/>
    <mergeCell ref="B525:C525"/>
    <mergeCell ref="B520:C520"/>
    <mergeCell ref="A510:A531"/>
    <mergeCell ref="A532:C532"/>
    <mergeCell ref="D532:K532"/>
    <mergeCell ref="L532:P532"/>
    <mergeCell ref="Q532:T532"/>
    <mergeCell ref="B538:C538"/>
    <mergeCell ref="B543:C543"/>
    <mergeCell ref="B547:C547"/>
    <mergeCell ref="B555:C555"/>
    <mergeCell ref="B554:C554"/>
    <mergeCell ref="B549:C549"/>
    <mergeCell ref="A534:A555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5" min="5" style="0" width="12.507042253521114"/>
    <col collapsed="false" customWidth="true" hidden="false" max="6" min="6" style="0" width="11.211267605633802"/>
    <col collapsed="false" customWidth="true" hidden="false" max="8" min="8" style="0" width="11.211267605633802"/>
  </cols>
  <sheetData>
    <row r="1">
      <c r="A1" s="775" t="s">
        <v>877</v>
      </c>
      <c r="B1" s="775"/>
      <c r="C1" s="775"/>
      <c r="D1" s="776" t="s">
        <v>878</v>
      </c>
      <c r="E1" s="776"/>
      <c r="F1" s="776"/>
      <c r="G1" s="777"/>
      <c r="H1" s="776"/>
      <c r="I1" s="776"/>
      <c r="J1" s="776"/>
      <c r="K1" s="776"/>
      <c r="L1" s="778" t="s">
        <v>879</v>
      </c>
      <c r="M1" s="778"/>
      <c r="N1" s="778"/>
      <c r="O1" s="778"/>
      <c r="P1" s="778"/>
      <c r="Q1" s="779" t="s">
        <v>880</v>
      </c>
      <c r="R1" s="779"/>
      <c r="S1" s="779"/>
      <c r="T1" s="779"/>
    </row>
    <row r="2">
      <c r="A2" s="780" t="s">
        <v>881</v>
      </c>
      <c r="B2" s="780" t="s">
        <v>882</v>
      </c>
      <c r="C2" s="780" t="s">
        <v>883</v>
      </c>
      <c r="D2" s="776" t="s">
        <v>884</v>
      </c>
      <c r="E2" s="776" t="s">
        <v>885</v>
      </c>
      <c r="F2" s="776" t="s">
        <v>886</v>
      </c>
      <c r="G2" s="777" t="s">
        <v>887</v>
      </c>
      <c r="H2" s="776" t="s">
        <v>888</v>
      </c>
      <c r="I2" s="781" t="s">
        <v>889</v>
      </c>
      <c r="J2" s="782" t="s">
        <v>890</v>
      </c>
      <c r="K2" s="776" t="s">
        <v>891</v>
      </c>
      <c r="L2" s="783" t="s">
        <v>892</v>
      </c>
      <c r="M2" s="783" t="s">
        <v>893</v>
      </c>
      <c r="N2" s="783" t="s">
        <v>894</v>
      </c>
      <c r="O2" s="778" t="s">
        <v>895</v>
      </c>
      <c r="P2" s="778" t="s">
        <v>896</v>
      </c>
      <c r="Q2" s="784" t="s">
        <v>897</v>
      </c>
      <c r="R2" s="784" t="s">
        <v>898</v>
      </c>
      <c r="S2" s="784" t="s">
        <v>899</v>
      </c>
      <c r="T2" s="784" t="s">
        <v>900</v>
      </c>
    </row>
    <row r="3">
      <c r="A3" s="785" t="s">
        <v>901</v>
      </c>
      <c r="B3" s="786" t="s">
        <v>902</v>
      </c>
      <c r="C3" s="787" t="s">
        <v>903</v>
      </c>
      <c r="D3" s="788">
        <v>12400.72</v>
      </c>
      <c r="E3" s="789">
        <v>11496.9</v>
      </c>
      <c r="F3" s="789">
        <v>903.82</v>
      </c>
      <c r="G3" s="790">
        <v>37</v>
      </c>
      <c r="H3" s="789">
        <v>17022.320000000007</v>
      </c>
      <c r="I3" s="791">
        <f t="shared" ref="I3:I23" si="183">H3/D3</f>
      </c>
      <c r="J3" s="791">
        <f t="shared" ref="J3:J23" si="214">D3/G3</f>
      </c>
      <c r="K3" s="791">
        <f t="shared" ref="K3:K23" si="121">H3/G3</f>
      </c>
      <c r="L3" s="792">
        <f t="shared" ref="L3:L23" si="152">R3/Q3</f>
      </c>
      <c r="M3" s="793">
        <f t="shared" ref="M3:M23" si="0">G3/S3</f>
      </c>
      <c r="N3" s="794">
        <f t="shared" ref="N3:N23" si="90">(T3*1000)/D3</f>
      </c>
      <c r="O3" s="795" t="s">
        <v>904</v>
      </c>
      <c r="P3" s="796" t="s">
        <v>905</v>
      </c>
      <c r="Q3" s="797">
        <v>140752</v>
      </c>
      <c r="R3" s="797">
        <v>21979</v>
      </c>
      <c r="S3" s="797">
        <v>51</v>
      </c>
      <c r="T3" s="797">
        <v>647</v>
      </c>
    </row>
    <row r="4">
      <c r="A4" s="785"/>
      <c r="B4" s="786" t="s">
        <v>902</v>
      </c>
      <c r="C4" s="789" t="s">
        <v>906</v>
      </c>
      <c r="D4" s="788">
        <v>13897.91</v>
      </c>
      <c r="E4" s="789">
        <v>12728.24</v>
      </c>
      <c r="F4" s="789">
        <v>1169.67</v>
      </c>
      <c r="G4" s="790">
        <v>52</v>
      </c>
      <c r="H4" s="789">
        <v>26490.210000000006</v>
      </c>
      <c r="I4" s="791">
        <f t="shared" si="183"/>
      </c>
      <c r="J4" s="791">
        <f t="shared" si="214"/>
      </c>
      <c r="K4" s="791">
        <f t="shared" si="121"/>
      </c>
      <c r="L4" s="792">
        <f t="shared" si="152"/>
      </c>
      <c r="M4" s="793">
        <f t="shared" si="0"/>
      </c>
      <c r="N4" s="794">
        <f t="shared" si="90"/>
      </c>
      <c r="O4" s="795" t="s">
        <v>904</v>
      </c>
      <c r="P4" s="796" t="s">
        <v>905</v>
      </c>
      <c r="Q4" s="797">
        <v>152545</v>
      </c>
      <c r="R4" s="797">
        <v>23350</v>
      </c>
      <c r="S4" s="797">
        <v>95</v>
      </c>
      <c r="T4" s="797">
        <v>757</v>
      </c>
    </row>
    <row r="5">
      <c r="A5" s="785"/>
      <c r="B5" s="786" t="s">
        <v>902</v>
      </c>
      <c r="C5" s="789" t="s">
        <v>907</v>
      </c>
      <c r="D5" s="788">
        <v>23563.66</v>
      </c>
      <c r="E5" s="789">
        <v>21880.28</v>
      </c>
      <c r="F5" s="789">
        <v>1683.38</v>
      </c>
      <c r="G5" s="790">
        <v>89</v>
      </c>
      <c r="H5" s="789">
        <v>57378.28999999999</v>
      </c>
      <c r="I5" s="791">
        <f t="shared" si="183"/>
      </c>
      <c r="J5" s="791">
        <f t="shared" si="214"/>
      </c>
      <c r="K5" s="791">
        <f t="shared" si="121"/>
      </c>
      <c r="L5" s="792">
        <f t="shared" si="152"/>
      </c>
      <c r="M5" s="793">
        <f t="shared" si="0"/>
      </c>
      <c r="N5" s="794">
        <f t="shared" si="90"/>
      </c>
      <c r="O5" s="795" t="s">
        <v>904</v>
      </c>
      <c r="P5" s="796" t="s">
        <v>905</v>
      </c>
      <c r="Q5" s="797">
        <v>281677</v>
      </c>
      <c r="R5" s="797">
        <v>40421</v>
      </c>
      <c r="S5" s="797">
        <v>111</v>
      </c>
      <c r="T5" s="797">
        <v>1220</v>
      </c>
    </row>
    <row r="6">
      <c r="A6" s="785"/>
      <c r="B6" s="786" t="s">
        <v>902</v>
      </c>
      <c r="C6" s="789" t="s">
        <v>908</v>
      </c>
      <c r="D6" s="788">
        <v>8185.120000000001</v>
      </c>
      <c r="E6" s="789">
        <v>6979.27</v>
      </c>
      <c r="F6" s="789">
        <v>1205.85</v>
      </c>
      <c r="G6" s="790">
        <v>22</v>
      </c>
      <c r="H6" s="789">
        <v>11931.04</v>
      </c>
      <c r="I6" s="791">
        <f t="shared" si="183"/>
      </c>
      <c r="J6" s="791">
        <f t="shared" si="214"/>
      </c>
      <c r="K6" s="791">
        <f t="shared" si="121"/>
      </c>
      <c r="L6" s="792">
        <f t="shared" si="152"/>
      </c>
      <c r="M6" s="793">
        <f t="shared" si="0"/>
      </c>
      <c r="N6" s="794">
        <f t="shared" si="90"/>
      </c>
      <c r="O6" s="795" t="s">
        <v>904</v>
      </c>
      <c r="P6" s="796" t="s">
        <v>905</v>
      </c>
      <c r="Q6" s="797">
        <v>75002</v>
      </c>
      <c r="R6" s="797">
        <v>12181</v>
      </c>
      <c r="S6" s="797">
        <v>32</v>
      </c>
      <c r="T6" s="797">
        <v>300</v>
      </c>
    </row>
    <row r="7">
      <c r="A7" s="785"/>
      <c r="B7" s="786" t="s">
        <v>902</v>
      </c>
      <c r="C7" s="789" t="s">
        <v>909</v>
      </c>
      <c r="D7" s="788">
        <v>4427.8099999999995</v>
      </c>
      <c r="E7" s="789">
        <v>3193.6</v>
      </c>
      <c r="F7" s="789">
        <v>1234.21</v>
      </c>
      <c r="G7" s="790">
        <v>24</v>
      </c>
      <c r="H7" s="789">
        <v>9494.170000000002</v>
      </c>
      <c r="I7" s="791">
        <f t="shared" si="183"/>
      </c>
      <c r="J7" s="791">
        <f t="shared" si="214"/>
      </c>
      <c r="K7" s="791">
        <f t="shared" si="121"/>
      </c>
      <c r="L7" s="792">
        <f t="shared" si="152"/>
      </c>
      <c r="M7" s="793">
        <f t="shared" si="0"/>
      </c>
      <c r="N7" s="794">
        <f t="shared" si="90"/>
      </c>
      <c r="O7" s="795" t="s">
        <v>904</v>
      </c>
      <c r="P7" s="796" t="s">
        <v>905</v>
      </c>
      <c r="Q7" s="797">
        <v>41522</v>
      </c>
      <c r="R7" s="797">
        <v>6141</v>
      </c>
      <c r="S7" s="797">
        <v>30</v>
      </c>
      <c r="T7" s="797">
        <v>184</v>
      </c>
    </row>
    <row r="8">
      <c r="A8" s="785"/>
      <c r="B8" s="798" t="s">
        <v>910</v>
      </c>
      <c r="C8" s="798"/>
      <c r="D8" s="799">
        <f>SUM(D3:D7)</f>
      </c>
      <c r="E8" s="799">
        <f>SUM(E3:E7)</f>
      </c>
      <c r="F8" s="799">
        <f>SUM(F3:F7)</f>
      </c>
      <c r="G8" s="800">
        <f>SUM(G3:G7)</f>
      </c>
      <c r="H8" s="799">
        <f>SUM(H3:H7)</f>
      </c>
      <c r="I8" s="801">
        <f t="shared" si="183"/>
      </c>
      <c r="J8" s="802">
        <f t="shared" si="214"/>
      </c>
      <c r="K8" s="803">
        <f t="shared" si="121"/>
      </c>
      <c r="L8" s="804">
        <f t="shared" si="152"/>
      </c>
      <c r="M8" s="804">
        <f t="shared" si="0"/>
      </c>
      <c r="N8" s="805">
        <f t="shared" si="90"/>
      </c>
      <c r="O8" s="805"/>
      <c r="P8" s="805"/>
      <c r="Q8" s="806">
        <f>SUM(Q3:Q7)</f>
      </c>
      <c r="R8" s="806">
        <f>SUM(R3:R7)</f>
      </c>
      <c r="S8" s="806">
        <f>SUM(S3:S7)</f>
      </c>
      <c r="T8" s="806">
        <f>SUM(T3:T7)</f>
      </c>
    </row>
    <row customHeight="true" ht="16.666666666666668" r="9">
      <c r="A9" s="785"/>
      <c r="B9" s="784" t="s">
        <v>911</v>
      </c>
      <c r="C9" s="789" t="s">
        <v>912</v>
      </c>
      <c r="D9" s="788">
        <v>4351.29</v>
      </c>
      <c r="E9" s="788">
        <v>3161.3</v>
      </c>
      <c r="F9" s="788">
        <v>1189.99</v>
      </c>
      <c r="G9" s="807">
        <v>13</v>
      </c>
      <c r="H9" s="788">
        <v>7255.579999999998</v>
      </c>
      <c r="I9" s="791">
        <f t="shared" si="183"/>
      </c>
      <c r="J9" s="791">
        <f t="shared" si="214"/>
      </c>
      <c r="K9" s="791">
        <f t="shared" si="121"/>
      </c>
      <c r="L9" s="792">
        <f t="shared" si="152"/>
      </c>
      <c r="M9" s="793">
        <f t="shared" si="0"/>
      </c>
      <c r="N9" s="794">
        <f t="shared" si="90"/>
      </c>
      <c r="O9" s="795" t="s">
        <v>904</v>
      </c>
      <c r="P9" s="796" t="s">
        <v>905</v>
      </c>
      <c r="Q9" s="784">
        <v>42110</v>
      </c>
      <c r="R9" s="784">
        <v>5992</v>
      </c>
      <c r="S9" s="784">
        <v>20</v>
      </c>
      <c r="T9" s="784">
        <v>192</v>
      </c>
    </row>
    <row r="10">
      <c r="A10" s="785"/>
      <c r="B10" s="784" t="s">
        <v>911</v>
      </c>
      <c r="C10" s="789" t="s">
        <v>913</v>
      </c>
      <c r="D10" s="788">
        <v>4142.54</v>
      </c>
      <c r="E10" s="789">
        <v>2559.16</v>
      </c>
      <c r="F10" s="789">
        <v>1583.38</v>
      </c>
      <c r="G10" s="790">
        <v>18</v>
      </c>
      <c r="H10" s="789">
        <v>8820.720000000001</v>
      </c>
      <c r="I10" s="791">
        <f t="shared" si="183"/>
      </c>
      <c r="J10" s="791">
        <f t="shared" si="214"/>
      </c>
      <c r="K10" s="791">
        <f t="shared" si="121"/>
      </c>
      <c r="L10" s="792">
        <f t="shared" si="152"/>
      </c>
      <c r="M10" s="793">
        <f t="shared" si="0"/>
      </c>
      <c r="N10" s="794">
        <f t="shared" si="90"/>
      </c>
      <c r="O10" s="795" t="s">
        <v>904</v>
      </c>
      <c r="P10" s="796" t="s">
        <v>905</v>
      </c>
      <c r="Q10" s="797">
        <v>32455</v>
      </c>
      <c r="R10" s="797">
        <v>4762</v>
      </c>
      <c r="S10" s="797">
        <v>29</v>
      </c>
      <c r="T10" s="797">
        <v>171</v>
      </c>
    </row>
    <row r="11">
      <c r="A11" s="785"/>
      <c r="B11" s="784" t="s">
        <v>911</v>
      </c>
      <c r="C11" s="789" t="s">
        <v>914</v>
      </c>
      <c r="D11" s="788">
        <v>4243.04</v>
      </c>
      <c r="E11" s="789">
        <v>2145.38</v>
      </c>
      <c r="F11" s="789">
        <v>2097.66</v>
      </c>
      <c r="G11" s="790">
        <v>9</v>
      </c>
      <c r="H11" s="789">
        <v>8695.36</v>
      </c>
      <c r="I11" s="791">
        <f t="shared" si="183"/>
      </c>
      <c r="J11" s="791">
        <f t="shared" si="214"/>
      </c>
      <c r="K11" s="791">
        <f t="shared" si="121"/>
      </c>
      <c r="L11" s="792">
        <f t="shared" si="152"/>
      </c>
      <c r="M11" s="793">
        <f t="shared" si="0"/>
      </c>
      <c r="N11" s="794">
        <f t="shared" si="90"/>
      </c>
      <c r="O11" s="795" t="s">
        <v>904</v>
      </c>
      <c r="P11" s="796" t="s">
        <v>905</v>
      </c>
      <c r="Q11" s="797">
        <v>19049</v>
      </c>
      <c r="R11" s="797">
        <v>1643</v>
      </c>
      <c r="S11" s="797">
        <v>17</v>
      </c>
      <c r="T11" s="797">
        <v>100</v>
      </c>
    </row>
    <row r="12">
      <c r="A12" s="785"/>
      <c r="B12" s="784" t="s">
        <v>911</v>
      </c>
      <c r="C12" s="789" t="s">
        <v>915</v>
      </c>
      <c r="D12" s="788">
        <v>5094.73</v>
      </c>
      <c r="E12" s="789">
        <v>4626.86</v>
      </c>
      <c r="F12" s="789">
        <v>467.87</v>
      </c>
      <c r="G12" s="790">
        <v>14</v>
      </c>
      <c r="H12" s="789">
        <v>5786.880000000005</v>
      </c>
      <c r="I12" s="791">
        <f t="shared" si="183"/>
      </c>
      <c r="J12" s="791">
        <f t="shared" si="214"/>
      </c>
      <c r="K12" s="791">
        <f t="shared" si="121"/>
      </c>
      <c r="L12" s="792">
        <f t="shared" si="152"/>
      </c>
      <c r="M12" s="793">
        <f t="shared" si="0"/>
      </c>
      <c r="N12" s="794">
        <f t="shared" si="90"/>
      </c>
      <c r="O12" s="795" t="s">
        <v>904</v>
      </c>
      <c r="P12" s="796" t="s">
        <v>916</v>
      </c>
      <c r="Q12" s="797">
        <v>53308</v>
      </c>
      <c r="R12" s="797">
        <v>7562</v>
      </c>
      <c r="S12" s="797">
        <v>16</v>
      </c>
      <c r="T12" s="797">
        <v>119</v>
      </c>
    </row>
    <row r="13">
      <c r="A13" s="785"/>
      <c r="B13" s="784" t="s">
        <v>911</v>
      </c>
      <c r="C13" s="789" t="s">
        <v>917</v>
      </c>
      <c r="D13" s="788">
        <v>4425.33</v>
      </c>
      <c r="E13" s="789">
        <v>3816.93</v>
      </c>
      <c r="F13" s="789">
        <v>608.4</v>
      </c>
      <c r="G13" s="790">
        <v>15</v>
      </c>
      <c r="H13" s="789">
        <v>9593.75999999998</v>
      </c>
      <c r="I13" s="791">
        <f t="shared" si="183"/>
      </c>
      <c r="J13" s="791">
        <f t="shared" si="214"/>
      </c>
      <c r="K13" s="791">
        <f t="shared" si="121"/>
      </c>
      <c r="L13" s="792">
        <f t="shared" si="152"/>
      </c>
      <c r="M13" s="793">
        <f t="shared" si="0"/>
      </c>
      <c r="N13" s="794">
        <f t="shared" si="90"/>
      </c>
      <c r="O13" s="795" t="s">
        <v>904</v>
      </c>
      <c r="P13" s="796" t="s">
        <v>916</v>
      </c>
      <c r="Q13" s="797">
        <v>50032</v>
      </c>
      <c r="R13" s="797">
        <v>7287</v>
      </c>
      <c r="S13" s="797">
        <v>18</v>
      </c>
      <c r="T13" s="797">
        <v>110</v>
      </c>
    </row>
    <row r="14">
      <c r="A14" s="785"/>
      <c r="B14" s="808" t="s">
        <v>910</v>
      </c>
      <c r="C14" s="808"/>
      <c r="D14" s="799">
        <f>SUM(D9:D13)</f>
      </c>
      <c r="E14" s="799">
        <f>SUM(E9:E13)</f>
      </c>
      <c r="F14" s="799">
        <f>SUM(F9:F13)</f>
      </c>
      <c r="G14" s="800">
        <f>SUM(G9:G13)</f>
      </c>
      <c r="H14" s="799">
        <f>SUM(H9:H13)</f>
      </c>
      <c r="I14" s="801">
        <f t="shared" si="183"/>
      </c>
      <c r="J14" s="802">
        <f t="shared" si="214"/>
      </c>
      <c r="K14" s="803">
        <f t="shared" si="121"/>
      </c>
      <c r="L14" s="804">
        <f t="shared" si="152"/>
      </c>
      <c r="M14" s="804">
        <f t="shared" si="0"/>
      </c>
      <c r="N14" s="805">
        <f t="shared" si="90"/>
      </c>
      <c r="O14" s="805"/>
      <c r="P14" s="805"/>
      <c r="Q14" s="799">
        <f>SUM(Q9:Q13)</f>
      </c>
      <c r="R14" s="799">
        <f>SUM(R9:R13)</f>
      </c>
      <c r="S14" s="799">
        <f>SUM(S9:S13)</f>
      </c>
      <c r="T14" s="799">
        <f>SUM(T9:T13)</f>
      </c>
    </row>
    <row customHeight="true" ht="16.666666666666668" r="15">
      <c r="A15" s="785"/>
      <c r="B15" s="784" t="s">
        <v>918</v>
      </c>
      <c r="C15" s="789" t="s">
        <v>919</v>
      </c>
      <c r="D15" s="788">
        <v>2901.3900000000003</v>
      </c>
      <c r="E15" s="789">
        <v>2438.32</v>
      </c>
      <c r="F15" s="789">
        <v>463.07</v>
      </c>
      <c r="G15" s="790">
        <v>10</v>
      </c>
      <c r="H15" s="789">
        <v>7708.919999999984</v>
      </c>
      <c r="I15" s="791">
        <f t="shared" si="183"/>
      </c>
      <c r="J15" s="791">
        <f t="shared" si="214"/>
      </c>
      <c r="K15" s="791">
        <f t="shared" si="121"/>
      </c>
      <c r="L15" s="792">
        <f t="shared" si="152"/>
      </c>
      <c r="M15" s="793">
        <f t="shared" si="0"/>
      </c>
      <c r="N15" s="794">
        <f t="shared" si="90"/>
      </c>
      <c r="O15" s="795" t="s">
        <v>904</v>
      </c>
      <c r="P15" s="796" t="s">
        <v>916</v>
      </c>
      <c r="Q15" s="797">
        <v>33411</v>
      </c>
      <c r="R15" s="797">
        <v>4573</v>
      </c>
      <c r="S15" s="797">
        <v>13</v>
      </c>
      <c r="T15" s="797">
        <v>76</v>
      </c>
    </row>
    <row customHeight="true" ht="16.666666666666668" r="16">
      <c r="A16" s="785"/>
      <c r="B16" s="784" t="s">
        <v>918</v>
      </c>
      <c r="C16" s="789" t="s">
        <v>920</v>
      </c>
      <c r="D16" s="788">
        <v>2689.25</v>
      </c>
      <c r="E16" s="789">
        <v>1999.29</v>
      </c>
      <c r="F16" s="789">
        <v>689.96</v>
      </c>
      <c r="G16" s="790">
        <v>13</v>
      </c>
      <c r="H16" s="789">
        <v>7293.170000000013</v>
      </c>
      <c r="I16" s="791">
        <f t="shared" si="183"/>
      </c>
      <c r="J16" s="791">
        <f t="shared" si="214"/>
      </c>
      <c r="K16" s="791">
        <f t="shared" si="121"/>
      </c>
      <c r="L16" s="792">
        <f t="shared" si="152"/>
      </c>
      <c r="M16" s="793">
        <f t="shared" si="0"/>
      </c>
      <c r="N16" s="794">
        <f t="shared" si="90"/>
      </c>
      <c r="O16" s="795" t="s">
        <v>904</v>
      </c>
      <c r="P16" s="796" t="s">
        <v>916</v>
      </c>
      <c r="Q16" s="797">
        <v>28174</v>
      </c>
      <c r="R16" s="797">
        <v>3885</v>
      </c>
      <c r="S16" s="797">
        <v>14</v>
      </c>
      <c r="T16" s="797">
        <v>73</v>
      </c>
    </row>
    <row customHeight="true" ht="16.666666666666668" r="17">
      <c r="A17" s="785"/>
      <c r="B17" s="784" t="s">
        <v>918</v>
      </c>
      <c r="C17" s="789" t="s">
        <v>921</v>
      </c>
      <c r="D17" s="788">
        <v>5415.29</v>
      </c>
      <c r="E17" s="789">
        <v>3951.72</v>
      </c>
      <c r="F17" s="789">
        <v>1463.57</v>
      </c>
      <c r="G17" s="790">
        <v>22</v>
      </c>
      <c r="H17" s="789">
        <v>11549.659999999974</v>
      </c>
      <c r="I17" s="791">
        <f t="shared" si="183"/>
      </c>
      <c r="J17" s="791">
        <f t="shared" si="214"/>
      </c>
      <c r="K17" s="791">
        <f t="shared" si="121"/>
      </c>
      <c r="L17" s="792">
        <f t="shared" si="152"/>
      </c>
      <c r="M17" s="793">
        <f t="shared" si="0"/>
      </c>
      <c r="N17" s="794">
        <f t="shared" si="90"/>
      </c>
      <c r="O17" s="795" t="s">
        <v>904</v>
      </c>
      <c r="P17" s="796" t="s">
        <v>916</v>
      </c>
      <c r="Q17" s="797">
        <v>35240</v>
      </c>
      <c r="R17" s="797">
        <v>4499</v>
      </c>
      <c r="S17" s="797">
        <v>25</v>
      </c>
      <c r="T17" s="797">
        <v>67</v>
      </c>
    </row>
    <row customHeight="true" ht="16.666666666666668" r="18">
      <c r="A18" s="785"/>
      <c r="B18" s="808" t="s">
        <v>910</v>
      </c>
      <c r="C18" s="808"/>
      <c r="D18" s="799">
        <f>SUM(D15:D17)</f>
      </c>
      <c r="E18" s="799">
        <f>SUM(E15:E17)</f>
      </c>
      <c r="F18" s="799">
        <f>SUM(F15:F17)</f>
      </c>
      <c r="G18" s="800">
        <f>SUM(G15:G17)</f>
      </c>
      <c r="H18" s="799">
        <f>SUM(H15:H17)</f>
      </c>
      <c r="I18" s="801">
        <f t="shared" si="183"/>
      </c>
      <c r="J18" s="802">
        <f t="shared" si="214"/>
      </c>
      <c r="K18" s="803">
        <f t="shared" si="121"/>
      </c>
      <c r="L18" s="804">
        <f t="shared" si="152"/>
      </c>
      <c r="M18" s="804">
        <f t="shared" si="0"/>
      </c>
      <c r="N18" s="805">
        <f t="shared" si="90"/>
      </c>
      <c r="O18" s="805"/>
      <c r="P18" s="805"/>
      <c r="Q18" s="799">
        <f>SUM(Q15:Q17)</f>
      </c>
      <c r="R18" s="799">
        <f>SUM(R15:R17)</f>
      </c>
      <c r="S18" s="799">
        <f>SUM(S15:S17)</f>
      </c>
      <c r="T18" s="799">
        <f>SUM(T15:T17)</f>
      </c>
    </row>
    <row customHeight="true" ht="16.666666666666668" r="19">
      <c r="A19" s="785"/>
      <c r="B19" s="786" t="s">
        <v>922</v>
      </c>
      <c r="C19" s="789" t="s">
        <v>923</v>
      </c>
      <c r="D19" s="788">
        <v>6736.96</v>
      </c>
      <c r="E19" s="789">
        <v>5983.91</v>
      </c>
      <c r="F19" s="789">
        <v>753.05</v>
      </c>
      <c r="G19" s="790">
        <v>12</v>
      </c>
      <c r="H19" s="789">
        <v>3427.279999999999</v>
      </c>
      <c r="I19" s="791">
        <f t="shared" si="183"/>
      </c>
      <c r="J19" s="791">
        <f t="shared" si="214"/>
      </c>
      <c r="K19" s="791">
        <f t="shared" si="121"/>
      </c>
      <c r="L19" s="792">
        <f t="shared" si="152"/>
      </c>
      <c r="M19" s="793">
        <f t="shared" si="0"/>
      </c>
      <c r="N19" s="794">
        <f t="shared" si="90"/>
      </c>
      <c r="O19" s="795" t="s">
        <v>904</v>
      </c>
      <c r="P19" s="796" t="s">
        <v>916</v>
      </c>
      <c r="Q19" s="797">
        <v>89320</v>
      </c>
      <c r="R19" s="797">
        <v>11050</v>
      </c>
      <c r="S19" s="797">
        <v>19</v>
      </c>
      <c r="T19" s="797">
        <v>53</v>
      </c>
    </row>
    <row customHeight="true" ht="16.666666666666668" r="20">
      <c r="A20" s="785"/>
      <c r="B20" s="786" t="s">
        <v>922</v>
      </c>
      <c r="C20" s="788" t="s">
        <v>924</v>
      </c>
      <c r="D20" s="788">
        <v>3715.01</v>
      </c>
      <c r="E20" s="789">
        <v>3505.69</v>
      </c>
      <c r="F20" s="789">
        <v>209.32</v>
      </c>
      <c r="G20" s="790">
        <v>16</v>
      </c>
      <c r="H20" s="789">
        <v>8251.190000000002</v>
      </c>
      <c r="I20" s="791">
        <f t="shared" si="183"/>
      </c>
      <c r="J20" s="791">
        <f t="shared" si="214"/>
      </c>
      <c r="K20" s="791">
        <f t="shared" si="121"/>
      </c>
      <c r="L20" s="792">
        <f t="shared" si="152"/>
      </c>
      <c r="M20" s="793">
        <f t="shared" si="0"/>
      </c>
      <c r="N20" s="794">
        <f t="shared" si="90"/>
      </c>
      <c r="O20" s="795" t="s">
        <v>904</v>
      </c>
      <c r="P20" s="796" t="s">
        <v>916</v>
      </c>
      <c r="Q20" s="797">
        <v>40739</v>
      </c>
      <c r="R20" s="797">
        <v>5509</v>
      </c>
      <c r="S20" s="797">
        <v>21</v>
      </c>
      <c r="T20" s="797">
        <v>85</v>
      </c>
    </row>
    <row customHeight="true" ht="16.666666666666668" r="21">
      <c r="A21" s="785"/>
      <c r="B21" s="786" t="s">
        <v>922</v>
      </c>
      <c r="C21" s="789" t="s">
        <v>925</v>
      </c>
      <c r="D21" s="788">
        <v>3171.92</v>
      </c>
      <c r="E21" s="789">
        <v>2437.19</v>
      </c>
      <c r="F21" s="789">
        <v>734.73</v>
      </c>
      <c r="G21" s="790">
        <v>14</v>
      </c>
      <c r="H21" s="789">
        <v>7524.74000000002</v>
      </c>
      <c r="I21" s="791">
        <f t="shared" si="183"/>
      </c>
      <c r="J21" s="791">
        <f t="shared" si="214"/>
      </c>
      <c r="K21" s="791">
        <f t="shared" si="121"/>
      </c>
      <c r="L21" s="792">
        <f t="shared" si="152"/>
      </c>
      <c r="M21" s="793">
        <f t="shared" si="0"/>
      </c>
      <c r="N21" s="794">
        <f t="shared" si="90"/>
      </c>
      <c r="O21" s="795" t="s">
        <v>904</v>
      </c>
      <c r="P21" s="796" t="s">
        <v>916</v>
      </c>
      <c r="Q21" s="797">
        <v>39091</v>
      </c>
      <c r="R21" s="797">
        <v>5935</v>
      </c>
      <c r="S21" s="797">
        <v>17</v>
      </c>
      <c r="T21" s="797">
        <v>56</v>
      </c>
    </row>
    <row customHeight="true" ht="16.666666666666668" r="22">
      <c r="A22" s="785"/>
      <c r="B22" s="808" t="s">
        <v>910</v>
      </c>
      <c r="C22" s="808"/>
      <c r="D22" s="799">
        <f>SUM(D19:D21)</f>
      </c>
      <c r="E22" s="799">
        <f>SUM(E19:E21)</f>
      </c>
      <c r="F22" s="799">
        <f>SUM(F19:F21)</f>
      </c>
      <c r="G22" s="800">
        <f>SUM(G19:G21)</f>
      </c>
      <c r="H22" s="799">
        <f>SUM(H19:H21)</f>
      </c>
      <c r="I22" s="801">
        <f t="shared" si="183"/>
      </c>
      <c r="J22" s="802">
        <f t="shared" si="214"/>
      </c>
      <c r="K22" s="803">
        <f t="shared" si="121"/>
      </c>
      <c r="L22" s="804">
        <f t="shared" si="152"/>
      </c>
      <c r="M22" s="804">
        <f t="shared" si="0"/>
      </c>
      <c r="N22" s="805">
        <f t="shared" si="90"/>
      </c>
      <c r="O22" s="805"/>
      <c r="P22" s="805"/>
      <c r="Q22" s="799">
        <f>SUM(Q19:Q21)</f>
      </c>
      <c r="R22" s="799">
        <f>SUM(R19:R21)</f>
      </c>
      <c r="S22" s="799">
        <f>SUM(S19:S21)</f>
      </c>
      <c r="T22" s="799">
        <f>SUM(T19:T21)</f>
      </c>
    </row>
    <row r="23">
      <c r="A23" s="785"/>
      <c r="B23" s="809" t="s">
        <v>926</v>
      </c>
      <c r="C23" s="809"/>
      <c r="D23" s="810">
        <f>D8+D14+D18+D22</f>
      </c>
      <c r="E23" s="810">
        <f>E8+E14+E18+E22</f>
      </c>
      <c r="F23" s="810">
        <f>F8+F14+F18+F22</f>
      </c>
      <c r="G23" s="811">
        <f>G8+G14+G18+G22</f>
      </c>
      <c r="H23" s="810">
        <f>H8+H14+H18+H22</f>
      </c>
      <c r="I23" s="809">
        <f t="shared" si="183"/>
      </c>
      <c r="J23" s="809">
        <f t="shared" si="214"/>
      </c>
      <c r="K23" s="809">
        <f t="shared" si="121"/>
      </c>
      <c r="L23" s="812">
        <f t="shared" si="152"/>
      </c>
      <c r="M23" s="812">
        <f t="shared" si="0"/>
      </c>
      <c r="N23" s="809">
        <f t="shared" si="90"/>
      </c>
      <c r="O23" s="813"/>
      <c r="P23" s="813"/>
      <c r="Q23" s="810">
        <f>Q8+Q14+Q18+Q22</f>
      </c>
      <c r="R23" s="810">
        <f>R8+R14+R18+R22</f>
      </c>
      <c r="S23" s="810">
        <f>S8+S14+S18+S22</f>
      </c>
      <c r="T23" s="810">
        <f>T8+T14+T18+T22</f>
      </c>
    </row>
    <row r="24">
      <c r="A24" s="775" t="s">
        <v>877</v>
      </c>
      <c r="B24" s="775"/>
      <c r="C24" s="775"/>
      <c r="D24" s="776" t="s">
        <v>878</v>
      </c>
      <c r="E24" s="776"/>
      <c r="F24" s="776"/>
      <c r="G24" s="777"/>
      <c r="H24" s="776"/>
      <c r="I24" s="776"/>
      <c r="J24" s="776"/>
      <c r="K24" s="776"/>
      <c r="L24" s="778" t="s">
        <v>879</v>
      </c>
      <c r="M24" s="778"/>
      <c r="N24" s="778"/>
      <c r="O24" s="778"/>
      <c r="P24" s="778"/>
      <c r="Q24" s="779" t="s">
        <v>880</v>
      </c>
      <c r="R24" s="779"/>
      <c r="S24" s="779"/>
      <c r="T24" s="779"/>
    </row>
    <row r="25">
      <c r="A25" s="780" t="s">
        <v>881</v>
      </c>
      <c r="B25" s="780" t="s">
        <v>882</v>
      </c>
      <c r="C25" s="780" t="s">
        <v>883</v>
      </c>
      <c r="D25" s="776" t="s">
        <v>884</v>
      </c>
      <c r="E25" s="776" t="s">
        <v>885</v>
      </c>
      <c r="F25" s="776" t="s">
        <v>886</v>
      </c>
      <c r="G25" s="777" t="s">
        <v>887</v>
      </c>
      <c r="H25" s="776" t="s">
        <v>888</v>
      </c>
      <c r="I25" s="781" t="s">
        <v>889</v>
      </c>
      <c r="J25" s="782" t="s">
        <v>890</v>
      </c>
      <c r="K25" s="776" t="s">
        <v>891</v>
      </c>
      <c r="L25" s="783" t="s">
        <v>892</v>
      </c>
      <c r="M25" s="783" t="s">
        <v>893</v>
      </c>
      <c r="N25" s="783" t="s">
        <v>894</v>
      </c>
      <c r="O25" s="778" t="s">
        <v>895</v>
      </c>
      <c r="P25" s="778" t="s">
        <v>896</v>
      </c>
      <c r="Q25" s="784" t="s">
        <v>897</v>
      </c>
      <c r="R25" s="784" t="s">
        <v>898</v>
      </c>
      <c r="S25" s="784" t="s">
        <v>899</v>
      </c>
      <c r="T25" s="784" t="s">
        <v>900</v>
      </c>
    </row>
    <row r="26">
      <c r="A26" s="785" t="s">
        <v>927</v>
      </c>
      <c r="B26" s="786" t="s">
        <v>902</v>
      </c>
      <c r="C26" s="787" t="s">
        <v>903</v>
      </c>
      <c r="D26" s="788">
        <v>2940.61</v>
      </c>
      <c r="E26" s="789">
        <v>2485.65</v>
      </c>
      <c r="F26" s="789">
        <v>454.96</v>
      </c>
      <c r="G26" s="790">
        <v>6</v>
      </c>
      <c r="H26" s="789">
        <v>4428.48</v>
      </c>
      <c r="I26" s="791">
        <f t="shared" ref="I26:I43" si="184">H26/D26</f>
      </c>
      <c r="J26" s="791">
        <f t="shared" ref="J26:J43" si="215">D26/G26</f>
      </c>
      <c r="K26" s="791">
        <f t="shared" ref="K26:K43" si="122">H26/G26</f>
      </c>
      <c r="L26" s="792">
        <f t="shared" ref="L26:L43" si="153">R26/Q26</f>
      </c>
      <c r="M26" s="793">
        <f t="shared" ref="M26:M43" si="1">G26/S26</f>
      </c>
      <c r="N26" s="794">
        <f t="shared" ref="N26:N43" si="91">(T26*1000)/D26</f>
      </c>
      <c r="O26" s="795" t="s">
        <v>904</v>
      </c>
      <c r="P26" s="796" t="s">
        <v>905</v>
      </c>
      <c r="Q26" s="797">
        <v>29481</v>
      </c>
      <c r="R26" s="797">
        <v>4257</v>
      </c>
      <c r="S26" s="797">
        <v>8</v>
      </c>
      <c r="T26" s="797">
        <v>140</v>
      </c>
    </row>
    <row r="27">
      <c r="A27" s="785"/>
      <c r="B27" s="786" t="s">
        <v>902</v>
      </c>
      <c r="C27" s="789" t="s">
        <v>906</v>
      </c>
      <c r="D27" s="788">
        <v>2882.0299999999997</v>
      </c>
      <c r="E27" s="789">
        <v>2224.68</v>
      </c>
      <c r="F27" s="789">
        <v>657.35</v>
      </c>
      <c r="G27" s="790">
        <v>11</v>
      </c>
      <c r="H27" s="789">
        <v>4558.58</v>
      </c>
      <c r="I27" s="791">
        <f t="shared" si="184"/>
      </c>
      <c r="J27" s="791">
        <f t="shared" si="215"/>
      </c>
      <c r="K27" s="791">
        <f t="shared" si="122"/>
      </c>
      <c r="L27" s="792">
        <f t="shared" si="153"/>
      </c>
      <c r="M27" s="793">
        <f t="shared" si="1"/>
      </c>
      <c r="N27" s="794">
        <f t="shared" si="91"/>
      </c>
      <c r="O27" s="795" t="s">
        <v>904</v>
      </c>
      <c r="P27" s="796" t="s">
        <v>905</v>
      </c>
      <c r="Q27" s="797">
        <v>28685</v>
      </c>
      <c r="R27" s="797">
        <v>4519</v>
      </c>
      <c r="S27" s="797">
        <v>17</v>
      </c>
      <c r="T27" s="797">
        <v>144</v>
      </c>
    </row>
    <row r="28">
      <c r="A28" s="785"/>
      <c r="B28" s="786" t="s">
        <v>902</v>
      </c>
      <c r="C28" s="789" t="s">
        <v>907</v>
      </c>
      <c r="D28" s="788">
        <v>2203.82</v>
      </c>
      <c r="E28" s="789">
        <v>1443.97</v>
      </c>
      <c r="F28" s="789">
        <v>759.85</v>
      </c>
      <c r="G28" s="790">
        <v>12</v>
      </c>
      <c r="H28" s="789">
        <v>5760.74</v>
      </c>
      <c r="I28" s="791">
        <f t="shared" si="184"/>
      </c>
      <c r="J28" s="791">
        <f t="shared" si="215"/>
      </c>
      <c r="K28" s="791">
        <f t="shared" si="122"/>
      </c>
      <c r="L28" s="792">
        <f t="shared" si="153"/>
      </c>
      <c r="M28" s="793">
        <f t="shared" si="1"/>
      </c>
      <c r="N28" s="794">
        <f t="shared" si="91"/>
      </c>
      <c r="O28" s="795" t="s">
        <v>904</v>
      </c>
      <c r="P28" s="796" t="s">
        <v>905</v>
      </c>
      <c r="Q28" s="797">
        <v>21968</v>
      </c>
      <c r="R28" s="797">
        <v>2905</v>
      </c>
      <c r="S28" s="797">
        <v>22</v>
      </c>
      <c r="T28" s="797">
        <v>110</v>
      </c>
    </row>
    <row r="29">
      <c r="A29" s="785"/>
      <c r="B29" s="786" t="s">
        <v>902</v>
      </c>
      <c r="C29" s="789" t="s">
        <v>908</v>
      </c>
      <c r="D29" s="788">
        <v>2172.52</v>
      </c>
      <c r="E29" s="789">
        <v>1353.31</v>
      </c>
      <c r="F29" s="789">
        <v>819.21</v>
      </c>
      <c r="G29" s="790">
        <v>7</v>
      </c>
      <c r="H29" s="789">
        <v>3775.100000000002</v>
      </c>
      <c r="I29" s="791">
        <f t="shared" si="184"/>
      </c>
      <c r="J29" s="791">
        <f t="shared" si="215"/>
      </c>
      <c r="K29" s="791">
        <f t="shared" si="122"/>
      </c>
      <c r="L29" s="792">
        <f t="shared" si="153"/>
      </c>
      <c r="M29" s="793">
        <f t="shared" si="1"/>
      </c>
      <c r="N29" s="794">
        <f t="shared" si="91"/>
      </c>
      <c r="O29" s="795" t="s">
        <v>904</v>
      </c>
      <c r="P29" s="796" t="s">
        <v>905</v>
      </c>
      <c r="Q29" s="797">
        <v>26507</v>
      </c>
      <c r="R29" s="797">
        <v>3532</v>
      </c>
      <c r="S29" s="797">
        <v>9</v>
      </c>
      <c r="T29" s="797">
        <v>125</v>
      </c>
    </row>
    <row r="30">
      <c r="A30" s="785"/>
      <c r="B30" s="798" t="s">
        <v>910</v>
      </c>
      <c r="C30" s="798"/>
      <c r="D30" s="799">
        <f>SUM(D26:D29)</f>
      </c>
      <c r="E30" s="799">
        <f>SUM(E26:E29)</f>
      </c>
      <c r="F30" s="799">
        <f>SUM(F26:F29)</f>
      </c>
      <c r="G30" s="800">
        <f>SUM(G26:G29)</f>
      </c>
      <c r="H30" s="799">
        <f>SUM(H26:H29)</f>
      </c>
      <c r="I30" s="801">
        <f t="shared" si="184"/>
      </c>
      <c r="J30" s="802">
        <f t="shared" si="215"/>
      </c>
      <c r="K30" s="803">
        <f t="shared" si="122"/>
      </c>
      <c r="L30" s="804">
        <f t="shared" si="153"/>
      </c>
      <c r="M30" s="804">
        <f t="shared" si="1"/>
      </c>
      <c r="N30" s="805">
        <f t="shared" si="91"/>
      </c>
      <c r="O30" s="805"/>
      <c r="P30" s="805"/>
      <c r="Q30" s="806">
        <f>SUM(Q26:Q29)</f>
      </c>
      <c r="R30" s="806">
        <f>SUM(R26:R29)</f>
      </c>
      <c r="S30" s="806">
        <f>SUM(S26:S29)</f>
      </c>
      <c r="T30" s="806">
        <f>SUM(T26:T29)</f>
      </c>
    </row>
    <row r="31">
      <c r="A31" s="785"/>
      <c r="B31" s="784" t="s">
        <v>911</v>
      </c>
      <c r="C31" s="789" t="s">
        <v>909</v>
      </c>
      <c r="D31" s="788">
        <v>1535.75</v>
      </c>
      <c r="E31" s="788">
        <v>958.05</v>
      </c>
      <c r="F31" s="788">
        <v>577.7</v>
      </c>
      <c r="G31" s="807">
        <v>2</v>
      </c>
      <c r="H31" s="788">
        <v>892.7999999999993</v>
      </c>
      <c r="I31" s="791">
        <f t="shared" si="184"/>
      </c>
      <c r="J31" s="791">
        <f t="shared" si="215"/>
      </c>
      <c r="K31" s="791">
        <f t="shared" si="122"/>
      </c>
      <c r="L31" s="792">
        <f t="shared" si="153"/>
      </c>
      <c r="M31" s="793">
        <f t="shared" si="1"/>
      </c>
      <c r="N31" s="794">
        <f t="shared" si="91"/>
      </c>
      <c r="O31" s="795" t="s">
        <v>904</v>
      </c>
      <c r="P31" s="796" t="s">
        <v>905</v>
      </c>
      <c r="Q31" s="784">
        <v>18288</v>
      </c>
      <c r="R31" s="784">
        <v>2467</v>
      </c>
      <c r="S31" s="797">
        <v>5</v>
      </c>
      <c r="T31" s="784">
        <v>75</v>
      </c>
    </row>
    <row r="32">
      <c r="A32" s="785"/>
      <c r="B32" s="784" t="s">
        <v>911</v>
      </c>
      <c r="C32" s="789" t="s">
        <v>912</v>
      </c>
      <c r="D32" s="788">
        <v>1095.31</v>
      </c>
      <c r="E32" s="789">
        <v>748.05</v>
      </c>
      <c r="F32" s="789">
        <v>347.26</v>
      </c>
      <c r="G32" s="790">
        <v>2</v>
      </c>
      <c r="H32" s="789">
        <v>3128.16</v>
      </c>
      <c r="I32" s="791">
        <f t="shared" si="184"/>
      </c>
      <c r="J32" s="791">
        <f t="shared" si="215"/>
      </c>
      <c r="K32" s="791">
        <f t="shared" si="122"/>
      </c>
      <c r="L32" s="792">
        <f t="shared" si="153"/>
      </c>
      <c r="M32" s="793">
        <f t="shared" si="1"/>
      </c>
      <c r="N32" s="794">
        <f t="shared" si="91"/>
      </c>
      <c r="O32" s="795" t="s">
        <v>904</v>
      </c>
      <c r="P32" s="796" t="s">
        <v>905</v>
      </c>
      <c r="Q32" s="797">
        <v>12052</v>
      </c>
      <c r="R32" s="797">
        <v>1676</v>
      </c>
      <c r="S32" s="797">
        <v>4</v>
      </c>
      <c r="T32" s="797">
        <v>60</v>
      </c>
    </row>
    <row r="33">
      <c r="A33" s="785"/>
      <c r="B33" s="784" t="s">
        <v>911</v>
      </c>
      <c r="C33" s="789" t="s">
        <v>913</v>
      </c>
      <c r="D33" s="788">
        <v>3311.24</v>
      </c>
      <c r="E33" s="789">
        <v>2871.2</v>
      </c>
      <c r="F33" s="789">
        <v>440.04</v>
      </c>
      <c r="G33" s="790">
        <v>18</v>
      </c>
      <c r="H33" s="789">
        <v>12127.120000000003</v>
      </c>
      <c r="I33" s="791">
        <f t="shared" si="184"/>
      </c>
      <c r="J33" s="791">
        <f t="shared" si="215"/>
      </c>
      <c r="K33" s="791">
        <f t="shared" si="122"/>
      </c>
      <c r="L33" s="792">
        <f t="shared" si="153"/>
      </c>
      <c r="M33" s="793">
        <f t="shared" si="1"/>
      </c>
      <c r="N33" s="794">
        <f t="shared" si="91"/>
      </c>
      <c r="O33" s="795" t="s">
        <v>904</v>
      </c>
      <c r="P33" s="796" t="s">
        <v>905</v>
      </c>
      <c r="Q33" s="797">
        <v>34734</v>
      </c>
      <c r="R33" s="797">
        <v>4997</v>
      </c>
      <c r="S33" s="797">
        <v>22</v>
      </c>
      <c r="T33" s="797">
        <v>82</v>
      </c>
    </row>
    <row r="34">
      <c r="A34" s="785"/>
      <c r="B34" s="784" t="s">
        <v>911</v>
      </c>
      <c r="C34" s="789" t="s">
        <v>914</v>
      </c>
      <c r="D34" s="788">
        <v>5708.19</v>
      </c>
      <c r="E34" s="789">
        <v>4852.98</v>
      </c>
      <c r="F34" s="789">
        <v>855.21</v>
      </c>
      <c r="G34" s="790">
        <v>19</v>
      </c>
      <c r="H34" s="789">
        <v>9056.469999999994</v>
      </c>
      <c r="I34" s="791">
        <f t="shared" si="184"/>
      </c>
      <c r="J34" s="791">
        <f t="shared" si="215"/>
      </c>
      <c r="K34" s="791">
        <f t="shared" si="122"/>
      </c>
      <c r="L34" s="792">
        <f t="shared" si="153"/>
      </c>
      <c r="M34" s="793">
        <f t="shared" si="1"/>
      </c>
      <c r="N34" s="794">
        <f t="shared" si="91"/>
      </c>
      <c r="O34" s="795" t="s">
        <v>904</v>
      </c>
      <c r="P34" s="796" t="s">
        <v>916</v>
      </c>
      <c r="Q34" s="797">
        <v>62938</v>
      </c>
      <c r="R34" s="797">
        <v>9484</v>
      </c>
      <c r="S34" s="797">
        <v>29</v>
      </c>
      <c r="T34" s="797">
        <v>134</v>
      </c>
    </row>
    <row r="35">
      <c r="A35" s="785"/>
      <c r="B35" s="784" t="s">
        <v>911</v>
      </c>
      <c r="C35" s="789" t="s">
        <v>915</v>
      </c>
      <c r="D35" s="788">
        <v>9484.3</v>
      </c>
      <c r="E35" s="789">
        <v>7735.29</v>
      </c>
      <c r="F35" s="789">
        <v>1749.01</v>
      </c>
      <c r="G35" s="790">
        <v>44</v>
      </c>
      <c r="H35" s="789">
        <v>30745.75</v>
      </c>
      <c r="I35" s="791">
        <f t="shared" si="184"/>
      </c>
      <c r="J35" s="791">
        <f t="shared" si="215"/>
      </c>
      <c r="K35" s="791">
        <f t="shared" si="122"/>
      </c>
      <c r="L35" s="792">
        <f t="shared" si="153"/>
      </c>
      <c r="M35" s="793">
        <f t="shared" si="1"/>
      </c>
      <c r="N35" s="794">
        <f t="shared" si="91"/>
      </c>
      <c r="O35" s="795" t="s">
        <v>904</v>
      </c>
      <c r="P35" s="796" t="s">
        <v>916</v>
      </c>
      <c r="Q35" s="797">
        <v>112283</v>
      </c>
      <c r="R35" s="797">
        <v>16391</v>
      </c>
      <c r="S35" s="797">
        <v>50</v>
      </c>
      <c r="T35" s="797">
        <v>219</v>
      </c>
    </row>
    <row r="36">
      <c r="A36" s="785"/>
      <c r="B36" s="808" t="s">
        <v>910</v>
      </c>
      <c r="C36" s="808"/>
      <c r="D36" s="799">
        <f>SUM(D31:D35)</f>
      </c>
      <c r="E36" s="799">
        <f>SUM(E31:E35)</f>
      </c>
      <c r="F36" s="799">
        <f>SUM(F31:F35)</f>
      </c>
      <c r="G36" s="800">
        <f>SUM(G31:G35)</f>
      </c>
      <c r="H36" s="799">
        <f>SUM(H31:H35)</f>
      </c>
      <c r="I36" s="801">
        <f t="shared" si="184"/>
      </c>
      <c r="J36" s="802">
        <f t="shared" si="215"/>
      </c>
      <c r="K36" s="803">
        <f t="shared" si="122"/>
      </c>
      <c r="L36" s="804">
        <f t="shared" si="153"/>
      </c>
      <c r="M36" s="804">
        <f t="shared" si="1"/>
      </c>
      <c r="N36" s="805">
        <f t="shared" si="91"/>
      </c>
      <c r="O36" s="805"/>
      <c r="P36" s="805"/>
      <c r="Q36" s="799">
        <f>SUM(Q31:Q35)</f>
      </c>
      <c r="R36" s="799">
        <f>SUM(R31:R35)</f>
      </c>
      <c r="S36" s="799">
        <f>SUM(S31:S35)</f>
      </c>
      <c r="T36" s="799">
        <f>SUM(T31:T35)</f>
      </c>
    </row>
    <row r="37">
      <c r="A37" s="785"/>
      <c r="B37" s="784" t="s">
        <v>918</v>
      </c>
      <c r="C37" s="789" t="s">
        <v>917</v>
      </c>
      <c r="D37" s="788">
        <v>5689.96</v>
      </c>
      <c r="E37" s="789">
        <v>4118.95</v>
      </c>
      <c r="F37" s="789">
        <v>1571.01</v>
      </c>
      <c r="G37" s="790">
        <v>15</v>
      </c>
      <c r="H37" s="789">
        <v>12318.86</v>
      </c>
      <c r="I37" s="791">
        <f t="shared" si="184"/>
      </c>
      <c r="J37" s="791">
        <f t="shared" si="215"/>
      </c>
      <c r="K37" s="791">
        <f t="shared" si="122"/>
      </c>
      <c r="L37" s="792">
        <f t="shared" si="153"/>
      </c>
      <c r="M37" s="793">
        <f t="shared" si="1"/>
      </c>
      <c r="N37" s="794">
        <f t="shared" si="91"/>
      </c>
      <c r="O37" s="795" t="s">
        <v>904</v>
      </c>
      <c r="P37" s="796" t="s">
        <v>916</v>
      </c>
      <c r="Q37" s="797">
        <v>80423</v>
      </c>
      <c r="R37" s="797">
        <v>11164</v>
      </c>
      <c r="S37" s="797">
        <v>21</v>
      </c>
      <c r="T37" s="797">
        <v>114</v>
      </c>
    </row>
    <row r="38">
      <c r="A38" s="785"/>
      <c r="B38" s="784" t="s">
        <v>918</v>
      </c>
      <c r="C38" s="789" t="s">
        <v>919</v>
      </c>
      <c r="D38" s="788">
        <v>4156.84</v>
      </c>
      <c r="E38" s="789">
        <v>2136.23</v>
      </c>
      <c r="F38" s="789">
        <v>2020.61</v>
      </c>
      <c r="G38" s="790">
        <v>19</v>
      </c>
      <c r="H38" s="789">
        <v>7265.820000000007</v>
      </c>
      <c r="I38" s="791">
        <f t="shared" si="184"/>
      </c>
      <c r="J38" s="791">
        <f t="shared" si="215"/>
      </c>
      <c r="K38" s="791">
        <f t="shared" si="122"/>
      </c>
      <c r="L38" s="792">
        <f t="shared" si="153"/>
      </c>
      <c r="M38" s="793">
        <f t="shared" si="1"/>
      </c>
      <c r="N38" s="794">
        <f t="shared" si="91"/>
      </c>
      <c r="O38" s="795" t="s">
        <v>904</v>
      </c>
      <c r="P38" s="796" t="s">
        <v>916</v>
      </c>
      <c r="Q38" s="797">
        <v>51560</v>
      </c>
      <c r="R38" s="797">
        <v>6550</v>
      </c>
      <c r="S38" s="797">
        <v>22</v>
      </c>
      <c r="T38" s="797">
        <v>106</v>
      </c>
    </row>
    <row r="39">
      <c r="A39" s="785"/>
      <c r="B39" s="784" t="s">
        <v>918</v>
      </c>
      <c r="C39" s="789" t="s">
        <v>920</v>
      </c>
      <c r="D39" s="788">
        <v>5907.51</v>
      </c>
      <c r="E39" s="789">
        <v>2315.21</v>
      </c>
      <c r="F39" s="789">
        <v>3592.3</v>
      </c>
      <c r="G39" s="790">
        <v>19</v>
      </c>
      <c r="H39" s="789">
        <v>12148.349999999991</v>
      </c>
      <c r="I39" s="791">
        <f t="shared" si="184"/>
      </c>
      <c r="J39" s="791">
        <f t="shared" si="215"/>
      </c>
      <c r="K39" s="791">
        <f t="shared" si="122"/>
      </c>
      <c r="L39" s="792">
        <f t="shared" si="153"/>
      </c>
      <c r="M39" s="793">
        <f t="shared" si="1"/>
      </c>
      <c r="N39" s="794">
        <f t="shared" si="91"/>
      </c>
      <c r="O39" s="795" t="s">
        <v>904</v>
      </c>
      <c r="P39" s="796" t="s">
        <v>916</v>
      </c>
      <c r="Q39" s="797">
        <v>71791</v>
      </c>
      <c r="R39" s="797">
        <v>9691</v>
      </c>
      <c r="S39" s="797">
        <v>25</v>
      </c>
      <c r="T39" s="797">
        <v>124</v>
      </c>
    </row>
    <row customHeight="true" ht="16.666666666666668" r="40">
      <c r="A40" s="785"/>
      <c r="B40" s="784" t="s">
        <v>918</v>
      </c>
      <c r="C40" s="789" t="s">
        <v>921</v>
      </c>
      <c r="D40" s="788">
        <v>6780.48</v>
      </c>
      <c r="E40" s="789">
        <v>2134.95</v>
      </c>
      <c r="F40" s="789">
        <v>4645.53</v>
      </c>
      <c r="G40" s="790">
        <v>15</v>
      </c>
      <c r="H40" s="789">
        <v>8247.419999999998</v>
      </c>
      <c r="I40" s="791">
        <f t="shared" si="184"/>
      </c>
      <c r="J40" s="791">
        <f t="shared" si="215"/>
      </c>
      <c r="K40" s="791">
        <f t="shared" si="122"/>
      </c>
      <c r="L40" s="792">
        <f t="shared" si="153"/>
      </c>
      <c r="M40" s="793">
        <f t="shared" si="1"/>
      </c>
      <c r="N40" s="794">
        <f t="shared" si="91"/>
      </c>
      <c r="O40" s="795" t="s">
        <v>904</v>
      </c>
      <c r="P40" s="796" t="s">
        <v>916</v>
      </c>
      <c r="Q40" s="797">
        <v>74159</v>
      </c>
      <c r="R40" s="797">
        <v>10202</v>
      </c>
      <c r="S40" s="797">
        <v>21</v>
      </c>
      <c r="T40" s="797">
        <v>154</v>
      </c>
    </row>
    <row customHeight="true" ht="16.666666666666668" r="41">
      <c r="A41" s="785"/>
      <c r="B41" s="784" t="s">
        <v>918</v>
      </c>
      <c r="C41" s="789" t="s">
        <v>923</v>
      </c>
      <c r="D41" s="788">
        <v>5417.87</v>
      </c>
      <c r="E41" s="789">
        <v>2179.7799999999997</v>
      </c>
      <c r="F41" s="789">
        <v>3238.09</v>
      </c>
      <c r="G41" s="790">
        <v>18</v>
      </c>
      <c r="H41" s="789">
        <v>6509.820000000007</v>
      </c>
      <c r="I41" s="791">
        <f t="shared" si="184"/>
      </c>
      <c r="J41" s="791">
        <f t="shared" si="215"/>
      </c>
      <c r="K41" s="791">
        <f t="shared" si="122"/>
      </c>
      <c r="L41" s="792">
        <f t="shared" si="153"/>
      </c>
      <c r="M41" s="793">
        <f t="shared" si="1"/>
      </c>
      <c r="N41" s="794">
        <f t="shared" si="91"/>
      </c>
      <c r="O41" s="795" t="s">
        <v>904</v>
      </c>
      <c r="P41" s="796" t="s">
        <v>916</v>
      </c>
      <c r="Q41" s="797">
        <v>57183</v>
      </c>
      <c r="R41" s="797">
        <v>8459</v>
      </c>
      <c r="S41" s="797">
        <v>25</v>
      </c>
      <c r="T41" s="797">
        <v>115</v>
      </c>
    </row>
    <row r="42">
      <c r="A42" s="785"/>
      <c r="B42" s="808" t="s">
        <v>910</v>
      </c>
      <c r="C42" s="808"/>
      <c r="D42" s="799">
        <f>SUM(D37:D41)</f>
      </c>
      <c r="E42" s="799">
        <f>SUM(E37:E41)</f>
      </c>
      <c r="F42" s="799">
        <f>SUM(F37:F41)</f>
      </c>
      <c r="G42" s="800">
        <f>SUM(G37:G41)</f>
      </c>
      <c r="H42" s="799">
        <f>SUM(H37:H41)</f>
      </c>
      <c r="I42" s="801">
        <f t="shared" si="184"/>
      </c>
      <c r="J42" s="802">
        <f t="shared" si="215"/>
      </c>
      <c r="K42" s="803">
        <f t="shared" si="122"/>
      </c>
      <c r="L42" s="804">
        <f t="shared" si="153"/>
      </c>
      <c r="M42" s="804">
        <f t="shared" si="1"/>
      </c>
      <c r="N42" s="805">
        <f t="shared" si="91"/>
      </c>
      <c r="O42" s="805"/>
      <c r="P42" s="805"/>
      <c r="Q42" s="799">
        <f>SUM(Q37:Q41)</f>
      </c>
      <c r="R42" s="799">
        <f>SUM(R37:R41)</f>
      </c>
      <c r="S42" s="799">
        <f>SUM(S37:S41)</f>
      </c>
      <c r="T42" s="799">
        <f>SUM(T37:T41)</f>
      </c>
    </row>
    <row r="43">
      <c r="A43" s="785"/>
      <c r="B43" s="809" t="s">
        <v>926</v>
      </c>
      <c r="C43" s="809"/>
      <c r="D43" s="810">
        <f>D30+D36+D42</f>
      </c>
      <c r="E43" s="810">
        <f>E30+E36+E42</f>
      </c>
      <c r="F43" s="810">
        <f>F30+F36+F42</f>
      </c>
      <c r="G43" s="811">
        <f>G30+G36+G42</f>
      </c>
      <c r="H43" s="810">
        <f>H30+H36+H42</f>
      </c>
      <c r="I43" s="809">
        <f t="shared" si="184"/>
      </c>
      <c r="J43" s="809">
        <f t="shared" si="215"/>
      </c>
      <c r="K43" s="809">
        <f t="shared" si="122"/>
      </c>
      <c r="L43" s="812">
        <f t="shared" si="153"/>
      </c>
      <c r="M43" s="812">
        <f t="shared" si="1"/>
      </c>
      <c r="N43" s="809">
        <f t="shared" si="91"/>
      </c>
      <c r="O43" s="813"/>
      <c r="P43" s="813"/>
      <c r="Q43" s="810">
        <f>Q30+Q36+Q42</f>
      </c>
      <c r="R43" s="810">
        <f>R30+R36+R42</f>
      </c>
      <c r="S43" s="810">
        <f>S30+S36+S42</f>
      </c>
      <c r="T43" s="810">
        <f>T30+T36+T42</f>
      </c>
    </row>
    <row r="44">
      <c r="A44" s="775" t="s">
        <v>877</v>
      </c>
      <c r="B44" s="775"/>
      <c r="C44" s="775"/>
      <c r="D44" s="776" t="s">
        <v>878</v>
      </c>
      <c r="E44" s="776"/>
      <c r="F44" s="776"/>
      <c r="G44" s="777"/>
      <c r="H44" s="776"/>
      <c r="I44" s="776"/>
      <c r="J44" s="776"/>
      <c r="K44" s="776"/>
      <c r="L44" s="778" t="s">
        <v>879</v>
      </c>
      <c r="M44" s="778"/>
      <c r="N44" s="778"/>
      <c r="O44" s="778"/>
      <c r="P44" s="778"/>
      <c r="Q44" s="779" t="s">
        <v>880</v>
      </c>
      <c r="R44" s="779"/>
      <c r="S44" s="779"/>
      <c r="T44" s="779"/>
    </row>
    <row r="45">
      <c r="A45" s="780" t="s">
        <v>881</v>
      </c>
      <c r="B45" s="780" t="s">
        <v>882</v>
      </c>
      <c r="C45" s="780" t="s">
        <v>883</v>
      </c>
      <c r="D45" s="776" t="s">
        <v>884</v>
      </c>
      <c r="E45" s="776" t="s">
        <v>885</v>
      </c>
      <c r="F45" s="776" t="s">
        <v>886</v>
      </c>
      <c r="G45" s="777" t="s">
        <v>887</v>
      </c>
      <c r="H45" s="776" t="s">
        <v>888</v>
      </c>
      <c r="I45" s="781" t="s">
        <v>889</v>
      </c>
      <c r="J45" s="782" t="s">
        <v>890</v>
      </c>
      <c r="K45" s="776" t="s">
        <v>891</v>
      </c>
      <c r="L45" s="783" t="s">
        <v>892</v>
      </c>
      <c r="M45" s="783" t="s">
        <v>893</v>
      </c>
      <c r="N45" s="783" t="s">
        <v>894</v>
      </c>
      <c r="O45" s="778" t="s">
        <v>895</v>
      </c>
      <c r="P45" s="778" t="s">
        <v>896</v>
      </c>
      <c r="Q45" s="784" t="s">
        <v>897</v>
      </c>
      <c r="R45" s="784" t="s">
        <v>898</v>
      </c>
      <c r="S45" s="784" t="s">
        <v>899</v>
      </c>
      <c r="T45" s="784" t="s">
        <v>900</v>
      </c>
    </row>
    <row r="46">
      <c r="A46" s="785" t="s">
        <v>928</v>
      </c>
      <c r="B46" s="784" t="s">
        <v>911</v>
      </c>
      <c r="C46" s="787" t="s">
        <v>903</v>
      </c>
      <c r="D46" s="788">
        <v>4515.9800000000005</v>
      </c>
      <c r="E46" s="789">
        <v>2452.6800000000003</v>
      </c>
      <c r="F46" s="789">
        <v>2063.3</v>
      </c>
      <c r="G46" s="790">
        <v>16</v>
      </c>
      <c r="H46" s="789">
        <v>11574</v>
      </c>
      <c r="I46" s="791">
        <f t="shared" ref="I46:I66" si="185">H46/D46</f>
      </c>
      <c r="J46" s="791">
        <f t="shared" ref="J46:J66" si="216">D46/G46</f>
      </c>
      <c r="K46" s="791">
        <f t="shared" ref="K46:K66" si="123">H46/G46</f>
      </c>
      <c r="L46" s="792">
        <f t="shared" ref="L46:L66" si="154">R46/Q46</f>
      </c>
      <c r="M46" s="793">
        <f t="shared" ref="M46:M66" si="2">G46/S46</f>
      </c>
      <c r="N46" s="794">
        <f t="shared" ref="N46:N66" si="92">(T46*1000)/D46</f>
      </c>
      <c r="O46" s="795" t="s">
        <v>904</v>
      </c>
      <c r="P46" s="796" t="s">
        <v>905</v>
      </c>
      <c r="Q46" s="797">
        <v>37784</v>
      </c>
      <c r="R46" s="797">
        <v>6651</v>
      </c>
      <c r="S46" s="797">
        <v>25</v>
      </c>
      <c r="T46" s="797">
        <v>162</v>
      </c>
    </row>
    <row r="47">
      <c r="A47" s="785"/>
      <c r="B47" s="784" t="s">
        <v>911</v>
      </c>
      <c r="C47" s="789" t="s">
        <v>906</v>
      </c>
      <c r="D47" s="788">
        <v>6811.74</v>
      </c>
      <c r="E47" s="789">
        <v>3549.7</v>
      </c>
      <c r="F47" s="789">
        <v>3262.04</v>
      </c>
      <c r="G47" s="790">
        <v>30</v>
      </c>
      <c r="H47" s="789">
        <v>16460.38</v>
      </c>
      <c r="I47" s="791">
        <f t="shared" si="185"/>
      </c>
      <c r="J47" s="791">
        <f t="shared" si="216"/>
      </c>
      <c r="K47" s="791">
        <f t="shared" si="123"/>
      </c>
      <c r="L47" s="792">
        <f t="shared" si="154"/>
      </c>
      <c r="M47" s="793">
        <f t="shared" si="2"/>
      </c>
      <c r="N47" s="794">
        <f t="shared" si="92"/>
      </c>
      <c r="O47" s="795" t="s">
        <v>904</v>
      </c>
      <c r="P47" s="796" t="s">
        <v>905</v>
      </c>
      <c r="Q47" s="797">
        <v>52805</v>
      </c>
      <c r="R47" s="797">
        <v>9749</v>
      </c>
      <c r="S47" s="797">
        <v>41</v>
      </c>
      <c r="T47" s="797">
        <v>228</v>
      </c>
    </row>
    <row r="48">
      <c r="A48" s="785"/>
      <c r="B48" s="784" t="s">
        <v>911</v>
      </c>
      <c r="C48" s="789" t="s">
        <v>907</v>
      </c>
      <c r="D48" s="788">
        <v>8707.02</v>
      </c>
      <c r="E48" s="789">
        <v>4952.92</v>
      </c>
      <c r="F48" s="789">
        <v>3754.1</v>
      </c>
      <c r="G48" s="790">
        <v>30</v>
      </c>
      <c r="H48" s="789">
        <v>13845.600000000002</v>
      </c>
      <c r="I48" s="791">
        <f t="shared" si="185"/>
      </c>
      <c r="J48" s="791">
        <f t="shared" si="216"/>
      </c>
      <c r="K48" s="791">
        <f t="shared" si="123"/>
      </c>
      <c r="L48" s="792">
        <f t="shared" si="154"/>
      </c>
      <c r="M48" s="793">
        <f t="shared" si="2"/>
      </c>
      <c r="N48" s="794">
        <f t="shared" si="92"/>
      </c>
      <c r="O48" s="795" t="s">
        <v>904</v>
      </c>
      <c r="P48" s="796" t="s">
        <v>905</v>
      </c>
      <c r="Q48" s="797">
        <v>89793</v>
      </c>
      <c r="R48" s="797">
        <v>13513</v>
      </c>
      <c r="S48" s="797">
        <v>48</v>
      </c>
      <c r="T48" s="797">
        <v>320</v>
      </c>
    </row>
    <row r="49">
      <c r="A49" s="785"/>
      <c r="B49" s="784" t="s">
        <v>911</v>
      </c>
      <c r="C49" s="789" t="s">
        <v>908</v>
      </c>
      <c r="D49" s="788">
        <v>7262.969999999999</v>
      </c>
      <c r="E49" s="789">
        <v>4263.54</v>
      </c>
      <c r="F49" s="789">
        <v>2999.43</v>
      </c>
      <c r="G49" s="790">
        <v>25</v>
      </c>
      <c r="H49" s="789">
        <v>14443.29</v>
      </c>
      <c r="I49" s="791">
        <f t="shared" si="185"/>
      </c>
      <c r="J49" s="791">
        <f t="shared" si="216"/>
      </c>
      <c r="K49" s="791">
        <f t="shared" si="123"/>
      </c>
      <c r="L49" s="792">
        <f t="shared" si="154"/>
      </c>
      <c r="M49" s="793">
        <f t="shared" si="2"/>
      </c>
      <c r="N49" s="794">
        <f t="shared" si="92"/>
      </c>
      <c r="O49" s="795" t="s">
        <v>904</v>
      </c>
      <c r="P49" s="796" t="s">
        <v>905</v>
      </c>
      <c r="Q49" s="797">
        <v>79641</v>
      </c>
      <c r="R49" s="797">
        <v>11531</v>
      </c>
      <c r="S49" s="797">
        <v>45</v>
      </c>
      <c r="T49" s="797">
        <v>290</v>
      </c>
    </row>
    <row r="50">
      <c r="A50" s="785"/>
      <c r="B50" s="798" t="s">
        <v>910</v>
      </c>
      <c r="C50" s="798"/>
      <c r="D50" s="799">
        <f>SUM(D46:D49)</f>
      </c>
      <c r="E50" s="799">
        <f>SUM(E46:E49)</f>
      </c>
      <c r="F50" s="799">
        <f>SUM(F46:F49)</f>
      </c>
      <c r="G50" s="800">
        <f>SUM(G46:G49)</f>
      </c>
      <c r="H50" s="799">
        <f>SUM(H46:H49)</f>
      </c>
      <c r="I50" s="801">
        <f t="shared" si="185"/>
      </c>
      <c r="J50" s="802">
        <f t="shared" si="216"/>
      </c>
      <c r="K50" s="803">
        <f t="shared" si="123"/>
      </c>
      <c r="L50" s="804">
        <f t="shared" si="154"/>
      </c>
      <c r="M50" s="804">
        <f t="shared" si="2"/>
      </c>
      <c r="N50" s="805">
        <f t="shared" si="92"/>
      </c>
      <c r="O50" s="805"/>
      <c r="P50" s="805"/>
      <c r="Q50" s="806">
        <f>SUM(Q46:Q49)</f>
      </c>
      <c r="R50" s="806">
        <f>SUM(R46:R49)</f>
      </c>
      <c r="S50" s="806">
        <f>SUM(S46:S49)</f>
      </c>
      <c r="T50" s="806">
        <f>SUM(T46:T49)</f>
      </c>
    </row>
    <row r="51">
      <c r="A51" s="785"/>
      <c r="B51" s="786" t="s">
        <v>902</v>
      </c>
      <c r="C51" s="789" t="s">
        <v>909</v>
      </c>
      <c r="D51" s="788">
        <v>7614.0199999999995</v>
      </c>
      <c r="E51" s="788">
        <v>4886.9</v>
      </c>
      <c r="F51" s="788">
        <v>2727.12</v>
      </c>
      <c r="G51" s="807">
        <v>23</v>
      </c>
      <c r="H51" s="788">
        <v>10608.839999999997</v>
      </c>
      <c r="I51" s="791">
        <f t="shared" si="185"/>
      </c>
      <c r="J51" s="791">
        <f t="shared" si="216"/>
      </c>
      <c r="K51" s="791">
        <f t="shared" si="123"/>
      </c>
      <c r="L51" s="792">
        <f t="shared" si="154"/>
      </c>
      <c r="M51" s="793">
        <f t="shared" si="2"/>
      </c>
      <c r="N51" s="794">
        <f t="shared" si="92"/>
      </c>
      <c r="O51" s="795" t="s">
        <v>904</v>
      </c>
      <c r="P51" s="796" t="s">
        <v>905</v>
      </c>
      <c r="Q51" s="784">
        <v>77831</v>
      </c>
      <c r="R51" s="784">
        <v>12802</v>
      </c>
      <c r="S51" s="797">
        <v>27</v>
      </c>
      <c r="T51" s="784">
        <v>274</v>
      </c>
    </row>
    <row r="52">
      <c r="A52" s="785"/>
      <c r="B52" s="786" t="s">
        <v>902</v>
      </c>
      <c r="C52" s="789" t="s">
        <v>912</v>
      </c>
      <c r="D52" s="788">
        <v>7409.1</v>
      </c>
      <c r="E52" s="789">
        <v>5130.35</v>
      </c>
      <c r="F52" s="789">
        <v>2278.75</v>
      </c>
      <c r="G52" s="790">
        <v>28</v>
      </c>
      <c r="H52" s="789">
        <v>22343.949999999997</v>
      </c>
      <c r="I52" s="791">
        <f t="shared" si="185"/>
      </c>
      <c r="J52" s="791">
        <f t="shared" si="216"/>
      </c>
      <c r="K52" s="791">
        <f t="shared" si="123"/>
      </c>
      <c r="L52" s="792">
        <f t="shared" si="154"/>
      </c>
      <c r="M52" s="793">
        <f t="shared" si="2"/>
      </c>
      <c r="N52" s="794">
        <f t="shared" si="92"/>
      </c>
      <c r="O52" s="795" t="s">
        <v>904</v>
      </c>
      <c r="P52" s="796" t="s">
        <v>905</v>
      </c>
      <c r="Q52" s="797">
        <v>73364</v>
      </c>
      <c r="R52" s="797">
        <v>11975</v>
      </c>
      <c r="S52" s="797">
        <v>40</v>
      </c>
      <c r="T52" s="797">
        <v>243</v>
      </c>
    </row>
    <row r="53">
      <c r="A53" s="785"/>
      <c r="B53" s="786" t="s">
        <v>902</v>
      </c>
      <c r="C53" s="789" t="s">
        <v>913</v>
      </c>
      <c r="D53" s="788">
        <v>4465.4</v>
      </c>
      <c r="E53" s="789">
        <v>2618.47</v>
      </c>
      <c r="F53" s="789">
        <v>1846.93</v>
      </c>
      <c r="G53" s="790">
        <v>15</v>
      </c>
      <c r="H53" s="789">
        <v>7068.490000000005</v>
      </c>
      <c r="I53" s="791">
        <f t="shared" si="185"/>
      </c>
      <c r="J53" s="791">
        <f t="shared" si="216"/>
      </c>
      <c r="K53" s="791">
        <f t="shared" si="123"/>
      </c>
      <c r="L53" s="792">
        <f t="shared" si="154"/>
      </c>
      <c r="M53" s="793">
        <f t="shared" si="2"/>
      </c>
      <c r="N53" s="794">
        <f t="shared" si="92"/>
      </c>
      <c r="O53" s="795" t="s">
        <v>904</v>
      </c>
      <c r="P53" s="796" t="s">
        <v>905</v>
      </c>
      <c r="Q53" s="797">
        <v>43100</v>
      </c>
      <c r="R53" s="797">
        <v>6688</v>
      </c>
      <c r="S53" s="797">
        <v>18</v>
      </c>
      <c r="T53" s="797">
        <v>144</v>
      </c>
    </row>
    <row r="54">
      <c r="A54" s="785"/>
      <c r="B54" s="786" t="s">
        <v>902</v>
      </c>
      <c r="C54" s="789" t="s">
        <v>914</v>
      </c>
      <c r="D54" s="788">
        <v>5429.4</v>
      </c>
      <c r="E54" s="789">
        <v>3740.69</v>
      </c>
      <c r="F54" s="789">
        <v>1688.71</v>
      </c>
      <c r="G54" s="790">
        <v>15</v>
      </c>
      <c r="H54" s="789">
        <v>10278.509999999995</v>
      </c>
      <c r="I54" s="791">
        <f t="shared" si="185"/>
      </c>
      <c r="J54" s="791">
        <f t="shared" si="216"/>
      </c>
      <c r="K54" s="791">
        <f t="shared" si="123"/>
      </c>
      <c r="L54" s="792">
        <f t="shared" si="154"/>
      </c>
      <c r="M54" s="793">
        <f t="shared" si="2"/>
      </c>
      <c r="N54" s="794">
        <f t="shared" si="92"/>
      </c>
      <c r="O54" s="795" t="s">
        <v>904</v>
      </c>
      <c r="P54" s="796" t="s">
        <v>916</v>
      </c>
      <c r="Q54" s="797">
        <v>49591</v>
      </c>
      <c r="R54" s="797">
        <v>8184</v>
      </c>
      <c r="S54" s="797">
        <v>18</v>
      </c>
      <c r="T54" s="797">
        <v>240</v>
      </c>
    </row>
    <row r="55">
      <c r="A55" s="785"/>
      <c r="B55" s="808" t="s">
        <v>910</v>
      </c>
      <c r="C55" s="808"/>
      <c r="D55" s="799">
        <f>SUM(D51:D54)</f>
      </c>
      <c r="E55" s="799">
        <f>SUM(E51:E54)</f>
      </c>
      <c r="F55" s="799">
        <f>SUM(F51:F54)</f>
      </c>
      <c r="G55" s="800">
        <f>SUM(G51:G54)</f>
      </c>
      <c r="H55" s="799">
        <f>SUM(H51:H54)</f>
      </c>
      <c r="I55" s="801">
        <f t="shared" si="185"/>
      </c>
      <c r="J55" s="802">
        <f t="shared" si="216"/>
      </c>
      <c r="K55" s="803">
        <f t="shared" si="123"/>
      </c>
      <c r="L55" s="804">
        <f t="shared" si="154"/>
      </c>
      <c r="M55" s="804">
        <f t="shared" si="2"/>
      </c>
      <c r="N55" s="805">
        <f t="shared" si="92"/>
      </c>
      <c r="O55" s="805"/>
      <c r="P55" s="805"/>
      <c r="Q55" s="799">
        <f>SUM(Q51:Q54)</f>
      </c>
      <c r="R55" s="799">
        <f>SUM(R51:R54)</f>
      </c>
      <c r="S55" s="799">
        <f>SUM(S51:S54)</f>
      </c>
      <c r="T55" s="799">
        <f>SUM(T51:T54)</f>
      </c>
    </row>
    <row r="56">
      <c r="A56" s="785"/>
      <c r="B56" s="784" t="s">
        <v>918</v>
      </c>
      <c r="C56" s="789" t="s">
        <v>915</v>
      </c>
      <c r="D56" s="788">
        <v>3745.4</v>
      </c>
      <c r="E56" s="789">
        <v>2205.4</v>
      </c>
      <c r="F56" s="789">
        <v>1540</v>
      </c>
      <c r="G56" s="790">
        <v>6</v>
      </c>
      <c r="H56" s="789">
        <v>4485.5</v>
      </c>
      <c r="I56" s="791">
        <f t="shared" si="185"/>
      </c>
      <c r="J56" s="791">
        <f t="shared" si="216"/>
      </c>
      <c r="K56" s="791">
        <f t="shared" si="123"/>
      </c>
      <c r="L56" s="792">
        <f t="shared" si="154"/>
      </c>
      <c r="M56" s="793">
        <f t="shared" si="2"/>
      </c>
      <c r="N56" s="794">
        <f t="shared" si="92"/>
      </c>
      <c r="O56" s="795" t="s">
        <v>904</v>
      </c>
      <c r="P56" s="796" t="s">
        <v>916</v>
      </c>
      <c r="Q56" s="797">
        <v>36685</v>
      </c>
      <c r="R56" s="797">
        <v>6481</v>
      </c>
      <c r="S56" s="797">
        <v>8</v>
      </c>
      <c r="T56" s="797">
        <v>118</v>
      </c>
    </row>
    <row r="57">
      <c r="A57" s="785"/>
      <c r="B57" s="784" t="s">
        <v>918</v>
      </c>
      <c r="C57" s="789" t="s">
        <v>917</v>
      </c>
      <c r="D57" s="788">
        <v>3060.51</v>
      </c>
      <c r="E57" s="789">
        <v>1824.71</v>
      </c>
      <c r="F57" s="789">
        <v>1235.8</v>
      </c>
      <c r="G57" s="790">
        <v>5</v>
      </c>
      <c r="H57" s="789">
        <v>4236</v>
      </c>
      <c r="I57" s="791">
        <f t="shared" si="185"/>
      </c>
      <c r="J57" s="791">
        <f t="shared" si="216"/>
      </c>
      <c r="K57" s="791">
        <f t="shared" si="123"/>
      </c>
      <c r="L57" s="792">
        <f t="shared" si="154"/>
      </c>
      <c r="M57" s="793">
        <f t="shared" si="2"/>
      </c>
      <c r="N57" s="794">
        <f t="shared" si="92"/>
      </c>
      <c r="O57" s="795" t="s">
        <v>904</v>
      </c>
      <c r="P57" s="796" t="s">
        <v>916</v>
      </c>
      <c r="Q57" s="797">
        <v>31041</v>
      </c>
      <c r="R57" s="797">
        <v>4964</v>
      </c>
      <c r="S57" s="797">
        <v>10</v>
      </c>
      <c r="T57" s="797">
        <v>129</v>
      </c>
    </row>
    <row r="58">
      <c r="A58" s="785"/>
      <c r="B58" s="784" t="s">
        <v>918</v>
      </c>
      <c r="C58" s="789" t="s">
        <v>919</v>
      </c>
      <c r="D58" s="788">
        <v>4777.53</v>
      </c>
      <c r="E58" s="789">
        <v>3454.44</v>
      </c>
      <c r="F58" s="789">
        <v>1323.09</v>
      </c>
      <c r="G58" s="790">
        <v>17</v>
      </c>
      <c r="H58" s="789">
        <v>11010.960000000006</v>
      </c>
      <c r="I58" s="791">
        <f t="shared" si="185"/>
      </c>
      <c r="J58" s="791">
        <f t="shared" si="216"/>
      </c>
      <c r="K58" s="791">
        <f t="shared" si="123"/>
      </c>
      <c r="L58" s="792">
        <f t="shared" si="154"/>
      </c>
      <c r="M58" s="793">
        <f t="shared" si="2"/>
      </c>
      <c r="N58" s="794">
        <f t="shared" si="92"/>
      </c>
      <c r="O58" s="795" t="s">
        <v>904</v>
      </c>
      <c r="P58" s="796" t="s">
        <v>916</v>
      </c>
      <c r="Q58" s="797">
        <v>57370</v>
      </c>
      <c r="R58" s="797">
        <v>7651</v>
      </c>
      <c r="S58" s="797">
        <v>21</v>
      </c>
      <c r="T58" s="797">
        <v>263</v>
      </c>
    </row>
    <row r="59">
      <c r="A59" s="785"/>
      <c r="B59" s="784" t="s">
        <v>918</v>
      </c>
      <c r="C59" s="789" t="s">
        <v>920</v>
      </c>
      <c r="D59" s="788">
        <v>4616.45</v>
      </c>
      <c r="E59" s="789">
        <v>3394.94</v>
      </c>
      <c r="F59" s="789">
        <v>1221.51</v>
      </c>
      <c r="G59" s="790">
        <v>11</v>
      </c>
      <c r="H59" s="789">
        <v>5506.580000000002</v>
      </c>
      <c r="I59" s="791">
        <f t="shared" si="185"/>
      </c>
      <c r="J59" s="791">
        <f t="shared" si="216"/>
      </c>
      <c r="K59" s="791">
        <f t="shared" si="123"/>
      </c>
      <c r="L59" s="792">
        <f t="shared" si="154"/>
      </c>
      <c r="M59" s="793">
        <f t="shared" si="2"/>
      </c>
      <c r="N59" s="794">
        <f t="shared" si="92"/>
      </c>
      <c r="O59" s="795" t="s">
        <v>904</v>
      </c>
      <c r="P59" s="796" t="s">
        <v>916</v>
      </c>
      <c r="Q59" s="797">
        <v>57199</v>
      </c>
      <c r="R59" s="797">
        <v>8153</v>
      </c>
      <c r="S59" s="797">
        <v>14</v>
      </c>
      <c r="T59" s="797">
        <v>267</v>
      </c>
    </row>
    <row r="60">
      <c r="A60" s="785"/>
      <c r="B60" s="784" t="s">
        <v>918</v>
      </c>
      <c r="C60" s="789" t="s">
        <v>921</v>
      </c>
      <c r="D60" s="788">
        <v>2696.52</v>
      </c>
      <c r="E60" s="789">
        <v>2096.93</v>
      </c>
      <c r="F60" s="789">
        <v>599.59</v>
      </c>
      <c r="G60" s="790">
        <v>12</v>
      </c>
      <c r="H60" s="789">
        <v>6693.619999999995</v>
      </c>
      <c r="I60" s="791">
        <f t="shared" si="185"/>
      </c>
      <c r="J60" s="791">
        <f t="shared" si="216"/>
      </c>
      <c r="K60" s="791">
        <f t="shared" si="123"/>
      </c>
      <c r="L60" s="792">
        <f t="shared" si="154"/>
      </c>
      <c r="M60" s="793">
        <f t="shared" si="2"/>
      </c>
      <c r="N60" s="794">
        <f t="shared" si="92"/>
      </c>
      <c r="O60" s="795" t="s">
        <v>904</v>
      </c>
      <c r="P60" s="796" t="s">
        <v>916</v>
      </c>
      <c r="Q60" s="797">
        <v>27179</v>
      </c>
      <c r="R60" s="797">
        <v>3728</v>
      </c>
      <c r="S60" s="797">
        <v>16</v>
      </c>
      <c r="T60" s="797">
        <v>135</v>
      </c>
    </row>
    <row r="61">
      <c r="A61" s="785"/>
      <c r="B61" s="808" t="s">
        <v>910</v>
      </c>
      <c r="C61" s="808"/>
      <c r="D61" s="799">
        <f>SUM(D56:D60)</f>
      </c>
      <c r="E61" s="799">
        <f>SUM(E56:E60)</f>
      </c>
      <c r="F61" s="799">
        <f>SUM(F56:F60)</f>
      </c>
      <c r="G61" s="800">
        <f>SUM(G56:G60)</f>
      </c>
      <c r="H61" s="799">
        <f>SUM(H56:H60)</f>
      </c>
      <c r="I61" s="801">
        <f t="shared" si="185"/>
      </c>
      <c r="J61" s="802">
        <f t="shared" si="216"/>
      </c>
      <c r="K61" s="803">
        <f t="shared" si="123"/>
      </c>
      <c r="L61" s="804">
        <f t="shared" si="154"/>
      </c>
      <c r="M61" s="804">
        <f t="shared" si="2"/>
      </c>
      <c r="N61" s="805">
        <f t="shared" si="92"/>
      </c>
      <c r="O61" s="805"/>
      <c r="P61" s="805"/>
      <c r="Q61" s="799">
        <f>SUM(Q56:Q60)</f>
      </c>
      <c r="R61" s="799">
        <f>SUM(R56:R60)</f>
      </c>
      <c r="S61" s="799">
        <f>SUM(S56:S60)</f>
      </c>
      <c r="T61" s="799">
        <f>SUM(T56:T60)</f>
      </c>
    </row>
    <row customHeight="true" ht="16.666666666666668" r="62">
      <c r="A62" s="785"/>
      <c r="B62" s="786" t="s">
        <v>922</v>
      </c>
      <c r="C62" s="789" t="s">
        <v>923</v>
      </c>
      <c r="D62" s="788">
        <v>3212.54</v>
      </c>
      <c r="E62" s="789">
        <v>2042.77</v>
      </c>
      <c r="F62" s="789">
        <v>1169.77</v>
      </c>
      <c r="G62" s="790">
        <v>6</v>
      </c>
      <c r="H62" s="789">
        <v>3579.720000000001</v>
      </c>
      <c r="I62" s="791">
        <f t="shared" si="185"/>
      </c>
      <c r="J62" s="791">
        <f t="shared" si="216"/>
      </c>
      <c r="K62" s="791">
        <f t="shared" si="123"/>
      </c>
      <c r="L62" s="792">
        <f t="shared" si="154"/>
      </c>
      <c r="M62" s="793">
        <f t="shared" si="2"/>
      </c>
      <c r="N62" s="794">
        <f t="shared" si="92"/>
      </c>
      <c r="O62" s="795" t="s">
        <v>904</v>
      </c>
      <c r="P62" s="796" t="s">
        <v>916</v>
      </c>
      <c r="Q62" s="797">
        <v>30993</v>
      </c>
      <c r="R62" s="797">
        <v>4457</v>
      </c>
      <c r="S62" s="797">
        <v>14</v>
      </c>
      <c r="T62" s="797">
        <v>127</v>
      </c>
    </row>
    <row customHeight="true" ht="16.666666666666668" r="63">
      <c r="A63" s="785"/>
      <c r="B63" s="786" t="s">
        <v>922</v>
      </c>
      <c r="C63" s="788" t="s">
        <v>924</v>
      </c>
      <c r="D63" s="788">
        <v>3821.74</v>
      </c>
      <c r="E63" s="789">
        <v>2680.23</v>
      </c>
      <c r="F63" s="789">
        <v>1141.51</v>
      </c>
      <c r="G63" s="790">
        <v>17</v>
      </c>
      <c r="H63" s="789">
        <v>9603.139999999985</v>
      </c>
      <c r="I63" s="791">
        <f t="shared" si="185"/>
      </c>
      <c r="J63" s="791">
        <f t="shared" si="216"/>
      </c>
      <c r="K63" s="791">
        <f t="shared" si="123"/>
      </c>
      <c r="L63" s="792">
        <f t="shared" si="154"/>
      </c>
      <c r="M63" s="793">
        <f t="shared" si="2"/>
      </c>
      <c r="N63" s="794">
        <f t="shared" si="92"/>
      </c>
      <c r="O63" s="795" t="s">
        <v>904</v>
      </c>
      <c r="P63" s="796" t="s">
        <v>916</v>
      </c>
      <c r="Q63" s="797">
        <v>38905</v>
      </c>
      <c r="R63" s="797">
        <v>5622</v>
      </c>
      <c r="S63" s="797">
        <v>18</v>
      </c>
      <c r="T63" s="797">
        <v>154</v>
      </c>
    </row>
    <row customHeight="true" ht="16.666666666666668" r="64">
      <c r="A64" s="785"/>
      <c r="B64" s="786" t="s">
        <v>922</v>
      </c>
      <c r="C64" s="789" t="s">
        <v>925</v>
      </c>
      <c r="D64" s="788">
        <v>1880.95</v>
      </c>
      <c r="E64" s="789">
        <v>1426.21</v>
      </c>
      <c r="F64" s="789">
        <v>454.74</v>
      </c>
      <c r="G64" s="790">
        <v>6</v>
      </c>
      <c r="H64" s="789">
        <v>3503.040000000008</v>
      </c>
      <c r="I64" s="791">
        <f t="shared" si="185"/>
      </c>
      <c r="J64" s="791">
        <f t="shared" si="216"/>
      </c>
      <c r="K64" s="791">
        <f t="shared" si="123"/>
      </c>
      <c r="L64" s="792">
        <f t="shared" si="154"/>
      </c>
      <c r="M64" s="793">
        <f t="shared" si="2"/>
      </c>
      <c r="N64" s="794">
        <f t="shared" si="92"/>
      </c>
      <c r="O64" s="795" t="s">
        <v>904</v>
      </c>
      <c r="P64" s="796" t="s">
        <v>916</v>
      </c>
      <c r="Q64" s="797">
        <v>17201</v>
      </c>
      <c r="R64" s="797">
        <v>2679</v>
      </c>
      <c r="S64" s="797">
        <v>8</v>
      </c>
      <c r="T64" s="797">
        <v>89</v>
      </c>
    </row>
    <row customHeight="true" ht="16.666666666666668" r="65">
      <c r="A65" s="785"/>
      <c r="B65" s="808" t="s">
        <v>910</v>
      </c>
      <c r="C65" s="808"/>
      <c r="D65" s="799">
        <f>SUM(D62:D64)</f>
      </c>
      <c r="E65" s="799">
        <f>SUM(E62:E64)</f>
      </c>
      <c r="F65" s="799">
        <f>SUM(F62:F64)</f>
      </c>
      <c r="G65" s="800">
        <f>SUM(G62:G64)</f>
      </c>
      <c r="H65" s="799">
        <f>SUM(H62:H64)</f>
      </c>
      <c r="I65" s="801">
        <f t="shared" si="185"/>
      </c>
      <c r="J65" s="802">
        <f t="shared" si="216"/>
      </c>
      <c r="K65" s="803">
        <f t="shared" si="123"/>
      </c>
      <c r="L65" s="804">
        <f t="shared" si="154"/>
      </c>
      <c r="M65" s="804">
        <f t="shared" si="2"/>
      </c>
      <c r="N65" s="805">
        <f t="shared" si="92"/>
      </c>
      <c r="O65" s="805"/>
      <c r="P65" s="805"/>
      <c r="Q65" s="799">
        <f>SUM(Q62:Q64)</f>
      </c>
      <c r="R65" s="799">
        <f>SUM(R62:R64)</f>
      </c>
      <c r="S65" s="799">
        <f>SUM(S62:S64)</f>
      </c>
      <c r="T65" s="799">
        <f>SUM(T62:T64)</f>
      </c>
    </row>
    <row r="66">
      <c r="A66" s="785"/>
      <c r="B66" s="809" t="s">
        <v>926</v>
      </c>
      <c r="C66" s="809"/>
      <c r="D66" s="810">
        <f>D50+D55+D61+D65</f>
      </c>
      <c r="E66" s="810">
        <f>E50+E55+E61+E65</f>
      </c>
      <c r="F66" s="810">
        <f>F50+F55+F61+F65</f>
      </c>
      <c r="G66" s="811">
        <f>G50+G55+G61+G65</f>
      </c>
      <c r="H66" s="810">
        <f>H50+H55+H61+H65</f>
      </c>
      <c r="I66" s="809">
        <f t="shared" si="185"/>
      </c>
      <c r="J66" s="809">
        <f t="shared" si="216"/>
      </c>
      <c r="K66" s="809">
        <f t="shared" si="123"/>
      </c>
      <c r="L66" s="812">
        <f t="shared" si="154"/>
      </c>
      <c r="M66" s="812">
        <f t="shared" si="2"/>
      </c>
      <c r="N66" s="809">
        <f t="shared" si="92"/>
      </c>
      <c r="O66" s="813"/>
      <c r="P66" s="813"/>
      <c r="Q66" s="810">
        <f>Q50+Q55+Q61+Q65</f>
      </c>
      <c r="R66" s="810">
        <f>R50+R55+R61+R65</f>
      </c>
      <c r="S66" s="810">
        <f>S50+S55+S61+S65</f>
      </c>
      <c r="T66" s="810">
        <f>T50+T55+T61+T65</f>
      </c>
    </row>
    <row r="67">
      <c r="A67" s="775" t="s">
        <v>877</v>
      </c>
      <c r="B67" s="775"/>
      <c r="C67" s="775"/>
      <c r="D67" s="776" t="s">
        <v>878</v>
      </c>
      <c r="E67" s="776"/>
      <c r="F67" s="776"/>
      <c r="G67" s="777"/>
      <c r="H67" s="776"/>
      <c r="I67" s="776"/>
      <c r="J67" s="776"/>
      <c r="K67" s="776"/>
      <c r="L67" s="778" t="s">
        <v>879</v>
      </c>
      <c r="M67" s="778"/>
      <c r="N67" s="778"/>
      <c r="O67" s="778"/>
      <c r="P67" s="778"/>
      <c r="Q67" s="779" t="s">
        <v>880</v>
      </c>
      <c r="R67" s="779"/>
      <c r="S67" s="779"/>
      <c r="T67" s="779"/>
    </row>
    <row r="68">
      <c r="A68" s="780" t="s">
        <v>881</v>
      </c>
      <c r="B68" s="780" t="s">
        <v>882</v>
      </c>
      <c r="C68" s="780" t="s">
        <v>883</v>
      </c>
      <c r="D68" s="776" t="s">
        <v>884</v>
      </c>
      <c r="E68" s="776" t="s">
        <v>885</v>
      </c>
      <c r="F68" s="776" t="s">
        <v>886</v>
      </c>
      <c r="G68" s="777" t="s">
        <v>887</v>
      </c>
      <c r="H68" s="776" t="s">
        <v>888</v>
      </c>
      <c r="I68" s="781" t="s">
        <v>889</v>
      </c>
      <c r="J68" s="782" t="s">
        <v>890</v>
      </c>
      <c r="K68" s="776" t="s">
        <v>891</v>
      </c>
      <c r="L68" s="783" t="s">
        <v>892</v>
      </c>
      <c r="M68" s="783" t="s">
        <v>893</v>
      </c>
      <c r="N68" s="783" t="s">
        <v>894</v>
      </c>
      <c r="O68" s="778" t="s">
        <v>895</v>
      </c>
      <c r="P68" s="778" t="s">
        <v>896</v>
      </c>
      <c r="Q68" s="784" t="s">
        <v>897</v>
      </c>
      <c r="R68" s="784" t="s">
        <v>898</v>
      </c>
      <c r="S68" s="784" t="s">
        <v>899</v>
      </c>
      <c r="T68" s="784" t="s">
        <v>900</v>
      </c>
    </row>
    <row r="69">
      <c r="A69" s="785" t="s">
        <v>929</v>
      </c>
      <c r="B69" s="786" t="s">
        <v>902</v>
      </c>
      <c r="C69" s="787" t="s">
        <v>903</v>
      </c>
      <c r="D69" s="788">
        <v>4677.99</v>
      </c>
      <c r="E69" s="789">
        <v>4029.11</v>
      </c>
      <c r="F69" s="789">
        <v>648.88</v>
      </c>
      <c r="G69" s="790">
        <v>19</v>
      </c>
      <c r="H69" s="789">
        <v>10102.34</v>
      </c>
      <c r="I69" s="791">
        <f t="shared" ref="I69:I89" si="186">H69/D69</f>
      </c>
      <c r="J69" s="791">
        <f t="shared" ref="J69:J89" si="217">D69/G69</f>
      </c>
      <c r="K69" s="791">
        <f t="shared" ref="K69:K89" si="124">H69/G69</f>
      </c>
      <c r="L69" s="792">
        <f t="shared" ref="L69:L89" si="155">R69/Q69</f>
      </c>
      <c r="M69" s="793">
        <f t="shared" ref="M69:M89" si="3">G69/S69</f>
      </c>
      <c r="N69" s="794">
        <f t="shared" ref="N69:N89" si="93">(T69*1000)/D69</f>
      </c>
      <c r="O69" s="795" t="s">
        <v>904</v>
      </c>
      <c r="P69" s="796" t="s">
        <v>905</v>
      </c>
      <c r="Q69" s="797">
        <v>53672</v>
      </c>
      <c r="R69" s="797">
        <v>7883</v>
      </c>
      <c r="S69" s="797">
        <v>25</v>
      </c>
      <c r="T69" s="797">
        <v>267</v>
      </c>
    </row>
    <row r="70">
      <c r="A70" s="785"/>
      <c r="B70" s="786" t="s">
        <v>902</v>
      </c>
      <c r="C70" s="789" t="s">
        <v>906</v>
      </c>
      <c r="D70" s="788">
        <v>4079.06</v>
      </c>
      <c r="E70" s="789">
        <v>3309.21</v>
      </c>
      <c r="F70" s="789">
        <v>769.85</v>
      </c>
      <c r="G70" s="790">
        <v>11</v>
      </c>
      <c r="H70" s="789">
        <v>6921.84</v>
      </c>
      <c r="I70" s="791">
        <f t="shared" si="186"/>
      </c>
      <c r="J70" s="791">
        <f t="shared" si="217"/>
      </c>
      <c r="K70" s="791">
        <f t="shared" si="124"/>
      </c>
      <c r="L70" s="792">
        <f t="shared" si="155"/>
      </c>
      <c r="M70" s="793">
        <f t="shared" si="3"/>
      </c>
      <c r="N70" s="794">
        <f t="shared" si="93"/>
      </c>
      <c r="O70" s="795" t="s">
        <v>904</v>
      </c>
      <c r="P70" s="796" t="s">
        <v>905</v>
      </c>
      <c r="Q70" s="797">
        <v>39778</v>
      </c>
      <c r="R70" s="797">
        <v>5860</v>
      </c>
      <c r="S70" s="797">
        <v>16</v>
      </c>
      <c r="T70" s="797">
        <v>182</v>
      </c>
    </row>
    <row r="71">
      <c r="A71" s="785"/>
      <c r="B71" s="786" t="s">
        <v>902</v>
      </c>
      <c r="C71" s="789" t="s">
        <v>907</v>
      </c>
      <c r="D71" s="788">
        <v>3303.0699999999997</v>
      </c>
      <c r="E71" s="789">
        <v>2703.62</v>
      </c>
      <c r="F71" s="789">
        <v>599.45</v>
      </c>
      <c r="G71" s="790">
        <v>8</v>
      </c>
      <c r="H71" s="789">
        <v>2183.040000000001</v>
      </c>
      <c r="I71" s="791">
        <f t="shared" si="186"/>
      </c>
      <c r="J71" s="791">
        <f t="shared" si="217"/>
      </c>
      <c r="K71" s="791">
        <f t="shared" si="124"/>
      </c>
      <c r="L71" s="792">
        <f t="shared" si="155"/>
      </c>
      <c r="M71" s="793">
        <f t="shared" si="3"/>
      </c>
      <c r="N71" s="794">
        <f t="shared" si="93"/>
      </c>
      <c r="O71" s="795" t="s">
        <v>904</v>
      </c>
      <c r="P71" s="796" t="s">
        <v>905</v>
      </c>
      <c r="Q71" s="797">
        <v>34641</v>
      </c>
      <c r="R71" s="797">
        <v>4934</v>
      </c>
      <c r="S71" s="797">
        <v>12</v>
      </c>
      <c r="T71" s="797">
        <v>138</v>
      </c>
    </row>
    <row r="72">
      <c r="A72" s="785"/>
      <c r="B72" s="786" t="s">
        <v>902</v>
      </c>
      <c r="C72" s="789" t="s">
        <v>908</v>
      </c>
      <c r="D72" s="788">
        <v>2342.81</v>
      </c>
      <c r="E72" s="789">
        <v>1948.8</v>
      </c>
      <c r="F72" s="789">
        <v>394.01</v>
      </c>
      <c r="G72" s="790">
        <v>0</v>
      </c>
      <c r="H72" s="789">
        <v>0</v>
      </c>
      <c r="I72" s="791">
        <f t="shared" si="186"/>
      </c>
      <c r="J72" s="791">
        <f t="shared" si="217"/>
      </c>
      <c r="K72" s="791">
        <f t="shared" si="124"/>
      </c>
      <c r="L72" s="792">
        <f t="shared" si="155"/>
      </c>
      <c r="M72" s="793">
        <f t="shared" si="3"/>
      </c>
      <c r="N72" s="794">
        <f t="shared" si="93"/>
      </c>
      <c r="O72" s="795" t="s">
        <v>904</v>
      </c>
      <c r="P72" s="796" t="s">
        <v>905</v>
      </c>
      <c r="Q72" s="797">
        <v>28107</v>
      </c>
      <c r="R72" s="797">
        <v>3659</v>
      </c>
      <c r="S72" s="797">
        <v>1</v>
      </c>
      <c r="T72" s="797">
        <v>113</v>
      </c>
    </row>
    <row r="73">
      <c r="A73" s="785"/>
      <c r="B73" s="798" t="s">
        <v>910</v>
      </c>
      <c r="C73" s="798"/>
      <c r="D73" s="799">
        <f>SUM(D69:D72)</f>
      </c>
      <c r="E73" s="799">
        <f>SUM(E69:E72)</f>
      </c>
      <c r="F73" s="799">
        <f>SUM(F69:F72)</f>
      </c>
      <c r="G73" s="800">
        <f>SUM(G69:G72)</f>
      </c>
      <c r="H73" s="799">
        <f>SUM(H69:H72)</f>
      </c>
      <c r="I73" s="801">
        <f t="shared" si="186"/>
      </c>
      <c r="J73" s="802">
        <f t="shared" si="217"/>
      </c>
      <c r="K73" s="803">
        <f t="shared" si="124"/>
      </c>
      <c r="L73" s="804">
        <f t="shared" si="155"/>
      </c>
      <c r="M73" s="804">
        <f t="shared" si="3"/>
      </c>
      <c r="N73" s="805">
        <f t="shared" si="93"/>
      </c>
      <c r="O73" s="805"/>
      <c r="P73" s="805"/>
      <c r="Q73" s="806">
        <f>SUM(Q69:Q72)</f>
      </c>
      <c r="R73" s="806">
        <f>SUM(R69:R72)</f>
      </c>
      <c r="S73" s="806">
        <f>SUM(S69:S72)</f>
      </c>
      <c r="T73" s="806">
        <f>SUM(T69:T72)</f>
      </c>
    </row>
    <row r="74">
      <c r="A74" s="785"/>
      <c r="B74" s="784" t="s">
        <v>911</v>
      </c>
      <c r="C74" s="789" t="s">
        <v>909</v>
      </c>
      <c r="D74" s="788">
        <v>3376.62</v>
      </c>
      <c r="E74" s="788">
        <v>3076.92</v>
      </c>
      <c r="F74" s="788">
        <v>299.7</v>
      </c>
      <c r="G74" s="807">
        <v>10</v>
      </c>
      <c r="H74" s="788">
        <v>4882.939999999999</v>
      </c>
      <c r="I74" s="791">
        <f t="shared" si="186"/>
      </c>
      <c r="J74" s="791">
        <f t="shared" si="217"/>
      </c>
      <c r="K74" s="791">
        <f t="shared" si="124"/>
      </c>
      <c r="L74" s="792">
        <f t="shared" si="155"/>
      </c>
      <c r="M74" s="793">
        <f t="shared" si="3"/>
      </c>
      <c r="N74" s="794">
        <f t="shared" si="93"/>
      </c>
      <c r="O74" s="795" t="s">
        <v>904</v>
      </c>
      <c r="P74" s="796" t="s">
        <v>905</v>
      </c>
      <c r="Q74" s="784">
        <v>38674</v>
      </c>
      <c r="R74" s="784">
        <v>5998</v>
      </c>
      <c r="S74" s="797">
        <v>20</v>
      </c>
      <c r="T74" s="797">
        <v>156</v>
      </c>
    </row>
    <row r="75">
      <c r="A75" s="785"/>
      <c r="B75" s="784" t="s">
        <v>911</v>
      </c>
      <c r="C75" s="789" t="s">
        <v>912</v>
      </c>
      <c r="D75" s="788">
        <v>2465.33</v>
      </c>
      <c r="E75" s="789">
        <v>2205.33</v>
      </c>
      <c r="F75" s="789">
        <v>260</v>
      </c>
      <c r="G75" s="790">
        <v>9</v>
      </c>
      <c r="H75" s="789">
        <v>6499.32</v>
      </c>
      <c r="I75" s="791">
        <f t="shared" si="186"/>
      </c>
      <c r="J75" s="791">
        <f t="shared" si="217"/>
      </c>
      <c r="K75" s="791">
        <f t="shared" si="124"/>
      </c>
      <c r="L75" s="792">
        <f t="shared" si="155"/>
      </c>
      <c r="M75" s="793">
        <f t="shared" si="3"/>
      </c>
      <c r="N75" s="794">
        <f t="shared" si="93"/>
      </c>
      <c r="O75" s="795" t="s">
        <v>904</v>
      </c>
      <c r="P75" s="796" t="s">
        <v>905</v>
      </c>
      <c r="Q75" s="797">
        <v>26810</v>
      </c>
      <c r="R75" s="797">
        <v>4680</v>
      </c>
      <c r="S75" s="797">
        <v>12</v>
      </c>
      <c r="T75" s="797">
        <v>105</v>
      </c>
    </row>
    <row r="76">
      <c r="A76" s="785"/>
      <c r="B76" s="784" t="s">
        <v>911</v>
      </c>
      <c r="C76" s="789" t="s">
        <v>913</v>
      </c>
      <c r="D76" s="788">
        <v>3380.64</v>
      </c>
      <c r="E76" s="789">
        <v>3192.25</v>
      </c>
      <c r="F76" s="789">
        <v>188.39</v>
      </c>
      <c r="G76" s="790">
        <v>11</v>
      </c>
      <c r="H76" s="789">
        <v>3753.600000000002</v>
      </c>
      <c r="I76" s="791">
        <f t="shared" si="186"/>
      </c>
      <c r="J76" s="791">
        <f t="shared" si="217"/>
      </c>
      <c r="K76" s="791">
        <f t="shared" si="124"/>
      </c>
      <c r="L76" s="792">
        <f t="shared" si="155"/>
      </c>
      <c r="M76" s="793">
        <f t="shared" si="3"/>
      </c>
      <c r="N76" s="794">
        <f t="shared" si="93"/>
      </c>
      <c r="O76" s="795" t="s">
        <v>904</v>
      </c>
      <c r="P76" s="796" t="s">
        <v>905</v>
      </c>
      <c r="Q76" s="797">
        <v>35346</v>
      </c>
      <c r="R76" s="797">
        <v>6008</v>
      </c>
      <c r="S76" s="797">
        <v>14</v>
      </c>
      <c r="T76" s="797">
        <v>161</v>
      </c>
    </row>
    <row r="77">
      <c r="A77" s="785"/>
      <c r="B77" s="784" t="s">
        <v>911</v>
      </c>
      <c r="C77" s="789" t="s">
        <v>914</v>
      </c>
      <c r="D77" s="788">
        <v>3311.2</v>
      </c>
      <c r="E77" s="789">
        <v>2915.91</v>
      </c>
      <c r="F77" s="789">
        <v>395.29</v>
      </c>
      <c r="G77" s="790">
        <v>13</v>
      </c>
      <c r="H77" s="789">
        <v>6458.159999999996</v>
      </c>
      <c r="I77" s="791">
        <f t="shared" si="186"/>
      </c>
      <c r="J77" s="791">
        <f t="shared" si="217"/>
      </c>
      <c r="K77" s="791">
        <f t="shared" si="124"/>
      </c>
      <c r="L77" s="792">
        <f t="shared" si="155"/>
      </c>
      <c r="M77" s="793">
        <f t="shared" si="3"/>
      </c>
      <c r="N77" s="794">
        <f t="shared" si="93"/>
      </c>
      <c r="O77" s="795" t="s">
        <v>904</v>
      </c>
      <c r="P77" s="796" t="s">
        <v>916</v>
      </c>
      <c r="Q77" s="797">
        <v>33905</v>
      </c>
      <c r="R77" s="797">
        <v>5612</v>
      </c>
      <c r="S77" s="797">
        <v>15</v>
      </c>
      <c r="T77" s="797">
        <v>147</v>
      </c>
    </row>
    <row r="78">
      <c r="A78" s="785"/>
      <c r="B78" s="808" t="s">
        <v>910</v>
      </c>
      <c r="C78" s="808"/>
      <c r="D78" s="799">
        <f>SUM(D74:D77)</f>
      </c>
      <c r="E78" s="799">
        <f>SUM(E74:E77)</f>
      </c>
      <c r="F78" s="799">
        <f>SUM(F74:F77)</f>
      </c>
      <c r="G78" s="800">
        <f>SUM(G74:G77)</f>
      </c>
      <c r="H78" s="799">
        <f>SUM(H74:H77)</f>
      </c>
      <c r="I78" s="801">
        <f t="shared" si="186"/>
      </c>
      <c r="J78" s="802">
        <f t="shared" si="217"/>
      </c>
      <c r="K78" s="803">
        <f t="shared" si="124"/>
      </c>
      <c r="L78" s="804">
        <f t="shared" si="155"/>
      </c>
      <c r="M78" s="804">
        <f t="shared" si="3"/>
      </c>
      <c r="N78" s="805">
        <f t="shared" si="93"/>
      </c>
      <c r="O78" s="805"/>
      <c r="P78" s="805"/>
      <c r="Q78" s="799">
        <f>SUM(Q74:Q77)</f>
      </c>
      <c r="R78" s="799">
        <f>SUM(R74:R77)</f>
      </c>
      <c r="S78" s="799">
        <f>SUM(S74:S77)</f>
      </c>
      <c r="T78" s="799">
        <f>SUM(T74:T77)</f>
      </c>
    </row>
    <row r="79">
      <c r="A79" s="785"/>
      <c r="B79" s="786" t="s">
        <v>922</v>
      </c>
      <c r="C79" s="789" t="s">
        <v>915</v>
      </c>
      <c r="D79" s="788">
        <v>2080.84</v>
      </c>
      <c r="E79" s="789">
        <v>1731.14</v>
      </c>
      <c r="F79" s="789">
        <v>349.7</v>
      </c>
      <c r="G79" s="790">
        <v>4</v>
      </c>
      <c r="H79" s="789">
        <v>860.1600000000035</v>
      </c>
      <c r="I79" s="791">
        <f t="shared" si="186"/>
      </c>
      <c r="J79" s="791">
        <f t="shared" si="217"/>
      </c>
      <c r="K79" s="791">
        <f t="shared" si="124"/>
      </c>
      <c r="L79" s="792">
        <f t="shared" si="155"/>
      </c>
      <c r="M79" s="793">
        <f t="shared" si="3"/>
      </c>
      <c r="N79" s="794">
        <f t="shared" si="93"/>
      </c>
      <c r="O79" s="795" t="s">
        <v>904</v>
      </c>
      <c r="P79" s="796" t="s">
        <v>916</v>
      </c>
      <c r="Q79" s="797">
        <v>23407</v>
      </c>
      <c r="R79" s="797">
        <v>3578</v>
      </c>
      <c r="S79" s="797">
        <v>4</v>
      </c>
      <c r="T79" s="797">
        <v>69</v>
      </c>
    </row>
    <row r="80">
      <c r="A80" s="785"/>
      <c r="B80" s="786" t="s">
        <v>922</v>
      </c>
      <c r="C80" s="789" t="s">
        <v>917</v>
      </c>
      <c r="D80" s="788">
        <v>2042.1200000000001</v>
      </c>
      <c r="E80" s="789">
        <v>1764.39</v>
      </c>
      <c r="F80" s="789">
        <v>277.73</v>
      </c>
      <c r="G80" s="790">
        <v>6</v>
      </c>
      <c r="H80" s="789">
        <v>3503.040000000001</v>
      </c>
      <c r="I80" s="791">
        <f t="shared" si="186"/>
      </c>
      <c r="J80" s="791">
        <f t="shared" si="217"/>
      </c>
      <c r="K80" s="791">
        <f t="shared" si="124"/>
      </c>
      <c r="L80" s="792">
        <f t="shared" si="155"/>
      </c>
      <c r="M80" s="793">
        <f t="shared" si="3"/>
      </c>
      <c r="N80" s="794">
        <f t="shared" si="93"/>
      </c>
      <c r="O80" s="795" t="s">
        <v>904</v>
      </c>
      <c r="P80" s="796" t="s">
        <v>916</v>
      </c>
      <c r="Q80" s="797">
        <v>25131</v>
      </c>
      <c r="R80" s="797">
        <v>3547</v>
      </c>
      <c r="S80" s="797">
        <v>6</v>
      </c>
      <c r="T80" s="797">
        <v>79</v>
      </c>
    </row>
    <row r="81">
      <c r="A81" s="785"/>
      <c r="B81" s="786" t="s">
        <v>922</v>
      </c>
      <c r="C81" s="789" t="s">
        <v>919</v>
      </c>
      <c r="D81" s="788">
        <v>1274.43</v>
      </c>
      <c r="E81" s="789">
        <v>784.69</v>
      </c>
      <c r="F81" s="789">
        <v>489.74</v>
      </c>
      <c r="G81" s="790">
        <v>7</v>
      </c>
      <c r="H81" s="789">
        <v>4291.939999999995</v>
      </c>
      <c r="I81" s="791">
        <f t="shared" si="186"/>
      </c>
      <c r="J81" s="791">
        <f t="shared" si="217"/>
      </c>
      <c r="K81" s="791">
        <f t="shared" si="124"/>
      </c>
      <c r="L81" s="792">
        <f t="shared" si="155"/>
      </c>
      <c r="M81" s="793">
        <f t="shared" si="3"/>
      </c>
      <c r="N81" s="794">
        <f t="shared" si="93"/>
      </c>
      <c r="O81" s="795" t="s">
        <v>904</v>
      </c>
      <c r="P81" s="796" t="s">
        <v>916</v>
      </c>
      <c r="Q81" s="797">
        <v>13331</v>
      </c>
      <c r="R81" s="797">
        <v>2035</v>
      </c>
      <c r="S81" s="797">
        <v>8</v>
      </c>
      <c r="T81" s="797">
        <v>69</v>
      </c>
    </row>
    <row r="82">
      <c r="A82" s="785"/>
      <c r="B82" s="786" t="s">
        <v>922</v>
      </c>
      <c r="C82" s="789" t="s">
        <v>920</v>
      </c>
      <c r="D82" s="788">
        <v>1697.0900000000001</v>
      </c>
      <c r="E82" s="789">
        <v>1160.2</v>
      </c>
      <c r="F82" s="789">
        <v>536.89</v>
      </c>
      <c r="G82" s="790">
        <v>1</v>
      </c>
      <c r="H82" s="789">
        <v>1155.4800000000032</v>
      </c>
      <c r="I82" s="791">
        <f t="shared" si="186"/>
      </c>
      <c r="J82" s="791">
        <f t="shared" si="217"/>
      </c>
      <c r="K82" s="791">
        <f t="shared" si="124"/>
      </c>
      <c r="L82" s="792">
        <f t="shared" si="155"/>
      </c>
      <c r="M82" s="793">
        <f t="shared" si="3"/>
      </c>
      <c r="N82" s="794">
        <f t="shared" si="93"/>
      </c>
      <c r="O82" s="795" t="s">
        <v>904</v>
      </c>
      <c r="P82" s="796" t="s">
        <v>916</v>
      </c>
      <c r="Q82" s="797">
        <v>19704</v>
      </c>
      <c r="R82" s="797">
        <v>2608</v>
      </c>
      <c r="S82" s="797">
        <v>4</v>
      </c>
      <c r="T82" s="797">
        <v>75</v>
      </c>
    </row>
    <row r="83">
      <c r="A83" s="785"/>
      <c r="B83" s="786" t="s">
        <v>922</v>
      </c>
      <c r="C83" s="789" t="s">
        <v>921</v>
      </c>
      <c r="D83" s="788">
        <v>1778.6000000000001</v>
      </c>
      <c r="E83" s="789">
        <v>1522.89</v>
      </c>
      <c r="F83" s="789">
        <v>255.71</v>
      </c>
      <c r="G83" s="790">
        <v>9</v>
      </c>
      <c r="H83" s="789">
        <v>5588.68</v>
      </c>
      <c r="I83" s="791">
        <f t="shared" si="186"/>
      </c>
      <c r="J83" s="791">
        <f t="shared" si="217"/>
      </c>
      <c r="K83" s="791">
        <f t="shared" si="124"/>
      </c>
      <c r="L83" s="792">
        <f t="shared" si="155"/>
      </c>
      <c r="M83" s="793">
        <f t="shared" si="3"/>
      </c>
      <c r="N83" s="794">
        <f t="shared" si="93"/>
      </c>
      <c r="O83" s="795" t="s">
        <v>904</v>
      </c>
      <c r="P83" s="796" t="s">
        <v>916</v>
      </c>
      <c r="Q83" s="797">
        <v>22331</v>
      </c>
      <c r="R83" s="797">
        <v>2895</v>
      </c>
      <c r="S83" s="797">
        <v>12</v>
      </c>
      <c r="T83" s="797">
        <v>86</v>
      </c>
    </row>
    <row r="84">
      <c r="A84" s="785"/>
      <c r="B84" s="808" t="s">
        <v>910</v>
      </c>
      <c r="C84" s="808"/>
      <c r="D84" s="799">
        <f>SUM(D79:D83)</f>
      </c>
      <c r="E84" s="799">
        <f>SUM(E79:E83)</f>
      </c>
      <c r="F84" s="799">
        <f>SUM(F79:F83)</f>
      </c>
      <c r="G84" s="800">
        <f>SUM(G79:G83)</f>
      </c>
      <c r="H84" s="799">
        <f>SUM(H79:H83)</f>
      </c>
      <c r="I84" s="801">
        <f t="shared" si="186"/>
      </c>
      <c r="J84" s="802">
        <f t="shared" si="217"/>
      </c>
      <c r="K84" s="803">
        <f t="shared" si="124"/>
      </c>
      <c r="L84" s="804">
        <f t="shared" si="155"/>
      </c>
      <c r="M84" s="804">
        <f t="shared" si="3"/>
      </c>
      <c r="N84" s="805">
        <f t="shared" si="93"/>
      </c>
      <c r="O84" s="805"/>
      <c r="P84" s="805"/>
      <c r="Q84" s="799">
        <f>SUM(Q79:Q83)</f>
      </c>
      <c r="R84" s="799">
        <f>SUM(R79:R83)</f>
      </c>
      <c r="S84" s="799">
        <f>SUM(S79:S83)</f>
      </c>
      <c r="T84" s="799">
        <f>SUM(T79:T83)</f>
      </c>
    </row>
    <row r="85">
      <c r="A85" s="785"/>
      <c r="B85" s="786" t="s">
        <v>930</v>
      </c>
      <c r="C85" s="789" t="s">
        <v>923</v>
      </c>
      <c r="D85" s="788">
        <v>2659.21</v>
      </c>
      <c r="E85" s="789">
        <v>2237.67</v>
      </c>
      <c r="F85" s="789">
        <v>421.54</v>
      </c>
      <c r="G85" s="790">
        <v>11</v>
      </c>
      <c r="H85" s="789">
        <v>5341.669999999998</v>
      </c>
      <c r="I85" s="791">
        <f t="shared" si="186"/>
      </c>
      <c r="J85" s="791">
        <f t="shared" si="217"/>
      </c>
      <c r="K85" s="791">
        <f t="shared" si="124"/>
      </c>
      <c r="L85" s="792">
        <f t="shared" si="155"/>
      </c>
      <c r="M85" s="793">
        <f t="shared" si="3"/>
      </c>
      <c r="N85" s="794">
        <f t="shared" si="93"/>
      </c>
      <c r="O85" s="795" t="s">
        <v>904</v>
      </c>
      <c r="P85" s="796" t="s">
        <v>916</v>
      </c>
      <c r="Q85" s="797">
        <v>30639</v>
      </c>
      <c r="R85" s="797">
        <v>4433</v>
      </c>
      <c r="S85" s="797">
        <v>14</v>
      </c>
      <c r="T85" s="797">
        <v>151</v>
      </c>
    </row>
    <row r="86">
      <c r="A86" s="785"/>
      <c r="B86" s="786" t="s">
        <v>930</v>
      </c>
      <c r="C86" s="788" t="s">
        <v>924</v>
      </c>
      <c r="D86" s="788">
        <v>4236.46</v>
      </c>
      <c r="E86" s="789">
        <v>3611.48</v>
      </c>
      <c r="F86" s="789">
        <v>624.98</v>
      </c>
      <c r="G86" s="790">
        <v>16</v>
      </c>
      <c r="H86" s="789">
        <v>9569.79</v>
      </c>
      <c r="I86" s="791">
        <f t="shared" si="186"/>
      </c>
      <c r="J86" s="791">
        <f t="shared" si="217"/>
      </c>
      <c r="K86" s="791">
        <f t="shared" si="124"/>
      </c>
      <c r="L86" s="792">
        <f t="shared" si="155"/>
      </c>
      <c r="M86" s="793">
        <f t="shared" si="3"/>
      </c>
      <c r="N86" s="794">
        <f t="shared" si="93"/>
      </c>
      <c r="O86" s="795" t="s">
        <v>904</v>
      </c>
      <c r="P86" s="796" t="s">
        <v>916</v>
      </c>
      <c r="Q86" s="797">
        <v>53341</v>
      </c>
      <c r="R86" s="797">
        <v>7766</v>
      </c>
      <c r="S86" s="797">
        <v>18</v>
      </c>
      <c r="T86" s="797">
        <v>197</v>
      </c>
    </row>
    <row r="87">
      <c r="A87" s="785"/>
      <c r="B87" s="786" t="s">
        <v>930</v>
      </c>
      <c r="C87" s="789" t="s">
        <v>925</v>
      </c>
      <c r="D87" s="788">
        <v>1469.71</v>
      </c>
      <c r="E87" s="789">
        <v>947.29</v>
      </c>
      <c r="F87" s="789">
        <v>522.42</v>
      </c>
      <c r="G87" s="790">
        <v>14</v>
      </c>
      <c r="H87" s="789">
        <v>7892.690000000002</v>
      </c>
      <c r="I87" s="791">
        <f t="shared" si="186"/>
      </c>
      <c r="J87" s="791">
        <f t="shared" si="217"/>
      </c>
      <c r="K87" s="791">
        <f t="shared" si="124"/>
      </c>
      <c r="L87" s="792">
        <f t="shared" si="155"/>
      </c>
      <c r="M87" s="793">
        <f t="shared" si="3"/>
      </c>
      <c r="N87" s="794">
        <f t="shared" si="93"/>
      </c>
      <c r="O87" s="795" t="s">
        <v>904</v>
      </c>
      <c r="P87" s="796" t="s">
        <v>916</v>
      </c>
      <c r="Q87" s="797">
        <v>17614</v>
      </c>
      <c r="R87" s="797">
        <v>2558</v>
      </c>
      <c r="S87" s="797">
        <v>15</v>
      </c>
      <c r="T87" s="797">
        <v>83</v>
      </c>
    </row>
    <row r="88">
      <c r="A88" s="785"/>
      <c r="B88" s="808" t="s">
        <v>910</v>
      </c>
      <c r="C88" s="808"/>
      <c r="D88" s="799">
        <f>SUM(D85:D87)</f>
      </c>
      <c r="E88" s="799">
        <f>SUM(E85:E87)</f>
      </c>
      <c r="F88" s="799">
        <f>SUM(F85:F87)</f>
      </c>
      <c r="G88" s="800">
        <f>SUM(G85:G87)</f>
      </c>
      <c r="H88" s="799">
        <f>SUM(H85:H87)</f>
      </c>
      <c r="I88" s="801">
        <f t="shared" si="186"/>
      </c>
      <c r="J88" s="802">
        <f t="shared" si="217"/>
      </c>
      <c r="K88" s="803">
        <f t="shared" si="124"/>
      </c>
      <c r="L88" s="804">
        <f t="shared" si="155"/>
      </c>
      <c r="M88" s="804">
        <f t="shared" si="3"/>
      </c>
      <c r="N88" s="805">
        <f t="shared" si="93"/>
      </c>
      <c r="O88" s="805"/>
      <c r="P88" s="805"/>
      <c r="Q88" s="799">
        <f>SUM(Q85:Q87)</f>
      </c>
      <c r="R88" s="799">
        <f>SUM(R85:R87)</f>
      </c>
      <c r="S88" s="799">
        <f>SUM(S85:S87)</f>
      </c>
      <c r="T88" s="799">
        <f>SUM(T85:T87)</f>
      </c>
    </row>
    <row r="89">
      <c r="A89" s="785"/>
      <c r="B89" s="809" t="s">
        <v>926</v>
      </c>
      <c r="C89" s="809"/>
      <c r="D89" s="810">
        <f>D73+D78+D84+D88</f>
      </c>
      <c r="E89" s="810">
        <f>E73+E78+E84+E88</f>
      </c>
      <c r="F89" s="810">
        <f>F73+F78+F84+F88</f>
      </c>
      <c r="G89" s="811">
        <f>G73+G78+G84+G88</f>
      </c>
      <c r="H89" s="810">
        <f>H73+H78+H84+H88</f>
      </c>
      <c r="I89" s="809">
        <f t="shared" si="186"/>
      </c>
      <c r="J89" s="809">
        <f t="shared" si="217"/>
      </c>
      <c r="K89" s="809">
        <f t="shared" si="124"/>
      </c>
      <c r="L89" s="812">
        <f t="shared" si="155"/>
      </c>
      <c r="M89" s="812">
        <f t="shared" si="3"/>
      </c>
      <c r="N89" s="809">
        <f t="shared" si="93"/>
      </c>
      <c r="O89" s="813"/>
      <c r="P89" s="813"/>
      <c r="Q89" s="810">
        <f>Q73+Q78+Q84+Q88</f>
      </c>
      <c r="R89" s="810">
        <f>R73+R78+R84+R88</f>
      </c>
      <c r="S89" s="810">
        <f>S73+S78+S84+S88</f>
      </c>
      <c r="T89" s="810">
        <f>T73+T78+T84+T88</f>
      </c>
    </row>
    <row r="90">
      <c r="A90" s="775" t="s">
        <v>877</v>
      </c>
      <c r="B90" s="775"/>
      <c r="C90" s="775"/>
      <c r="D90" s="776" t="s">
        <v>878</v>
      </c>
      <c r="E90" s="776"/>
      <c r="F90" s="776"/>
      <c r="G90" s="777"/>
      <c r="H90" s="776"/>
      <c r="I90" s="776"/>
      <c r="J90" s="776"/>
      <c r="K90" s="776"/>
      <c r="L90" s="778" t="s">
        <v>879</v>
      </c>
      <c r="M90" s="778"/>
      <c r="N90" s="778"/>
      <c r="O90" s="778"/>
      <c r="P90" s="778"/>
      <c r="Q90" s="779" t="s">
        <v>880</v>
      </c>
      <c r="R90" s="779"/>
      <c r="S90" s="779"/>
      <c r="T90" s="779"/>
    </row>
    <row r="91">
      <c r="A91" s="780" t="s">
        <v>881</v>
      </c>
      <c r="B91" s="780" t="s">
        <v>882</v>
      </c>
      <c r="C91" s="780" t="s">
        <v>883</v>
      </c>
      <c r="D91" s="776" t="s">
        <v>884</v>
      </c>
      <c r="E91" s="776" t="s">
        <v>885</v>
      </c>
      <c r="F91" s="776" t="s">
        <v>886</v>
      </c>
      <c r="G91" s="777" t="s">
        <v>887</v>
      </c>
      <c r="H91" s="776" t="s">
        <v>888</v>
      </c>
      <c r="I91" s="781" t="s">
        <v>889</v>
      </c>
      <c r="J91" s="782" t="s">
        <v>890</v>
      </c>
      <c r="K91" s="776" t="s">
        <v>891</v>
      </c>
      <c r="L91" s="783" t="s">
        <v>892</v>
      </c>
      <c r="M91" s="783" t="s">
        <v>893</v>
      </c>
      <c r="N91" s="783" t="s">
        <v>894</v>
      </c>
      <c r="O91" s="778" t="s">
        <v>895</v>
      </c>
      <c r="P91" s="778" t="s">
        <v>896</v>
      </c>
      <c r="Q91" s="784" t="s">
        <v>897</v>
      </c>
      <c r="R91" s="784" t="s">
        <v>898</v>
      </c>
      <c r="S91" s="784" t="s">
        <v>899</v>
      </c>
      <c r="T91" s="784" t="s">
        <v>900</v>
      </c>
    </row>
    <row r="92">
      <c r="A92" s="785" t="s">
        <v>931</v>
      </c>
      <c r="B92" s="786" t="s">
        <v>922</v>
      </c>
      <c r="C92" s="787" t="s">
        <v>903</v>
      </c>
      <c r="D92" s="788">
        <v>2695.45</v>
      </c>
      <c r="E92" s="789">
        <v>1790.54</v>
      </c>
      <c r="F92" s="789">
        <v>904.91</v>
      </c>
      <c r="G92" s="790">
        <v>6</v>
      </c>
      <c r="H92" s="789">
        <v>3560.06</v>
      </c>
      <c r="I92" s="791">
        <f t="shared" ref="I92:I112" si="187">H92/D92</f>
      </c>
      <c r="J92" s="791">
        <f t="shared" ref="J92:J112" si="218">D92/G92</f>
      </c>
      <c r="K92" s="791">
        <f t="shared" ref="K92:K112" si="125">H92/G92</f>
      </c>
      <c r="L92" s="792">
        <f t="shared" ref="L92:L112" si="156">R92/Q92</f>
      </c>
      <c r="M92" s="793">
        <f t="shared" ref="M92:M112" si="4">G92/S92</f>
      </c>
      <c r="N92" s="794">
        <f t="shared" ref="N92:N112" si="94">(T92*1000)/D92</f>
      </c>
      <c r="O92" s="795" t="s">
        <v>904</v>
      </c>
      <c r="P92" s="796" t="s">
        <v>905</v>
      </c>
      <c r="Q92" s="797">
        <v>23467</v>
      </c>
      <c r="R92" s="797">
        <v>3774</v>
      </c>
      <c r="S92" s="797">
        <v>8</v>
      </c>
      <c r="T92" s="797">
        <v>97</v>
      </c>
    </row>
    <row r="93">
      <c r="A93" s="785"/>
      <c r="B93" s="786" t="s">
        <v>922</v>
      </c>
      <c r="C93" s="789" t="s">
        <v>906</v>
      </c>
      <c r="D93" s="788">
        <v>2237.25</v>
      </c>
      <c r="E93" s="789">
        <v>1083.9</v>
      </c>
      <c r="F93" s="789">
        <v>1153.35</v>
      </c>
      <c r="G93" s="790">
        <v>12</v>
      </c>
      <c r="H93" s="789">
        <v>6133.230000000001</v>
      </c>
      <c r="I93" s="791">
        <f t="shared" si="187"/>
      </c>
      <c r="J93" s="791">
        <f t="shared" si="218"/>
      </c>
      <c r="K93" s="791">
        <f t="shared" si="125"/>
      </c>
      <c r="L93" s="792">
        <f t="shared" si="156"/>
      </c>
      <c r="M93" s="793">
        <f t="shared" si="4"/>
      </c>
      <c r="N93" s="794">
        <f t="shared" si="94"/>
      </c>
      <c r="O93" s="795" t="s">
        <v>904</v>
      </c>
      <c r="P93" s="796" t="s">
        <v>905</v>
      </c>
      <c r="Q93" s="797">
        <v>18023</v>
      </c>
      <c r="R93" s="797">
        <v>3070</v>
      </c>
      <c r="S93" s="797">
        <v>14</v>
      </c>
      <c r="T93" s="797">
        <v>88</v>
      </c>
    </row>
    <row r="94">
      <c r="A94" s="785"/>
      <c r="B94" s="786" t="s">
        <v>922</v>
      </c>
      <c r="C94" s="789" t="s">
        <v>907</v>
      </c>
      <c r="D94" s="788">
        <v>1892.35</v>
      </c>
      <c r="E94" s="789">
        <v>709.18</v>
      </c>
      <c r="F94" s="789">
        <v>1183.17</v>
      </c>
      <c r="G94" s="790">
        <v>4</v>
      </c>
      <c r="H94" s="789">
        <v>2138.4299999999985</v>
      </c>
      <c r="I94" s="791">
        <f t="shared" si="187"/>
      </c>
      <c r="J94" s="791">
        <f t="shared" si="218"/>
      </c>
      <c r="K94" s="791">
        <f t="shared" si="125"/>
      </c>
      <c r="L94" s="792">
        <f t="shared" si="156"/>
      </c>
      <c r="M94" s="793">
        <f t="shared" si="4"/>
      </c>
      <c r="N94" s="794">
        <f t="shared" si="94"/>
      </c>
      <c r="O94" s="795" t="s">
        <v>904</v>
      </c>
      <c r="P94" s="796" t="s">
        <v>905</v>
      </c>
      <c r="Q94" s="797">
        <v>13633</v>
      </c>
      <c r="R94" s="797">
        <v>2074</v>
      </c>
      <c r="S94" s="797">
        <v>5</v>
      </c>
      <c r="T94" s="797">
        <v>75</v>
      </c>
    </row>
    <row r="95">
      <c r="A95" s="785"/>
      <c r="B95" s="786" t="s">
        <v>922</v>
      </c>
      <c r="C95" s="789" t="s">
        <v>908</v>
      </c>
      <c r="D95" s="788">
        <v>1667.6799999999998</v>
      </c>
      <c r="E95" s="789">
        <v>1113.56</v>
      </c>
      <c r="F95" s="789">
        <v>554.12</v>
      </c>
      <c r="G95" s="790">
        <v>5</v>
      </c>
      <c r="H95" s="789">
        <v>1290.2399999999998</v>
      </c>
      <c r="I95" s="791">
        <f t="shared" si="187"/>
      </c>
      <c r="J95" s="791">
        <f t="shared" si="218"/>
      </c>
      <c r="K95" s="791">
        <f t="shared" si="125"/>
      </c>
      <c r="L95" s="792">
        <f t="shared" si="156"/>
      </c>
      <c r="M95" s="793">
        <f t="shared" si="4"/>
      </c>
      <c r="N95" s="794">
        <f t="shared" si="94"/>
      </c>
      <c r="O95" s="795" t="s">
        <v>904</v>
      </c>
      <c r="P95" s="796" t="s">
        <v>905</v>
      </c>
      <c r="Q95" s="797">
        <v>16206</v>
      </c>
      <c r="R95" s="797">
        <v>2167</v>
      </c>
      <c r="S95" s="797">
        <v>9</v>
      </c>
      <c r="T95" s="797">
        <v>61</v>
      </c>
    </row>
    <row r="96">
      <c r="A96" s="785"/>
      <c r="B96" s="798" t="s">
        <v>910</v>
      </c>
      <c r="C96" s="798"/>
      <c r="D96" s="799">
        <f>SUM(D92:D95)</f>
      </c>
      <c r="E96" s="799">
        <f>SUM(E92:E95)</f>
      </c>
      <c r="F96" s="799">
        <f>SUM(F92:F95)</f>
      </c>
      <c r="G96" s="800">
        <f>SUM(G92:G95)</f>
      </c>
      <c r="H96" s="799">
        <f>SUM(H92:H95)</f>
      </c>
      <c r="I96" s="801">
        <f t="shared" si="187"/>
      </c>
      <c r="J96" s="802">
        <f t="shared" si="218"/>
      </c>
      <c r="K96" s="803">
        <f t="shared" si="125"/>
      </c>
      <c r="L96" s="804">
        <f t="shared" si="156"/>
      </c>
      <c r="M96" s="804">
        <f t="shared" si="4"/>
      </c>
      <c r="N96" s="805">
        <f t="shared" si="94"/>
      </c>
      <c r="O96" s="805"/>
      <c r="P96" s="805"/>
      <c r="Q96" s="806">
        <f>SUM(Q92:Q95)</f>
      </c>
      <c r="R96" s="806">
        <f>SUM(R92:R95)</f>
      </c>
      <c r="S96" s="806">
        <f>SUM(S92:S95)</f>
      </c>
      <c r="T96" s="806">
        <f>SUM(T92:T95)</f>
      </c>
    </row>
    <row r="97">
      <c r="A97" s="785"/>
      <c r="B97" s="786" t="s">
        <v>902</v>
      </c>
      <c r="C97" s="789" t="s">
        <v>909</v>
      </c>
      <c r="D97" s="788">
        <v>1246.69</v>
      </c>
      <c r="E97" s="788">
        <v>737.57</v>
      </c>
      <c r="F97" s="788">
        <v>509.12</v>
      </c>
      <c r="G97" s="807">
        <v>6</v>
      </c>
      <c r="H97" s="788">
        <v>2404.58</v>
      </c>
      <c r="I97" s="791">
        <f t="shared" si="187"/>
      </c>
      <c r="J97" s="791">
        <f t="shared" si="218"/>
      </c>
      <c r="K97" s="791">
        <f t="shared" si="125"/>
      </c>
      <c r="L97" s="792">
        <f t="shared" si="156"/>
      </c>
      <c r="M97" s="793">
        <f t="shared" si="4"/>
      </c>
      <c r="N97" s="794">
        <f t="shared" si="94"/>
      </c>
      <c r="O97" s="795" t="s">
        <v>904</v>
      </c>
      <c r="P97" s="796" t="s">
        <v>905</v>
      </c>
      <c r="Q97" s="784">
        <v>13309</v>
      </c>
      <c r="R97" s="784">
        <v>2003</v>
      </c>
      <c r="S97" s="797">
        <v>7</v>
      </c>
      <c r="T97" s="797">
        <v>54</v>
      </c>
    </row>
    <row r="98">
      <c r="A98" s="785"/>
      <c r="B98" s="786" t="s">
        <v>902</v>
      </c>
      <c r="C98" s="789" t="s">
        <v>912</v>
      </c>
      <c r="D98" s="788">
        <v>1982.19</v>
      </c>
      <c r="E98" s="789">
        <v>1156.27</v>
      </c>
      <c r="F98" s="789">
        <v>825.92</v>
      </c>
      <c r="G98" s="790">
        <v>7</v>
      </c>
      <c r="H98" s="789">
        <v>3814.2199999999993</v>
      </c>
      <c r="I98" s="791">
        <f t="shared" si="187"/>
      </c>
      <c r="J98" s="791">
        <f t="shared" si="218"/>
      </c>
      <c r="K98" s="791">
        <f t="shared" si="125"/>
      </c>
      <c r="L98" s="792">
        <f t="shared" si="156"/>
      </c>
      <c r="M98" s="793">
        <f t="shared" si="4"/>
      </c>
      <c r="N98" s="794">
        <f t="shared" si="94"/>
      </c>
      <c r="O98" s="795" t="s">
        <v>904</v>
      </c>
      <c r="P98" s="796" t="s">
        <v>905</v>
      </c>
      <c r="Q98" s="797">
        <v>16814</v>
      </c>
      <c r="R98" s="797">
        <v>2828</v>
      </c>
      <c r="S98" s="797">
        <v>9</v>
      </c>
      <c r="T98" s="797">
        <v>90</v>
      </c>
    </row>
    <row r="99">
      <c r="A99" s="785"/>
      <c r="B99" s="786" t="s">
        <v>902</v>
      </c>
      <c r="C99" s="789" t="s">
        <v>913</v>
      </c>
      <c r="D99" s="788">
        <v>1539.38</v>
      </c>
      <c r="E99" s="789">
        <v>1073.01</v>
      </c>
      <c r="F99" s="789">
        <v>466.37</v>
      </c>
      <c r="G99" s="790">
        <v>4</v>
      </c>
      <c r="H99" s="789">
        <v>2263.3200000000033</v>
      </c>
      <c r="I99" s="791">
        <f t="shared" si="187"/>
      </c>
      <c r="J99" s="791">
        <f t="shared" si="218"/>
      </c>
      <c r="K99" s="791">
        <f t="shared" si="125"/>
      </c>
      <c r="L99" s="792">
        <f t="shared" si="156"/>
      </c>
      <c r="M99" s="793">
        <f t="shared" si="4"/>
      </c>
      <c r="N99" s="794">
        <f t="shared" si="94"/>
      </c>
      <c r="O99" s="795" t="s">
        <v>904</v>
      </c>
      <c r="P99" s="796" t="s">
        <v>905</v>
      </c>
      <c r="Q99" s="797">
        <v>14820</v>
      </c>
      <c r="R99" s="797">
        <v>2245</v>
      </c>
      <c r="S99" s="797">
        <v>10</v>
      </c>
      <c r="T99" s="797">
        <v>21</v>
      </c>
    </row>
    <row r="100">
      <c r="A100" s="785"/>
      <c r="B100" s="786" t="s">
        <v>902</v>
      </c>
      <c r="C100" s="789" t="s">
        <v>914</v>
      </c>
      <c r="D100" s="788">
        <v>1915.88</v>
      </c>
      <c r="E100" s="789">
        <v>1623.47</v>
      </c>
      <c r="F100" s="789">
        <v>292.41</v>
      </c>
      <c r="G100" s="790">
        <v>11</v>
      </c>
      <c r="H100" s="789">
        <v>3709.619999999999</v>
      </c>
      <c r="I100" s="791">
        <f t="shared" si="187"/>
      </c>
      <c r="J100" s="791">
        <f t="shared" si="218"/>
      </c>
      <c r="K100" s="791">
        <f t="shared" si="125"/>
      </c>
      <c r="L100" s="792">
        <f t="shared" si="156"/>
      </c>
      <c r="M100" s="793">
        <f t="shared" si="4"/>
      </c>
      <c r="N100" s="794">
        <f t="shared" si="94"/>
      </c>
      <c r="O100" s="795" t="s">
        <v>904</v>
      </c>
      <c r="P100" s="796" t="s">
        <v>932</v>
      </c>
      <c r="Q100" s="797">
        <v>21814</v>
      </c>
      <c r="R100" s="797">
        <v>3242</v>
      </c>
      <c r="S100" s="797">
        <v>15</v>
      </c>
      <c r="T100" s="797">
        <v>65</v>
      </c>
    </row>
    <row r="101">
      <c r="A101" s="785"/>
      <c r="B101" s="808" t="s">
        <v>910</v>
      </c>
      <c r="C101" s="808"/>
      <c r="D101" s="799">
        <f>SUM(D97:D100)</f>
      </c>
      <c r="E101" s="799">
        <f>SUM(E97:E100)</f>
      </c>
      <c r="F101" s="799">
        <f>SUM(F97:F100)</f>
      </c>
      <c r="G101" s="800">
        <f>SUM(G97:G100)</f>
      </c>
      <c r="H101" s="799">
        <f>SUM(H97:H100)</f>
      </c>
      <c r="I101" s="801">
        <f t="shared" si="187"/>
      </c>
      <c r="J101" s="802">
        <f t="shared" si="218"/>
      </c>
      <c r="K101" s="803">
        <f t="shared" si="125"/>
      </c>
      <c r="L101" s="804">
        <f t="shared" si="156"/>
      </c>
      <c r="M101" s="804">
        <f t="shared" si="4"/>
      </c>
      <c r="N101" s="805">
        <f t="shared" si="94"/>
      </c>
      <c r="O101" s="805"/>
      <c r="P101" s="805"/>
      <c r="Q101" s="806">
        <f>SUM(Q97:Q100)</f>
      </c>
      <c r="R101" s="806">
        <f>SUM(R97:R100)</f>
      </c>
      <c r="S101" s="806">
        <f>SUM(S97:S100)</f>
      </c>
      <c r="T101" s="806">
        <f>SUM(T97:T100)</f>
      </c>
    </row>
    <row r="102">
      <c r="A102" s="785"/>
      <c r="B102" s="784" t="s">
        <v>918</v>
      </c>
      <c r="C102" s="789" t="s">
        <v>915</v>
      </c>
      <c r="D102" s="788">
        <v>4896.99</v>
      </c>
      <c r="E102" s="789">
        <v>4198.73</v>
      </c>
      <c r="F102" s="789">
        <v>698.26</v>
      </c>
      <c r="G102" s="790">
        <v>16</v>
      </c>
      <c r="H102" s="789">
        <v>7399.529999999999</v>
      </c>
      <c r="I102" s="791">
        <f t="shared" si="187"/>
      </c>
      <c r="J102" s="791">
        <f t="shared" si="218"/>
      </c>
      <c r="K102" s="791">
        <f t="shared" si="125"/>
      </c>
      <c r="L102" s="792">
        <f t="shared" si="156"/>
      </c>
      <c r="M102" s="793">
        <f t="shared" si="4"/>
      </c>
      <c r="N102" s="794">
        <f t="shared" si="94"/>
      </c>
      <c r="O102" s="795" t="s">
        <v>904</v>
      </c>
      <c r="P102" s="796" t="s">
        <v>932</v>
      </c>
      <c r="Q102" s="797">
        <v>56082</v>
      </c>
      <c r="R102" s="797">
        <v>8555</v>
      </c>
      <c r="S102" s="797">
        <v>28</v>
      </c>
      <c r="T102" s="797">
        <v>99</v>
      </c>
    </row>
    <row r="103">
      <c r="A103" s="785"/>
      <c r="B103" s="784" t="s">
        <v>918</v>
      </c>
      <c r="C103" s="789" t="s">
        <v>917</v>
      </c>
      <c r="D103" s="788">
        <v>3866.99</v>
      </c>
      <c r="E103" s="789">
        <v>3351.79</v>
      </c>
      <c r="F103" s="789">
        <v>515.2</v>
      </c>
      <c r="G103" s="790">
        <v>7</v>
      </c>
      <c r="H103" s="789">
        <v>4203.359999999997</v>
      </c>
      <c r="I103" s="791">
        <f t="shared" si="187"/>
      </c>
      <c r="J103" s="791">
        <f t="shared" si="218"/>
      </c>
      <c r="K103" s="791">
        <f t="shared" si="125"/>
      </c>
      <c r="L103" s="792">
        <f t="shared" si="156"/>
      </c>
      <c r="M103" s="793">
        <f t="shared" si="4"/>
      </c>
      <c r="N103" s="794">
        <f t="shared" si="94"/>
      </c>
      <c r="O103" s="795" t="s">
        <v>904</v>
      </c>
      <c r="P103" s="796" t="s">
        <v>932</v>
      </c>
      <c r="Q103" s="797">
        <v>41444</v>
      </c>
      <c r="R103" s="797">
        <v>6540</v>
      </c>
      <c r="S103" s="797">
        <v>12</v>
      </c>
      <c r="T103" s="797">
        <v>82</v>
      </c>
    </row>
    <row r="104">
      <c r="A104" s="785"/>
      <c r="B104" s="784" t="s">
        <v>918</v>
      </c>
      <c r="C104" s="789" t="s">
        <v>919</v>
      </c>
      <c r="D104" s="788">
        <v>2642.41</v>
      </c>
      <c r="E104" s="789">
        <v>2241.95</v>
      </c>
      <c r="F104" s="789">
        <v>400.46</v>
      </c>
      <c r="G104" s="790">
        <v>10</v>
      </c>
      <c r="H104" s="789">
        <v>6290.760000000002</v>
      </c>
      <c r="I104" s="791">
        <f t="shared" si="187"/>
      </c>
      <c r="J104" s="791">
        <f t="shared" si="218"/>
      </c>
      <c r="K104" s="791">
        <f t="shared" si="125"/>
      </c>
      <c r="L104" s="792">
        <f t="shared" si="156"/>
      </c>
      <c r="M104" s="793">
        <f t="shared" si="4"/>
      </c>
      <c r="N104" s="794">
        <f t="shared" si="94"/>
      </c>
      <c r="O104" s="795" t="s">
        <v>904</v>
      </c>
      <c r="P104" s="796" t="s">
        <v>932</v>
      </c>
      <c r="Q104" s="797">
        <v>29907</v>
      </c>
      <c r="R104" s="797">
        <v>4427</v>
      </c>
      <c r="S104" s="797">
        <v>10</v>
      </c>
      <c r="T104" s="797">
        <v>55</v>
      </c>
    </row>
    <row r="105">
      <c r="A105" s="785"/>
      <c r="B105" s="784" t="s">
        <v>918</v>
      </c>
      <c r="C105" s="789" t="s">
        <v>920</v>
      </c>
      <c r="D105" s="788">
        <v>1803.71</v>
      </c>
      <c r="E105" s="789">
        <v>1229.57</v>
      </c>
      <c r="F105" s="789">
        <v>574.14</v>
      </c>
      <c r="G105" s="790">
        <v>3</v>
      </c>
      <c r="H105" s="789">
        <v>1088.1800000000003</v>
      </c>
      <c r="I105" s="791">
        <f t="shared" si="187"/>
      </c>
      <c r="J105" s="791">
        <f t="shared" si="218"/>
      </c>
      <c r="K105" s="791">
        <f t="shared" si="125"/>
      </c>
      <c r="L105" s="792">
        <f t="shared" si="156"/>
      </c>
      <c r="M105" s="793">
        <f t="shared" si="4"/>
      </c>
      <c r="N105" s="794">
        <f t="shared" si="94"/>
      </c>
      <c r="O105" s="795" t="s">
        <v>904</v>
      </c>
      <c r="P105" s="796" t="s">
        <v>932</v>
      </c>
      <c r="Q105" s="797">
        <v>22096</v>
      </c>
      <c r="R105" s="797">
        <v>3015</v>
      </c>
      <c r="S105" s="797">
        <v>4</v>
      </c>
      <c r="T105" s="797">
        <v>40</v>
      </c>
    </row>
    <row r="106">
      <c r="A106" s="785"/>
      <c r="B106" s="808" t="s">
        <v>910</v>
      </c>
      <c r="C106" s="808"/>
      <c r="D106" s="799">
        <f>SUM(D102:D105)</f>
      </c>
      <c r="E106" s="799">
        <f>SUM(E102:E105)</f>
      </c>
      <c r="F106" s="799">
        <f>SUM(F102:F105)</f>
      </c>
      <c r="G106" s="800">
        <f>SUM(G102:G105)</f>
      </c>
      <c r="H106" s="799">
        <f>SUM(H102:H105)</f>
      </c>
      <c r="I106" s="801">
        <f t="shared" si="187"/>
      </c>
      <c r="J106" s="802">
        <f t="shared" si="218"/>
      </c>
      <c r="K106" s="803">
        <f t="shared" si="125"/>
      </c>
      <c r="L106" s="804">
        <f t="shared" si="156"/>
      </c>
      <c r="M106" s="804">
        <f t="shared" si="4"/>
      </c>
      <c r="N106" s="805">
        <f t="shared" si="94"/>
      </c>
      <c r="O106" s="805"/>
      <c r="P106" s="805"/>
      <c r="Q106" s="806">
        <f>SUM(Q102:Q105)</f>
      </c>
      <c r="R106" s="806">
        <f>SUM(R102:R105)</f>
      </c>
      <c r="S106" s="806">
        <f>SUM(S102:S105)</f>
      </c>
      <c r="T106" s="806">
        <f>SUM(T102:T105)</f>
      </c>
    </row>
    <row customHeight="true" ht="16.666666666666668" r="107">
      <c r="A107" s="785"/>
      <c r="B107" s="786" t="s">
        <v>930</v>
      </c>
      <c r="C107" s="789" t="s">
        <v>921</v>
      </c>
      <c r="D107" s="788">
        <v>1728.1</v>
      </c>
      <c r="E107" s="789">
        <v>873.33</v>
      </c>
      <c r="F107" s="789">
        <v>854.77</v>
      </c>
      <c r="G107" s="790">
        <v>7</v>
      </c>
      <c r="H107" s="789">
        <v>5067.120000000003</v>
      </c>
      <c r="I107" s="791">
        <f t="shared" si="187"/>
      </c>
      <c r="J107" s="791">
        <f t="shared" si="218"/>
      </c>
      <c r="K107" s="791">
        <f t="shared" si="125"/>
      </c>
      <c r="L107" s="792">
        <f t="shared" si="156"/>
      </c>
      <c r="M107" s="793">
        <f t="shared" si="4"/>
      </c>
      <c r="N107" s="794">
        <f t="shared" si="94"/>
      </c>
      <c r="O107" s="795" t="s">
        <v>904</v>
      </c>
      <c r="P107" s="796" t="s">
        <v>932</v>
      </c>
      <c r="Q107" s="797">
        <v>23402</v>
      </c>
      <c r="R107" s="797">
        <v>2540</v>
      </c>
      <c r="S107" s="797">
        <v>13</v>
      </c>
      <c r="T107" s="797">
        <v>33</v>
      </c>
    </row>
    <row r="108">
      <c r="A108" s="785"/>
      <c r="B108" s="786" t="s">
        <v>930</v>
      </c>
      <c r="C108" s="789" t="s">
        <v>923</v>
      </c>
      <c r="D108" s="788">
        <v>1724.0800000000002</v>
      </c>
      <c r="E108" s="789">
        <v>1194.38</v>
      </c>
      <c r="F108" s="789">
        <v>529.7</v>
      </c>
      <c r="G108" s="790">
        <v>15</v>
      </c>
      <c r="H108" s="789">
        <v>8514.68</v>
      </c>
      <c r="I108" s="791">
        <f t="shared" si="187"/>
      </c>
      <c r="J108" s="791">
        <f t="shared" si="218"/>
      </c>
      <c r="K108" s="791">
        <f t="shared" si="125"/>
      </c>
      <c r="L108" s="792">
        <f t="shared" si="156"/>
      </c>
      <c r="M108" s="793">
        <f t="shared" si="4"/>
      </c>
      <c r="N108" s="794">
        <f t="shared" si="94"/>
      </c>
      <c r="O108" s="795" t="s">
        <v>904</v>
      </c>
      <c r="P108" s="796" t="s">
        <v>932</v>
      </c>
      <c r="Q108" s="797">
        <v>20606</v>
      </c>
      <c r="R108" s="797">
        <v>2846</v>
      </c>
      <c r="S108" s="797">
        <v>20</v>
      </c>
      <c r="T108" s="797">
        <v>42</v>
      </c>
    </row>
    <row r="109">
      <c r="A109" s="785"/>
      <c r="B109" s="786" t="s">
        <v>930</v>
      </c>
      <c r="C109" s="788" t="s">
        <v>924</v>
      </c>
      <c r="D109" s="788">
        <v>3914.3900000000003</v>
      </c>
      <c r="E109" s="789">
        <v>3302.38</v>
      </c>
      <c r="F109" s="789">
        <v>612.01</v>
      </c>
      <c r="G109" s="790">
        <v>14</v>
      </c>
      <c r="H109" s="789">
        <v>6953.779999999999</v>
      </c>
      <c r="I109" s="791">
        <f t="shared" si="187"/>
      </c>
      <c r="J109" s="791">
        <f t="shared" si="218"/>
      </c>
      <c r="K109" s="791">
        <f t="shared" si="125"/>
      </c>
      <c r="L109" s="792">
        <f t="shared" si="156"/>
      </c>
      <c r="M109" s="793">
        <f t="shared" si="4"/>
      </c>
      <c r="N109" s="794">
        <f t="shared" si="94"/>
      </c>
      <c r="O109" s="795" t="s">
        <v>904</v>
      </c>
      <c r="P109" s="796" t="s">
        <v>932</v>
      </c>
      <c r="Q109" s="797">
        <v>38932</v>
      </c>
      <c r="R109" s="797">
        <v>5438</v>
      </c>
      <c r="S109" s="797">
        <v>17</v>
      </c>
      <c r="T109" s="797">
        <v>69</v>
      </c>
    </row>
    <row r="110">
      <c r="A110" s="785"/>
      <c r="B110" s="786" t="s">
        <v>930</v>
      </c>
      <c r="C110" s="789" t="s">
        <v>925</v>
      </c>
      <c r="D110" s="788">
        <v>1641.71</v>
      </c>
      <c r="E110" s="789">
        <v>1420.73</v>
      </c>
      <c r="F110" s="789">
        <v>220.98000000000002</v>
      </c>
      <c r="G110" s="790">
        <v>12</v>
      </c>
      <c r="H110" s="789">
        <v>8069.87999999999</v>
      </c>
      <c r="I110" s="791">
        <f t="shared" si="187"/>
      </c>
      <c r="J110" s="791">
        <f t="shared" si="218"/>
      </c>
      <c r="K110" s="791">
        <f t="shared" si="125"/>
      </c>
      <c r="L110" s="792">
        <f t="shared" si="156"/>
      </c>
      <c r="M110" s="793">
        <f t="shared" si="4"/>
      </c>
      <c r="N110" s="794">
        <f t="shared" si="94"/>
      </c>
      <c r="O110" s="795" t="s">
        <v>904</v>
      </c>
      <c r="P110" s="796" t="s">
        <v>932</v>
      </c>
      <c r="Q110" s="797">
        <v>18784</v>
      </c>
      <c r="R110" s="797">
        <v>2650</v>
      </c>
      <c r="S110" s="797">
        <v>11</v>
      </c>
      <c r="T110" s="797">
        <v>35</v>
      </c>
    </row>
    <row r="111">
      <c r="A111" s="785"/>
      <c r="B111" s="808" t="s">
        <v>910</v>
      </c>
      <c r="C111" s="808"/>
      <c r="D111" s="799">
        <f>SUM(D107:D110)</f>
      </c>
      <c r="E111" s="799">
        <f>SUM(E107:E110)</f>
      </c>
      <c r="F111" s="799">
        <f>SUM(F107:F110)</f>
      </c>
      <c r="G111" s="800">
        <f>SUM(G107:G110)</f>
      </c>
      <c r="H111" s="799">
        <f>SUM(H107:H110)</f>
      </c>
      <c r="I111" s="801">
        <f t="shared" si="187"/>
      </c>
      <c r="J111" s="802">
        <f t="shared" si="218"/>
      </c>
      <c r="K111" s="803">
        <f t="shared" si="125"/>
      </c>
      <c r="L111" s="804">
        <f t="shared" si="156"/>
      </c>
      <c r="M111" s="804">
        <f t="shared" si="4"/>
      </c>
      <c r="N111" s="805">
        <f t="shared" si="94"/>
      </c>
      <c r="O111" s="805"/>
      <c r="P111" s="805"/>
      <c r="Q111" s="806">
        <f>SUM(Q107:Q110)</f>
      </c>
      <c r="R111" s="806">
        <f>SUM(R107:R110)</f>
      </c>
      <c r="S111" s="806">
        <f>SUM(S107:S110)</f>
      </c>
      <c r="T111" s="806">
        <f>SUM(T107:T110)</f>
      </c>
    </row>
    <row r="112">
      <c r="A112" s="785"/>
      <c r="B112" s="809" t="s">
        <v>926</v>
      </c>
      <c r="C112" s="809"/>
      <c r="D112" s="810">
        <f>D96+D101+D106+D111</f>
      </c>
      <c r="E112" s="810">
        <f>E96+E101+E106+E111</f>
      </c>
      <c r="F112" s="810">
        <f>F96+F101+F106+F111</f>
      </c>
      <c r="G112" s="811">
        <f>G96+G101+G106+G111</f>
      </c>
      <c r="H112" s="810">
        <f>H96+H101+H106+H111</f>
      </c>
      <c r="I112" s="809">
        <f t="shared" si="187"/>
      </c>
      <c r="J112" s="809">
        <f t="shared" si="218"/>
      </c>
      <c r="K112" s="809">
        <f t="shared" si="125"/>
      </c>
      <c r="L112" s="812">
        <f t="shared" si="156"/>
      </c>
      <c r="M112" s="812">
        <f t="shared" si="4"/>
      </c>
      <c r="N112" s="809">
        <f t="shared" si="94"/>
      </c>
      <c r="O112" s="813"/>
      <c r="P112" s="813"/>
      <c r="Q112" s="811">
        <f>Q96+Q101+Q106+Q111</f>
      </c>
      <c r="R112" s="811">
        <f>R96+R101+R106+R111</f>
      </c>
      <c r="S112" s="811">
        <f>S96+S101+S106+S111</f>
      </c>
      <c r="T112" s="811">
        <f>T96+T101+T106+T111</f>
      </c>
    </row>
    <row r="113">
      <c r="A113" s="775" t="s">
        <v>877</v>
      </c>
      <c r="B113" s="775"/>
      <c r="C113" s="775"/>
      <c r="D113" s="776" t="s">
        <v>878</v>
      </c>
      <c r="E113" s="776"/>
      <c r="F113" s="776"/>
      <c r="G113" s="776"/>
      <c r="H113" s="776"/>
      <c r="I113" s="776"/>
      <c r="J113" s="776"/>
      <c r="K113" s="776"/>
      <c r="L113" s="778" t="s">
        <v>879</v>
      </c>
      <c r="M113" s="778"/>
      <c r="N113" s="778"/>
      <c r="O113" s="778"/>
      <c r="P113" s="778"/>
      <c r="Q113" s="779" t="s">
        <v>880</v>
      </c>
      <c r="R113" s="779"/>
      <c r="S113" s="779"/>
      <c r="T113" s="779"/>
    </row>
    <row r="114">
      <c r="A114" s="780" t="s">
        <v>881</v>
      </c>
      <c r="B114" s="780" t="s">
        <v>882</v>
      </c>
      <c r="C114" s="780" t="s">
        <v>883</v>
      </c>
      <c r="D114" s="776" t="s">
        <v>884</v>
      </c>
      <c r="E114" s="776" t="s">
        <v>885</v>
      </c>
      <c r="F114" s="776" t="s">
        <v>886</v>
      </c>
      <c r="G114" s="777" t="s">
        <v>887</v>
      </c>
      <c r="H114" s="776" t="s">
        <v>888</v>
      </c>
      <c r="I114" s="781" t="s">
        <v>889</v>
      </c>
      <c r="J114" s="782" t="s">
        <v>890</v>
      </c>
      <c r="K114" s="776" t="s">
        <v>891</v>
      </c>
      <c r="L114" s="783" t="s">
        <v>892</v>
      </c>
      <c r="M114" s="783" t="s">
        <v>893</v>
      </c>
      <c r="N114" s="783" t="s">
        <v>894</v>
      </c>
      <c r="O114" s="778" t="s">
        <v>895</v>
      </c>
      <c r="P114" s="778" t="s">
        <v>896</v>
      </c>
      <c r="Q114" s="784" t="s">
        <v>897</v>
      </c>
      <c r="R114" s="784" t="s">
        <v>898</v>
      </c>
      <c r="S114" s="784" t="s">
        <v>899</v>
      </c>
      <c r="T114" s="784" t="s">
        <v>900</v>
      </c>
    </row>
    <row r="115">
      <c r="A115" s="785" t="s">
        <v>933</v>
      </c>
      <c r="B115" s="786" t="s">
        <v>902</v>
      </c>
      <c r="C115" s="787" t="s">
        <v>903</v>
      </c>
      <c r="D115" s="788">
        <v>1854.6599999999999</v>
      </c>
      <c r="E115" s="789">
        <v>1208.6</v>
      </c>
      <c r="F115" s="789">
        <v>646.06</v>
      </c>
      <c r="G115" s="790">
        <v>4</v>
      </c>
      <c r="H115" s="789">
        <v>1780.94</v>
      </c>
      <c r="I115" s="791">
        <f t="shared" ref="I115:I135" si="188">H115/D115</f>
      </c>
      <c r="J115" s="791">
        <f t="shared" ref="J115:J135" si="219">D115/G115</f>
      </c>
      <c r="K115" s="791">
        <f t="shared" ref="K115:K135" si="126">H115/G115</f>
      </c>
      <c r="L115" s="792">
        <f t="shared" ref="L115:L135" si="157">R115/Q115</f>
      </c>
      <c r="M115" s="793">
        <f t="shared" ref="M115:M135" si="5">G115/S115</f>
      </c>
      <c r="N115" s="794">
        <f t="shared" ref="N115:N135" si="95">(T115*1000)/D115</f>
      </c>
      <c r="O115" s="795" t="s">
        <v>904</v>
      </c>
      <c r="P115" s="796" t="s">
        <v>905</v>
      </c>
      <c r="Q115" s="797">
        <v>17546</v>
      </c>
      <c r="R115" s="797">
        <v>2671</v>
      </c>
      <c r="S115" s="797">
        <v>7</v>
      </c>
      <c r="T115" s="797">
        <v>61</v>
      </c>
    </row>
    <row r="116">
      <c r="A116" s="785"/>
      <c r="B116" s="786" t="s">
        <v>902</v>
      </c>
      <c r="C116" s="789" t="s">
        <v>906</v>
      </c>
      <c r="D116" s="788">
        <v>2230.86</v>
      </c>
      <c r="E116" s="789">
        <v>1299.45</v>
      </c>
      <c r="F116" s="789">
        <v>931.41</v>
      </c>
      <c r="G116" s="790">
        <v>4</v>
      </c>
      <c r="H116" s="789">
        <v>4961.4</v>
      </c>
      <c r="I116" s="791">
        <f t="shared" si="188"/>
      </c>
      <c r="J116" s="791">
        <f t="shared" si="219"/>
      </c>
      <c r="K116" s="791">
        <f t="shared" si="126"/>
      </c>
      <c r="L116" s="792">
        <f t="shared" si="157"/>
      </c>
      <c r="M116" s="793">
        <f t="shared" si="5"/>
      </c>
      <c r="N116" s="794">
        <f t="shared" si="95"/>
      </c>
      <c r="O116" s="795" t="s">
        <v>904</v>
      </c>
      <c r="P116" s="796" t="s">
        <v>905</v>
      </c>
      <c r="Q116" s="797">
        <v>21856</v>
      </c>
      <c r="R116" s="797">
        <v>3529</v>
      </c>
      <c r="S116" s="797">
        <v>7</v>
      </c>
      <c r="T116" s="797">
        <v>97</v>
      </c>
    </row>
    <row r="117">
      <c r="A117" s="785"/>
      <c r="B117" s="786" t="s">
        <v>902</v>
      </c>
      <c r="C117" s="789" t="s">
        <v>907</v>
      </c>
      <c r="D117" s="788">
        <v>1895.1399999999999</v>
      </c>
      <c r="E117" s="789">
        <v>874.65</v>
      </c>
      <c r="F117" s="789">
        <v>1020.49</v>
      </c>
      <c r="G117" s="790">
        <v>3</v>
      </c>
      <c r="H117" s="789">
        <v>645.1199999999999</v>
      </c>
      <c r="I117" s="791">
        <f t="shared" si="188"/>
      </c>
      <c r="J117" s="791">
        <f t="shared" si="219"/>
      </c>
      <c r="K117" s="791">
        <f t="shared" si="126"/>
      </c>
      <c r="L117" s="792">
        <f t="shared" si="157"/>
      </c>
      <c r="M117" s="793">
        <f t="shared" si="5"/>
      </c>
      <c r="N117" s="794">
        <f t="shared" si="95"/>
      </c>
      <c r="O117" s="795" t="s">
        <v>904</v>
      </c>
      <c r="P117" s="796" t="s">
        <v>905</v>
      </c>
      <c r="Q117" s="797">
        <v>18336</v>
      </c>
      <c r="R117" s="797">
        <v>3341</v>
      </c>
      <c r="S117" s="797">
        <v>6</v>
      </c>
      <c r="T117" s="797">
        <v>64</v>
      </c>
    </row>
    <row r="118">
      <c r="A118" s="785"/>
      <c r="B118" s="786" t="s">
        <v>902</v>
      </c>
      <c r="C118" s="789" t="s">
        <v>908</v>
      </c>
      <c r="D118" s="788">
        <v>1858.23</v>
      </c>
      <c r="E118" s="789">
        <v>629.28</v>
      </c>
      <c r="F118" s="789">
        <v>1228.95</v>
      </c>
      <c r="G118" s="790">
        <v>7</v>
      </c>
      <c r="H118" s="789">
        <v>1505.2799999999997</v>
      </c>
      <c r="I118" s="791">
        <f t="shared" si="188"/>
      </c>
      <c r="J118" s="791">
        <f t="shared" si="219"/>
      </c>
      <c r="K118" s="791">
        <f t="shared" si="126"/>
      </c>
      <c r="L118" s="792">
        <f t="shared" si="157"/>
      </c>
      <c r="M118" s="793">
        <f t="shared" si="5"/>
      </c>
      <c r="N118" s="794">
        <f t="shared" si="95"/>
      </c>
      <c r="O118" s="795" t="s">
        <v>904</v>
      </c>
      <c r="P118" s="796" t="s">
        <v>905</v>
      </c>
      <c r="Q118" s="797">
        <v>16752</v>
      </c>
      <c r="R118" s="797">
        <v>3714</v>
      </c>
      <c r="S118" s="797">
        <v>12</v>
      </c>
      <c r="T118" s="797">
        <v>65</v>
      </c>
    </row>
    <row r="119">
      <c r="A119" s="785"/>
      <c r="B119" s="798" t="s">
        <v>910</v>
      </c>
      <c r="C119" s="798"/>
      <c r="D119" s="799">
        <f>SUM(D115:D118)</f>
      </c>
      <c r="E119" s="799">
        <f>SUM(E115:E118)</f>
      </c>
      <c r="F119" s="799">
        <f>SUM(F115:F118)</f>
      </c>
      <c r="G119" s="800">
        <f>SUM(G115:G118)</f>
      </c>
      <c r="H119" s="799">
        <f>SUM(H115:H118)</f>
      </c>
      <c r="I119" s="801">
        <f t="shared" si="188"/>
      </c>
      <c r="J119" s="802">
        <f t="shared" si="219"/>
      </c>
      <c r="K119" s="803">
        <f t="shared" si="126"/>
      </c>
      <c r="L119" s="804">
        <f t="shared" si="157"/>
      </c>
      <c r="M119" s="804">
        <f t="shared" si="5"/>
      </c>
      <c r="N119" s="805">
        <f t="shared" si="95"/>
      </c>
      <c r="O119" s="805"/>
      <c r="P119" s="805"/>
      <c r="Q119" s="806">
        <f>SUM(Q115:Q118)</f>
      </c>
      <c r="R119" s="806">
        <f>SUM(R115:R118)</f>
      </c>
      <c r="S119" s="806">
        <f>SUM(S115:S118)</f>
      </c>
      <c r="T119" s="806">
        <f>SUM(T115:T118)</f>
      </c>
    </row>
    <row r="120">
      <c r="A120" s="785"/>
      <c r="B120" s="786" t="s">
        <v>930</v>
      </c>
      <c r="C120" s="789" t="s">
        <v>909</v>
      </c>
      <c r="D120" s="788">
        <v>2921.09</v>
      </c>
      <c r="E120" s="788">
        <v>1328.67</v>
      </c>
      <c r="F120" s="788">
        <v>1592.42</v>
      </c>
      <c r="G120" s="807">
        <v>4</v>
      </c>
      <c r="H120" s="788">
        <v>2189.540000000001</v>
      </c>
      <c r="I120" s="791">
        <f t="shared" si="188"/>
      </c>
      <c r="J120" s="791">
        <f t="shared" si="219"/>
      </c>
      <c r="K120" s="791">
        <f t="shared" si="126"/>
      </c>
      <c r="L120" s="792">
        <f t="shared" si="157"/>
      </c>
      <c r="M120" s="793">
        <f t="shared" si="5"/>
      </c>
      <c r="N120" s="794">
        <f t="shared" si="95"/>
      </c>
      <c r="O120" s="795" t="s">
        <v>904</v>
      </c>
      <c r="P120" s="796" t="s">
        <v>905</v>
      </c>
      <c r="Q120" s="784">
        <v>27000</v>
      </c>
      <c r="R120" s="784">
        <v>3739</v>
      </c>
      <c r="S120" s="797">
        <v>8</v>
      </c>
      <c r="T120" s="797">
        <v>91</v>
      </c>
    </row>
    <row r="121">
      <c r="A121" s="785"/>
      <c r="B121" s="786" t="s">
        <v>930</v>
      </c>
      <c r="C121" s="789" t="s">
        <v>912</v>
      </c>
      <c r="D121" s="788">
        <v>1969.48</v>
      </c>
      <c r="E121" s="789">
        <v>800.67</v>
      </c>
      <c r="F121" s="789">
        <v>1168.81</v>
      </c>
      <c r="G121" s="790">
        <v>4</v>
      </c>
      <c r="H121" s="789">
        <v>2711.039999999999</v>
      </c>
      <c r="I121" s="791">
        <f t="shared" si="188"/>
      </c>
      <c r="J121" s="791">
        <f t="shared" si="219"/>
      </c>
      <c r="K121" s="791">
        <f t="shared" si="126"/>
      </c>
      <c r="L121" s="792">
        <f t="shared" si="157"/>
      </c>
      <c r="M121" s="793">
        <f t="shared" si="5"/>
      </c>
      <c r="N121" s="794">
        <f t="shared" si="95"/>
      </c>
      <c r="O121" s="795" t="s">
        <v>904</v>
      </c>
      <c r="P121" s="796" t="s">
        <v>905</v>
      </c>
      <c r="Q121" s="797">
        <v>18603</v>
      </c>
      <c r="R121" s="797">
        <v>2512</v>
      </c>
      <c r="S121" s="797">
        <v>6</v>
      </c>
      <c r="T121" s="797">
        <v>79</v>
      </c>
    </row>
    <row r="122">
      <c r="A122" s="785"/>
      <c r="B122" s="786" t="s">
        <v>930</v>
      </c>
      <c r="C122" s="789" t="s">
        <v>913</v>
      </c>
      <c r="D122" s="788">
        <v>1433.0900000000001</v>
      </c>
      <c r="E122" s="789">
        <v>478.22</v>
      </c>
      <c r="F122" s="789">
        <v>954.87</v>
      </c>
      <c r="G122" s="790">
        <v>3</v>
      </c>
      <c r="H122" s="789">
        <v>1088.1800000000003</v>
      </c>
      <c r="I122" s="791">
        <f t="shared" si="188"/>
      </c>
      <c r="J122" s="791">
        <f t="shared" si="219"/>
      </c>
      <c r="K122" s="791">
        <f t="shared" si="126"/>
      </c>
      <c r="L122" s="792">
        <f t="shared" si="157"/>
      </c>
      <c r="M122" s="793">
        <f t="shared" si="5"/>
      </c>
      <c r="N122" s="794">
        <f t="shared" si="95"/>
      </c>
      <c r="O122" s="795" t="s">
        <v>904</v>
      </c>
      <c r="P122" s="796" t="s">
        <v>905</v>
      </c>
      <c r="Q122" s="797">
        <v>13584</v>
      </c>
      <c r="R122" s="797">
        <v>2058</v>
      </c>
      <c r="S122" s="797">
        <v>4</v>
      </c>
      <c r="T122" s="797">
        <v>37</v>
      </c>
    </row>
    <row customHeight="true" ht="16.666666666666668" r="123">
      <c r="A123" s="785"/>
      <c r="B123" s="786" t="s">
        <v>930</v>
      </c>
      <c r="C123" s="789" t="s">
        <v>914</v>
      </c>
      <c r="D123" s="788">
        <v>1224.96</v>
      </c>
      <c r="E123" s="789">
        <v>334.74</v>
      </c>
      <c r="F123" s="789">
        <v>890.22</v>
      </c>
      <c r="G123" s="790">
        <v>5</v>
      </c>
      <c r="H123" s="789">
        <v>1537.9199999999983</v>
      </c>
      <c r="I123" s="791">
        <f t="shared" si="188"/>
      </c>
      <c r="J123" s="791">
        <f t="shared" si="219"/>
      </c>
      <c r="K123" s="791">
        <f t="shared" si="126"/>
      </c>
      <c r="L123" s="792">
        <f t="shared" si="157"/>
      </c>
      <c r="M123" s="793">
        <f t="shared" si="5"/>
      </c>
      <c r="N123" s="794">
        <f t="shared" si="95"/>
      </c>
      <c r="O123" s="795" t="s">
        <v>904</v>
      </c>
      <c r="P123" s="796" t="s">
        <v>932</v>
      </c>
      <c r="Q123" s="797">
        <v>10382</v>
      </c>
      <c r="R123" s="797">
        <v>1671</v>
      </c>
      <c r="S123" s="797">
        <v>7</v>
      </c>
      <c r="T123" s="797">
        <v>26</v>
      </c>
    </row>
    <row r="124">
      <c r="A124" s="785"/>
      <c r="B124" s="786" t="s">
        <v>930</v>
      </c>
      <c r="C124" s="789" t="s">
        <v>915</v>
      </c>
      <c r="D124" s="788">
        <v>2008.54</v>
      </c>
      <c r="E124" s="789">
        <v>1191.67</v>
      </c>
      <c r="F124" s="789">
        <v>816.87</v>
      </c>
      <c r="G124" s="790">
        <v>6</v>
      </c>
      <c r="H124" s="789">
        <v>2215.6800000000003</v>
      </c>
      <c r="I124" s="791">
        <f t="shared" si="188"/>
      </c>
      <c r="J124" s="791">
        <f t="shared" si="219"/>
      </c>
      <c r="K124" s="791">
        <f t="shared" si="126"/>
      </c>
      <c r="L124" s="792">
        <f t="shared" si="157"/>
      </c>
      <c r="M124" s="793">
        <f t="shared" si="5"/>
      </c>
      <c r="N124" s="794">
        <f t="shared" si="95"/>
      </c>
      <c r="O124" s="795" t="s">
        <v>904</v>
      </c>
      <c r="P124" s="796" t="s">
        <v>932</v>
      </c>
      <c r="Q124" s="797">
        <v>18558</v>
      </c>
      <c r="R124" s="797">
        <v>2880</v>
      </c>
      <c r="S124" s="797">
        <v>9</v>
      </c>
      <c r="T124" s="797">
        <v>36</v>
      </c>
    </row>
    <row r="125">
      <c r="A125" s="785"/>
      <c r="B125" s="808" t="s">
        <v>910</v>
      </c>
      <c r="C125" s="808"/>
      <c r="D125" s="799">
        <f>SUM(D120:D124)</f>
      </c>
      <c r="E125" s="799">
        <f>SUM(E120:E124)</f>
      </c>
      <c r="F125" s="799">
        <f>SUM(F120:F124)</f>
      </c>
      <c r="G125" s="800">
        <f>SUM(G120:G124)</f>
      </c>
      <c r="H125" s="799">
        <f>SUM(H120:H124)</f>
      </c>
      <c r="I125" s="801">
        <f t="shared" si="188"/>
      </c>
      <c r="J125" s="802">
        <f t="shared" si="219"/>
      </c>
      <c r="K125" s="803">
        <f t="shared" si="126"/>
      </c>
      <c r="L125" s="804">
        <f t="shared" si="157"/>
      </c>
      <c r="M125" s="804">
        <f t="shared" si="5"/>
      </c>
      <c r="N125" s="805">
        <f t="shared" si="95"/>
      </c>
      <c r="O125" s="805"/>
      <c r="P125" s="805"/>
      <c r="Q125" s="806">
        <f>SUM(Q120:Q124)</f>
      </c>
      <c r="R125" s="806">
        <f>SUM(R120:R124)</f>
      </c>
      <c r="S125" s="806">
        <f>SUM(S120:S124)</f>
      </c>
      <c r="T125" s="806">
        <f>SUM(T120:T124)</f>
      </c>
    </row>
    <row r="126">
      <c r="A126" s="785"/>
      <c r="B126" s="784" t="s">
        <v>918</v>
      </c>
      <c r="C126" s="789" t="s">
        <v>917</v>
      </c>
      <c r="D126" s="788">
        <v>2356.8999999999996</v>
      </c>
      <c r="E126" s="789">
        <v>1838.1</v>
      </c>
      <c r="F126" s="789">
        <v>518.8</v>
      </c>
      <c r="G126" s="790">
        <v>10</v>
      </c>
      <c r="H126" s="789">
        <v>4454.68</v>
      </c>
      <c r="I126" s="791">
        <f t="shared" si="188"/>
      </c>
      <c r="J126" s="791">
        <f t="shared" si="219"/>
      </c>
      <c r="K126" s="791">
        <f t="shared" si="126"/>
      </c>
      <c r="L126" s="792">
        <f t="shared" si="157"/>
      </c>
      <c r="M126" s="793">
        <f t="shared" si="5"/>
      </c>
      <c r="N126" s="794">
        <f t="shared" si="95"/>
      </c>
      <c r="O126" s="795" t="s">
        <v>904</v>
      </c>
      <c r="P126" s="796" t="s">
        <v>932</v>
      </c>
      <c r="Q126" s="797">
        <v>25320</v>
      </c>
      <c r="R126" s="797">
        <v>3407</v>
      </c>
      <c r="S126" s="797">
        <v>12</v>
      </c>
      <c r="T126" s="797">
        <v>39</v>
      </c>
    </row>
    <row r="127">
      <c r="A127" s="785"/>
      <c r="B127" s="784" t="s">
        <v>918</v>
      </c>
      <c r="C127" s="789" t="s">
        <v>919</v>
      </c>
      <c r="D127" s="788">
        <v>2007.9099999999999</v>
      </c>
      <c r="E127" s="789">
        <v>1367.86</v>
      </c>
      <c r="F127" s="789">
        <v>640.05</v>
      </c>
      <c r="G127" s="790">
        <v>7</v>
      </c>
      <c r="H127" s="789">
        <v>3317.040000000001</v>
      </c>
      <c r="I127" s="791">
        <f t="shared" si="188"/>
      </c>
      <c r="J127" s="791">
        <f t="shared" si="219"/>
      </c>
      <c r="K127" s="791">
        <f t="shared" si="126"/>
      </c>
      <c r="L127" s="792">
        <f t="shared" si="157"/>
      </c>
      <c r="M127" s="793">
        <f t="shared" si="5"/>
      </c>
      <c r="N127" s="794">
        <f t="shared" si="95"/>
      </c>
      <c r="O127" s="795" t="s">
        <v>904</v>
      </c>
      <c r="P127" s="796" t="s">
        <v>932</v>
      </c>
      <c r="Q127" s="797">
        <v>21965</v>
      </c>
      <c r="R127" s="797">
        <v>2898</v>
      </c>
      <c r="S127" s="797">
        <v>7</v>
      </c>
      <c r="T127" s="797">
        <v>47</v>
      </c>
    </row>
    <row r="128">
      <c r="A128" s="785"/>
      <c r="B128" s="784" t="s">
        <v>918</v>
      </c>
      <c r="C128" s="789" t="s">
        <v>920</v>
      </c>
      <c r="D128" s="788">
        <v>1753.73</v>
      </c>
      <c r="E128" s="789">
        <v>929.61</v>
      </c>
      <c r="F128" s="789">
        <v>824.12</v>
      </c>
      <c r="G128" s="790">
        <v>5</v>
      </c>
      <c r="H128" s="789">
        <v>4236</v>
      </c>
      <c r="I128" s="791">
        <f t="shared" si="188"/>
      </c>
      <c r="J128" s="791">
        <f t="shared" si="219"/>
      </c>
      <c r="K128" s="791">
        <f t="shared" si="126"/>
      </c>
      <c r="L128" s="792">
        <f t="shared" si="157"/>
      </c>
      <c r="M128" s="793">
        <f t="shared" si="5"/>
      </c>
      <c r="N128" s="794">
        <f t="shared" si="95"/>
      </c>
      <c r="O128" s="795" t="s">
        <v>904</v>
      </c>
      <c r="P128" s="796" t="s">
        <v>932</v>
      </c>
      <c r="Q128" s="797">
        <v>17875</v>
      </c>
      <c r="R128" s="797">
        <v>2377</v>
      </c>
      <c r="S128" s="797">
        <v>11</v>
      </c>
      <c r="T128" s="797">
        <v>35</v>
      </c>
    </row>
    <row customHeight="true" ht="16.666666666666668" r="129">
      <c r="A129" s="785"/>
      <c r="B129" s="784" t="s">
        <v>918</v>
      </c>
      <c r="C129" s="789" t="s">
        <v>921</v>
      </c>
      <c r="D129" s="788">
        <v>2348.3</v>
      </c>
      <c r="E129" s="789">
        <v>721.87</v>
      </c>
      <c r="F129" s="789">
        <v>1626.43</v>
      </c>
      <c r="G129" s="790">
        <v>7</v>
      </c>
      <c r="H129" s="789">
        <v>4257.480000000003</v>
      </c>
      <c r="I129" s="791">
        <f t="shared" si="188"/>
      </c>
      <c r="J129" s="791">
        <f t="shared" si="219"/>
      </c>
      <c r="K129" s="791">
        <f t="shared" si="126"/>
      </c>
      <c r="L129" s="792">
        <f t="shared" si="157"/>
      </c>
      <c r="M129" s="793">
        <f t="shared" si="5"/>
      </c>
      <c r="N129" s="794">
        <f t="shared" si="95"/>
      </c>
      <c r="O129" s="795" t="s">
        <v>904</v>
      </c>
      <c r="P129" s="796" t="s">
        <v>932</v>
      </c>
      <c r="Q129" s="797">
        <v>24097</v>
      </c>
      <c r="R129" s="797">
        <v>3236</v>
      </c>
      <c r="S129" s="797">
        <v>9</v>
      </c>
      <c r="T129" s="797">
        <v>43</v>
      </c>
    </row>
    <row r="130">
      <c r="A130" s="785"/>
      <c r="B130" s="808" t="s">
        <v>910</v>
      </c>
      <c r="C130" s="808"/>
      <c r="D130" s="799">
        <f>SUM(D126:D129)</f>
      </c>
      <c r="E130" s="799">
        <f>SUM(E126:E129)</f>
      </c>
      <c r="F130" s="799">
        <f>SUM(F126:F129)</f>
      </c>
      <c r="G130" s="800">
        <f>SUM(G126:G129)</f>
      </c>
      <c r="H130" s="799">
        <f>SUM(H126:H129)</f>
      </c>
      <c r="I130" s="801">
        <f t="shared" si="188"/>
      </c>
      <c r="J130" s="802">
        <f t="shared" si="219"/>
      </c>
      <c r="K130" s="803">
        <f t="shared" si="126"/>
      </c>
      <c r="L130" s="804">
        <f t="shared" si="157"/>
      </c>
      <c r="M130" s="804">
        <f t="shared" si="5"/>
      </c>
      <c r="N130" s="805">
        <f t="shared" si="95"/>
      </c>
      <c r="O130" s="805"/>
      <c r="P130" s="805"/>
      <c r="Q130" s="806">
        <f>SUM(Q126:Q129)</f>
      </c>
      <c r="R130" s="806">
        <f>SUM(R126:R129)</f>
      </c>
      <c r="S130" s="806">
        <f>SUM(S126:S129)</f>
      </c>
      <c r="T130" s="806">
        <f>SUM(T126:T129)</f>
      </c>
    </row>
    <row r="131">
      <c r="A131" s="785"/>
      <c r="B131" s="786" t="s">
        <v>922</v>
      </c>
      <c r="C131" s="789" t="s">
        <v>923</v>
      </c>
      <c r="D131" s="788">
        <v>2095.2200000000003</v>
      </c>
      <c r="E131" s="789">
        <v>597.47</v>
      </c>
      <c r="F131" s="789">
        <v>1497.75</v>
      </c>
      <c r="G131" s="790">
        <v>6</v>
      </c>
      <c r="H131" s="789">
        <v>4690.07</v>
      </c>
      <c r="I131" s="791">
        <f t="shared" si="188"/>
      </c>
      <c r="J131" s="791">
        <f t="shared" si="219"/>
      </c>
      <c r="K131" s="791">
        <f t="shared" si="126"/>
      </c>
      <c r="L131" s="792">
        <f t="shared" si="157"/>
      </c>
      <c r="M131" s="793">
        <f t="shared" si="5"/>
      </c>
      <c r="N131" s="794">
        <f t="shared" si="95"/>
      </c>
      <c r="O131" s="795" t="s">
        <v>904</v>
      </c>
      <c r="P131" s="796" t="s">
        <v>932</v>
      </c>
      <c r="Q131" s="797">
        <v>22795</v>
      </c>
      <c r="R131" s="797">
        <v>3075</v>
      </c>
      <c r="S131" s="797">
        <v>9</v>
      </c>
      <c r="T131" s="797">
        <v>36</v>
      </c>
    </row>
    <row r="132">
      <c r="A132" s="785"/>
      <c r="B132" s="786" t="s">
        <v>922</v>
      </c>
      <c r="C132" s="788" t="s">
        <v>924</v>
      </c>
      <c r="D132" s="788">
        <v>1657.8600000000001</v>
      </c>
      <c r="E132" s="789">
        <v>702.53</v>
      </c>
      <c r="F132" s="789">
        <v>955.33</v>
      </c>
      <c r="G132" s="790">
        <v>6</v>
      </c>
      <c r="H132" s="789">
        <v>2939.989999999998</v>
      </c>
      <c r="I132" s="791">
        <f t="shared" si="188"/>
      </c>
      <c r="J132" s="791">
        <f t="shared" si="219"/>
      </c>
      <c r="K132" s="791">
        <f t="shared" si="126"/>
      </c>
      <c r="L132" s="792">
        <f t="shared" si="157"/>
      </c>
      <c r="M132" s="793">
        <f t="shared" si="5"/>
      </c>
      <c r="N132" s="794">
        <f t="shared" si="95"/>
      </c>
      <c r="O132" s="795" t="s">
        <v>904</v>
      </c>
      <c r="P132" s="796" t="s">
        <v>932</v>
      </c>
      <c r="Q132" s="797">
        <v>19614</v>
      </c>
      <c r="R132" s="797">
        <v>2555</v>
      </c>
      <c r="S132" s="797">
        <v>8</v>
      </c>
      <c r="T132" s="797">
        <v>42</v>
      </c>
    </row>
    <row r="133">
      <c r="A133" s="785"/>
      <c r="B133" s="786" t="s">
        <v>922</v>
      </c>
      <c r="C133" s="789" t="s">
        <v>925</v>
      </c>
      <c r="D133" s="788">
        <v>443.14</v>
      </c>
      <c r="E133" s="789">
        <v>278.18</v>
      </c>
      <c r="F133" s="789">
        <v>164.96</v>
      </c>
      <c r="G133" s="790">
        <v>0</v>
      </c>
      <c r="H133" s="789">
        <v>0</v>
      </c>
      <c r="I133" s="791">
        <f t="shared" si="188"/>
      </c>
      <c r="J133" s="791">
        <f t="shared" si="219"/>
      </c>
      <c r="K133" s="791">
        <f t="shared" si="126"/>
      </c>
      <c r="L133" s="792">
        <f t="shared" si="157"/>
      </c>
      <c r="M133" s="793">
        <f t="shared" si="5"/>
      </c>
      <c r="N133" s="794">
        <f t="shared" si="95"/>
      </c>
      <c r="O133" s="795" t="s">
        <v>904</v>
      </c>
      <c r="P133" s="796" t="s">
        <v>932</v>
      </c>
      <c r="Q133" s="797">
        <v>5376</v>
      </c>
      <c r="R133" s="797">
        <v>807</v>
      </c>
      <c r="S133" s="797">
        <v>1</v>
      </c>
      <c r="T133" s="797">
        <v>8</v>
      </c>
    </row>
    <row r="134">
      <c r="A134" s="785"/>
      <c r="B134" s="808" t="s">
        <v>910</v>
      </c>
      <c r="C134" s="808"/>
      <c r="D134" s="799">
        <f>SUM(D131:D133)</f>
      </c>
      <c r="E134" s="799">
        <f>SUM(E131:E133)</f>
      </c>
      <c r="F134" s="799">
        <f>SUM(F131:F133)</f>
      </c>
      <c r="G134" s="800">
        <f>SUM(G131:G133)</f>
      </c>
      <c r="H134" s="799">
        <f>SUM(H131:H133)</f>
      </c>
      <c r="I134" s="801">
        <f t="shared" si="188"/>
      </c>
      <c r="J134" s="802">
        <f t="shared" si="219"/>
      </c>
      <c r="K134" s="803">
        <f t="shared" si="126"/>
      </c>
      <c r="L134" s="804">
        <f t="shared" si="157"/>
      </c>
      <c r="M134" s="804">
        <f t="shared" si="5"/>
      </c>
      <c r="N134" s="805">
        <f t="shared" si="95"/>
      </c>
      <c r="O134" s="805"/>
      <c r="P134" s="805"/>
      <c r="Q134" s="806">
        <f>SUM(Q131:Q133)</f>
      </c>
      <c r="R134" s="806">
        <f>SUM(R131:R133)</f>
      </c>
      <c r="S134" s="806">
        <f>SUM(S131:S133)</f>
      </c>
      <c r="T134" s="806">
        <f>SUM(T131:T133)</f>
      </c>
    </row>
    <row r="135">
      <c r="A135" s="785"/>
      <c r="B135" s="809" t="s">
        <v>926</v>
      </c>
      <c r="C135" s="809"/>
      <c r="D135" s="810">
        <f>D119+D125+D130+D134</f>
      </c>
      <c r="E135" s="810">
        <f>E119+E125+E130+E134</f>
      </c>
      <c r="F135" s="810">
        <f>F119+F125+F130+F134</f>
      </c>
      <c r="G135" s="811">
        <f>G119+G125+G130+G134</f>
      </c>
      <c r="H135" s="810">
        <f>H119+H125+H130+H134</f>
      </c>
      <c r="I135" s="809">
        <f t="shared" si="188"/>
      </c>
      <c r="J135" s="809">
        <f t="shared" si="219"/>
      </c>
      <c r="K135" s="809">
        <f t="shared" si="126"/>
      </c>
      <c r="L135" s="812">
        <f t="shared" si="157"/>
      </c>
      <c r="M135" s="812">
        <f t="shared" si="5"/>
      </c>
      <c r="N135" s="809">
        <f t="shared" si="95"/>
      </c>
      <c r="O135" s="813"/>
      <c r="P135" s="813"/>
      <c r="Q135" s="811">
        <f>Q119+Q125+Q130+Q134</f>
      </c>
      <c r="R135" s="811">
        <f>R119+R125+R130+R134</f>
      </c>
      <c r="S135" s="811">
        <f>S119+S125+S130+S134</f>
      </c>
      <c r="T135" s="811">
        <f>T119+T125+T130+T134</f>
      </c>
    </row>
    <row r="136">
      <c r="A136" s="775" t="s">
        <v>877</v>
      </c>
      <c r="B136" s="775"/>
      <c r="C136" s="775"/>
      <c r="D136" s="776" t="s">
        <v>878</v>
      </c>
      <c r="E136" s="776"/>
      <c r="F136" s="776"/>
      <c r="G136" s="776"/>
      <c r="H136" s="776"/>
      <c r="I136" s="776"/>
      <c r="J136" s="776"/>
      <c r="K136" s="776"/>
      <c r="L136" s="778" t="s">
        <v>879</v>
      </c>
      <c r="M136" s="778"/>
      <c r="N136" s="778"/>
      <c r="O136" s="778"/>
      <c r="P136" s="778"/>
      <c r="Q136" s="779" t="s">
        <v>880</v>
      </c>
      <c r="R136" s="779"/>
      <c r="S136" s="779"/>
      <c r="T136" s="779"/>
    </row>
    <row r="137">
      <c r="A137" s="780" t="s">
        <v>881</v>
      </c>
      <c r="B137" s="780" t="s">
        <v>882</v>
      </c>
      <c r="C137" s="780" t="s">
        <v>883</v>
      </c>
      <c r="D137" s="776" t="s">
        <v>884</v>
      </c>
      <c r="E137" s="776" t="s">
        <v>885</v>
      </c>
      <c r="F137" s="776" t="s">
        <v>886</v>
      </c>
      <c r="G137" s="777" t="s">
        <v>887</v>
      </c>
      <c r="H137" s="776" t="s">
        <v>888</v>
      </c>
      <c r="I137" s="781" t="s">
        <v>889</v>
      </c>
      <c r="J137" s="782" t="s">
        <v>890</v>
      </c>
      <c r="K137" s="776" t="s">
        <v>891</v>
      </c>
      <c r="L137" s="783" t="s">
        <v>892</v>
      </c>
      <c r="M137" s="783" t="s">
        <v>893</v>
      </c>
      <c r="N137" s="783" t="s">
        <v>894</v>
      </c>
      <c r="O137" s="778" t="s">
        <v>895</v>
      </c>
      <c r="P137" s="778" t="s">
        <v>896</v>
      </c>
      <c r="Q137" s="784" t="s">
        <v>897</v>
      </c>
      <c r="R137" s="784" t="s">
        <v>898</v>
      </c>
      <c r="S137" s="784" t="s">
        <v>899</v>
      </c>
      <c r="T137" s="784" t="s">
        <v>900</v>
      </c>
    </row>
    <row r="138">
      <c r="A138" s="785" t="s">
        <v>934</v>
      </c>
      <c r="B138" s="786" t="s">
        <v>922</v>
      </c>
      <c r="C138" s="789" t="s">
        <v>912</v>
      </c>
      <c r="D138" s="788">
        <v>2772.59</v>
      </c>
      <c r="E138" s="789">
        <v>2023.2</v>
      </c>
      <c r="F138" s="789">
        <v>749.39</v>
      </c>
      <c r="G138" s="790">
        <v>5</v>
      </c>
      <c r="H138" s="789">
        <v>1055.54</v>
      </c>
      <c r="I138" s="791">
        <f t="shared" ref="I138:I148" si="189">H138/D138</f>
      </c>
      <c r="J138" s="791">
        <f t="shared" ref="J138:J148" si="220">D138/G138</f>
      </c>
      <c r="K138" s="791">
        <f t="shared" ref="K138:K148" si="127">H138/G138</f>
      </c>
      <c r="L138" s="792">
        <f t="shared" ref="L138:L148" si="158">R138/Q138</f>
      </c>
      <c r="M138" s="793">
        <f t="shared" ref="M138:M148" si="6">G138/S138</f>
      </c>
      <c r="N138" s="794">
        <f t="shared" ref="N138:N148" si="96">(T138*1000)/D138</f>
      </c>
      <c r="O138" s="795" t="s">
        <v>904</v>
      </c>
      <c r="P138" s="796" t="s">
        <v>932</v>
      </c>
      <c r="Q138" s="797">
        <v>30698</v>
      </c>
      <c r="R138" s="797">
        <v>3430</v>
      </c>
      <c r="S138" s="797">
        <v>8</v>
      </c>
      <c r="T138" s="797">
        <v>44</v>
      </c>
    </row>
    <row r="139">
      <c r="A139" s="785"/>
      <c r="B139" s="786" t="s">
        <v>922</v>
      </c>
      <c r="C139" s="789" t="s">
        <v>913</v>
      </c>
      <c r="D139" s="788">
        <v>1675.3200000000002</v>
      </c>
      <c r="E139" s="789">
        <v>1091.5</v>
      </c>
      <c r="F139" s="789">
        <v>583.82</v>
      </c>
      <c r="G139" s="790">
        <v>4</v>
      </c>
      <c r="H139" s="789">
        <v>1322.88</v>
      </c>
      <c r="I139" s="791">
        <f t="shared" si="189"/>
      </c>
      <c r="J139" s="791">
        <f t="shared" si="220"/>
      </c>
      <c r="K139" s="791">
        <f t="shared" si="127"/>
      </c>
      <c r="L139" s="792">
        <f t="shared" si="158"/>
      </c>
      <c r="M139" s="793">
        <f t="shared" si="6"/>
      </c>
      <c r="N139" s="794">
        <f t="shared" si="96"/>
      </c>
      <c r="O139" s="795" t="s">
        <v>904</v>
      </c>
      <c r="P139" s="796" t="s">
        <v>932</v>
      </c>
      <c r="Q139" s="797">
        <v>18647</v>
      </c>
      <c r="R139" s="797">
        <v>2214</v>
      </c>
      <c r="S139" s="797">
        <v>5</v>
      </c>
      <c r="T139" s="797">
        <v>38</v>
      </c>
    </row>
    <row r="140">
      <c r="A140" s="785"/>
      <c r="B140" s="786" t="s">
        <v>922</v>
      </c>
      <c r="C140" s="789" t="s">
        <v>914</v>
      </c>
      <c r="D140" s="788">
        <v>1232.62</v>
      </c>
      <c r="E140" s="789">
        <v>745.24</v>
      </c>
      <c r="F140" s="789">
        <v>487.38</v>
      </c>
      <c r="G140" s="790">
        <v>0</v>
      </c>
      <c r="H140" s="789">
        <v>0</v>
      </c>
      <c r="I140" s="791">
        <f t="shared" si="189"/>
      </c>
      <c r="J140" s="791">
        <f t="shared" si="220"/>
      </c>
      <c r="K140" s="791">
        <f t="shared" si="127"/>
      </c>
      <c r="L140" s="792">
        <f t="shared" si="158"/>
      </c>
      <c r="M140" s="793">
        <f t="shared" si="6"/>
      </c>
      <c r="N140" s="794">
        <f t="shared" si="96"/>
      </c>
      <c r="O140" s="795" t="s">
        <v>904</v>
      </c>
      <c r="P140" s="796" t="s">
        <v>932</v>
      </c>
      <c r="Q140" s="797">
        <v>13651</v>
      </c>
      <c r="R140" s="797">
        <v>1849</v>
      </c>
      <c r="S140" s="797">
        <v>0</v>
      </c>
      <c r="T140" s="797">
        <v>31</v>
      </c>
    </row>
    <row r="141">
      <c r="A141" s="785"/>
      <c r="B141" s="786" t="s">
        <v>922</v>
      </c>
      <c r="C141" s="789" t="s">
        <v>915</v>
      </c>
      <c r="D141" s="788">
        <v>1157.46</v>
      </c>
      <c r="E141" s="789">
        <v>948.56</v>
      </c>
      <c r="F141" s="789">
        <v>208.9</v>
      </c>
      <c r="G141" s="790">
        <v>3</v>
      </c>
      <c r="H141" s="789">
        <v>625.46</v>
      </c>
      <c r="I141" s="791">
        <f t="shared" si="189"/>
      </c>
      <c r="J141" s="791">
        <f t="shared" si="220"/>
      </c>
      <c r="K141" s="791">
        <f t="shared" si="127"/>
      </c>
      <c r="L141" s="792">
        <f t="shared" si="158"/>
      </c>
      <c r="M141" s="793">
        <f t="shared" si="6"/>
      </c>
      <c r="N141" s="794">
        <f t="shared" si="96"/>
      </c>
      <c r="O141" s="795" t="s">
        <v>904</v>
      </c>
      <c r="P141" s="796" t="s">
        <v>932</v>
      </c>
      <c r="Q141" s="797">
        <v>13360</v>
      </c>
      <c r="R141" s="797">
        <v>1691</v>
      </c>
      <c r="S141" s="797">
        <v>4</v>
      </c>
      <c r="T141" s="797">
        <v>26</v>
      </c>
    </row>
    <row r="142">
      <c r="A142" s="785"/>
      <c r="B142" s="798" t="s">
        <v>910</v>
      </c>
      <c r="C142" s="798"/>
      <c r="D142" s="799">
        <f>SUM(D138:D141)</f>
      </c>
      <c r="E142" s="799">
        <f>SUM(E138:E141)</f>
      </c>
      <c r="F142" s="799">
        <f>SUM(F138:F141)</f>
      </c>
      <c r="G142" s="800">
        <f>SUM(G138:G141)</f>
      </c>
      <c r="H142" s="799">
        <f>SUM(H138:H141)</f>
      </c>
      <c r="I142" s="801">
        <f t="shared" si="189"/>
      </c>
      <c r="J142" s="802">
        <f t="shared" si="220"/>
      </c>
      <c r="K142" s="803">
        <f t="shared" si="127"/>
      </c>
      <c r="L142" s="804">
        <f t="shared" si="158"/>
      </c>
      <c r="M142" s="804">
        <f t="shared" si="6"/>
      </c>
      <c r="N142" s="805">
        <f t="shared" si="96"/>
      </c>
      <c r="O142" s="805"/>
      <c r="P142" s="805"/>
      <c r="Q142" s="806">
        <f>SUM(Q138:Q141)</f>
      </c>
      <c r="R142" s="806">
        <f>SUM(R138:R141)</f>
      </c>
      <c r="S142" s="806">
        <f>SUM(S138:S141)</f>
      </c>
      <c r="T142" s="806">
        <f>SUM(T138:T141)</f>
      </c>
    </row>
    <row r="143">
      <c r="A143" s="785"/>
      <c r="B143" s="786" t="s">
        <v>902</v>
      </c>
      <c r="C143" s="789" t="s">
        <v>917</v>
      </c>
      <c r="D143" s="788">
        <v>824.58</v>
      </c>
      <c r="E143" s="788">
        <v>732.6</v>
      </c>
      <c r="F143" s="788">
        <v>91.98</v>
      </c>
      <c r="G143" s="807">
        <v>2</v>
      </c>
      <c r="H143" s="788">
        <v>430.0799999999999</v>
      </c>
      <c r="I143" s="791">
        <f t="shared" si="189"/>
      </c>
      <c r="J143" s="791">
        <f t="shared" si="220"/>
      </c>
      <c r="K143" s="791">
        <f t="shared" si="127"/>
      </c>
      <c r="L143" s="792">
        <f t="shared" si="158"/>
      </c>
      <c r="M143" s="793">
        <f t="shared" si="6"/>
      </c>
      <c r="N143" s="794">
        <f t="shared" si="96"/>
      </c>
      <c r="O143" s="795" t="s">
        <v>904</v>
      </c>
      <c r="P143" s="796" t="s">
        <v>932</v>
      </c>
      <c r="Q143" s="784">
        <v>10040</v>
      </c>
      <c r="R143" s="784">
        <v>1403</v>
      </c>
      <c r="S143" s="797">
        <v>3</v>
      </c>
      <c r="T143" s="797">
        <v>17</v>
      </c>
    </row>
    <row r="144">
      <c r="A144" s="785"/>
      <c r="B144" s="786" t="s">
        <v>902</v>
      </c>
      <c r="C144" s="789" t="s">
        <v>919</v>
      </c>
      <c r="D144" s="788">
        <v>995</v>
      </c>
      <c r="E144" s="789">
        <v>858.76</v>
      </c>
      <c r="F144" s="789">
        <v>136.24</v>
      </c>
      <c r="G144" s="790">
        <v>1</v>
      </c>
      <c r="H144" s="789">
        <v>677.7600000000002</v>
      </c>
      <c r="I144" s="791">
        <f t="shared" si="189"/>
      </c>
      <c r="J144" s="791">
        <f t="shared" si="220"/>
      </c>
      <c r="K144" s="791">
        <f t="shared" si="127"/>
      </c>
      <c r="L144" s="792">
        <f t="shared" si="158"/>
      </c>
      <c r="M144" s="793">
        <f t="shared" si="6"/>
      </c>
      <c r="N144" s="794">
        <f t="shared" si="96"/>
      </c>
      <c r="O144" s="795" t="s">
        <v>904</v>
      </c>
      <c r="P144" s="796" t="s">
        <v>932</v>
      </c>
      <c r="Q144" s="797">
        <v>12147</v>
      </c>
      <c r="R144" s="797">
        <v>1606</v>
      </c>
      <c r="S144" s="797">
        <v>5</v>
      </c>
      <c r="T144" s="797">
        <v>22</v>
      </c>
    </row>
    <row r="145">
      <c r="A145" s="785"/>
      <c r="B145" s="786" t="s">
        <v>902</v>
      </c>
      <c r="C145" s="789" t="s">
        <v>920</v>
      </c>
      <c r="D145" s="788">
        <v>751.5600000000001</v>
      </c>
      <c r="E145" s="789">
        <v>665.48</v>
      </c>
      <c r="F145" s="789">
        <v>86.08</v>
      </c>
      <c r="G145" s="790">
        <v>0</v>
      </c>
      <c r="H145" s="789">
        <v>0</v>
      </c>
      <c r="I145" s="791">
        <f t="shared" si="189"/>
      </c>
      <c r="J145" s="791">
        <f t="shared" si="220"/>
      </c>
      <c r="K145" s="791">
        <f t="shared" si="127"/>
      </c>
      <c r="L145" s="792">
        <f t="shared" si="158"/>
      </c>
      <c r="M145" s="793">
        <f t="shared" si="6"/>
      </c>
      <c r="N145" s="794">
        <f t="shared" si="96"/>
      </c>
      <c r="O145" s="795" t="s">
        <v>904</v>
      </c>
      <c r="P145" s="796" t="s">
        <v>932</v>
      </c>
      <c r="Q145" s="797">
        <v>9126</v>
      </c>
      <c r="R145" s="797">
        <v>1228</v>
      </c>
      <c r="S145" s="797">
        <v>0</v>
      </c>
      <c r="T145" s="797">
        <v>16</v>
      </c>
    </row>
    <row r="146">
      <c r="A146" s="785"/>
      <c r="B146" s="786" t="s">
        <v>902</v>
      </c>
      <c r="C146" s="789" t="s">
        <v>921</v>
      </c>
      <c r="D146" s="788">
        <v>765.8199999999999</v>
      </c>
      <c r="E146" s="789">
        <v>640.15</v>
      </c>
      <c r="F146" s="789">
        <v>125.67</v>
      </c>
      <c r="G146" s="790">
        <v>3</v>
      </c>
      <c r="H146" s="789">
        <v>1994.1599999999999</v>
      </c>
      <c r="I146" s="791">
        <f t="shared" si="189"/>
      </c>
      <c r="J146" s="791">
        <f t="shared" si="220"/>
      </c>
      <c r="K146" s="791">
        <f t="shared" si="127"/>
      </c>
      <c r="L146" s="792">
        <f t="shared" si="158"/>
      </c>
      <c r="M146" s="793">
        <f t="shared" si="6"/>
      </c>
      <c r="N146" s="794">
        <f t="shared" si="96"/>
      </c>
      <c r="O146" s="795" t="s">
        <v>904</v>
      </c>
      <c r="P146" s="796" t="s">
        <v>932</v>
      </c>
      <c r="Q146" s="797">
        <v>8254</v>
      </c>
      <c r="R146" s="797">
        <v>1147</v>
      </c>
      <c r="S146" s="797">
        <v>3</v>
      </c>
      <c r="T146" s="797">
        <v>18</v>
      </c>
    </row>
    <row r="147">
      <c r="A147" s="785"/>
      <c r="B147" s="808" t="s">
        <v>910</v>
      </c>
      <c r="C147" s="808"/>
      <c r="D147" s="799">
        <f>SUM(D143:D146)</f>
      </c>
      <c r="E147" s="799">
        <f>SUM(E143:E146)</f>
      </c>
      <c r="F147" s="799">
        <f>SUM(F143:F146)</f>
      </c>
      <c r="G147" s="800">
        <f>SUM(G143:G146)</f>
      </c>
      <c r="H147" s="799">
        <f>SUM(H143:H146)</f>
      </c>
      <c r="I147" s="801">
        <f t="shared" si="189"/>
      </c>
      <c r="J147" s="802">
        <f t="shared" si="220"/>
      </c>
      <c r="K147" s="803">
        <f t="shared" si="127"/>
      </c>
      <c r="L147" s="804">
        <f t="shared" si="158"/>
      </c>
      <c r="M147" s="804">
        <f t="shared" si="6"/>
      </c>
      <c r="N147" s="805">
        <f t="shared" si="96"/>
      </c>
      <c r="O147" s="805"/>
      <c r="P147" s="805"/>
      <c r="Q147" s="806">
        <f>SUM(Q143:Q146)</f>
      </c>
      <c r="R147" s="806">
        <f>SUM(R143:R146)</f>
      </c>
      <c r="S147" s="806">
        <f>SUM(S143:S146)</f>
      </c>
      <c r="T147" s="806">
        <f>SUM(T143:T146)</f>
      </c>
    </row>
    <row r="148">
      <c r="A148" s="785"/>
      <c r="B148" s="809" t="s">
        <v>926</v>
      </c>
      <c r="C148" s="809"/>
      <c r="D148" s="810">
        <f>D142+D147</f>
      </c>
      <c r="E148" s="810">
        <f>E142+E147</f>
      </c>
      <c r="F148" s="810">
        <f>F142+F147</f>
      </c>
      <c r="G148" s="811">
        <f>G142+G147</f>
      </c>
      <c r="H148" s="810">
        <f>H142+H147</f>
      </c>
      <c r="I148" s="809">
        <f t="shared" si="189"/>
      </c>
      <c r="J148" s="809">
        <f t="shared" si="220"/>
      </c>
      <c r="K148" s="809">
        <f t="shared" si="127"/>
      </c>
      <c r="L148" s="812">
        <f t="shared" si="158"/>
      </c>
      <c r="M148" s="812">
        <f t="shared" si="6"/>
      </c>
      <c r="N148" s="809">
        <f t="shared" si="96"/>
      </c>
      <c r="O148" s="813"/>
      <c r="P148" s="813"/>
      <c r="Q148" s="811">
        <f>Q142+Q147</f>
      </c>
      <c r="R148" s="811">
        <f>R142+R147</f>
      </c>
      <c r="S148" s="811">
        <f>S142+S147</f>
      </c>
      <c r="T148" s="811">
        <f>T142+T147</f>
      </c>
    </row>
    <row customHeight="true" ht="18.452380952380953" r="149">
      <c r="A149" s="775" t="s">
        <v>877</v>
      </c>
      <c r="B149" s="775"/>
      <c r="C149" s="775"/>
      <c r="D149" s="776" t="s">
        <v>878</v>
      </c>
      <c r="E149" s="776"/>
      <c r="F149" s="776"/>
      <c r="G149" s="776"/>
      <c r="H149" s="776"/>
      <c r="I149" s="776"/>
      <c r="J149" s="776"/>
      <c r="K149" s="776"/>
      <c r="L149" s="778" t="s">
        <v>879</v>
      </c>
      <c r="M149" s="778"/>
      <c r="N149" s="778"/>
      <c r="O149" s="778"/>
      <c r="P149" s="778"/>
      <c r="Q149" s="779" t="s">
        <v>880</v>
      </c>
      <c r="R149" s="779"/>
      <c r="S149" s="779"/>
      <c r="T149" s="779"/>
    </row>
    <row r="150">
      <c r="A150" s="814" t="s">
        <v>881</v>
      </c>
      <c r="B150" s="814" t="s">
        <v>882</v>
      </c>
      <c r="C150" s="814" t="s">
        <v>883</v>
      </c>
      <c r="D150" s="815" t="s">
        <v>884</v>
      </c>
      <c r="E150" s="815" t="s">
        <v>885</v>
      </c>
      <c r="F150" s="815" t="s">
        <v>886</v>
      </c>
      <c r="G150" s="816" t="s">
        <v>887</v>
      </c>
      <c r="H150" s="815" t="s">
        <v>888</v>
      </c>
      <c r="I150" s="817" t="s">
        <v>889</v>
      </c>
      <c r="J150" s="818" t="s">
        <v>890</v>
      </c>
      <c r="K150" s="815" t="s">
        <v>891</v>
      </c>
      <c r="L150" s="783" t="s">
        <v>892</v>
      </c>
      <c r="M150" s="783" t="s">
        <v>893</v>
      </c>
      <c r="N150" s="783" t="s">
        <v>894</v>
      </c>
      <c r="O150" s="778" t="s">
        <v>895</v>
      </c>
      <c r="P150" s="778" t="s">
        <v>896</v>
      </c>
      <c r="Q150" s="784" t="s">
        <v>897</v>
      </c>
      <c r="R150" s="784" t="s">
        <v>898</v>
      </c>
      <c r="S150" s="784" t="s">
        <v>899</v>
      </c>
      <c r="T150" s="784" t="s">
        <v>900</v>
      </c>
    </row>
    <row r="151">
      <c r="A151" s="785" t="s">
        <v>935</v>
      </c>
      <c r="B151" s="786" t="s">
        <v>902</v>
      </c>
      <c r="C151" s="789" t="s">
        <v>909</v>
      </c>
      <c r="D151" s="788">
        <v>671.0699999999999</v>
      </c>
      <c r="E151" s="789">
        <v>366.18</v>
      </c>
      <c r="F151" s="789">
        <v>304.89</v>
      </c>
      <c r="G151" s="790">
        <v>2</v>
      </c>
      <c r="H151" s="789">
        <v>892.8</v>
      </c>
      <c r="I151" s="791">
        <f t="shared" ref="I151:I161" si="190">H151/D151</f>
      </c>
      <c r="J151" s="791">
        <f t="shared" ref="J151:J161" si="221">D151/G151</f>
      </c>
      <c r="K151" s="791">
        <f t="shared" ref="K151:K161" si="128">H151/G151</f>
      </c>
      <c r="L151" s="819">
        <f t="shared" ref="L151:L161" si="159">R151/Q151</f>
      </c>
      <c r="M151" s="793">
        <f t="shared" ref="M151:M161" si="7">G151/S151</f>
      </c>
      <c r="N151" s="794">
        <f t="shared" ref="N151:N161" si="97">(T151*1000)/D151</f>
      </c>
      <c r="O151" s="795" t="s">
        <v>904</v>
      </c>
      <c r="P151" s="796" t="s">
        <v>936</v>
      </c>
      <c r="Q151" s="797">
        <v>6274</v>
      </c>
      <c r="R151" s="797">
        <v>819</v>
      </c>
      <c r="S151" s="797">
        <v>3</v>
      </c>
      <c r="T151" s="797">
        <v>29</v>
      </c>
    </row>
    <row r="152">
      <c r="A152" s="785"/>
      <c r="B152" s="786" t="s">
        <v>902</v>
      </c>
      <c r="C152" s="789" t="s">
        <v>912</v>
      </c>
      <c r="D152" s="788">
        <v>646.38</v>
      </c>
      <c r="E152" s="789">
        <v>432.67</v>
      </c>
      <c r="F152" s="789">
        <v>213.71</v>
      </c>
      <c r="G152" s="790">
        <v>1</v>
      </c>
      <c r="H152" s="789">
        <v>215.03999999999996</v>
      </c>
      <c r="I152" s="791">
        <f t="shared" si="190"/>
      </c>
      <c r="J152" s="791">
        <f t="shared" si="221"/>
      </c>
      <c r="K152" s="791">
        <f t="shared" si="128"/>
      </c>
      <c r="L152" s="819">
        <f t="shared" si="159"/>
      </c>
      <c r="M152" s="793">
        <f t="shared" si="7"/>
      </c>
      <c r="N152" s="794">
        <f t="shared" si="97"/>
      </c>
      <c r="O152" s="795" t="s">
        <v>904</v>
      </c>
      <c r="P152" s="796" t="s">
        <v>932</v>
      </c>
      <c r="Q152" s="797">
        <v>6323</v>
      </c>
      <c r="R152" s="797">
        <v>773</v>
      </c>
      <c r="S152" s="797">
        <v>2</v>
      </c>
      <c r="T152" s="797">
        <v>18</v>
      </c>
    </row>
    <row r="153">
      <c r="A153" s="785"/>
      <c r="B153" s="786" t="s">
        <v>902</v>
      </c>
      <c r="C153" s="789" t="s">
        <v>913</v>
      </c>
      <c r="D153" s="788">
        <v>1251.61</v>
      </c>
      <c r="E153" s="789">
        <v>817.92</v>
      </c>
      <c r="F153" s="789">
        <v>433.69</v>
      </c>
      <c r="G153" s="790">
        <v>5</v>
      </c>
      <c r="H153" s="789">
        <v>3325.3599999999997</v>
      </c>
      <c r="I153" s="791">
        <f t="shared" si="190"/>
      </c>
      <c r="J153" s="791">
        <f t="shared" si="221"/>
      </c>
      <c r="K153" s="791">
        <f t="shared" si="128"/>
      </c>
      <c r="L153" s="819">
        <f t="shared" si="159"/>
      </c>
      <c r="M153" s="793">
        <f t="shared" si="7"/>
      </c>
      <c r="N153" s="794">
        <f t="shared" si="97"/>
      </c>
      <c r="O153" s="795" t="s">
        <v>904</v>
      </c>
      <c r="P153" s="796" t="s">
        <v>932</v>
      </c>
      <c r="Q153" s="797">
        <v>10471</v>
      </c>
      <c r="R153" s="797">
        <v>1314</v>
      </c>
      <c r="S153" s="797">
        <v>5</v>
      </c>
      <c r="T153" s="797">
        <v>25</v>
      </c>
    </row>
    <row r="154">
      <c r="A154" s="785"/>
      <c r="B154" s="798" t="s">
        <v>910</v>
      </c>
      <c r="C154" s="798"/>
      <c r="D154" s="799">
        <f>SUM(D151:D153)</f>
      </c>
      <c r="E154" s="799">
        <f>SUM(E151:E153)</f>
      </c>
      <c r="F154" s="799">
        <f>SUM(F151:F153)</f>
      </c>
      <c r="G154" s="800">
        <f>SUM(G151:G153)</f>
      </c>
      <c r="H154" s="799">
        <f>SUM(H151:H153)</f>
      </c>
      <c r="I154" s="801">
        <f t="shared" si="190"/>
      </c>
      <c r="J154" s="802">
        <f t="shared" si="221"/>
      </c>
      <c r="K154" s="803">
        <f t="shared" si="128"/>
      </c>
      <c r="L154" s="820">
        <f t="shared" si="159"/>
      </c>
      <c r="M154" s="804">
        <f t="shared" si="7"/>
      </c>
      <c r="N154" s="805">
        <f t="shared" si="97"/>
      </c>
      <c r="O154" s="805"/>
      <c r="P154" s="805"/>
      <c r="Q154" s="806">
        <f>SUM(Q151:Q153)</f>
      </c>
      <c r="R154" s="806">
        <f>SUM(R151:R153)</f>
      </c>
      <c r="S154" s="806">
        <f>SUM(S151:S153)</f>
      </c>
      <c r="T154" s="806">
        <f>SUM(T151:T153)</f>
      </c>
    </row>
    <row r="155">
      <c r="A155" s="785"/>
      <c r="B155" s="786" t="s">
        <v>922</v>
      </c>
      <c r="C155" s="789" t="s">
        <v>937</v>
      </c>
      <c r="D155" s="788">
        <v>530.51</v>
      </c>
      <c r="E155" s="788">
        <v>379.29</v>
      </c>
      <c r="F155" s="788">
        <v>151.22</v>
      </c>
      <c r="G155" s="807">
        <v>2</v>
      </c>
      <c r="H155" s="788">
        <v>430.0799999999999</v>
      </c>
      <c r="I155" s="791">
        <f t="shared" si="190"/>
      </c>
      <c r="J155" s="791">
        <f t="shared" si="221"/>
      </c>
      <c r="K155" s="791">
        <f t="shared" si="128"/>
      </c>
      <c r="L155" s="819">
        <f t="shared" si="159"/>
      </c>
      <c r="M155" s="793">
        <f t="shared" si="7"/>
      </c>
      <c r="N155" s="794">
        <f t="shared" si="97"/>
      </c>
      <c r="O155" s="795" t="s">
        <v>904</v>
      </c>
      <c r="P155" s="796" t="s">
        <v>932</v>
      </c>
      <c r="Q155" s="784">
        <v>4938</v>
      </c>
      <c r="R155" s="784">
        <v>568</v>
      </c>
      <c r="S155" s="797">
        <v>2</v>
      </c>
      <c r="T155" s="797">
        <v>12</v>
      </c>
    </row>
    <row r="156">
      <c r="A156" s="785"/>
      <c r="B156" s="786" t="s">
        <v>922</v>
      </c>
      <c r="C156" s="789" t="s">
        <v>917</v>
      </c>
      <c r="D156" s="788">
        <v>1174.98</v>
      </c>
      <c r="E156" s="789">
        <v>691.9</v>
      </c>
      <c r="F156" s="789">
        <v>483.08</v>
      </c>
      <c r="G156" s="790">
        <v>4</v>
      </c>
      <c r="H156" s="789">
        <v>1785.6000000000004</v>
      </c>
      <c r="I156" s="791">
        <f t="shared" si="190"/>
      </c>
      <c r="J156" s="791">
        <f t="shared" si="221"/>
      </c>
      <c r="K156" s="791">
        <f t="shared" si="128"/>
      </c>
      <c r="L156" s="819">
        <f t="shared" si="159"/>
      </c>
      <c r="M156" s="793">
        <f t="shared" si="7"/>
      </c>
      <c r="N156" s="794">
        <f t="shared" si="97"/>
      </c>
      <c r="O156" s="795" t="s">
        <v>904</v>
      </c>
      <c r="P156" s="796" t="s">
        <v>932</v>
      </c>
      <c r="Q156" s="797">
        <v>12102</v>
      </c>
      <c r="R156" s="797">
        <v>1759</v>
      </c>
      <c r="S156" s="797">
        <v>5</v>
      </c>
      <c r="T156" s="797">
        <v>34</v>
      </c>
    </row>
    <row r="157">
      <c r="A157" s="785"/>
      <c r="B157" s="786" t="s">
        <v>922</v>
      </c>
      <c r="C157" s="789" t="s">
        <v>919</v>
      </c>
      <c r="D157" s="788">
        <v>2099.26</v>
      </c>
      <c r="E157" s="789">
        <v>1108.72</v>
      </c>
      <c r="F157" s="789">
        <v>990.54</v>
      </c>
      <c r="G157" s="790">
        <v>4</v>
      </c>
      <c r="H157" s="789">
        <v>3134.6400000000003</v>
      </c>
      <c r="I157" s="791">
        <f t="shared" si="190"/>
      </c>
      <c r="J157" s="791">
        <f t="shared" si="221"/>
      </c>
      <c r="K157" s="791">
        <f t="shared" si="128"/>
      </c>
      <c r="L157" s="819">
        <f t="shared" si="159"/>
      </c>
      <c r="M157" s="793">
        <f t="shared" si="7"/>
      </c>
      <c r="N157" s="794">
        <f t="shared" si="97"/>
      </c>
      <c r="O157" s="795" t="s">
        <v>904</v>
      </c>
      <c r="P157" s="796" t="s">
        <v>932</v>
      </c>
      <c r="Q157" s="797">
        <v>19269</v>
      </c>
      <c r="R157" s="797">
        <v>2912</v>
      </c>
      <c r="S157" s="797">
        <v>6</v>
      </c>
      <c r="T157" s="797">
        <v>33</v>
      </c>
    </row>
    <row customHeight="true" ht="16.666666666666668" r="158">
      <c r="A158" s="785"/>
      <c r="B158" s="786" t="s">
        <v>922</v>
      </c>
      <c r="C158" s="789" t="s">
        <v>920</v>
      </c>
      <c r="D158" s="788">
        <v>1758.73</v>
      </c>
      <c r="E158" s="789">
        <v>1337.89</v>
      </c>
      <c r="F158" s="789">
        <v>420.84</v>
      </c>
      <c r="G158" s="790">
        <v>5</v>
      </c>
      <c r="H158" s="789">
        <v>1537.92</v>
      </c>
      <c r="I158" s="791">
        <f t="shared" si="190"/>
      </c>
      <c r="J158" s="791">
        <f t="shared" si="221"/>
      </c>
      <c r="K158" s="791">
        <f t="shared" si="128"/>
      </c>
      <c r="L158" s="819">
        <f t="shared" si="159"/>
      </c>
      <c r="M158" s="793">
        <f t="shared" si="7"/>
      </c>
      <c r="N158" s="794">
        <f t="shared" si="97"/>
      </c>
      <c r="O158" s="795" t="s">
        <v>904</v>
      </c>
      <c r="P158" s="796" t="s">
        <v>932</v>
      </c>
      <c r="Q158" s="797">
        <v>14852</v>
      </c>
      <c r="R158" s="797">
        <v>2104</v>
      </c>
      <c r="S158" s="797">
        <v>5</v>
      </c>
      <c r="T158" s="797">
        <v>35</v>
      </c>
    </row>
    <row r="159">
      <c r="A159" s="785"/>
      <c r="B159" s="786" t="s">
        <v>922</v>
      </c>
      <c r="C159" s="789" t="s">
        <v>938</v>
      </c>
      <c r="D159" s="788">
        <v>1060.03</v>
      </c>
      <c r="E159" s="789">
        <v>864.31</v>
      </c>
      <c r="F159" s="789">
        <v>195.71999999999997</v>
      </c>
      <c r="G159" s="790">
        <v>3</v>
      </c>
      <c r="H159" s="789">
        <v>645.119999999999</v>
      </c>
      <c r="I159" s="791">
        <f t="shared" si="190"/>
      </c>
      <c r="J159" s="791">
        <f t="shared" si="221"/>
      </c>
      <c r="K159" s="791">
        <f t="shared" si="128"/>
      </c>
      <c r="L159" s="819">
        <f t="shared" si="159"/>
      </c>
      <c r="M159" s="793">
        <f t="shared" si="7"/>
      </c>
      <c r="N159" s="794">
        <f t="shared" si="97"/>
      </c>
      <c r="O159" s="795" t="s">
        <v>904</v>
      </c>
      <c r="P159" s="796" t="s">
        <v>932</v>
      </c>
      <c r="Q159" s="797">
        <v>9999</v>
      </c>
      <c r="R159" s="797">
        <v>1458</v>
      </c>
      <c r="S159" s="797">
        <v>3</v>
      </c>
      <c r="T159" s="797">
        <v>16</v>
      </c>
    </row>
    <row r="160">
      <c r="A160" s="785"/>
      <c r="B160" s="808" t="s">
        <v>910</v>
      </c>
      <c r="C160" s="808"/>
      <c r="D160" s="799">
        <f>SUM(D155:D159)</f>
      </c>
      <c r="E160" s="799">
        <f>SUM(E155:E159)</f>
      </c>
      <c r="F160" s="799">
        <f>SUM(F155:F159)</f>
      </c>
      <c r="G160" s="800">
        <f>SUM(G155:G159)</f>
      </c>
      <c r="H160" s="799">
        <f>SUM(H155:H159)</f>
      </c>
      <c r="I160" s="801">
        <f t="shared" si="190"/>
      </c>
      <c r="J160" s="802">
        <f t="shared" si="221"/>
      </c>
      <c r="K160" s="803">
        <f t="shared" si="128"/>
      </c>
      <c r="L160" s="820">
        <f t="shared" si="159"/>
      </c>
      <c r="M160" s="804">
        <f t="shared" si="7"/>
      </c>
      <c r="N160" s="805">
        <f t="shared" si="97"/>
      </c>
      <c r="O160" s="805"/>
      <c r="P160" s="805"/>
      <c r="Q160" s="806">
        <f>SUM(Q155:Q159)</f>
      </c>
      <c r="R160" s="806">
        <f>SUM(R155:R159)</f>
      </c>
      <c r="S160" s="806">
        <f>SUM(S155:S159)</f>
      </c>
      <c r="T160" s="806">
        <f>SUM(T155:T159)</f>
      </c>
    </row>
    <row r="161">
      <c r="A161" s="785"/>
      <c r="B161" s="809" t="s">
        <v>926</v>
      </c>
      <c r="C161" s="809"/>
      <c r="D161" s="810">
        <f>D154+D160</f>
      </c>
      <c r="E161" s="810">
        <f>E154+E160</f>
      </c>
      <c r="F161" s="810">
        <f>F154+F160</f>
      </c>
      <c r="G161" s="811">
        <f>G154+G160</f>
      </c>
      <c r="H161" s="810">
        <f>H154+H160</f>
      </c>
      <c r="I161" s="809">
        <f t="shared" si="190"/>
      </c>
      <c r="J161" s="809">
        <f t="shared" si="221"/>
      </c>
      <c r="K161" s="809">
        <f t="shared" si="128"/>
      </c>
      <c r="L161" s="821">
        <f t="shared" si="159"/>
      </c>
      <c r="M161" s="822">
        <f t="shared" si="7"/>
      </c>
      <c r="N161" s="823">
        <f t="shared" si="97"/>
      </c>
      <c r="O161" s="824"/>
      <c r="P161" s="824"/>
      <c r="Q161" s="825">
        <f>Q154+Q160</f>
      </c>
      <c r="R161" s="825">
        <f>R154+R160</f>
      </c>
      <c r="S161" s="825">
        <f>S154+S160</f>
      </c>
      <c r="T161" s="825">
        <f>T154+T160</f>
      </c>
    </row>
    <row customHeight="true" ht="18.452380952380953" r="162">
      <c r="A162" s="775" t="s">
        <v>877</v>
      </c>
      <c r="B162" s="775"/>
      <c r="C162" s="775"/>
      <c r="D162" s="776" t="s">
        <v>878</v>
      </c>
      <c r="E162" s="776"/>
      <c r="F162" s="776"/>
      <c r="G162" s="776"/>
      <c r="H162" s="776"/>
      <c r="I162" s="776"/>
      <c r="J162" s="776"/>
      <c r="K162" s="776"/>
      <c r="L162" s="826" t="s">
        <v>879</v>
      </c>
      <c r="M162" s="778"/>
      <c r="N162" s="778"/>
      <c r="O162" s="778"/>
      <c r="P162" s="778"/>
      <c r="Q162" s="779" t="s">
        <v>880</v>
      </c>
      <c r="R162" s="779"/>
      <c r="S162" s="779"/>
      <c r="T162" s="779"/>
    </row>
    <row r="163">
      <c r="A163" s="827" t="s">
        <v>881</v>
      </c>
      <c r="B163" s="827" t="s">
        <v>882</v>
      </c>
      <c r="C163" s="827" t="s">
        <v>883</v>
      </c>
      <c r="D163" s="828" t="s">
        <v>884</v>
      </c>
      <c r="E163" s="828" t="s">
        <v>885</v>
      </c>
      <c r="F163" s="828" t="s">
        <v>886</v>
      </c>
      <c r="G163" s="829" t="s">
        <v>887</v>
      </c>
      <c r="H163" s="828" t="s">
        <v>888</v>
      </c>
      <c r="I163" s="830" t="s">
        <v>889</v>
      </c>
      <c r="J163" s="831" t="s">
        <v>890</v>
      </c>
      <c r="K163" s="828" t="s">
        <v>891</v>
      </c>
      <c r="L163" s="783" t="s">
        <v>892</v>
      </c>
      <c r="M163" s="783" t="s">
        <v>893</v>
      </c>
      <c r="N163" s="783" t="s">
        <v>894</v>
      </c>
      <c r="O163" s="778" t="s">
        <v>895</v>
      </c>
      <c r="P163" s="778" t="s">
        <v>896</v>
      </c>
      <c r="Q163" s="832" t="s">
        <v>897</v>
      </c>
      <c r="R163" s="832" t="s">
        <v>898</v>
      </c>
      <c r="S163" s="832" t="s">
        <v>899</v>
      </c>
      <c r="T163" s="832" t="s">
        <v>900</v>
      </c>
    </row>
    <row r="164">
      <c r="A164" s="785" t="s">
        <v>939</v>
      </c>
      <c r="B164" s="784" t="s">
        <v>902</v>
      </c>
      <c r="C164" s="788" t="s">
        <v>909</v>
      </c>
      <c r="D164" s="788">
        <v>2583.08</v>
      </c>
      <c r="E164" s="789">
        <v>961.17</v>
      </c>
      <c r="F164" s="788">
        <v>1621.91</v>
      </c>
      <c r="G164" s="790">
        <v>11</v>
      </c>
      <c r="H164" s="788">
        <v>2345.7799999999997</v>
      </c>
      <c r="I164" s="791">
        <f t="shared" ref="I164:I178" si="191">H164/D164</f>
      </c>
      <c r="J164" s="791">
        <f t="shared" ref="J164:J178" si="222">D164/G164</f>
      </c>
      <c r="K164" s="791">
        <f t="shared" ref="K164:K178" si="129">H164/G164</f>
      </c>
      <c r="L164" s="792">
        <f t="shared" ref="L164:L178" si="160">R164/Q164</f>
      </c>
      <c r="M164" s="793">
        <f t="shared" ref="M164:M178" si="8">G164/S164</f>
      </c>
      <c r="N164" s="794">
        <f t="shared" ref="N164:N178" si="98">(T164*1000)/D164</f>
      </c>
      <c r="O164" s="795" t="s">
        <v>904</v>
      </c>
      <c r="P164" s="833" t="s">
        <v>932</v>
      </c>
      <c r="Q164" s="784">
        <v>24009</v>
      </c>
      <c r="R164" s="784">
        <v>3255</v>
      </c>
      <c r="S164" s="797">
        <v>15</v>
      </c>
      <c r="T164" s="797">
        <v>63</v>
      </c>
    </row>
    <row r="165">
      <c r="A165" s="834"/>
      <c r="B165" s="784" t="s">
        <v>902</v>
      </c>
      <c r="C165" s="788" t="s">
        <v>912</v>
      </c>
      <c r="D165" s="788">
        <v>9629.57</v>
      </c>
      <c r="E165" s="789">
        <v>4510.24</v>
      </c>
      <c r="F165" s="788">
        <v>5119.33</v>
      </c>
      <c r="G165" s="807">
        <v>31</v>
      </c>
      <c r="H165" s="788">
        <v>12782.740000000002</v>
      </c>
      <c r="I165" s="791">
        <f t="shared" si="191"/>
      </c>
      <c r="J165" s="791">
        <f t="shared" si="222"/>
      </c>
      <c r="K165" s="791">
        <f t="shared" si="129"/>
      </c>
      <c r="L165" s="792">
        <f t="shared" si="160"/>
      </c>
      <c r="M165" s="793">
        <f t="shared" si="8"/>
      </c>
      <c r="N165" s="794">
        <f t="shared" si="98"/>
      </c>
      <c r="O165" s="795" t="s">
        <v>904</v>
      </c>
      <c r="P165" s="833" t="s">
        <v>932</v>
      </c>
      <c r="Q165" s="784">
        <v>95345</v>
      </c>
      <c r="R165" s="784">
        <v>14074</v>
      </c>
      <c r="S165" s="797">
        <v>49</v>
      </c>
      <c r="T165" s="797">
        <v>227</v>
      </c>
    </row>
    <row r="166">
      <c r="A166" s="834"/>
      <c r="B166" s="784" t="s">
        <v>902</v>
      </c>
      <c r="C166" s="788" t="s">
        <v>913</v>
      </c>
      <c r="D166" s="788">
        <v>17874.43</v>
      </c>
      <c r="E166" s="788">
        <v>12513.16</v>
      </c>
      <c r="F166" s="788">
        <v>5361.27</v>
      </c>
      <c r="G166" s="807">
        <v>63</v>
      </c>
      <c r="H166" s="788">
        <v>37041.770000000004</v>
      </c>
      <c r="I166" s="791">
        <f t="shared" si="191"/>
      </c>
      <c r="J166" s="791">
        <f t="shared" si="222"/>
      </c>
      <c r="K166" s="791">
        <f t="shared" si="129"/>
      </c>
      <c r="L166" s="792">
        <f t="shared" si="160"/>
      </c>
      <c r="M166" s="793">
        <f t="shared" si="8"/>
      </c>
      <c r="N166" s="794">
        <f t="shared" si="98"/>
      </c>
      <c r="O166" s="795" t="s">
        <v>904</v>
      </c>
      <c r="P166" s="833" t="s">
        <v>932</v>
      </c>
      <c r="Q166" s="784">
        <v>220965</v>
      </c>
      <c r="R166" s="784">
        <v>29381</v>
      </c>
      <c r="S166" s="797">
        <v>83</v>
      </c>
      <c r="T166" s="784">
        <v>362</v>
      </c>
    </row>
    <row r="167">
      <c r="A167" s="834"/>
      <c r="B167" s="784" t="s">
        <v>902</v>
      </c>
      <c r="C167" s="788" t="s">
        <v>914</v>
      </c>
      <c r="D167" s="788">
        <v>23993.579999999998</v>
      </c>
      <c r="E167" s="788">
        <v>16154.3</v>
      </c>
      <c r="F167" s="788">
        <v>7839.28</v>
      </c>
      <c r="G167" s="807">
        <v>72</v>
      </c>
      <c r="H167" s="788">
        <v>40448.65999999999</v>
      </c>
      <c r="I167" s="791">
        <f t="shared" si="191"/>
      </c>
      <c r="J167" s="791">
        <f t="shared" si="222"/>
      </c>
      <c r="K167" s="791">
        <f t="shared" si="129"/>
      </c>
      <c r="L167" s="792">
        <f t="shared" si="160"/>
      </c>
      <c r="M167" s="793">
        <f t="shared" si="8"/>
      </c>
      <c r="N167" s="794">
        <f t="shared" si="98"/>
      </c>
      <c r="O167" s="795" t="s">
        <v>904</v>
      </c>
      <c r="P167" s="833" t="s">
        <v>932</v>
      </c>
      <c r="Q167" s="784">
        <v>321734</v>
      </c>
      <c r="R167" s="784">
        <v>36847</v>
      </c>
      <c r="S167" s="797">
        <v>103</v>
      </c>
      <c r="T167" s="797">
        <v>440</v>
      </c>
    </row>
    <row r="168">
      <c r="A168" s="834"/>
      <c r="B168" s="808" t="s">
        <v>910</v>
      </c>
      <c r="C168" s="808"/>
      <c r="D168" s="799">
        <f>SUM(D164:D167)</f>
      </c>
      <c r="E168" s="799">
        <f>SUM(E164:E167)</f>
      </c>
      <c r="F168" s="799">
        <f>SUM(F164:F167)</f>
      </c>
      <c r="G168" s="800">
        <f>SUM(G164:G167)</f>
      </c>
      <c r="H168" s="799">
        <f>SUM(H164:H167)</f>
      </c>
      <c r="I168" s="801">
        <f t="shared" si="191"/>
      </c>
      <c r="J168" s="802">
        <f t="shared" si="222"/>
      </c>
      <c r="K168" s="803">
        <f t="shared" si="129"/>
      </c>
      <c r="L168" s="804">
        <f t="shared" si="160"/>
      </c>
      <c r="M168" s="804">
        <f t="shared" si="8"/>
      </c>
      <c r="N168" s="805">
        <f t="shared" si="98"/>
      </c>
      <c r="O168" s="805"/>
      <c r="P168" s="805"/>
      <c r="Q168" s="806">
        <f>SUM(Q164:Q167)</f>
      </c>
      <c r="R168" s="806">
        <f>SUM(R164:R167)</f>
      </c>
      <c r="S168" s="806">
        <f>SUM(S164:S167)</f>
      </c>
      <c r="T168" s="806">
        <f>SUM(T164:T167)</f>
      </c>
    </row>
    <row r="169">
      <c r="A169" s="834"/>
      <c r="B169" s="835" t="s">
        <v>918</v>
      </c>
      <c r="C169" s="788" t="s">
        <v>915</v>
      </c>
      <c r="D169" s="788">
        <v>13024.82</v>
      </c>
      <c r="E169" s="788">
        <v>8231.11</v>
      </c>
      <c r="F169" s="788">
        <v>4793.71</v>
      </c>
      <c r="G169" s="807">
        <v>35</v>
      </c>
      <c r="H169" s="788">
        <v>21711.26000000001</v>
      </c>
      <c r="I169" s="791">
        <f t="shared" si="191"/>
      </c>
      <c r="J169" s="791">
        <f t="shared" si="222"/>
      </c>
      <c r="K169" s="791">
        <f t="shared" si="129"/>
      </c>
      <c r="L169" s="792">
        <f t="shared" si="160"/>
      </c>
      <c r="M169" s="793">
        <f t="shared" si="8"/>
      </c>
      <c r="N169" s="794">
        <f t="shared" si="98"/>
      </c>
      <c r="O169" s="795" t="s">
        <v>904</v>
      </c>
      <c r="P169" s="833" t="s">
        <v>932</v>
      </c>
      <c r="Q169" s="784">
        <v>219889</v>
      </c>
      <c r="R169" s="784">
        <v>20673</v>
      </c>
      <c r="S169" s="797">
        <v>47</v>
      </c>
      <c r="T169" s="784">
        <v>189</v>
      </c>
    </row>
    <row r="170">
      <c r="A170" s="834"/>
      <c r="B170" s="835" t="s">
        <v>918</v>
      </c>
      <c r="C170" s="788" t="s">
        <v>917</v>
      </c>
      <c r="D170" s="788">
        <v>9480.72</v>
      </c>
      <c r="E170" s="788">
        <v>5669.54</v>
      </c>
      <c r="F170" s="788">
        <v>3811.18</v>
      </c>
      <c r="G170" s="807">
        <v>29</v>
      </c>
      <c r="H170" s="788">
        <v>13957.619999999995</v>
      </c>
      <c r="I170" s="791">
        <f t="shared" si="191"/>
      </c>
      <c r="J170" s="791">
        <f t="shared" si="222"/>
      </c>
      <c r="K170" s="791">
        <f t="shared" si="129"/>
      </c>
      <c r="L170" s="792">
        <f t="shared" si="160"/>
      </c>
      <c r="M170" s="793">
        <f t="shared" si="8"/>
      </c>
      <c r="N170" s="794">
        <f t="shared" si="98"/>
      </c>
      <c r="O170" s="795" t="s">
        <v>904</v>
      </c>
      <c r="P170" s="833" t="s">
        <v>932</v>
      </c>
      <c r="Q170" s="784">
        <v>110247</v>
      </c>
      <c r="R170" s="784">
        <v>12012</v>
      </c>
      <c r="S170" s="797">
        <v>38</v>
      </c>
      <c r="T170" s="797">
        <v>228</v>
      </c>
    </row>
    <row r="171">
      <c r="A171" s="834"/>
      <c r="B171" s="835" t="s">
        <v>918</v>
      </c>
      <c r="C171" s="788" t="s">
        <v>919</v>
      </c>
      <c r="D171" s="788">
        <v>16227.55</v>
      </c>
      <c r="E171" s="789">
        <v>9888.46</v>
      </c>
      <c r="F171" s="788">
        <v>6339.09</v>
      </c>
      <c r="G171" s="807">
        <v>41</v>
      </c>
      <c r="H171" s="788">
        <v>15118.179999999978</v>
      </c>
      <c r="I171" s="791">
        <f t="shared" si="191"/>
      </c>
      <c r="J171" s="791">
        <f t="shared" si="222"/>
      </c>
      <c r="K171" s="791">
        <f t="shared" si="129"/>
      </c>
      <c r="L171" s="792">
        <f t="shared" si="160"/>
      </c>
      <c r="M171" s="793">
        <f t="shared" si="8"/>
      </c>
      <c r="N171" s="794">
        <f t="shared" si="98"/>
      </c>
      <c r="O171" s="795" t="s">
        <v>904</v>
      </c>
      <c r="P171" s="833" t="s">
        <v>932</v>
      </c>
      <c r="Q171" s="784">
        <v>156510</v>
      </c>
      <c r="R171" s="784">
        <v>17189</v>
      </c>
      <c r="S171" s="797">
        <v>55</v>
      </c>
      <c r="T171" s="784">
        <v>388</v>
      </c>
    </row>
    <row r="172">
      <c r="A172" s="834"/>
      <c r="B172" s="808" t="s">
        <v>910</v>
      </c>
      <c r="C172" s="808"/>
      <c r="D172" s="799">
        <f>SUM(D169:D171)</f>
      </c>
      <c r="E172" s="799">
        <f>SUM(E169:E171)</f>
      </c>
      <c r="F172" s="799">
        <f>SUM(F169:F171)</f>
      </c>
      <c r="G172" s="800">
        <f>SUM(G169:G171)</f>
      </c>
      <c r="H172" s="799">
        <f>SUM(H169:H171)</f>
      </c>
      <c r="I172" s="801">
        <f t="shared" si="191"/>
      </c>
      <c r="J172" s="802">
        <f t="shared" si="222"/>
      </c>
      <c r="K172" s="803">
        <f t="shared" si="129"/>
      </c>
      <c r="L172" s="804">
        <f t="shared" si="160"/>
      </c>
      <c r="M172" s="804">
        <f t="shared" si="8"/>
      </c>
      <c r="N172" s="805">
        <f t="shared" si="98"/>
      </c>
      <c r="O172" s="805"/>
      <c r="P172" s="805"/>
      <c r="Q172" s="806">
        <f>SUM(Q169:Q171)</f>
      </c>
      <c r="R172" s="806">
        <f>SUM(R169:R171)</f>
      </c>
      <c r="S172" s="806">
        <f>SUM(S169:S171)</f>
      </c>
      <c r="T172" s="806">
        <f>SUM(T169:T171)</f>
      </c>
    </row>
    <row r="173">
      <c r="A173" s="834"/>
      <c r="B173" s="784" t="s">
        <v>922</v>
      </c>
      <c r="C173" s="788" t="s">
        <v>920</v>
      </c>
      <c r="D173" s="788">
        <v>13899.220000000001</v>
      </c>
      <c r="E173" s="788">
        <v>6124.63</v>
      </c>
      <c r="F173" s="788">
        <v>7774.59</v>
      </c>
      <c r="G173" s="807">
        <v>29</v>
      </c>
      <c r="H173" s="788">
        <v>17121.52000000002</v>
      </c>
      <c r="I173" s="791">
        <f t="shared" si="191"/>
      </c>
      <c r="J173" s="791">
        <f t="shared" si="222"/>
      </c>
      <c r="K173" s="791">
        <f t="shared" si="129"/>
      </c>
      <c r="L173" s="792">
        <f t="shared" si="160"/>
      </c>
      <c r="M173" s="793">
        <f t="shared" si="8"/>
      </c>
      <c r="N173" s="794">
        <f t="shared" si="98"/>
      </c>
      <c r="O173" s="795" t="s">
        <v>904</v>
      </c>
      <c r="P173" s="833" t="s">
        <v>932</v>
      </c>
      <c r="Q173" s="832">
        <v>158484</v>
      </c>
      <c r="R173" s="832">
        <v>17260</v>
      </c>
      <c r="S173" s="836">
        <v>44</v>
      </c>
      <c r="T173" s="836">
        <v>250</v>
      </c>
    </row>
    <row customHeight="true" ht="16.666666666666668" r="174">
      <c r="A174" s="834"/>
      <c r="B174" s="784" t="s">
        <v>922</v>
      </c>
      <c r="C174" s="788" t="s">
        <v>921</v>
      </c>
      <c r="D174" s="788">
        <v>10004.83</v>
      </c>
      <c r="E174" s="788">
        <v>4203.17</v>
      </c>
      <c r="F174" s="788">
        <v>5801.66</v>
      </c>
      <c r="G174" s="807">
        <v>18</v>
      </c>
      <c r="H174" s="788">
        <v>7932.640000000014</v>
      </c>
      <c r="I174" s="791">
        <f t="shared" si="191"/>
      </c>
      <c r="J174" s="791">
        <f t="shared" si="222"/>
      </c>
      <c r="K174" s="791">
        <f t="shared" si="129"/>
      </c>
      <c r="L174" s="792">
        <f t="shared" si="160"/>
      </c>
      <c r="M174" s="793">
        <f t="shared" si="8"/>
      </c>
      <c r="N174" s="794">
        <f t="shared" si="98"/>
      </c>
      <c r="O174" s="795" t="s">
        <v>904</v>
      </c>
      <c r="P174" s="833" t="s">
        <v>932</v>
      </c>
      <c r="Q174" s="837">
        <v>107733</v>
      </c>
      <c r="R174" s="837">
        <v>11022</v>
      </c>
      <c r="S174" s="838">
        <v>28</v>
      </c>
      <c r="T174" s="838">
        <v>134</v>
      </c>
    </row>
    <row r="175">
      <c r="A175" s="834"/>
      <c r="B175" s="784" t="s">
        <v>922</v>
      </c>
      <c r="C175" s="788" t="s">
        <v>923</v>
      </c>
      <c r="D175" s="788">
        <v>6570.08</v>
      </c>
      <c r="E175" s="788">
        <v>1728.6</v>
      </c>
      <c r="F175" s="788">
        <v>4841.48</v>
      </c>
      <c r="G175" s="807">
        <v>12</v>
      </c>
      <c r="H175" s="788">
        <v>3929.319999999978</v>
      </c>
      <c r="I175" s="791">
        <f t="shared" si="191"/>
      </c>
      <c r="J175" s="791">
        <f t="shared" si="222"/>
      </c>
      <c r="K175" s="791">
        <f t="shared" si="129"/>
      </c>
      <c r="L175" s="792">
        <f t="shared" si="160"/>
      </c>
      <c r="M175" s="793">
        <f t="shared" si="8"/>
      </c>
      <c r="N175" s="794">
        <f t="shared" si="98"/>
      </c>
      <c r="O175" s="795" t="s">
        <v>904</v>
      </c>
      <c r="P175" s="833" t="s">
        <v>932</v>
      </c>
      <c r="Q175" s="837">
        <v>78154</v>
      </c>
      <c r="R175" s="837">
        <v>6877</v>
      </c>
      <c r="S175" s="837">
        <v>21</v>
      </c>
      <c r="T175" s="838">
        <v>99</v>
      </c>
    </row>
    <row customHeight="true" ht="18.452380952380953" r="176">
      <c r="A176" s="834"/>
      <c r="B176" s="784" t="s">
        <v>922</v>
      </c>
      <c r="C176" s="788" t="s">
        <v>924</v>
      </c>
      <c r="D176" s="788">
        <v>11396.19</v>
      </c>
      <c r="E176" s="788">
        <v>2803.9500000000003</v>
      </c>
      <c r="F176" s="788">
        <v>8592.24</v>
      </c>
      <c r="G176" s="807">
        <v>33</v>
      </c>
      <c r="H176" s="788">
        <v>15699.639999999985</v>
      </c>
      <c r="I176" s="791">
        <f t="shared" si="191"/>
      </c>
      <c r="J176" s="791">
        <f t="shared" si="222"/>
      </c>
      <c r="K176" s="791">
        <f t="shared" si="129"/>
      </c>
      <c r="L176" s="792">
        <f t="shared" si="160"/>
      </c>
      <c r="M176" s="793">
        <f t="shared" si="8"/>
      </c>
      <c r="N176" s="794">
        <f t="shared" si="98"/>
      </c>
      <c r="O176" s="795" t="s">
        <v>904</v>
      </c>
      <c r="P176" s="833" t="s">
        <v>932</v>
      </c>
      <c r="Q176" s="837">
        <v>110798</v>
      </c>
      <c r="R176" s="837">
        <v>12839</v>
      </c>
      <c r="S176" s="838">
        <v>30</v>
      </c>
      <c r="T176" s="838">
        <v>144</v>
      </c>
    </row>
    <row customHeight="true" ht="18.452380952380953" r="177">
      <c r="A177" s="834"/>
      <c r="B177" s="808" t="s">
        <v>910</v>
      </c>
      <c r="C177" s="808"/>
      <c r="D177" s="799">
        <f>SUM(D173:D176)</f>
      </c>
      <c r="E177" s="799">
        <f>SUM(E173:E176)</f>
      </c>
      <c r="F177" s="799">
        <f>SUM(F173:F176)</f>
      </c>
      <c r="G177" s="800">
        <f>SUM(G173:G176)</f>
      </c>
      <c r="H177" s="799">
        <f>SUM(H173:H176)</f>
      </c>
      <c r="I177" s="801">
        <f t="shared" si="191"/>
      </c>
      <c r="J177" s="802">
        <f t="shared" si="222"/>
      </c>
      <c r="K177" s="803">
        <f t="shared" si="129"/>
      </c>
      <c r="L177" s="804">
        <f t="shared" si="160"/>
      </c>
      <c r="M177" s="804">
        <f t="shared" si="8"/>
      </c>
      <c r="N177" s="805">
        <f t="shared" si="98"/>
      </c>
      <c r="O177" s="805"/>
      <c r="P177" s="805"/>
      <c r="Q177" s="806">
        <f>SUM(Q173:Q176)</f>
      </c>
      <c r="R177" s="806">
        <f>SUM(R173:R176)</f>
      </c>
      <c r="S177" s="806">
        <f>SUM(S173:S176)</f>
      </c>
      <c r="T177" s="806">
        <f>SUM(T173:T176)</f>
      </c>
    </row>
    <row customHeight="true" ht="18.452380952380953" r="178">
      <c r="A178" s="834"/>
      <c r="B178" s="809" t="s">
        <v>926</v>
      </c>
      <c r="C178" s="809"/>
      <c r="D178" s="810">
        <f>D168+D172+D177</f>
      </c>
      <c r="E178" s="810">
        <f>E168+E172+E177</f>
      </c>
      <c r="F178" s="810">
        <f>F168+F172+F177</f>
      </c>
      <c r="G178" s="811">
        <f>G168+G172+G177</f>
      </c>
      <c r="H178" s="810">
        <f>H168+H172+H177</f>
      </c>
      <c r="I178" s="809">
        <f t="shared" si="191"/>
      </c>
      <c r="J178" s="809">
        <f t="shared" si="222"/>
      </c>
      <c r="K178" s="809">
        <f t="shared" si="129"/>
      </c>
      <c r="L178" s="812">
        <f t="shared" si="160"/>
      </c>
      <c r="M178" s="812">
        <f t="shared" si="8"/>
      </c>
      <c r="N178" s="809">
        <f t="shared" si="98"/>
      </c>
      <c r="O178" s="813"/>
      <c r="P178" s="813"/>
      <c r="Q178" s="811">
        <f>Q168+Q172+Q177</f>
      </c>
      <c r="R178" s="811">
        <f>R168+R172+R177</f>
      </c>
      <c r="S178" s="811">
        <f>S168+S172+S177</f>
      </c>
      <c r="T178" s="811">
        <f>T168+T172+T177</f>
      </c>
    </row>
    <row r="179">
      <c r="A179" s="775" t="s">
        <v>877</v>
      </c>
      <c r="B179" s="775"/>
      <c r="C179" s="775"/>
      <c r="D179" s="776" t="s">
        <v>878</v>
      </c>
      <c r="E179" s="776"/>
      <c r="F179" s="776"/>
      <c r="G179" s="776"/>
      <c r="H179" s="776"/>
      <c r="I179" s="776"/>
      <c r="J179" s="776"/>
      <c r="K179" s="776"/>
      <c r="L179" s="826" t="s">
        <v>879</v>
      </c>
      <c r="M179" s="826"/>
      <c r="N179" s="826"/>
      <c r="O179" s="826"/>
      <c r="P179" s="826"/>
      <c r="Q179" s="779" t="s">
        <v>880</v>
      </c>
      <c r="R179" s="779"/>
      <c r="S179" s="779"/>
      <c r="T179" s="779"/>
    </row>
    <row r="180">
      <c r="A180" s="827" t="s">
        <v>881</v>
      </c>
      <c r="B180" s="827" t="s">
        <v>882</v>
      </c>
      <c r="C180" s="827" t="s">
        <v>883</v>
      </c>
      <c r="D180" s="828" t="s">
        <v>884</v>
      </c>
      <c r="E180" s="828" t="s">
        <v>885</v>
      </c>
      <c r="F180" s="828" t="s">
        <v>886</v>
      </c>
      <c r="G180" s="829" t="s">
        <v>887</v>
      </c>
      <c r="H180" s="828" t="s">
        <v>888</v>
      </c>
      <c r="I180" s="830" t="s">
        <v>889</v>
      </c>
      <c r="J180" s="831" t="s">
        <v>890</v>
      </c>
      <c r="K180" s="828" t="s">
        <v>891</v>
      </c>
      <c r="L180" s="783" t="s">
        <v>892</v>
      </c>
      <c r="M180" s="783" t="s">
        <v>893</v>
      </c>
      <c r="N180" s="783" t="s">
        <v>894</v>
      </c>
      <c r="O180" s="778" t="s">
        <v>895</v>
      </c>
      <c r="P180" s="778" t="s">
        <v>896</v>
      </c>
      <c r="Q180" s="832" t="s">
        <v>897</v>
      </c>
      <c r="R180" s="832" t="s">
        <v>898</v>
      </c>
      <c r="S180" s="832" t="s">
        <v>899</v>
      </c>
      <c r="T180" s="832" t="s">
        <v>900</v>
      </c>
    </row>
    <row r="181">
      <c r="A181" s="785" t="s">
        <v>940</v>
      </c>
      <c r="B181" s="784" t="s">
        <v>902</v>
      </c>
      <c r="C181" s="788" t="s">
        <v>909</v>
      </c>
      <c r="D181" s="788">
        <v>3003.9</v>
      </c>
      <c r="E181" s="789">
        <v>1404.17</v>
      </c>
      <c r="F181" s="789">
        <v>1599.73</v>
      </c>
      <c r="G181" s="790">
        <v>5</v>
      </c>
      <c r="H181" s="789">
        <v>2000.64</v>
      </c>
      <c r="I181" s="791">
        <f t="shared" ref="I181:I196" si="192">H181/D181</f>
      </c>
      <c r="J181" s="791">
        <f t="shared" ref="J181:J196" si="223">D181/G181</f>
      </c>
      <c r="K181" s="791">
        <f t="shared" ref="K181:K196" si="130">H181/G181</f>
      </c>
      <c r="L181" s="792">
        <f t="shared" ref="L181:L196" si="161">R181/Q181</f>
      </c>
      <c r="M181" s="793">
        <f t="shared" ref="M181:M196" si="9">G181/S181</f>
      </c>
      <c r="N181" s="794">
        <f t="shared" ref="N181:N196" si="99">(T181*1000)/D181</f>
      </c>
      <c r="O181" s="795" t="s">
        <v>904</v>
      </c>
      <c r="P181" s="796" t="s">
        <v>916</v>
      </c>
      <c r="Q181" s="784">
        <v>21078</v>
      </c>
      <c r="R181" s="784">
        <v>2887</v>
      </c>
      <c r="S181" s="797">
        <v>7</v>
      </c>
      <c r="T181" s="797">
        <v>55</v>
      </c>
    </row>
    <row r="182">
      <c r="A182" s="785"/>
      <c r="B182" s="784" t="s">
        <v>902</v>
      </c>
      <c r="C182" s="788" t="s">
        <v>912</v>
      </c>
      <c r="D182" s="788">
        <v>2347.45</v>
      </c>
      <c r="E182" s="789">
        <v>1146.52</v>
      </c>
      <c r="F182" s="789">
        <v>1200.93</v>
      </c>
      <c r="G182" s="790">
        <v>5</v>
      </c>
      <c r="H182" s="789">
        <v>1537.92</v>
      </c>
      <c r="I182" s="791">
        <f t="shared" si="192"/>
      </c>
      <c r="J182" s="791">
        <f t="shared" si="223"/>
      </c>
      <c r="K182" s="791">
        <f t="shared" si="130"/>
      </c>
      <c r="L182" s="792">
        <f t="shared" si="161"/>
      </c>
      <c r="M182" s="793">
        <f t="shared" si="9"/>
      </c>
      <c r="N182" s="794">
        <f t="shared" si="99"/>
      </c>
      <c r="O182" s="795" t="s">
        <v>904</v>
      </c>
      <c r="P182" s="796" t="s">
        <v>916</v>
      </c>
      <c r="Q182" s="784">
        <v>17051</v>
      </c>
      <c r="R182" s="784">
        <v>2379</v>
      </c>
      <c r="S182" s="797">
        <v>7</v>
      </c>
      <c r="T182" s="797">
        <v>59</v>
      </c>
    </row>
    <row r="183">
      <c r="A183" s="785"/>
      <c r="B183" s="784" t="s">
        <v>902</v>
      </c>
      <c r="C183" s="788" t="s">
        <v>913</v>
      </c>
      <c r="D183" s="788">
        <v>2732.64</v>
      </c>
      <c r="E183" s="789">
        <v>1897.61</v>
      </c>
      <c r="F183" s="789">
        <v>835.03</v>
      </c>
      <c r="G183" s="807">
        <v>8</v>
      </c>
      <c r="H183" s="788">
        <v>4884.13</v>
      </c>
      <c r="I183" s="791">
        <f t="shared" si="192"/>
      </c>
      <c r="J183" s="791">
        <f t="shared" si="223"/>
      </c>
      <c r="K183" s="791">
        <f t="shared" si="130"/>
      </c>
      <c r="L183" s="792">
        <f t="shared" si="161"/>
      </c>
      <c r="M183" s="793">
        <f t="shared" si="9"/>
      </c>
      <c r="N183" s="794">
        <f t="shared" si="99"/>
      </c>
      <c r="O183" s="795" t="s">
        <v>904</v>
      </c>
      <c r="P183" s="796" t="s">
        <v>916</v>
      </c>
      <c r="Q183" s="784">
        <v>25177</v>
      </c>
      <c r="R183" s="784">
        <v>3559</v>
      </c>
      <c r="S183" s="797">
        <v>10</v>
      </c>
      <c r="T183" s="797">
        <v>57</v>
      </c>
    </row>
    <row r="184">
      <c r="A184" s="785"/>
      <c r="B184" s="784" t="s">
        <v>902</v>
      </c>
      <c r="C184" s="788" t="s">
        <v>914</v>
      </c>
      <c r="D184" s="788">
        <v>4237.719999999999</v>
      </c>
      <c r="E184" s="789">
        <v>2671.16</v>
      </c>
      <c r="F184" s="789">
        <v>1566.56</v>
      </c>
      <c r="G184" s="807">
        <v>13</v>
      </c>
      <c r="H184" s="788">
        <v>6830.65</v>
      </c>
      <c r="I184" s="791">
        <f t="shared" si="192"/>
      </c>
      <c r="J184" s="791">
        <f t="shared" si="223"/>
      </c>
      <c r="K184" s="791">
        <f t="shared" si="130"/>
      </c>
      <c r="L184" s="792">
        <f t="shared" si="161"/>
      </c>
      <c r="M184" s="793">
        <f t="shared" si="9"/>
      </c>
      <c r="N184" s="794">
        <f t="shared" si="99"/>
      </c>
      <c r="O184" s="795" t="s">
        <v>904</v>
      </c>
      <c r="P184" s="796" t="s">
        <v>916</v>
      </c>
      <c r="Q184" s="784">
        <v>35262</v>
      </c>
      <c r="R184" s="784">
        <v>5249</v>
      </c>
      <c r="S184" s="797">
        <v>15</v>
      </c>
      <c r="T184" s="797">
        <v>108</v>
      </c>
    </row>
    <row r="185">
      <c r="A185" s="785"/>
      <c r="B185" s="808" t="s">
        <v>910</v>
      </c>
      <c r="C185" s="808"/>
      <c r="D185" s="799">
        <f>SUM(D181:D184)</f>
      </c>
      <c r="E185" s="799">
        <f>SUM(E181:E184)</f>
      </c>
      <c r="F185" s="799">
        <f>SUM(F181:F184)</f>
      </c>
      <c r="G185" s="800">
        <f>SUM(G181:G184)</f>
      </c>
      <c r="H185" s="799">
        <f>SUM(H181:H184)</f>
      </c>
      <c r="I185" s="801">
        <f t="shared" si="192"/>
      </c>
      <c r="J185" s="802">
        <f t="shared" si="223"/>
      </c>
      <c r="K185" s="803">
        <f t="shared" si="130"/>
      </c>
      <c r="L185" s="804">
        <f t="shared" si="161"/>
      </c>
      <c r="M185" s="804">
        <f t="shared" si="9"/>
      </c>
      <c r="N185" s="805">
        <f t="shared" si="99"/>
      </c>
      <c r="O185" s="805"/>
      <c r="P185" s="805"/>
      <c r="Q185" s="806">
        <f>SUM(Q181:Q184)</f>
      </c>
      <c r="R185" s="806">
        <f>SUM(R181:R184)</f>
      </c>
      <c r="S185" s="806">
        <f>SUM(S181:S184)</f>
      </c>
      <c r="T185" s="806">
        <f>SUM(T181:T184)</f>
      </c>
    </row>
    <row r="186">
      <c r="A186" s="785"/>
      <c r="B186" s="835" t="s">
        <v>922</v>
      </c>
      <c r="C186" s="788" t="s">
        <v>915</v>
      </c>
      <c r="D186" s="788">
        <v>3986.24</v>
      </c>
      <c r="E186" s="789">
        <v>2654.33</v>
      </c>
      <c r="F186" s="789">
        <v>1331.91</v>
      </c>
      <c r="G186" s="807">
        <v>9</v>
      </c>
      <c r="H186" s="788">
        <v>6036.5999999999985</v>
      </c>
      <c r="I186" s="791">
        <f t="shared" si="192"/>
      </c>
      <c r="J186" s="791">
        <f t="shared" si="223"/>
      </c>
      <c r="K186" s="791">
        <f t="shared" si="130"/>
      </c>
      <c r="L186" s="792">
        <f t="shared" si="161"/>
      </c>
      <c r="M186" s="793">
        <f t="shared" si="9"/>
      </c>
      <c r="N186" s="794">
        <f t="shared" si="99"/>
      </c>
      <c r="O186" s="795" t="s">
        <v>904</v>
      </c>
      <c r="P186" s="833" t="s">
        <v>916</v>
      </c>
      <c r="Q186" s="784">
        <v>35838</v>
      </c>
      <c r="R186" s="784">
        <v>5230</v>
      </c>
      <c r="S186" s="797">
        <v>12</v>
      </c>
      <c r="T186" s="797">
        <v>52</v>
      </c>
    </row>
    <row r="187">
      <c r="A187" s="785"/>
      <c r="B187" s="835" t="s">
        <v>922</v>
      </c>
      <c r="C187" s="788" t="s">
        <v>917</v>
      </c>
      <c r="D187" s="788">
        <v>2609.52</v>
      </c>
      <c r="E187" s="789">
        <v>1731.44</v>
      </c>
      <c r="F187" s="789">
        <v>878.08</v>
      </c>
      <c r="G187" s="807">
        <v>10</v>
      </c>
      <c r="H187" s="788">
        <v>6783.48</v>
      </c>
      <c r="I187" s="791">
        <f t="shared" si="192"/>
      </c>
      <c r="J187" s="791">
        <f t="shared" si="223"/>
      </c>
      <c r="K187" s="791">
        <f t="shared" si="130"/>
      </c>
      <c r="L187" s="792">
        <f t="shared" si="161"/>
      </c>
      <c r="M187" s="793">
        <f t="shared" si="9"/>
      </c>
      <c r="N187" s="794">
        <f t="shared" si="99"/>
      </c>
      <c r="O187" s="795" t="s">
        <v>904</v>
      </c>
      <c r="P187" s="833" t="s">
        <v>916</v>
      </c>
      <c r="Q187" s="784">
        <v>24674</v>
      </c>
      <c r="R187" s="784">
        <v>3645</v>
      </c>
      <c r="S187" s="797">
        <v>13</v>
      </c>
      <c r="T187" s="797">
        <v>50</v>
      </c>
    </row>
    <row r="188">
      <c r="A188" s="785"/>
      <c r="B188" s="835" t="s">
        <v>922</v>
      </c>
      <c r="C188" s="788" t="s">
        <v>919</v>
      </c>
      <c r="D188" s="788">
        <v>2711.06</v>
      </c>
      <c r="E188" s="789">
        <v>877.05</v>
      </c>
      <c r="F188" s="789">
        <v>1834.01</v>
      </c>
      <c r="G188" s="807">
        <v>14</v>
      </c>
      <c r="H188" s="788">
        <v>8510.300000000003</v>
      </c>
      <c r="I188" s="791">
        <f t="shared" si="192"/>
      </c>
      <c r="J188" s="791">
        <f t="shared" si="223"/>
      </c>
      <c r="K188" s="791">
        <f t="shared" si="130"/>
      </c>
      <c r="L188" s="792">
        <f t="shared" si="161"/>
      </c>
      <c r="M188" s="793">
        <f t="shared" si="9"/>
      </c>
      <c r="N188" s="794">
        <f t="shared" si="99"/>
      </c>
      <c r="O188" s="795" t="s">
        <v>904</v>
      </c>
      <c r="P188" s="833" t="s">
        <v>916</v>
      </c>
      <c r="Q188" s="784">
        <v>24421</v>
      </c>
      <c r="R188" s="784">
        <v>3518</v>
      </c>
      <c r="S188" s="797">
        <v>15</v>
      </c>
      <c r="T188" s="797">
        <v>58</v>
      </c>
    </row>
    <row customHeight="true" ht="16.666666666666668" r="189">
      <c r="A189" s="785"/>
      <c r="B189" s="835" t="s">
        <v>922</v>
      </c>
      <c r="C189" s="788" t="s">
        <v>920</v>
      </c>
      <c r="D189" s="788">
        <v>4662.36</v>
      </c>
      <c r="E189" s="789">
        <v>2281.2599999999998</v>
      </c>
      <c r="F189" s="789">
        <v>2381.1</v>
      </c>
      <c r="G189" s="790">
        <v>10</v>
      </c>
      <c r="H189" s="789">
        <v>4385.56</v>
      </c>
      <c r="I189" s="791">
        <f t="shared" si="192"/>
      </c>
      <c r="J189" s="791">
        <f t="shared" si="223"/>
      </c>
      <c r="K189" s="791">
        <f t="shared" si="130"/>
      </c>
      <c r="L189" s="792">
        <f t="shared" si="161"/>
      </c>
      <c r="M189" s="793">
        <f t="shared" si="9"/>
      </c>
      <c r="N189" s="794">
        <f t="shared" si="99"/>
      </c>
      <c r="O189" s="795" t="s">
        <v>904</v>
      </c>
      <c r="P189" s="833" t="s">
        <v>916</v>
      </c>
      <c r="Q189" s="784">
        <v>43533</v>
      </c>
      <c r="R189" s="784">
        <v>6003</v>
      </c>
      <c r="S189" s="797">
        <v>14</v>
      </c>
      <c r="T189" s="797">
        <v>75</v>
      </c>
    </row>
    <row r="190">
      <c r="A190" s="785"/>
      <c r="B190" s="784" t="s">
        <v>922</v>
      </c>
      <c r="C190" s="788" t="s">
        <v>921</v>
      </c>
      <c r="D190" s="788">
        <v>4843.55</v>
      </c>
      <c r="E190" s="789">
        <v>2608.6400000000003</v>
      </c>
      <c r="F190" s="789">
        <v>2234.91</v>
      </c>
      <c r="G190" s="807">
        <v>11</v>
      </c>
      <c r="H190" s="788">
        <v>6275.25</v>
      </c>
      <c r="I190" s="791">
        <f t="shared" si="192"/>
      </c>
      <c r="J190" s="791">
        <f t="shared" si="223"/>
      </c>
      <c r="K190" s="791">
        <f t="shared" si="130"/>
      </c>
      <c r="L190" s="792">
        <f t="shared" si="161"/>
      </c>
      <c r="M190" s="793">
        <f t="shared" si="9"/>
      </c>
      <c r="N190" s="794">
        <f t="shared" si="99"/>
      </c>
      <c r="O190" s="795" t="s">
        <v>904</v>
      </c>
      <c r="P190" s="833" t="s">
        <v>916</v>
      </c>
      <c r="Q190" s="832">
        <v>40530</v>
      </c>
      <c r="R190" s="832">
        <v>5847</v>
      </c>
      <c r="S190" s="836">
        <v>15</v>
      </c>
      <c r="T190" s="836">
        <v>79</v>
      </c>
    </row>
    <row r="191">
      <c r="A191" s="785"/>
      <c r="B191" s="808" t="s">
        <v>910</v>
      </c>
      <c r="C191" s="808"/>
      <c r="D191" s="799">
        <f>SUM(D186:D190)</f>
      </c>
      <c r="E191" s="799">
        <f>SUM(E186:E190)</f>
      </c>
      <c r="F191" s="799">
        <f>SUM(F186:F190)</f>
      </c>
      <c r="G191" s="800">
        <f>SUM(G186:G190)</f>
      </c>
      <c r="H191" s="799">
        <f>SUM(H186:H190)</f>
      </c>
      <c r="I191" s="801">
        <f t="shared" si="192"/>
      </c>
      <c r="J191" s="802">
        <f t="shared" si="223"/>
      </c>
      <c r="K191" s="803">
        <f t="shared" si="130"/>
      </c>
      <c r="L191" s="804">
        <f t="shared" si="161"/>
      </c>
      <c r="M191" s="804">
        <f t="shared" si="9"/>
      </c>
      <c r="N191" s="805">
        <f t="shared" si="99"/>
      </c>
      <c r="O191" s="805"/>
      <c r="P191" s="805"/>
      <c r="Q191" s="806">
        <f>SUM(Q186:Q190)</f>
      </c>
      <c r="R191" s="806">
        <f>SUM(R186:R190)</f>
      </c>
      <c r="S191" s="806">
        <f>SUM(S186:S190)</f>
      </c>
      <c r="T191" s="806">
        <f>SUM(T186:T190)</f>
      </c>
    </row>
    <row r="192">
      <c r="A192" s="785"/>
      <c r="B192" s="797" t="s">
        <v>918</v>
      </c>
      <c r="C192" s="788" t="s">
        <v>923</v>
      </c>
      <c r="D192" s="788">
        <v>5635.82</v>
      </c>
      <c r="E192" s="789">
        <v>4237.79</v>
      </c>
      <c r="F192" s="789">
        <v>1398.03</v>
      </c>
      <c r="G192" s="807">
        <v>16</v>
      </c>
      <c r="H192" s="788">
        <v>9476.880000000005</v>
      </c>
      <c r="I192" s="791">
        <f t="shared" si="192"/>
      </c>
      <c r="J192" s="791">
        <f t="shared" si="223"/>
      </c>
      <c r="K192" s="791">
        <f t="shared" si="130"/>
      </c>
      <c r="L192" s="792">
        <f t="shared" si="161"/>
      </c>
      <c r="M192" s="793">
        <f t="shared" si="9"/>
      </c>
      <c r="N192" s="794">
        <f t="shared" si="99"/>
      </c>
      <c r="O192" s="795" t="s">
        <v>904</v>
      </c>
      <c r="P192" s="833" t="s">
        <v>916</v>
      </c>
      <c r="Q192" s="837">
        <v>43984</v>
      </c>
      <c r="R192" s="837">
        <v>6118</v>
      </c>
      <c r="S192" s="838">
        <v>20</v>
      </c>
      <c r="T192" s="838">
        <v>90</v>
      </c>
    </row>
    <row r="193">
      <c r="A193" s="785"/>
      <c r="B193" s="797" t="s">
        <v>918</v>
      </c>
      <c r="C193" s="788" t="s">
        <v>924</v>
      </c>
      <c r="D193" s="788">
        <v>8187.36</v>
      </c>
      <c r="E193" s="789">
        <v>7128.08</v>
      </c>
      <c r="F193" s="789">
        <v>1059.28</v>
      </c>
      <c r="G193" s="807">
        <v>18</v>
      </c>
      <c r="H193" s="788">
        <v>6642.379999999997</v>
      </c>
      <c r="I193" s="791">
        <f t="shared" si="192"/>
      </c>
      <c r="J193" s="791">
        <f t="shared" si="223"/>
      </c>
      <c r="K193" s="791">
        <f t="shared" si="130"/>
      </c>
      <c r="L193" s="792">
        <f t="shared" si="161"/>
      </c>
      <c r="M193" s="793">
        <f t="shared" si="9"/>
      </c>
      <c r="N193" s="794">
        <f t="shared" si="99"/>
      </c>
      <c r="O193" s="795" t="s">
        <v>904</v>
      </c>
      <c r="P193" s="833" t="s">
        <v>916</v>
      </c>
      <c r="Q193" s="837">
        <v>69377</v>
      </c>
      <c r="R193" s="837">
        <v>9310</v>
      </c>
      <c r="S193" s="838">
        <v>23</v>
      </c>
      <c r="T193" s="838">
        <v>139</v>
      </c>
    </row>
    <row r="194">
      <c r="A194" s="785"/>
      <c r="B194" s="797" t="s">
        <v>918</v>
      </c>
      <c r="C194" s="789" t="s">
        <v>925</v>
      </c>
      <c r="D194" s="788">
        <v>4423.099999999999</v>
      </c>
      <c r="E194" s="789">
        <v>4343.9</v>
      </c>
      <c r="F194" s="789">
        <v>79.2</v>
      </c>
      <c r="G194" s="807">
        <v>22</v>
      </c>
      <c r="H194" s="788">
        <v>9279.639999999992</v>
      </c>
      <c r="I194" s="791">
        <f t="shared" si="192"/>
      </c>
      <c r="J194" s="791">
        <f t="shared" si="223"/>
      </c>
      <c r="K194" s="791">
        <f t="shared" si="130"/>
      </c>
      <c r="L194" s="792">
        <f t="shared" si="161"/>
      </c>
      <c r="M194" s="793">
        <f t="shared" si="9"/>
      </c>
      <c r="N194" s="794">
        <f t="shared" si="99"/>
      </c>
      <c r="O194" s="795" t="s">
        <v>904</v>
      </c>
      <c r="P194" s="833" t="s">
        <v>916</v>
      </c>
      <c r="Q194" s="837">
        <v>46749</v>
      </c>
      <c r="R194" s="837">
        <v>6464</v>
      </c>
      <c r="S194" s="838">
        <v>26</v>
      </c>
      <c r="T194" s="838">
        <v>129</v>
      </c>
    </row>
    <row r="195">
      <c r="A195" s="785"/>
      <c r="B195" s="808" t="s">
        <v>910</v>
      </c>
      <c r="C195" s="808"/>
      <c r="D195" s="799">
        <f>SUM(D192:D194)</f>
      </c>
      <c r="E195" s="799">
        <f>SUM(E192:E194)</f>
      </c>
      <c r="F195" s="799">
        <f>SUM(F192:F194)</f>
      </c>
      <c r="G195" s="800">
        <f>SUM(G192:G194)</f>
      </c>
      <c r="H195" s="799">
        <f>SUM(H192:H194)</f>
      </c>
      <c r="I195" s="801">
        <f t="shared" si="192"/>
      </c>
      <c r="J195" s="802">
        <f t="shared" si="223"/>
      </c>
      <c r="K195" s="803">
        <f t="shared" si="130"/>
      </c>
      <c r="L195" s="804">
        <f t="shared" si="161"/>
      </c>
      <c r="M195" s="804">
        <f t="shared" si="9"/>
      </c>
      <c r="N195" s="805">
        <f t="shared" si="99"/>
      </c>
      <c r="O195" s="805"/>
      <c r="P195" s="805"/>
      <c r="Q195" s="806">
        <f>SUM(Q192:Q194)</f>
      </c>
      <c r="R195" s="806">
        <f>SUM(R192:R194)</f>
      </c>
      <c r="S195" s="806">
        <f>SUM(S192:S194)</f>
      </c>
      <c r="T195" s="806">
        <f>SUM(T192:T194)</f>
      </c>
    </row>
    <row r="196">
      <c r="A196" s="785"/>
      <c r="B196" s="809" t="s">
        <v>926</v>
      </c>
      <c r="C196" s="809"/>
      <c r="D196" s="810">
        <f>D185+D191+D195</f>
      </c>
      <c r="E196" s="810">
        <f>E185+E191+E195</f>
      </c>
      <c r="F196" s="810">
        <f>F185+F191+F195</f>
      </c>
      <c r="G196" s="811">
        <f>G185+G191+G195</f>
      </c>
      <c r="H196" s="810">
        <f>H185+H191+H195</f>
      </c>
      <c r="I196" s="809">
        <f t="shared" si="192"/>
      </c>
      <c r="J196" s="809">
        <f t="shared" si="223"/>
      </c>
      <c r="K196" s="809">
        <f t="shared" si="130"/>
      </c>
      <c r="L196" s="812">
        <f t="shared" si="161"/>
      </c>
      <c r="M196" s="812">
        <f t="shared" si="9"/>
      </c>
      <c r="N196" s="809">
        <f t="shared" si="99"/>
      </c>
      <c r="O196" s="824"/>
      <c r="P196" s="824"/>
      <c r="Q196" s="811">
        <f>Q185+Q191+Q195</f>
      </c>
      <c r="R196" s="811">
        <f>R185+R191+R195</f>
      </c>
      <c r="S196" s="811">
        <f>S185+S191+S195</f>
      </c>
      <c r="T196" s="811">
        <f>T185+T191+T195</f>
      </c>
    </row>
    <row r="197">
      <c r="A197" s="775" t="s">
        <v>877</v>
      </c>
      <c r="B197" s="775"/>
      <c r="C197" s="775"/>
      <c r="D197" s="776" t="s">
        <v>878</v>
      </c>
      <c r="E197" s="776"/>
      <c r="F197" s="776"/>
      <c r="G197" s="776"/>
      <c r="H197" s="776"/>
      <c r="I197" s="776"/>
      <c r="J197" s="776"/>
      <c r="K197" s="776"/>
      <c r="L197" s="826" t="s">
        <v>879</v>
      </c>
      <c r="M197" s="826"/>
      <c r="N197" s="826"/>
      <c r="O197" s="826"/>
      <c r="P197" s="826"/>
      <c r="Q197" s="779" t="s">
        <v>880</v>
      </c>
      <c r="R197" s="779"/>
      <c r="S197" s="779"/>
      <c r="T197" s="779"/>
    </row>
    <row r="198">
      <c r="A198" s="827" t="s">
        <v>881</v>
      </c>
      <c r="B198" s="827" t="s">
        <v>882</v>
      </c>
      <c r="C198" s="827" t="s">
        <v>883</v>
      </c>
      <c r="D198" s="828" t="s">
        <v>884</v>
      </c>
      <c r="E198" s="828" t="s">
        <v>885</v>
      </c>
      <c r="F198" s="828" t="s">
        <v>886</v>
      </c>
      <c r="G198" s="829" t="s">
        <v>887</v>
      </c>
      <c r="H198" s="828" t="s">
        <v>888</v>
      </c>
      <c r="I198" s="830" t="s">
        <v>889</v>
      </c>
      <c r="J198" s="831" t="s">
        <v>890</v>
      </c>
      <c r="K198" s="828" t="s">
        <v>891</v>
      </c>
      <c r="L198" s="783" t="s">
        <v>892</v>
      </c>
      <c r="M198" s="783" t="s">
        <v>893</v>
      </c>
      <c r="N198" s="783" t="s">
        <v>894</v>
      </c>
      <c r="O198" s="778" t="s">
        <v>895</v>
      </c>
      <c r="P198" s="778" t="s">
        <v>896</v>
      </c>
      <c r="Q198" s="832" t="s">
        <v>897</v>
      </c>
      <c r="R198" s="832" t="s">
        <v>898</v>
      </c>
      <c r="S198" s="832" t="s">
        <v>899</v>
      </c>
      <c r="T198" s="832" t="s">
        <v>900</v>
      </c>
    </row>
    <row r="199">
      <c r="A199" s="785" t="s">
        <v>941</v>
      </c>
      <c r="B199" s="835" t="s">
        <v>922</v>
      </c>
      <c r="C199" s="788" t="s">
        <v>909</v>
      </c>
      <c r="D199" s="788">
        <v>3051.12</v>
      </c>
      <c r="E199" s="789">
        <v>1636.85</v>
      </c>
      <c r="F199" s="789">
        <v>1414.27</v>
      </c>
      <c r="G199" s="790">
        <v>2</v>
      </c>
      <c r="H199" s="789">
        <v>3128.16</v>
      </c>
      <c r="I199" s="791">
        <f t="shared" ref="I199:I214" si="193">H199/D199</f>
      </c>
      <c r="J199" s="791">
        <f t="shared" ref="J199:J214" si="224">D199/G199</f>
      </c>
      <c r="K199" s="791">
        <f t="shared" ref="K199:K214" si="131">H199/G199</f>
      </c>
      <c r="L199" s="792">
        <f t="shared" ref="L199:L214" si="162">R199/Q199</f>
      </c>
      <c r="M199" s="793">
        <f t="shared" ref="M199:M214" si="10">G199/S199</f>
      </c>
      <c r="N199" s="794">
        <f t="shared" ref="N199:N214" si="100">(T199*1000)/D199</f>
      </c>
      <c r="O199" s="795" t="s">
        <v>904</v>
      </c>
      <c r="P199" s="833" t="s">
        <v>932</v>
      </c>
      <c r="Q199" s="784">
        <v>22868</v>
      </c>
      <c r="R199" s="784">
        <v>3000</v>
      </c>
      <c r="S199" s="797">
        <v>4</v>
      </c>
      <c r="T199" s="797">
        <v>51</v>
      </c>
    </row>
    <row r="200">
      <c r="A200" s="785"/>
      <c r="B200" s="835" t="s">
        <v>922</v>
      </c>
      <c r="C200" s="788" t="s">
        <v>912</v>
      </c>
      <c r="D200" s="788">
        <v>4046.37</v>
      </c>
      <c r="E200" s="789">
        <v>1946.39</v>
      </c>
      <c r="F200" s="789">
        <v>2099.98</v>
      </c>
      <c r="G200" s="790">
        <v>8</v>
      </c>
      <c r="H200" s="789">
        <v>2143.7200000000003</v>
      </c>
      <c r="I200" s="791">
        <f t="shared" si="193"/>
      </c>
      <c r="J200" s="791">
        <f t="shared" si="224"/>
      </c>
      <c r="K200" s="791">
        <f t="shared" si="131"/>
      </c>
      <c r="L200" s="792">
        <f t="shared" si="162"/>
      </c>
      <c r="M200" s="793">
        <f t="shared" si="10"/>
      </c>
      <c r="N200" s="794">
        <f t="shared" si="100"/>
      </c>
      <c r="O200" s="795" t="s">
        <v>904</v>
      </c>
      <c r="P200" s="833" t="s">
        <v>932</v>
      </c>
      <c r="Q200" s="784">
        <v>36632</v>
      </c>
      <c r="R200" s="784">
        <v>2488</v>
      </c>
      <c r="S200" s="797">
        <v>13</v>
      </c>
      <c r="T200" s="797">
        <v>87</v>
      </c>
    </row>
    <row r="201">
      <c r="A201" s="785"/>
      <c r="B201" s="835" t="s">
        <v>922</v>
      </c>
      <c r="C201" s="788" t="s">
        <v>913</v>
      </c>
      <c r="D201" s="788">
        <v>5117.69</v>
      </c>
      <c r="E201" s="789">
        <v>1539.2</v>
      </c>
      <c r="F201" s="789">
        <v>3578.49</v>
      </c>
      <c r="G201" s="807">
        <v>6</v>
      </c>
      <c r="H201" s="788">
        <v>2658.74</v>
      </c>
      <c r="I201" s="791">
        <f t="shared" si="193"/>
      </c>
      <c r="J201" s="791">
        <f t="shared" si="224"/>
      </c>
      <c r="K201" s="791">
        <f t="shared" si="131"/>
      </c>
      <c r="L201" s="792">
        <f t="shared" si="162"/>
      </c>
      <c r="M201" s="793">
        <f t="shared" si="10"/>
      </c>
      <c r="N201" s="794">
        <f t="shared" si="100"/>
      </c>
      <c r="O201" s="795" t="s">
        <v>904</v>
      </c>
      <c r="P201" s="833" t="s">
        <v>932</v>
      </c>
      <c r="Q201" s="784">
        <v>41378</v>
      </c>
      <c r="R201" s="784">
        <v>6357</v>
      </c>
      <c r="S201" s="797">
        <v>14</v>
      </c>
      <c r="T201" s="797">
        <v>87</v>
      </c>
    </row>
    <row r="202">
      <c r="A202" s="785"/>
      <c r="B202" s="835" t="s">
        <v>922</v>
      </c>
      <c r="C202" s="788" t="s">
        <v>914</v>
      </c>
      <c r="D202" s="788">
        <v>2991.9700000000003</v>
      </c>
      <c r="E202" s="789">
        <v>1671.71</v>
      </c>
      <c r="F202" s="789">
        <v>1320.26</v>
      </c>
      <c r="G202" s="807">
        <v>3</v>
      </c>
      <c r="H202" s="788">
        <v>645.1199999999999</v>
      </c>
      <c r="I202" s="791">
        <f t="shared" si="193"/>
      </c>
      <c r="J202" s="791">
        <f t="shared" si="224"/>
      </c>
      <c r="K202" s="791">
        <f t="shared" si="131"/>
      </c>
      <c r="L202" s="792">
        <f t="shared" si="162"/>
      </c>
      <c r="M202" s="793">
        <f t="shared" si="10"/>
      </c>
      <c r="N202" s="794">
        <f t="shared" si="100"/>
      </c>
      <c r="O202" s="795" t="s">
        <v>904</v>
      </c>
      <c r="P202" s="833" t="s">
        <v>932</v>
      </c>
      <c r="Q202" s="784">
        <v>23397</v>
      </c>
      <c r="R202" s="784">
        <v>3360</v>
      </c>
      <c r="S202" s="797">
        <v>4</v>
      </c>
      <c r="T202" s="797">
        <v>58</v>
      </c>
    </row>
    <row r="203">
      <c r="A203" s="785"/>
      <c r="B203" s="808" t="s">
        <v>910</v>
      </c>
      <c r="C203" s="808"/>
      <c r="D203" s="799">
        <f>SUM(D199:D202)</f>
      </c>
      <c r="E203" s="799">
        <f>SUM(E199:E202)</f>
      </c>
      <c r="F203" s="799">
        <f>SUM(F199:F202)</f>
      </c>
      <c r="G203" s="800">
        <f>SUM(G199:G202)</f>
      </c>
      <c r="H203" s="799">
        <f>SUM(H199:H202)</f>
      </c>
      <c r="I203" s="801">
        <f t="shared" si="193"/>
      </c>
      <c r="J203" s="802">
        <f t="shared" si="224"/>
      </c>
      <c r="K203" s="803">
        <f t="shared" si="131"/>
      </c>
      <c r="L203" s="804">
        <f t="shared" si="162"/>
      </c>
      <c r="M203" s="804">
        <f t="shared" si="10"/>
      </c>
      <c r="N203" s="805">
        <f t="shared" si="100"/>
      </c>
      <c r="O203" s="805"/>
      <c r="P203" s="805"/>
      <c r="Q203" s="806">
        <f>SUM(Q199:Q202)</f>
      </c>
      <c r="R203" s="806">
        <f>SUM(R199:R202)</f>
      </c>
      <c r="S203" s="806">
        <f>SUM(S199:S202)</f>
      </c>
      <c r="T203" s="806">
        <f>SUM(T199:T202)</f>
      </c>
    </row>
    <row r="204">
      <c r="A204" s="785"/>
      <c r="B204" s="784" t="s">
        <v>902</v>
      </c>
      <c r="C204" s="788" t="s">
        <v>915</v>
      </c>
      <c r="D204" s="788">
        <v>3131.3100000000004</v>
      </c>
      <c r="E204" s="789">
        <v>1809.41</v>
      </c>
      <c r="F204" s="789">
        <v>1321.9</v>
      </c>
      <c r="G204" s="807">
        <v>12</v>
      </c>
      <c r="H204" s="788">
        <v>5741.08</v>
      </c>
      <c r="I204" s="791">
        <f t="shared" si="193"/>
      </c>
      <c r="J204" s="791">
        <f t="shared" si="224"/>
      </c>
      <c r="K204" s="791">
        <f t="shared" si="131"/>
      </c>
      <c r="L204" s="792">
        <f t="shared" si="162"/>
      </c>
      <c r="M204" s="793">
        <f t="shared" si="10"/>
      </c>
      <c r="N204" s="794">
        <f t="shared" si="100"/>
      </c>
      <c r="O204" s="795" t="s">
        <v>904</v>
      </c>
      <c r="P204" s="833" t="s">
        <v>932</v>
      </c>
      <c r="Q204" s="784">
        <v>26861</v>
      </c>
      <c r="R204" s="784">
        <v>3777</v>
      </c>
      <c r="S204" s="797">
        <v>16</v>
      </c>
      <c r="T204" s="797">
        <v>62</v>
      </c>
    </row>
    <row r="205">
      <c r="A205" s="785"/>
      <c r="B205" s="784" t="s">
        <v>902</v>
      </c>
      <c r="C205" s="788" t="s">
        <v>917</v>
      </c>
      <c r="D205" s="788">
        <v>5912.139999999999</v>
      </c>
      <c r="E205" s="789">
        <v>3255.45</v>
      </c>
      <c r="F205" s="789">
        <v>2656.69</v>
      </c>
      <c r="G205" s="807">
        <v>18</v>
      </c>
      <c r="H205" s="788">
        <v>9409.580000000002</v>
      </c>
      <c r="I205" s="791">
        <f t="shared" si="193"/>
      </c>
      <c r="J205" s="791">
        <f t="shared" si="224"/>
      </c>
      <c r="K205" s="791">
        <f t="shared" si="131"/>
      </c>
      <c r="L205" s="792">
        <f t="shared" si="162"/>
      </c>
      <c r="M205" s="793">
        <f t="shared" si="10"/>
      </c>
      <c r="N205" s="794">
        <f t="shared" si="100"/>
      </c>
      <c r="O205" s="795" t="s">
        <v>904</v>
      </c>
      <c r="P205" s="833" t="s">
        <v>932</v>
      </c>
      <c r="Q205" s="784">
        <v>59376</v>
      </c>
      <c r="R205" s="784">
        <v>8484</v>
      </c>
      <c r="S205" s="797">
        <v>31</v>
      </c>
      <c r="T205" s="797">
        <v>126</v>
      </c>
    </row>
    <row r="206">
      <c r="A206" s="785"/>
      <c r="B206" s="784" t="s">
        <v>902</v>
      </c>
      <c r="C206" s="788" t="s">
        <v>919</v>
      </c>
      <c r="D206" s="788">
        <v>12424.29</v>
      </c>
      <c r="E206" s="789">
        <v>4236.74</v>
      </c>
      <c r="F206" s="789">
        <v>8187.55</v>
      </c>
      <c r="G206" s="807">
        <v>47</v>
      </c>
      <c r="H206" s="788">
        <v>25727.36</v>
      </c>
      <c r="I206" s="791">
        <f t="shared" si="193"/>
      </c>
      <c r="J206" s="791">
        <f t="shared" si="224"/>
      </c>
      <c r="K206" s="791">
        <f t="shared" si="131"/>
      </c>
      <c r="L206" s="792">
        <f t="shared" si="162"/>
      </c>
      <c r="M206" s="793">
        <f t="shared" si="10"/>
      </c>
      <c r="N206" s="794">
        <f t="shared" si="100"/>
      </c>
      <c r="O206" s="795" t="s">
        <v>904</v>
      </c>
      <c r="P206" s="833" t="s">
        <v>932</v>
      </c>
      <c r="Q206" s="784">
        <v>167928</v>
      </c>
      <c r="R206" s="784">
        <v>20420</v>
      </c>
      <c r="S206" s="797">
        <v>63</v>
      </c>
      <c r="T206" s="797">
        <v>320</v>
      </c>
    </row>
    <row r="207">
      <c r="A207" s="785"/>
      <c r="B207" s="784" t="s">
        <v>902</v>
      </c>
      <c r="C207" s="788" t="s">
        <v>920</v>
      </c>
      <c r="D207" s="788">
        <v>17254</v>
      </c>
      <c r="E207" s="789">
        <v>8678.16</v>
      </c>
      <c r="F207" s="789">
        <v>8575.84</v>
      </c>
      <c r="G207" s="790">
        <v>49</v>
      </c>
      <c r="H207" s="789">
        <v>15991.499999999993</v>
      </c>
      <c r="I207" s="791">
        <f t="shared" si="193"/>
      </c>
      <c r="J207" s="791">
        <f t="shared" si="224"/>
      </c>
      <c r="K207" s="791">
        <f t="shared" si="131"/>
      </c>
      <c r="L207" s="792">
        <f t="shared" si="162"/>
      </c>
      <c r="M207" s="793">
        <f t="shared" si="10"/>
      </c>
      <c r="N207" s="794">
        <f t="shared" si="100"/>
      </c>
      <c r="O207" s="795" t="s">
        <v>904</v>
      </c>
      <c r="P207" s="833" t="s">
        <v>932</v>
      </c>
      <c r="Q207" s="784">
        <v>234941</v>
      </c>
      <c r="R207" s="784">
        <v>27435</v>
      </c>
      <c r="S207" s="797">
        <v>65</v>
      </c>
      <c r="T207" s="797">
        <v>357</v>
      </c>
    </row>
    <row r="208">
      <c r="A208" s="785"/>
      <c r="B208" s="784" t="s">
        <v>902</v>
      </c>
      <c r="C208" s="788" t="s">
        <v>921</v>
      </c>
      <c r="D208" s="788">
        <v>40364.48</v>
      </c>
      <c r="E208" s="789">
        <v>12683.01</v>
      </c>
      <c r="F208" s="789">
        <v>27681.47</v>
      </c>
      <c r="G208" s="807">
        <v>158</v>
      </c>
      <c r="H208" s="788">
        <v>73447.59000000001</v>
      </c>
      <c r="I208" s="791">
        <f t="shared" si="193"/>
      </c>
      <c r="J208" s="791">
        <f t="shared" si="224"/>
      </c>
      <c r="K208" s="791">
        <f t="shared" si="131"/>
      </c>
      <c r="L208" s="792">
        <f t="shared" si="162"/>
      </c>
      <c r="M208" s="793">
        <f t="shared" si="10"/>
      </c>
      <c r="N208" s="794">
        <f t="shared" si="100"/>
      </c>
      <c r="O208" s="795" t="s">
        <v>904</v>
      </c>
      <c r="P208" s="833" t="s">
        <v>932</v>
      </c>
      <c r="Q208" s="832">
        <v>557127</v>
      </c>
      <c r="R208" s="832">
        <v>63422</v>
      </c>
      <c r="S208" s="836">
        <v>222</v>
      </c>
      <c r="T208" s="836">
        <v>816</v>
      </c>
    </row>
    <row r="209">
      <c r="A209" s="785"/>
      <c r="B209" s="808" t="s">
        <v>910</v>
      </c>
      <c r="C209" s="808"/>
      <c r="D209" s="799">
        <f>SUM(D204:D208)</f>
      </c>
      <c r="E209" s="799">
        <f>SUM(E204:E208)</f>
      </c>
      <c r="F209" s="799">
        <f>SUM(F204:F208)</f>
      </c>
      <c r="G209" s="800">
        <f>SUM(G204:G208)</f>
      </c>
      <c r="H209" s="799">
        <f>SUM(H204:H208)</f>
      </c>
      <c r="I209" s="801">
        <f t="shared" si="193"/>
      </c>
      <c r="J209" s="802">
        <f t="shared" si="224"/>
      </c>
      <c r="K209" s="803">
        <f t="shared" si="131"/>
      </c>
      <c r="L209" s="804">
        <f t="shared" si="162"/>
      </c>
      <c r="M209" s="804">
        <f t="shared" si="10"/>
      </c>
      <c r="N209" s="805">
        <f t="shared" si="100"/>
      </c>
      <c r="O209" s="805"/>
      <c r="P209" s="805"/>
      <c r="Q209" s="806">
        <f>SUM(Q204:Q208)</f>
      </c>
      <c r="R209" s="806">
        <f>SUM(R204:R208)</f>
      </c>
      <c r="S209" s="806">
        <f>SUM(S204:S208)</f>
      </c>
      <c r="T209" s="806">
        <f>SUM(T204:T208)</f>
      </c>
    </row>
    <row r="210">
      <c r="A210" s="785"/>
      <c r="B210" s="797" t="s">
        <v>918</v>
      </c>
      <c r="C210" s="788" t="s">
        <v>923</v>
      </c>
      <c r="D210" s="788">
        <v>38764.75</v>
      </c>
      <c r="E210" s="789">
        <v>7022.35</v>
      </c>
      <c r="F210" s="789">
        <v>31742.4</v>
      </c>
      <c r="G210" s="807">
        <v>69</v>
      </c>
      <c r="H210" s="788">
        <v>40033.79999999999</v>
      </c>
      <c r="I210" s="791">
        <f t="shared" si="193"/>
      </c>
      <c r="J210" s="791">
        <f t="shared" si="224"/>
      </c>
      <c r="K210" s="791">
        <f t="shared" si="131"/>
      </c>
      <c r="L210" s="792">
        <f t="shared" si="162"/>
      </c>
      <c r="M210" s="793">
        <f t="shared" si="10"/>
      </c>
      <c r="N210" s="794">
        <f t="shared" si="100"/>
      </c>
      <c r="O210" s="795" t="s">
        <v>904</v>
      </c>
      <c r="P210" s="833" t="s">
        <v>932</v>
      </c>
      <c r="Q210" s="837">
        <v>535721</v>
      </c>
      <c r="R210" s="837">
        <v>58984</v>
      </c>
      <c r="S210" s="838">
        <v>96</v>
      </c>
      <c r="T210" s="838">
        <v>304</v>
      </c>
    </row>
    <row r="211">
      <c r="A211" s="785"/>
      <c r="B211" s="797" t="s">
        <v>918</v>
      </c>
      <c r="C211" s="788" t="s">
        <v>924</v>
      </c>
      <c r="D211" s="788">
        <v>720.4</v>
      </c>
      <c r="E211" s="789">
        <v>0</v>
      </c>
      <c r="F211" s="789">
        <v>720.4</v>
      </c>
      <c r="G211" s="807">
        <v>15</v>
      </c>
      <c r="H211" s="788">
        <v>7809.0199999999895</v>
      </c>
      <c r="I211" s="791">
        <f t="shared" si="193"/>
      </c>
      <c r="J211" s="791">
        <f t="shared" si="224"/>
      </c>
      <c r="K211" s="791">
        <f t="shared" si="131"/>
      </c>
      <c r="L211" s="792">
        <f t="shared" si="162"/>
      </c>
      <c r="M211" s="793">
        <f t="shared" si="10"/>
      </c>
      <c r="N211" s="794">
        <f t="shared" si="100"/>
      </c>
      <c r="O211" s="795" t="s">
        <v>904</v>
      </c>
      <c r="P211" s="833" t="s">
        <v>932</v>
      </c>
      <c r="Q211" s="837">
        <v>10274</v>
      </c>
      <c r="R211" s="837">
        <v>1121</v>
      </c>
      <c r="S211" s="838">
        <v>14</v>
      </c>
      <c r="T211" s="838">
        <v>131</v>
      </c>
    </row>
    <row r="212">
      <c r="A212" s="785"/>
      <c r="B212" s="797" t="s">
        <v>918</v>
      </c>
      <c r="C212" s="789" t="s">
        <v>925</v>
      </c>
      <c r="D212" s="788">
        <v>2546.29</v>
      </c>
      <c r="E212" s="789">
        <v>0</v>
      </c>
      <c r="F212" s="789">
        <v>2546.29</v>
      </c>
      <c r="G212" s="807">
        <v>9</v>
      </c>
      <c r="H212" s="788">
        <v>5573.880000000005</v>
      </c>
      <c r="I212" s="791">
        <f t="shared" si="193"/>
      </c>
      <c r="J212" s="791">
        <f t="shared" si="224"/>
      </c>
      <c r="K212" s="791">
        <f t="shared" si="131"/>
      </c>
      <c r="L212" s="792">
        <f t="shared" si="162"/>
      </c>
      <c r="M212" s="793">
        <f t="shared" si="10"/>
      </c>
      <c r="N212" s="794">
        <f t="shared" si="100"/>
      </c>
      <c r="O212" s="795" t="s">
        <v>904</v>
      </c>
      <c r="P212" s="833" t="s">
        <v>932</v>
      </c>
      <c r="Q212" s="837">
        <v>20457</v>
      </c>
      <c r="R212" s="837">
        <v>3922</v>
      </c>
      <c r="S212" s="838">
        <v>17</v>
      </c>
      <c r="T212" s="838">
        <v>80</v>
      </c>
    </row>
    <row r="213">
      <c r="A213" s="785"/>
      <c r="B213" s="808" t="s">
        <v>910</v>
      </c>
      <c r="C213" s="808"/>
      <c r="D213" s="799">
        <f>SUM(D210:D212)</f>
      </c>
      <c r="E213" s="799">
        <f>SUM(E210:E212)</f>
      </c>
      <c r="F213" s="799">
        <f>SUM(F210:F212)</f>
      </c>
      <c r="G213" s="800">
        <f>SUM(G210:G212)</f>
      </c>
      <c r="H213" s="799">
        <f>SUM(H210:H212)</f>
      </c>
      <c r="I213" s="801">
        <f t="shared" si="193"/>
      </c>
      <c r="J213" s="802">
        <f t="shared" si="224"/>
      </c>
      <c r="K213" s="803">
        <f t="shared" si="131"/>
      </c>
      <c r="L213" s="804">
        <f t="shared" si="162"/>
      </c>
      <c r="M213" s="804">
        <f t="shared" si="10"/>
      </c>
      <c r="N213" s="805">
        <f t="shared" si="100"/>
      </c>
      <c r="O213" s="805"/>
      <c r="P213" s="805"/>
      <c r="Q213" s="806">
        <f>SUM(Q210:Q212)</f>
      </c>
      <c r="R213" s="806">
        <f>SUM(R210:R212)</f>
      </c>
      <c r="S213" s="806">
        <f>SUM(S210:S212)</f>
      </c>
      <c r="T213" s="806">
        <f>SUM(T210:T212)</f>
      </c>
    </row>
    <row r="214">
      <c r="A214" s="785"/>
      <c r="B214" s="809" t="s">
        <v>926</v>
      </c>
      <c r="C214" s="809"/>
      <c r="D214" s="810">
        <f>D203+D209+D213</f>
      </c>
      <c r="E214" s="810">
        <f>E203+E209+E213</f>
      </c>
      <c r="F214" s="810">
        <f>F203+F209+F213</f>
      </c>
      <c r="G214" s="811">
        <f>G203+G209+G213</f>
      </c>
      <c r="H214" s="810">
        <f>H203+H209+H213</f>
      </c>
      <c r="I214" s="809">
        <f t="shared" si="193"/>
      </c>
      <c r="J214" s="809">
        <f t="shared" si="224"/>
      </c>
      <c r="K214" s="809">
        <f t="shared" si="131"/>
      </c>
      <c r="L214" s="812">
        <f t="shared" si="162"/>
      </c>
      <c r="M214" s="812">
        <f t="shared" si="10"/>
      </c>
      <c r="N214" s="809">
        <f t="shared" si="100"/>
      </c>
      <c r="O214" s="824"/>
      <c r="P214" s="824"/>
      <c r="Q214" s="811">
        <f>Q203+Q209+Q213</f>
      </c>
      <c r="R214" s="811">
        <f>R203+R209+R213</f>
      </c>
      <c r="S214" s="811">
        <f>S203+S209+S213</f>
      </c>
      <c r="T214" s="811">
        <f>T203+T209+T213</f>
      </c>
    </row>
    <row r="215">
      <c r="A215" s="775" t="s">
        <v>877</v>
      </c>
      <c r="B215" s="775"/>
      <c r="C215" s="775"/>
      <c r="D215" s="776" t="s">
        <v>878</v>
      </c>
      <c r="E215" s="776"/>
      <c r="F215" s="776"/>
      <c r="G215" s="776"/>
      <c r="H215" s="776"/>
      <c r="I215" s="776"/>
      <c r="J215" s="776"/>
      <c r="K215" s="776"/>
      <c r="L215" s="826" t="s">
        <v>879</v>
      </c>
      <c r="M215" s="826"/>
      <c r="N215" s="826"/>
      <c r="O215" s="826"/>
      <c r="P215" s="826"/>
      <c r="Q215" s="779" t="s">
        <v>880</v>
      </c>
      <c r="R215" s="779"/>
      <c r="S215" s="779"/>
      <c r="T215" s="779"/>
    </row>
    <row r="216">
      <c r="A216" s="827" t="s">
        <v>881</v>
      </c>
      <c r="B216" s="827" t="s">
        <v>882</v>
      </c>
      <c r="C216" s="827" t="s">
        <v>883</v>
      </c>
      <c r="D216" s="828" t="s">
        <v>884</v>
      </c>
      <c r="E216" s="828" t="s">
        <v>885</v>
      </c>
      <c r="F216" s="828" t="s">
        <v>886</v>
      </c>
      <c r="G216" s="829" t="s">
        <v>887</v>
      </c>
      <c r="H216" s="828" t="s">
        <v>888</v>
      </c>
      <c r="I216" s="830" t="s">
        <v>889</v>
      </c>
      <c r="J216" s="831" t="s">
        <v>890</v>
      </c>
      <c r="K216" s="828" t="s">
        <v>891</v>
      </c>
      <c r="L216" s="783" t="s">
        <v>892</v>
      </c>
      <c r="M216" s="783" t="s">
        <v>893</v>
      </c>
      <c r="N216" s="783" t="s">
        <v>894</v>
      </c>
      <c r="O216" s="778" t="s">
        <v>895</v>
      </c>
      <c r="P216" s="778" t="s">
        <v>896</v>
      </c>
      <c r="Q216" s="832" t="s">
        <v>897</v>
      </c>
      <c r="R216" s="832" t="s">
        <v>898</v>
      </c>
      <c r="S216" s="832" t="s">
        <v>899</v>
      </c>
      <c r="T216" s="832" t="s">
        <v>900</v>
      </c>
    </row>
    <row r="217">
      <c r="A217" s="785" t="s">
        <v>942</v>
      </c>
      <c r="B217" s="784" t="s">
        <v>902</v>
      </c>
      <c r="C217" s="788" t="s">
        <v>909</v>
      </c>
      <c r="D217" s="788">
        <v>4469.63</v>
      </c>
      <c r="E217" s="789">
        <v>1523.66</v>
      </c>
      <c r="F217" s="789">
        <v>2945.97</v>
      </c>
      <c r="G217" s="790">
        <v>11</v>
      </c>
      <c r="H217" s="789">
        <v>3290.88</v>
      </c>
      <c r="I217" s="791">
        <f t="shared" ref="I217:I231" si="194">H217/D217</f>
      </c>
      <c r="J217" s="791">
        <f t="shared" ref="J217:J231" si="225">D217/G217</f>
      </c>
      <c r="K217" s="791">
        <f t="shared" ref="K217:K231" si="132">H217/G217</f>
      </c>
      <c r="L217" s="792">
        <f t="shared" ref="L217:L231" si="163">R217/Q217</f>
      </c>
      <c r="M217" s="793">
        <f t="shared" ref="M217:M231" si="11">G217/S217</f>
      </c>
      <c r="N217" s="794">
        <f t="shared" ref="N217:N231" si="101">(T217*1000)/D217</f>
      </c>
      <c r="O217" s="795" t="s">
        <v>904</v>
      </c>
      <c r="P217" s="833" t="s">
        <v>932</v>
      </c>
      <c r="Q217" s="784">
        <v>46499</v>
      </c>
      <c r="R217" s="784">
        <v>5616</v>
      </c>
      <c r="S217" s="797">
        <v>19</v>
      </c>
      <c r="T217" s="797">
        <v>106</v>
      </c>
    </row>
    <row r="218">
      <c r="A218" s="785"/>
      <c r="B218" s="784" t="s">
        <v>902</v>
      </c>
      <c r="C218" s="788" t="s">
        <v>912</v>
      </c>
      <c r="D218" s="788">
        <v>1938.8899999999999</v>
      </c>
      <c r="E218" s="789">
        <v>999.18</v>
      </c>
      <c r="F218" s="789">
        <v>939.71</v>
      </c>
      <c r="G218" s="790">
        <v>3</v>
      </c>
      <c r="H218" s="789">
        <v>1994.1599999999999</v>
      </c>
      <c r="I218" s="791">
        <f t="shared" si="194"/>
      </c>
      <c r="J218" s="791">
        <f t="shared" si="225"/>
      </c>
      <c r="K218" s="791">
        <f t="shared" si="132"/>
      </c>
      <c r="L218" s="792">
        <f t="shared" si="163"/>
      </c>
      <c r="M218" s="793">
        <f t="shared" si="11"/>
      </c>
      <c r="N218" s="794">
        <f t="shared" si="101"/>
      </c>
      <c r="O218" s="795" t="s">
        <v>904</v>
      </c>
      <c r="P218" s="833" t="s">
        <v>932</v>
      </c>
      <c r="Q218" s="784">
        <v>18005</v>
      </c>
      <c r="R218" s="784">
        <v>2016</v>
      </c>
      <c r="S218" s="797">
        <v>3</v>
      </c>
      <c r="T218" s="797">
        <v>49</v>
      </c>
    </row>
    <row r="219">
      <c r="A219" s="785"/>
      <c r="B219" s="784" t="s">
        <v>902</v>
      </c>
      <c r="C219" s="788" t="s">
        <v>913</v>
      </c>
      <c r="D219" s="788">
        <v>1480.1100000000001</v>
      </c>
      <c r="E219" s="789">
        <v>996.32</v>
      </c>
      <c r="F219" s="789">
        <v>483.79</v>
      </c>
      <c r="G219" s="807">
        <v>3</v>
      </c>
      <c r="H219" s="788">
        <v>1994.1599999999999</v>
      </c>
      <c r="I219" s="791">
        <f t="shared" si="194"/>
      </c>
      <c r="J219" s="791">
        <f t="shared" si="225"/>
      </c>
      <c r="K219" s="791">
        <f t="shared" si="132"/>
      </c>
      <c r="L219" s="792">
        <f t="shared" si="163"/>
      </c>
      <c r="M219" s="793">
        <f t="shared" si="11"/>
      </c>
      <c r="N219" s="794">
        <f t="shared" si="101"/>
      </c>
      <c r="O219" s="795" t="s">
        <v>904</v>
      </c>
      <c r="P219" s="833" t="s">
        <v>932</v>
      </c>
      <c r="Q219" s="784">
        <v>14092</v>
      </c>
      <c r="R219" s="784">
        <v>1583</v>
      </c>
      <c r="S219" s="797">
        <v>6</v>
      </c>
      <c r="T219" s="797">
        <v>30</v>
      </c>
    </row>
    <row r="220">
      <c r="A220" s="785"/>
      <c r="B220" s="784" t="s">
        <v>902</v>
      </c>
      <c r="C220" s="788" t="s">
        <v>914</v>
      </c>
      <c r="D220" s="788">
        <v>1509.31</v>
      </c>
      <c r="E220" s="789">
        <v>668.79</v>
      </c>
      <c r="F220" s="789">
        <v>840.52</v>
      </c>
      <c r="G220" s="807">
        <v>1</v>
      </c>
      <c r="H220" s="788">
        <v>215.03999999999996</v>
      </c>
      <c r="I220" s="791">
        <f t="shared" si="194"/>
      </c>
      <c r="J220" s="791">
        <f t="shared" si="225"/>
      </c>
      <c r="K220" s="791">
        <f t="shared" si="132"/>
      </c>
      <c r="L220" s="792">
        <f t="shared" si="163"/>
      </c>
      <c r="M220" s="793">
        <f t="shared" si="11"/>
      </c>
      <c r="N220" s="794">
        <f t="shared" si="101"/>
      </c>
      <c r="O220" s="795" t="s">
        <v>904</v>
      </c>
      <c r="P220" s="833" t="s">
        <v>932</v>
      </c>
      <c r="Q220" s="784">
        <v>14185</v>
      </c>
      <c r="R220" s="784">
        <v>1671</v>
      </c>
      <c r="S220" s="797">
        <v>2</v>
      </c>
      <c r="T220" s="797">
        <v>47</v>
      </c>
    </row>
    <row r="221">
      <c r="A221" s="785"/>
      <c r="B221" s="808" t="s">
        <v>910</v>
      </c>
      <c r="C221" s="808"/>
      <c r="D221" s="799">
        <f>SUM(D217:D220)</f>
      </c>
      <c r="E221" s="799">
        <f>SUM(E217:E220)</f>
      </c>
      <c r="F221" s="799">
        <f>SUM(F217:F220)</f>
      </c>
      <c r="G221" s="800">
        <f>SUM(G217:G220)</f>
      </c>
      <c r="H221" s="799">
        <f>SUM(H217:H220)</f>
      </c>
      <c r="I221" s="801">
        <f t="shared" si="194"/>
      </c>
      <c r="J221" s="802">
        <f t="shared" si="225"/>
      </c>
      <c r="K221" s="803">
        <f t="shared" si="132"/>
      </c>
      <c r="L221" s="804">
        <f t="shared" si="163"/>
      </c>
      <c r="M221" s="804">
        <f t="shared" si="11"/>
      </c>
      <c r="N221" s="805">
        <f t="shared" si="101"/>
      </c>
      <c r="O221" s="805"/>
      <c r="P221" s="805"/>
      <c r="Q221" s="806">
        <f>SUM(Q217:Q220)</f>
      </c>
      <c r="R221" s="806">
        <f>SUM(R217:R220)</f>
      </c>
      <c r="S221" s="806">
        <f>SUM(S217:S220)</f>
      </c>
      <c r="T221" s="806">
        <f>SUM(T217:T220)</f>
      </c>
    </row>
    <row r="222">
      <c r="A222" s="785"/>
      <c r="B222" s="839" t="s">
        <v>930</v>
      </c>
      <c r="C222" s="788" t="s">
        <v>915</v>
      </c>
      <c r="D222" s="788">
        <v>2036.29</v>
      </c>
      <c r="E222" s="789">
        <v>712.66</v>
      </c>
      <c r="F222" s="789">
        <v>1323.63</v>
      </c>
      <c r="G222" s="807">
        <v>7</v>
      </c>
      <c r="H222" s="788">
        <v>4523.73</v>
      </c>
      <c r="I222" s="791">
        <f t="shared" si="194"/>
      </c>
      <c r="J222" s="791">
        <f t="shared" si="225"/>
      </c>
      <c r="K222" s="791">
        <f t="shared" si="132"/>
      </c>
      <c r="L222" s="792">
        <f t="shared" si="163"/>
      </c>
      <c r="M222" s="793">
        <f t="shared" si="11"/>
      </c>
      <c r="N222" s="794">
        <f t="shared" si="101"/>
      </c>
      <c r="O222" s="795" t="s">
        <v>904</v>
      </c>
      <c r="P222" s="833" t="s">
        <v>932</v>
      </c>
      <c r="Q222" s="784">
        <v>18445</v>
      </c>
      <c r="R222" s="784">
        <v>2518</v>
      </c>
      <c r="S222" s="797">
        <v>9</v>
      </c>
      <c r="T222" s="797">
        <v>45</v>
      </c>
    </row>
    <row r="223">
      <c r="A223" s="785"/>
      <c r="B223" s="839" t="s">
        <v>930</v>
      </c>
      <c r="C223" s="788" t="s">
        <v>917</v>
      </c>
      <c r="D223" s="788">
        <v>3147.3</v>
      </c>
      <c r="E223" s="789">
        <v>1624.53</v>
      </c>
      <c r="F223" s="789">
        <v>1522.77</v>
      </c>
      <c r="G223" s="807">
        <v>10</v>
      </c>
      <c r="H223" s="788">
        <v>8048.4</v>
      </c>
      <c r="I223" s="791">
        <f t="shared" si="194"/>
      </c>
      <c r="J223" s="791">
        <f t="shared" si="225"/>
      </c>
      <c r="K223" s="791">
        <f t="shared" si="132"/>
      </c>
      <c r="L223" s="792">
        <f t="shared" si="163"/>
      </c>
      <c r="M223" s="793">
        <f t="shared" si="11"/>
      </c>
      <c r="N223" s="794">
        <f t="shared" si="101"/>
      </c>
      <c r="O223" s="795" t="s">
        <v>904</v>
      </c>
      <c r="P223" s="833" t="s">
        <v>932</v>
      </c>
      <c r="Q223" s="784">
        <v>30224</v>
      </c>
      <c r="R223" s="784">
        <v>4128</v>
      </c>
      <c r="S223" s="797">
        <v>10</v>
      </c>
      <c r="T223" s="797">
        <v>66</v>
      </c>
    </row>
    <row r="224">
      <c r="A224" s="785"/>
      <c r="B224" s="839" t="s">
        <v>930</v>
      </c>
      <c r="C224" s="788" t="s">
        <v>919</v>
      </c>
      <c r="D224" s="788">
        <v>2488.2799999999997</v>
      </c>
      <c r="E224" s="789">
        <v>1663.26</v>
      </c>
      <c r="F224" s="789">
        <v>825.02</v>
      </c>
      <c r="G224" s="807">
        <v>8</v>
      </c>
      <c r="H224" s="788">
        <v>2183.040000000001</v>
      </c>
      <c r="I224" s="791">
        <f t="shared" si="194"/>
      </c>
      <c r="J224" s="791">
        <f t="shared" si="225"/>
      </c>
      <c r="K224" s="791">
        <f t="shared" si="132"/>
      </c>
      <c r="L224" s="792">
        <f t="shared" si="163"/>
      </c>
      <c r="M224" s="793">
        <f t="shared" si="11"/>
      </c>
      <c r="N224" s="794">
        <f t="shared" si="101"/>
      </c>
      <c r="O224" s="795" t="s">
        <v>904</v>
      </c>
      <c r="P224" s="833" t="s">
        <v>932</v>
      </c>
      <c r="Q224" s="797">
        <v>26521</v>
      </c>
      <c r="R224" s="784">
        <v>3364</v>
      </c>
      <c r="S224" s="797">
        <v>9</v>
      </c>
      <c r="T224" s="797">
        <v>55</v>
      </c>
    </row>
    <row r="225">
      <c r="A225" s="785"/>
      <c r="B225" s="839" t="s">
        <v>930</v>
      </c>
      <c r="C225" s="788" t="s">
        <v>920</v>
      </c>
      <c r="D225" s="788">
        <v>2384.85</v>
      </c>
      <c r="E225" s="789">
        <v>1544.42</v>
      </c>
      <c r="F225" s="789">
        <v>840.43</v>
      </c>
      <c r="G225" s="807">
        <v>3</v>
      </c>
      <c r="H225" s="788">
        <v>1107.8400000000001</v>
      </c>
      <c r="I225" s="791">
        <f t="shared" si="194"/>
      </c>
      <c r="J225" s="791">
        <f t="shared" si="225"/>
      </c>
      <c r="K225" s="791">
        <f t="shared" si="132"/>
      </c>
      <c r="L225" s="792">
        <f t="shared" si="163"/>
      </c>
      <c r="M225" s="793">
        <f t="shared" si="11"/>
      </c>
      <c r="N225" s="794">
        <f t="shared" si="101"/>
      </c>
      <c r="O225" s="795" t="s">
        <v>904</v>
      </c>
      <c r="P225" s="833" t="s">
        <v>932</v>
      </c>
      <c r="Q225" s="832">
        <v>25275</v>
      </c>
      <c r="R225" s="832">
        <v>2856</v>
      </c>
      <c r="S225" s="836">
        <v>5</v>
      </c>
      <c r="T225" s="836">
        <v>58</v>
      </c>
    </row>
    <row r="226">
      <c r="A226" s="785"/>
      <c r="B226" s="808" t="s">
        <v>910</v>
      </c>
      <c r="C226" s="808"/>
      <c r="D226" s="799">
        <f>SUM(D222:D225)</f>
      </c>
      <c r="E226" s="799">
        <f>SUM(E222:E225)</f>
      </c>
      <c r="F226" s="799">
        <f>SUM(F222:F225)</f>
      </c>
      <c r="G226" s="800">
        <f>SUM(G222:G225)</f>
      </c>
      <c r="H226" s="799">
        <f>SUM(H222:H225)</f>
      </c>
      <c r="I226" s="801">
        <f t="shared" si="194"/>
      </c>
      <c r="J226" s="802">
        <f t="shared" si="225"/>
      </c>
      <c r="K226" s="803">
        <f t="shared" si="132"/>
      </c>
      <c r="L226" s="804">
        <f t="shared" si="163"/>
      </c>
      <c r="M226" s="804">
        <f t="shared" si="11"/>
      </c>
      <c r="N226" s="805">
        <f t="shared" si="101"/>
      </c>
      <c r="O226" s="805"/>
      <c r="P226" s="805"/>
      <c r="Q226" s="806">
        <f>SUM(Q222:Q225)</f>
      </c>
      <c r="R226" s="806">
        <f>SUM(R222:R225)</f>
      </c>
      <c r="S226" s="806">
        <f>SUM(S222:S225)</f>
      </c>
      <c r="T226" s="806">
        <f>SUM(T222:T225)</f>
      </c>
    </row>
    <row r="227">
      <c r="A227" s="785"/>
      <c r="B227" s="835" t="s">
        <v>922</v>
      </c>
      <c r="C227" s="788" t="s">
        <v>921</v>
      </c>
      <c r="D227" s="788">
        <v>1967.7199999999998</v>
      </c>
      <c r="E227" s="840">
        <v>1536.07</v>
      </c>
      <c r="F227" s="840">
        <v>431.65</v>
      </c>
      <c r="G227" s="790">
        <v>5</v>
      </c>
      <c r="H227" s="788">
        <f>1800.6+215.04</f>
      </c>
      <c r="I227" s="791">
        <f t="shared" si="194"/>
      </c>
      <c r="J227" s="791">
        <f t="shared" si="225"/>
      </c>
      <c r="K227" s="791">
        <f t="shared" si="132"/>
      </c>
      <c r="L227" s="792">
        <f t="shared" si="163"/>
      </c>
      <c r="M227" s="793">
        <f t="shared" si="11"/>
      </c>
      <c r="N227" s="794">
        <f t="shared" si="101"/>
      </c>
      <c r="O227" s="795" t="s">
        <v>904</v>
      </c>
      <c r="P227" s="833" t="s">
        <v>932</v>
      </c>
      <c r="Q227" s="837">
        <v>19386</v>
      </c>
      <c r="R227" s="837">
        <v>2272</v>
      </c>
      <c r="S227" s="838">
        <v>6</v>
      </c>
      <c r="T227" s="838">
        <v>36</v>
      </c>
    </row>
    <row customHeight="true" ht="16.666666666666668" r="228">
      <c r="A228" s="785"/>
      <c r="B228" s="835" t="s">
        <v>922</v>
      </c>
      <c r="C228" s="788" t="s">
        <v>923</v>
      </c>
      <c r="D228" s="841">
        <v>3117.08</v>
      </c>
      <c r="E228" s="788">
        <v>2778.65</v>
      </c>
      <c r="F228" s="788">
        <v>338.43</v>
      </c>
      <c r="G228" s="842">
        <v>10</v>
      </c>
      <c r="H228" s="788">
        <v>3075.84</v>
      </c>
      <c r="I228" s="791">
        <f t="shared" si="194"/>
      </c>
      <c r="J228" s="791">
        <f t="shared" si="225"/>
      </c>
      <c r="K228" s="791">
        <f t="shared" si="132"/>
      </c>
      <c r="L228" s="792">
        <f t="shared" si="163"/>
      </c>
      <c r="M228" s="793">
        <f t="shared" si="11"/>
      </c>
      <c r="N228" s="794">
        <f t="shared" si="101"/>
      </c>
      <c r="O228" s="795" t="s">
        <v>904</v>
      </c>
      <c r="P228" s="833" t="s">
        <v>932</v>
      </c>
      <c r="Q228" s="837">
        <v>34341</v>
      </c>
      <c r="R228" s="837">
        <v>3890</v>
      </c>
      <c r="S228" s="838">
        <v>12</v>
      </c>
      <c r="T228" s="838">
        <v>71</v>
      </c>
    </row>
    <row r="229">
      <c r="A229" s="785"/>
      <c r="B229" s="835" t="s">
        <v>922</v>
      </c>
      <c r="C229" s="788" t="s">
        <v>924</v>
      </c>
      <c r="D229" s="788">
        <v>2186.21</v>
      </c>
      <c r="E229" s="789">
        <v>1794.42</v>
      </c>
      <c r="F229" s="789">
        <v>391.79</v>
      </c>
      <c r="G229" s="843">
        <v>5</v>
      </c>
      <c r="H229" s="788">
        <v>2458.7000000000007</v>
      </c>
      <c r="I229" s="791">
        <f t="shared" si="194"/>
      </c>
      <c r="J229" s="791">
        <f t="shared" si="225"/>
      </c>
      <c r="K229" s="791">
        <f t="shared" si="132"/>
      </c>
      <c r="L229" s="792">
        <f t="shared" si="163"/>
      </c>
      <c r="M229" s="793">
        <f t="shared" si="11"/>
      </c>
      <c r="N229" s="794">
        <f t="shared" si="101"/>
      </c>
      <c r="O229" s="795" t="s">
        <v>904</v>
      </c>
      <c r="P229" s="833" t="s">
        <v>932</v>
      </c>
      <c r="Q229" s="837">
        <v>19273</v>
      </c>
      <c r="R229" s="837">
        <v>2609</v>
      </c>
      <c r="S229" s="838">
        <v>8</v>
      </c>
      <c r="T229" s="838">
        <v>45</v>
      </c>
    </row>
    <row r="230">
      <c r="A230" s="785"/>
      <c r="B230" s="808" t="s">
        <v>910</v>
      </c>
      <c r="C230" s="808"/>
      <c r="D230" s="799">
        <f>SUM(D227:D229)</f>
      </c>
      <c r="E230" s="799">
        <f>SUM(E227:E229)</f>
      </c>
      <c r="F230" s="799">
        <f>SUM(F227:F229)</f>
      </c>
      <c r="G230" s="800">
        <f>SUM(G227:G229)</f>
      </c>
      <c r="H230" s="799">
        <f>SUM(H227:H229)</f>
      </c>
      <c r="I230" s="801">
        <f t="shared" si="194"/>
      </c>
      <c r="J230" s="802">
        <f t="shared" si="225"/>
      </c>
      <c r="K230" s="803">
        <f t="shared" si="132"/>
      </c>
      <c r="L230" s="804">
        <f t="shared" si="163"/>
      </c>
      <c r="M230" s="804">
        <f t="shared" si="11"/>
      </c>
      <c r="N230" s="805">
        <f t="shared" si="101"/>
      </c>
      <c r="O230" s="844"/>
      <c r="P230" s="844"/>
      <c r="Q230" s="806">
        <f>SUM(Q227:Q229)</f>
      </c>
      <c r="R230" s="806">
        <f>SUM(R227:R229)</f>
      </c>
      <c r="S230" s="806">
        <f>SUM(S227:S229)</f>
      </c>
      <c r="T230" s="806">
        <f>SUM(T227:T229)</f>
      </c>
    </row>
    <row r="231">
      <c r="A231" s="785"/>
      <c r="B231" s="809" t="s">
        <v>926</v>
      </c>
      <c r="C231" s="809"/>
      <c r="D231" s="810">
        <f>D221+D226+D230</f>
      </c>
      <c r="E231" s="810">
        <f>E221+E226+E230</f>
      </c>
      <c r="F231" s="810">
        <f>F221+F226+F230</f>
      </c>
      <c r="G231" s="811">
        <f>G221+G226+G230</f>
      </c>
      <c r="H231" s="810">
        <f>H221+H226+H230</f>
      </c>
      <c r="I231" s="809">
        <f t="shared" si="194"/>
      </c>
      <c r="J231" s="809">
        <f t="shared" si="225"/>
      </c>
      <c r="K231" s="809">
        <f t="shared" si="132"/>
      </c>
      <c r="L231" s="812">
        <f t="shared" si="163"/>
      </c>
      <c r="M231" s="812">
        <f t="shared" si="11"/>
      </c>
      <c r="N231" s="845">
        <f t="shared" si="101"/>
      </c>
      <c r="O231" s="813"/>
      <c r="P231" s="813"/>
      <c r="Q231" s="846">
        <f>Q221+Q226+Q230</f>
      </c>
      <c r="R231" s="811">
        <f>R221+R226+R230</f>
      </c>
      <c r="S231" s="811">
        <f>S221+S226+S230</f>
      </c>
      <c r="T231" s="811">
        <f>T221+T226+T230</f>
      </c>
    </row>
    <row r="232">
      <c r="A232" s="775" t="s">
        <v>877</v>
      </c>
      <c r="B232" s="775"/>
      <c r="C232" s="775"/>
      <c r="D232" s="776" t="s">
        <v>878</v>
      </c>
      <c r="E232" s="776"/>
      <c r="F232" s="776"/>
      <c r="G232" s="776"/>
      <c r="H232" s="776"/>
      <c r="I232" s="776"/>
      <c r="J232" s="776"/>
      <c r="K232" s="776"/>
      <c r="L232" s="826" t="s">
        <v>879</v>
      </c>
      <c r="M232" s="826"/>
      <c r="N232" s="826"/>
      <c r="O232" s="826"/>
      <c r="P232" s="826"/>
      <c r="Q232" s="779" t="s">
        <v>880</v>
      </c>
      <c r="R232" s="779"/>
      <c r="S232" s="779"/>
      <c r="T232" s="779"/>
    </row>
    <row r="233">
      <c r="A233" s="827" t="s">
        <v>881</v>
      </c>
      <c r="B233" s="827" t="s">
        <v>882</v>
      </c>
      <c r="C233" s="827" t="s">
        <v>883</v>
      </c>
      <c r="D233" s="828" t="s">
        <v>884</v>
      </c>
      <c r="E233" s="828" t="s">
        <v>885</v>
      </c>
      <c r="F233" s="828" t="s">
        <v>886</v>
      </c>
      <c r="G233" s="829" t="s">
        <v>887</v>
      </c>
      <c r="H233" s="828" t="s">
        <v>888</v>
      </c>
      <c r="I233" s="830" t="s">
        <v>889</v>
      </c>
      <c r="J233" s="831" t="s">
        <v>890</v>
      </c>
      <c r="K233" s="828" t="s">
        <v>891</v>
      </c>
      <c r="L233" s="783" t="s">
        <v>892</v>
      </c>
      <c r="M233" s="783" t="s">
        <v>893</v>
      </c>
      <c r="N233" s="783" t="s">
        <v>894</v>
      </c>
      <c r="O233" s="778" t="s">
        <v>895</v>
      </c>
      <c r="P233" s="778" t="s">
        <v>896</v>
      </c>
      <c r="Q233" s="832" t="s">
        <v>897</v>
      </c>
      <c r="R233" s="832" t="s">
        <v>898</v>
      </c>
      <c r="S233" s="832" t="s">
        <v>899</v>
      </c>
      <c r="T233" s="832" t="s">
        <v>900</v>
      </c>
    </row>
    <row r="234">
      <c r="A234" s="785" t="s">
        <v>943</v>
      </c>
      <c r="B234" s="784" t="s">
        <v>902</v>
      </c>
      <c r="C234" s="788" t="s">
        <v>909</v>
      </c>
      <c r="D234" s="788">
        <f t="shared" ref="D234:D238" si="31">E234+F234</f>
      </c>
      <c r="E234" s="789">
        <v>902.51</v>
      </c>
      <c r="F234" s="789">
        <v>1256.66</v>
      </c>
      <c r="G234" s="790">
        <v>6</v>
      </c>
      <c r="H234" s="789">
        <v>1733.3</v>
      </c>
      <c r="I234" s="791">
        <f t="shared" ref="I234:I249" si="195">H234/D234</f>
      </c>
      <c r="J234" s="791">
        <f t="shared" ref="J234:J249" si="226">D234/G234</f>
      </c>
      <c r="K234" s="791">
        <f t="shared" ref="K234:K249" si="133">H234/G234</f>
      </c>
      <c r="L234" s="792">
        <f t="shared" ref="L234:L249" si="164">R234/Q234</f>
      </c>
      <c r="M234" s="793">
        <f t="shared" ref="M234:M249" si="12">G234/S234</f>
      </c>
      <c r="N234" s="794">
        <f t="shared" ref="N234:N249" si="102">(T234*1000)/D234</f>
      </c>
      <c r="O234" s="795" t="s">
        <v>904</v>
      </c>
      <c r="P234" s="833" t="s">
        <v>932</v>
      </c>
      <c r="Q234" s="784">
        <v>21304</v>
      </c>
      <c r="R234" s="784">
        <v>2338</v>
      </c>
      <c r="S234" s="797">
        <v>7</v>
      </c>
      <c r="T234" s="797">
        <v>57</v>
      </c>
    </row>
    <row r="235">
      <c r="A235" s="785"/>
      <c r="B235" s="784" t="s">
        <v>902</v>
      </c>
      <c r="C235" s="788" t="s">
        <v>912</v>
      </c>
      <c r="D235" s="788">
        <f t="shared" si="31"/>
      </c>
      <c r="E235" s="789">
        <v>1221.51</v>
      </c>
      <c r="F235" s="789">
        <v>2526.3</v>
      </c>
      <c r="G235" s="790">
        <v>10</v>
      </c>
      <c r="H235" s="789">
        <v>3533.8999999999996</v>
      </c>
      <c r="I235" s="791">
        <f t="shared" si="195"/>
      </c>
      <c r="J235" s="791">
        <f t="shared" si="226"/>
      </c>
      <c r="K235" s="791">
        <f t="shared" si="133"/>
      </c>
      <c r="L235" s="792">
        <f t="shared" si="164"/>
      </c>
      <c r="M235" s="793">
        <f t="shared" si="12"/>
      </c>
      <c r="N235" s="794">
        <f t="shared" si="102"/>
      </c>
      <c r="O235" s="795" t="s">
        <v>904</v>
      </c>
      <c r="P235" s="833" t="s">
        <v>932</v>
      </c>
      <c r="Q235" s="784">
        <v>42009</v>
      </c>
      <c r="R235" s="784">
        <v>4018</v>
      </c>
      <c r="S235" s="797">
        <v>15</v>
      </c>
      <c r="T235" s="797">
        <v>91</v>
      </c>
    </row>
    <row customHeight="true" ht="16.666666666666668" r="236">
      <c r="A236" s="785"/>
      <c r="B236" s="784" t="s">
        <v>902</v>
      </c>
      <c r="C236" s="788" t="s">
        <v>913</v>
      </c>
      <c r="D236" s="788">
        <f t="shared" si="31"/>
      </c>
      <c r="E236" s="789">
        <v>1359.32</v>
      </c>
      <c r="F236" s="789">
        <v>1593.28</v>
      </c>
      <c r="G236" s="807">
        <v>10</v>
      </c>
      <c r="H236" s="788">
        <v>5271.88</v>
      </c>
      <c r="I236" s="791">
        <f t="shared" si="195"/>
      </c>
      <c r="J236" s="791">
        <f t="shared" si="226"/>
      </c>
      <c r="K236" s="791">
        <f t="shared" si="133"/>
      </c>
      <c r="L236" s="792">
        <f t="shared" si="164"/>
      </c>
      <c r="M236" s="793">
        <f t="shared" si="12"/>
      </c>
      <c r="N236" s="794">
        <f t="shared" si="102"/>
      </c>
      <c r="O236" s="795" t="s">
        <v>904</v>
      </c>
      <c r="P236" s="833" t="s">
        <v>932</v>
      </c>
      <c r="Q236" s="784">
        <v>32656</v>
      </c>
      <c r="R236" s="784">
        <v>3702</v>
      </c>
      <c r="S236" s="797">
        <v>21</v>
      </c>
      <c r="T236" s="797">
        <v>51</v>
      </c>
    </row>
    <row r="237">
      <c r="A237" s="785"/>
      <c r="B237" s="784" t="s">
        <v>902</v>
      </c>
      <c r="C237" s="788" t="s">
        <v>914</v>
      </c>
      <c r="D237" s="788">
        <f t="shared" si="31"/>
      </c>
      <c r="E237" s="789">
        <v>1556.94</v>
      </c>
      <c r="F237" s="789">
        <v>1814.59</v>
      </c>
      <c r="G237" s="807">
        <v>7</v>
      </c>
      <c r="H237" s="788">
        <v>4666.08</v>
      </c>
      <c r="I237" s="791">
        <f t="shared" si="195"/>
      </c>
      <c r="J237" s="791">
        <f t="shared" si="226"/>
      </c>
      <c r="K237" s="791">
        <f t="shared" si="133"/>
      </c>
      <c r="L237" s="792">
        <f t="shared" si="164"/>
      </c>
      <c r="M237" s="793">
        <f t="shared" si="12"/>
      </c>
      <c r="N237" s="794">
        <f t="shared" si="102"/>
      </c>
      <c r="O237" s="795" t="s">
        <v>904</v>
      </c>
      <c r="P237" s="833" t="s">
        <v>932</v>
      </c>
      <c r="Q237" s="784">
        <v>31693</v>
      </c>
      <c r="R237" s="784">
        <v>4632</v>
      </c>
      <c r="S237" s="797">
        <v>16</v>
      </c>
      <c r="T237" s="797">
        <v>75</v>
      </c>
    </row>
    <row r="238">
      <c r="A238" s="785"/>
      <c r="B238" s="784" t="s">
        <v>902</v>
      </c>
      <c r="C238" s="788" t="s">
        <v>915</v>
      </c>
      <c r="D238" s="788">
        <f t="shared" si="31"/>
      </c>
      <c r="E238" s="789">
        <v>1472.59</v>
      </c>
      <c r="F238" s="789">
        <v>1513.98</v>
      </c>
      <c r="G238" s="790">
        <v>8</v>
      </c>
      <c r="H238" s="789">
        <f>3317.04+1564.08</f>
      </c>
      <c r="I238" s="791">
        <f t="shared" si="195"/>
      </c>
      <c r="J238" s="791">
        <f t="shared" si="226"/>
      </c>
      <c r="K238" s="791">
        <f t="shared" si="133"/>
      </c>
      <c r="L238" s="792">
        <f t="shared" si="164"/>
      </c>
      <c r="M238" s="793">
        <f t="shared" si="12"/>
      </c>
      <c r="N238" s="794">
        <f t="shared" si="102"/>
      </c>
      <c r="O238" s="795" t="s">
        <v>904</v>
      </c>
      <c r="P238" s="833" t="s">
        <v>932</v>
      </c>
      <c r="Q238" s="784">
        <v>30564</v>
      </c>
      <c r="R238" s="784">
        <v>3179</v>
      </c>
      <c r="S238" s="797">
        <v>7</v>
      </c>
      <c r="T238" s="797">
        <v>47</v>
      </c>
    </row>
    <row r="239">
      <c r="A239" s="785"/>
      <c r="B239" s="808" t="s">
        <v>910</v>
      </c>
      <c r="C239" s="808"/>
      <c r="D239" s="799">
        <f>SUM(D234:D238)</f>
      </c>
      <c r="E239" s="799">
        <f>SUM(E234:E238)</f>
      </c>
      <c r="F239" s="799">
        <f>SUM(F234:F238)</f>
      </c>
      <c r="G239" s="800">
        <f>SUM(G234:G238)</f>
      </c>
      <c r="H239" s="799">
        <f>SUM(H234:H238)</f>
      </c>
      <c r="I239" s="801">
        <f t="shared" si="195"/>
      </c>
      <c r="J239" s="802">
        <f t="shared" si="226"/>
      </c>
      <c r="K239" s="803">
        <f t="shared" si="133"/>
      </c>
      <c r="L239" s="804">
        <f t="shared" si="164"/>
      </c>
      <c r="M239" s="804">
        <f t="shared" si="12"/>
      </c>
      <c r="N239" s="805">
        <f t="shared" si="102"/>
      </c>
      <c r="O239" s="805"/>
      <c r="P239" s="805"/>
      <c r="Q239" s="806">
        <f>SUM(Q234:Q238)</f>
      </c>
      <c r="R239" s="806">
        <f>SUM(R234:R238)</f>
      </c>
      <c r="S239" s="806">
        <f>SUM(S234:S238)</f>
      </c>
      <c r="T239" s="806">
        <f>SUM(T234:T238)</f>
      </c>
    </row>
    <row r="240">
      <c r="A240" s="785"/>
      <c r="B240" s="797" t="s">
        <v>918</v>
      </c>
      <c r="C240" s="788" t="s">
        <v>917</v>
      </c>
      <c r="D240" s="788">
        <f t="shared" ref="D240:D243" si="32">E240+F240</f>
      </c>
      <c r="E240" s="789">
        <v>1148.34</v>
      </c>
      <c r="F240" s="789">
        <v>1876</v>
      </c>
      <c r="G240" s="807">
        <v>9</v>
      </c>
      <c r="H240" s="788">
        <v>1935.3600000000006</v>
      </c>
      <c r="I240" s="791">
        <f t="shared" si="195"/>
      </c>
      <c r="J240" s="791">
        <f t="shared" si="226"/>
      </c>
      <c r="K240" s="791">
        <f t="shared" si="133"/>
      </c>
      <c r="L240" s="792">
        <f t="shared" si="164"/>
      </c>
      <c r="M240" s="793">
        <f t="shared" si="12"/>
      </c>
      <c r="N240" s="794">
        <f t="shared" si="102"/>
      </c>
      <c r="O240" s="795" t="s">
        <v>904</v>
      </c>
      <c r="P240" s="833" t="s">
        <v>932</v>
      </c>
      <c r="Q240" s="784">
        <v>44091</v>
      </c>
      <c r="R240" s="784">
        <v>4223</v>
      </c>
      <c r="S240" s="797">
        <v>13</v>
      </c>
      <c r="T240" s="797">
        <v>59</v>
      </c>
    </row>
    <row r="241">
      <c r="A241" s="785"/>
      <c r="B241" s="797" t="s">
        <v>918</v>
      </c>
      <c r="C241" s="788" t="s">
        <v>919</v>
      </c>
      <c r="D241" s="788">
        <f t="shared" si="32"/>
      </c>
      <c r="E241" s="789">
        <v>631.93</v>
      </c>
      <c r="F241" s="789">
        <v>2627.31</v>
      </c>
      <c r="G241" s="807">
        <v>13</v>
      </c>
      <c r="H241" s="788">
        <v>9819.129999999997</v>
      </c>
      <c r="I241" s="791">
        <f t="shared" si="195"/>
      </c>
      <c r="J241" s="791">
        <f t="shared" si="226"/>
      </c>
      <c r="K241" s="791">
        <f t="shared" si="133"/>
      </c>
      <c r="L241" s="792">
        <f t="shared" si="164"/>
      </c>
      <c r="M241" s="793">
        <f t="shared" si="12"/>
      </c>
      <c r="N241" s="794">
        <f t="shared" si="102"/>
      </c>
      <c r="O241" s="795" t="s">
        <v>904</v>
      </c>
      <c r="P241" s="833" t="s">
        <v>932</v>
      </c>
      <c r="Q241" s="784">
        <v>50782</v>
      </c>
      <c r="R241" s="784">
        <v>3926</v>
      </c>
      <c r="S241" s="797">
        <v>18</v>
      </c>
      <c r="T241" s="797">
        <v>63</v>
      </c>
    </row>
    <row r="242">
      <c r="A242" s="785"/>
      <c r="B242" s="797" t="s">
        <v>918</v>
      </c>
      <c r="C242" s="788" t="s">
        <v>920</v>
      </c>
      <c r="D242" s="788">
        <f t="shared" si="32"/>
      </c>
      <c r="E242" s="789">
        <v>679.93</v>
      </c>
      <c r="F242" s="789">
        <v>2150.7</v>
      </c>
      <c r="G242" s="790">
        <v>11</v>
      </c>
      <c r="H242" s="789">
        <v>8525.030000000006</v>
      </c>
      <c r="I242" s="791">
        <f t="shared" si="195"/>
      </c>
      <c r="J242" s="791">
        <f t="shared" si="226"/>
      </c>
      <c r="K242" s="791">
        <f t="shared" si="133"/>
      </c>
      <c r="L242" s="792">
        <f t="shared" si="164"/>
      </c>
      <c r="M242" s="793">
        <f t="shared" si="12"/>
      </c>
      <c r="N242" s="794">
        <f t="shared" si="102"/>
      </c>
      <c r="O242" s="795" t="s">
        <v>904</v>
      </c>
      <c r="P242" s="833" t="s">
        <v>932</v>
      </c>
      <c r="Q242" s="784">
        <v>43382</v>
      </c>
      <c r="R242" s="784">
        <v>2586</v>
      </c>
      <c r="S242" s="797">
        <v>20</v>
      </c>
      <c r="T242" s="797">
        <v>50</v>
      </c>
    </row>
    <row r="243">
      <c r="A243" s="785"/>
      <c r="B243" s="797" t="s">
        <v>918</v>
      </c>
      <c r="C243" s="788" t="s">
        <v>921</v>
      </c>
      <c r="D243" s="788">
        <f t="shared" si="32"/>
      </c>
      <c r="E243" s="789">
        <v>452.85</v>
      </c>
      <c r="F243" s="789">
        <v>3252.76</v>
      </c>
      <c r="G243" s="790">
        <v>11</v>
      </c>
      <c r="H243" s="788">
        <v>7298.68</v>
      </c>
      <c r="I243" s="791">
        <f t="shared" si="195"/>
      </c>
      <c r="J243" s="791">
        <f t="shared" si="226"/>
      </c>
      <c r="K243" s="791">
        <f t="shared" si="133"/>
      </c>
      <c r="L243" s="792">
        <f t="shared" si="164"/>
      </c>
      <c r="M243" s="793">
        <f t="shared" si="12"/>
      </c>
      <c r="N243" s="794">
        <f t="shared" si="102"/>
      </c>
      <c r="O243" s="795" t="s">
        <v>904</v>
      </c>
      <c r="P243" s="833" t="s">
        <v>932</v>
      </c>
      <c r="Q243" s="832">
        <v>49256</v>
      </c>
      <c r="R243" s="832">
        <v>3175</v>
      </c>
      <c r="S243" s="836">
        <v>16</v>
      </c>
      <c r="T243" s="836">
        <v>54</v>
      </c>
    </row>
    <row r="244">
      <c r="A244" s="785"/>
      <c r="B244" s="808" t="s">
        <v>910</v>
      </c>
      <c r="C244" s="808"/>
      <c r="D244" s="799">
        <f>SUM(D240:D243)</f>
      </c>
      <c r="E244" s="799">
        <f>SUM(E240:E243)</f>
      </c>
      <c r="F244" s="799">
        <f>SUM(F240:F243)</f>
      </c>
      <c r="G244" s="800">
        <f>SUM(G240:G243)</f>
      </c>
      <c r="H244" s="799">
        <f>SUM(H240:H243)</f>
      </c>
      <c r="I244" s="801">
        <f t="shared" si="195"/>
      </c>
      <c r="J244" s="802">
        <f t="shared" si="226"/>
      </c>
      <c r="K244" s="803">
        <f t="shared" si="133"/>
      </c>
      <c r="L244" s="804">
        <f t="shared" si="164"/>
      </c>
      <c r="M244" s="804">
        <f t="shared" si="12"/>
      </c>
      <c r="N244" s="805">
        <f t="shared" si="102"/>
      </c>
      <c r="O244" s="805"/>
      <c r="P244" s="805"/>
      <c r="Q244" s="806">
        <f>SUM(Q240:Q243)</f>
      </c>
      <c r="R244" s="806">
        <f>SUM(R240:R243)</f>
      </c>
      <c r="S244" s="806">
        <f>SUM(S240:S243)</f>
      </c>
      <c r="T244" s="806">
        <f>SUM(T240:T243)</f>
      </c>
    </row>
    <row r="245">
      <c r="A245" s="785"/>
      <c r="B245" s="835" t="s">
        <v>922</v>
      </c>
      <c r="C245" s="788" t="s">
        <v>923</v>
      </c>
      <c r="D245" s="788">
        <f t="shared" ref="D245:D247" si="33">E245+F245</f>
      </c>
      <c r="E245" s="789">
        <v>111.89</v>
      </c>
      <c r="F245" s="789">
        <v>4648.29</v>
      </c>
      <c r="G245" s="807">
        <v>22</v>
      </c>
      <c r="H245" s="788">
        <v>11896.580000000002</v>
      </c>
      <c r="I245" s="791">
        <f t="shared" si="195"/>
      </c>
      <c r="J245" s="791">
        <f t="shared" si="226"/>
      </c>
      <c r="K245" s="791">
        <f t="shared" si="133"/>
      </c>
      <c r="L245" s="792">
        <f t="shared" si="164"/>
      </c>
      <c r="M245" s="793">
        <f t="shared" si="12"/>
      </c>
      <c r="N245" s="794">
        <f t="shared" si="102"/>
      </c>
      <c r="O245" s="795" t="s">
        <v>904</v>
      </c>
      <c r="P245" s="833" t="s">
        <v>932</v>
      </c>
      <c r="Q245" s="837">
        <v>65139</v>
      </c>
      <c r="R245" s="837">
        <v>5737</v>
      </c>
      <c r="S245" s="838">
        <v>24</v>
      </c>
      <c r="T245" s="838">
        <v>87</v>
      </c>
    </row>
    <row r="246">
      <c r="A246" s="785"/>
      <c r="B246" s="835" t="s">
        <v>922</v>
      </c>
      <c r="C246" s="788" t="s">
        <v>924</v>
      </c>
      <c r="D246" s="788">
        <f t="shared" si="33"/>
      </c>
      <c r="E246" s="789">
        <v>81.47</v>
      </c>
      <c r="F246" s="789">
        <v>11514.37</v>
      </c>
      <c r="G246" s="807">
        <v>30</v>
      </c>
      <c r="H246" s="788">
        <v>13203.439999999995</v>
      </c>
      <c r="I246" s="791">
        <f t="shared" si="195"/>
      </c>
      <c r="J246" s="791">
        <f t="shared" si="226"/>
      </c>
      <c r="K246" s="791">
        <f t="shared" si="133"/>
      </c>
      <c r="L246" s="792">
        <f t="shared" si="164"/>
      </c>
      <c r="M246" s="793">
        <f t="shared" si="12"/>
      </c>
      <c r="N246" s="794">
        <f t="shared" si="102"/>
      </c>
      <c r="O246" s="795" t="s">
        <v>904</v>
      </c>
      <c r="P246" s="833" t="s">
        <v>932</v>
      </c>
      <c r="Q246" s="837">
        <v>154210</v>
      </c>
      <c r="R246" s="837">
        <v>13610</v>
      </c>
      <c r="S246" s="838">
        <v>46</v>
      </c>
      <c r="T246" s="838">
        <v>186</v>
      </c>
    </row>
    <row customHeight="true" ht="18.452380952380953" r="247">
      <c r="A247" s="785"/>
      <c r="B247" s="835" t="s">
        <v>922</v>
      </c>
      <c r="C247" s="789" t="s">
        <v>925</v>
      </c>
      <c r="D247" s="788">
        <f t="shared" si="33"/>
      </c>
      <c r="E247" s="789">
        <v>75.32</v>
      </c>
      <c r="F247" s="789">
        <v>3902.1</v>
      </c>
      <c r="G247" s="807">
        <v>19</v>
      </c>
      <c r="H247" s="788">
        <v>10340.819999999992</v>
      </c>
      <c r="I247" s="791">
        <f t="shared" si="195"/>
      </c>
      <c r="J247" s="791">
        <f t="shared" si="226"/>
      </c>
      <c r="K247" s="791">
        <f t="shared" si="133"/>
      </c>
      <c r="L247" s="847">
        <f t="shared" si="164"/>
      </c>
      <c r="M247" s="848">
        <f t="shared" si="12"/>
      </c>
      <c r="N247" s="849">
        <f t="shared" si="102"/>
      </c>
      <c r="O247" s="850" t="s">
        <v>904</v>
      </c>
      <c r="P247" s="851" t="s">
        <v>932</v>
      </c>
      <c r="Q247" s="852">
        <v>60743</v>
      </c>
      <c r="R247" s="852">
        <v>4523</v>
      </c>
      <c r="S247" s="853">
        <v>21</v>
      </c>
      <c r="T247" s="853">
        <v>68</v>
      </c>
    </row>
    <row r="248">
      <c r="A248" s="785"/>
      <c r="B248" s="808" t="s">
        <v>910</v>
      </c>
      <c r="C248" s="808"/>
      <c r="D248" s="799">
        <f>SUM(D245:D247)</f>
      </c>
      <c r="E248" s="799">
        <f>SUM(E245:E247)</f>
      </c>
      <c r="F248" s="799">
        <f>SUM(F245:F247)</f>
      </c>
      <c r="G248" s="800">
        <f>SUM(G245:G247)</f>
      </c>
      <c r="H248" s="799">
        <f>SUM(H245:H247)</f>
      </c>
      <c r="I248" s="801">
        <f t="shared" si="195"/>
      </c>
      <c r="J248" s="802">
        <f t="shared" si="226"/>
      </c>
      <c r="K248" s="854">
        <f t="shared" si="133"/>
      </c>
      <c r="L248" s="804">
        <f t="shared" si="164"/>
      </c>
      <c r="M248" s="804">
        <f t="shared" si="12"/>
      </c>
      <c r="N248" s="805">
        <f t="shared" si="102"/>
      </c>
      <c r="O248" s="805"/>
      <c r="P248" s="805"/>
      <c r="Q248" s="806">
        <f>SUM(Q245:Q247)</f>
      </c>
      <c r="R248" s="806">
        <f>SUM(R245:R247)</f>
      </c>
      <c r="S248" s="806">
        <f>SUM(S245:S247)</f>
      </c>
      <c r="T248" s="806">
        <f>SUM(T245:T247)</f>
      </c>
    </row>
    <row r="249">
      <c r="A249" s="785"/>
      <c r="B249" s="809" t="s">
        <v>926</v>
      </c>
      <c r="C249" s="809"/>
      <c r="D249" s="810">
        <f>D239+D244+D248</f>
      </c>
      <c r="E249" s="810">
        <f>E239+E244+E248</f>
      </c>
      <c r="F249" s="810">
        <f>F239+F244+F248</f>
      </c>
      <c r="G249" s="811">
        <f>G239+G244+G248</f>
      </c>
      <c r="H249" s="810">
        <f>H239+H244+H248</f>
      </c>
      <c r="I249" s="809">
        <f t="shared" si="195"/>
      </c>
      <c r="J249" s="809">
        <f t="shared" si="226"/>
      </c>
      <c r="K249" s="845">
        <f t="shared" si="133"/>
      </c>
      <c r="L249" s="812">
        <f t="shared" si="164"/>
      </c>
      <c r="M249" s="812">
        <f t="shared" si="12"/>
      </c>
      <c r="N249" s="809">
        <f t="shared" si="102"/>
      </c>
      <c r="O249" s="813"/>
      <c r="P249" s="813"/>
      <c r="Q249" s="811">
        <f>Q239+Q244+Q248</f>
      </c>
      <c r="R249" s="811">
        <f>R239+R244+R248</f>
      </c>
      <c r="S249" s="811">
        <f>S239+S244+S248</f>
      </c>
      <c r="T249" s="811">
        <f>T239+T244+T248</f>
      </c>
    </row>
    <row r="250">
      <c r="A250" s="775" t="s">
        <v>877</v>
      </c>
      <c r="B250" s="775"/>
      <c r="C250" s="775"/>
      <c r="D250" s="776" t="s">
        <v>878</v>
      </c>
      <c r="E250" s="776"/>
      <c r="F250" s="776"/>
      <c r="G250" s="776"/>
      <c r="H250" s="776"/>
      <c r="I250" s="776"/>
      <c r="J250" s="776"/>
      <c r="K250" s="855"/>
      <c r="L250" s="778" t="s">
        <v>879</v>
      </c>
      <c r="M250" s="778"/>
      <c r="N250" s="778"/>
      <c r="O250" s="778"/>
      <c r="P250" s="778"/>
      <c r="Q250" s="779" t="s">
        <v>880</v>
      </c>
      <c r="R250" s="779"/>
      <c r="S250" s="779"/>
      <c r="T250" s="779"/>
    </row>
    <row r="251">
      <c r="A251" s="827" t="s">
        <v>881</v>
      </c>
      <c r="B251" s="827" t="s">
        <v>882</v>
      </c>
      <c r="C251" s="827" t="s">
        <v>883</v>
      </c>
      <c r="D251" s="828" t="s">
        <v>884</v>
      </c>
      <c r="E251" s="828" t="s">
        <v>885</v>
      </c>
      <c r="F251" s="828" t="s">
        <v>886</v>
      </c>
      <c r="G251" s="829" t="s">
        <v>887</v>
      </c>
      <c r="H251" s="828" t="s">
        <v>888</v>
      </c>
      <c r="I251" s="830" t="s">
        <v>889</v>
      </c>
      <c r="J251" s="831" t="s">
        <v>890</v>
      </c>
      <c r="K251" s="856" t="s">
        <v>891</v>
      </c>
      <c r="L251" s="783" t="s">
        <v>892</v>
      </c>
      <c r="M251" s="783" t="s">
        <v>893</v>
      </c>
      <c r="N251" s="783" t="s">
        <v>894</v>
      </c>
      <c r="O251" s="778" t="s">
        <v>895</v>
      </c>
      <c r="P251" s="778" t="s">
        <v>896</v>
      </c>
      <c r="Q251" s="832" t="s">
        <v>897</v>
      </c>
      <c r="R251" s="832" t="s">
        <v>898</v>
      </c>
      <c r="S251" s="832" t="s">
        <v>899</v>
      </c>
      <c r="T251" s="832" t="s">
        <v>900</v>
      </c>
    </row>
    <row r="252">
      <c r="A252" s="785" t="s">
        <v>944</v>
      </c>
      <c r="B252" s="784" t="s">
        <v>902</v>
      </c>
      <c r="C252" s="788" t="s">
        <v>909</v>
      </c>
      <c r="D252" s="788">
        <f t="shared" ref="D252:D255" si="34">E252+F252</f>
      </c>
      <c r="E252" s="789">
        <v>1313.05</v>
      </c>
      <c r="F252" s="789">
        <v>5974.96</v>
      </c>
      <c r="G252" s="790">
        <v>17</v>
      </c>
      <c r="H252" s="789">
        <v>7294</v>
      </c>
      <c r="I252" s="791">
        <f t="shared" ref="I252:I267" si="196">H252/D252</f>
      </c>
      <c r="J252" s="791">
        <f t="shared" ref="J252:J267" si="227">D252/G252</f>
      </c>
      <c r="K252" s="857">
        <f t="shared" ref="K252:K267" si="134">H252/G252</f>
      </c>
      <c r="L252" s="792">
        <f t="shared" ref="L252:L267" si="165">R252/Q252</f>
      </c>
      <c r="M252" s="793">
        <f t="shared" ref="M252:M267" si="13">G252/S252</f>
      </c>
      <c r="N252" s="794">
        <f t="shared" ref="N252:N267" si="103">(T252*1000)/D252</f>
      </c>
      <c r="O252" s="795" t="s">
        <v>904</v>
      </c>
      <c r="P252" s="833" t="s">
        <v>932</v>
      </c>
      <c r="Q252" s="784">
        <v>84122</v>
      </c>
      <c r="R252" s="784">
        <v>8404</v>
      </c>
      <c r="S252" s="797">
        <v>25</v>
      </c>
      <c r="T252" s="797">
        <v>172</v>
      </c>
    </row>
    <row r="253">
      <c r="A253" s="785"/>
      <c r="B253" s="784" t="s">
        <v>902</v>
      </c>
      <c r="C253" s="788" t="s">
        <v>912</v>
      </c>
      <c r="D253" s="788">
        <f t="shared" si="34"/>
      </c>
      <c r="E253" s="789">
        <v>1481.99</v>
      </c>
      <c r="F253" s="789">
        <v>2938.33</v>
      </c>
      <c r="G253" s="790">
        <v>11</v>
      </c>
      <c r="H253" s="789">
        <v>3733.9400000000005</v>
      </c>
      <c r="I253" s="791">
        <f t="shared" si="196"/>
      </c>
      <c r="J253" s="791">
        <f t="shared" si="227"/>
      </c>
      <c r="K253" s="857">
        <f t="shared" si="134"/>
      </c>
      <c r="L253" s="792">
        <f t="shared" si="165"/>
      </c>
      <c r="M253" s="793">
        <f t="shared" si="13"/>
      </c>
      <c r="N253" s="794">
        <f t="shared" si="103"/>
      </c>
      <c r="O253" s="795" t="s">
        <v>904</v>
      </c>
      <c r="P253" s="833" t="s">
        <v>932</v>
      </c>
      <c r="Q253" s="784">
        <v>44404</v>
      </c>
      <c r="R253" s="784">
        <v>5647</v>
      </c>
      <c r="S253" s="797">
        <v>16</v>
      </c>
      <c r="T253" s="797">
        <v>84</v>
      </c>
    </row>
    <row r="254">
      <c r="A254" s="785"/>
      <c r="B254" s="784" t="s">
        <v>902</v>
      </c>
      <c r="C254" s="788" t="s">
        <v>913</v>
      </c>
      <c r="D254" s="788">
        <f t="shared" si="34"/>
      </c>
      <c r="E254" s="789">
        <v>1497.13</v>
      </c>
      <c r="F254" s="789">
        <v>1615.3</v>
      </c>
      <c r="G254" s="807">
        <v>11</v>
      </c>
      <c r="H254" s="788">
        <v>5160.199999999999</v>
      </c>
      <c r="I254" s="791">
        <f t="shared" si="196"/>
      </c>
      <c r="J254" s="791">
        <f t="shared" si="227"/>
      </c>
      <c r="K254" s="857">
        <f t="shared" si="134"/>
      </c>
      <c r="L254" s="792">
        <f t="shared" si="165"/>
      </c>
      <c r="M254" s="793">
        <f t="shared" si="13"/>
      </c>
      <c r="N254" s="794">
        <f t="shared" si="103"/>
      </c>
      <c r="O254" s="795" t="s">
        <v>904</v>
      </c>
      <c r="P254" s="833" t="s">
        <v>932</v>
      </c>
      <c r="Q254" s="784">
        <v>26933</v>
      </c>
      <c r="R254" s="784">
        <v>4021</v>
      </c>
      <c r="S254" s="797">
        <v>24</v>
      </c>
      <c r="T254" s="797">
        <v>53</v>
      </c>
    </row>
    <row r="255">
      <c r="A255" s="785"/>
      <c r="B255" s="784" t="s">
        <v>902</v>
      </c>
      <c r="C255" s="788" t="s">
        <v>914</v>
      </c>
      <c r="D255" s="788">
        <f t="shared" si="34"/>
      </c>
      <c r="E255" s="789">
        <v>1894.64</v>
      </c>
      <c r="F255" s="789">
        <v>3165.24</v>
      </c>
      <c r="G255" s="790">
        <v>14</v>
      </c>
      <c r="H255" s="789">
        <f>5460.76-215.04</f>
      </c>
      <c r="I255" s="791">
        <f t="shared" si="196"/>
      </c>
      <c r="J255" s="791">
        <f t="shared" si="227"/>
      </c>
      <c r="K255" s="857">
        <f t="shared" si="134"/>
      </c>
      <c r="L255" s="792">
        <f t="shared" si="165"/>
      </c>
      <c r="M255" s="793">
        <f t="shared" si="13"/>
      </c>
      <c r="N255" s="794">
        <f t="shared" si="103"/>
      </c>
      <c r="O255" s="795" t="s">
        <v>904</v>
      </c>
      <c r="P255" s="833" t="s">
        <v>932</v>
      </c>
      <c r="Q255" s="784">
        <v>43274</v>
      </c>
      <c r="R255" s="784">
        <v>6089</v>
      </c>
      <c r="S255" s="797">
        <v>22</v>
      </c>
      <c r="T255" s="797">
        <v>108</v>
      </c>
    </row>
    <row r="256">
      <c r="A256" s="785"/>
      <c r="B256" s="808" t="s">
        <v>910</v>
      </c>
      <c r="C256" s="808"/>
      <c r="D256" s="799">
        <f>SUM(D252:D255)</f>
      </c>
      <c r="E256" s="799">
        <f>SUM(E252:E255)</f>
      </c>
      <c r="F256" s="799">
        <f>SUM(F252:F255)</f>
      </c>
      <c r="G256" s="800">
        <f>SUM(G252:G255)</f>
      </c>
      <c r="H256" s="799">
        <f>SUM(H252:H255)</f>
      </c>
      <c r="I256" s="801">
        <f t="shared" si="196"/>
      </c>
      <c r="J256" s="802">
        <f t="shared" si="227"/>
      </c>
      <c r="K256" s="854">
        <f t="shared" si="134"/>
      </c>
      <c r="L256" s="804">
        <f t="shared" si="165"/>
      </c>
      <c r="M256" s="804">
        <f t="shared" si="13"/>
      </c>
      <c r="N256" s="805">
        <f t="shared" si="103"/>
      </c>
      <c r="O256" s="805"/>
      <c r="P256" s="805"/>
      <c r="Q256" s="806">
        <f>SUM(Q252:Q255)</f>
      </c>
      <c r="R256" s="806">
        <f>SUM(R252:R255)</f>
      </c>
      <c r="S256" s="806">
        <f>SUM(S252:S255)</f>
      </c>
      <c r="T256" s="806">
        <f>SUM(T252:T255)</f>
      </c>
    </row>
    <row r="257">
      <c r="A257" s="785"/>
      <c r="B257" s="835" t="s">
        <v>922</v>
      </c>
      <c r="C257" s="788" t="s">
        <v>915</v>
      </c>
      <c r="D257" s="788">
        <f t="shared" ref="D257:D260" si="35">E257+F257</f>
      </c>
      <c r="E257" s="789">
        <v>1979.46</v>
      </c>
      <c r="F257" s="789">
        <v>2427.86</v>
      </c>
      <c r="G257" s="807">
        <v>11</v>
      </c>
      <c r="H257" s="788">
        <v>4134.98</v>
      </c>
      <c r="I257" s="791">
        <f t="shared" si="196"/>
      </c>
      <c r="J257" s="791">
        <f t="shared" si="227"/>
      </c>
      <c r="K257" s="857">
        <f t="shared" si="134"/>
      </c>
      <c r="L257" s="792">
        <f t="shared" si="165"/>
      </c>
      <c r="M257" s="793">
        <f t="shared" si="13"/>
      </c>
      <c r="N257" s="794">
        <f t="shared" si="103"/>
      </c>
      <c r="O257" s="795" t="s">
        <v>904</v>
      </c>
      <c r="P257" s="833" t="s">
        <v>932</v>
      </c>
      <c r="Q257" s="784">
        <v>36186</v>
      </c>
      <c r="R257" s="784">
        <v>3928</v>
      </c>
      <c r="S257" s="797">
        <v>19</v>
      </c>
      <c r="T257" s="797">
        <v>73</v>
      </c>
    </row>
    <row r="258">
      <c r="A258" s="785"/>
      <c r="B258" s="835" t="s">
        <v>922</v>
      </c>
      <c r="C258" s="788" t="s">
        <v>917</v>
      </c>
      <c r="D258" s="788">
        <f t="shared" si="35"/>
      </c>
      <c r="E258" s="789">
        <v>3292.22</v>
      </c>
      <c r="F258" s="789">
        <v>2825.14</v>
      </c>
      <c r="G258" s="807">
        <v>17</v>
      </c>
      <c r="H258" s="788">
        <v>8184.98</v>
      </c>
      <c r="I258" s="791">
        <f t="shared" si="196"/>
      </c>
      <c r="J258" s="791">
        <f t="shared" si="227"/>
      </c>
      <c r="K258" s="857">
        <f t="shared" si="134"/>
      </c>
      <c r="L258" s="792">
        <f t="shared" si="165"/>
      </c>
      <c r="M258" s="793">
        <f t="shared" si="13"/>
      </c>
      <c r="N258" s="794">
        <f t="shared" si="103"/>
      </c>
      <c r="O258" s="795" t="s">
        <v>904</v>
      </c>
      <c r="P258" s="833" t="s">
        <v>932</v>
      </c>
      <c r="Q258" s="784">
        <v>74672</v>
      </c>
      <c r="R258" s="784">
        <v>8147</v>
      </c>
      <c r="S258" s="797">
        <v>19</v>
      </c>
      <c r="T258" s="797">
        <v>105</v>
      </c>
    </row>
    <row r="259">
      <c r="A259" s="785"/>
      <c r="B259" s="835" t="s">
        <v>922</v>
      </c>
      <c r="C259" s="788" t="s">
        <v>919</v>
      </c>
      <c r="D259" s="788">
        <f t="shared" si="35"/>
      </c>
      <c r="E259" s="789">
        <v>3695.44</v>
      </c>
      <c r="F259" s="789">
        <v>2031.84</v>
      </c>
      <c r="G259" s="790">
        <v>23</v>
      </c>
      <c r="H259" s="789">
        <v>13704.36</v>
      </c>
      <c r="I259" s="791">
        <f t="shared" si="196"/>
      </c>
      <c r="J259" s="791">
        <f t="shared" si="227"/>
      </c>
      <c r="K259" s="857">
        <f t="shared" si="134"/>
      </c>
      <c r="L259" s="792">
        <f t="shared" si="165"/>
      </c>
      <c r="M259" s="793">
        <f t="shared" si="13"/>
      </c>
      <c r="N259" s="794">
        <f t="shared" si="103"/>
      </c>
      <c r="O259" s="795" t="s">
        <v>904</v>
      </c>
      <c r="P259" s="833" t="s">
        <v>932</v>
      </c>
      <c r="Q259" s="784">
        <v>80107</v>
      </c>
      <c r="R259" s="784">
        <v>9130</v>
      </c>
      <c r="S259" s="797">
        <v>33</v>
      </c>
      <c r="T259" s="797">
        <v>148</v>
      </c>
    </row>
    <row r="260">
      <c r="A260" s="785"/>
      <c r="B260" s="835" t="s">
        <v>922</v>
      </c>
      <c r="C260" s="788" t="s">
        <v>920</v>
      </c>
      <c r="D260" s="788">
        <f t="shared" si="35"/>
      </c>
      <c r="E260" s="789">
        <v>4290.66</v>
      </c>
      <c r="F260" s="789">
        <v>2670.52</v>
      </c>
      <c r="G260" s="790">
        <v>14</v>
      </c>
      <c r="H260" s="789">
        <f>4626.74+215.04</f>
      </c>
      <c r="I260" s="791">
        <f t="shared" si="196"/>
      </c>
      <c r="J260" s="791">
        <f t="shared" si="227"/>
      </c>
      <c r="K260" s="857">
        <f t="shared" si="134"/>
      </c>
      <c r="L260" s="792">
        <f t="shared" si="165"/>
      </c>
      <c r="M260" s="793">
        <f t="shared" si="13"/>
      </c>
      <c r="N260" s="794">
        <f t="shared" si="103"/>
      </c>
      <c r="O260" s="795" t="s">
        <v>904</v>
      </c>
      <c r="P260" s="833" t="s">
        <v>932</v>
      </c>
      <c r="Q260" s="832">
        <v>86102</v>
      </c>
      <c r="R260" s="832">
        <v>10365</v>
      </c>
      <c r="S260" s="836">
        <v>18</v>
      </c>
      <c r="T260" s="836">
        <v>97</v>
      </c>
    </row>
    <row r="261">
      <c r="A261" s="785"/>
      <c r="B261" s="808" t="s">
        <v>910</v>
      </c>
      <c r="C261" s="808"/>
      <c r="D261" s="799">
        <f>SUM(D257:D260)</f>
      </c>
      <c r="E261" s="799">
        <f>SUM(E257:E260)</f>
      </c>
      <c r="F261" s="799">
        <f>SUM(F257:F260)</f>
      </c>
      <c r="G261" s="800">
        <f>SUM(G257:G260)</f>
      </c>
      <c r="H261" s="799">
        <f>SUM(H257:H260)</f>
      </c>
      <c r="I261" s="801">
        <f t="shared" si="196"/>
      </c>
      <c r="J261" s="802">
        <f t="shared" si="227"/>
      </c>
      <c r="K261" s="854">
        <f t="shared" si="134"/>
      </c>
      <c r="L261" s="804">
        <f t="shared" si="165"/>
      </c>
      <c r="M261" s="804">
        <f t="shared" si="13"/>
      </c>
      <c r="N261" s="805">
        <f t="shared" si="103"/>
      </c>
      <c r="O261" s="805"/>
      <c r="P261" s="805"/>
      <c r="Q261" s="806">
        <f>SUM(Q257:Q260)</f>
      </c>
      <c r="R261" s="806">
        <f>SUM(R257:R260)</f>
      </c>
      <c r="S261" s="806">
        <f>SUM(S257:S260)</f>
      </c>
      <c r="T261" s="806">
        <f>SUM(T257:T260)</f>
      </c>
    </row>
    <row r="262">
      <c r="A262" s="785"/>
      <c r="B262" s="797" t="s">
        <v>918</v>
      </c>
      <c r="C262" s="788" t="s">
        <v>921</v>
      </c>
      <c r="D262" s="788">
        <f t="shared" ref="D262:D265" si="36">E262+F262</f>
      </c>
      <c r="E262" s="789">
        <v>2707.68</v>
      </c>
      <c r="F262" s="789">
        <v>2636.54</v>
      </c>
      <c r="G262" s="807">
        <v>22</v>
      </c>
      <c r="H262" s="788">
        <v>17970.379999999997</v>
      </c>
      <c r="I262" s="791">
        <f t="shared" si="196"/>
      </c>
      <c r="J262" s="791">
        <f t="shared" si="227"/>
      </c>
      <c r="K262" s="857">
        <f t="shared" si="134"/>
      </c>
      <c r="L262" s="792">
        <f t="shared" si="165"/>
      </c>
      <c r="M262" s="793">
        <f t="shared" si="13"/>
      </c>
      <c r="N262" s="794">
        <f t="shared" si="103"/>
      </c>
      <c r="O262" s="795" t="s">
        <v>904</v>
      </c>
      <c r="P262" s="833" t="s">
        <v>932</v>
      </c>
      <c r="Q262" s="837">
        <v>53565</v>
      </c>
      <c r="R262" s="837">
        <v>7590</v>
      </c>
      <c r="S262" s="838">
        <v>23</v>
      </c>
      <c r="T262" s="838">
        <v>99</v>
      </c>
    </row>
    <row customHeight="true" ht="16.666666666666668" r="263">
      <c r="A263" s="785"/>
      <c r="B263" s="797" t="s">
        <v>918</v>
      </c>
      <c r="C263" s="788" t="s">
        <v>923</v>
      </c>
      <c r="D263" s="788">
        <f t="shared" si="36"/>
      </c>
      <c r="E263" s="789">
        <v>3755.18</v>
      </c>
      <c r="F263" s="789">
        <v>2260.7</v>
      </c>
      <c r="G263" s="807">
        <v>13</v>
      </c>
      <c r="H263" s="788">
        <v>6433.8399999999965</v>
      </c>
      <c r="I263" s="791">
        <f t="shared" si="196"/>
      </c>
      <c r="J263" s="791">
        <f t="shared" si="227"/>
      </c>
      <c r="K263" s="857">
        <f t="shared" si="134"/>
      </c>
      <c r="L263" s="792">
        <f t="shared" si="165"/>
      </c>
      <c r="M263" s="793">
        <f t="shared" si="13"/>
      </c>
      <c r="N263" s="794">
        <f t="shared" si="103"/>
      </c>
      <c r="O263" s="795" t="s">
        <v>904</v>
      </c>
      <c r="P263" s="833" t="s">
        <v>932</v>
      </c>
      <c r="Q263" s="837">
        <v>59188</v>
      </c>
      <c r="R263" s="837">
        <v>9016</v>
      </c>
      <c r="S263" s="838">
        <v>22</v>
      </c>
      <c r="T263" s="838">
        <v>98</v>
      </c>
    </row>
    <row r="264">
      <c r="A264" s="785"/>
      <c r="B264" s="797" t="s">
        <v>918</v>
      </c>
      <c r="C264" s="788" t="s">
        <v>924</v>
      </c>
      <c r="D264" s="788">
        <f t="shared" si="36"/>
      </c>
      <c r="E264" s="789">
        <v>6164.94</v>
      </c>
      <c r="F264" s="789">
        <v>1434.55</v>
      </c>
      <c r="G264" s="807">
        <v>20</v>
      </c>
      <c r="H264" s="788">
        <v>12270.5</v>
      </c>
      <c r="I264" s="791">
        <f t="shared" si="196"/>
      </c>
      <c r="J264" s="791">
        <f t="shared" si="227"/>
      </c>
      <c r="K264" s="857">
        <f t="shared" si="134"/>
      </c>
      <c r="L264" s="792">
        <f t="shared" si="165"/>
      </c>
      <c r="M264" s="793">
        <f t="shared" si="13"/>
      </c>
      <c r="N264" s="794">
        <f t="shared" si="103"/>
      </c>
      <c r="O264" s="795" t="s">
        <v>904</v>
      </c>
      <c r="P264" s="833" t="s">
        <v>932</v>
      </c>
      <c r="Q264" s="837">
        <v>96271</v>
      </c>
      <c r="R264" s="837">
        <v>11667</v>
      </c>
      <c r="S264" s="838">
        <v>20</v>
      </c>
      <c r="T264" s="838">
        <v>154</v>
      </c>
    </row>
    <row r="265">
      <c r="A265" s="785"/>
      <c r="B265" s="858" t="s">
        <v>918</v>
      </c>
      <c r="C265" s="789" t="s">
        <v>925</v>
      </c>
      <c r="D265" s="788">
        <f t="shared" si="36"/>
      </c>
      <c r="E265" s="789">
        <v>3577.44</v>
      </c>
      <c r="F265" s="789">
        <v>7.27</v>
      </c>
      <c r="G265" s="807">
        <v>6</v>
      </c>
      <c r="H265" s="788">
        <v>3633.840000000011</v>
      </c>
      <c r="I265" s="791">
        <f t="shared" si="196"/>
      </c>
      <c r="J265" s="791">
        <f t="shared" si="227"/>
      </c>
      <c r="K265" s="857">
        <f t="shared" si="134"/>
      </c>
      <c r="L265" s="792">
        <f t="shared" si="165"/>
      </c>
      <c r="M265" s="793">
        <f t="shared" si="13"/>
      </c>
      <c r="N265" s="794">
        <f t="shared" si="103"/>
      </c>
      <c r="O265" s="795" t="s">
        <v>904</v>
      </c>
      <c r="P265" s="833" t="s">
        <v>932</v>
      </c>
      <c r="Q265" s="837">
        <v>54591</v>
      </c>
      <c r="R265" s="837">
        <v>6079</v>
      </c>
      <c r="S265" s="838">
        <v>8</v>
      </c>
      <c r="T265" s="838">
        <v>56</v>
      </c>
    </row>
    <row r="266">
      <c r="A266" s="785"/>
      <c r="B266" s="808" t="s">
        <v>910</v>
      </c>
      <c r="C266" s="808"/>
      <c r="D266" s="799">
        <f>SUM(D262:D265)</f>
      </c>
      <c r="E266" s="799">
        <f>SUM(E262:E265)</f>
      </c>
      <c r="F266" s="799">
        <f>SUM(F262:F265)</f>
      </c>
      <c r="G266" s="800">
        <f>SUM(G262:G265)</f>
      </c>
      <c r="H266" s="799">
        <f>SUM(H262:H265)</f>
      </c>
      <c r="I266" s="801">
        <f t="shared" si="196"/>
      </c>
      <c r="J266" s="802">
        <f t="shared" si="227"/>
      </c>
      <c r="K266" s="854">
        <f t="shared" si="134"/>
      </c>
      <c r="L266" s="804">
        <f t="shared" si="165"/>
      </c>
      <c r="M266" s="804">
        <f t="shared" si="13"/>
      </c>
      <c r="N266" s="805">
        <f t="shared" si="103"/>
      </c>
      <c r="O266" s="805"/>
      <c r="P266" s="805"/>
      <c r="Q266" s="806">
        <f>SUM(Q262:Q265)</f>
      </c>
      <c r="R266" s="806">
        <f>SUM(R262:R265)</f>
      </c>
      <c r="S266" s="806">
        <f>SUM(S262:S265)</f>
      </c>
      <c r="T266" s="806">
        <f>SUM(T262:T265)</f>
      </c>
    </row>
    <row r="267">
      <c r="A267" s="785"/>
      <c r="B267" s="809" t="s">
        <v>926</v>
      </c>
      <c r="C267" s="809"/>
      <c r="D267" s="810">
        <f>D256+D261+D266</f>
      </c>
      <c r="E267" s="810">
        <f>E256+E261+E266</f>
      </c>
      <c r="F267" s="810">
        <f>F256+F261+F266</f>
      </c>
      <c r="G267" s="811">
        <f>G256+G261+G266</f>
      </c>
      <c r="H267" s="810">
        <f>H256+H261+H266</f>
      </c>
      <c r="I267" s="809">
        <f t="shared" si="196"/>
      </c>
      <c r="J267" s="809">
        <f t="shared" si="227"/>
      </c>
      <c r="K267" s="845">
        <f t="shared" si="134"/>
      </c>
      <c r="L267" s="812">
        <f t="shared" si="165"/>
      </c>
      <c r="M267" s="812">
        <f t="shared" si="13"/>
      </c>
      <c r="N267" s="809">
        <f t="shared" si="103"/>
      </c>
      <c r="O267" s="813"/>
      <c r="P267" s="813"/>
      <c r="Q267" s="811">
        <f>Q256+Q261+Q266</f>
      </c>
      <c r="R267" s="811">
        <f>R256+R261+R266</f>
      </c>
      <c r="S267" s="811">
        <f>S256+S261+S266</f>
      </c>
      <c r="T267" s="811">
        <f>T256+T261+T266</f>
      </c>
    </row>
    <row r="268">
      <c r="A268" s="775" t="s">
        <v>877</v>
      </c>
      <c r="B268" s="775"/>
      <c r="C268" s="775"/>
      <c r="D268" s="776" t="s">
        <v>878</v>
      </c>
      <c r="E268" s="776"/>
      <c r="F268" s="776"/>
      <c r="G268" s="776"/>
      <c r="H268" s="776"/>
      <c r="I268" s="776"/>
      <c r="J268" s="776"/>
      <c r="K268" s="776"/>
      <c r="L268" s="778" t="s">
        <v>879</v>
      </c>
      <c r="M268" s="778"/>
      <c r="N268" s="778"/>
      <c r="O268" s="778"/>
      <c r="P268" s="778"/>
      <c r="Q268" s="779" t="s">
        <v>880</v>
      </c>
      <c r="R268" s="779"/>
      <c r="S268" s="779"/>
      <c r="T268" s="779"/>
    </row>
    <row r="269">
      <c r="A269" s="827" t="s">
        <v>881</v>
      </c>
      <c r="B269" s="827" t="s">
        <v>882</v>
      </c>
      <c r="C269" s="827" t="s">
        <v>883</v>
      </c>
      <c r="D269" s="828" t="s">
        <v>884</v>
      </c>
      <c r="E269" s="828" t="s">
        <v>885</v>
      </c>
      <c r="F269" s="828" t="s">
        <v>886</v>
      </c>
      <c r="G269" s="829" t="s">
        <v>887</v>
      </c>
      <c r="H269" s="828" t="s">
        <v>888</v>
      </c>
      <c r="I269" s="830" t="s">
        <v>889</v>
      </c>
      <c r="J269" s="831" t="s">
        <v>890</v>
      </c>
      <c r="K269" s="856" t="s">
        <v>891</v>
      </c>
      <c r="L269" s="783" t="s">
        <v>892</v>
      </c>
      <c r="M269" s="783" t="s">
        <v>893</v>
      </c>
      <c r="N269" s="783" t="s">
        <v>894</v>
      </c>
      <c r="O269" s="778" t="s">
        <v>895</v>
      </c>
      <c r="P269" s="778" t="s">
        <v>896</v>
      </c>
      <c r="Q269" s="832" t="s">
        <v>897</v>
      </c>
      <c r="R269" s="832" t="s">
        <v>898</v>
      </c>
      <c r="S269" s="832" t="s">
        <v>899</v>
      </c>
      <c r="T269" s="832" t="s">
        <v>900</v>
      </c>
    </row>
    <row r="270">
      <c r="A270" s="785" t="s">
        <v>945</v>
      </c>
      <c r="B270" s="784" t="s">
        <v>902</v>
      </c>
      <c r="C270" s="788" t="s">
        <v>909</v>
      </c>
      <c r="D270" s="788">
        <f t="shared" ref="D270:D273" si="37">E270+F270</f>
      </c>
      <c r="E270" s="789">
        <v>361.2</v>
      </c>
      <c r="F270" s="789">
        <v>1682.91</v>
      </c>
      <c r="G270" s="790">
        <v>6</v>
      </c>
      <c r="H270" s="789">
        <v>2577.4</v>
      </c>
      <c r="I270" s="791">
        <f t="shared" ref="I270:I283" si="197">H270/D270</f>
      </c>
      <c r="J270" s="791">
        <f t="shared" ref="J270:J283" si="228">D270/G270</f>
      </c>
      <c r="K270" s="857">
        <f t="shared" ref="K270:K283" si="135">H270/G270</f>
      </c>
      <c r="L270" s="792">
        <f t="shared" ref="L270:L283" si="166">R270/Q270</f>
      </c>
      <c r="M270" s="793">
        <f t="shared" ref="M270:M283" si="14">G270/S270</f>
      </c>
      <c r="N270" s="794">
        <f t="shared" ref="N270:N283" si="104">(T270*1000)/D270</f>
      </c>
      <c r="O270" s="795" t="s">
        <v>904</v>
      </c>
      <c r="P270" s="833" t="s">
        <v>932</v>
      </c>
      <c r="Q270" s="784">
        <v>21375</v>
      </c>
      <c r="R270" s="784">
        <v>2420</v>
      </c>
      <c r="S270" s="797">
        <v>6</v>
      </c>
      <c r="T270" s="797">
        <v>34</v>
      </c>
    </row>
    <row r="271">
      <c r="A271" s="785"/>
      <c r="B271" s="784" t="s">
        <v>902</v>
      </c>
      <c r="C271" s="788" t="s">
        <v>912</v>
      </c>
      <c r="D271" s="788">
        <f t="shared" si="37"/>
      </c>
      <c r="E271" s="789">
        <v>494.66</v>
      </c>
      <c r="F271" s="789">
        <v>1188.22</v>
      </c>
      <c r="G271" s="790">
        <v>5</v>
      </c>
      <c r="H271" s="789">
        <v>1498.6</v>
      </c>
      <c r="I271" s="791">
        <f t="shared" si="197"/>
      </c>
      <c r="J271" s="791">
        <f t="shared" si="228"/>
      </c>
      <c r="K271" s="857">
        <f t="shared" si="135"/>
      </c>
      <c r="L271" s="792">
        <f t="shared" si="166"/>
      </c>
      <c r="M271" s="793">
        <f t="shared" si="14"/>
      </c>
      <c r="N271" s="794">
        <f t="shared" si="104"/>
      </c>
      <c r="O271" s="795" t="s">
        <v>904</v>
      </c>
      <c r="P271" s="833" t="s">
        <v>932</v>
      </c>
      <c r="Q271" s="784">
        <v>17850</v>
      </c>
      <c r="R271" s="784">
        <v>2302</v>
      </c>
      <c r="S271" s="797">
        <v>6</v>
      </c>
      <c r="T271" s="797">
        <v>41</v>
      </c>
    </row>
    <row r="272">
      <c r="A272" s="785"/>
      <c r="B272" s="784" t="s">
        <v>902</v>
      </c>
      <c r="C272" s="788" t="s">
        <v>913</v>
      </c>
      <c r="D272" s="788">
        <f t="shared" si="37"/>
      </c>
      <c r="E272" s="789">
        <v>812.42</v>
      </c>
      <c r="F272" s="789">
        <v>964.37</v>
      </c>
      <c r="G272" s="807">
        <v>1</v>
      </c>
      <c r="H272" s="788">
        <v>677.7600000000002</v>
      </c>
      <c r="I272" s="791">
        <f t="shared" si="197"/>
      </c>
      <c r="J272" s="791">
        <f t="shared" si="228"/>
      </c>
      <c r="K272" s="857">
        <f t="shared" si="135"/>
      </c>
      <c r="L272" s="792">
        <f t="shared" si="166"/>
      </c>
      <c r="M272" s="793">
        <f t="shared" si="14"/>
      </c>
      <c r="N272" s="794">
        <f t="shared" si="104"/>
      </c>
      <c r="O272" s="795" t="s">
        <v>904</v>
      </c>
      <c r="P272" s="833" t="s">
        <v>932</v>
      </c>
      <c r="Q272" s="784">
        <v>15348</v>
      </c>
      <c r="R272" s="784">
        <v>1969</v>
      </c>
      <c r="S272" s="797">
        <v>1</v>
      </c>
      <c r="T272" s="797">
        <v>39</v>
      </c>
    </row>
    <row r="273">
      <c r="A273" s="785"/>
      <c r="B273" s="784" t="s">
        <v>902</v>
      </c>
      <c r="C273" s="788" t="s">
        <v>914</v>
      </c>
      <c r="D273" s="788">
        <f t="shared" si="37"/>
      </c>
      <c r="E273" s="789">
        <v>1221.36</v>
      </c>
      <c r="F273" s="789">
        <v>287.24</v>
      </c>
      <c r="G273" s="790">
        <v>0</v>
      </c>
      <c r="H273" s="789">
        <v>0</v>
      </c>
      <c r="I273" s="791">
        <f t="shared" si="197"/>
      </c>
      <c r="J273" s="791">
        <f t="shared" si="228"/>
      </c>
      <c r="K273" s="857">
        <f t="shared" si="135"/>
      </c>
      <c r="L273" s="792">
        <f t="shared" si="166"/>
      </c>
      <c r="M273" s="793">
        <f t="shared" si="14"/>
      </c>
      <c r="N273" s="794">
        <f t="shared" si="104"/>
      </c>
      <c r="O273" s="795" t="s">
        <v>904</v>
      </c>
      <c r="P273" s="833" t="s">
        <v>932</v>
      </c>
      <c r="Q273" s="784">
        <v>14122</v>
      </c>
      <c r="R273" s="784">
        <v>1845</v>
      </c>
      <c r="S273" s="797">
        <v>1</v>
      </c>
      <c r="T273" s="797">
        <v>31</v>
      </c>
    </row>
    <row r="274">
      <c r="A274" s="785"/>
      <c r="B274" s="808" t="s">
        <v>910</v>
      </c>
      <c r="C274" s="808"/>
      <c r="D274" s="799">
        <f>SUM(D270:D273)</f>
      </c>
      <c r="E274" s="799">
        <f>SUM(E270:E273)</f>
      </c>
      <c r="F274" s="799">
        <f>SUM(F270:F273)</f>
      </c>
      <c r="G274" s="800">
        <f>SUM(G270:G273)</f>
      </c>
      <c r="H274" s="799">
        <f>SUM(H270:H273)</f>
      </c>
      <c r="I274" s="801">
        <f t="shared" si="197"/>
      </c>
      <c r="J274" s="802">
        <f t="shared" si="228"/>
      </c>
      <c r="K274" s="854">
        <f t="shared" si="135"/>
      </c>
      <c r="L274" s="804">
        <f t="shared" si="166"/>
      </c>
      <c r="M274" s="804">
        <f t="shared" si="14"/>
      </c>
      <c r="N274" s="805">
        <f t="shared" si="104"/>
      </c>
      <c r="O274" s="805"/>
      <c r="P274" s="805"/>
      <c r="Q274" s="806">
        <f>SUM(Q270:Q273)</f>
      </c>
      <c r="R274" s="806">
        <f>SUM(R270:R273)</f>
      </c>
      <c r="S274" s="806">
        <f>SUM(S270:S273)</f>
      </c>
      <c r="T274" s="806">
        <f>SUM(T270:T273)</f>
      </c>
    </row>
    <row r="275">
      <c r="A275" s="785"/>
      <c r="B275" s="797" t="s">
        <v>918</v>
      </c>
      <c r="C275" s="788" t="s">
        <v>915</v>
      </c>
      <c r="D275" s="788">
        <f t="shared" ref="D275:D278" si="38">E275+F275</f>
      </c>
      <c r="E275" s="789">
        <v>80.22</v>
      </c>
      <c r="F275" s="789">
        <v>530.6</v>
      </c>
      <c r="G275" s="807">
        <v>0</v>
      </c>
      <c r="H275" s="788">
        <v>0</v>
      </c>
      <c r="I275" s="791">
        <f t="shared" si="197"/>
      </c>
      <c r="J275" s="791">
        <f t="shared" si="228"/>
      </c>
      <c r="K275" s="857">
        <f t="shared" si="135"/>
      </c>
      <c r="L275" s="792">
        <f t="shared" si="166"/>
      </c>
      <c r="M275" s="793">
        <f t="shared" si="14"/>
      </c>
      <c r="N275" s="794">
        <f t="shared" si="104"/>
      </c>
      <c r="O275" s="795" t="s">
        <v>904</v>
      </c>
      <c r="P275" s="833" t="s">
        <v>932</v>
      </c>
      <c r="Q275" s="784">
        <v>6304</v>
      </c>
      <c r="R275" s="784">
        <v>672</v>
      </c>
      <c r="S275" s="797">
        <v>0</v>
      </c>
      <c r="T275" s="797">
        <v>21</v>
      </c>
    </row>
    <row r="276">
      <c r="A276" s="785"/>
      <c r="B276" s="797" t="s">
        <v>918</v>
      </c>
      <c r="C276" s="788" t="s">
        <v>917</v>
      </c>
      <c r="D276" s="788">
        <f t="shared" si="38"/>
      </c>
      <c r="E276" s="789">
        <v>0</v>
      </c>
      <c r="F276" s="789">
        <v>764.62</v>
      </c>
      <c r="G276" s="807">
        <v>5</v>
      </c>
      <c r="H276" s="788">
        <v>3418.8</v>
      </c>
      <c r="I276" s="791">
        <f t="shared" si="197"/>
      </c>
      <c r="J276" s="791">
        <f t="shared" si="228"/>
      </c>
      <c r="K276" s="857">
        <f t="shared" si="135"/>
      </c>
      <c r="L276" s="792">
        <f t="shared" si="166"/>
      </c>
      <c r="M276" s="793">
        <f t="shared" si="14"/>
      </c>
      <c r="N276" s="794">
        <f t="shared" si="104"/>
      </c>
      <c r="O276" s="795" t="s">
        <v>904</v>
      </c>
      <c r="P276" s="833" t="s">
        <v>932</v>
      </c>
      <c r="Q276" s="784">
        <v>7381</v>
      </c>
      <c r="R276" s="784">
        <v>850</v>
      </c>
      <c r="S276" s="797">
        <v>6</v>
      </c>
      <c r="T276" s="797">
        <v>27</v>
      </c>
    </row>
    <row r="277">
      <c r="A277" s="785"/>
      <c r="B277" s="797" t="s">
        <v>918</v>
      </c>
      <c r="C277" s="788" t="s">
        <v>919</v>
      </c>
      <c r="D277" s="788">
        <f t="shared" si="38"/>
      </c>
      <c r="E277" s="789">
        <v>0</v>
      </c>
      <c r="F277" s="789">
        <v>1511.23</v>
      </c>
      <c r="G277" s="790">
        <v>9</v>
      </c>
      <c r="H277" s="789">
        <v>6029.04</v>
      </c>
      <c r="I277" s="791">
        <f t="shared" si="197"/>
      </c>
      <c r="J277" s="791">
        <f t="shared" si="228"/>
      </c>
      <c r="K277" s="857">
        <f t="shared" si="135"/>
      </c>
      <c r="L277" s="792">
        <f t="shared" si="166"/>
      </c>
      <c r="M277" s="793">
        <f t="shared" si="14"/>
      </c>
      <c r="N277" s="794">
        <f t="shared" si="104"/>
      </c>
      <c r="O277" s="795" t="s">
        <v>904</v>
      </c>
      <c r="P277" s="833" t="s">
        <v>932</v>
      </c>
      <c r="Q277" s="784">
        <v>16412</v>
      </c>
      <c r="R277" s="784">
        <v>2092</v>
      </c>
      <c r="S277" s="797">
        <v>13</v>
      </c>
      <c r="T277" s="797">
        <v>94</v>
      </c>
    </row>
    <row r="278">
      <c r="A278" s="785"/>
      <c r="B278" s="797" t="s">
        <v>918</v>
      </c>
      <c r="C278" s="788" t="s">
        <v>920</v>
      </c>
      <c r="D278" s="788">
        <f t="shared" si="38"/>
      </c>
      <c r="E278" s="789">
        <v>0</v>
      </c>
      <c r="F278" s="789">
        <v>1513.95</v>
      </c>
      <c r="G278" s="790">
        <v>2</v>
      </c>
      <c r="H278" s="789">
        <v>430.0799999999999</v>
      </c>
      <c r="I278" s="791">
        <f t="shared" si="197"/>
      </c>
      <c r="J278" s="791">
        <f t="shared" si="228"/>
      </c>
      <c r="K278" s="857">
        <f t="shared" si="135"/>
      </c>
      <c r="L278" s="792">
        <f t="shared" si="166"/>
      </c>
      <c r="M278" s="793">
        <f t="shared" si="14"/>
      </c>
      <c r="N278" s="794">
        <f t="shared" si="104"/>
      </c>
      <c r="O278" s="795" t="s">
        <v>904</v>
      </c>
      <c r="P278" s="833" t="s">
        <v>932</v>
      </c>
      <c r="Q278" s="832">
        <v>16393</v>
      </c>
      <c r="R278" s="832">
        <v>2059</v>
      </c>
      <c r="S278" s="836">
        <v>2</v>
      </c>
      <c r="T278" s="836">
        <v>72</v>
      </c>
    </row>
    <row r="279">
      <c r="A279" s="785"/>
      <c r="B279" s="808" t="s">
        <v>910</v>
      </c>
      <c r="C279" s="808"/>
      <c r="D279" s="799">
        <f>SUM(D275:D278)</f>
      </c>
      <c r="E279" s="799">
        <f>SUM(E275:E278)</f>
      </c>
      <c r="F279" s="799">
        <f>SUM(F275:F278)</f>
      </c>
      <c r="G279" s="800">
        <f>SUM(G275:G278)</f>
      </c>
      <c r="H279" s="799">
        <f>SUM(H275:H278)</f>
      </c>
      <c r="I279" s="801">
        <f t="shared" si="197"/>
      </c>
      <c r="J279" s="802">
        <f t="shared" si="228"/>
      </c>
      <c r="K279" s="854">
        <f t="shared" si="135"/>
      </c>
      <c r="L279" s="804">
        <f t="shared" si="166"/>
      </c>
      <c r="M279" s="804">
        <f t="shared" si="14"/>
      </c>
      <c r="N279" s="805">
        <f t="shared" si="104"/>
      </c>
      <c r="O279" s="805"/>
      <c r="P279" s="805"/>
      <c r="Q279" s="806">
        <f>SUM(Q275:Q278)</f>
      </c>
      <c r="R279" s="806">
        <f>SUM(R275:R278)</f>
      </c>
      <c r="S279" s="806">
        <f>SUM(S275:S278)</f>
      </c>
      <c r="T279" s="806">
        <f>SUM(T275:T278)</f>
      </c>
    </row>
    <row r="280">
      <c r="A280" s="785"/>
      <c r="B280" s="835" t="s">
        <v>922</v>
      </c>
      <c r="C280" s="788" t="s">
        <v>921</v>
      </c>
      <c r="D280" s="788">
        <f t="shared" ref="D280:D281" si="39">E280+F280</f>
      </c>
      <c r="E280" s="789">
        <v>0</v>
      </c>
      <c r="F280" s="789">
        <v>1196.87</v>
      </c>
      <c r="G280" s="807">
        <v>2</v>
      </c>
      <c r="H280" s="788">
        <v>1370.5200000000004</v>
      </c>
      <c r="I280" s="791">
        <f t="shared" si="197"/>
      </c>
      <c r="J280" s="791">
        <f t="shared" si="228"/>
      </c>
      <c r="K280" s="857">
        <f t="shared" si="135"/>
      </c>
      <c r="L280" s="792">
        <f t="shared" si="166"/>
      </c>
      <c r="M280" s="793">
        <f t="shared" si="14"/>
      </c>
      <c r="N280" s="794">
        <f t="shared" si="104"/>
      </c>
      <c r="O280" s="795" t="s">
        <v>904</v>
      </c>
      <c r="P280" s="833" t="s">
        <v>932</v>
      </c>
      <c r="Q280" s="837">
        <v>12635</v>
      </c>
      <c r="R280" s="837">
        <v>1490</v>
      </c>
      <c r="S280" s="838">
        <v>5</v>
      </c>
      <c r="T280" s="838">
        <v>44</v>
      </c>
    </row>
    <row r="281">
      <c r="A281" s="785"/>
      <c r="B281" s="835" t="s">
        <v>922</v>
      </c>
      <c r="C281" s="788" t="s">
        <v>923</v>
      </c>
      <c r="D281" s="788">
        <f t="shared" si="39"/>
      </c>
      <c r="E281" s="789">
        <v>0</v>
      </c>
      <c r="F281" s="789">
        <v>2524.71</v>
      </c>
      <c r="G281" s="807">
        <v>4</v>
      </c>
      <c r="H281" s="788">
        <v>860.1599999999999</v>
      </c>
      <c r="I281" s="791">
        <f t="shared" si="197"/>
      </c>
      <c r="J281" s="791">
        <f t="shared" si="228"/>
      </c>
      <c r="K281" s="857">
        <f t="shared" si="135"/>
      </c>
      <c r="L281" s="792">
        <f t="shared" si="166"/>
      </c>
      <c r="M281" s="793">
        <f t="shared" si="14"/>
      </c>
      <c r="N281" s="794">
        <f t="shared" si="104"/>
      </c>
      <c r="O281" s="795" t="s">
        <v>904</v>
      </c>
      <c r="P281" s="833" t="s">
        <v>932</v>
      </c>
      <c r="Q281" s="837">
        <v>25380</v>
      </c>
      <c r="R281" s="837">
        <v>3307</v>
      </c>
      <c r="S281" s="838">
        <v>6</v>
      </c>
      <c r="T281" s="838">
        <v>66</v>
      </c>
    </row>
    <row r="282">
      <c r="A282" s="785"/>
      <c r="B282" s="808" t="s">
        <v>910</v>
      </c>
      <c r="C282" s="808"/>
      <c r="D282" s="799">
        <f>SUM(D280:D281)</f>
      </c>
      <c r="E282" s="799">
        <f>SUM(E280:E281)</f>
      </c>
      <c r="F282" s="799">
        <f>SUM(F280:F281)</f>
      </c>
      <c r="G282" s="800">
        <f>SUM(G280:G281)</f>
      </c>
      <c r="H282" s="799">
        <f>SUM(H280:H281)</f>
      </c>
      <c r="I282" s="801">
        <f t="shared" si="197"/>
      </c>
      <c r="J282" s="802">
        <f t="shared" si="228"/>
      </c>
      <c r="K282" s="854">
        <f t="shared" si="135"/>
      </c>
      <c r="L282" s="804">
        <f t="shared" si="166"/>
      </c>
      <c r="M282" s="804">
        <f t="shared" si="14"/>
      </c>
      <c r="N282" s="805">
        <f t="shared" si="104"/>
      </c>
      <c r="O282" s="805"/>
      <c r="P282" s="805"/>
      <c r="Q282" s="806">
        <f>SUM(Q280:Q281)</f>
      </c>
      <c r="R282" s="806">
        <f>SUM(R280:R281)</f>
      </c>
      <c r="S282" s="806">
        <f>SUM(S280:S281)</f>
      </c>
      <c r="T282" s="806">
        <f>SUM(T280:T281)</f>
      </c>
    </row>
    <row r="283">
      <c r="A283" s="785"/>
      <c r="B283" s="809" t="s">
        <v>926</v>
      </c>
      <c r="C283" s="809"/>
      <c r="D283" s="810">
        <f>D274+D279+D282</f>
      </c>
      <c r="E283" s="810">
        <f>E274+E279+E282</f>
      </c>
      <c r="F283" s="810">
        <f>F274+F279+F282</f>
      </c>
      <c r="G283" s="811">
        <f>G274+G279+G282</f>
      </c>
      <c r="H283" s="810">
        <f>H274+H279+H282</f>
      </c>
      <c r="I283" s="809">
        <f t="shared" si="197"/>
      </c>
      <c r="J283" s="809">
        <f t="shared" si="228"/>
      </c>
      <c r="K283" s="845">
        <f t="shared" si="135"/>
      </c>
      <c r="L283" s="812">
        <f t="shared" si="166"/>
      </c>
      <c r="M283" s="812">
        <f t="shared" si="14"/>
      </c>
      <c r="N283" s="809">
        <f t="shared" si="104"/>
      </c>
      <c r="O283" s="813"/>
      <c r="P283" s="813"/>
      <c r="Q283" s="811">
        <f>Q274+Q279+Q282</f>
      </c>
      <c r="R283" s="811">
        <f>R274+R279+R282</f>
      </c>
      <c r="S283" s="811">
        <f>S274+S279+S282</f>
      </c>
      <c r="T283" s="811">
        <f>T274+T279+T282</f>
      </c>
    </row>
    <row r="284">
      <c r="A284" s="775" t="s">
        <v>877</v>
      </c>
      <c r="B284" s="775"/>
      <c r="C284" s="775"/>
      <c r="D284" s="776" t="s">
        <v>878</v>
      </c>
      <c r="E284" s="776"/>
      <c r="F284" s="776"/>
      <c r="G284" s="776"/>
      <c r="H284" s="776"/>
      <c r="I284" s="776"/>
      <c r="J284" s="776"/>
      <c r="K284" s="776"/>
      <c r="L284" s="778" t="s">
        <v>879</v>
      </c>
      <c r="M284" s="778"/>
      <c r="N284" s="778"/>
      <c r="O284" s="778"/>
      <c r="P284" s="778"/>
      <c r="Q284" s="779" t="s">
        <v>880</v>
      </c>
      <c r="R284" s="779"/>
      <c r="S284" s="779"/>
      <c r="T284" s="779"/>
    </row>
    <row r="285">
      <c r="A285" s="827" t="s">
        <v>881</v>
      </c>
      <c r="B285" s="827" t="s">
        <v>882</v>
      </c>
      <c r="C285" s="827" t="s">
        <v>883</v>
      </c>
      <c r="D285" s="828" t="s">
        <v>884</v>
      </c>
      <c r="E285" s="828" t="s">
        <v>885</v>
      </c>
      <c r="F285" s="828" t="s">
        <v>886</v>
      </c>
      <c r="G285" s="829" t="s">
        <v>887</v>
      </c>
      <c r="H285" s="828" t="s">
        <v>888</v>
      </c>
      <c r="I285" s="830" t="s">
        <v>889</v>
      </c>
      <c r="J285" s="831" t="s">
        <v>890</v>
      </c>
      <c r="K285" s="856" t="s">
        <v>891</v>
      </c>
      <c r="L285" s="783" t="s">
        <v>892</v>
      </c>
      <c r="M285" s="783" t="s">
        <v>893</v>
      </c>
      <c r="N285" s="783" t="s">
        <v>894</v>
      </c>
      <c r="O285" s="778" t="s">
        <v>895</v>
      </c>
      <c r="P285" s="778" t="s">
        <v>896</v>
      </c>
      <c r="Q285" s="832" t="s">
        <v>897</v>
      </c>
      <c r="R285" s="832" t="s">
        <v>898</v>
      </c>
      <c r="S285" s="832" t="s">
        <v>899</v>
      </c>
      <c r="T285" s="832" t="s">
        <v>900</v>
      </c>
    </row>
    <row r="286">
      <c r="A286" s="785" t="s">
        <v>946</v>
      </c>
      <c r="B286" s="797" t="s">
        <v>911</v>
      </c>
      <c r="C286" s="788" t="s">
        <v>909</v>
      </c>
      <c r="D286" s="788">
        <f t="shared" ref="D286:D289" si="40">E286+F286</f>
      </c>
      <c r="E286" s="859">
        <v>678.72</v>
      </c>
      <c r="F286" s="859">
        <v>814.85</v>
      </c>
      <c r="G286" s="790">
        <v>4</v>
      </c>
      <c r="H286" s="789">
        <v>1322.88</v>
      </c>
      <c r="I286" s="791">
        <f t="shared" ref="I286:I301" si="198">H286/D286</f>
      </c>
      <c r="J286" s="791">
        <f t="shared" ref="J286:J301" si="229">D286/G286</f>
      </c>
      <c r="K286" s="857">
        <f t="shared" ref="K286:K301" si="136">H286/G286</f>
      </c>
      <c r="L286" s="792">
        <f t="shared" ref="L286:L301" si="167">R286/Q286</f>
      </c>
      <c r="M286" s="793">
        <f t="shared" ref="M286:M301" si="15">G286/S286</f>
      </c>
      <c r="N286" s="794">
        <f t="shared" ref="N286:N301" si="105">(T286*1000)/D286</f>
      </c>
      <c r="O286" s="795" t="s">
        <v>904</v>
      </c>
      <c r="P286" s="796" t="s">
        <v>916</v>
      </c>
      <c r="Q286" s="784">
        <v>12229</v>
      </c>
      <c r="R286" s="784">
        <v>1497</v>
      </c>
      <c r="S286" s="797">
        <v>5</v>
      </c>
      <c r="T286" s="797">
        <v>32</v>
      </c>
    </row>
    <row r="287">
      <c r="A287" s="785"/>
      <c r="B287" s="797" t="s">
        <v>911</v>
      </c>
      <c r="C287" s="788" t="s">
        <v>912</v>
      </c>
      <c r="D287" s="788">
        <f t="shared" si="40"/>
      </c>
      <c r="E287" s="859">
        <v>1599.29</v>
      </c>
      <c r="F287" s="859">
        <v>686.34</v>
      </c>
      <c r="G287" s="790">
        <v>5</v>
      </c>
      <c r="H287" s="789">
        <v>2000.64</v>
      </c>
      <c r="I287" s="791">
        <f t="shared" si="198"/>
      </c>
      <c r="J287" s="791">
        <f t="shared" si="229"/>
      </c>
      <c r="K287" s="857">
        <f t="shared" si="136"/>
      </c>
      <c r="L287" s="792">
        <f t="shared" si="167"/>
      </c>
      <c r="M287" s="793">
        <f t="shared" si="15"/>
      </c>
      <c r="N287" s="794">
        <f t="shared" si="105"/>
      </c>
      <c r="O287" s="795" t="s">
        <v>904</v>
      </c>
      <c r="P287" s="796" t="s">
        <v>916</v>
      </c>
      <c r="Q287" s="784">
        <v>22915</v>
      </c>
      <c r="R287" s="784">
        <v>3034</v>
      </c>
      <c r="S287" s="797">
        <v>7</v>
      </c>
      <c r="T287" s="797">
        <v>54</v>
      </c>
    </row>
    <row r="288">
      <c r="A288" s="785"/>
      <c r="B288" s="797" t="s">
        <v>911</v>
      </c>
      <c r="C288" s="788" t="s">
        <v>913</v>
      </c>
      <c r="D288" s="788">
        <f t="shared" si="40"/>
      </c>
      <c r="E288" s="859">
        <v>1508.28</v>
      </c>
      <c r="F288" s="859">
        <v>1347.61</v>
      </c>
      <c r="G288" s="790">
        <v>4</v>
      </c>
      <c r="H288" s="789">
        <v>2209.2</v>
      </c>
      <c r="I288" s="791">
        <f t="shared" si="198"/>
      </c>
      <c r="J288" s="791">
        <f t="shared" si="229"/>
      </c>
      <c r="K288" s="857">
        <f t="shared" si="136"/>
      </c>
      <c r="L288" s="792">
        <f t="shared" si="167"/>
      </c>
      <c r="M288" s="793">
        <f t="shared" si="15"/>
      </c>
      <c r="N288" s="794">
        <f t="shared" si="105"/>
      </c>
      <c r="O288" s="795" t="s">
        <v>904</v>
      </c>
      <c r="P288" s="796" t="s">
        <v>916</v>
      </c>
      <c r="Q288" s="784">
        <v>24939</v>
      </c>
      <c r="R288" s="784">
        <v>3243</v>
      </c>
      <c r="S288" s="797">
        <v>9</v>
      </c>
      <c r="T288" s="797">
        <v>72</v>
      </c>
    </row>
    <row r="289">
      <c r="A289" s="785"/>
      <c r="B289" s="797" t="s">
        <v>911</v>
      </c>
      <c r="C289" s="788" t="s">
        <v>914</v>
      </c>
      <c r="D289" s="788">
        <f t="shared" si="40"/>
      </c>
      <c r="E289" s="859">
        <v>2353.45</v>
      </c>
      <c r="F289" s="859">
        <v>1108.1</v>
      </c>
      <c r="G289" s="790">
        <v>11</v>
      </c>
      <c r="H289" s="789">
        <v>6914.400000000001</v>
      </c>
      <c r="I289" s="791">
        <f t="shared" si="198"/>
      </c>
      <c r="J289" s="791">
        <f t="shared" si="229"/>
      </c>
      <c r="K289" s="857">
        <f t="shared" si="136"/>
      </c>
      <c r="L289" s="792">
        <f t="shared" si="167"/>
      </c>
      <c r="M289" s="793">
        <f t="shared" si="15"/>
      </c>
      <c r="N289" s="794">
        <f t="shared" si="105"/>
      </c>
      <c r="O289" s="795" t="s">
        <v>904</v>
      </c>
      <c r="P289" s="796" t="s">
        <v>916</v>
      </c>
      <c r="Q289" s="784">
        <v>29096</v>
      </c>
      <c r="R289" s="784">
        <v>3635</v>
      </c>
      <c r="S289" s="797">
        <v>13</v>
      </c>
      <c r="T289" s="797">
        <v>71</v>
      </c>
    </row>
    <row r="290">
      <c r="A290" s="785"/>
      <c r="B290" s="808" t="s">
        <v>910</v>
      </c>
      <c r="C290" s="808"/>
      <c r="D290" s="799">
        <f>SUM(D286:D289)</f>
      </c>
      <c r="E290" s="799">
        <f>SUM(E286:E289)</f>
      </c>
      <c r="F290" s="799">
        <f>SUM(F286:F289)</f>
      </c>
      <c r="G290" s="800">
        <f>SUM(G286:G289)</f>
      </c>
      <c r="H290" s="799">
        <f>SUM(H286:H289)</f>
      </c>
      <c r="I290" s="801">
        <f t="shared" si="198"/>
      </c>
      <c r="J290" s="802">
        <f t="shared" si="229"/>
      </c>
      <c r="K290" s="854">
        <f t="shared" si="136"/>
      </c>
      <c r="L290" s="804">
        <f t="shared" si="167"/>
      </c>
      <c r="M290" s="804">
        <f t="shared" si="15"/>
      </c>
      <c r="N290" s="805">
        <f t="shared" si="105"/>
      </c>
      <c r="O290" s="805"/>
      <c r="P290" s="805"/>
      <c r="Q290" s="806">
        <f>SUM(Q286:Q289)</f>
      </c>
      <c r="R290" s="806">
        <f>SUM(R286:R289)</f>
      </c>
      <c r="S290" s="806">
        <f>SUM(S286:S289)</f>
      </c>
      <c r="T290" s="806">
        <f>SUM(T286:T289)</f>
      </c>
    </row>
    <row r="291">
      <c r="A291" s="785"/>
      <c r="B291" s="835" t="s">
        <v>918</v>
      </c>
      <c r="C291" s="788" t="s">
        <v>915</v>
      </c>
      <c r="D291" s="788">
        <f t="shared" ref="D291:D295" si="41">E291+F291</f>
      </c>
      <c r="E291" s="859">
        <v>1071.3</v>
      </c>
      <c r="F291" s="859">
        <v>1332.3</v>
      </c>
      <c r="G291" s="807">
        <v>6</v>
      </c>
      <c r="H291" s="788">
        <v>2693.3999999999996</v>
      </c>
      <c r="I291" s="791">
        <f t="shared" si="198"/>
      </c>
      <c r="J291" s="791">
        <f t="shared" si="229"/>
      </c>
      <c r="K291" s="857">
        <f t="shared" si="136"/>
      </c>
      <c r="L291" s="792">
        <f t="shared" si="167"/>
      </c>
      <c r="M291" s="793">
        <f t="shared" si="15"/>
      </c>
      <c r="N291" s="794">
        <f t="shared" si="105"/>
      </c>
      <c r="O291" s="795" t="s">
        <v>904</v>
      </c>
      <c r="P291" s="833" t="s">
        <v>916</v>
      </c>
      <c r="Q291" s="784">
        <v>19876</v>
      </c>
      <c r="R291" s="784">
        <v>2209</v>
      </c>
      <c r="S291" s="797">
        <v>9</v>
      </c>
      <c r="T291" s="797">
        <v>53</v>
      </c>
    </row>
    <row r="292">
      <c r="A292" s="785"/>
      <c r="B292" s="835" t="s">
        <v>918</v>
      </c>
      <c r="C292" s="788" t="s">
        <v>917</v>
      </c>
      <c r="D292" s="788">
        <f t="shared" si="41"/>
      </c>
      <c r="E292" s="859">
        <v>1385.57</v>
      </c>
      <c r="F292" s="859">
        <v>1244.18</v>
      </c>
      <c r="G292" s="807">
        <v>8</v>
      </c>
      <c r="H292" s="788">
        <v>3939.029999999999</v>
      </c>
      <c r="I292" s="791">
        <f t="shared" si="198"/>
      </c>
      <c r="J292" s="791">
        <f t="shared" si="229"/>
      </c>
      <c r="K292" s="857">
        <f t="shared" si="136"/>
      </c>
      <c r="L292" s="792">
        <f t="shared" si="167"/>
      </c>
      <c r="M292" s="793">
        <f t="shared" si="15"/>
      </c>
      <c r="N292" s="794">
        <f t="shared" si="105"/>
      </c>
      <c r="O292" s="795" t="s">
        <v>904</v>
      </c>
      <c r="P292" s="833" t="s">
        <v>916</v>
      </c>
      <c r="Q292" s="784">
        <v>25651</v>
      </c>
      <c r="R292" s="784">
        <v>3467</v>
      </c>
      <c r="S292" s="797">
        <v>10</v>
      </c>
      <c r="T292" s="797">
        <v>68</v>
      </c>
    </row>
    <row r="293">
      <c r="A293" s="785"/>
      <c r="B293" s="835" t="s">
        <v>918</v>
      </c>
      <c r="C293" s="788" t="s">
        <v>919</v>
      </c>
      <c r="D293" s="788">
        <f t="shared" si="41"/>
      </c>
      <c r="E293" s="859">
        <v>1277.95</v>
      </c>
      <c r="F293" s="859">
        <v>1233.77</v>
      </c>
      <c r="G293" s="790">
        <v>4</v>
      </c>
      <c r="H293" s="789">
        <v>2706.380000000001</v>
      </c>
      <c r="I293" s="791">
        <f t="shared" si="198"/>
      </c>
      <c r="J293" s="791">
        <f t="shared" si="229"/>
      </c>
      <c r="K293" s="857">
        <f t="shared" si="136"/>
      </c>
      <c r="L293" s="792">
        <f t="shared" si="167"/>
      </c>
      <c r="M293" s="793">
        <f t="shared" si="15"/>
      </c>
      <c r="N293" s="794">
        <f t="shared" si="105"/>
      </c>
      <c r="O293" s="795" t="s">
        <v>904</v>
      </c>
      <c r="P293" s="833" t="s">
        <v>916</v>
      </c>
      <c r="Q293" s="784">
        <v>26753</v>
      </c>
      <c r="R293" s="784">
        <v>4109</v>
      </c>
      <c r="S293" s="797">
        <v>9</v>
      </c>
      <c r="T293" s="797">
        <v>65</v>
      </c>
    </row>
    <row r="294">
      <c r="A294" s="785"/>
      <c r="B294" s="835" t="s">
        <v>918</v>
      </c>
      <c r="C294" s="788" t="s">
        <v>920</v>
      </c>
      <c r="D294" s="788">
        <f t="shared" si="41"/>
      </c>
      <c r="E294" s="859">
        <v>714.02</v>
      </c>
      <c r="F294" s="859">
        <v>1330.56</v>
      </c>
      <c r="G294" s="790">
        <v>7</v>
      </c>
      <c r="H294" s="789">
        <v>2445.720000000001</v>
      </c>
      <c r="I294" s="791">
        <f t="shared" si="198"/>
      </c>
      <c r="J294" s="791">
        <f t="shared" si="229"/>
      </c>
      <c r="K294" s="857">
        <f t="shared" si="136"/>
      </c>
      <c r="L294" s="792">
        <f t="shared" si="167"/>
      </c>
      <c r="M294" s="793">
        <f t="shared" si="15"/>
      </c>
      <c r="N294" s="794">
        <f t="shared" si="105"/>
      </c>
      <c r="O294" s="795" t="s">
        <v>904</v>
      </c>
      <c r="P294" s="833" t="s">
        <v>916</v>
      </c>
      <c r="Q294" s="832">
        <v>17393</v>
      </c>
      <c r="R294" s="832">
        <v>2618</v>
      </c>
      <c r="S294" s="836">
        <v>8</v>
      </c>
      <c r="T294" s="836">
        <v>54</v>
      </c>
    </row>
    <row r="295">
      <c r="A295" s="785"/>
      <c r="B295" s="797" t="s">
        <v>918</v>
      </c>
      <c r="C295" s="788" t="s">
        <v>921</v>
      </c>
      <c r="D295" s="788">
        <f t="shared" si="41"/>
      </c>
      <c r="E295" s="859">
        <v>671.01</v>
      </c>
      <c r="F295" s="859">
        <v>877.78</v>
      </c>
      <c r="G295" s="807">
        <v>7</v>
      </c>
      <c r="H295" s="788">
        <v>2445.7199999999975</v>
      </c>
      <c r="I295" s="791">
        <f t="shared" si="198"/>
      </c>
      <c r="J295" s="791">
        <f t="shared" si="229"/>
      </c>
      <c r="K295" s="857">
        <f t="shared" si="136"/>
      </c>
      <c r="L295" s="792">
        <f t="shared" si="167"/>
      </c>
      <c r="M295" s="793">
        <f t="shared" si="15"/>
      </c>
      <c r="N295" s="794">
        <f t="shared" si="105"/>
      </c>
      <c r="O295" s="795" t="s">
        <v>904</v>
      </c>
      <c r="P295" s="833" t="s">
        <v>916</v>
      </c>
      <c r="Q295" s="837">
        <v>13314</v>
      </c>
      <c r="R295" s="837">
        <v>1562</v>
      </c>
      <c r="S295" s="838">
        <v>10</v>
      </c>
      <c r="T295" s="838">
        <v>41</v>
      </c>
    </row>
    <row customHeight="true" ht="16.666666666666668" r="296">
      <c r="A296" s="785"/>
      <c r="B296" s="808" t="s">
        <v>910</v>
      </c>
      <c r="C296" s="808"/>
      <c r="D296" s="799">
        <f>SUM(D291:D295)</f>
      </c>
      <c r="E296" s="799">
        <f>SUM(E291:E295)</f>
      </c>
      <c r="F296" s="799">
        <f>SUM(F291:F295)</f>
      </c>
      <c r="G296" s="800">
        <f>SUM(G291:G295)</f>
      </c>
      <c r="H296" s="799">
        <f>SUM(H291:H295)</f>
      </c>
      <c r="I296" s="801">
        <f t="shared" si="198"/>
      </c>
      <c r="J296" s="802">
        <f t="shared" si="229"/>
      </c>
      <c r="K296" s="854">
        <f t="shared" si="136"/>
      </c>
      <c r="L296" s="804">
        <f t="shared" si="167"/>
      </c>
      <c r="M296" s="804">
        <f t="shared" si="15"/>
      </c>
      <c r="N296" s="805">
        <f t="shared" si="105"/>
      </c>
      <c r="O296" s="805"/>
      <c r="P296" s="805"/>
      <c r="Q296" s="806">
        <f>SUM(Q291:Q295)</f>
      </c>
      <c r="R296" s="806">
        <f>SUM(R291:R295)</f>
      </c>
      <c r="S296" s="806">
        <f>SUM(S291:S295)</f>
      </c>
      <c r="T296" s="806">
        <f>SUM(T291:T295)</f>
      </c>
    </row>
    <row r="297">
      <c r="A297" s="785"/>
      <c r="B297" s="797" t="s">
        <v>922</v>
      </c>
      <c r="C297" s="788" t="s">
        <v>923</v>
      </c>
      <c r="D297" s="788">
        <f t="shared" ref="D297:D299" si="42">E297+F297</f>
      </c>
      <c r="E297" s="859">
        <v>1108.79</v>
      </c>
      <c r="F297" s="859">
        <v>2439.79</v>
      </c>
      <c r="G297" s="807">
        <v>8</v>
      </c>
      <c r="H297" s="788">
        <v>2645.760000000002</v>
      </c>
      <c r="I297" s="791">
        <f t="shared" si="198"/>
      </c>
      <c r="J297" s="791">
        <f t="shared" si="229"/>
      </c>
      <c r="K297" s="857">
        <f t="shared" si="136"/>
      </c>
      <c r="L297" s="792">
        <f t="shared" si="167"/>
      </c>
      <c r="M297" s="793">
        <f t="shared" si="15"/>
      </c>
      <c r="N297" s="794">
        <f t="shared" si="105"/>
      </c>
      <c r="O297" s="795" t="s">
        <v>904</v>
      </c>
      <c r="P297" s="833" t="s">
        <v>916</v>
      </c>
      <c r="Q297" s="837">
        <v>34053</v>
      </c>
      <c r="R297" s="837">
        <v>4643</v>
      </c>
      <c r="S297" s="838">
        <v>12</v>
      </c>
      <c r="T297" s="838">
        <v>75</v>
      </c>
    </row>
    <row r="298">
      <c r="A298" s="785"/>
      <c r="B298" s="797" t="s">
        <v>922</v>
      </c>
      <c r="C298" s="788" t="s">
        <v>924</v>
      </c>
      <c r="D298" s="788">
        <f t="shared" si="42"/>
      </c>
      <c r="E298" s="859">
        <v>2161.83</v>
      </c>
      <c r="F298" s="859">
        <v>3513.2</v>
      </c>
      <c r="G298" s="807">
        <v>13</v>
      </c>
      <c r="H298" s="788">
        <v>4646.399999999998</v>
      </c>
      <c r="I298" s="791">
        <f t="shared" si="198"/>
      </c>
      <c r="J298" s="791">
        <f t="shared" si="229"/>
      </c>
      <c r="K298" s="857">
        <f t="shared" si="136"/>
      </c>
      <c r="L298" s="792">
        <f t="shared" si="167"/>
      </c>
      <c r="M298" s="793">
        <f t="shared" si="15"/>
      </c>
      <c r="N298" s="794">
        <f t="shared" si="105"/>
      </c>
      <c r="O298" s="795" t="s">
        <v>904</v>
      </c>
      <c r="P298" s="833" t="s">
        <v>916</v>
      </c>
      <c r="Q298" s="837">
        <v>59875</v>
      </c>
      <c r="R298" s="837">
        <v>8206</v>
      </c>
      <c r="S298" s="838">
        <v>27</v>
      </c>
      <c r="T298" s="838">
        <v>169</v>
      </c>
    </row>
    <row r="299">
      <c r="A299" s="785"/>
      <c r="B299" s="797" t="s">
        <v>922</v>
      </c>
      <c r="C299" s="789" t="s">
        <v>925</v>
      </c>
      <c r="D299" s="788">
        <f t="shared" si="42"/>
      </c>
      <c r="E299" s="859">
        <v>4025.52</v>
      </c>
      <c r="F299" s="859">
        <v>659.09</v>
      </c>
      <c r="G299" s="807">
        <v>11</v>
      </c>
      <c r="H299" s="788">
        <v>6392.9000000000015</v>
      </c>
      <c r="I299" s="791">
        <f t="shared" si="198"/>
      </c>
      <c r="J299" s="791">
        <f t="shared" si="229"/>
      </c>
      <c r="K299" s="857">
        <f t="shared" si="136"/>
      </c>
      <c r="L299" s="792">
        <f t="shared" si="167"/>
      </c>
      <c r="M299" s="793">
        <f t="shared" si="15"/>
      </c>
      <c r="N299" s="794">
        <f t="shared" si="105"/>
      </c>
      <c r="O299" s="795" t="s">
        <v>904</v>
      </c>
      <c r="P299" s="833" t="s">
        <v>916</v>
      </c>
      <c r="Q299" s="837">
        <v>65001</v>
      </c>
      <c r="R299" s="837">
        <v>8825</v>
      </c>
      <c r="S299" s="838">
        <v>14</v>
      </c>
      <c r="T299" s="838">
        <v>153</v>
      </c>
    </row>
    <row r="300">
      <c r="A300" s="785"/>
      <c r="B300" s="808" t="s">
        <v>910</v>
      </c>
      <c r="C300" s="808"/>
      <c r="D300" s="799">
        <f>SUM(D297:D299)</f>
      </c>
      <c r="E300" s="799">
        <f>SUM(E297:E299)</f>
      </c>
      <c r="F300" s="799">
        <f>SUM(F297:F299)</f>
      </c>
      <c r="G300" s="800">
        <f>SUM(G297:G299)</f>
      </c>
      <c r="H300" s="799">
        <f>SUM(H297:H299)</f>
      </c>
      <c r="I300" s="801">
        <f t="shared" si="198"/>
      </c>
      <c r="J300" s="802">
        <f t="shared" si="229"/>
      </c>
      <c r="K300" s="854">
        <f t="shared" si="136"/>
      </c>
      <c r="L300" s="804">
        <f t="shared" si="167"/>
      </c>
      <c r="M300" s="804">
        <f t="shared" si="15"/>
      </c>
      <c r="N300" s="805">
        <f t="shared" si="105"/>
      </c>
      <c r="O300" s="805"/>
      <c r="P300" s="805"/>
      <c r="Q300" s="806">
        <f>SUM(Q297:Q299)</f>
      </c>
      <c r="R300" s="806">
        <f>SUM(R297:R299)</f>
      </c>
      <c r="S300" s="806">
        <f>SUM(S297:S299)</f>
      </c>
      <c r="T300" s="806">
        <f>SUM(T297:T299)</f>
      </c>
    </row>
    <row r="301">
      <c r="A301" s="785"/>
      <c r="B301" s="809" t="s">
        <v>926</v>
      </c>
      <c r="C301" s="809"/>
      <c r="D301" s="810">
        <f>D290+D300+D296</f>
      </c>
      <c r="E301" s="810">
        <f>E290+E300+E296</f>
      </c>
      <c r="F301" s="810">
        <f>F290+F300+F296</f>
      </c>
      <c r="G301" s="811">
        <f>G290+G300+G296</f>
      </c>
      <c r="H301" s="810">
        <f>H290+H300+H296</f>
      </c>
      <c r="I301" s="809">
        <f t="shared" si="198"/>
      </c>
      <c r="J301" s="809">
        <f t="shared" si="229"/>
      </c>
      <c r="K301" s="845">
        <f t="shared" si="136"/>
      </c>
      <c r="L301" s="812">
        <f t="shared" si="167"/>
      </c>
      <c r="M301" s="812">
        <f t="shared" si="15"/>
      </c>
      <c r="N301" s="809">
        <f t="shared" si="105"/>
      </c>
      <c r="O301" s="813"/>
      <c r="P301" s="813"/>
      <c r="Q301" s="811">
        <f>Q290+Q300+Q296</f>
      </c>
      <c r="R301" s="811">
        <f>R290+R300+R296</f>
      </c>
      <c r="S301" s="811">
        <f>S290+S300+S296</f>
      </c>
      <c r="T301" s="811">
        <f>T290+T300+T296</f>
      </c>
    </row>
    <row r="302">
      <c r="A302" s="775" t="s">
        <v>877</v>
      </c>
      <c r="B302" s="775"/>
      <c r="C302" s="775"/>
      <c r="D302" s="776" t="s">
        <v>878</v>
      </c>
      <c r="E302" s="776"/>
      <c r="F302" s="776"/>
      <c r="G302" s="776"/>
      <c r="H302" s="776"/>
      <c r="I302" s="776"/>
      <c r="J302" s="776"/>
      <c r="K302" s="776"/>
      <c r="L302" s="778" t="s">
        <v>879</v>
      </c>
      <c r="M302" s="778"/>
      <c r="N302" s="778"/>
      <c r="O302" s="778"/>
      <c r="P302" s="778"/>
      <c r="Q302" s="779" t="s">
        <v>880</v>
      </c>
      <c r="R302" s="779"/>
      <c r="S302" s="779"/>
      <c r="T302" s="779"/>
    </row>
    <row r="303">
      <c r="A303" s="827" t="s">
        <v>881</v>
      </c>
      <c r="B303" s="827" t="s">
        <v>882</v>
      </c>
      <c r="C303" s="827" t="s">
        <v>883</v>
      </c>
      <c r="D303" s="828" t="s">
        <v>884</v>
      </c>
      <c r="E303" s="828" t="s">
        <v>885</v>
      </c>
      <c r="F303" s="828" t="s">
        <v>886</v>
      </c>
      <c r="G303" s="829" t="s">
        <v>887</v>
      </c>
      <c r="H303" s="828" t="s">
        <v>888</v>
      </c>
      <c r="I303" s="830" t="s">
        <v>889</v>
      </c>
      <c r="J303" s="831" t="s">
        <v>890</v>
      </c>
      <c r="K303" s="856" t="s">
        <v>891</v>
      </c>
      <c r="L303" s="783" t="s">
        <v>892</v>
      </c>
      <c r="M303" s="783" t="s">
        <v>893</v>
      </c>
      <c r="N303" s="783" t="s">
        <v>894</v>
      </c>
      <c r="O303" s="778" t="s">
        <v>895</v>
      </c>
      <c r="P303" s="778" t="s">
        <v>896</v>
      </c>
      <c r="Q303" s="832" t="s">
        <v>897</v>
      </c>
      <c r="R303" s="832" t="s">
        <v>898</v>
      </c>
      <c r="S303" s="832" t="s">
        <v>899</v>
      </c>
      <c r="T303" s="832" t="s">
        <v>900</v>
      </c>
    </row>
    <row r="304">
      <c r="A304" s="785" t="s">
        <v>947</v>
      </c>
      <c r="B304" s="797" t="s">
        <v>911</v>
      </c>
      <c r="C304" s="789" t="s">
        <v>948</v>
      </c>
      <c r="D304" s="788">
        <f t="shared" ref="D304:D307" si="43">E304+F304</f>
      </c>
      <c r="E304" s="789">
        <v>2970.87</v>
      </c>
      <c r="F304" s="789">
        <v>1604.81</v>
      </c>
      <c r="G304" s="790">
        <v>14</v>
      </c>
      <c r="H304" s="789">
        <v>6220.62</v>
      </c>
      <c r="I304" s="791">
        <f t="shared" ref="I304:I314" si="199">H304/D304</f>
      </c>
      <c r="J304" s="791">
        <f t="shared" ref="J304:J314" si="230">D304/G304</f>
      </c>
      <c r="K304" s="857">
        <f t="shared" ref="K304:K314" si="137">H304/G304</f>
      </c>
      <c r="L304" s="792">
        <f t="shared" ref="L304:L314" si="168">R304/Q304</f>
      </c>
      <c r="M304" s="793">
        <f t="shared" ref="M304:M314" si="16">G304/S304</f>
      </c>
      <c r="N304" s="794">
        <f t="shared" ref="N304:N314" si="106">(T304*1000)/D304</f>
      </c>
      <c r="O304" s="795" t="s">
        <v>904</v>
      </c>
      <c r="P304" s="796" t="s">
        <v>949</v>
      </c>
      <c r="Q304" s="784">
        <v>44282</v>
      </c>
      <c r="R304" s="784">
        <v>6354</v>
      </c>
      <c r="S304" s="797">
        <v>20</v>
      </c>
      <c r="T304" s="797">
        <v>102</v>
      </c>
    </row>
    <row r="305">
      <c r="A305" s="785"/>
      <c r="B305" s="797" t="s">
        <v>911</v>
      </c>
      <c r="C305" s="789" t="s">
        <v>950</v>
      </c>
      <c r="D305" s="788">
        <f t="shared" si="43"/>
      </c>
      <c r="E305" s="789">
        <v>3243.63</v>
      </c>
      <c r="F305" s="789">
        <v>817.07</v>
      </c>
      <c r="G305" s="790">
        <v>8</v>
      </c>
      <c r="H305" s="789">
        <v>6692.88</v>
      </c>
      <c r="I305" s="791">
        <f t="shared" si="199"/>
      </c>
      <c r="J305" s="791">
        <f t="shared" si="230"/>
      </c>
      <c r="K305" s="857">
        <f t="shared" si="137"/>
      </c>
      <c r="L305" s="792">
        <f t="shared" si="168"/>
      </c>
      <c r="M305" s="793">
        <f t="shared" si="16"/>
      </c>
      <c r="N305" s="794">
        <f t="shared" si="106"/>
      </c>
      <c r="O305" s="795" t="s">
        <v>904</v>
      </c>
      <c r="P305" s="796" t="s">
        <v>951</v>
      </c>
      <c r="Q305" s="784">
        <v>41854</v>
      </c>
      <c r="R305" s="784">
        <v>5830</v>
      </c>
      <c r="S305" s="797">
        <v>15</v>
      </c>
      <c r="T305" s="797">
        <v>116</v>
      </c>
    </row>
    <row customHeight="true" ht="16.071428571428573" r="306">
      <c r="A306" s="785"/>
      <c r="B306" s="797" t="s">
        <v>911</v>
      </c>
      <c r="C306" s="789" t="s">
        <v>952</v>
      </c>
      <c r="D306" s="788">
        <f t="shared" si="43"/>
      </c>
      <c r="E306" s="789">
        <v>1876.37</v>
      </c>
      <c r="F306" s="789">
        <v>606.03</v>
      </c>
      <c r="G306" s="790">
        <v>5</v>
      </c>
      <c r="H306" s="789">
        <v>2000.6399999999994</v>
      </c>
      <c r="I306" s="791">
        <f t="shared" si="199"/>
      </c>
      <c r="J306" s="791">
        <f t="shared" si="230"/>
      </c>
      <c r="K306" s="857">
        <f t="shared" si="137"/>
      </c>
      <c r="L306" s="792">
        <f t="shared" si="168"/>
      </c>
      <c r="M306" s="793">
        <f t="shared" si="16"/>
      </c>
      <c r="N306" s="794">
        <f t="shared" si="106"/>
      </c>
      <c r="O306" s="795" t="s">
        <v>904</v>
      </c>
      <c r="P306" s="796" t="s">
        <v>951</v>
      </c>
      <c r="Q306" s="784">
        <v>18681</v>
      </c>
      <c r="R306" s="784">
        <v>2523</v>
      </c>
      <c r="S306" s="797">
        <v>9</v>
      </c>
      <c r="T306" s="797">
        <v>56</v>
      </c>
    </row>
    <row customHeight="true" ht="16.071428571428573" r="307">
      <c r="A307" s="785"/>
      <c r="B307" s="797" t="s">
        <v>911</v>
      </c>
      <c r="C307" s="789" t="s">
        <v>907</v>
      </c>
      <c r="D307" s="788">
        <f t="shared" si="43"/>
      </c>
      <c r="E307" s="789">
        <v>1678.07</v>
      </c>
      <c r="F307" s="789">
        <v>1145.49</v>
      </c>
      <c r="G307" s="790">
        <v>6</v>
      </c>
      <c r="H307" s="789">
        <v>3579.720000000001</v>
      </c>
      <c r="I307" s="791">
        <f t="shared" si="199"/>
      </c>
      <c r="J307" s="791">
        <f t="shared" si="230"/>
      </c>
      <c r="K307" s="857">
        <f t="shared" si="137"/>
      </c>
      <c r="L307" s="792">
        <f t="shared" si="168"/>
      </c>
      <c r="M307" s="793">
        <f t="shared" si="16"/>
      </c>
      <c r="N307" s="794">
        <f t="shared" si="106"/>
      </c>
      <c r="O307" s="795" t="s">
        <v>904</v>
      </c>
      <c r="P307" s="796" t="s">
        <v>951</v>
      </c>
      <c r="Q307" s="784">
        <v>20379</v>
      </c>
      <c r="R307" s="784">
        <v>2672</v>
      </c>
      <c r="S307" s="797">
        <v>10</v>
      </c>
      <c r="T307" s="797">
        <v>78</v>
      </c>
    </row>
    <row customHeight="true" ht="16.071428571428573" r="308">
      <c r="A308" s="785"/>
      <c r="B308" s="808" t="s">
        <v>910</v>
      </c>
      <c r="C308" s="808"/>
      <c r="D308" s="799">
        <f>SUM(D304:D307)</f>
      </c>
      <c r="E308" s="799">
        <f>SUM(E304:E307)</f>
      </c>
      <c r="F308" s="799">
        <f>SUM(F304:F307)</f>
      </c>
      <c r="G308" s="800">
        <f>SUM(G304:G307)</f>
      </c>
      <c r="H308" s="799">
        <f>SUM(H304:H307)</f>
      </c>
      <c r="I308" s="801">
        <f t="shared" si="199"/>
      </c>
      <c r="J308" s="802">
        <f t="shared" si="230"/>
      </c>
      <c r="K308" s="854">
        <f t="shared" si="137"/>
      </c>
      <c r="L308" s="804">
        <f t="shared" si="168"/>
      </c>
      <c r="M308" s="804">
        <f t="shared" si="16"/>
      </c>
      <c r="N308" s="805">
        <f t="shared" si="106"/>
      </c>
      <c r="O308" s="805"/>
      <c r="P308" s="805"/>
      <c r="Q308" s="806">
        <f>SUM(Q304:Q307)</f>
      </c>
      <c r="R308" s="806">
        <f>SUM(R304:R307)</f>
      </c>
      <c r="S308" s="806">
        <f>SUM(S304:S307)</f>
      </c>
      <c r="T308" s="806">
        <f>SUM(T304:T307)</f>
      </c>
    </row>
    <row customHeight="true" ht="16.071428571428573" r="309">
      <c r="A309" s="785"/>
      <c r="B309" s="835" t="s">
        <v>918</v>
      </c>
      <c r="C309" s="789" t="s">
        <v>908</v>
      </c>
      <c r="D309" s="788">
        <f t="shared" ref="D309:D312" si="44">E309+F309</f>
      </c>
      <c r="E309" s="789">
        <v>1129.12</v>
      </c>
      <c r="F309" s="789">
        <v>1416.65</v>
      </c>
      <c r="G309" s="807">
        <v>4</v>
      </c>
      <c r="H309" s="788">
        <v>1800.5999999999985</v>
      </c>
      <c r="I309" s="791">
        <f t="shared" si="199"/>
      </c>
      <c r="J309" s="791">
        <f t="shared" si="230"/>
      </c>
      <c r="K309" s="857">
        <f t="shared" si="137"/>
      </c>
      <c r="L309" s="792">
        <f t="shared" si="168"/>
      </c>
      <c r="M309" s="793">
        <f t="shared" si="16"/>
      </c>
      <c r="N309" s="794">
        <f t="shared" si="106"/>
      </c>
      <c r="O309" s="795" t="s">
        <v>904</v>
      </c>
      <c r="P309" s="796" t="s">
        <v>951</v>
      </c>
      <c r="Q309" s="784">
        <v>16622</v>
      </c>
      <c r="R309" s="784">
        <v>2339</v>
      </c>
      <c r="S309" s="797">
        <v>8</v>
      </c>
      <c r="T309" s="797">
        <v>48</v>
      </c>
    </row>
    <row customHeight="true" ht="16.071428571428573" r="310">
      <c r="A310" s="785"/>
      <c r="B310" s="835" t="s">
        <v>918</v>
      </c>
      <c r="C310" s="789" t="s">
        <v>909</v>
      </c>
      <c r="D310" s="788">
        <f t="shared" si="44"/>
      </c>
      <c r="E310" s="789">
        <v>523.49</v>
      </c>
      <c r="F310" s="789">
        <v>1206.1</v>
      </c>
      <c r="G310" s="807">
        <v>5</v>
      </c>
      <c r="H310" s="788">
        <v>1035.880000000001</v>
      </c>
      <c r="I310" s="791">
        <f t="shared" si="199"/>
      </c>
      <c r="J310" s="791">
        <f t="shared" si="230"/>
      </c>
      <c r="K310" s="857">
        <f t="shared" si="137"/>
      </c>
      <c r="L310" s="792">
        <f t="shared" si="168"/>
      </c>
      <c r="M310" s="793">
        <f t="shared" si="16"/>
      </c>
      <c r="N310" s="794">
        <f t="shared" si="106"/>
      </c>
      <c r="O310" s="795" t="s">
        <v>904</v>
      </c>
      <c r="P310" s="796" t="s">
        <v>951</v>
      </c>
      <c r="Q310" s="784">
        <v>10599</v>
      </c>
      <c r="R310" s="784">
        <v>1715</v>
      </c>
      <c r="S310" s="797">
        <v>5</v>
      </c>
      <c r="T310" s="797">
        <v>27</v>
      </c>
    </row>
    <row customHeight="true" ht="16.071428571428573" r="311">
      <c r="A311" s="785"/>
      <c r="B311" s="835" t="s">
        <v>918</v>
      </c>
      <c r="C311" s="788" t="s">
        <v>912</v>
      </c>
      <c r="D311" s="788">
        <f t="shared" si="44"/>
      </c>
      <c r="E311" s="789">
        <v>962.21</v>
      </c>
      <c r="F311" s="789">
        <v>395</v>
      </c>
      <c r="G311" s="790">
        <v>2</v>
      </c>
      <c r="H311" s="789">
        <v>430.0799999999981</v>
      </c>
      <c r="I311" s="791">
        <f t="shared" si="199"/>
      </c>
      <c r="J311" s="791">
        <f t="shared" si="230"/>
      </c>
      <c r="K311" s="857">
        <f t="shared" si="137"/>
      </c>
      <c r="L311" s="792">
        <f t="shared" si="168"/>
      </c>
      <c r="M311" s="793">
        <f t="shared" si="16"/>
      </c>
      <c r="N311" s="794">
        <f t="shared" si="106"/>
      </c>
      <c r="O311" s="795" t="s">
        <v>904</v>
      </c>
      <c r="P311" s="796" t="s">
        <v>951</v>
      </c>
      <c r="Q311" s="784">
        <v>8696</v>
      </c>
      <c r="R311" s="784">
        <v>1120</v>
      </c>
      <c r="S311" s="797">
        <v>3</v>
      </c>
      <c r="T311" s="797">
        <v>19</v>
      </c>
    </row>
    <row customHeight="true" ht="16.071428571428573" r="312">
      <c r="A312" s="785"/>
      <c r="B312" s="835" t="s">
        <v>918</v>
      </c>
      <c r="C312" s="788" t="s">
        <v>913</v>
      </c>
      <c r="D312" s="788">
        <f t="shared" si="44"/>
      </c>
      <c r="E312" s="789">
        <v>494.44</v>
      </c>
      <c r="F312" s="789">
        <v>183.54</v>
      </c>
      <c r="G312" s="790">
        <v>3</v>
      </c>
      <c r="H312" s="789">
        <v>1585.5600000000013</v>
      </c>
      <c r="I312" s="791">
        <f t="shared" si="199"/>
      </c>
      <c r="J312" s="791">
        <f t="shared" si="230"/>
      </c>
      <c r="K312" s="857">
        <f t="shared" si="137"/>
      </c>
      <c r="L312" s="792">
        <f t="shared" si="168"/>
      </c>
      <c r="M312" s="793">
        <f t="shared" si="16"/>
      </c>
      <c r="N312" s="794">
        <f t="shared" si="106"/>
      </c>
      <c r="O312" s="795" t="s">
        <v>904</v>
      </c>
      <c r="P312" s="796" t="s">
        <v>951</v>
      </c>
      <c r="Q312" s="832">
        <v>4972</v>
      </c>
      <c r="R312" s="832">
        <v>738</v>
      </c>
      <c r="S312" s="836">
        <v>3</v>
      </c>
      <c r="T312" s="836">
        <v>16</v>
      </c>
    </row>
    <row customHeight="true" ht="16.071428571428573" r="313">
      <c r="A313" s="785"/>
      <c r="B313" s="808" t="s">
        <v>910</v>
      </c>
      <c r="C313" s="808"/>
      <c r="D313" s="799">
        <f>SUM(D309:D312)</f>
      </c>
      <c r="E313" s="799">
        <f>SUM(E309:E312)</f>
      </c>
      <c r="F313" s="799">
        <f>SUM(F309:F312)</f>
      </c>
      <c r="G313" s="800">
        <f>SUM(G309:G312)</f>
      </c>
      <c r="H313" s="799">
        <f>SUM(H309:H312)</f>
      </c>
      <c r="I313" s="801">
        <f t="shared" si="199"/>
      </c>
      <c r="J313" s="802">
        <f t="shared" si="230"/>
      </c>
      <c r="K313" s="854">
        <f t="shared" si="137"/>
      </c>
      <c r="L313" s="804">
        <f t="shared" si="168"/>
      </c>
      <c r="M313" s="804">
        <f t="shared" si="16"/>
      </c>
      <c r="N313" s="805">
        <f t="shared" si="106"/>
      </c>
      <c r="O313" s="805"/>
      <c r="P313" s="805"/>
      <c r="Q313" s="806">
        <f>SUM(Q309:Q312)</f>
      </c>
      <c r="R313" s="806">
        <f>SUM(R309:R312)</f>
      </c>
      <c r="S313" s="806">
        <f>SUM(S309:S312)</f>
      </c>
      <c r="T313" s="806">
        <f>SUM(T309:T312)</f>
      </c>
    </row>
    <row customHeight="true" ht="16.071428571428573" r="314">
      <c r="A314" s="785"/>
      <c r="B314" s="809" t="s">
        <v>926</v>
      </c>
      <c r="C314" s="809"/>
      <c r="D314" s="810">
        <f>D308+D313</f>
      </c>
      <c r="E314" s="810">
        <f>E308+E313</f>
      </c>
      <c r="F314" s="810">
        <f>F308+F313</f>
      </c>
      <c r="G314" s="810">
        <f>G308+G313</f>
      </c>
      <c r="H314" s="810">
        <f>H308+H313</f>
      </c>
      <c r="I314" s="809">
        <f t="shared" si="199"/>
      </c>
      <c r="J314" s="809">
        <f t="shared" si="230"/>
      </c>
      <c r="K314" s="845">
        <f t="shared" si="137"/>
      </c>
      <c r="L314" s="812">
        <f t="shared" si="168"/>
      </c>
      <c r="M314" s="812">
        <f t="shared" si="16"/>
      </c>
      <c r="N314" s="809">
        <f t="shared" si="106"/>
      </c>
      <c r="O314" s="813"/>
      <c r="P314" s="813"/>
      <c r="Q314" s="811">
        <f>Q308+Q313</f>
      </c>
      <c r="R314" s="811">
        <f>R308+R313</f>
      </c>
      <c r="S314" s="811">
        <f>S308+S313</f>
      </c>
      <c r="T314" s="811">
        <f>T308+T313</f>
      </c>
    </row>
    <row customHeight="true" ht="16.071428571428573" r="315">
      <c r="A315" s="775" t="s">
        <v>877</v>
      </c>
      <c r="B315" s="775"/>
      <c r="C315" s="775"/>
      <c r="D315" s="776" t="s">
        <v>878</v>
      </c>
      <c r="E315" s="776"/>
      <c r="F315" s="776"/>
      <c r="G315" s="776"/>
      <c r="H315" s="776"/>
      <c r="I315" s="776"/>
      <c r="J315" s="776"/>
      <c r="K315" s="776"/>
      <c r="L315" s="778" t="s">
        <v>879</v>
      </c>
      <c r="M315" s="778"/>
      <c r="N315" s="778"/>
      <c r="O315" s="778"/>
      <c r="P315" s="778"/>
      <c r="Q315" s="779" t="s">
        <v>880</v>
      </c>
      <c r="R315" s="779"/>
      <c r="S315" s="779"/>
      <c r="T315" s="779"/>
    </row>
    <row customHeight="true" ht="16.071428571428573" r="316">
      <c r="A316" s="827" t="s">
        <v>881</v>
      </c>
      <c r="B316" s="827" t="s">
        <v>882</v>
      </c>
      <c r="C316" s="827" t="s">
        <v>883</v>
      </c>
      <c r="D316" s="828" t="s">
        <v>884</v>
      </c>
      <c r="E316" s="828" t="s">
        <v>885</v>
      </c>
      <c r="F316" s="828" t="s">
        <v>886</v>
      </c>
      <c r="G316" s="829" t="s">
        <v>887</v>
      </c>
      <c r="H316" s="828" t="s">
        <v>888</v>
      </c>
      <c r="I316" s="830" t="s">
        <v>889</v>
      </c>
      <c r="J316" s="831" t="s">
        <v>890</v>
      </c>
      <c r="K316" s="856" t="s">
        <v>891</v>
      </c>
      <c r="L316" s="783" t="s">
        <v>892</v>
      </c>
      <c r="M316" s="783" t="s">
        <v>893</v>
      </c>
      <c r="N316" s="783" t="s">
        <v>894</v>
      </c>
      <c r="O316" s="778" t="s">
        <v>895</v>
      </c>
      <c r="P316" s="778" t="s">
        <v>896</v>
      </c>
      <c r="Q316" s="832" t="s">
        <v>897</v>
      </c>
      <c r="R316" s="832" t="s">
        <v>898</v>
      </c>
      <c r="S316" s="832" t="s">
        <v>899</v>
      </c>
      <c r="T316" s="832" t="s">
        <v>900</v>
      </c>
    </row>
    <row customHeight="true" ht="16.071428571428573" r="317">
      <c r="A317" s="785" t="s">
        <v>953</v>
      </c>
      <c r="B317" s="784" t="s">
        <v>902</v>
      </c>
      <c r="C317" s="789" t="s">
        <v>954</v>
      </c>
      <c r="D317" s="788">
        <f t="shared" ref="D317:D320" si="45">E317+F317</f>
      </c>
      <c r="E317" s="789">
        <v>320.34</v>
      </c>
      <c r="F317" s="789">
        <v>417.98</v>
      </c>
      <c r="G317" s="790">
        <v>1</v>
      </c>
      <c r="H317" s="789">
        <v>215.04</v>
      </c>
      <c r="I317" s="791">
        <f t="shared" ref="I317:I329" si="200">H317/D317</f>
      </c>
      <c r="J317" s="791">
        <f t="shared" ref="J317:J329" si="231">D317/G317</f>
      </c>
      <c r="K317" s="857">
        <f t="shared" ref="K317:K329" si="138">H317/G317</f>
      </c>
      <c r="L317" s="792">
        <f t="shared" ref="L317:L329" si="169">R317/Q317</f>
      </c>
      <c r="M317" s="793">
        <f t="shared" ref="M317:M329" si="17">G317/S317</f>
      </c>
      <c r="N317" s="794">
        <f t="shared" ref="N317:N329" si="107">(T317*1000)/D317</f>
      </c>
      <c r="O317" s="795" t="s">
        <v>904</v>
      </c>
      <c r="P317" s="833" t="s">
        <v>932</v>
      </c>
      <c r="Q317" s="784">
        <v>8318</v>
      </c>
      <c r="R317" s="784">
        <v>1112</v>
      </c>
      <c r="S317" s="797">
        <v>2</v>
      </c>
      <c r="T317" s="797">
        <v>18</v>
      </c>
    </row>
    <row customHeight="true" ht="16.071428571428573" r="318">
      <c r="A318" s="785"/>
      <c r="B318" s="784" t="s">
        <v>902</v>
      </c>
      <c r="C318" s="789" t="s">
        <v>903</v>
      </c>
      <c r="D318" s="788">
        <f t="shared" si="45"/>
      </c>
      <c r="E318" s="789">
        <v>554.17</v>
      </c>
      <c r="F318" s="789">
        <v>376.37</v>
      </c>
      <c r="G318" s="790">
        <v>3</v>
      </c>
      <c r="H318" s="789">
        <v>2456.88</v>
      </c>
      <c r="I318" s="791">
        <f t="shared" si="200"/>
      </c>
      <c r="J318" s="791">
        <f t="shared" si="231"/>
      </c>
      <c r="K318" s="857">
        <f t="shared" si="138"/>
      </c>
      <c r="L318" s="792">
        <f t="shared" si="169"/>
      </c>
      <c r="M318" s="793">
        <f t="shared" si="17"/>
      </c>
      <c r="N318" s="794">
        <f t="shared" si="107"/>
      </c>
      <c r="O318" s="795" t="s">
        <v>904</v>
      </c>
      <c r="P318" s="833" t="s">
        <v>932</v>
      </c>
      <c r="Q318" s="784">
        <v>8755</v>
      </c>
      <c r="R318" s="784">
        <v>1137</v>
      </c>
      <c r="S318" s="797">
        <v>5</v>
      </c>
      <c r="T318" s="797">
        <v>46</v>
      </c>
    </row>
    <row customHeight="true" ht="16.071428571428573" r="319">
      <c r="A319" s="785"/>
      <c r="B319" s="784" t="s">
        <v>902</v>
      </c>
      <c r="C319" s="789" t="s">
        <v>906</v>
      </c>
      <c r="D319" s="788">
        <f t="shared" si="45"/>
      </c>
      <c r="E319" s="789">
        <v>1457.39</v>
      </c>
      <c r="F319" s="789">
        <v>681.61</v>
      </c>
      <c r="G319" s="790">
        <v>4</v>
      </c>
      <c r="H319" s="789">
        <v>1283.56</v>
      </c>
      <c r="I319" s="791">
        <f t="shared" si="200"/>
      </c>
      <c r="J319" s="791">
        <f t="shared" si="231"/>
      </c>
      <c r="K319" s="857">
        <f t="shared" si="138"/>
      </c>
      <c r="L319" s="792">
        <f t="shared" si="169"/>
      </c>
      <c r="M319" s="793">
        <f t="shared" si="17"/>
      </c>
      <c r="N319" s="794">
        <f t="shared" si="107"/>
      </c>
      <c r="O319" s="795" t="s">
        <v>904</v>
      </c>
      <c r="P319" s="833" t="s">
        <v>932</v>
      </c>
      <c r="Q319" s="784">
        <v>18481</v>
      </c>
      <c r="R319" s="784">
        <v>2401</v>
      </c>
      <c r="S319" s="797">
        <v>6</v>
      </c>
      <c r="T319" s="797">
        <v>41</v>
      </c>
    </row>
    <row r="320">
      <c r="A320" s="785"/>
      <c r="B320" s="784" t="s">
        <v>902</v>
      </c>
      <c r="C320" s="789" t="s">
        <v>907</v>
      </c>
      <c r="D320" s="788">
        <f t="shared" si="45"/>
      </c>
      <c r="E320" s="789">
        <v>1089.31</v>
      </c>
      <c r="F320" s="789">
        <v>526.7</v>
      </c>
      <c r="G320" s="790">
        <v>3</v>
      </c>
      <c r="H320" s="789">
        <v>2456.8799999999997</v>
      </c>
      <c r="I320" s="791">
        <f t="shared" si="200"/>
      </c>
      <c r="J320" s="791">
        <f t="shared" si="231"/>
      </c>
      <c r="K320" s="857">
        <f t="shared" si="138"/>
      </c>
      <c r="L320" s="792">
        <f t="shared" si="169"/>
      </c>
      <c r="M320" s="793">
        <f t="shared" si="17"/>
      </c>
      <c r="N320" s="794">
        <f t="shared" si="107"/>
      </c>
      <c r="O320" s="795" t="s">
        <v>904</v>
      </c>
      <c r="P320" s="833" t="s">
        <v>932</v>
      </c>
      <c r="Q320" s="784">
        <v>11186</v>
      </c>
      <c r="R320" s="784">
        <v>1685</v>
      </c>
      <c r="S320" s="797">
        <v>5</v>
      </c>
      <c r="T320" s="797">
        <v>48</v>
      </c>
    </row>
    <row r="321">
      <c r="A321" s="785"/>
      <c r="B321" s="808" t="s">
        <v>910</v>
      </c>
      <c r="C321" s="808"/>
      <c r="D321" s="799">
        <f>SUM(D317:D320)</f>
      </c>
      <c r="E321" s="799">
        <f>SUM(E317:E320)</f>
      </c>
      <c r="F321" s="799">
        <f>SUM(F317:F320)</f>
      </c>
      <c r="G321" s="800">
        <f>SUM(G317:G320)</f>
      </c>
      <c r="H321" s="799">
        <f>SUM(H317:H320)</f>
      </c>
      <c r="I321" s="801">
        <f t="shared" si="200"/>
      </c>
      <c r="J321" s="802">
        <f t="shared" si="231"/>
      </c>
      <c r="K321" s="854">
        <f t="shared" si="138"/>
      </c>
      <c r="L321" s="804">
        <f t="shared" si="169"/>
      </c>
      <c r="M321" s="804">
        <f t="shared" si="17"/>
      </c>
      <c r="N321" s="805">
        <f t="shared" si="107"/>
      </c>
      <c r="O321" s="805"/>
      <c r="P321" s="805"/>
      <c r="Q321" s="806">
        <f>SUM(Q317:Q320)</f>
      </c>
      <c r="R321" s="806">
        <f>SUM(R317:R320)</f>
      </c>
      <c r="S321" s="806">
        <f>SUM(S317:S320)</f>
      </c>
      <c r="T321" s="806">
        <f>SUM(T317:T320)</f>
      </c>
    </row>
    <row r="322">
      <c r="A322" s="785"/>
      <c r="B322" s="797" t="s">
        <v>922</v>
      </c>
      <c r="C322" s="789" t="s">
        <v>908</v>
      </c>
      <c r="D322" s="788">
        <f t="shared" ref="D322:D324" si="46">E322+F322</f>
      </c>
      <c r="E322" s="789">
        <v>1322.66</v>
      </c>
      <c r="F322" s="789">
        <v>367.37</v>
      </c>
      <c r="G322" s="807">
        <v>6</v>
      </c>
      <c r="H322" s="788">
        <v>2959.6500000000005</v>
      </c>
      <c r="I322" s="791">
        <f t="shared" si="200"/>
      </c>
      <c r="J322" s="791">
        <f t="shared" si="231"/>
      </c>
      <c r="K322" s="857">
        <f t="shared" si="138"/>
      </c>
      <c r="L322" s="792">
        <f t="shared" si="169"/>
      </c>
      <c r="M322" s="793">
        <f t="shared" si="17"/>
      </c>
      <c r="N322" s="794">
        <f t="shared" si="107"/>
      </c>
      <c r="O322" s="795" t="s">
        <v>904</v>
      </c>
      <c r="P322" s="833" t="s">
        <v>932</v>
      </c>
      <c r="Q322" s="784">
        <v>11121</v>
      </c>
      <c r="R322" s="784">
        <v>1703</v>
      </c>
      <c r="S322" s="797">
        <v>10</v>
      </c>
      <c r="T322" s="797">
        <v>37</v>
      </c>
    </row>
    <row r="323">
      <c r="A323" s="785"/>
      <c r="B323" s="797" t="s">
        <v>922</v>
      </c>
      <c r="C323" s="789" t="s">
        <v>909</v>
      </c>
      <c r="D323" s="788">
        <f t="shared" si="46"/>
      </c>
      <c r="E323" s="789">
        <v>2393.13</v>
      </c>
      <c r="F323" s="789">
        <v>524.08</v>
      </c>
      <c r="G323" s="807">
        <v>8</v>
      </c>
      <c r="H323" s="788">
        <v>3108.4799999999996</v>
      </c>
      <c r="I323" s="791">
        <f t="shared" si="200"/>
      </c>
      <c r="J323" s="791">
        <f t="shared" si="231"/>
      </c>
      <c r="K323" s="857">
        <f t="shared" si="138"/>
      </c>
      <c r="L323" s="792">
        <f t="shared" si="169"/>
      </c>
      <c r="M323" s="793">
        <f t="shared" si="17"/>
      </c>
      <c r="N323" s="794">
        <f t="shared" si="107"/>
      </c>
      <c r="O323" s="795" t="s">
        <v>904</v>
      </c>
      <c r="P323" s="833" t="s">
        <v>932</v>
      </c>
      <c r="Q323" s="784">
        <v>21836</v>
      </c>
      <c r="R323" s="784">
        <v>3216</v>
      </c>
      <c r="S323" s="797">
        <v>11</v>
      </c>
      <c r="T323" s="797">
        <v>62</v>
      </c>
    </row>
    <row customHeight="true" ht="16.666666666666668" r="324">
      <c r="A324" s="785"/>
      <c r="B324" s="797" t="s">
        <v>922</v>
      </c>
      <c r="C324" s="788" t="s">
        <v>912</v>
      </c>
      <c r="D324" s="788">
        <f t="shared" si="46"/>
      </c>
      <c r="E324" s="789">
        <v>2565.2</v>
      </c>
      <c r="F324" s="789">
        <v>434.87</v>
      </c>
      <c r="G324" s="807">
        <v>9</v>
      </c>
      <c r="H324" s="788">
        <v>2398.08</v>
      </c>
      <c r="I324" s="791">
        <f t="shared" si="200"/>
      </c>
      <c r="J324" s="791">
        <f t="shared" si="231"/>
      </c>
      <c r="K324" s="857">
        <f t="shared" si="138"/>
      </c>
      <c r="L324" s="792">
        <f t="shared" si="169"/>
      </c>
      <c r="M324" s="793">
        <f t="shared" si="17"/>
      </c>
      <c r="N324" s="794">
        <f t="shared" si="107"/>
      </c>
      <c r="O324" s="795" t="s">
        <v>904</v>
      </c>
      <c r="P324" s="833" t="s">
        <v>932</v>
      </c>
      <c r="Q324" s="837">
        <v>23883</v>
      </c>
      <c r="R324" s="837">
        <v>3376</v>
      </c>
      <c r="S324" s="838">
        <v>19</v>
      </c>
      <c r="T324" s="838">
        <v>58</v>
      </c>
    </row>
    <row customHeight="true" ht="16.666666666666668" r="325">
      <c r="A325" s="785"/>
      <c r="B325" s="808" t="s">
        <v>910</v>
      </c>
      <c r="C325" s="808"/>
      <c r="D325" s="799">
        <f>SUM(D322:D324)</f>
      </c>
      <c r="E325" s="799">
        <f>SUM(E322:E324)</f>
      </c>
      <c r="F325" s="799">
        <f>SUM(F322:F324)</f>
      </c>
      <c r="G325" s="800">
        <f>SUM(G322:G324)</f>
      </c>
      <c r="H325" s="799">
        <f>SUM(H322:H324)</f>
      </c>
      <c r="I325" s="801">
        <f t="shared" si="200"/>
      </c>
      <c r="J325" s="802">
        <f t="shared" si="231"/>
      </c>
      <c r="K325" s="854">
        <f t="shared" si="138"/>
      </c>
      <c r="L325" s="804">
        <f t="shared" si="169"/>
      </c>
      <c r="M325" s="804">
        <f t="shared" si="17"/>
      </c>
      <c r="N325" s="805">
        <f t="shared" si="107"/>
      </c>
      <c r="O325" s="805"/>
      <c r="P325" s="805"/>
      <c r="Q325" s="806">
        <f>SUM(Q322:Q324)</f>
      </c>
      <c r="R325" s="806">
        <f>SUM(R322:R324)</f>
      </c>
      <c r="S325" s="806">
        <f>SUM(S322:S324)</f>
      </c>
      <c r="T325" s="806">
        <f>SUM(T322:T324)</f>
      </c>
    </row>
    <row customHeight="true" ht="16.666666666666668" r="326">
      <c r="A326" s="785"/>
      <c r="B326" s="797" t="s">
        <v>955</v>
      </c>
      <c r="C326" s="788" t="s">
        <v>913</v>
      </c>
      <c r="D326" s="788">
        <f t="shared" ref="D326:D327" si="47">E326+F326</f>
      </c>
      <c r="E326" s="789">
        <v>2780.46</v>
      </c>
      <c r="F326" s="789">
        <v>670.79</v>
      </c>
      <c r="G326" s="807">
        <v>7</v>
      </c>
      <c r="H326" s="788">
        <v>4257.48</v>
      </c>
      <c r="I326" s="791">
        <f t="shared" si="200"/>
      </c>
      <c r="J326" s="791">
        <f t="shared" si="231"/>
      </c>
      <c r="K326" s="857">
        <f t="shared" si="138"/>
      </c>
      <c r="L326" s="792">
        <f t="shared" si="169"/>
      </c>
      <c r="M326" s="793">
        <f t="shared" si="17"/>
      </c>
      <c r="N326" s="794">
        <f t="shared" si="107"/>
      </c>
      <c r="O326" s="795" t="s">
        <v>904</v>
      </c>
      <c r="P326" s="833" t="s">
        <v>932</v>
      </c>
      <c r="Q326" s="837">
        <v>29018</v>
      </c>
      <c r="R326" s="837">
        <v>3694</v>
      </c>
      <c r="S326" s="838">
        <v>10</v>
      </c>
      <c r="T326" s="838">
        <v>61</v>
      </c>
    </row>
    <row r="327">
      <c r="A327" s="785"/>
      <c r="B327" s="797" t="s">
        <v>955</v>
      </c>
      <c r="C327" s="788" t="s">
        <v>914</v>
      </c>
      <c r="D327" s="788">
        <f t="shared" si="47"/>
      </c>
      <c r="E327" s="789">
        <v>1120.91</v>
      </c>
      <c r="F327" s="789">
        <v>456.72</v>
      </c>
      <c r="G327" s="807">
        <v>10</v>
      </c>
      <c r="H327" s="788">
        <v>3075.84</v>
      </c>
      <c r="I327" s="791">
        <f t="shared" si="200"/>
      </c>
      <c r="J327" s="791">
        <f t="shared" si="231"/>
      </c>
      <c r="K327" s="857">
        <f t="shared" si="138"/>
      </c>
      <c r="L327" s="792">
        <f t="shared" si="169"/>
      </c>
      <c r="M327" s="793">
        <f t="shared" si="17"/>
      </c>
      <c r="N327" s="794">
        <f t="shared" si="107"/>
      </c>
      <c r="O327" s="795" t="s">
        <v>904</v>
      </c>
      <c r="P327" s="833" t="s">
        <v>932</v>
      </c>
      <c r="Q327" s="837">
        <v>13555</v>
      </c>
      <c r="R327" s="837">
        <v>1617</v>
      </c>
      <c r="S327" s="838">
        <v>12</v>
      </c>
      <c r="T327" s="838">
        <v>40</v>
      </c>
    </row>
    <row r="328">
      <c r="A328" s="785"/>
      <c r="B328" s="808" t="s">
        <v>910</v>
      </c>
      <c r="C328" s="808"/>
      <c r="D328" s="799">
        <f>SUM(D326:D327)</f>
      </c>
      <c r="E328" s="799">
        <f>SUM(E326:E327)</f>
      </c>
      <c r="F328" s="799">
        <f>SUM(F326:F327)</f>
      </c>
      <c r="G328" s="800">
        <f>SUM(G326:G327)</f>
      </c>
      <c r="H328" s="799">
        <f>SUM(H326:H327)</f>
      </c>
      <c r="I328" s="801">
        <f t="shared" si="200"/>
      </c>
      <c r="J328" s="802">
        <f t="shared" si="231"/>
      </c>
      <c r="K328" s="854">
        <f t="shared" si="138"/>
      </c>
      <c r="L328" s="804">
        <f t="shared" si="169"/>
      </c>
      <c r="M328" s="804">
        <f t="shared" si="17"/>
      </c>
      <c r="N328" s="805">
        <f t="shared" si="107"/>
      </c>
      <c r="O328" s="805"/>
      <c r="P328" s="805"/>
      <c r="Q328" s="806">
        <f>SUM(Q326:Q327)</f>
      </c>
      <c r="R328" s="806">
        <f>SUM(R326:R327)</f>
      </c>
      <c r="S328" s="806">
        <f>SUM(S326:S327)</f>
      </c>
      <c r="T328" s="806">
        <f>SUM(T326:T327)</f>
      </c>
    </row>
    <row r="329">
      <c r="A329" s="785"/>
      <c r="B329" s="809" t="s">
        <v>926</v>
      </c>
      <c r="C329" s="809"/>
      <c r="D329" s="810">
        <f>D321+D328+D325</f>
      </c>
      <c r="E329" s="810">
        <f>E321+E328+E325</f>
      </c>
      <c r="F329" s="810">
        <f>F321+F328+F325</f>
      </c>
      <c r="G329" s="811">
        <f>G321+G328+G325</f>
      </c>
      <c r="H329" s="810">
        <f>H321+H328+H325</f>
      </c>
      <c r="I329" s="809">
        <f t="shared" si="200"/>
      </c>
      <c r="J329" s="809">
        <f t="shared" si="231"/>
      </c>
      <c r="K329" s="845">
        <f t="shared" si="138"/>
      </c>
      <c r="L329" s="812">
        <f t="shared" si="169"/>
      </c>
      <c r="M329" s="812">
        <f t="shared" si="17"/>
      </c>
      <c r="N329" s="809">
        <f t="shared" si="107"/>
      </c>
      <c r="O329" s="813"/>
      <c r="P329" s="813"/>
      <c r="Q329" s="811">
        <f>Q321+Q328+Q325</f>
      </c>
      <c r="R329" s="811">
        <f>R321+R328+R325</f>
      </c>
      <c r="S329" s="811">
        <f>S321+S328+S325</f>
      </c>
      <c r="T329" s="811">
        <f>T321+T328+T325</f>
      </c>
    </row>
    <row r="330">
      <c r="A330" s="775" t="s">
        <v>877</v>
      </c>
      <c r="B330" s="775"/>
      <c r="C330" s="775"/>
      <c r="D330" s="776" t="s">
        <v>878</v>
      </c>
      <c r="E330" s="776"/>
      <c r="F330" s="776"/>
      <c r="G330" s="776"/>
      <c r="H330" s="776"/>
      <c r="I330" s="776"/>
      <c r="J330" s="776"/>
      <c r="K330" s="776"/>
      <c r="L330" s="778" t="s">
        <v>879</v>
      </c>
      <c r="M330" s="778"/>
      <c r="N330" s="778"/>
      <c r="O330" s="778"/>
      <c r="P330" s="778"/>
      <c r="Q330" s="779" t="s">
        <v>880</v>
      </c>
      <c r="R330" s="779"/>
      <c r="S330" s="779"/>
      <c r="T330" s="779"/>
    </row>
    <row r="331">
      <c r="A331" s="827" t="s">
        <v>881</v>
      </c>
      <c r="B331" s="827" t="s">
        <v>882</v>
      </c>
      <c r="C331" s="827" t="s">
        <v>883</v>
      </c>
      <c r="D331" s="828" t="s">
        <v>884</v>
      </c>
      <c r="E331" s="828" t="s">
        <v>885</v>
      </c>
      <c r="F331" s="828" t="s">
        <v>886</v>
      </c>
      <c r="G331" s="829" t="s">
        <v>887</v>
      </c>
      <c r="H331" s="828" t="s">
        <v>888</v>
      </c>
      <c r="I331" s="830" t="s">
        <v>889</v>
      </c>
      <c r="J331" s="831" t="s">
        <v>890</v>
      </c>
      <c r="K331" s="856" t="s">
        <v>891</v>
      </c>
      <c r="L331" s="783" t="s">
        <v>892</v>
      </c>
      <c r="M331" s="783" t="s">
        <v>893</v>
      </c>
      <c r="N331" s="783" t="s">
        <v>894</v>
      </c>
      <c r="O331" s="778" t="s">
        <v>895</v>
      </c>
      <c r="P331" s="778" t="s">
        <v>896</v>
      </c>
      <c r="Q331" s="832" t="s">
        <v>897</v>
      </c>
      <c r="R331" s="832" t="s">
        <v>898</v>
      </c>
      <c r="S331" s="832" t="s">
        <v>899</v>
      </c>
      <c r="T331" s="832" t="s">
        <v>900</v>
      </c>
    </row>
    <row r="332">
      <c r="A332" s="785" t="s">
        <v>956</v>
      </c>
      <c r="B332" s="784" t="s">
        <v>902</v>
      </c>
      <c r="C332" s="789" t="s">
        <v>954</v>
      </c>
      <c r="D332" s="788">
        <f t="shared" ref="D332:D335" si="48">E332+F332</f>
      </c>
      <c r="E332" s="789">
        <v>920.07</v>
      </c>
      <c r="F332" s="789">
        <v>1277.62</v>
      </c>
      <c r="G332" s="790">
        <v>1</v>
      </c>
      <c r="H332" s="789">
        <v>215.04</v>
      </c>
      <c r="I332" s="791">
        <f t="shared" ref="I332:I344" si="201">H332/D332</f>
      </c>
      <c r="J332" s="791">
        <f t="shared" ref="J332:J344" si="232">D332/G332</f>
      </c>
      <c r="K332" s="857">
        <f t="shared" ref="K332:K344" si="139">H332/G332</f>
      </c>
      <c r="L332" s="792">
        <f t="shared" ref="L332:L344" si="170">R332/Q332</f>
      </c>
      <c r="M332" s="793">
        <f t="shared" ref="M332:M344" si="18">G332/S332</f>
      </c>
      <c r="N332" s="794">
        <f t="shared" ref="N332:N344" si="108">(T332*1000)/D332</f>
      </c>
      <c r="O332" s="795" t="s">
        <v>904</v>
      </c>
      <c r="P332" s="833" t="s">
        <v>932</v>
      </c>
      <c r="Q332" s="784">
        <v>18188</v>
      </c>
      <c r="R332" s="784">
        <v>2509</v>
      </c>
      <c r="S332" s="797">
        <v>2</v>
      </c>
      <c r="T332" s="797">
        <v>45</v>
      </c>
    </row>
    <row r="333">
      <c r="A333" s="785"/>
      <c r="B333" s="784" t="s">
        <v>902</v>
      </c>
      <c r="C333" s="789" t="s">
        <v>903</v>
      </c>
      <c r="D333" s="788">
        <f t="shared" si="48"/>
      </c>
      <c r="E333" s="789">
        <v>450.47</v>
      </c>
      <c r="F333" s="789">
        <v>303.26</v>
      </c>
      <c r="G333" s="790">
        <v>0</v>
      </c>
      <c r="H333" s="789">
        <v>0</v>
      </c>
      <c r="I333" s="791">
        <f t="shared" si="201"/>
      </c>
      <c r="J333" s="791">
        <f t="shared" si="232"/>
      </c>
      <c r="K333" s="857">
        <f t="shared" si="139"/>
      </c>
      <c r="L333" s="792">
        <f t="shared" si="170"/>
      </c>
      <c r="M333" s="793">
        <f t="shared" si="18"/>
      </c>
      <c r="N333" s="794">
        <f t="shared" si="108"/>
      </c>
      <c r="O333" s="795" t="s">
        <v>904</v>
      </c>
      <c r="P333" s="833" t="s">
        <v>932</v>
      </c>
      <c r="Q333" s="784">
        <v>7727</v>
      </c>
      <c r="R333" s="784">
        <v>1051</v>
      </c>
      <c r="S333" s="797">
        <v>0</v>
      </c>
      <c r="T333" s="797">
        <v>20</v>
      </c>
    </row>
    <row r="334">
      <c r="A334" s="785"/>
      <c r="B334" s="784" t="s">
        <v>902</v>
      </c>
      <c r="C334" s="789" t="s">
        <v>906</v>
      </c>
      <c r="D334" s="788">
        <f t="shared" si="48"/>
      </c>
      <c r="E334" s="789">
        <v>1589.04</v>
      </c>
      <c r="F334" s="789">
        <v>762.96</v>
      </c>
      <c r="G334" s="790">
        <v>10</v>
      </c>
      <c r="H334" s="789">
        <v>4424.88</v>
      </c>
      <c r="I334" s="791">
        <f t="shared" si="201"/>
      </c>
      <c r="J334" s="791">
        <f t="shared" si="232"/>
      </c>
      <c r="K334" s="857">
        <f t="shared" si="139"/>
      </c>
      <c r="L334" s="792">
        <f t="shared" si="170"/>
      </c>
      <c r="M334" s="793">
        <f t="shared" si="18"/>
      </c>
      <c r="N334" s="794">
        <f t="shared" si="108"/>
      </c>
      <c r="O334" s="795" t="s">
        <v>904</v>
      </c>
      <c r="P334" s="833" t="s">
        <v>932</v>
      </c>
      <c r="Q334" s="784">
        <v>19443</v>
      </c>
      <c r="R334" s="784">
        <v>2945</v>
      </c>
      <c r="S334" s="797">
        <v>14</v>
      </c>
      <c r="T334" s="797">
        <v>46</v>
      </c>
    </row>
    <row r="335">
      <c r="A335" s="785"/>
      <c r="B335" s="784" t="s">
        <v>902</v>
      </c>
      <c r="C335" s="789" t="s">
        <v>907</v>
      </c>
      <c r="D335" s="788">
        <f t="shared" si="48"/>
      </c>
      <c r="E335" s="789">
        <v>1698.21</v>
      </c>
      <c r="F335" s="789">
        <v>838.03</v>
      </c>
      <c r="G335" s="790">
        <v>12</v>
      </c>
      <c r="H335" s="789">
        <v>4171.25</v>
      </c>
      <c r="I335" s="791">
        <f t="shared" si="201"/>
      </c>
      <c r="J335" s="791">
        <f t="shared" si="232"/>
      </c>
      <c r="K335" s="857">
        <f t="shared" si="139"/>
      </c>
      <c r="L335" s="792">
        <f t="shared" si="170"/>
      </c>
      <c r="M335" s="793">
        <f t="shared" si="18"/>
      </c>
      <c r="N335" s="794">
        <f t="shared" si="108"/>
      </c>
      <c r="O335" s="795" t="s">
        <v>904</v>
      </c>
      <c r="P335" s="833" t="s">
        <v>932</v>
      </c>
      <c r="Q335" s="784">
        <v>20239</v>
      </c>
      <c r="R335" s="784">
        <v>2952</v>
      </c>
      <c r="S335" s="797">
        <v>16</v>
      </c>
      <c r="T335" s="797">
        <v>54</v>
      </c>
    </row>
    <row r="336">
      <c r="A336" s="785"/>
      <c r="B336" s="808" t="s">
        <v>910</v>
      </c>
      <c r="C336" s="808"/>
      <c r="D336" s="799">
        <f>SUM(D332:D335)</f>
      </c>
      <c r="E336" s="799">
        <f>SUM(E332:E335)</f>
      </c>
      <c r="F336" s="799">
        <f>SUM(F332:F335)</f>
      </c>
      <c r="G336" s="800">
        <f>SUM(G332:G335)</f>
      </c>
      <c r="H336" s="799">
        <f>SUM(H332:H335)</f>
      </c>
      <c r="I336" s="801">
        <f t="shared" si="201"/>
      </c>
      <c r="J336" s="802">
        <f t="shared" si="232"/>
      </c>
      <c r="K336" s="854">
        <f t="shared" si="139"/>
      </c>
      <c r="L336" s="804">
        <f t="shared" si="170"/>
      </c>
      <c r="M336" s="804">
        <f t="shared" si="18"/>
      </c>
      <c r="N336" s="805">
        <f t="shared" si="108"/>
      </c>
      <c r="O336" s="805"/>
      <c r="P336" s="805"/>
      <c r="Q336" s="806">
        <f>SUM(Q332:Q335)</f>
      </c>
      <c r="R336" s="806">
        <f>SUM(R332:R335)</f>
      </c>
      <c r="S336" s="806">
        <f>SUM(S332:S335)</f>
      </c>
      <c r="T336" s="806">
        <f>SUM(T332:T335)</f>
      </c>
    </row>
    <row r="337">
      <c r="A337" s="785"/>
      <c r="B337" s="797" t="s">
        <v>955</v>
      </c>
      <c r="C337" s="789" t="s">
        <v>908</v>
      </c>
      <c r="D337" s="788">
        <f t="shared" ref="D337:D338" si="49">E337+F337</f>
      </c>
      <c r="E337" s="789">
        <v>1498.48</v>
      </c>
      <c r="F337" s="789">
        <v>972.46</v>
      </c>
      <c r="G337" s="807">
        <v>4</v>
      </c>
      <c r="H337" s="788">
        <v>2726.039999999999</v>
      </c>
      <c r="I337" s="791">
        <f t="shared" si="201"/>
      </c>
      <c r="J337" s="791">
        <f t="shared" si="232"/>
      </c>
      <c r="K337" s="857">
        <f t="shared" si="139"/>
      </c>
      <c r="L337" s="792">
        <f t="shared" si="170"/>
      </c>
      <c r="M337" s="793">
        <f t="shared" si="18"/>
      </c>
      <c r="N337" s="794">
        <f t="shared" si="108"/>
      </c>
      <c r="O337" s="795" t="s">
        <v>904</v>
      </c>
      <c r="P337" s="833" t="s">
        <v>932</v>
      </c>
      <c r="Q337" s="784">
        <v>17916</v>
      </c>
      <c r="R337" s="784">
        <v>2935</v>
      </c>
      <c r="S337" s="797">
        <v>8</v>
      </c>
      <c r="T337" s="797">
        <v>33</v>
      </c>
    </row>
    <row r="338">
      <c r="A338" s="785"/>
      <c r="B338" s="797" t="s">
        <v>955</v>
      </c>
      <c r="C338" s="789" t="s">
        <v>909</v>
      </c>
      <c r="D338" s="788">
        <f t="shared" si="49"/>
      </c>
      <c r="E338" s="789">
        <v>1236.7</v>
      </c>
      <c r="F338" s="789">
        <v>1362.98</v>
      </c>
      <c r="G338" s="807">
        <v>6</v>
      </c>
      <c r="H338" s="788">
        <v>2215.6800000000003</v>
      </c>
      <c r="I338" s="791">
        <f t="shared" si="201"/>
      </c>
      <c r="J338" s="791">
        <f t="shared" si="232"/>
      </c>
      <c r="K338" s="857">
        <f t="shared" si="139"/>
      </c>
      <c r="L338" s="792">
        <f t="shared" si="170"/>
      </c>
      <c r="M338" s="793">
        <f t="shared" si="18"/>
      </c>
      <c r="N338" s="794">
        <f t="shared" si="108"/>
      </c>
      <c r="O338" s="795" t="s">
        <v>904</v>
      </c>
      <c r="P338" s="833" t="s">
        <v>932</v>
      </c>
      <c r="Q338" s="837">
        <v>21088</v>
      </c>
      <c r="R338" s="837">
        <v>3066</v>
      </c>
      <c r="S338" s="838">
        <v>9</v>
      </c>
      <c r="T338" s="838">
        <v>54</v>
      </c>
    </row>
    <row r="339">
      <c r="A339" s="785"/>
      <c r="B339" s="808" t="s">
        <v>910</v>
      </c>
      <c r="C339" s="808"/>
      <c r="D339" s="799">
        <f>SUM(D337:D338)</f>
      </c>
      <c r="E339" s="799">
        <f>SUM(E337:E338)</f>
      </c>
      <c r="F339" s="799">
        <f>SUM(F337:F338)</f>
      </c>
      <c r="G339" s="800">
        <f>SUM(G337:G338)</f>
      </c>
      <c r="H339" s="799">
        <f>SUM(H337:H338)</f>
      </c>
      <c r="I339" s="801">
        <f t="shared" si="201"/>
      </c>
      <c r="J339" s="802">
        <f t="shared" si="232"/>
      </c>
      <c r="K339" s="854">
        <f t="shared" si="139"/>
      </c>
      <c r="L339" s="804">
        <f t="shared" si="170"/>
      </c>
      <c r="M339" s="804">
        <f t="shared" si="18"/>
      </c>
      <c r="N339" s="805">
        <f t="shared" si="108"/>
      </c>
      <c r="O339" s="805"/>
      <c r="P339" s="805"/>
      <c r="Q339" s="806">
        <f>SUM(Q337:Q338)</f>
      </c>
      <c r="R339" s="806">
        <f>SUM(R337:R338)</f>
      </c>
      <c r="S339" s="806">
        <f>SUM(S337:S338)</f>
      </c>
      <c r="T339" s="806">
        <f>SUM(T337:T338)</f>
      </c>
    </row>
    <row r="340">
      <c r="A340" s="785"/>
      <c r="B340" s="835" t="s">
        <v>918</v>
      </c>
      <c r="C340" s="788" t="s">
        <v>912</v>
      </c>
      <c r="D340" s="788">
        <f t="shared" ref="D340:D342" si="50">E340+F340</f>
      </c>
      <c r="E340" s="789">
        <v>714.46</v>
      </c>
      <c r="F340" s="789">
        <v>843.51</v>
      </c>
      <c r="G340" s="807">
        <v>0</v>
      </c>
      <c r="H340" s="788">
        <v>0</v>
      </c>
      <c r="I340" s="791">
        <f t="shared" si="201"/>
      </c>
      <c r="J340" s="791">
        <f t="shared" si="232"/>
      </c>
      <c r="K340" s="857">
        <f t="shared" si="139"/>
      </c>
      <c r="L340" s="792">
        <f t="shared" si="170"/>
      </c>
      <c r="M340" s="793">
        <f t="shared" si="18"/>
      </c>
      <c r="N340" s="794">
        <f t="shared" si="108"/>
      </c>
      <c r="O340" s="795" t="s">
        <v>904</v>
      </c>
      <c r="P340" s="833" t="s">
        <v>932</v>
      </c>
      <c r="Q340" s="837">
        <v>12392</v>
      </c>
      <c r="R340" s="837">
        <v>1890</v>
      </c>
      <c r="S340" s="838">
        <v>2</v>
      </c>
      <c r="T340" s="838">
        <v>29</v>
      </c>
    </row>
    <row customHeight="true" ht="16.666666666666668" r="341">
      <c r="A341" s="785"/>
      <c r="B341" s="835" t="s">
        <v>918</v>
      </c>
      <c r="C341" s="788" t="s">
        <v>913</v>
      </c>
      <c r="D341" s="788">
        <f t="shared" si="50"/>
      </c>
      <c r="E341" s="789">
        <v>261.86</v>
      </c>
      <c r="F341" s="789">
        <v>605.16</v>
      </c>
      <c r="G341" s="807">
        <v>2</v>
      </c>
      <c r="H341" s="788">
        <v>410.4200000000001</v>
      </c>
      <c r="I341" s="791">
        <f t="shared" si="201"/>
      </c>
      <c r="J341" s="791">
        <f t="shared" si="232"/>
      </c>
      <c r="K341" s="857">
        <f t="shared" si="139"/>
      </c>
      <c r="L341" s="792">
        <f t="shared" si="170"/>
      </c>
      <c r="M341" s="793">
        <f t="shared" si="18"/>
      </c>
      <c r="N341" s="794">
        <f t="shared" si="108"/>
      </c>
      <c r="O341" s="795" t="s">
        <v>904</v>
      </c>
      <c r="P341" s="833" t="s">
        <v>932</v>
      </c>
      <c r="Q341" s="837">
        <v>6328</v>
      </c>
      <c r="R341" s="837">
        <v>857</v>
      </c>
      <c r="S341" s="838">
        <v>3</v>
      </c>
      <c r="T341" s="838">
        <v>15</v>
      </c>
    </row>
    <row r="342">
      <c r="A342" s="785"/>
      <c r="B342" s="835" t="s">
        <v>918</v>
      </c>
      <c r="C342" s="788" t="s">
        <v>914</v>
      </c>
      <c r="D342" s="788">
        <f t="shared" si="50"/>
      </c>
      <c r="E342" s="789">
        <v>204.78</v>
      </c>
      <c r="F342" s="789">
        <v>389.85</v>
      </c>
      <c r="G342" s="807">
        <v>3</v>
      </c>
      <c r="H342" s="788">
        <v>1046.1599999999999</v>
      </c>
      <c r="I342" s="791">
        <f t="shared" si="201"/>
      </c>
      <c r="J342" s="791">
        <f t="shared" si="232"/>
      </c>
      <c r="K342" s="857">
        <f t="shared" si="139"/>
      </c>
      <c r="L342" s="792">
        <f t="shared" si="170"/>
      </c>
      <c r="M342" s="793">
        <f t="shared" si="18"/>
      </c>
      <c r="N342" s="794">
        <f t="shared" si="108"/>
      </c>
      <c r="O342" s="795" t="s">
        <v>904</v>
      </c>
      <c r="P342" s="833" t="s">
        <v>932</v>
      </c>
      <c r="Q342" s="837">
        <v>5317</v>
      </c>
      <c r="R342" s="837">
        <v>592</v>
      </c>
      <c r="S342" s="838">
        <v>3</v>
      </c>
      <c r="T342" s="838">
        <v>17</v>
      </c>
    </row>
    <row r="343">
      <c r="A343" s="785"/>
      <c r="B343" s="808" t="s">
        <v>910</v>
      </c>
      <c r="C343" s="808"/>
      <c r="D343" s="799">
        <f>SUM(D340:D342)</f>
      </c>
      <c r="E343" s="799">
        <f>SUM(E340:E342)</f>
      </c>
      <c r="F343" s="799">
        <f>SUM(F340:F342)</f>
      </c>
      <c r="G343" s="800">
        <f>SUM(G340:G342)</f>
      </c>
      <c r="H343" s="799">
        <f>SUM(H340:H342)</f>
      </c>
      <c r="I343" s="801">
        <f t="shared" si="201"/>
      </c>
      <c r="J343" s="802">
        <f t="shared" si="232"/>
      </c>
      <c r="K343" s="854">
        <f t="shared" si="139"/>
      </c>
      <c r="L343" s="804">
        <f t="shared" si="170"/>
      </c>
      <c r="M343" s="804">
        <f t="shared" si="18"/>
      </c>
      <c r="N343" s="805">
        <f t="shared" si="108"/>
      </c>
      <c r="O343" s="805"/>
      <c r="P343" s="805"/>
      <c r="Q343" s="806">
        <f>SUM(Q340:Q342)</f>
      </c>
      <c r="R343" s="806">
        <f>SUM(R340:R342)</f>
      </c>
      <c r="S343" s="806">
        <f>SUM(S340:S342)</f>
      </c>
      <c r="T343" s="806">
        <f>SUM(T340:T342)</f>
      </c>
    </row>
    <row r="344">
      <c r="A344" s="785"/>
      <c r="B344" s="809" t="s">
        <v>926</v>
      </c>
      <c r="C344" s="809"/>
      <c r="D344" s="810">
        <f>D336+D343+D339</f>
      </c>
      <c r="E344" s="810">
        <f>E336+E343+E339</f>
      </c>
      <c r="F344" s="810">
        <f>F336+F343+F339</f>
      </c>
      <c r="G344" s="811">
        <f>G336+G343+G339</f>
      </c>
      <c r="H344" s="810">
        <f>H336+H343+H339</f>
      </c>
      <c r="I344" s="809">
        <f t="shared" si="201"/>
      </c>
      <c r="J344" s="809">
        <f t="shared" si="232"/>
      </c>
      <c r="K344" s="845">
        <f t="shared" si="139"/>
      </c>
      <c r="L344" s="812">
        <f t="shared" si="170"/>
      </c>
      <c r="M344" s="812">
        <f t="shared" si="18"/>
      </c>
      <c r="N344" s="809">
        <f t="shared" si="108"/>
      </c>
      <c r="O344" s="813"/>
      <c r="P344" s="813"/>
      <c r="Q344" s="811">
        <f>Q336+Q343+Q339</f>
      </c>
      <c r="R344" s="811">
        <f>R336+R343+R339</f>
      </c>
      <c r="S344" s="811">
        <f>S336+S343+S339</f>
      </c>
      <c r="T344" s="811">
        <f>T336+T343+T339</f>
      </c>
    </row>
    <row r="345">
      <c r="A345" s="775" t="s">
        <v>877</v>
      </c>
      <c r="B345" s="775"/>
      <c r="C345" s="775"/>
      <c r="D345" s="776" t="s">
        <v>878</v>
      </c>
      <c r="E345" s="776"/>
      <c r="F345" s="776"/>
      <c r="G345" s="776"/>
      <c r="H345" s="776"/>
      <c r="I345" s="776"/>
      <c r="J345" s="776"/>
      <c r="K345" s="776"/>
      <c r="L345" s="778" t="s">
        <v>879</v>
      </c>
      <c r="M345" s="778"/>
      <c r="N345" s="778"/>
      <c r="O345" s="778"/>
      <c r="P345" s="778"/>
      <c r="Q345" s="779" t="s">
        <v>880</v>
      </c>
      <c r="R345" s="779"/>
      <c r="S345" s="779"/>
      <c r="T345" s="779"/>
    </row>
    <row r="346">
      <c r="A346" s="827" t="s">
        <v>881</v>
      </c>
      <c r="B346" s="827" t="s">
        <v>882</v>
      </c>
      <c r="C346" s="827" t="s">
        <v>883</v>
      </c>
      <c r="D346" s="828" t="s">
        <v>884</v>
      </c>
      <c r="E346" s="828" t="s">
        <v>885</v>
      </c>
      <c r="F346" s="828" t="s">
        <v>886</v>
      </c>
      <c r="G346" s="829" t="s">
        <v>887</v>
      </c>
      <c r="H346" s="828" t="s">
        <v>888</v>
      </c>
      <c r="I346" s="830" t="s">
        <v>889</v>
      </c>
      <c r="J346" s="831" t="s">
        <v>890</v>
      </c>
      <c r="K346" s="856" t="s">
        <v>891</v>
      </c>
      <c r="L346" s="783" t="s">
        <v>892</v>
      </c>
      <c r="M346" s="783" t="s">
        <v>893</v>
      </c>
      <c r="N346" s="783" t="s">
        <v>894</v>
      </c>
      <c r="O346" s="778" t="s">
        <v>895</v>
      </c>
      <c r="P346" s="778" t="s">
        <v>896</v>
      </c>
      <c r="Q346" s="832" t="s">
        <v>897</v>
      </c>
      <c r="R346" s="832" t="s">
        <v>898</v>
      </c>
      <c r="S346" s="832" t="s">
        <v>899</v>
      </c>
      <c r="T346" s="832" t="s">
        <v>900</v>
      </c>
    </row>
    <row r="347">
      <c r="A347" s="785" t="s">
        <v>957</v>
      </c>
      <c r="B347" s="797" t="s">
        <v>922</v>
      </c>
      <c r="C347" s="789" t="s">
        <v>954</v>
      </c>
      <c r="D347" s="788">
        <f t="shared" ref="D347:D349" si="51">E347+F347</f>
      </c>
      <c r="E347" s="789">
        <v>791.42</v>
      </c>
      <c r="F347" s="789">
        <v>1133.16</v>
      </c>
      <c r="G347" s="790">
        <v>7</v>
      </c>
      <c r="H347" s="789">
        <v>1906.32</v>
      </c>
      <c r="I347" s="791">
        <f t="shared" ref="I347:I359" si="202">H347/D347</f>
      </c>
      <c r="J347" s="791">
        <f t="shared" ref="J347:J359" si="233">D347/G347</f>
      </c>
      <c r="K347" s="857">
        <f t="shared" ref="K347:K359" si="140">H347/G347</f>
      </c>
      <c r="L347" s="792">
        <f t="shared" ref="L347:L359" si="171">R347/Q347</f>
      </c>
      <c r="M347" s="793">
        <f t="shared" ref="M347:M359" si="19">G347/S347</f>
      </c>
      <c r="N347" s="794">
        <f t="shared" ref="N347:N359" si="109">(T347*1000)/D347</f>
      </c>
      <c r="O347" s="795" t="s">
        <v>904</v>
      </c>
      <c r="P347" s="833" t="s">
        <v>932</v>
      </c>
      <c r="Q347" s="784">
        <v>17484</v>
      </c>
      <c r="R347" s="784">
        <v>2391</v>
      </c>
      <c r="S347" s="797">
        <v>11</v>
      </c>
      <c r="T347" s="797">
        <v>48</v>
      </c>
    </row>
    <row r="348">
      <c r="A348" s="785"/>
      <c r="B348" s="797" t="s">
        <v>922</v>
      </c>
      <c r="C348" s="789" t="s">
        <v>903</v>
      </c>
      <c r="D348" s="788">
        <f t="shared" si="51"/>
      </c>
      <c r="E348" s="789">
        <v>1482.58</v>
      </c>
      <c r="F348" s="789">
        <v>1595.14</v>
      </c>
      <c r="G348" s="790">
        <v>9</v>
      </c>
      <c r="H348" s="789">
        <v>5096.16</v>
      </c>
      <c r="I348" s="791">
        <f t="shared" si="202"/>
      </c>
      <c r="J348" s="791">
        <f t="shared" si="233"/>
      </c>
      <c r="K348" s="857">
        <f t="shared" si="140"/>
      </c>
      <c r="L348" s="792">
        <f t="shared" si="171"/>
      </c>
      <c r="M348" s="793">
        <f t="shared" si="19"/>
      </c>
      <c r="N348" s="794">
        <f t="shared" si="109"/>
      </c>
      <c r="O348" s="795" t="s">
        <v>904</v>
      </c>
      <c r="P348" s="833" t="s">
        <v>932</v>
      </c>
      <c r="Q348" s="784">
        <v>27176</v>
      </c>
      <c r="R348" s="784">
        <v>3570</v>
      </c>
      <c r="S348" s="797">
        <v>14</v>
      </c>
      <c r="T348" s="797">
        <v>76</v>
      </c>
    </row>
    <row r="349">
      <c r="A349" s="785"/>
      <c r="B349" s="797" t="s">
        <v>922</v>
      </c>
      <c r="C349" s="789" t="s">
        <v>906</v>
      </c>
      <c r="D349" s="788">
        <f t="shared" si="51"/>
      </c>
      <c r="E349" s="789">
        <v>1274.98</v>
      </c>
      <c r="F349" s="789">
        <v>2345.63</v>
      </c>
      <c r="G349" s="790">
        <v>10</v>
      </c>
      <c r="H349" s="789">
        <v>4420.220000000001</v>
      </c>
      <c r="I349" s="791">
        <f t="shared" si="202"/>
      </c>
      <c r="J349" s="791">
        <f t="shared" si="233"/>
      </c>
      <c r="K349" s="857">
        <f t="shared" si="140"/>
      </c>
      <c r="L349" s="792">
        <f t="shared" si="171"/>
      </c>
      <c r="M349" s="793">
        <f t="shared" si="19"/>
      </c>
      <c r="N349" s="794">
        <f t="shared" si="109"/>
      </c>
      <c r="O349" s="795" t="s">
        <v>904</v>
      </c>
      <c r="P349" s="833" t="s">
        <v>932</v>
      </c>
      <c r="Q349" s="784">
        <v>28995</v>
      </c>
      <c r="R349" s="784">
        <v>3604</v>
      </c>
      <c r="S349" s="797">
        <v>20</v>
      </c>
      <c r="T349" s="797">
        <v>68</v>
      </c>
    </row>
    <row r="350">
      <c r="A350" s="785"/>
      <c r="B350" s="808" t="s">
        <v>910</v>
      </c>
      <c r="C350" s="808"/>
      <c r="D350" s="799">
        <f>SUM(D347:D349)</f>
      </c>
      <c r="E350" s="799">
        <f>SUM(E347:E349)</f>
      </c>
      <c r="F350" s="799">
        <f>SUM(F347:F349)</f>
      </c>
      <c r="G350" s="800">
        <f>SUM(G347:G349)</f>
      </c>
      <c r="H350" s="799">
        <f>SUM(H347:H349)</f>
      </c>
      <c r="I350" s="801">
        <f t="shared" si="202"/>
      </c>
      <c r="J350" s="802">
        <f t="shared" si="233"/>
      </c>
      <c r="K350" s="854">
        <f t="shared" si="140"/>
      </c>
      <c r="L350" s="804">
        <f t="shared" si="171"/>
      </c>
      <c r="M350" s="804">
        <f t="shared" si="19"/>
      </c>
      <c r="N350" s="805">
        <f t="shared" si="109"/>
      </c>
      <c r="O350" s="805"/>
      <c r="P350" s="805"/>
      <c r="Q350" s="806">
        <f>SUM(Q347:Q349)</f>
      </c>
      <c r="R350" s="806">
        <f>SUM(R347:R349)</f>
      </c>
      <c r="S350" s="806">
        <f>SUM(S347:S349)</f>
      </c>
      <c r="T350" s="806">
        <f>SUM(T347:T349)</f>
      </c>
    </row>
    <row r="351">
      <c r="A351" s="785"/>
      <c r="B351" s="797" t="s">
        <v>955</v>
      </c>
      <c r="C351" s="789" t="s">
        <v>907</v>
      </c>
      <c r="D351" s="788">
        <f t="shared" ref="D351:D353" si="52">E351+F351</f>
      </c>
      <c r="E351" s="789">
        <v>785.4</v>
      </c>
      <c r="F351" s="789">
        <v>2808.44</v>
      </c>
      <c r="G351" s="807">
        <v>11</v>
      </c>
      <c r="H351" s="788">
        <v>2365.4399999999987</v>
      </c>
      <c r="I351" s="791">
        <f t="shared" si="202"/>
      </c>
      <c r="J351" s="791">
        <f t="shared" si="233"/>
      </c>
      <c r="K351" s="857">
        <f t="shared" si="140"/>
      </c>
      <c r="L351" s="792">
        <f t="shared" si="171"/>
      </c>
      <c r="M351" s="793">
        <f t="shared" si="19"/>
      </c>
      <c r="N351" s="794">
        <f t="shared" si="109"/>
      </c>
      <c r="O351" s="795" t="s">
        <v>904</v>
      </c>
      <c r="P351" s="833" t="s">
        <v>932</v>
      </c>
      <c r="Q351" s="784">
        <v>36807</v>
      </c>
      <c r="R351" s="784">
        <v>2945</v>
      </c>
      <c r="S351" s="797">
        <v>16</v>
      </c>
      <c r="T351" s="797">
        <v>62</v>
      </c>
    </row>
    <row customHeight="true" ht="16.666666666666668" r="352">
      <c r="A352" s="785"/>
      <c r="B352" s="797" t="s">
        <v>955</v>
      </c>
      <c r="C352" s="789" t="s">
        <v>908</v>
      </c>
      <c r="D352" s="788">
        <f t="shared" si="52"/>
      </c>
      <c r="E352" s="789">
        <v>362.96</v>
      </c>
      <c r="F352" s="789">
        <v>2276.9</v>
      </c>
      <c r="G352" s="807">
        <v>5</v>
      </c>
      <c r="H352" s="788">
        <v>5102.66</v>
      </c>
      <c r="I352" s="791">
        <f t="shared" si="202"/>
      </c>
      <c r="J352" s="791">
        <f t="shared" si="233"/>
      </c>
      <c r="K352" s="857">
        <f t="shared" si="140"/>
      </c>
      <c r="L352" s="792">
        <f t="shared" si="171"/>
      </c>
      <c r="M352" s="793">
        <f t="shared" si="19"/>
      </c>
      <c r="N352" s="794">
        <f t="shared" si="109"/>
      </c>
      <c r="O352" s="795" t="s">
        <v>904</v>
      </c>
      <c r="P352" s="833" t="s">
        <v>932</v>
      </c>
      <c r="Q352" s="837">
        <v>39526</v>
      </c>
      <c r="R352" s="837">
        <v>2409</v>
      </c>
      <c r="S352" s="838">
        <v>9</v>
      </c>
      <c r="T352" s="838">
        <v>78</v>
      </c>
    </row>
    <row r="353">
      <c r="A353" s="785"/>
      <c r="B353" s="797" t="s">
        <v>955</v>
      </c>
      <c r="C353" s="789" t="s">
        <v>909</v>
      </c>
      <c r="D353" s="788">
        <f t="shared" si="52"/>
      </c>
      <c r="E353" s="789">
        <v>352.28</v>
      </c>
      <c r="F353" s="789">
        <v>1748.17</v>
      </c>
      <c r="G353" s="807">
        <v>3</v>
      </c>
      <c r="H353" s="788">
        <v>1107.8400000000001</v>
      </c>
      <c r="I353" s="791">
        <f t="shared" si="202"/>
      </c>
      <c r="J353" s="791">
        <f t="shared" si="233"/>
      </c>
      <c r="K353" s="857">
        <f t="shared" si="140"/>
      </c>
      <c r="L353" s="792">
        <f t="shared" si="171"/>
      </c>
      <c r="M353" s="793">
        <f t="shared" si="19"/>
      </c>
      <c r="N353" s="794">
        <f t="shared" si="109"/>
      </c>
      <c r="O353" s="795" t="s">
        <v>904</v>
      </c>
      <c r="P353" s="833" t="s">
        <v>932</v>
      </c>
      <c r="Q353" s="837">
        <v>38915</v>
      </c>
      <c r="R353" s="837">
        <v>1523</v>
      </c>
      <c r="S353" s="838">
        <v>5</v>
      </c>
      <c r="T353" s="838">
        <v>30</v>
      </c>
    </row>
    <row r="354">
      <c r="A354" s="785"/>
      <c r="B354" s="808" t="s">
        <v>910</v>
      </c>
      <c r="C354" s="808"/>
      <c r="D354" s="799">
        <f>SUM(D351:D353)</f>
      </c>
      <c r="E354" s="799">
        <f>SUM(E351:E353)</f>
      </c>
      <c r="F354" s="799">
        <f>SUM(F351:F353)</f>
      </c>
      <c r="G354" s="800">
        <f>SUM(G351:G353)</f>
      </c>
      <c r="H354" s="799">
        <f>SUM(H351:H353)</f>
      </c>
      <c r="I354" s="801">
        <f t="shared" si="202"/>
      </c>
      <c r="J354" s="802">
        <f t="shared" si="233"/>
      </c>
      <c r="K354" s="854">
        <f t="shared" si="140"/>
      </c>
      <c r="L354" s="804">
        <f t="shared" si="171"/>
      </c>
      <c r="M354" s="804">
        <f t="shared" si="19"/>
      </c>
      <c r="N354" s="805">
        <f t="shared" si="109"/>
      </c>
      <c r="O354" s="805"/>
      <c r="P354" s="805"/>
      <c r="Q354" s="806">
        <f>SUM(Q351:Q353)</f>
      </c>
      <c r="R354" s="806">
        <f>SUM(R351:R353)</f>
      </c>
      <c r="S354" s="806">
        <f>SUM(S351:S353)</f>
      </c>
      <c r="T354" s="806">
        <f>SUM(T351:T353)</f>
      </c>
    </row>
    <row r="355">
      <c r="A355" s="785"/>
      <c r="B355" s="835" t="s">
        <v>918</v>
      </c>
      <c r="C355" s="788" t="s">
        <v>912</v>
      </c>
      <c r="D355" s="788">
        <f t="shared" ref="D355:D357" si="53">E355+F355</f>
      </c>
      <c r="E355" s="789">
        <v>450.94</v>
      </c>
      <c r="F355" s="789">
        <v>1558.38</v>
      </c>
      <c r="G355" s="807">
        <v>5</v>
      </c>
      <c r="H355" s="788">
        <v>2886.959999999999</v>
      </c>
      <c r="I355" s="791">
        <f t="shared" si="202"/>
      </c>
      <c r="J355" s="791">
        <f t="shared" si="233"/>
      </c>
      <c r="K355" s="857">
        <f t="shared" si="140"/>
      </c>
      <c r="L355" s="792">
        <f t="shared" si="171"/>
      </c>
      <c r="M355" s="793">
        <f t="shared" si="19"/>
      </c>
      <c r="N355" s="794">
        <f t="shared" si="109"/>
      </c>
      <c r="O355" s="795" t="s">
        <v>904</v>
      </c>
      <c r="P355" s="833" t="s">
        <v>932</v>
      </c>
      <c r="Q355" s="837">
        <v>29519</v>
      </c>
      <c r="R355" s="837">
        <v>1333</v>
      </c>
      <c r="S355" s="838">
        <v>5</v>
      </c>
      <c r="T355" s="838">
        <v>36</v>
      </c>
    </row>
    <row r="356">
      <c r="A356" s="785"/>
      <c r="B356" s="835" t="s">
        <v>918</v>
      </c>
      <c r="C356" s="788" t="s">
        <v>913</v>
      </c>
      <c r="D356" s="788">
        <f t="shared" si="53"/>
      </c>
      <c r="E356" s="789">
        <v>318.26</v>
      </c>
      <c r="F356" s="789">
        <v>1703.25</v>
      </c>
      <c r="G356" s="807">
        <v>7</v>
      </c>
      <c r="H356" s="788">
        <v>2426.0600000000013</v>
      </c>
      <c r="I356" s="791">
        <f t="shared" si="202"/>
      </c>
      <c r="J356" s="791">
        <f t="shared" si="233"/>
      </c>
      <c r="K356" s="857">
        <f t="shared" si="140"/>
      </c>
      <c r="L356" s="792">
        <f t="shared" si="171"/>
      </c>
      <c r="M356" s="793">
        <f t="shared" si="19"/>
      </c>
      <c r="N356" s="794">
        <f t="shared" si="109"/>
      </c>
      <c r="O356" s="795" t="s">
        <v>904</v>
      </c>
      <c r="P356" s="833" t="s">
        <v>932</v>
      </c>
      <c r="Q356" s="837">
        <v>12918</v>
      </c>
      <c r="R356" s="837">
        <v>1413</v>
      </c>
      <c r="S356" s="838">
        <v>11</v>
      </c>
      <c r="T356" s="838">
        <v>27</v>
      </c>
    </row>
    <row r="357">
      <c r="A357" s="785"/>
      <c r="B357" s="835" t="s">
        <v>918</v>
      </c>
      <c r="C357" s="788" t="s">
        <v>914</v>
      </c>
      <c r="D357" s="788">
        <f t="shared" si="53"/>
      </c>
      <c r="E357" s="789">
        <v>29.8</v>
      </c>
      <c r="F357" s="789">
        <v>984.76</v>
      </c>
      <c r="G357" s="790">
        <v>0</v>
      </c>
      <c r="H357" s="789">
        <v>0</v>
      </c>
      <c r="I357" s="791">
        <f t="shared" si="202"/>
      </c>
      <c r="J357" s="791">
        <f t="shared" si="233"/>
      </c>
      <c r="K357" s="857">
        <f t="shared" si="140"/>
      </c>
      <c r="L357" s="792">
        <f t="shared" si="171"/>
      </c>
      <c r="M357" s="793">
        <f t="shared" si="19"/>
      </c>
      <c r="N357" s="794">
        <f t="shared" si="109"/>
      </c>
      <c r="O357" s="795" t="s">
        <v>904</v>
      </c>
      <c r="P357" s="833" t="s">
        <v>932</v>
      </c>
      <c r="Q357" s="837">
        <v>16085</v>
      </c>
      <c r="R357" s="837">
        <v>1844</v>
      </c>
      <c r="S357" s="838">
        <v>0</v>
      </c>
      <c r="T357" s="838">
        <v>21</v>
      </c>
    </row>
    <row r="358">
      <c r="A358" s="785"/>
      <c r="B358" s="808" t="s">
        <v>910</v>
      </c>
      <c r="C358" s="808"/>
      <c r="D358" s="799">
        <f>SUM(D355:D357)</f>
      </c>
      <c r="E358" s="799">
        <f>SUM(E355:E357)</f>
      </c>
      <c r="F358" s="799">
        <f>SUM(F355:F357)</f>
      </c>
      <c r="G358" s="800">
        <f>SUM(G355:G357)</f>
      </c>
      <c r="H358" s="799">
        <f>SUM(H355:H357)</f>
      </c>
      <c r="I358" s="801">
        <f t="shared" si="202"/>
      </c>
      <c r="J358" s="802">
        <f t="shared" si="233"/>
      </c>
      <c r="K358" s="854">
        <f t="shared" si="140"/>
      </c>
      <c r="L358" s="804">
        <f t="shared" si="171"/>
      </c>
      <c r="M358" s="804">
        <f t="shared" si="19"/>
      </c>
      <c r="N358" s="805">
        <f t="shared" si="109"/>
      </c>
      <c r="O358" s="805"/>
      <c r="P358" s="805"/>
      <c r="Q358" s="806">
        <f>SUM(Q355:Q357)</f>
      </c>
      <c r="R358" s="806">
        <f>SUM(R355:R357)</f>
      </c>
      <c r="S358" s="806">
        <f>SUM(S355:S357)</f>
      </c>
      <c r="T358" s="806">
        <f>SUM(T355:T357)</f>
      </c>
    </row>
    <row r="359">
      <c r="A359" s="785"/>
      <c r="B359" s="809" t="s">
        <v>926</v>
      </c>
      <c r="C359" s="809"/>
      <c r="D359" s="810">
        <f>D350+D358+D354</f>
      </c>
      <c r="E359" s="810">
        <f>E350+E358+E354</f>
      </c>
      <c r="F359" s="810">
        <f>F350+F358+F354</f>
      </c>
      <c r="G359" s="811">
        <f>G350+G358+G354</f>
      </c>
      <c r="H359" s="810">
        <f>H350+H358+H354</f>
      </c>
      <c r="I359" s="809">
        <f t="shared" si="202"/>
      </c>
      <c r="J359" s="809">
        <f t="shared" si="233"/>
      </c>
      <c r="K359" s="845">
        <f t="shared" si="140"/>
      </c>
      <c r="L359" s="812">
        <f t="shared" si="171"/>
      </c>
      <c r="M359" s="812">
        <f t="shared" si="19"/>
      </c>
      <c r="N359" s="809">
        <f t="shared" si="109"/>
      </c>
      <c r="O359" s="813"/>
      <c r="P359" s="813"/>
      <c r="Q359" s="811">
        <f>Q350+Q358+Q354</f>
      </c>
      <c r="R359" s="811">
        <f>R350+R358+R354</f>
      </c>
      <c r="S359" s="811">
        <f>S350+S358+S354</f>
      </c>
      <c r="T359" s="811">
        <f>T350+T358+T354</f>
      </c>
    </row>
    <row r="360">
      <c r="A360" s="775" t="s">
        <v>877</v>
      </c>
      <c r="B360" s="775"/>
      <c r="C360" s="775"/>
      <c r="D360" s="776" t="s">
        <v>878</v>
      </c>
      <c r="E360" s="776"/>
      <c r="F360" s="776"/>
      <c r="G360" s="776"/>
      <c r="H360" s="776"/>
      <c r="I360" s="776"/>
      <c r="J360" s="776"/>
      <c r="K360" s="776"/>
      <c r="L360" s="778" t="s">
        <v>879</v>
      </c>
      <c r="M360" s="778"/>
      <c r="N360" s="778"/>
      <c r="O360" s="778"/>
      <c r="P360" s="778"/>
      <c r="Q360" s="779" t="s">
        <v>880</v>
      </c>
      <c r="R360" s="779"/>
      <c r="S360" s="779"/>
      <c r="T360" s="779"/>
    </row>
    <row r="361">
      <c r="A361" s="827" t="s">
        <v>881</v>
      </c>
      <c r="B361" s="827" t="s">
        <v>882</v>
      </c>
      <c r="C361" s="827" t="s">
        <v>883</v>
      </c>
      <c r="D361" s="828" t="s">
        <v>884</v>
      </c>
      <c r="E361" s="828" t="s">
        <v>885</v>
      </c>
      <c r="F361" s="828" t="s">
        <v>886</v>
      </c>
      <c r="G361" s="829" t="s">
        <v>887</v>
      </c>
      <c r="H361" s="828" t="s">
        <v>888</v>
      </c>
      <c r="I361" s="830" t="s">
        <v>889</v>
      </c>
      <c r="J361" s="831" t="s">
        <v>890</v>
      </c>
      <c r="K361" s="856" t="s">
        <v>891</v>
      </c>
      <c r="L361" s="783" t="s">
        <v>892</v>
      </c>
      <c r="M361" s="783" t="s">
        <v>893</v>
      </c>
      <c r="N361" s="783" t="s">
        <v>894</v>
      </c>
      <c r="O361" s="778" t="s">
        <v>895</v>
      </c>
      <c r="P361" s="778" t="s">
        <v>896</v>
      </c>
      <c r="Q361" s="832" t="s">
        <v>897</v>
      </c>
      <c r="R361" s="832" t="s">
        <v>898</v>
      </c>
      <c r="S361" s="832" t="s">
        <v>899</v>
      </c>
      <c r="T361" s="832" t="s">
        <v>900</v>
      </c>
    </row>
    <row r="362">
      <c r="A362" s="785" t="s">
        <v>958</v>
      </c>
      <c r="B362" s="784" t="s">
        <v>902</v>
      </c>
      <c r="C362" s="789" t="s">
        <v>954</v>
      </c>
      <c r="D362" s="788">
        <f t="shared" ref="D362:D365" si="54">E362+F362</f>
      </c>
      <c r="E362" s="789">
        <v>0</v>
      </c>
      <c r="F362" s="789">
        <v>1969.22</v>
      </c>
      <c r="G362" s="790">
        <v>5</v>
      </c>
      <c r="H362" s="789">
        <v>2941.08</v>
      </c>
      <c r="I362" s="791">
        <f t="shared" ref="I362:I371" si="203">H362/D362</f>
      </c>
      <c r="J362" s="791">
        <f t="shared" ref="J362:J371" si="234">D362/G362</f>
      </c>
      <c r="K362" s="857">
        <f t="shared" ref="K362:K371" si="141">H362/G362</f>
      </c>
      <c r="L362" s="792">
        <f t="shared" ref="L362:L371" si="172">R362/Q362</f>
      </c>
      <c r="M362" s="793">
        <f t="shared" ref="M362:M371" si="20">G362/S362</f>
      </c>
      <c r="N362" s="794">
        <f t="shared" ref="N362:N371" si="110">(T362*1000)/D362</f>
      </c>
      <c r="O362" s="795" t="s">
        <v>904</v>
      </c>
      <c r="P362" s="833" t="s">
        <v>932</v>
      </c>
      <c r="Q362" s="784">
        <v>21760</v>
      </c>
      <c r="R362" s="784">
        <v>2497</v>
      </c>
      <c r="S362" s="797">
        <v>7</v>
      </c>
      <c r="T362" s="797">
        <v>63</v>
      </c>
    </row>
    <row r="363">
      <c r="A363" s="785"/>
      <c r="B363" s="784" t="s">
        <v>902</v>
      </c>
      <c r="C363" s="789" t="s">
        <v>903</v>
      </c>
      <c r="D363" s="788">
        <f t="shared" si="54"/>
      </c>
      <c r="E363" s="789">
        <v>0</v>
      </c>
      <c r="F363" s="789">
        <v>1455.21</v>
      </c>
      <c r="G363" s="790">
        <v>5</v>
      </c>
      <c r="H363" s="789">
        <v>1478.9400000000005</v>
      </c>
      <c r="I363" s="791">
        <f t="shared" si="203"/>
      </c>
      <c r="J363" s="791">
        <f t="shared" si="234"/>
      </c>
      <c r="K363" s="857">
        <f t="shared" si="141"/>
      </c>
      <c r="L363" s="792">
        <f t="shared" si="172"/>
      </c>
      <c r="M363" s="793">
        <f t="shared" si="20"/>
      </c>
      <c r="N363" s="794">
        <f t="shared" si="110"/>
      </c>
      <c r="O363" s="795" t="s">
        <v>904</v>
      </c>
      <c r="P363" s="833" t="s">
        <v>932</v>
      </c>
      <c r="Q363" s="784">
        <v>10888</v>
      </c>
      <c r="R363" s="784">
        <v>1860</v>
      </c>
      <c r="S363" s="797">
        <v>7</v>
      </c>
      <c r="T363" s="797">
        <v>36</v>
      </c>
    </row>
    <row customHeight="true" ht="16.666666666666668" r="364">
      <c r="A364" s="785"/>
      <c r="B364" s="784" t="s">
        <v>902</v>
      </c>
      <c r="C364" s="789" t="s">
        <v>906</v>
      </c>
      <c r="D364" s="788">
        <f t="shared" si="54"/>
      </c>
      <c r="E364" s="789">
        <v>0</v>
      </c>
      <c r="F364" s="789">
        <v>1643.04</v>
      </c>
      <c r="G364" s="790">
        <v>4</v>
      </c>
      <c r="H364" s="789">
        <v>2209.2</v>
      </c>
      <c r="I364" s="791">
        <f t="shared" si="203"/>
      </c>
      <c r="J364" s="791">
        <f t="shared" si="234"/>
      </c>
      <c r="K364" s="857">
        <f t="shared" si="141"/>
      </c>
      <c r="L364" s="792">
        <f t="shared" si="172"/>
      </c>
      <c r="M364" s="793">
        <f t="shared" si="20"/>
      </c>
      <c r="N364" s="794">
        <f t="shared" si="110"/>
      </c>
      <c r="O364" s="795" t="s">
        <v>904</v>
      </c>
      <c r="P364" s="833" t="s">
        <v>932</v>
      </c>
      <c r="Q364" s="784">
        <v>10262</v>
      </c>
      <c r="R364" s="784">
        <v>1740</v>
      </c>
      <c r="S364" s="797">
        <v>7</v>
      </c>
      <c r="T364" s="797">
        <v>34</v>
      </c>
    </row>
    <row r="365">
      <c r="A365" s="785"/>
      <c r="B365" s="784" t="s">
        <v>902</v>
      </c>
      <c r="C365" s="789" t="s">
        <v>907</v>
      </c>
      <c r="D365" s="788">
        <f t="shared" si="54"/>
      </c>
      <c r="E365" s="789">
        <v>0</v>
      </c>
      <c r="F365" s="789">
        <v>1455.15</v>
      </c>
      <c r="G365" s="790">
        <v>2</v>
      </c>
      <c r="H365" s="789">
        <v>892.8000000000002</v>
      </c>
      <c r="I365" s="791">
        <f t="shared" si="203"/>
      </c>
      <c r="J365" s="791">
        <f t="shared" si="234"/>
      </c>
      <c r="K365" s="857">
        <f t="shared" si="141"/>
      </c>
      <c r="L365" s="792">
        <f t="shared" si="172"/>
      </c>
      <c r="M365" s="793">
        <f t="shared" si="20"/>
      </c>
      <c r="N365" s="794">
        <f t="shared" si="110"/>
      </c>
      <c r="O365" s="795" t="s">
        <v>904</v>
      </c>
      <c r="P365" s="833" t="s">
        <v>932</v>
      </c>
      <c r="Q365" s="784">
        <v>9393</v>
      </c>
      <c r="R365" s="784">
        <v>1428</v>
      </c>
      <c r="S365" s="797">
        <v>3</v>
      </c>
      <c r="T365" s="797">
        <v>35</v>
      </c>
    </row>
    <row r="366">
      <c r="A366" s="785"/>
      <c r="B366" s="808" t="s">
        <v>910</v>
      </c>
      <c r="C366" s="808"/>
      <c r="D366" s="799">
        <f>SUM(D362:D365)</f>
      </c>
      <c r="E366" s="799">
        <f>SUM(E362:E365)</f>
      </c>
      <c r="F366" s="799">
        <f>SUM(F362:F365)</f>
      </c>
      <c r="G366" s="800">
        <f>SUM(G362:G365)</f>
      </c>
      <c r="H366" s="799">
        <f>SUM(H362:H365)</f>
      </c>
      <c r="I366" s="801">
        <f t="shared" si="203"/>
      </c>
      <c r="J366" s="802">
        <f t="shared" si="234"/>
      </c>
      <c r="K366" s="854">
        <f t="shared" si="141"/>
      </c>
      <c r="L366" s="804">
        <f t="shared" si="172"/>
      </c>
      <c r="M366" s="804">
        <f t="shared" si="20"/>
      </c>
      <c r="N366" s="805">
        <f t="shared" si="110"/>
      </c>
      <c r="O366" s="805"/>
      <c r="P366" s="805"/>
      <c r="Q366" s="806">
        <f>SUM(Q362:Q365)</f>
      </c>
      <c r="R366" s="806">
        <f>SUM(R362:R365)</f>
      </c>
      <c r="S366" s="806">
        <f>SUM(S362:S365)</f>
      </c>
      <c r="T366" s="806">
        <f>SUM(T362:T365)</f>
      </c>
    </row>
    <row r="367">
      <c r="A367" s="785"/>
      <c r="B367" s="835" t="s">
        <v>918</v>
      </c>
      <c r="C367" s="789" t="s">
        <v>908</v>
      </c>
      <c r="D367" s="788">
        <f t="shared" ref="D367:D369" si="55">E367+F367</f>
      </c>
      <c r="E367" s="789">
        <v>0</v>
      </c>
      <c r="F367" s="789">
        <v>673.77</v>
      </c>
      <c r="G367" s="790">
        <v>0</v>
      </c>
      <c r="H367" s="789">
        <v>0</v>
      </c>
      <c r="I367" s="791">
        <f t="shared" si="203"/>
      </c>
      <c r="J367" s="791">
        <f t="shared" si="234"/>
      </c>
      <c r="K367" s="857">
        <f t="shared" si="141"/>
      </c>
      <c r="L367" s="792">
        <f t="shared" si="172"/>
      </c>
      <c r="M367" s="793">
        <f t="shared" si="20"/>
      </c>
      <c r="N367" s="794">
        <f t="shared" si="110"/>
      </c>
      <c r="O367" s="795" t="s">
        <v>904</v>
      </c>
      <c r="P367" s="833" t="s">
        <v>932</v>
      </c>
      <c r="Q367" s="784">
        <v>4774</v>
      </c>
      <c r="R367" s="784">
        <v>678</v>
      </c>
      <c r="S367" s="797">
        <v>0</v>
      </c>
      <c r="T367" s="797">
        <v>23</v>
      </c>
    </row>
    <row r="368">
      <c r="A368" s="785"/>
      <c r="B368" s="835" t="s">
        <v>918</v>
      </c>
      <c r="C368" s="789" t="s">
        <v>909</v>
      </c>
      <c r="D368" s="788">
        <f t="shared" si="55"/>
      </c>
      <c r="E368" s="789">
        <v>0</v>
      </c>
      <c r="F368" s="789">
        <v>997.92</v>
      </c>
      <c r="G368" s="807">
        <v>1</v>
      </c>
      <c r="H368" s="788">
        <v>215.03999999999996</v>
      </c>
      <c r="I368" s="791">
        <f t="shared" si="203"/>
      </c>
      <c r="J368" s="791">
        <f t="shared" si="234"/>
      </c>
      <c r="K368" s="857">
        <f t="shared" si="141"/>
      </c>
      <c r="L368" s="792">
        <f t="shared" si="172"/>
      </c>
      <c r="M368" s="793">
        <f t="shared" si="20"/>
      </c>
      <c r="N368" s="794">
        <f t="shared" si="110"/>
      </c>
      <c r="O368" s="795" t="s">
        <v>904</v>
      </c>
      <c r="P368" s="833" t="s">
        <v>932</v>
      </c>
      <c r="Q368" s="837">
        <v>8664</v>
      </c>
      <c r="R368" s="837">
        <v>986</v>
      </c>
      <c r="S368" s="838">
        <v>3</v>
      </c>
      <c r="T368" s="838">
        <v>35</v>
      </c>
    </row>
    <row r="369">
      <c r="A369" s="785"/>
      <c r="B369" s="835" t="s">
        <v>918</v>
      </c>
      <c r="C369" s="788" t="s">
        <v>912</v>
      </c>
      <c r="D369" s="788">
        <f t="shared" si="55"/>
      </c>
      <c r="E369" s="789">
        <v>0</v>
      </c>
      <c r="F369" s="789">
        <v>689.8299999999999</v>
      </c>
      <c r="G369" s="807">
        <v>3</v>
      </c>
      <c r="H369" s="788">
        <v>1570.5600000000004</v>
      </c>
      <c r="I369" s="791">
        <f t="shared" si="203"/>
      </c>
      <c r="J369" s="791">
        <f t="shared" si="234"/>
      </c>
      <c r="K369" s="857">
        <f t="shared" si="141"/>
      </c>
      <c r="L369" s="792">
        <f t="shared" si="172"/>
      </c>
      <c r="M369" s="793">
        <f t="shared" si="20"/>
      </c>
      <c r="N369" s="794">
        <f t="shared" si="110"/>
      </c>
      <c r="O369" s="795" t="s">
        <v>904</v>
      </c>
      <c r="P369" s="833" t="s">
        <v>932</v>
      </c>
      <c r="Q369" s="837">
        <v>4646</v>
      </c>
      <c r="R369" s="837">
        <v>596</v>
      </c>
      <c r="S369" s="838">
        <v>3</v>
      </c>
      <c r="T369" s="838">
        <v>57</v>
      </c>
    </row>
    <row r="370">
      <c r="A370" s="785"/>
      <c r="B370" s="808" t="s">
        <v>910</v>
      </c>
      <c r="C370" s="808"/>
      <c r="D370" s="799">
        <f>SUM(D367:D369)</f>
      </c>
      <c r="E370" s="799">
        <f>SUM(E367:E369)</f>
      </c>
      <c r="F370" s="799">
        <f>SUM(F367:F369)</f>
      </c>
      <c r="G370" s="800">
        <f>SUM(G367:G369)</f>
      </c>
      <c r="H370" s="799">
        <f>SUM(H367:H369)</f>
      </c>
      <c r="I370" s="801">
        <f t="shared" si="203"/>
      </c>
      <c r="J370" s="802">
        <f t="shared" si="234"/>
      </c>
      <c r="K370" s="854">
        <f t="shared" si="141"/>
      </c>
      <c r="L370" s="804">
        <f t="shared" si="172"/>
      </c>
      <c r="M370" s="804">
        <f t="shared" si="20"/>
      </c>
      <c r="N370" s="805">
        <f t="shared" si="110"/>
      </c>
      <c r="O370" s="805"/>
      <c r="P370" s="805"/>
      <c r="Q370" s="806">
        <f>SUM(Q367:Q369)</f>
      </c>
      <c r="R370" s="806">
        <f>SUM(R367:R369)</f>
      </c>
      <c r="S370" s="806">
        <f>SUM(S367:S369)</f>
      </c>
      <c r="T370" s="806">
        <f>SUM(T367:T369)</f>
      </c>
    </row>
    <row r="371">
      <c r="A371" s="785"/>
      <c r="B371" s="809" t="s">
        <v>926</v>
      </c>
      <c r="C371" s="809"/>
      <c r="D371" s="810">
        <f>D366+D370</f>
      </c>
      <c r="E371" s="810">
        <f>E366+E370</f>
      </c>
      <c r="F371" s="810">
        <f>F366+F370</f>
      </c>
      <c r="G371" s="811">
        <f>G366+G370</f>
      </c>
      <c r="H371" s="810">
        <f>H366+H370</f>
      </c>
      <c r="I371" s="809">
        <f t="shared" si="203"/>
      </c>
      <c r="J371" s="809">
        <f t="shared" si="234"/>
      </c>
      <c r="K371" s="845">
        <f t="shared" si="141"/>
      </c>
      <c r="L371" s="812">
        <f t="shared" si="172"/>
      </c>
      <c r="M371" s="812">
        <f t="shared" si="20"/>
      </c>
      <c r="N371" s="809">
        <f t="shared" si="110"/>
      </c>
      <c r="O371" s="813"/>
      <c r="P371" s="813"/>
      <c r="Q371" s="811">
        <f>Q366+Q370</f>
      </c>
      <c r="R371" s="811">
        <f>R366+R370</f>
      </c>
      <c r="S371" s="811">
        <f>S366+S370</f>
      </c>
      <c r="T371" s="811">
        <f>T366+T370</f>
      </c>
    </row>
    <row r="372">
      <c r="A372" s="860" t="s">
        <v>877</v>
      </c>
      <c r="B372" s="860"/>
      <c r="C372" s="860"/>
      <c r="D372" s="861" t="s">
        <v>878</v>
      </c>
      <c r="E372" s="861"/>
      <c r="F372" s="861"/>
      <c r="G372" s="861"/>
      <c r="H372" s="861"/>
      <c r="I372" s="861"/>
      <c r="J372" s="861"/>
      <c r="K372" s="861"/>
      <c r="L372" s="862" t="s">
        <v>879</v>
      </c>
      <c r="M372" s="862"/>
      <c r="N372" s="862"/>
      <c r="O372" s="862"/>
      <c r="P372" s="862"/>
      <c r="Q372" s="863" t="s">
        <v>880</v>
      </c>
      <c r="R372" s="863"/>
      <c r="S372" s="863"/>
      <c r="T372" s="863"/>
      <c r="U372" s="864"/>
    </row>
    <row r="373">
      <c r="A373" s="865" t="s">
        <v>881</v>
      </c>
      <c r="B373" s="865" t="s">
        <v>882</v>
      </c>
      <c r="C373" s="865" t="s">
        <v>883</v>
      </c>
      <c r="D373" s="866" t="s">
        <v>884</v>
      </c>
      <c r="E373" s="866" t="s">
        <v>885</v>
      </c>
      <c r="F373" s="866" t="s">
        <v>886</v>
      </c>
      <c r="G373" s="867" t="s">
        <v>887</v>
      </c>
      <c r="H373" s="866" t="s">
        <v>888</v>
      </c>
      <c r="I373" s="868" t="s">
        <v>889</v>
      </c>
      <c r="J373" s="869" t="s">
        <v>890</v>
      </c>
      <c r="K373" s="870" t="s">
        <v>891</v>
      </c>
      <c r="L373" s="871" t="s">
        <v>892</v>
      </c>
      <c r="M373" s="871" t="s">
        <v>893</v>
      </c>
      <c r="N373" s="871" t="s">
        <v>894</v>
      </c>
      <c r="O373" s="862" t="s">
        <v>895</v>
      </c>
      <c r="P373" s="862" t="s">
        <v>896</v>
      </c>
      <c r="Q373" s="872" t="s">
        <v>897</v>
      </c>
      <c r="R373" s="872" t="s">
        <v>898</v>
      </c>
      <c r="S373" s="872" t="s">
        <v>899</v>
      </c>
      <c r="T373" s="872" t="s">
        <v>900</v>
      </c>
      <c r="U373" s="864"/>
    </row>
    <row r="374">
      <c r="A374" s="873" t="s">
        <v>959</v>
      </c>
      <c r="B374" s="874" t="s">
        <v>955</v>
      </c>
      <c r="C374" s="875" t="s">
        <v>960</v>
      </c>
      <c r="D374" s="875">
        <f t="shared" ref="D374:D376" si="56">E374+F374</f>
      </c>
      <c r="E374" s="875">
        <v>501.65</v>
      </c>
      <c r="F374" s="875">
        <v>143.46</v>
      </c>
      <c r="G374" s="876">
        <v>4</v>
      </c>
      <c r="H374" s="875">
        <v>2209.2</v>
      </c>
      <c r="I374" s="877">
        <f t="shared" ref="I374:I386" si="204">H374/D374</f>
      </c>
      <c r="J374" s="877">
        <f t="shared" ref="J374:J386" si="235">D374/G374</f>
      </c>
      <c r="K374" s="878">
        <f t="shared" ref="K374:K386" si="142">H374/G374</f>
      </c>
      <c r="L374" s="879">
        <f t="shared" ref="L374:L386" si="173">R374/Q374</f>
      </c>
      <c r="M374" s="880">
        <f t="shared" ref="M374:M386" si="21">G374/S374</f>
      </c>
      <c r="N374" s="881">
        <f t="shared" ref="N374:N386" si="111">(T374*1000)/D374</f>
      </c>
      <c r="O374" s="882" t="s">
        <v>904</v>
      </c>
      <c r="P374" s="883" t="s">
        <v>932</v>
      </c>
      <c r="Q374" s="874">
        <v>6032</v>
      </c>
      <c r="R374" s="874">
        <v>858</v>
      </c>
      <c r="S374" s="874">
        <v>6</v>
      </c>
      <c r="T374" s="874">
        <v>29</v>
      </c>
      <c r="U374" s="864"/>
    </row>
    <row r="375">
      <c r="A375" s="873"/>
      <c r="B375" s="874" t="s">
        <v>955</v>
      </c>
      <c r="C375" s="875" t="s">
        <v>954</v>
      </c>
      <c r="D375" s="875">
        <f t="shared" si="56"/>
      </c>
      <c r="E375" s="875">
        <v>1071.23</v>
      </c>
      <c r="F375" s="875">
        <v>226.92</v>
      </c>
      <c r="G375" s="876">
        <v>3</v>
      </c>
      <c r="H375" s="875">
        <v>645.1200000000003</v>
      </c>
      <c r="I375" s="877">
        <f t="shared" si="204"/>
      </c>
      <c r="J375" s="877">
        <f t="shared" si="235"/>
      </c>
      <c r="K375" s="878">
        <f t="shared" si="142"/>
      </c>
      <c r="L375" s="879">
        <f t="shared" si="173"/>
      </c>
      <c r="M375" s="880">
        <f t="shared" si="21"/>
      </c>
      <c r="N375" s="881">
        <f t="shared" si="111"/>
      </c>
      <c r="O375" s="882" t="s">
        <v>904</v>
      </c>
      <c r="P375" s="883" t="s">
        <v>932</v>
      </c>
      <c r="Q375" s="874">
        <v>10589</v>
      </c>
      <c r="R375" s="874">
        <v>1670</v>
      </c>
      <c r="S375" s="884">
        <v>5</v>
      </c>
      <c r="T375" s="884">
        <v>73</v>
      </c>
      <c r="U375" s="864"/>
    </row>
    <row r="376">
      <c r="A376" s="873"/>
      <c r="B376" s="874" t="s">
        <v>955</v>
      </c>
      <c r="C376" s="875" t="s">
        <v>903</v>
      </c>
      <c r="D376" s="875">
        <f t="shared" si="56"/>
      </c>
      <c r="E376" s="875">
        <v>1584.49</v>
      </c>
      <c r="F376" s="875">
        <v>140.35</v>
      </c>
      <c r="G376" s="876">
        <v>10</v>
      </c>
      <c r="H376" s="875">
        <v>5749.6</v>
      </c>
      <c r="I376" s="877">
        <f t="shared" si="204"/>
      </c>
      <c r="J376" s="877">
        <f t="shared" si="235"/>
      </c>
      <c r="K376" s="878">
        <f t="shared" si="142"/>
      </c>
      <c r="L376" s="879">
        <f t="shared" si="173"/>
      </c>
      <c r="M376" s="880">
        <f t="shared" si="21"/>
      </c>
      <c r="N376" s="881">
        <f t="shared" si="111"/>
      </c>
      <c r="O376" s="882" t="s">
        <v>904</v>
      </c>
      <c r="P376" s="883" t="s">
        <v>932</v>
      </c>
      <c r="Q376" s="874">
        <v>10589</v>
      </c>
      <c r="R376" s="874">
        <v>1670</v>
      </c>
      <c r="S376" s="884">
        <v>12</v>
      </c>
      <c r="T376" s="884">
        <v>12</v>
      </c>
      <c r="U376" s="864"/>
    </row>
    <row r="377">
      <c r="A377" s="873"/>
      <c r="B377" s="885" t="s">
        <v>910</v>
      </c>
      <c r="C377" s="885"/>
      <c r="D377" s="886">
        <f>SUM(D374:D376)</f>
      </c>
      <c r="E377" s="886">
        <f>SUM(E374:E376)</f>
      </c>
      <c r="F377" s="886">
        <f>SUM(F374:F376)</f>
      </c>
      <c r="G377" s="887">
        <f>SUM(G374:G376)</f>
      </c>
      <c r="H377" s="886">
        <f>SUM(H374:H376)</f>
      </c>
      <c r="I377" s="888">
        <f t="shared" si="204"/>
      </c>
      <c r="J377" s="889">
        <f t="shared" si="235"/>
      </c>
      <c r="K377" s="890">
        <f t="shared" si="142"/>
      </c>
      <c r="L377" s="891">
        <f t="shared" si="173"/>
      </c>
      <c r="M377" s="891">
        <f t="shared" si="21"/>
      </c>
      <c r="N377" s="892">
        <f t="shared" si="111"/>
      </c>
      <c r="O377" s="892"/>
      <c r="P377" s="892"/>
      <c r="Q377" s="893">
        <f>SUM(Q374:Q376)</f>
      </c>
      <c r="R377" s="893">
        <f>SUM(R374:R376)</f>
      </c>
      <c r="S377" s="893">
        <f>SUM(S374:S376)</f>
      </c>
      <c r="T377" s="893">
        <f>SUM(T374:T376)</f>
      </c>
      <c r="U377" s="864"/>
    </row>
    <row r="378">
      <c r="A378" s="873"/>
      <c r="B378" s="894" t="s">
        <v>902</v>
      </c>
      <c r="C378" s="875" t="s">
        <v>906</v>
      </c>
      <c r="D378" s="875">
        <f t="shared" ref="D378:D380" si="57">E378+F378</f>
      </c>
      <c r="E378" s="875">
        <v>2018.48</v>
      </c>
      <c r="F378" s="875">
        <v>221.3</v>
      </c>
      <c r="G378" s="876">
        <v>4</v>
      </c>
      <c r="H378" s="875">
        <v>860.1599999999999</v>
      </c>
      <c r="I378" s="877">
        <f t="shared" si="204"/>
      </c>
      <c r="J378" s="877">
        <f t="shared" si="235"/>
      </c>
      <c r="K378" s="878">
        <f t="shared" si="142"/>
      </c>
      <c r="L378" s="879">
        <f t="shared" si="173"/>
      </c>
      <c r="M378" s="880">
        <f t="shared" si="21"/>
      </c>
      <c r="N378" s="881">
        <f t="shared" si="111"/>
      </c>
      <c r="O378" s="882" t="s">
        <v>904</v>
      </c>
      <c r="P378" s="883" t="s">
        <v>932</v>
      </c>
      <c r="Q378" s="872">
        <v>14108</v>
      </c>
      <c r="R378" s="872">
        <v>2202</v>
      </c>
      <c r="S378" s="895">
        <v>10</v>
      </c>
      <c r="T378" s="895">
        <v>42</v>
      </c>
      <c r="U378" s="864"/>
    </row>
    <row r="379">
      <c r="A379" s="873"/>
      <c r="B379" s="894" t="s">
        <v>902</v>
      </c>
      <c r="C379" s="875" t="s">
        <v>907</v>
      </c>
      <c r="D379" s="875">
        <f t="shared" si="57"/>
      </c>
      <c r="E379" s="875">
        <v>2713.72</v>
      </c>
      <c r="F379" s="875">
        <v>585.69</v>
      </c>
      <c r="G379" s="876">
        <v>19</v>
      </c>
      <c r="H379" s="875">
        <v>10874.42</v>
      </c>
      <c r="I379" s="877">
        <f t="shared" si="204"/>
      </c>
      <c r="J379" s="877">
        <f t="shared" si="235"/>
      </c>
      <c r="K379" s="878">
        <f t="shared" si="142"/>
      </c>
      <c r="L379" s="879">
        <f t="shared" si="173"/>
      </c>
      <c r="M379" s="880">
        <f t="shared" si="21"/>
      </c>
      <c r="N379" s="881">
        <f t="shared" si="111"/>
      </c>
      <c r="O379" s="882" t="s">
        <v>904</v>
      </c>
      <c r="P379" s="883" t="s">
        <v>932</v>
      </c>
      <c r="Q379" s="896">
        <v>18303</v>
      </c>
      <c r="R379" s="896">
        <v>2763</v>
      </c>
      <c r="S379" s="897">
        <v>21</v>
      </c>
      <c r="T379" s="897">
        <v>81</v>
      </c>
      <c r="U379" s="864"/>
    </row>
    <row r="380">
      <c r="A380" s="873"/>
      <c r="B380" s="894" t="s">
        <v>902</v>
      </c>
      <c r="C380" s="875" t="s">
        <v>908</v>
      </c>
      <c r="D380" s="875">
        <f t="shared" si="57"/>
      </c>
      <c r="E380" s="875">
        <v>4574.02</v>
      </c>
      <c r="F380" s="875">
        <v>998.24</v>
      </c>
      <c r="G380" s="876">
        <v>9</v>
      </c>
      <c r="H380" s="875">
        <v>2856.1399999999994</v>
      </c>
      <c r="I380" s="877">
        <f t="shared" si="204"/>
      </c>
      <c r="J380" s="877">
        <f t="shared" si="235"/>
      </c>
      <c r="K380" s="878">
        <f t="shared" si="142"/>
      </c>
      <c r="L380" s="879">
        <f t="shared" si="173"/>
      </c>
      <c r="M380" s="880">
        <f t="shared" si="21"/>
      </c>
      <c r="N380" s="881">
        <f t="shared" si="111"/>
      </c>
      <c r="O380" s="882" t="s">
        <v>904</v>
      </c>
      <c r="P380" s="883" t="s">
        <v>932</v>
      </c>
      <c r="Q380" s="896">
        <v>33404</v>
      </c>
      <c r="R380" s="896">
        <v>5189</v>
      </c>
      <c r="S380" s="897">
        <v>19</v>
      </c>
      <c r="T380" s="897">
        <v>104</v>
      </c>
      <c r="U380" s="864"/>
    </row>
    <row r="381">
      <c r="A381" s="873"/>
      <c r="B381" s="885" t="s">
        <v>910</v>
      </c>
      <c r="C381" s="885"/>
      <c r="D381" s="886">
        <f>SUM(D378:D380)</f>
      </c>
      <c r="E381" s="886">
        <f>SUM(E378:E380)</f>
      </c>
      <c r="F381" s="886">
        <f>SUM(F378:F380)</f>
      </c>
      <c r="G381" s="887">
        <f>SUM(G378:G380)</f>
      </c>
      <c r="H381" s="886">
        <f>SUM(H378:H380)</f>
      </c>
      <c r="I381" s="888">
        <f t="shared" si="204"/>
      </c>
      <c r="J381" s="889">
        <f t="shared" si="235"/>
      </c>
      <c r="K381" s="890">
        <f t="shared" si="142"/>
      </c>
      <c r="L381" s="891">
        <f t="shared" si="173"/>
      </c>
      <c r="M381" s="891">
        <f t="shared" si="21"/>
      </c>
      <c r="N381" s="892">
        <f t="shared" si="111"/>
      </c>
      <c r="O381" s="892"/>
      <c r="P381" s="892"/>
      <c r="Q381" s="893">
        <f>SUM(Q378:Q380)</f>
      </c>
      <c r="R381" s="893">
        <f>SUM(R378:R380)</f>
      </c>
      <c r="S381" s="893">
        <f>SUM(S378:S380)</f>
      </c>
      <c r="T381" s="893">
        <f>SUM(T378:T380)</f>
      </c>
      <c r="U381" s="864"/>
    </row>
    <row r="382">
      <c r="A382" s="873"/>
      <c r="B382" s="858" t="s">
        <v>922</v>
      </c>
      <c r="C382" s="875" t="s">
        <v>909</v>
      </c>
      <c r="D382" s="875">
        <f t="shared" ref="D382:D384" si="58">E382+F382</f>
      </c>
      <c r="E382" s="875">
        <v>1652.08</v>
      </c>
      <c r="F382" s="875">
        <v>497.46</v>
      </c>
      <c r="G382" s="876">
        <v>2</v>
      </c>
      <c r="H382" s="875">
        <v>892.7999999999993</v>
      </c>
      <c r="I382" s="877">
        <f t="shared" si="204"/>
      </c>
      <c r="J382" s="877">
        <f t="shared" si="235"/>
      </c>
      <c r="K382" s="878">
        <f t="shared" si="142"/>
      </c>
      <c r="L382" s="879">
        <f t="shared" si="173"/>
      </c>
      <c r="M382" s="880">
        <f t="shared" si="21"/>
      </c>
      <c r="N382" s="881">
        <f t="shared" si="111"/>
      </c>
      <c r="O382" s="882" t="s">
        <v>904</v>
      </c>
      <c r="P382" s="883" t="s">
        <v>932</v>
      </c>
      <c r="Q382" s="896">
        <v>15951</v>
      </c>
      <c r="R382" s="896">
        <v>2484</v>
      </c>
      <c r="S382" s="897">
        <v>14</v>
      </c>
      <c r="T382" s="897">
        <v>45</v>
      </c>
      <c r="U382" s="864"/>
    </row>
    <row r="383">
      <c r="A383" s="873"/>
      <c r="B383" s="858" t="s">
        <v>922</v>
      </c>
      <c r="C383" s="875" t="s">
        <v>912</v>
      </c>
      <c r="D383" s="875">
        <f t="shared" si="58"/>
      </c>
      <c r="E383" s="875">
        <v>1692.57</v>
      </c>
      <c r="F383" s="875">
        <v>238.48</v>
      </c>
      <c r="G383" s="876">
        <v>4</v>
      </c>
      <c r="H383" s="875">
        <v>1322.880000000001</v>
      </c>
      <c r="I383" s="877">
        <f t="shared" si="204"/>
      </c>
      <c r="J383" s="877">
        <f t="shared" si="235"/>
      </c>
      <c r="K383" s="878">
        <f t="shared" si="142"/>
      </c>
      <c r="L383" s="879">
        <f t="shared" si="173"/>
      </c>
      <c r="M383" s="880">
        <f t="shared" si="21"/>
      </c>
      <c r="N383" s="881">
        <f t="shared" si="111"/>
      </c>
      <c r="O383" s="882" t="s">
        <v>904</v>
      </c>
      <c r="P383" s="883" t="s">
        <v>932</v>
      </c>
      <c r="Q383" s="896">
        <v>14369</v>
      </c>
      <c r="R383" s="896">
        <v>2051</v>
      </c>
      <c r="S383" s="897">
        <v>6</v>
      </c>
      <c r="T383" s="897">
        <v>43</v>
      </c>
      <c r="U383" s="864"/>
    </row>
    <row r="384">
      <c r="A384" s="873"/>
      <c r="B384" s="858" t="s">
        <v>922</v>
      </c>
      <c r="C384" s="875" t="s">
        <v>913</v>
      </c>
      <c r="D384" s="875">
        <f t="shared" si="58"/>
      </c>
      <c r="E384" s="875">
        <v>2961.6200000000003</v>
      </c>
      <c r="F384" s="875">
        <v>114.58</v>
      </c>
      <c r="G384" s="876">
        <v>8</v>
      </c>
      <c r="H384" s="875">
        <v>2183.040000000001</v>
      </c>
      <c r="I384" s="877">
        <f t="shared" si="204"/>
      </c>
      <c r="J384" s="877">
        <f t="shared" si="235"/>
      </c>
      <c r="K384" s="878">
        <f t="shared" si="142"/>
      </c>
      <c r="L384" s="879">
        <f t="shared" si="173"/>
      </c>
      <c r="M384" s="880">
        <f t="shared" si="21"/>
      </c>
      <c r="N384" s="881">
        <f t="shared" si="111"/>
      </c>
      <c r="O384" s="882" t="s">
        <v>904</v>
      </c>
      <c r="P384" s="883" t="s">
        <v>932</v>
      </c>
      <c r="Q384" s="896">
        <v>21125</v>
      </c>
      <c r="R384" s="896">
        <v>3125</v>
      </c>
      <c r="S384" s="897">
        <v>14</v>
      </c>
      <c r="T384" s="897">
        <v>67</v>
      </c>
      <c r="U384" s="864"/>
    </row>
    <row r="385">
      <c r="A385" s="873"/>
      <c r="B385" s="885" t="s">
        <v>910</v>
      </c>
      <c r="C385" s="885"/>
      <c r="D385" s="886">
        <f>SUM(D382:D384)</f>
      </c>
      <c r="E385" s="886">
        <f>SUM(E382:E384)</f>
      </c>
      <c r="F385" s="886">
        <f>SUM(F382:F384)</f>
      </c>
      <c r="G385" s="887">
        <f>SUM(G382:G384)</f>
      </c>
      <c r="H385" s="886">
        <f>SUM(H382:H384)</f>
      </c>
      <c r="I385" s="888">
        <f t="shared" si="204"/>
      </c>
      <c r="J385" s="889">
        <f t="shared" si="235"/>
      </c>
      <c r="K385" s="890">
        <f t="shared" si="142"/>
      </c>
      <c r="L385" s="891">
        <f t="shared" si="173"/>
      </c>
      <c r="M385" s="891">
        <f t="shared" si="21"/>
      </c>
      <c r="N385" s="892">
        <f t="shared" si="111"/>
      </c>
      <c r="O385" s="892"/>
      <c r="P385" s="892"/>
      <c r="Q385" s="893">
        <f>SUM(Q382:Q384)</f>
      </c>
      <c r="R385" s="893">
        <f>SUM(R382:R384)</f>
      </c>
      <c r="S385" s="893">
        <f>SUM(S382:S384)</f>
      </c>
      <c r="T385" s="893">
        <f>SUM(T382:T384)</f>
      </c>
      <c r="U385" s="864"/>
    </row>
    <row r="386">
      <c r="A386" s="873"/>
      <c r="B386" s="898" t="s">
        <v>926</v>
      </c>
      <c r="C386" s="898"/>
      <c r="D386" s="899">
        <f>D377+D385+D381</f>
      </c>
      <c r="E386" s="899">
        <f>E377+E385+E381</f>
      </c>
      <c r="F386" s="899">
        <f>F377+F385+F381</f>
      </c>
      <c r="G386" s="900">
        <f>G377+G385+G381</f>
      </c>
      <c r="H386" s="899">
        <f>H377+H385+H381</f>
      </c>
      <c r="I386" s="901">
        <f t="shared" si="204"/>
      </c>
      <c r="J386" s="901">
        <f t="shared" si="235"/>
      </c>
      <c r="K386" s="902">
        <f t="shared" si="142"/>
      </c>
      <c r="L386" s="903">
        <f t="shared" si="173"/>
      </c>
      <c r="M386" s="903">
        <f t="shared" si="21"/>
      </c>
      <c r="N386" s="901">
        <f t="shared" si="111"/>
      </c>
      <c r="O386" s="904"/>
      <c r="P386" s="904"/>
      <c r="Q386" s="900">
        <f>Q377+Q385+Q381</f>
      </c>
      <c r="R386" s="900">
        <f>R377+R385+R381</f>
      </c>
      <c r="S386" s="900">
        <f>S377+S385+S381</f>
      </c>
      <c r="T386" s="900">
        <f>T377+T385+T381</f>
      </c>
      <c r="U386" s="864"/>
    </row>
    <row r="387">
      <c r="A387" s="860" t="s">
        <v>877</v>
      </c>
      <c r="B387" s="860"/>
      <c r="C387" s="860"/>
      <c r="D387" s="861" t="s">
        <v>878</v>
      </c>
      <c r="E387" s="861"/>
      <c r="F387" s="861"/>
      <c r="G387" s="861"/>
      <c r="H387" s="861"/>
      <c r="I387" s="861"/>
      <c r="J387" s="861"/>
      <c r="K387" s="861"/>
      <c r="L387" s="862" t="s">
        <v>879</v>
      </c>
      <c r="M387" s="862"/>
      <c r="N387" s="862"/>
      <c r="O387" s="862"/>
      <c r="P387" s="862"/>
      <c r="Q387" s="863" t="s">
        <v>880</v>
      </c>
      <c r="R387" s="863"/>
      <c r="S387" s="863"/>
      <c r="T387" s="863"/>
      <c r="U387" s="864"/>
    </row>
    <row r="388">
      <c r="A388" s="865" t="s">
        <v>881</v>
      </c>
      <c r="B388" s="865" t="s">
        <v>882</v>
      </c>
      <c r="C388" s="865" t="s">
        <v>883</v>
      </c>
      <c r="D388" s="866" t="s">
        <v>884</v>
      </c>
      <c r="E388" s="866" t="s">
        <v>885</v>
      </c>
      <c r="F388" s="866" t="s">
        <v>886</v>
      </c>
      <c r="G388" s="867" t="s">
        <v>887</v>
      </c>
      <c r="H388" s="866" t="s">
        <v>888</v>
      </c>
      <c r="I388" s="868" t="s">
        <v>889</v>
      </c>
      <c r="J388" s="869" t="s">
        <v>890</v>
      </c>
      <c r="K388" s="870" t="s">
        <v>891</v>
      </c>
      <c r="L388" s="871" t="s">
        <v>892</v>
      </c>
      <c r="M388" s="871" t="s">
        <v>893</v>
      </c>
      <c r="N388" s="871" t="s">
        <v>894</v>
      </c>
      <c r="O388" s="862" t="s">
        <v>895</v>
      </c>
      <c r="P388" s="862" t="s">
        <v>896</v>
      </c>
      <c r="Q388" s="872" t="s">
        <v>897</v>
      </c>
      <c r="R388" s="872" t="s">
        <v>898</v>
      </c>
      <c r="S388" s="872" t="s">
        <v>899</v>
      </c>
      <c r="T388" s="872" t="s">
        <v>900</v>
      </c>
      <c r="U388" s="864"/>
    </row>
    <row r="389">
      <c r="A389" s="905" t="s">
        <v>961</v>
      </c>
      <c r="B389" s="874" t="s">
        <v>955</v>
      </c>
      <c r="C389" s="875" t="s">
        <v>960</v>
      </c>
      <c r="D389" s="875">
        <f t="shared" ref="D389:D391" si="59">E389+F389</f>
      </c>
      <c r="E389" s="875">
        <v>2516</v>
      </c>
      <c r="F389" s="875">
        <v>370.42</v>
      </c>
      <c r="G389" s="906">
        <v>8</v>
      </c>
      <c r="H389" s="875">
        <v>4063.92</v>
      </c>
      <c r="I389" s="877">
        <f t="shared" ref="I389:I401" si="205">H389/D389</f>
      </c>
      <c r="J389" s="877">
        <f t="shared" ref="J389:J401" si="236">D389/G389</f>
      </c>
      <c r="K389" s="878">
        <f t="shared" ref="K389:K401" si="143">H389/G389</f>
      </c>
      <c r="L389" s="879">
        <f t="shared" ref="L389:L401" si="174">R389/Q389</f>
      </c>
      <c r="M389" s="880">
        <f t="shared" ref="M389:M401" si="22">G389/S389</f>
      </c>
      <c r="N389" s="881">
        <f t="shared" ref="N389:N401" si="112">(T389*1000)/D389</f>
      </c>
      <c r="O389" s="882" t="s">
        <v>904</v>
      </c>
      <c r="P389" s="883" t="s">
        <v>932</v>
      </c>
      <c r="Q389" s="874">
        <v>26691</v>
      </c>
      <c r="R389" s="874">
        <v>4444</v>
      </c>
      <c r="S389" s="884">
        <v>16</v>
      </c>
      <c r="T389" s="884">
        <v>93</v>
      </c>
      <c r="U389" s="864"/>
    </row>
    <row r="390">
      <c r="A390" s="873"/>
      <c r="B390" s="874" t="s">
        <v>955</v>
      </c>
      <c r="C390" s="875" t="s">
        <v>954</v>
      </c>
      <c r="D390" s="875">
        <f t="shared" si="59"/>
      </c>
      <c r="E390" s="875">
        <v>2928.72</v>
      </c>
      <c r="F390" s="875">
        <v>504.64</v>
      </c>
      <c r="G390" s="906">
        <v>9</v>
      </c>
      <c r="H390" s="875">
        <f>5412.96+215.04</f>
      </c>
      <c r="I390" s="877">
        <f t="shared" si="205"/>
      </c>
      <c r="J390" s="877">
        <f t="shared" si="236"/>
      </c>
      <c r="K390" s="878">
        <f t="shared" si="143"/>
      </c>
      <c r="L390" s="879">
        <f t="shared" si="174"/>
      </c>
      <c r="M390" s="880">
        <f t="shared" si="22"/>
      </c>
      <c r="N390" s="881">
        <f t="shared" si="112"/>
      </c>
      <c r="O390" s="882" t="s">
        <v>904</v>
      </c>
      <c r="P390" s="883" t="s">
        <v>932</v>
      </c>
      <c r="Q390" s="874">
        <v>29997</v>
      </c>
      <c r="R390" s="874">
        <v>4887</v>
      </c>
      <c r="S390" s="884">
        <v>13</v>
      </c>
      <c r="T390" s="884">
        <v>98</v>
      </c>
      <c r="U390" s="864"/>
    </row>
    <row r="391">
      <c r="A391" s="873"/>
      <c r="B391" s="874" t="s">
        <v>955</v>
      </c>
      <c r="C391" s="875" t="s">
        <v>903</v>
      </c>
      <c r="D391" s="875">
        <f t="shared" si="59"/>
      </c>
      <c r="E391" s="875">
        <v>1613.43</v>
      </c>
      <c r="F391" s="875">
        <v>1165.29</v>
      </c>
      <c r="G391" s="876">
        <v>5</v>
      </c>
      <c r="H391" s="875">
        <v>2463.3600000000006</v>
      </c>
      <c r="I391" s="877">
        <f t="shared" si="205"/>
      </c>
      <c r="J391" s="877">
        <f t="shared" si="236"/>
      </c>
      <c r="K391" s="878">
        <f t="shared" si="143"/>
      </c>
      <c r="L391" s="879">
        <f t="shared" si="174"/>
      </c>
      <c r="M391" s="880">
        <f t="shared" si="22"/>
      </c>
      <c r="N391" s="881">
        <f t="shared" si="112"/>
      </c>
      <c r="O391" s="882" t="s">
        <v>904</v>
      </c>
      <c r="P391" s="883" t="s">
        <v>932</v>
      </c>
      <c r="Q391" s="874">
        <v>20621</v>
      </c>
      <c r="R391" s="874">
        <v>3661</v>
      </c>
      <c r="S391" s="884">
        <v>8</v>
      </c>
      <c r="T391" s="884">
        <v>54</v>
      </c>
      <c r="U391" s="864"/>
    </row>
    <row r="392">
      <c r="A392" s="873"/>
      <c r="B392" s="885" t="s">
        <v>910</v>
      </c>
      <c r="C392" s="885"/>
      <c r="D392" s="886">
        <f>SUM(D389:D391)</f>
      </c>
      <c r="E392" s="886">
        <f>SUM(E389:E391)</f>
      </c>
      <c r="F392" s="886">
        <f>SUM(F389:F391)</f>
      </c>
      <c r="G392" s="887">
        <f>SUM(G389:G391)</f>
      </c>
      <c r="H392" s="886">
        <f>SUM(H389:H391)</f>
      </c>
      <c r="I392" s="888">
        <f t="shared" si="205"/>
      </c>
      <c r="J392" s="889">
        <f t="shared" si="236"/>
      </c>
      <c r="K392" s="890">
        <f t="shared" si="143"/>
      </c>
      <c r="L392" s="891">
        <f t="shared" si="174"/>
      </c>
      <c r="M392" s="891">
        <f t="shared" si="22"/>
      </c>
      <c r="N392" s="892">
        <f t="shared" si="112"/>
      </c>
      <c r="O392" s="892"/>
      <c r="P392" s="892"/>
      <c r="Q392" s="893">
        <f>SUM(Q389:Q391)</f>
      </c>
      <c r="R392" s="893">
        <f>SUM(R389:R391)</f>
      </c>
      <c r="S392" s="893">
        <f>SUM(S389:S391)</f>
      </c>
      <c r="T392" s="893">
        <f>SUM(T389:T391)</f>
      </c>
      <c r="U392" s="864"/>
    </row>
    <row r="393">
      <c r="A393" s="873"/>
      <c r="B393" s="894" t="s">
        <v>902</v>
      </c>
      <c r="C393" s="875" t="s">
        <v>906</v>
      </c>
      <c r="D393" s="875">
        <f t="shared" ref="D393:D395" si="60">E393+F393</f>
      </c>
      <c r="E393" s="875">
        <v>1572.72</v>
      </c>
      <c r="F393" s="875">
        <v>1009.63</v>
      </c>
      <c r="G393" s="876">
        <v>15</v>
      </c>
      <c r="H393" s="875">
        <v>6952.700000000003</v>
      </c>
      <c r="I393" s="877">
        <f t="shared" si="205"/>
      </c>
      <c r="J393" s="877">
        <f t="shared" si="236"/>
      </c>
      <c r="K393" s="878">
        <f t="shared" si="143"/>
      </c>
      <c r="L393" s="879">
        <f t="shared" si="174"/>
      </c>
      <c r="M393" s="880">
        <f t="shared" si="22"/>
      </c>
      <c r="N393" s="881">
        <f t="shared" si="112"/>
      </c>
      <c r="O393" s="882" t="s">
        <v>904</v>
      </c>
      <c r="P393" s="883" t="s">
        <v>932</v>
      </c>
      <c r="Q393" s="872">
        <v>15995</v>
      </c>
      <c r="R393" s="872">
        <v>2658</v>
      </c>
      <c r="S393" s="895">
        <v>18</v>
      </c>
      <c r="T393" s="895">
        <v>59</v>
      </c>
      <c r="U393" s="864"/>
    </row>
    <row r="394">
      <c r="A394" s="873"/>
      <c r="B394" s="894" t="s">
        <v>902</v>
      </c>
      <c r="C394" s="875" t="s">
        <v>907</v>
      </c>
      <c r="D394" s="875">
        <f t="shared" si="60"/>
      </c>
      <c r="E394" s="875">
        <v>3539.64</v>
      </c>
      <c r="F394" s="875">
        <v>1853.56</v>
      </c>
      <c r="G394" s="876">
        <v>15</v>
      </c>
      <c r="H394" s="875">
        <v>6283.169999999998</v>
      </c>
      <c r="I394" s="877">
        <f t="shared" si="205"/>
      </c>
      <c r="J394" s="877">
        <f t="shared" si="236"/>
      </c>
      <c r="K394" s="878">
        <f t="shared" si="143"/>
      </c>
      <c r="L394" s="879">
        <f t="shared" si="174"/>
      </c>
      <c r="M394" s="880">
        <f t="shared" si="22"/>
      </c>
      <c r="N394" s="881">
        <f t="shared" si="112"/>
      </c>
      <c r="O394" s="882" t="s">
        <v>904</v>
      </c>
      <c r="P394" s="883" t="s">
        <v>932</v>
      </c>
      <c r="Q394" s="896">
        <v>31097</v>
      </c>
      <c r="R394" s="896">
        <v>5063</v>
      </c>
      <c r="S394" s="897">
        <v>22</v>
      </c>
      <c r="T394" s="897">
        <v>142</v>
      </c>
      <c r="U394" s="864"/>
    </row>
    <row r="395">
      <c r="A395" s="873"/>
      <c r="B395" s="894" t="s">
        <v>902</v>
      </c>
      <c r="C395" s="875" t="s">
        <v>908</v>
      </c>
      <c r="D395" s="875">
        <f t="shared" si="60"/>
      </c>
      <c r="E395" s="875">
        <v>5773.08</v>
      </c>
      <c r="F395" s="875">
        <v>866.63</v>
      </c>
      <c r="G395" s="876">
        <v>15</v>
      </c>
      <c r="H395" s="875">
        <v>5514.879999999997</v>
      </c>
      <c r="I395" s="877">
        <f t="shared" si="205"/>
      </c>
      <c r="J395" s="877">
        <f t="shared" si="236"/>
      </c>
      <c r="K395" s="878">
        <f t="shared" si="143"/>
      </c>
      <c r="L395" s="879">
        <f t="shared" si="174"/>
      </c>
      <c r="M395" s="880">
        <f t="shared" si="22"/>
      </c>
      <c r="N395" s="881">
        <f t="shared" si="112"/>
      </c>
      <c r="O395" s="882" t="s">
        <v>904</v>
      </c>
      <c r="P395" s="883" t="s">
        <v>932</v>
      </c>
      <c r="Q395" s="896">
        <v>45709</v>
      </c>
      <c r="R395" s="896">
        <v>8137</v>
      </c>
      <c r="S395" s="897">
        <v>24</v>
      </c>
      <c r="T395" s="897">
        <v>136</v>
      </c>
      <c r="U395" s="864"/>
    </row>
    <row r="396">
      <c r="A396" s="873"/>
      <c r="B396" s="885" t="s">
        <v>910</v>
      </c>
      <c r="C396" s="885"/>
      <c r="D396" s="886">
        <f>SUM(D393:D395)</f>
      </c>
      <c r="E396" s="886">
        <f>SUM(E393:E395)</f>
      </c>
      <c r="F396" s="886">
        <f>SUM(F393:F395)</f>
      </c>
      <c r="G396" s="887">
        <f>SUM(G393:G395)</f>
      </c>
      <c r="H396" s="886">
        <f>SUM(H393:H395)</f>
      </c>
      <c r="I396" s="888">
        <f t="shared" si="205"/>
      </c>
      <c r="J396" s="889">
        <f t="shared" si="236"/>
      </c>
      <c r="K396" s="890">
        <f t="shared" si="143"/>
      </c>
      <c r="L396" s="891">
        <f t="shared" si="174"/>
      </c>
      <c r="M396" s="891">
        <f t="shared" si="22"/>
      </c>
      <c r="N396" s="892">
        <f t="shared" si="112"/>
      </c>
      <c r="O396" s="892"/>
      <c r="P396" s="892"/>
      <c r="Q396" s="893">
        <f>SUM(Q393:Q395)</f>
      </c>
      <c r="R396" s="893">
        <f>SUM(R393:R395)</f>
      </c>
      <c r="S396" s="893">
        <f>SUM(S393:S395)</f>
      </c>
      <c r="T396" s="893">
        <f>SUM(T393:T395)</f>
      </c>
      <c r="U396" s="864"/>
    </row>
    <row r="397">
      <c r="A397" s="873"/>
      <c r="B397" s="835" t="s">
        <v>918</v>
      </c>
      <c r="C397" s="875" t="s">
        <v>909</v>
      </c>
      <c r="D397" s="875">
        <f t="shared" ref="D397:D399" si="61">E397+F397</f>
      </c>
      <c r="E397" s="875">
        <v>4843.74</v>
      </c>
      <c r="F397" s="875">
        <v>1177.84</v>
      </c>
      <c r="G397" s="876">
        <v>15</v>
      </c>
      <c r="H397" s="875">
        <v>8193.5</v>
      </c>
      <c r="I397" s="877">
        <f t="shared" si="205"/>
      </c>
      <c r="J397" s="877">
        <f t="shared" si="236"/>
      </c>
      <c r="K397" s="878">
        <f t="shared" si="143"/>
      </c>
      <c r="L397" s="879">
        <f t="shared" si="174"/>
      </c>
      <c r="M397" s="880">
        <f t="shared" si="22"/>
      </c>
      <c r="N397" s="881">
        <f t="shared" si="112"/>
      </c>
      <c r="O397" s="882" t="s">
        <v>904</v>
      </c>
      <c r="P397" s="883" t="s">
        <v>932</v>
      </c>
      <c r="Q397" s="896">
        <v>49121</v>
      </c>
      <c r="R397" s="896">
        <v>7364</v>
      </c>
      <c r="S397" s="897">
        <v>23</v>
      </c>
      <c r="T397" s="897">
        <v>109</v>
      </c>
      <c r="U397" s="864"/>
    </row>
    <row r="398">
      <c r="A398" s="873"/>
      <c r="B398" s="835" t="s">
        <v>918</v>
      </c>
      <c r="C398" s="875" t="s">
        <v>912</v>
      </c>
      <c r="D398" s="875">
        <f t="shared" si="61"/>
      </c>
      <c r="E398" s="875">
        <v>6292.4</v>
      </c>
      <c r="F398" s="875">
        <v>3688.61</v>
      </c>
      <c r="G398" s="876">
        <v>21</v>
      </c>
      <c r="H398" s="875">
        <v>7233.379999999997</v>
      </c>
      <c r="I398" s="877">
        <f t="shared" si="205"/>
      </c>
      <c r="J398" s="877">
        <f t="shared" si="236"/>
      </c>
      <c r="K398" s="878">
        <f t="shared" si="143"/>
      </c>
      <c r="L398" s="879">
        <f t="shared" si="174"/>
      </c>
      <c r="M398" s="880">
        <f t="shared" si="22"/>
      </c>
      <c r="N398" s="881">
        <f t="shared" si="112"/>
      </c>
      <c r="O398" s="882" t="s">
        <v>904</v>
      </c>
      <c r="P398" s="883" t="s">
        <v>932</v>
      </c>
      <c r="Q398" s="896">
        <v>71820</v>
      </c>
      <c r="R398" s="896">
        <v>11501</v>
      </c>
      <c r="S398" s="897">
        <v>30</v>
      </c>
      <c r="T398" s="897">
        <v>122</v>
      </c>
      <c r="U398" s="864"/>
    </row>
    <row r="399">
      <c r="A399" s="873"/>
      <c r="B399" s="835" t="s">
        <v>918</v>
      </c>
      <c r="C399" s="875" t="s">
        <v>913</v>
      </c>
      <c r="D399" s="875">
        <f t="shared" si="61"/>
      </c>
      <c r="E399" s="875">
        <v>0.02</v>
      </c>
      <c r="F399" s="875">
        <v>1420.83</v>
      </c>
      <c r="G399" s="876">
        <v>7</v>
      </c>
      <c r="H399" s="875">
        <v>4230.260000000002</v>
      </c>
      <c r="I399" s="877">
        <f t="shared" si="205"/>
      </c>
      <c r="J399" s="877">
        <f t="shared" si="236"/>
      </c>
      <c r="K399" s="878">
        <f t="shared" si="143"/>
      </c>
      <c r="L399" s="879">
        <f t="shared" si="174"/>
      </c>
      <c r="M399" s="880">
        <f t="shared" si="22"/>
      </c>
      <c r="N399" s="881">
        <f t="shared" si="112"/>
      </c>
      <c r="O399" s="882" t="s">
        <v>904</v>
      </c>
      <c r="P399" s="883" t="s">
        <v>932</v>
      </c>
      <c r="Q399" s="896">
        <v>11732</v>
      </c>
      <c r="R399" s="896">
        <v>1322</v>
      </c>
      <c r="S399" s="897">
        <v>13</v>
      </c>
      <c r="T399" s="897">
        <v>141</v>
      </c>
      <c r="U399" s="864"/>
    </row>
    <row r="400">
      <c r="A400" s="873"/>
      <c r="B400" s="885" t="s">
        <v>910</v>
      </c>
      <c r="C400" s="885"/>
      <c r="D400" s="886">
        <f>SUM(D397:D399)</f>
      </c>
      <c r="E400" s="886">
        <f>SUM(E397:E399)</f>
      </c>
      <c r="F400" s="886">
        <f>SUM(F397:F399)</f>
      </c>
      <c r="G400" s="887">
        <f>SUM(G397:G399)</f>
      </c>
      <c r="H400" s="886">
        <f>SUM(H397:H399)</f>
      </c>
      <c r="I400" s="888">
        <f t="shared" si="205"/>
      </c>
      <c r="J400" s="889">
        <f t="shared" si="236"/>
      </c>
      <c r="K400" s="890">
        <f t="shared" si="143"/>
      </c>
      <c r="L400" s="891">
        <f t="shared" si="174"/>
      </c>
      <c r="M400" s="891">
        <f t="shared" si="22"/>
      </c>
      <c r="N400" s="892">
        <f t="shared" si="112"/>
      </c>
      <c r="O400" s="892"/>
      <c r="P400" s="892"/>
      <c r="Q400" s="893">
        <f>SUM(Q397:Q399)</f>
      </c>
      <c r="R400" s="893">
        <f>SUM(R397:R399)</f>
      </c>
      <c r="S400" s="893">
        <f>SUM(S397:S399)</f>
      </c>
      <c r="T400" s="893">
        <f>SUM(T397:T399)</f>
      </c>
      <c r="U400" s="864"/>
    </row>
    <row r="401">
      <c r="A401" s="873"/>
      <c r="B401" s="898" t="s">
        <v>926</v>
      </c>
      <c r="C401" s="898"/>
      <c r="D401" s="899">
        <f>D392+D400+D396</f>
      </c>
      <c r="E401" s="899">
        <f>E392+E400+E396</f>
      </c>
      <c r="F401" s="899">
        <f>F392+F400+F396</f>
      </c>
      <c r="G401" s="900">
        <f>G392+G400+G396</f>
      </c>
      <c r="H401" s="899">
        <f>H392+H400+H396</f>
      </c>
      <c r="I401" s="901">
        <f t="shared" si="205"/>
      </c>
      <c r="J401" s="901">
        <f t="shared" si="236"/>
      </c>
      <c r="K401" s="902">
        <f t="shared" si="143"/>
      </c>
      <c r="L401" s="903">
        <f t="shared" si="174"/>
      </c>
      <c r="M401" s="903">
        <f t="shared" si="22"/>
      </c>
      <c r="N401" s="901">
        <f t="shared" si="112"/>
      </c>
      <c r="O401" s="904"/>
      <c r="P401" s="904"/>
      <c r="Q401" s="900">
        <f>Q392+Q400+Q396</f>
      </c>
      <c r="R401" s="900">
        <f>R392+R400+R396</f>
      </c>
      <c r="S401" s="900">
        <f>S392+S400+S396</f>
      </c>
      <c r="T401" s="900">
        <f>T392+T400+T396</f>
      </c>
      <c r="U401" s="864"/>
    </row>
    <row r="402">
      <c r="A402" s="860" t="s">
        <v>877</v>
      </c>
      <c r="B402" s="860"/>
      <c r="C402" s="860"/>
      <c r="D402" s="861" t="s">
        <v>878</v>
      </c>
      <c r="E402" s="861"/>
      <c r="F402" s="861"/>
      <c r="G402" s="861"/>
      <c r="H402" s="861"/>
      <c r="I402" s="861"/>
      <c r="J402" s="861"/>
      <c r="K402" s="861"/>
      <c r="L402" s="862" t="s">
        <v>879</v>
      </c>
      <c r="M402" s="862"/>
      <c r="N402" s="862"/>
      <c r="O402" s="862"/>
      <c r="P402" s="862"/>
      <c r="Q402" s="863" t="s">
        <v>880</v>
      </c>
      <c r="R402" s="863"/>
      <c r="S402" s="863"/>
      <c r="T402" s="863"/>
      <c r="U402" s="864"/>
    </row>
    <row r="403">
      <c r="A403" s="865" t="s">
        <v>881</v>
      </c>
      <c r="B403" s="865" t="s">
        <v>882</v>
      </c>
      <c r="C403" s="865" t="s">
        <v>883</v>
      </c>
      <c r="D403" s="866" t="s">
        <v>884</v>
      </c>
      <c r="E403" s="866" t="s">
        <v>885</v>
      </c>
      <c r="F403" s="866" t="s">
        <v>886</v>
      </c>
      <c r="G403" s="867" t="s">
        <v>887</v>
      </c>
      <c r="H403" s="866" t="s">
        <v>888</v>
      </c>
      <c r="I403" s="868" t="s">
        <v>889</v>
      </c>
      <c r="J403" s="869" t="s">
        <v>890</v>
      </c>
      <c r="K403" s="870" t="s">
        <v>891</v>
      </c>
      <c r="L403" s="871" t="s">
        <v>892</v>
      </c>
      <c r="M403" s="871" t="s">
        <v>893</v>
      </c>
      <c r="N403" s="871" t="s">
        <v>894</v>
      </c>
      <c r="O403" s="862" t="s">
        <v>895</v>
      </c>
      <c r="P403" s="862" t="s">
        <v>896</v>
      </c>
      <c r="Q403" s="872" t="s">
        <v>897</v>
      </c>
      <c r="R403" s="872" t="s">
        <v>898</v>
      </c>
      <c r="S403" s="872" t="s">
        <v>899</v>
      </c>
      <c r="T403" s="872" t="s">
        <v>900</v>
      </c>
      <c r="U403" s="864"/>
    </row>
    <row r="404">
      <c r="A404" s="905" t="s">
        <v>962</v>
      </c>
      <c r="B404" s="835" t="s">
        <v>918</v>
      </c>
      <c r="C404" s="875" t="s">
        <v>960</v>
      </c>
      <c r="D404" s="875">
        <f t="shared" ref="D404:D406" si="62">E404+F404</f>
      </c>
      <c r="E404" s="875">
        <v>1314.41</v>
      </c>
      <c r="F404" s="875">
        <v>1151.9</v>
      </c>
      <c r="G404" s="906">
        <v>5</v>
      </c>
      <c r="H404" s="875">
        <v>4290.12</v>
      </c>
      <c r="I404" s="877">
        <f t="shared" ref="I404:I420" si="206">H404/D404</f>
      </c>
      <c r="J404" s="877">
        <f t="shared" ref="J404:J420" si="237">D404/G404</f>
      </c>
      <c r="K404" s="878">
        <f t="shared" ref="K404:K420" si="144">H404/G404</f>
      </c>
      <c r="L404" s="879">
        <f t="shared" ref="L404:L420" si="175">R404/Q404</f>
      </c>
      <c r="M404" s="880">
        <f t="shared" ref="M404:M420" si="23">G404/S404</f>
      </c>
      <c r="N404" s="881">
        <f t="shared" ref="N404:N420" si="113">(T404*1000)/D404</f>
      </c>
      <c r="O404" s="882" t="s">
        <v>904</v>
      </c>
      <c r="P404" s="883" t="s">
        <v>932</v>
      </c>
      <c r="Q404" s="874">
        <v>20528</v>
      </c>
      <c r="R404" s="874">
        <v>3485</v>
      </c>
      <c r="S404" s="884">
        <v>9</v>
      </c>
      <c r="T404" s="884">
        <v>66</v>
      </c>
      <c r="U404" s="864"/>
    </row>
    <row r="405">
      <c r="A405" s="873"/>
      <c r="B405" s="835" t="s">
        <v>918</v>
      </c>
      <c r="C405" s="875" t="s">
        <v>954</v>
      </c>
      <c r="D405" s="875">
        <f t="shared" si="62"/>
      </c>
      <c r="E405" s="875">
        <v>1475.67</v>
      </c>
      <c r="F405" s="875">
        <v>1384.3</v>
      </c>
      <c r="G405" s="906">
        <v>5</v>
      </c>
      <c r="H405" s="875">
        <v>3357.12</v>
      </c>
      <c r="I405" s="877">
        <f t="shared" si="206"/>
      </c>
      <c r="J405" s="877">
        <f t="shared" si="237"/>
      </c>
      <c r="K405" s="878">
        <f t="shared" si="144"/>
      </c>
      <c r="L405" s="879">
        <f t="shared" si="175"/>
      </c>
      <c r="M405" s="880">
        <f t="shared" si="23"/>
      </c>
      <c r="N405" s="881">
        <f t="shared" si="113"/>
      </c>
      <c r="O405" s="882" t="s">
        <v>904</v>
      </c>
      <c r="P405" s="883" t="s">
        <v>932</v>
      </c>
      <c r="Q405" s="874">
        <v>20924</v>
      </c>
      <c r="R405" s="874">
        <v>3487</v>
      </c>
      <c r="S405" s="884">
        <v>10</v>
      </c>
      <c r="T405" s="884">
        <v>94</v>
      </c>
      <c r="U405" s="864"/>
    </row>
    <row r="406">
      <c r="A406" s="873"/>
      <c r="B406" s="835" t="s">
        <v>918</v>
      </c>
      <c r="C406" s="875" t="s">
        <v>903</v>
      </c>
      <c r="D406" s="875">
        <f t="shared" si="62"/>
      </c>
      <c r="E406" s="875">
        <v>1361</v>
      </c>
      <c r="F406" s="875">
        <v>1155.2</v>
      </c>
      <c r="G406" s="876">
        <v>7</v>
      </c>
      <c r="H406" s="875">
        <v>2908.4400000000005</v>
      </c>
      <c r="I406" s="877">
        <f t="shared" si="206"/>
      </c>
      <c r="J406" s="877">
        <f t="shared" si="237"/>
      </c>
      <c r="K406" s="878">
        <f t="shared" si="144"/>
      </c>
      <c r="L406" s="879">
        <f t="shared" si="175"/>
      </c>
      <c r="M406" s="880">
        <f t="shared" si="23"/>
      </c>
      <c r="N406" s="881">
        <f t="shared" si="113"/>
      </c>
      <c r="O406" s="882" t="s">
        <v>904</v>
      </c>
      <c r="P406" s="883" t="s">
        <v>932</v>
      </c>
      <c r="Q406" s="874">
        <v>18030</v>
      </c>
      <c r="R406" s="874">
        <v>2881</v>
      </c>
      <c r="S406" s="884">
        <v>15</v>
      </c>
      <c r="T406" s="884">
        <v>81</v>
      </c>
      <c r="U406" s="864"/>
    </row>
    <row r="407">
      <c r="A407" s="873"/>
      <c r="B407" s="885" t="s">
        <v>910</v>
      </c>
      <c r="C407" s="885"/>
      <c r="D407" s="886">
        <f>SUM(D404:D406)</f>
      </c>
      <c r="E407" s="886">
        <f>SUM(E404:E406)</f>
      </c>
      <c r="F407" s="886">
        <f>SUM(F404:F406)</f>
      </c>
      <c r="G407" s="887">
        <f>SUM(G404:G406)</f>
      </c>
      <c r="H407" s="886">
        <f>SUM(H404:H406)</f>
      </c>
      <c r="I407" s="888">
        <f t="shared" si="206"/>
      </c>
      <c r="J407" s="889">
        <f t="shared" si="237"/>
      </c>
      <c r="K407" s="890">
        <f t="shared" si="144"/>
      </c>
      <c r="L407" s="891">
        <f t="shared" si="175"/>
      </c>
      <c r="M407" s="891">
        <f t="shared" si="23"/>
      </c>
      <c r="N407" s="892">
        <f t="shared" si="113"/>
      </c>
      <c r="O407" s="892"/>
      <c r="P407" s="892"/>
      <c r="Q407" s="893">
        <f>SUM(Q404:Q406)</f>
      </c>
      <c r="R407" s="893">
        <f>SUM(R404:R406)</f>
      </c>
      <c r="S407" s="893">
        <f>SUM(S404:S406)</f>
      </c>
      <c r="T407" s="893">
        <f>SUM(T404:T406)</f>
      </c>
      <c r="U407" s="864"/>
    </row>
    <row r="408">
      <c r="A408" s="873"/>
      <c r="B408" s="894" t="s">
        <v>902</v>
      </c>
      <c r="C408" s="875" t="s">
        <v>906</v>
      </c>
      <c r="D408" s="875">
        <f t="shared" ref="D408:D410" si="63">E408+F408</f>
      </c>
      <c r="E408" s="875">
        <v>1923.98</v>
      </c>
      <c r="F408" s="875">
        <v>574.05</v>
      </c>
      <c r="G408" s="876">
        <v>15</v>
      </c>
      <c r="H408" s="875">
        <v>7346.299999999999</v>
      </c>
      <c r="I408" s="877">
        <f t="shared" si="206"/>
      </c>
      <c r="J408" s="877">
        <f t="shared" si="237"/>
      </c>
      <c r="K408" s="878">
        <f t="shared" si="144"/>
      </c>
      <c r="L408" s="879">
        <f t="shared" si="175"/>
      </c>
      <c r="M408" s="880">
        <f t="shared" si="23"/>
      </c>
      <c r="N408" s="881">
        <f t="shared" si="113"/>
      </c>
      <c r="O408" s="882" t="s">
        <v>904</v>
      </c>
      <c r="P408" s="883" t="s">
        <v>932</v>
      </c>
      <c r="Q408" s="872">
        <v>17444</v>
      </c>
      <c r="R408" s="872">
        <v>2717</v>
      </c>
      <c r="S408" s="895">
        <v>16</v>
      </c>
      <c r="T408" s="895">
        <v>87</v>
      </c>
      <c r="U408" s="864"/>
    </row>
    <row r="409">
      <c r="A409" s="873"/>
      <c r="B409" s="894" t="s">
        <v>902</v>
      </c>
      <c r="C409" s="875" t="s">
        <v>907</v>
      </c>
      <c r="D409" s="875">
        <f t="shared" si="63"/>
      </c>
      <c r="E409" s="875">
        <v>5294.83</v>
      </c>
      <c r="F409" s="875">
        <v>666.4</v>
      </c>
      <c r="G409" s="876">
        <v>17</v>
      </c>
      <c r="H409" s="875">
        <v>7695.040000000001</v>
      </c>
      <c r="I409" s="877">
        <f t="shared" si="206"/>
      </c>
      <c r="J409" s="877">
        <f t="shared" si="237"/>
      </c>
      <c r="K409" s="878">
        <f t="shared" si="144"/>
      </c>
      <c r="L409" s="879">
        <f t="shared" si="175"/>
      </c>
      <c r="M409" s="880">
        <f t="shared" si="23"/>
      </c>
      <c r="N409" s="881">
        <f t="shared" si="113"/>
      </c>
      <c r="O409" s="882" t="s">
        <v>904</v>
      </c>
      <c r="P409" s="883" t="s">
        <v>932</v>
      </c>
      <c r="Q409" s="896">
        <v>40783</v>
      </c>
      <c r="R409" s="896">
        <v>7137</v>
      </c>
      <c r="S409" s="897">
        <v>20</v>
      </c>
      <c r="T409" s="897">
        <v>135</v>
      </c>
      <c r="U409" s="864"/>
    </row>
    <row r="410">
      <c r="A410" s="873"/>
      <c r="B410" s="894" t="s">
        <v>902</v>
      </c>
      <c r="C410" s="875" t="s">
        <v>908</v>
      </c>
      <c r="D410" s="875">
        <f t="shared" si="63"/>
      </c>
      <c r="E410" s="875">
        <v>5958.85</v>
      </c>
      <c r="F410" s="875">
        <v>486.88</v>
      </c>
      <c r="G410" s="876">
        <v>22</v>
      </c>
      <c r="H410" s="875">
        <v>11062.619999999999</v>
      </c>
      <c r="I410" s="877">
        <f t="shared" si="206"/>
      </c>
      <c r="J410" s="877">
        <f t="shared" si="237"/>
      </c>
      <c r="K410" s="878">
        <f t="shared" si="144"/>
      </c>
      <c r="L410" s="879">
        <f t="shared" si="175"/>
      </c>
      <c r="M410" s="880">
        <f t="shared" si="23"/>
      </c>
      <c r="N410" s="881">
        <f t="shared" si="113"/>
      </c>
      <c r="O410" s="882" t="s">
        <v>904</v>
      </c>
      <c r="P410" s="883" t="s">
        <v>932</v>
      </c>
      <c r="Q410" s="896">
        <v>48747</v>
      </c>
      <c r="R410" s="896">
        <v>8420</v>
      </c>
      <c r="S410" s="897">
        <v>29</v>
      </c>
      <c r="T410" s="897">
        <v>173</v>
      </c>
      <c r="U410" s="864"/>
    </row>
    <row r="411">
      <c r="A411" s="873"/>
      <c r="B411" s="885" t="s">
        <v>910</v>
      </c>
      <c r="C411" s="885"/>
      <c r="D411" s="886">
        <f>SUM(D408:D410)</f>
      </c>
      <c r="E411" s="886">
        <f>SUM(E408:E410)</f>
      </c>
      <c r="F411" s="886">
        <f>SUM(F408:F410)</f>
      </c>
      <c r="G411" s="887">
        <f>SUM(G408:G410)</f>
      </c>
      <c r="H411" s="886">
        <f>SUM(H408:H410)</f>
      </c>
      <c r="I411" s="888">
        <f t="shared" si="206"/>
      </c>
      <c r="J411" s="889">
        <f t="shared" si="237"/>
      </c>
      <c r="K411" s="890">
        <f t="shared" si="144"/>
      </c>
      <c r="L411" s="891">
        <f t="shared" si="175"/>
      </c>
      <c r="M411" s="891">
        <f t="shared" si="23"/>
      </c>
      <c r="N411" s="892">
        <f t="shared" si="113"/>
      </c>
      <c r="O411" s="892"/>
      <c r="P411" s="892"/>
      <c r="Q411" s="893">
        <f>SUM(Q408:Q410)</f>
      </c>
      <c r="R411" s="893">
        <f>SUM(R408:R410)</f>
      </c>
      <c r="S411" s="893">
        <f>SUM(S408:S410)</f>
      </c>
      <c r="T411" s="893">
        <f>SUM(T408:T410)</f>
      </c>
      <c r="U411" s="864"/>
    </row>
    <row r="412">
      <c r="A412" s="873"/>
      <c r="B412" s="874" t="s">
        <v>955</v>
      </c>
      <c r="C412" s="875" t="s">
        <v>909</v>
      </c>
      <c r="D412" s="875">
        <f t="shared" ref="D412:D414" si="64">E412+F412</f>
      </c>
      <c r="E412" s="875">
        <v>3063.11</v>
      </c>
      <c r="F412" s="875">
        <v>169.44</v>
      </c>
      <c r="G412" s="876">
        <v>5</v>
      </c>
      <c r="H412" s="875">
        <v>2458.699999999997</v>
      </c>
      <c r="I412" s="877">
        <f t="shared" si="206"/>
      </c>
      <c r="J412" s="877">
        <f t="shared" si="237"/>
      </c>
      <c r="K412" s="878">
        <f t="shared" si="144"/>
      </c>
      <c r="L412" s="879">
        <f t="shared" si="175"/>
      </c>
      <c r="M412" s="880">
        <f t="shared" si="23"/>
      </c>
      <c r="N412" s="881">
        <f t="shared" si="113"/>
      </c>
      <c r="O412" s="882" t="s">
        <v>904</v>
      </c>
      <c r="P412" s="883" t="s">
        <v>932</v>
      </c>
      <c r="Q412" s="896">
        <v>28307</v>
      </c>
      <c r="R412" s="896">
        <v>4759</v>
      </c>
      <c r="S412" s="897">
        <v>8</v>
      </c>
      <c r="T412" s="897">
        <v>63</v>
      </c>
      <c r="U412" s="864"/>
    </row>
    <row r="413">
      <c r="A413" s="873"/>
      <c r="B413" s="874" t="s">
        <v>955</v>
      </c>
      <c r="C413" s="875" t="s">
        <v>912</v>
      </c>
      <c r="D413" s="875">
        <f t="shared" si="64"/>
      </c>
      <c r="E413" s="875">
        <v>2599.95</v>
      </c>
      <c r="F413" s="907">
        <v>0</v>
      </c>
      <c r="G413" s="876">
        <v>4</v>
      </c>
      <c r="H413" s="875">
        <v>860.1600000000035</v>
      </c>
      <c r="I413" s="877">
        <f t="shared" si="206"/>
      </c>
      <c r="J413" s="877">
        <f t="shared" si="237"/>
      </c>
      <c r="K413" s="878">
        <f t="shared" si="144"/>
      </c>
      <c r="L413" s="879">
        <f t="shared" si="175"/>
      </c>
      <c r="M413" s="880">
        <f t="shared" si="23"/>
      </c>
      <c r="N413" s="881">
        <f t="shared" si="113"/>
      </c>
      <c r="O413" s="882" t="s">
        <v>904</v>
      </c>
      <c r="P413" s="883" t="s">
        <v>932</v>
      </c>
      <c r="Q413" s="896">
        <v>23495</v>
      </c>
      <c r="R413" s="896">
        <v>3837</v>
      </c>
      <c r="S413" s="897">
        <v>5</v>
      </c>
      <c r="T413" s="897">
        <v>48</v>
      </c>
      <c r="U413" s="864"/>
    </row>
    <row r="414">
      <c r="A414" s="873"/>
      <c r="B414" s="874" t="s">
        <v>955</v>
      </c>
      <c r="C414" s="875" t="s">
        <v>913</v>
      </c>
      <c r="D414" s="875">
        <f t="shared" si="64"/>
      </c>
      <c r="E414" s="875">
        <v>37.7</v>
      </c>
      <c r="F414" s="907">
        <v>0</v>
      </c>
      <c r="G414" s="906">
        <v>1</v>
      </c>
      <c r="H414" s="875">
        <v>215.04000000000087</v>
      </c>
      <c r="I414" s="877">
        <f t="shared" si="206"/>
      </c>
      <c r="J414" s="877">
        <f t="shared" si="237"/>
      </c>
      <c r="K414" s="878">
        <f t="shared" si="144"/>
      </c>
      <c r="L414" s="879">
        <f t="shared" si="175"/>
      </c>
      <c r="M414" s="880">
        <f t="shared" si="23"/>
      </c>
      <c r="N414" s="881">
        <f t="shared" si="113"/>
      </c>
      <c r="O414" s="882" t="s">
        <v>904</v>
      </c>
      <c r="P414" s="883" t="s">
        <v>932</v>
      </c>
      <c r="Q414" s="896">
        <v>709</v>
      </c>
      <c r="R414" s="896">
        <v>81</v>
      </c>
      <c r="S414" s="897">
        <v>1</v>
      </c>
      <c r="T414" s="897">
        <v>5</v>
      </c>
      <c r="U414" s="864"/>
    </row>
    <row r="415">
      <c r="A415" s="873"/>
      <c r="B415" s="885" t="s">
        <v>910</v>
      </c>
      <c r="C415" s="885"/>
      <c r="D415" s="886">
        <f>SUM(D412:D414)</f>
      </c>
      <c r="E415" s="886">
        <f>SUM(E412:E414)</f>
      </c>
      <c r="F415" s="886">
        <f>SUM(F412:F414)</f>
      </c>
      <c r="G415" s="887">
        <f>SUM(G412:G414)</f>
      </c>
      <c r="H415" s="886">
        <f>SUM(H412:H414)</f>
      </c>
      <c r="I415" s="888">
        <f t="shared" si="206"/>
      </c>
      <c r="J415" s="889">
        <f t="shared" si="237"/>
      </c>
      <c r="K415" s="890">
        <f t="shared" si="144"/>
      </c>
      <c r="L415" s="891">
        <f t="shared" si="175"/>
      </c>
      <c r="M415" s="891">
        <f t="shared" si="23"/>
      </c>
      <c r="N415" s="892">
        <f t="shared" si="113"/>
      </c>
      <c r="O415" s="892"/>
      <c r="P415" s="892"/>
      <c r="Q415" s="893">
        <f>SUM(Q412:Q414)</f>
      </c>
      <c r="R415" s="893">
        <f>SUM(R412:R414)</f>
      </c>
      <c r="S415" s="893">
        <f>SUM(S412:S414)</f>
      </c>
      <c r="T415" s="893">
        <f>SUM(T412:T414)</f>
      </c>
      <c r="U415" s="864"/>
    </row>
    <row customHeight="true" ht="18.452380952380953" r="416">
      <c r="A416" s="873"/>
      <c r="B416" s="858" t="s">
        <v>922</v>
      </c>
      <c r="C416" s="907" t="s">
        <v>920</v>
      </c>
      <c r="D416" s="875">
        <f t="shared" ref="D416:D418" si="65">E416+F416</f>
      </c>
      <c r="E416" s="907">
        <v>40964.92</v>
      </c>
      <c r="F416" s="907">
        <v>794.0699999999999</v>
      </c>
      <c r="G416" s="876">
        <v>44</v>
      </c>
      <c r="H416" s="875">
        <v>29499.189999999995</v>
      </c>
      <c r="I416" s="877">
        <f t="shared" si="206"/>
      </c>
      <c r="J416" s="877">
        <f t="shared" si="237"/>
      </c>
      <c r="K416" s="878">
        <f t="shared" si="144"/>
      </c>
      <c r="L416" s="879">
        <f t="shared" si="175"/>
      </c>
      <c r="M416" s="880">
        <f t="shared" si="23"/>
      </c>
      <c r="N416" s="881">
        <f t="shared" si="113"/>
      </c>
      <c r="O416" s="882" t="s">
        <v>904</v>
      </c>
      <c r="P416" s="908" t="s">
        <v>916</v>
      </c>
      <c r="Q416" s="896">
        <v>806634</v>
      </c>
      <c r="R416" s="896">
        <v>54255</v>
      </c>
      <c r="S416" s="897">
        <v>63</v>
      </c>
      <c r="T416" s="897">
        <v>1275</v>
      </c>
      <c r="U416" s="864"/>
    </row>
    <row customHeight="true" ht="18.452380952380953" r="417">
      <c r="A417" s="873"/>
      <c r="B417" s="858" t="s">
        <v>922</v>
      </c>
      <c r="C417" s="907" t="s">
        <v>921</v>
      </c>
      <c r="D417" s="875">
        <f t="shared" si="65"/>
      </c>
      <c r="E417" s="907">
        <v>12.64</v>
      </c>
      <c r="F417" s="907">
        <v>453.3</v>
      </c>
      <c r="G417" s="906">
        <v>14</v>
      </c>
      <c r="H417" s="875">
        <v>7485.62000000001</v>
      </c>
      <c r="I417" s="877">
        <f t="shared" si="206"/>
      </c>
      <c r="J417" s="877">
        <f t="shared" si="237"/>
      </c>
      <c r="K417" s="878">
        <f t="shared" si="144"/>
      </c>
      <c r="L417" s="879">
        <f t="shared" si="175"/>
      </c>
      <c r="M417" s="880">
        <f t="shared" si="23"/>
      </c>
      <c r="N417" s="881">
        <f t="shared" si="113"/>
      </c>
      <c r="O417" s="882" t="s">
        <v>904</v>
      </c>
      <c r="P417" s="908" t="s">
        <v>916</v>
      </c>
      <c r="Q417" s="896">
        <v>16376</v>
      </c>
      <c r="R417" s="896">
        <v>1063</v>
      </c>
      <c r="S417" s="897">
        <v>16</v>
      </c>
      <c r="T417" s="897">
        <v>33</v>
      </c>
      <c r="U417" s="864"/>
    </row>
    <row customHeight="true" ht="18.452380952380953" r="418">
      <c r="A418" s="873"/>
      <c r="B418" s="858" t="s">
        <v>922</v>
      </c>
      <c r="C418" s="907" t="s">
        <v>963</v>
      </c>
      <c r="D418" s="875">
        <f t="shared" si="65"/>
      </c>
      <c r="E418" s="907">
        <v>5885.01</v>
      </c>
      <c r="F418" s="907">
        <v>0.02</v>
      </c>
      <c r="G418" s="906">
        <v>3</v>
      </c>
      <c r="H418" s="875">
        <v>2456.87999999999</v>
      </c>
      <c r="I418" s="877">
        <f t="shared" si="206"/>
      </c>
      <c r="J418" s="877">
        <f t="shared" si="237"/>
      </c>
      <c r="K418" s="878">
        <f t="shared" si="144"/>
      </c>
      <c r="L418" s="879">
        <f t="shared" si="175"/>
      </c>
      <c r="M418" s="880">
        <f t="shared" si="23"/>
      </c>
      <c r="N418" s="881">
        <f t="shared" si="113"/>
      </c>
      <c r="O418" s="882" t="s">
        <v>904</v>
      </c>
      <c r="P418" s="908" t="s">
        <v>916</v>
      </c>
      <c r="Q418" s="896">
        <v>62982</v>
      </c>
      <c r="R418" s="896">
        <v>8227</v>
      </c>
      <c r="S418" s="897">
        <v>9</v>
      </c>
      <c r="T418" s="897">
        <v>121</v>
      </c>
      <c r="U418" s="864"/>
    </row>
    <row customHeight="true" ht="18.452380952380953" r="419">
      <c r="A419" s="873"/>
      <c r="B419" s="885" t="s">
        <v>910</v>
      </c>
      <c r="C419" s="885"/>
      <c r="D419" s="886">
        <f>SUM(D416:D418)</f>
      </c>
      <c r="E419" s="886">
        <f>SUM(E416:E418)</f>
      </c>
      <c r="F419" s="886">
        <f>SUM(F416:F418)</f>
      </c>
      <c r="G419" s="887">
        <f>SUM(G416:G418)</f>
      </c>
      <c r="H419" s="886">
        <f>SUM(H416:H418)</f>
      </c>
      <c r="I419" s="888">
        <f t="shared" si="206"/>
      </c>
      <c r="J419" s="889">
        <f t="shared" si="237"/>
      </c>
      <c r="K419" s="890">
        <f t="shared" si="144"/>
      </c>
      <c r="L419" s="891">
        <f t="shared" si="175"/>
      </c>
      <c r="M419" s="891">
        <f t="shared" si="23"/>
      </c>
      <c r="N419" s="892">
        <f t="shared" si="113"/>
      </c>
      <c r="O419" s="892"/>
      <c r="P419" s="892"/>
      <c r="Q419" s="893">
        <f>SUM(Q416:Q418)</f>
      </c>
      <c r="R419" s="893">
        <f>SUM(R416:R418)</f>
      </c>
      <c r="S419" s="893">
        <f>SUM(S416:S418)</f>
      </c>
      <c r="T419" s="893">
        <f>SUM(T416:T418)</f>
      </c>
      <c r="U419" s="864"/>
    </row>
    <row r="420">
      <c r="A420" s="873"/>
      <c r="B420" s="898" t="s">
        <v>926</v>
      </c>
      <c r="C420" s="898"/>
      <c r="D420" s="899">
        <f>D407+D415+D411+D419</f>
      </c>
      <c r="E420" s="899">
        <f>E407+E415+E411+E419</f>
      </c>
      <c r="F420" s="899">
        <f>F407+F415+F411+F419</f>
      </c>
      <c r="G420" s="900">
        <f>G407+G415+G411+G419</f>
      </c>
      <c r="H420" s="899">
        <f>H407+H415+H411+H419</f>
      </c>
      <c r="I420" s="901">
        <f t="shared" si="206"/>
      </c>
      <c r="J420" s="901">
        <f t="shared" si="237"/>
      </c>
      <c r="K420" s="902">
        <f t="shared" si="144"/>
      </c>
      <c r="L420" s="903">
        <f t="shared" si="175"/>
      </c>
      <c r="M420" s="903">
        <f t="shared" si="23"/>
      </c>
      <c r="N420" s="901">
        <f t="shared" si="113"/>
      </c>
      <c r="O420" s="904"/>
      <c r="P420" s="904"/>
      <c r="Q420" s="900">
        <f>Q407+Q415+Q411+Q419</f>
      </c>
      <c r="R420" s="900">
        <f>R407+R415+R411+R419</f>
      </c>
      <c r="S420" s="900">
        <f>S407+S415+S411+S419</f>
      </c>
      <c r="T420" s="900">
        <f>T407+T415+T411+T419</f>
      </c>
      <c r="U420" s="864"/>
    </row>
    <row r="421">
      <c r="A421" s="860" t="s">
        <v>877</v>
      </c>
      <c r="B421" s="860"/>
      <c r="C421" s="860"/>
      <c r="D421" s="861" t="s">
        <v>878</v>
      </c>
      <c r="E421" s="861"/>
      <c r="F421" s="861"/>
      <c r="G421" s="861"/>
      <c r="H421" s="861"/>
      <c r="I421" s="861"/>
      <c r="J421" s="861"/>
      <c r="K421" s="861"/>
      <c r="L421" s="862" t="s">
        <v>879</v>
      </c>
      <c r="M421" s="862"/>
      <c r="N421" s="862"/>
      <c r="O421" s="862"/>
      <c r="P421" s="862"/>
      <c r="Q421" s="863" t="s">
        <v>880</v>
      </c>
      <c r="R421" s="863"/>
      <c r="S421" s="863"/>
      <c r="T421" s="863"/>
      <c r="U421" s="864"/>
    </row>
    <row r="422">
      <c r="A422" s="865" t="s">
        <v>881</v>
      </c>
      <c r="B422" s="865" t="s">
        <v>882</v>
      </c>
      <c r="C422" s="865" t="s">
        <v>883</v>
      </c>
      <c r="D422" s="866" t="s">
        <v>884</v>
      </c>
      <c r="E422" s="866" t="s">
        <v>885</v>
      </c>
      <c r="F422" s="866" t="s">
        <v>886</v>
      </c>
      <c r="G422" s="867" t="s">
        <v>887</v>
      </c>
      <c r="H422" s="866" t="s">
        <v>888</v>
      </c>
      <c r="I422" s="868" t="s">
        <v>889</v>
      </c>
      <c r="J422" s="869" t="s">
        <v>890</v>
      </c>
      <c r="K422" s="870" t="s">
        <v>891</v>
      </c>
      <c r="L422" s="871" t="s">
        <v>892</v>
      </c>
      <c r="M422" s="871" t="s">
        <v>893</v>
      </c>
      <c r="N422" s="871" t="s">
        <v>894</v>
      </c>
      <c r="O422" s="862" t="s">
        <v>895</v>
      </c>
      <c r="P422" s="862" t="s">
        <v>896</v>
      </c>
      <c r="Q422" s="872" t="s">
        <v>897</v>
      </c>
      <c r="R422" s="872" t="s">
        <v>898</v>
      </c>
      <c r="S422" s="872" t="s">
        <v>899</v>
      </c>
      <c r="T422" s="872" t="s">
        <v>900</v>
      </c>
      <c r="U422" s="864"/>
    </row>
    <row r="423">
      <c r="A423" s="905" t="s">
        <v>964</v>
      </c>
      <c r="B423" s="894" t="s">
        <v>902</v>
      </c>
      <c r="C423" s="875" t="s">
        <v>960</v>
      </c>
      <c r="D423" s="875">
        <f t="shared" ref="D423:D425" si="66">E423+F423</f>
      </c>
      <c r="E423" s="875">
        <v>1174.98</v>
      </c>
      <c r="F423" s="875">
        <v>202.39</v>
      </c>
      <c r="G423" s="876">
        <v>2</v>
      </c>
      <c r="H423" s="875">
        <v>1833.24</v>
      </c>
      <c r="I423" s="877">
        <f t="shared" ref="I423:I439" si="207">H423/D423</f>
      </c>
      <c r="J423" s="877">
        <f t="shared" ref="J423:J439" si="238">D423/G423</f>
      </c>
      <c r="K423" s="878">
        <f t="shared" ref="K423:K439" si="145">H423/G423</f>
      </c>
      <c r="L423" s="879">
        <f t="shared" ref="L423:L439" si="176">R423/Q423</f>
      </c>
      <c r="M423" s="880">
        <f t="shared" ref="M423:M439" si="24">G423/S423</f>
      </c>
      <c r="N423" s="881">
        <f t="shared" ref="N423:N439" si="114">(T423*1000)/D423</f>
      </c>
      <c r="O423" s="882" t="s">
        <v>904</v>
      </c>
      <c r="P423" s="883" t="s">
        <v>932</v>
      </c>
      <c r="Q423" s="874">
        <v>11741</v>
      </c>
      <c r="R423" s="874">
        <v>1822</v>
      </c>
      <c r="S423" s="874">
        <v>3</v>
      </c>
      <c r="T423" s="874">
        <v>20</v>
      </c>
      <c r="U423" s="864"/>
    </row>
    <row r="424">
      <c r="A424" s="905"/>
      <c r="B424" s="894" t="s">
        <v>902</v>
      </c>
      <c r="C424" s="875" t="s">
        <v>954</v>
      </c>
      <c r="D424" s="875">
        <f t="shared" si="66"/>
      </c>
      <c r="E424" s="875">
        <v>931.61</v>
      </c>
      <c r="F424" s="875">
        <v>230</v>
      </c>
      <c r="G424" s="876">
        <v>3</v>
      </c>
      <c r="H424" s="875">
        <v>645.1200000000001</v>
      </c>
      <c r="I424" s="877">
        <f t="shared" si="207"/>
      </c>
      <c r="J424" s="877">
        <f t="shared" si="238"/>
      </c>
      <c r="K424" s="878">
        <f t="shared" si="145"/>
      </c>
      <c r="L424" s="879">
        <f t="shared" si="176"/>
      </c>
      <c r="M424" s="880">
        <f t="shared" si="24"/>
      </c>
      <c r="N424" s="881">
        <f t="shared" si="114"/>
      </c>
      <c r="O424" s="882" t="s">
        <v>904</v>
      </c>
      <c r="P424" s="883" t="s">
        <v>932</v>
      </c>
      <c r="Q424" s="874">
        <v>10594</v>
      </c>
      <c r="R424" s="874">
        <v>1515</v>
      </c>
      <c r="S424" s="874">
        <v>3</v>
      </c>
      <c r="T424" s="874">
        <v>34</v>
      </c>
      <c r="U424" s="864"/>
    </row>
    <row r="425">
      <c r="A425" s="905"/>
      <c r="B425" s="894" t="s">
        <v>902</v>
      </c>
      <c r="C425" s="875" t="s">
        <v>903</v>
      </c>
      <c r="D425" s="875">
        <f t="shared" si="66"/>
      </c>
      <c r="E425" s="875">
        <v>1356.25</v>
      </c>
      <c r="F425" s="875">
        <v>401.13</v>
      </c>
      <c r="G425" s="876">
        <v>2</v>
      </c>
      <c r="H425" s="875">
        <v>892.7999999999997</v>
      </c>
      <c r="I425" s="877">
        <f t="shared" si="207"/>
      </c>
      <c r="J425" s="877">
        <f t="shared" si="238"/>
      </c>
      <c r="K425" s="878">
        <f t="shared" si="145"/>
      </c>
      <c r="L425" s="879">
        <f t="shared" si="176"/>
      </c>
      <c r="M425" s="880">
        <f t="shared" si="24"/>
      </c>
      <c r="N425" s="881">
        <f t="shared" si="114"/>
      </c>
      <c r="O425" s="882" t="s">
        <v>904</v>
      </c>
      <c r="P425" s="883" t="s">
        <v>932</v>
      </c>
      <c r="Q425" s="874">
        <v>13863</v>
      </c>
      <c r="R425" s="874">
        <v>1990</v>
      </c>
      <c r="S425" s="874">
        <v>3</v>
      </c>
      <c r="T425" s="874">
        <v>60</v>
      </c>
      <c r="U425" s="864"/>
    </row>
    <row r="426">
      <c r="A426" s="905"/>
      <c r="B426" s="885" t="s">
        <v>910</v>
      </c>
      <c r="C426" s="885"/>
      <c r="D426" s="886">
        <f>SUM(D423:D425)</f>
      </c>
      <c r="E426" s="886">
        <f>SUM(E423:E425)</f>
      </c>
      <c r="F426" s="886">
        <f>SUM(F423:F425)</f>
      </c>
      <c r="G426" s="887">
        <f>SUM(G423:G425)</f>
      </c>
      <c r="H426" s="886">
        <f>SUM(H423:H425)</f>
      </c>
      <c r="I426" s="888">
        <f t="shared" si="207"/>
      </c>
      <c r="J426" s="889">
        <f t="shared" si="238"/>
      </c>
      <c r="K426" s="890">
        <f t="shared" si="145"/>
      </c>
      <c r="L426" s="891">
        <f t="shared" si="176"/>
      </c>
      <c r="M426" s="891">
        <f t="shared" si="24"/>
      </c>
      <c r="N426" s="892">
        <f t="shared" si="114"/>
      </c>
      <c r="O426" s="892"/>
      <c r="P426" s="892"/>
      <c r="Q426" s="893">
        <f>SUM(Q423:Q425)</f>
      </c>
      <c r="R426" s="893">
        <f>SUM(R423:R425)</f>
      </c>
      <c r="S426" s="893">
        <f>SUM(S423:S425)</f>
      </c>
      <c r="T426" s="893">
        <f>SUM(T423:T425)</f>
      </c>
      <c r="U426" s="864"/>
    </row>
    <row r="427">
      <c r="A427" s="905"/>
      <c r="B427" s="858" t="s">
        <v>922</v>
      </c>
      <c r="C427" s="875" t="s">
        <v>906</v>
      </c>
      <c r="D427" s="875">
        <f t="shared" ref="D427:D430" si="67">E427+F427</f>
      </c>
      <c r="E427" s="875">
        <v>483.35</v>
      </c>
      <c r="F427" s="875">
        <v>343.22</v>
      </c>
      <c r="G427" s="876">
        <v>1</v>
      </c>
      <c r="H427" s="875">
        <v>677.7600000000002</v>
      </c>
      <c r="I427" s="877">
        <f t="shared" si="207"/>
      </c>
      <c r="J427" s="877">
        <f t="shared" si="238"/>
      </c>
      <c r="K427" s="878">
        <f t="shared" si="145"/>
      </c>
      <c r="L427" s="879">
        <f t="shared" si="176"/>
      </c>
      <c r="M427" s="880">
        <f t="shared" si="24"/>
      </c>
      <c r="N427" s="881">
        <f t="shared" si="114"/>
      </c>
      <c r="O427" s="882" t="s">
        <v>904</v>
      </c>
      <c r="P427" s="883" t="s">
        <v>932</v>
      </c>
      <c r="Q427" s="872">
        <v>7071</v>
      </c>
      <c r="R427" s="872">
        <v>1023</v>
      </c>
      <c r="S427" s="872">
        <v>4</v>
      </c>
      <c r="T427" s="872">
        <v>25</v>
      </c>
      <c r="U427" s="864"/>
    </row>
    <row customHeight="true" ht="16.666666666666668" r="428">
      <c r="A428" s="905"/>
      <c r="B428" s="858" t="s">
        <v>922</v>
      </c>
      <c r="C428" s="875" t="s">
        <v>907</v>
      </c>
      <c r="D428" s="875">
        <f t="shared" si="67"/>
      </c>
      <c r="E428" s="875">
        <v>843.7</v>
      </c>
      <c r="F428" s="875">
        <v>783.47</v>
      </c>
      <c r="G428" s="876">
        <v>8</v>
      </c>
      <c r="H428" s="875">
        <v>3994.8</v>
      </c>
      <c r="I428" s="877">
        <f t="shared" si="207"/>
      </c>
      <c r="J428" s="877">
        <f t="shared" si="238"/>
      </c>
      <c r="K428" s="878">
        <f t="shared" si="145"/>
      </c>
      <c r="L428" s="879">
        <f t="shared" si="176"/>
      </c>
      <c r="M428" s="880">
        <f t="shared" si="24"/>
      </c>
      <c r="N428" s="881">
        <f t="shared" si="114"/>
      </c>
      <c r="O428" s="882" t="s">
        <v>904</v>
      </c>
      <c r="P428" s="883" t="s">
        <v>932</v>
      </c>
      <c r="Q428" s="896">
        <v>11830</v>
      </c>
      <c r="R428" s="896">
        <v>1864</v>
      </c>
      <c r="S428" s="896">
        <v>11</v>
      </c>
      <c r="T428" s="896">
        <v>49</v>
      </c>
      <c r="U428" s="864"/>
    </row>
    <row r="429">
      <c r="A429" s="905"/>
      <c r="B429" s="858" t="s">
        <v>922</v>
      </c>
      <c r="C429" s="875" t="s">
        <v>908</v>
      </c>
      <c r="D429" s="875">
        <f t="shared" si="67"/>
      </c>
      <c r="E429" s="875">
        <v>422.84</v>
      </c>
      <c r="F429" s="875">
        <v>3746.62</v>
      </c>
      <c r="G429" s="876">
        <v>20</v>
      </c>
      <c r="H429" s="875">
        <v>10371.05</v>
      </c>
      <c r="I429" s="877">
        <f t="shared" si="207"/>
      </c>
      <c r="J429" s="877">
        <f t="shared" si="238"/>
      </c>
      <c r="K429" s="878">
        <f t="shared" si="145"/>
      </c>
      <c r="L429" s="879">
        <f t="shared" si="176"/>
      </c>
      <c r="M429" s="880">
        <f t="shared" si="24"/>
      </c>
      <c r="N429" s="881">
        <f t="shared" si="114"/>
      </c>
      <c r="O429" s="882" t="s">
        <v>904</v>
      </c>
      <c r="P429" s="883" t="s">
        <v>932</v>
      </c>
      <c r="Q429" s="896">
        <v>26113</v>
      </c>
      <c r="R429" s="896">
        <v>3922</v>
      </c>
      <c r="S429" s="896">
        <v>28</v>
      </c>
      <c r="T429" s="896">
        <v>93</v>
      </c>
      <c r="U429" s="864"/>
    </row>
    <row customHeight="true" ht="16.666666666666668" r="430">
      <c r="A430" s="905"/>
      <c r="B430" s="858" t="s">
        <v>922</v>
      </c>
      <c r="C430" s="875" t="s">
        <v>909</v>
      </c>
      <c r="D430" s="875">
        <f t="shared" si="67"/>
      </c>
      <c r="E430" s="875">
        <v>761.6</v>
      </c>
      <c r="F430" s="875">
        <v>5767.42</v>
      </c>
      <c r="G430" s="876">
        <v>28</v>
      </c>
      <c r="H430" s="875">
        <v>9422.04</v>
      </c>
      <c r="I430" s="877">
        <f t="shared" si="207"/>
      </c>
      <c r="J430" s="877">
        <f t="shared" si="238"/>
      </c>
      <c r="K430" s="878">
        <f t="shared" si="145"/>
      </c>
      <c r="L430" s="879">
        <f t="shared" si="176"/>
      </c>
      <c r="M430" s="880">
        <f t="shared" si="24"/>
      </c>
      <c r="N430" s="881">
        <f t="shared" si="114"/>
      </c>
      <c r="O430" s="882" t="s">
        <v>904</v>
      </c>
      <c r="P430" s="883" t="s">
        <v>932</v>
      </c>
      <c r="Q430" s="896">
        <v>43161</v>
      </c>
      <c r="R430" s="896">
        <v>6049</v>
      </c>
      <c r="S430" s="896">
        <v>40</v>
      </c>
      <c r="T430" s="896">
        <v>167</v>
      </c>
      <c r="U430" s="864"/>
    </row>
    <row r="431">
      <c r="A431" s="905"/>
      <c r="B431" s="885" t="s">
        <v>910</v>
      </c>
      <c r="C431" s="885"/>
      <c r="D431" s="886">
        <f>SUM(D427:D430)</f>
      </c>
      <c r="E431" s="886">
        <f>SUM(E427:E430)</f>
      </c>
      <c r="F431" s="886">
        <f>SUM(F427:F430)</f>
      </c>
      <c r="G431" s="887">
        <f>SUM(G427:G430)</f>
      </c>
      <c r="H431" s="886">
        <f>SUM(H427:H430)</f>
      </c>
      <c r="I431" s="888">
        <f t="shared" si="207"/>
      </c>
      <c r="J431" s="889">
        <f t="shared" si="238"/>
      </c>
      <c r="K431" s="890">
        <f t="shared" si="145"/>
      </c>
      <c r="L431" s="891">
        <f t="shared" si="176"/>
      </c>
      <c r="M431" s="891">
        <f t="shared" si="24"/>
      </c>
      <c r="N431" s="892">
        <f t="shared" si="114"/>
      </c>
      <c r="O431" s="892"/>
      <c r="P431" s="892"/>
      <c r="Q431" s="893">
        <f>SUM(Q427:Q430)</f>
      </c>
      <c r="R431" s="893">
        <f>SUM(R427:R430)</f>
      </c>
      <c r="S431" s="893">
        <f>SUM(S427:S430)</f>
      </c>
      <c r="T431" s="893">
        <f>SUM(T427:T430)</f>
      </c>
      <c r="U431" s="864"/>
    </row>
    <row r="432">
      <c r="A432" s="905"/>
      <c r="B432" s="858" t="s">
        <v>918</v>
      </c>
      <c r="C432" s="875" t="s">
        <v>912</v>
      </c>
      <c r="D432" s="875">
        <f t="shared" ref="D432:D434" si="68">E432+F432</f>
      </c>
      <c r="E432" s="875">
        <v>1220.63</v>
      </c>
      <c r="F432" s="875">
        <v>10421.08</v>
      </c>
      <c r="G432" s="876">
        <v>20</v>
      </c>
      <c r="H432" s="875">
        <v>12049.679999999997</v>
      </c>
      <c r="I432" s="877">
        <f t="shared" si="207"/>
      </c>
      <c r="J432" s="877">
        <f t="shared" si="238"/>
      </c>
      <c r="K432" s="878">
        <f t="shared" si="145"/>
      </c>
      <c r="L432" s="879">
        <f t="shared" si="176"/>
      </c>
      <c r="M432" s="880">
        <f t="shared" si="24"/>
      </c>
      <c r="N432" s="881">
        <f t="shared" si="114"/>
      </c>
      <c r="O432" s="882" t="s">
        <v>904</v>
      </c>
      <c r="P432" s="883" t="s">
        <v>932</v>
      </c>
      <c r="Q432" s="896">
        <v>79532</v>
      </c>
      <c r="R432" s="896">
        <v>10153</v>
      </c>
      <c r="S432" s="896">
        <v>26</v>
      </c>
      <c r="T432" s="896">
        <v>259</v>
      </c>
      <c r="U432" s="864"/>
    </row>
    <row r="433">
      <c r="A433" s="905"/>
      <c r="B433" s="858" t="s">
        <v>918</v>
      </c>
      <c r="C433" s="875" t="s">
        <v>913</v>
      </c>
      <c r="D433" s="875">
        <f t="shared" si="68"/>
      </c>
      <c r="E433" s="875">
        <v>179.52</v>
      </c>
      <c r="F433" s="875">
        <v>3019.05</v>
      </c>
      <c r="G433" s="876">
        <v>7</v>
      </c>
      <c r="H433" s="875">
        <v>2908.4400000000023</v>
      </c>
      <c r="I433" s="877">
        <f t="shared" si="207"/>
      </c>
      <c r="J433" s="877">
        <f t="shared" si="238"/>
      </c>
      <c r="K433" s="878">
        <f t="shared" si="145"/>
      </c>
      <c r="L433" s="879">
        <f t="shared" si="176"/>
      </c>
      <c r="M433" s="880">
        <f t="shared" si="24"/>
      </c>
      <c r="N433" s="881">
        <f t="shared" si="114"/>
      </c>
      <c r="O433" s="882" t="s">
        <v>904</v>
      </c>
      <c r="P433" s="883" t="s">
        <v>932</v>
      </c>
      <c r="Q433" s="896">
        <v>27479</v>
      </c>
      <c r="R433" s="896">
        <v>2507</v>
      </c>
      <c r="S433" s="896">
        <v>11</v>
      </c>
      <c r="T433" s="896">
        <v>106</v>
      </c>
      <c r="U433" s="864"/>
    </row>
    <row r="434">
      <c r="A434" s="905"/>
      <c r="B434" s="858" t="s">
        <v>918</v>
      </c>
      <c r="C434" s="875" t="s">
        <v>914</v>
      </c>
      <c r="D434" s="875">
        <f t="shared" si="68"/>
      </c>
      <c r="E434" s="907">
        <v>579.52</v>
      </c>
      <c r="F434" s="875">
        <v>2379.03</v>
      </c>
      <c r="G434" s="876">
        <v>7</v>
      </c>
      <c r="H434" s="907">
        <v>1915.7</v>
      </c>
      <c r="I434" s="877">
        <f t="shared" si="207"/>
      </c>
      <c r="J434" s="877">
        <f t="shared" si="238"/>
      </c>
      <c r="K434" s="878">
        <f t="shared" si="145"/>
      </c>
      <c r="L434" s="879">
        <f t="shared" si="176"/>
      </c>
      <c r="M434" s="880">
        <f t="shared" si="24"/>
      </c>
      <c r="N434" s="881">
        <f t="shared" si="114"/>
      </c>
      <c r="O434" s="882" t="s">
        <v>904</v>
      </c>
      <c r="P434" s="883" t="s">
        <v>932</v>
      </c>
      <c r="Q434" s="896">
        <v>13206</v>
      </c>
      <c r="R434" s="896">
        <v>1215</v>
      </c>
      <c r="S434" s="897">
        <v>9</v>
      </c>
      <c r="T434" s="896">
        <v>62</v>
      </c>
      <c r="U434" s="864"/>
    </row>
    <row r="435">
      <c r="A435" s="905"/>
      <c r="B435" s="885" t="s">
        <v>910</v>
      </c>
      <c r="C435" s="885"/>
      <c r="D435" s="886">
        <f>SUM(D432:D434)</f>
      </c>
      <c r="E435" s="886">
        <f>SUM(E432:E434)</f>
      </c>
      <c r="F435" s="886">
        <f>SUM(F432:F434)</f>
      </c>
      <c r="G435" s="887">
        <f>SUM(G432:G434)</f>
      </c>
      <c r="H435" s="886">
        <f>SUM(H432:H434)</f>
      </c>
      <c r="I435" s="888">
        <f t="shared" si="207"/>
      </c>
      <c r="J435" s="889">
        <f t="shared" si="238"/>
      </c>
      <c r="K435" s="890">
        <f t="shared" si="145"/>
      </c>
      <c r="L435" s="891">
        <f t="shared" si="176"/>
      </c>
      <c r="M435" s="891">
        <f t="shared" si="24"/>
      </c>
      <c r="N435" s="892">
        <f t="shared" si="114"/>
      </c>
      <c r="O435" s="892"/>
      <c r="P435" s="892"/>
      <c r="Q435" s="893">
        <f>SUM(Q432:Q434)</f>
      </c>
      <c r="R435" s="893">
        <f>SUM(R432:R434)</f>
      </c>
      <c r="S435" s="893">
        <f>SUM(S432:S434)</f>
      </c>
      <c r="T435" s="893">
        <f>SUM(T432:T434)</f>
      </c>
      <c r="U435" s="864"/>
    </row>
    <row r="436">
      <c r="A436" s="905"/>
      <c r="B436" s="909" t="s">
        <v>955</v>
      </c>
      <c r="C436" s="907" t="s">
        <v>920</v>
      </c>
      <c r="D436" s="875">
        <f t="shared" ref="D436:D437" si="69">E436+F436</f>
      </c>
      <c r="E436" s="907">
        <v>364.25</v>
      </c>
      <c r="F436" s="907">
        <v>1239.36</v>
      </c>
      <c r="G436" s="876">
        <v>3</v>
      </c>
      <c r="H436" s="875">
        <v>2919.5999999999985</v>
      </c>
      <c r="I436" s="877">
        <f t="shared" si="207"/>
      </c>
      <c r="J436" s="877">
        <f t="shared" si="238"/>
      </c>
      <c r="K436" s="878">
        <f t="shared" si="145"/>
      </c>
      <c r="L436" s="879">
        <f t="shared" si="176"/>
      </c>
      <c r="M436" s="880">
        <f t="shared" si="24"/>
      </c>
      <c r="N436" s="881">
        <f t="shared" si="114"/>
      </c>
      <c r="O436" s="882" t="s">
        <v>904</v>
      </c>
      <c r="P436" s="908" t="s">
        <v>916</v>
      </c>
      <c r="Q436" s="896">
        <v>13547</v>
      </c>
      <c r="R436" s="896">
        <v>1519</v>
      </c>
      <c r="S436" s="897">
        <v>5</v>
      </c>
      <c r="T436" s="897">
        <v>39</v>
      </c>
      <c r="U436" s="864"/>
    </row>
    <row customHeight="true" ht="18.452380952380953" r="437">
      <c r="A437" s="905"/>
      <c r="B437" s="909" t="s">
        <v>955</v>
      </c>
      <c r="C437" s="907" t="s">
        <v>921</v>
      </c>
      <c r="D437" s="875">
        <f t="shared" si="69"/>
      </c>
      <c r="E437" s="907">
        <v>9.88</v>
      </c>
      <c r="F437" s="907">
        <v>1123.0800000000002</v>
      </c>
      <c r="G437" s="906">
        <v>2</v>
      </c>
      <c r="H437" s="907">
        <v>892.8</v>
      </c>
      <c r="I437" s="877">
        <f t="shared" si="207"/>
      </c>
      <c r="J437" s="877">
        <f t="shared" si="238"/>
      </c>
      <c r="K437" s="878">
        <f t="shared" si="145"/>
      </c>
      <c r="L437" s="879">
        <f t="shared" si="176"/>
      </c>
      <c r="M437" s="880">
        <f t="shared" si="24"/>
      </c>
      <c r="N437" s="881">
        <f t="shared" si="114"/>
      </c>
      <c r="O437" s="882" t="s">
        <v>904</v>
      </c>
      <c r="P437" s="908" t="s">
        <v>916</v>
      </c>
      <c r="Q437" s="896">
        <v>12127</v>
      </c>
      <c r="R437" s="896">
        <v>1603</v>
      </c>
      <c r="S437" s="897">
        <v>4</v>
      </c>
      <c r="T437" s="897">
        <v>23</v>
      </c>
      <c r="U437" s="864"/>
    </row>
    <row customHeight="true" ht="18.452380952380953" r="438">
      <c r="A438" s="905"/>
      <c r="B438" s="885" t="s">
        <v>910</v>
      </c>
      <c r="C438" s="885"/>
      <c r="D438" s="886">
        <f>SUM(D436:D437)</f>
      </c>
      <c r="E438" s="886">
        <f>SUM(E436:E437)</f>
      </c>
      <c r="F438" s="886">
        <f>SUM(F436:F437)</f>
      </c>
      <c r="G438" s="887">
        <f>SUM(G436:G437)</f>
      </c>
      <c r="H438" s="886">
        <f>SUM(H436:H437)</f>
      </c>
      <c r="I438" s="888">
        <f t="shared" si="207"/>
      </c>
      <c r="J438" s="889">
        <f t="shared" si="238"/>
      </c>
      <c r="K438" s="890">
        <f t="shared" si="145"/>
      </c>
      <c r="L438" s="891">
        <f t="shared" si="176"/>
      </c>
      <c r="M438" s="891">
        <f t="shared" si="24"/>
      </c>
      <c r="N438" s="892">
        <f t="shared" si="114"/>
      </c>
      <c r="O438" s="892"/>
      <c r="P438" s="892"/>
      <c r="Q438" s="893">
        <f>SUM(Q436:Q437)</f>
      </c>
      <c r="R438" s="893">
        <f>SUM(R436:R437)</f>
      </c>
      <c r="S438" s="893">
        <f>SUM(S436:S437)</f>
      </c>
      <c r="T438" s="893">
        <f>SUM(T436:T437)</f>
      </c>
      <c r="U438" s="864"/>
    </row>
    <row r="439">
      <c r="A439" s="905"/>
      <c r="B439" s="898" t="s">
        <v>926</v>
      </c>
      <c r="C439" s="898"/>
      <c r="D439" s="899">
        <f>D426+D435+D431+D438</f>
      </c>
      <c r="E439" s="899">
        <f>E426+E435+E431+E438</f>
      </c>
      <c r="F439" s="899">
        <f>F426+F435+F431+F438</f>
      </c>
      <c r="G439" s="900">
        <f>G426+G435+G431+G438</f>
      </c>
      <c r="H439" s="899">
        <f>H426+H435+H431+H438</f>
      </c>
      <c r="I439" s="901">
        <f t="shared" si="207"/>
      </c>
      <c r="J439" s="901">
        <f t="shared" si="238"/>
      </c>
      <c r="K439" s="902">
        <f t="shared" si="145"/>
      </c>
      <c r="L439" s="903">
        <f t="shared" si="176"/>
      </c>
      <c r="M439" s="903">
        <f t="shared" si="24"/>
      </c>
      <c r="N439" s="901">
        <f t="shared" si="114"/>
      </c>
      <c r="O439" s="904"/>
      <c r="P439" s="904"/>
      <c r="Q439" s="900">
        <f>Q426+Q435+Q431+Q438</f>
      </c>
      <c r="R439" s="900">
        <f>R426+R435+R431+R438</f>
      </c>
      <c r="S439" s="900">
        <f>S426+S435+S431+S438</f>
      </c>
      <c r="T439" s="900">
        <f>T426+T435+T431+T438</f>
      </c>
      <c r="U439" s="864"/>
    </row>
    <row r="440">
      <c r="A440" s="860" t="s">
        <v>877</v>
      </c>
      <c r="B440" s="860"/>
      <c r="C440" s="860"/>
      <c r="D440" s="861" t="s">
        <v>878</v>
      </c>
      <c r="E440" s="861"/>
      <c r="F440" s="861"/>
      <c r="G440" s="861"/>
      <c r="H440" s="861"/>
      <c r="I440" s="861"/>
      <c r="J440" s="861"/>
      <c r="K440" s="861"/>
      <c r="L440" s="862" t="s">
        <v>879</v>
      </c>
      <c r="M440" s="862"/>
      <c r="N440" s="862"/>
      <c r="O440" s="862"/>
      <c r="P440" s="862"/>
      <c r="Q440" s="863" t="s">
        <v>880</v>
      </c>
      <c r="R440" s="863"/>
      <c r="S440" s="863"/>
      <c r="T440" s="863"/>
      <c r="U440" s="864"/>
    </row>
    <row r="441">
      <c r="A441" s="865" t="s">
        <v>881</v>
      </c>
      <c r="B441" s="865" t="s">
        <v>882</v>
      </c>
      <c r="C441" s="865" t="s">
        <v>883</v>
      </c>
      <c r="D441" s="866" t="s">
        <v>884</v>
      </c>
      <c r="E441" s="866" t="s">
        <v>885</v>
      </c>
      <c r="F441" s="866" t="s">
        <v>886</v>
      </c>
      <c r="G441" s="867" t="s">
        <v>887</v>
      </c>
      <c r="H441" s="866" t="s">
        <v>888</v>
      </c>
      <c r="I441" s="868" t="s">
        <v>889</v>
      </c>
      <c r="J441" s="869" t="s">
        <v>890</v>
      </c>
      <c r="K441" s="870" t="s">
        <v>891</v>
      </c>
      <c r="L441" s="871" t="s">
        <v>892</v>
      </c>
      <c r="M441" s="871" t="s">
        <v>893</v>
      </c>
      <c r="N441" s="871" t="s">
        <v>894</v>
      </c>
      <c r="O441" s="862" t="s">
        <v>895</v>
      </c>
      <c r="P441" s="862" t="s">
        <v>896</v>
      </c>
      <c r="Q441" s="872" t="s">
        <v>897</v>
      </c>
      <c r="R441" s="872" t="s">
        <v>898</v>
      </c>
      <c r="S441" s="872" t="s">
        <v>899</v>
      </c>
      <c r="T441" s="872" t="s">
        <v>900</v>
      </c>
      <c r="U441" s="864"/>
    </row>
    <row r="442">
      <c r="A442" s="905" t="s">
        <v>965</v>
      </c>
      <c r="B442" s="909" t="s">
        <v>955</v>
      </c>
      <c r="C442" s="875" t="s">
        <v>960</v>
      </c>
      <c r="D442" s="875">
        <f t="shared" ref="D442:D444" si="70">E442+F442</f>
      </c>
      <c r="E442" s="875">
        <v>1699.28</v>
      </c>
      <c r="F442" s="875">
        <v>1145.88</v>
      </c>
      <c r="G442" s="906">
        <v>5</v>
      </c>
      <c r="H442" s="875">
        <v>1075.2</v>
      </c>
      <c r="I442" s="877">
        <f t="shared" ref="I442:I455" si="208">H442/D442</f>
      </c>
      <c r="J442" s="877">
        <f t="shared" ref="J442:J455" si="239">D442/G442</f>
      </c>
      <c r="K442" s="878">
        <f t="shared" ref="K442:K455" si="146">H442/G442</f>
      </c>
      <c r="L442" s="879">
        <f t="shared" ref="L442:L455" si="177">R442/Q442</f>
      </c>
      <c r="M442" s="880">
        <f t="shared" ref="M442:M455" si="25">G442/S442</f>
      </c>
      <c r="N442" s="881">
        <f t="shared" ref="N442:N455" si="115">(T442*1000)/D442</f>
      </c>
      <c r="O442" s="882" t="s">
        <v>904</v>
      </c>
      <c r="P442" s="883" t="s">
        <v>932</v>
      </c>
      <c r="Q442" s="874">
        <v>21883</v>
      </c>
      <c r="R442" s="874">
        <v>3262</v>
      </c>
      <c r="S442" s="884">
        <v>7</v>
      </c>
      <c r="T442" s="884">
        <v>57</v>
      </c>
      <c r="U442" s="864"/>
    </row>
    <row r="443">
      <c r="A443" s="905"/>
      <c r="B443" s="909" t="s">
        <v>955</v>
      </c>
      <c r="C443" s="875" t="s">
        <v>954</v>
      </c>
      <c r="D443" s="875">
        <f t="shared" si="70"/>
      </c>
      <c r="E443" s="875">
        <v>1723.2</v>
      </c>
      <c r="F443" s="875">
        <v>1129.2</v>
      </c>
      <c r="G443" s="876">
        <v>5</v>
      </c>
      <c r="H443" s="875">
        <v>2825.2799999999997</v>
      </c>
      <c r="I443" s="877">
        <f t="shared" si="208"/>
      </c>
      <c r="J443" s="877">
        <f t="shared" si="239"/>
      </c>
      <c r="K443" s="878">
        <f t="shared" si="146"/>
      </c>
      <c r="L443" s="879">
        <f t="shared" si="177"/>
      </c>
      <c r="M443" s="880">
        <f t="shared" si="25"/>
      </c>
      <c r="N443" s="881">
        <f t="shared" si="115"/>
      </c>
      <c r="O443" s="882" t="s">
        <v>904</v>
      </c>
      <c r="P443" s="883" t="s">
        <v>932</v>
      </c>
      <c r="Q443" s="874">
        <v>19034</v>
      </c>
      <c r="R443" s="874">
        <v>2895</v>
      </c>
      <c r="S443" s="884">
        <v>7</v>
      </c>
      <c r="T443" s="884">
        <v>69</v>
      </c>
      <c r="U443" s="864"/>
    </row>
    <row r="444">
      <c r="A444" s="905"/>
      <c r="B444" s="909" t="s">
        <v>955</v>
      </c>
      <c r="C444" s="875" t="s">
        <v>903</v>
      </c>
      <c r="D444" s="875">
        <f t="shared" si="70"/>
      </c>
      <c r="E444" s="875">
        <v>1411.26</v>
      </c>
      <c r="F444" s="875">
        <v>557.42</v>
      </c>
      <c r="G444" s="876">
        <v>6</v>
      </c>
      <c r="H444" s="875">
        <v>2693.4000000000005</v>
      </c>
      <c r="I444" s="877">
        <f t="shared" si="208"/>
      </c>
      <c r="J444" s="877">
        <f t="shared" si="239"/>
      </c>
      <c r="K444" s="878">
        <f t="shared" si="146"/>
      </c>
      <c r="L444" s="879">
        <f t="shared" si="177"/>
      </c>
      <c r="M444" s="880">
        <f t="shared" si="25"/>
      </c>
      <c r="N444" s="881">
        <f t="shared" si="115"/>
      </c>
      <c r="O444" s="882" t="s">
        <v>904</v>
      </c>
      <c r="P444" s="883" t="s">
        <v>932</v>
      </c>
      <c r="Q444" s="874">
        <v>14455</v>
      </c>
      <c r="R444" s="874">
        <v>2461</v>
      </c>
      <c r="S444" s="884">
        <v>7</v>
      </c>
      <c r="T444" s="884">
        <v>40</v>
      </c>
      <c r="U444" s="864"/>
    </row>
    <row r="445">
      <c r="A445" s="905"/>
      <c r="B445" s="885" t="s">
        <v>910</v>
      </c>
      <c r="C445" s="885"/>
      <c r="D445" s="886">
        <f>SUM(D442:D444)</f>
      </c>
      <c r="E445" s="886">
        <f>SUM(E442:E444)</f>
      </c>
      <c r="F445" s="886">
        <f>SUM(F442:F444)</f>
      </c>
      <c r="G445" s="887">
        <f>SUM(G442:G444)</f>
      </c>
      <c r="H445" s="886">
        <f>SUM(H442:H444)</f>
      </c>
      <c r="I445" s="888">
        <f t="shared" si="208"/>
      </c>
      <c r="J445" s="889">
        <f t="shared" si="239"/>
      </c>
      <c r="K445" s="890">
        <f t="shared" si="146"/>
      </c>
      <c r="L445" s="891">
        <f t="shared" si="177"/>
      </c>
      <c r="M445" s="891">
        <f t="shared" si="25"/>
      </c>
      <c r="N445" s="892">
        <f t="shared" si="115"/>
      </c>
      <c r="O445" s="892"/>
      <c r="P445" s="892"/>
      <c r="Q445" s="893">
        <f>SUM(Q442:Q444)</f>
      </c>
      <c r="R445" s="893">
        <f>SUM(R442:R444)</f>
      </c>
      <c r="S445" s="893">
        <f>SUM(S442:S444)</f>
      </c>
      <c r="T445" s="893">
        <f>SUM(T442:T444)</f>
      </c>
      <c r="U445" s="864"/>
    </row>
    <row r="446">
      <c r="A446" s="905"/>
      <c r="B446" s="894" t="s">
        <v>902</v>
      </c>
      <c r="C446" s="875" t="s">
        <v>906</v>
      </c>
      <c r="D446" s="875">
        <f t="shared" ref="D446:D448" si="71">E446+F446</f>
      </c>
      <c r="E446" s="875">
        <v>907.15</v>
      </c>
      <c r="F446" s="875">
        <v>393.85</v>
      </c>
      <c r="G446" s="906">
        <v>1</v>
      </c>
      <c r="H446" s="875">
        <v>195.3800000000001</v>
      </c>
      <c r="I446" s="877">
        <f t="shared" si="208"/>
      </c>
      <c r="J446" s="877">
        <f t="shared" si="239"/>
      </c>
      <c r="K446" s="878">
        <f t="shared" si="146"/>
      </c>
      <c r="L446" s="879">
        <f t="shared" si="177"/>
      </c>
      <c r="M446" s="880">
        <f t="shared" si="25"/>
      </c>
      <c r="N446" s="881">
        <f t="shared" si="115"/>
      </c>
      <c r="O446" s="882" t="s">
        <v>904</v>
      </c>
      <c r="P446" s="883" t="s">
        <v>932</v>
      </c>
      <c r="Q446" s="872">
        <v>9501</v>
      </c>
      <c r="R446" s="872">
        <v>1557</v>
      </c>
      <c r="S446" s="895">
        <v>2</v>
      </c>
      <c r="T446" s="895">
        <v>33</v>
      </c>
      <c r="U446" s="864"/>
    </row>
    <row r="447">
      <c r="A447" s="905"/>
      <c r="B447" s="894" t="s">
        <v>902</v>
      </c>
      <c r="C447" s="875" t="s">
        <v>907</v>
      </c>
      <c r="D447" s="875">
        <f t="shared" si="71"/>
      </c>
      <c r="E447" s="875">
        <v>1256.31</v>
      </c>
      <c r="F447" s="875">
        <v>592.19</v>
      </c>
      <c r="G447" s="906">
        <v>3</v>
      </c>
      <c r="H447" s="875">
        <v>645.1199999999999</v>
      </c>
      <c r="I447" s="877">
        <f t="shared" si="208"/>
      </c>
      <c r="J447" s="877">
        <f t="shared" si="239"/>
      </c>
      <c r="K447" s="878">
        <f t="shared" si="146"/>
      </c>
      <c r="L447" s="879">
        <f t="shared" si="177"/>
      </c>
      <c r="M447" s="880">
        <f t="shared" si="25"/>
      </c>
      <c r="N447" s="881">
        <f t="shared" si="115"/>
      </c>
      <c r="O447" s="882" t="s">
        <v>904</v>
      </c>
      <c r="P447" s="883" t="s">
        <v>932</v>
      </c>
      <c r="Q447" s="896">
        <v>11066</v>
      </c>
      <c r="R447" s="896">
        <v>1528</v>
      </c>
      <c r="S447" s="897">
        <v>9</v>
      </c>
      <c r="T447" s="897">
        <v>52</v>
      </c>
      <c r="U447" s="864"/>
    </row>
    <row r="448">
      <c r="A448" s="905"/>
      <c r="B448" s="894" t="s">
        <v>902</v>
      </c>
      <c r="C448" s="875" t="s">
        <v>908</v>
      </c>
      <c r="D448" s="875">
        <f t="shared" si="71"/>
      </c>
      <c r="E448" s="875">
        <v>1361</v>
      </c>
      <c r="F448" s="875">
        <v>752.1</v>
      </c>
      <c r="G448" s="876">
        <v>5</v>
      </c>
      <c r="H448" s="875">
        <v>1518.2599999999993</v>
      </c>
      <c r="I448" s="877">
        <f t="shared" si="208"/>
      </c>
      <c r="J448" s="877">
        <f t="shared" si="239"/>
      </c>
      <c r="K448" s="878">
        <f t="shared" si="146"/>
      </c>
      <c r="L448" s="879">
        <f t="shared" si="177"/>
      </c>
      <c r="M448" s="880">
        <f t="shared" si="25"/>
      </c>
      <c r="N448" s="881">
        <f t="shared" si="115"/>
      </c>
      <c r="O448" s="882" t="s">
        <v>904</v>
      </c>
      <c r="P448" s="883" t="s">
        <v>932</v>
      </c>
      <c r="Q448" s="896">
        <v>11554</v>
      </c>
      <c r="R448" s="896">
        <v>1658</v>
      </c>
      <c r="S448" s="897">
        <v>9</v>
      </c>
      <c r="T448" s="897">
        <v>57</v>
      </c>
      <c r="U448" s="864"/>
    </row>
    <row r="449">
      <c r="A449" s="905"/>
      <c r="B449" s="885" t="s">
        <v>910</v>
      </c>
      <c r="C449" s="885"/>
      <c r="D449" s="886">
        <f>SUM(D446:D448)</f>
      </c>
      <c r="E449" s="886">
        <f>SUM(E446:E448)</f>
      </c>
      <c r="F449" s="886">
        <f>SUM(F446:F448)</f>
      </c>
      <c r="G449" s="887">
        <f>SUM(G446:G448)</f>
      </c>
      <c r="H449" s="886">
        <f>SUM(H446:H448)</f>
      </c>
      <c r="I449" s="888">
        <f t="shared" si="208"/>
      </c>
      <c r="J449" s="889">
        <f t="shared" si="239"/>
      </c>
      <c r="K449" s="890">
        <f t="shared" si="146"/>
      </c>
      <c r="L449" s="891">
        <f t="shared" si="177"/>
      </c>
      <c r="M449" s="891">
        <f t="shared" si="25"/>
      </c>
      <c r="N449" s="892">
        <f t="shared" si="115"/>
      </c>
      <c r="O449" s="892"/>
      <c r="P449" s="892"/>
      <c r="Q449" s="893">
        <f>SUM(Q446:Q448)</f>
      </c>
      <c r="R449" s="893">
        <f>SUM(R446:R448)</f>
      </c>
      <c r="S449" s="893">
        <f>SUM(S446:S448)</f>
      </c>
      <c r="T449" s="893">
        <f>SUM(T446:T448)</f>
      </c>
      <c r="U449" s="864"/>
    </row>
    <row r="450">
      <c r="A450" s="905"/>
      <c r="B450" s="858" t="s">
        <v>922</v>
      </c>
      <c r="C450" s="875" t="s">
        <v>909</v>
      </c>
      <c r="D450" s="875">
        <f t="shared" ref="D450:D453" si="72">E450+F450</f>
      </c>
      <c r="E450" s="875">
        <v>1541.18</v>
      </c>
      <c r="F450" s="875">
        <v>789.28</v>
      </c>
      <c r="G450" s="876">
        <v>8</v>
      </c>
      <c r="H450" s="875">
        <v>5664.210000000001</v>
      </c>
      <c r="I450" s="877">
        <f t="shared" si="208"/>
      </c>
      <c r="J450" s="877">
        <f t="shared" si="239"/>
      </c>
      <c r="K450" s="878">
        <f t="shared" si="146"/>
      </c>
      <c r="L450" s="879">
        <f t="shared" si="177"/>
      </c>
      <c r="M450" s="880">
        <f t="shared" si="25"/>
      </c>
      <c r="N450" s="881">
        <f t="shared" si="115"/>
      </c>
      <c r="O450" s="882" t="s">
        <v>904</v>
      </c>
      <c r="P450" s="883" t="s">
        <v>932</v>
      </c>
      <c r="Q450" s="896">
        <v>15993</v>
      </c>
      <c r="R450" s="896">
        <v>2035</v>
      </c>
      <c r="S450" s="897">
        <v>6</v>
      </c>
      <c r="T450" s="897">
        <v>56</v>
      </c>
      <c r="U450" s="864"/>
    </row>
    <row r="451">
      <c r="A451" s="905"/>
      <c r="B451" s="858" t="s">
        <v>922</v>
      </c>
      <c r="C451" s="875" t="s">
        <v>912</v>
      </c>
      <c r="D451" s="875">
        <f t="shared" si="72"/>
      </c>
      <c r="E451" s="875">
        <v>2326.54</v>
      </c>
      <c r="F451" s="875">
        <v>1002.99</v>
      </c>
      <c r="G451" s="876">
        <v>16</v>
      </c>
      <c r="H451" s="875">
        <v>5956.850000000002</v>
      </c>
      <c r="I451" s="877">
        <f t="shared" si="208"/>
      </c>
      <c r="J451" s="877">
        <f t="shared" si="239"/>
      </c>
      <c r="K451" s="878">
        <f t="shared" si="146"/>
      </c>
      <c r="L451" s="879">
        <f t="shared" si="177"/>
      </c>
      <c r="M451" s="880">
        <f t="shared" si="25"/>
      </c>
      <c r="N451" s="881">
        <f t="shared" si="115"/>
      </c>
      <c r="O451" s="882" t="s">
        <v>904</v>
      </c>
      <c r="P451" s="883" t="s">
        <v>932</v>
      </c>
      <c r="Q451" s="896">
        <v>22090</v>
      </c>
      <c r="R451" s="896">
        <v>3240</v>
      </c>
      <c r="S451" s="897">
        <v>25</v>
      </c>
      <c r="T451" s="897">
        <v>55</v>
      </c>
      <c r="U451" s="864"/>
    </row>
    <row customHeight="true" ht="16.666666666666668" r="452">
      <c r="A452" s="905"/>
      <c r="B452" s="858" t="s">
        <v>922</v>
      </c>
      <c r="C452" s="875" t="s">
        <v>913</v>
      </c>
      <c r="D452" s="875">
        <f t="shared" si="72"/>
      </c>
      <c r="E452" s="907">
        <v>5199.85</v>
      </c>
      <c r="F452" s="875">
        <v>490.89</v>
      </c>
      <c r="G452" s="876">
        <v>15</v>
      </c>
      <c r="H452" s="907">
        <v>7395.759999999998</v>
      </c>
      <c r="I452" s="877">
        <f t="shared" si="208"/>
      </c>
      <c r="J452" s="877">
        <f t="shared" si="239"/>
      </c>
      <c r="K452" s="878">
        <f t="shared" si="146"/>
      </c>
      <c r="L452" s="879">
        <f t="shared" si="177"/>
      </c>
      <c r="M452" s="880">
        <f t="shared" si="25"/>
      </c>
      <c r="N452" s="881">
        <f t="shared" si="115"/>
      </c>
      <c r="O452" s="882" t="s">
        <v>904</v>
      </c>
      <c r="P452" s="883" t="s">
        <v>932</v>
      </c>
      <c r="Q452" s="896">
        <v>42545</v>
      </c>
      <c r="R452" s="896">
        <v>7002</v>
      </c>
      <c r="S452" s="897">
        <v>22</v>
      </c>
      <c r="T452" s="897">
        <v>115</v>
      </c>
      <c r="U452" s="864"/>
    </row>
    <row r="453">
      <c r="A453" s="905"/>
      <c r="B453" s="858" t="s">
        <v>922</v>
      </c>
      <c r="C453" s="875" t="s">
        <v>914</v>
      </c>
      <c r="D453" s="875">
        <f t="shared" si="72"/>
      </c>
      <c r="E453" s="907">
        <v>925.64</v>
      </c>
      <c r="F453" s="875">
        <v>110.39999999999999</v>
      </c>
      <c r="G453" s="876">
        <v>8</v>
      </c>
      <c r="H453" s="907">
        <v>3524.5200000000004</v>
      </c>
      <c r="I453" s="877">
        <f t="shared" si="208"/>
      </c>
      <c r="J453" s="877">
        <f t="shared" si="239"/>
      </c>
      <c r="K453" s="878">
        <f t="shared" si="146"/>
      </c>
      <c r="L453" s="879">
        <f t="shared" si="177"/>
      </c>
      <c r="M453" s="880">
        <f t="shared" si="25"/>
      </c>
      <c r="N453" s="881">
        <f t="shared" si="115"/>
      </c>
      <c r="O453" s="882" t="s">
        <v>904</v>
      </c>
      <c r="P453" s="883" t="s">
        <v>932</v>
      </c>
      <c r="Q453" s="896">
        <v>14771</v>
      </c>
      <c r="R453" s="896">
        <v>1790</v>
      </c>
      <c r="S453" s="897">
        <v>11</v>
      </c>
      <c r="T453" s="897">
        <v>36</v>
      </c>
      <c r="U453" s="864"/>
    </row>
    <row r="454">
      <c r="A454" s="905"/>
      <c r="B454" s="885" t="s">
        <v>910</v>
      </c>
      <c r="C454" s="885"/>
      <c r="D454" s="886">
        <f>SUM(D450:D453)</f>
      </c>
      <c r="E454" s="886">
        <f>SUM(E450:E453)</f>
      </c>
      <c r="F454" s="886">
        <f>SUM(F450:F453)</f>
      </c>
      <c r="G454" s="887">
        <f>SUM(G450:G453)</f>
      </c>
      <c r="H454" s="886">
        <f>SUM(H450:H453)</f>
      </c>
      <c r="I454" s="888">
        <f t="shared" si="208"/>
      </c>
      <c r="J454" s="889">
        <f t="shared" si="239"/>
      </c>
      <c r="K454" s="890">
        <f t="shared" si="146"/>
      </c>
      <c r="L454" s="891">
        <f t="shared" si="177"/>
      </c>
      <c r="M454" s="891">
        <f t="shared" si="25"/>
      </c>
      <c r="N454" s="892">
        <f t="shared" si="115"/>
      </c>
      <c r="O454" s="892"/>
      <c r="P454" s="892"/>
      <c r="Q454" s="893">
        <f>SUM(Q450:Q453)</f>
      </c>
      <c r="R454" s="893">
        <f>SUM(R450:R453)</f>
      </c>
      <c r="S454" s="893">
        <f>SUM(S450:S453)</f>
      </c>
      <c r="T454" s="893">
        <f>SUM(T450:T453)</f>
      </c>
      <c r="U454" s="864"/>
    </row>
    <row r="455">
      <c r="A455" s="905"/>
      <c r="B455" s="898" t="s">
        <v>926</v>
      </c>
      <c r="C455" s="898"/>
      <c r="D455" s="899">
        <f>D445+D454+D449</f>
      </c>
      <c r="E455" s="899">
        <f>E445+E454+E449</f>
      </c>
      <c r="F455" s="899">
        <f>F445+F454+F449</f>
      </c>
      <c r="G455" s="900">
        <f>G445+G454+G449</f>
      </c>
      <c r="H455" s="899">
        <f>H445+H454+H449</f>
      </c>
      <c r="I455" s="901">
        <f t="shared" si="208"/>
      </c>
      <c r="J455" s="901">
        <f t="shared" si="239"/>
      </c>
      <c r="K455" s="902">
        <f t="shared" si="146"/>
      </c>
      <c r="L455" s="903">
        <f t="shared" si="177"/>
      </c>
      <c r="M455" s="903">
        <f t="shared" si="25"/>
      </c>
      <c r="N455" s="901">
        <f t="shared" si="115"/>
      </c>
      <c r="O455" s="904"/>
      <c r="P455" s="904"/>
      <c r="Q455" s="900">
        <f>Q445+Q454+Q449</f>
      </c>
      <c r="R455" s="900">
        <f>R445+R454+R449</f>
      </c>
      <c r="S455" s="900">
        <f>S445+S454+S449</f>
      </c>
      <c r="T455" s="900">
        <f>T445+T454+T449</f>
      </c>
      <c r="U455" s="864"/>
    </row>
    <row r="456">
      <c r="A456" s="860" t="s">
        <v>877</v>
      </c>
      <c r="B456" s="860"/>
      <c r="C456" s="860"/>
      <c r="D456" s="861" t="s">
        <v>878</v>
      </c>
      <c r="E456" s="861"/>
      <c r="F456" s="861"/>
      <c r="G456" s="861"/>
      <c r="H456" s="861"/>
      <c r="I456" s="861"/>
      <c r="J456" s="861"/>
      <c r="K456" s="861"/>
      <c r="L456" s="862" t="s">
        <v>879</v>
      </c>
      <c r="M456" s="862"/>
      <c r="N456" s="862"/>
      <c r="O456" s="862"/>
      <c r="P456" s="862"/>
      <c r="Q456" s="863" t="s">
        <v>880</v>
      </c>
      <c r="R456" s="863"/>
      <c r="S456" s="863"/>
      <c r="T456" s="863"/>
      <c r="U456" s="864"/>
    </row>
    <row r="457">
      <c r="A457" s="865" t="s">
        <v>881</v>
      </c>
      <c r="B457" s="865" t="s">
        <v>882</v>
      </c>
      <c r="C457" s="865" t="s">
        <v>883</v>
      </c>
      <c r="D457" s="866" t="s">
        <v>884</v>
      </c>
      <c r="E457" s="866" t="s">
        <v>885</v>
      </c>
      <c r="F457" s="866" t="s">
        <v>886</v>
      </c>
      <c r="G457" s="867" t="s">
        <v>887</v>
      </c>
      <c r="H457" s="866" t="s">
        <v>888</v>
      </c>
      <c r="I457" s="868" t="s">
        <v>889</v>
      </c>
      <c r="J457" s="869" t="s">
        <v>890</v>
      </c>
      <c r="K457" s="870" t="s">
        <v>891</v>
      </c>
      <c r="L457" s="871" t="s">
        <v>892</v>
      </c>
      <c r="M457" s="871" t="s">
        <v>893</v>
      </c>
      <c r="N457" s="871" t="s">
        <v>894</v>
      </c>
      <c r="O457" s="862" t="s">
        <v>895</v>
      </c>
      <c r="P457" s="862" t="s">
        <v>896</v>
      </c>
      <c r="Q457" s="872" t="s">
        <v>897</v>
      </c>
      <c r="R457" s="872" t="s">
        <v>898</v>
      </c>
      <c r="S457" s="872" t="s">
        <v>899</v>
      </c>
      <c r="T457" s="872" t="s">
        <v>900</v>
      </c>
      <c r="U457" s="864"/>
    </row>
    <row r="458">
      <c r="A458" s="905" t="s">
        <v>966</v>
      </c>
      <c r="B458" s="858" t="s">
        <v>922</v>
      </c>
      <c r="C458" s="875" t="s">
        <v>960</v>
      </c>
      <c r="D458" s="875">
        <f t="shared" ref="D458:D461" si="73">E458+F458</f>
      </c>
      <c r="E458" s="875">
        <v>2790.75</v>
      </c>
      <c r="F458" s="875">
        <v>704.53</v>
      </c>
      <c r="G458" s="906">
        <v>15</v>
      </c>
      <c r="H458" s="875">
        <v>7882.8</v>
      </c>
      <c r="I458" s="877">
        <f t="shared" ref="I458:I471" si="209">H458/D458</f>
      </c>
      <c r="J458" s="877">
        <f t="shared" ref="J458:J471" si="240">D458/G458</f>
      </c>
      <c r="K458" s="878">
        <f t="shared" ref="K458:K471" si="147">H458/G458</f>
      </c>
      <c r="L458" s="879">
        <f t="shared" ref="L458:L471" si="178">R458/Q458</f>
      </c>
      <c r="M458" s="880">
        <f t="shared" ref="M458:M471" si="26">G458/S458</f>
      </c>
      <c r="N458" s="881">
        <f t="shared" ref="N458:N471" si="116">(T458*1000)/D458</f>
      </c>
      <c r="O458" s="882" t="s">
        <v>904</v>
      </c>
      <c r="P458" s="883" t="s">
        <v>932</v>
      </c>
      <c r="Q458" s="874">
        <v>34264</v>
      </c>
      <c r="R458" s="874">
        <v>6094</v>
      </c>
      <c r="S458" s="884">
        <v>22</v>
      </c>
      <c r="T458" s="884">
        <v>66</v>
      </c>
      <c r="U458" s="864"/>
    </row>
    <row r="459">
      <c r="A459" s="905"/>
      <c r="B459" s="858" t="s">
        <v>922</v>
      </c>
      <c r="C459" s="875" t="s">
        <v>954</v>
      </c>
      <c r="D459" s="875">
        <f t="shared" si="73"/>
      </c>
      <c r="E459" s="875">
        <v>6789.82</v>
      </c>
      <c r="F459" s="875">
        <v>2263.63</v>
      </c>
      <c r="G459" s="876">
        <v>32</v>
      </c>
      <c r="H459" s="875">
        <v>18416.04</v>
      </c>
      <c r="I459" s="877">
        <f t="shared" si="209"/>
      </c>
      <c r="J459" s="877">
        <f t="shared" si="240"/>
      </c>
      <c r="K459" s="878">
        <f t="shared" si="147"/>
      </c>
      <c r="L459" s="879">
        <f t="shared" si="178"/>
      </c>
      <c r="M459" s="880">
        <f t="shared" si="26"/>
      </c>
      <c r="N459" s="881">
        <f t="shared" si="116"/>
      </c>
      <c r="O459" s="882" t="s">
        <v>904</v>
      </c>
      <c r="P459" s="883" t="s">
        <v>932</v>
      </c>
      <c r="Q459" s="874">
        <v>87682</v>
      </c>
      <c r="R459" s="874">
        <v>14518</v>
      </c>
      <c r="S459" s="884">
        <v>46</v>
      </c>
      <c r="T459" s="884">
        <v>164</v>
      </c>
      <c r="U459" s="864"/>
    </row>
    <row customHeight="true" ht="16.666666666666668" r="460">
      <c r="A460" s="905"/>
      <c r="B460" s="858" t="s">
        <v>922</v>
      </c>
      <c r="C460" s="875" t="s">
        <v>903</v>
      </c>
      <c r="D460" s="875">
        <f t="shared" si="73"/>
      </c>
      <c r="E460" s="875">
        <v>7444.7</v>
      </c>
      <c r="F460" s="875">
        <v>3709.16</v>
      </c>
      <c r="G460" s="910">
        <v>38</v>
      </c>
      <c r="H460" s="911">
        <v>21882.66</v>
      </c>
      <c r="I460" s="877">
        <f t="shared" si="209"/>
      </c>
      <c r="J460" s="877">
        <f t="shared" si="240"/>
      </c>
      <c r="K460" s="878">
        <f t="shared" si="147"/>
      </c>
      <c r="L460" s="879">
        <f t="shared" si="178"/>
      </c>
      <c r="M460" s="880">
        <f t="shared" si="26"/>
      </c>
      <c r="N460" s="881">
        <f t="shared" si="116"/>
      </c>
      <c r="O460" s="882" t="s">
        <v>904</v>
      </c>
      <c r="P460" s="883" t="s">
        <v>932</v>
      </c>
      <c r="Q460" s="874">
        <v>105142</v>
      </c>
      <c r="R460" s="874">
        <v>16197</v>
      </c>
      <c r="S460" s="884">
        <v>51</v>
      </c>
      <c r="T460" s="884">
        <v>216</v>
      </c>
      <c r="U460" s="864"/>
    </row>
    <row r="461">
      <c r="A461" s="905"/>
      <c r="B461" s="858" t="s">
        <v>922</v>
      </c>
      <c r="C461" s="875" t="s">
        <v>906</v>
      </c>
      <c r="D461" s="875">
        <f t="shared" si="73"/>
      </c>
      <c r="E461" s="875">
        <v>3801.47</v>
      </c>
      <c r="F461" s="912">
        <v>3452.75</v>
      </c>
      <c r="G461" s="913">
        <v>15</v>
      </c>
      <c r="H461" s="911">
        <v>14947.720000000001</v>
      </c>
      <c r="I461" s="914">
        <f t="shared" si="209"/>
      </c>
      <c r="J461" s="877">
        <f t="shared" si="240"/>
      </c>
      <c r="K461" s="878">
        <f t="shared" si="147"/>
      </c>
      <c r="L461" s="879">
        <f t="shared" si="178"/>
      </c>
      <c r="M461" s="880">
        <f t="shared" si="26"/>
      </c>
      <c r="N461" s="881">
        <f t="shared" si="116"/>
      </c>
      <c r="O461" s="882" t="s">
        <v>904</v>
      </c>
      <c r="P461" s="883" t="s">
        <v>932</v>
      </c>
      <c r="Q461" s="874">
        <v>72947</v>
      </c>
      <c r="R461" s="874">
        <v>7364</v>
      </c>
      <c r="S461" s="884">
        <v>28</v>
      </c>
      <c r="T461" s="884">
        <v>123</v>
      </c>
      <c r="U461" s="864"/>
    </row>
    <row r="462">
      <c r="A462" s="905"/>
      <c r="B462" s="885" t="s">
        <v>910</v>
      </c>
      <c r="C462" s="885"/>
      <c r="D462" s="886">
        <f>SUM(D458:D461)</f>
      </c>
      <c r="E462" s="886">
        <f>SUM(E458:E461)</f>
      </c>
      <c r="F462" s="915">
        <f>SUM(F458:F461)</f>
      </c>
      <c r="G462" s="800">
        <f>SUM(G458:G461)</f>
      </c>
      <c r="H462" s="799">
        <f>SUM(H458:H461)</f>
      </c>
      <c r="I462" s="916">
        <f t="shared" si="209"/>
      </c>
      <c r="J462" s="889">
        <f t="shared" si="240"/>
      </c>
      <c r="K462" s="890">
        <f t="shared" si="147"/>
      </c>
      <c r="L462" s="891">
        <f t="shared" si="178"/>
      </c>
      <c r="M462" s="891">
        <f t="shared" si="26"/>
      </c>
      <c r="N462" s="892">
        <f t="shared" si="116"/>
      </c>
      <c r="O462" s="892"/>
      <c r="P462" s="892"/>
      <c r="Q462" s="893">
        <f>SUM(Q458:Q461)</f>
      </c>
      <c r="R462" s="893">
        <f>SUM(R458:R461)</f>
      </c>
      <c r="S462" s="893">
        <f>SUM(S458:S461)</f>
      </c>
      <c r="T462" s="893">
        <f>SUM(T458:T461)</f>
      </c>
      <c r="U462" s="864"/>
    </row>
    <row r="463">
      <c r="A463" s="905"/>
      <c r="B463" s="894" t="s">
        <v>902</v>
      </c>
      <c r="C463" s="875" t="s">
        <v>907</v>
      </c>
      <c r="D463" s="875">
        <f t="shared" ref="D463:D466" si="74">E463+F463</f>
      </c>
      <c r="E463" s="875">
        <v>4419.39</v>
      </c>
      <c r="F463" s="875">
        <v>2403.6</v>
      </c>
      <c r="G463" s="917">
        <v>34</v>
      </c>
      <c r="H463" s="918">
        <v>9651.839999999997</v>
      </c>
      <c r="I463" s="877">
        <f t="shared" si="209"/>
      </c>
      <c r="J463" s="877">
        <f t="shared" si="240"/>
      </c>
      <c r="K463" s="878">
        <f t="shared" si="147"/>
      </c>
      <c r="L463" s="879">
        <f t="shared" si="178"/>
      </c>
      <c r="M463" s="880">
        <f t="shared" si="26"/>
      </c>
      <c r="N463" s="881">
        <f t="shared" si="116"/>
      </c>
      <c r="O463" s="882" t="s">
        <v>904</v>
      </c>
      <c r="P463" s="883" t="s">
        <v>932</v>
      </c>
      <c r="Q463" s="872">
        <v>64374</v>
      </c>
      <c r="R463" s="872">
        <v>7662</v>
      </c>
      <c r="S463" s="895">
        <v>37</v>
      </c>
      <c r="T463" s="895">
        <v>106</v>
      </c>
      <c r="U463" s="864"/>
    </row>
    <row r="464">
      <c r="A464" s="905"/>
      <c r="B464" s="894" t="s">
        <v>902</v>
      </c>
      <c r="C464" s="875" t="s">
        <v>908</v>
      </c>
      <c r="D464" s="875">
        <f t="shared" si="74"/>
      </c>
      <c r="E464" s="875">
        <v>3914.62</v>
      </c>
      <c r="F464" s="875">
        <v>1601.92</v>
      </c>
      <c r="G464" s="906">
        <v>21</v>
      </c>
      <c r="H464" s="875">
        <v>10930.479999999996</v>
      </c>
      <c r="I464" s="877">
        <f t="shared" si="209"/>
      </c>
      <c r="J464" s="877">
        <f t="shared" si="240"/>
      </c>
      <c r="K464" s="878">
        <f t="shared" si="147"/>
      </c>
      <c r="L464" s="879">
        <f t="shared" si="178"/>
      </c>
      <c r="M464" s="880">
        <f t="shared" si="26"/>
      </c>
      <c r="N464" s="881">
        <f t="shared" si="116"/>
      </c>
      <c r="O464" s="882" t="s">
        <v>904</v>
      </c>
      <c r="P464" s="883" t="s">
        <v>932</v>
      </c>
      <c r="Q464" s="896">
        <v>51985</v>
      </c>
      <c r="R464" s="896">
        <v>7032</v>
      </c>
      <c r="S464" s="897">
        <v>23</v>
      </c>
      <c r="T464" s="897">
        <v>141</v>
      </c>
      <c r="U464" s="864"/>
    </row>
    <row customHeight="true" ht="16.666666666666668" r="465">
      <c r="A465" s="905"/>
      <c r="B465" s="894" t="s">
        <v>902</v>
      </c>
      <c r="C465" s="875" t="s">
        <v>909</v>
      </c>
      <c r="D465" s="875">
        <f t="shared" si="74"/>
      </c>
      <c r="E465" s="875">
        <v>4658.37</v>
      </c>
      <c r="F465" s="875">
        <v>4870.12</v>
      </c>
      <c r="G465" s="876">
        <v>16</v>
      </c>
      <c r="H465" s="875">
        <v>6559.220000000001</v>
      </c>
      <c r="I465" s="877">
        <f t="shared" si="209"/>
      </c>
      <c r="J465" s="877">
        <f t="shared" si="240"/>
      </c>
      <c r="K465" s="878">
        <f t="shared" si="147"/>
      </c>
      <c r="L465" s="879">
        <f t="shared" si="178"/>
      </c>
      <c r="M465" s="880">
        <f t="shared" si="26"/>
      </c>
      <c r="N465" s="881">
        <f t="shared" si="116"/>
      </c>
      <c r="O465" s="882" t="s">
        <v>904</v>
      </c>
      <c r="P465" s="883" t="s">
        <v>932</v>
      </c>
      <c r="Q465" s="896">
        <v>82735</v>
      </c>
      <c r="R465" s="896">
        <v>12472</v>
      </c>
      <c r="S465" s="897">
        <v>25</v>
      </c>
      <c r="T465" s="897">
        <v>182</v>
      </c>
      <c r="U465" s="864"/>
    </row>
    <row r="466">
      <c r="A466" s="905"/>
      <c r="B466" s="894" t="s">
        <v>902</v>
      </c>
      <c r="C466" s="875" t="s">
        <v>912</v>
      </c>
      <c r="D466" s="875">
        <f t="shared" si="74"/>
      </c>
      <c r="E466" s="875">
        <v>3326.42</v>
      </c>
      <c r="F466" s="875">
        <v>552.03</v>
      </c>
      <c r="G466" s="876">
        <v>12</v>
      </c>
      <c r="H466" s="875">
        <v>5829.860000000001</v>
      </c>
      <c r="I466" s="877">
        <f t="shared" si="209"/>
      </c>
      <c r="J466" s="877">
        <f t="shared" si="240"/>
      </c>
      <c r="K466" s="878">
        <f t="shared" si="147"/>
      </c>
      <c r="L466" s="879">
        <f t="shared" si="178"/>
      </c>
      <c r="M466" s="880">
        <f t="shared" si="26"/>
      </c>
      <c r="N466" s="881">
        <f t="shared" si="116"/>
      </c>
      <c r="O466" s="882" t="s">
        <v>904</v>
      </c>
      <c r="P466" s="883" t="s">
        <v>932</v>
      </c>
      <c r="Q466" s="896">
        <v>37934</v>
      </c>
      <c r="R466" s="896">
        <v>5913</v>
      </c>
      <c r="S466" s="897">
        <v>17</v>
      </c>
      <c r="T466" s="897">
        <v>82</v>
      </c>
      <c r="U466" s="864"/>
    </row>
    <row r="467">
      <c r="A467" s="905"/>
      <c r="B467" s="885" t="s">
        <v>910</v>
      </c>
      <c r="C467" s="885"/>
      <c r="D467" s="886">
        <f>SUM(D463:D466)</f>
      </c>
      <c r="E467" s="886">
        <f>SUM(E463:E466)</f>
      </c>
      <c r="F467" s="886">
        <f>SUM(F463:F466)</f>
      </c>
      <c r="G467" s="887">
        <f>SUM(G463:G466)</f>
      </c>
      <c r="H467" s="886">
        <f>SUM(H463:H466)</f>
      </c>
      <c r="I467" s="888">
        <f t="shared" si="209"/>
      </c>
      <c r="J467" s="889">
        <f t="shared" si="240"/>
      </c>
      <c r="K467" s="890">
        <f t="shared" si="147"/>
      </c>
      <c r="L467" s="891">
        <f t="shared" si="178"/>
      </c>
      <c r="M467" s="891">
        <f t="shared" si="26"/>
      </c>
      <c r="N467" s="892">
        <f t="shared" si="116"/>
      </c>
      <c r="O467" s="892"/>
      <c r="P467" s="892"/>
      <c r="Q467" s="893">
        <f>SUM(Q463:Q466)</f>
      </c>
      <c r="R467" s="893">
        <f>SUM(R463:R466)</f>
      </c>
      <c r="S467" s="893">
        <f>SUM(S463:S466)</f>
      </c>
      <c r="T467" s="893">
        <f>SUM(T463:T466)</f>
      </c>
      <c r="U467" s="864"/>
    </row>
    <row r="468">
      <c r="A468" s="905"/>
      <c r="B468" s="909" t="s">
        <v>955</v>
      </c>
      <c r="C468" s="875" t="s">
        <v>913</v>
      </c>
      <c r="D468" s="875">
        <f t="shared" ref="D468:D469" si="75">E468+F468</f>
      </c>
      <c r="E468" s="875">
        <v>2727.06</v>
      </c>
      <c r="F468" s="875">
        <v>1039.84</v>
      </c>
      <c r="G468" s="876">
        <v>3</v>
      </c>
      <c r="H468" s="875">
        <v>1107.840000000011</v>
      </c>
      <c r="I468" s="877">
        <f t="shared" si="209"/>
      </c>
      <c r="J468" s="877">
        <f t="shared" si="240"/>
      </c>
      <c r="K468" s="878">
        <f t="shared" si="147"/>
      </c>
      <c r="L468" s="879">
        <f t="shared" si="178"/>
      </c>
      <c r="M468" s="880">
        <f t="shared" si="26"/>
      </c>
      <c r="N468" s="881">
        <f t="shared" si="116"/>
      </c>
      <c r="O468" s="882" t="s">
        <v>904</v>
      </c>
      <c r="P468" s="883" t="s">
        <v>932</v>
      </c>
      <c r="Q468" s="896">
        <v>35635</v>
      </c>
      <c r="R468" s="896">
        <v>5381</v>
      </c>
      <c r="S468" s="897">
        <v>5</v>
      </c>
      <c r="T468" s="897">
        <v>83</v>
      </c>
      <c r="U468" s="864"/>
    </row>
    <row r="469">
      <c r="A469" s="905"/>
      <c r="B469" s="909" t="s">
        <v>955</v>
      </c>
      <c r="C469" s="875" t="s">
        <v>914</v>
      </c>
      <c r="D469" s="875">
        <f t="shared" si="75"/>
      </c>
      <c r="E469" s="907">
        <v>1877.69</v>
      </c>
      <c r="F469" s="875">
        <v>826.27</v>
      </c>
      <c r="G469" s="876">
        <v>6</v>
      </c>
      <c r="H469" s="907">
        <v>2196.0199999999895</v>
      </c>
      <c r="I469" s="877">
        <f t="shared" si="209"/>
      </c>
      <c r="J469" s="877">
        <f t="shared" si="240"/>
      </c>
      <c r="K469" s="878">
        <f t="shared" si="147"/>
      </c>
      <c r="L469" s="879">
        <f t="shared" si="178"/>
      </c>
      <c r="M469" s="880">
        <f t="shared" si="26"/>
      </c>
      <c r="N469" s="881">
        <f t="shared" si="116"/>
      </c>
      <c r="O469" s="882" t="s">
        <v>904</v>
      </c>
      <c r="P469" s="883" t="s">
        <v>932</v>
      </c>
      <c r="Q469" s="896">
        <v>21393</v>
      </c>
      <c r="R469" s="896">
        <v>3827</v>
      </c>
      <c r="S469" s="897">
        <v>9</v>
      </c>
      <c r="T469" s="897">
        <v>43</v>
      </c>
      <c r="U469" s="864"/>
    </row>
    <row r="470">
      <c r="A470" s="905"/>
      <c r="B470" s="885" t="s">
        <v>910</v>
      </c>
      <c r="C470" s="885"/>
      <c r="D470" s="886">
        <f>SUM(D468:D469)</f>
      </c>
      <c r="E470" s="886">
        <f>SUM(E468:E469)</f>
      </c>
      <c r="F470" s="886">
        <f>SUM(F468:F469)</f>
      </c>
      <c r="G470" s="887">
        <f>SUM(G468:G469)</f>
      </c>
      <c r="H470" s="886">
        <f>SUM(H468:H469)</f>
      </c>
      <c r="I470" s="888">
        <f t="shared" si="209"/>
      </c>
      <c r="J470" s="889">
        <f t="shared" si="240"/>
      </c>
      <c r="K470" s="890">
        <f t="shared" si="147"/>
      </c>
      <c r="L470" s="891">
        <f t="shared" si="178"/>
      </c>
      <c r="M470" s="891">
        <f t="shared" si="26"/>
      </c>
      <c r="N470" s="892">
        <f t="shared" si="116"/>
      </c>
      <c r="O470" s="892"/>
      <c r="P470" s="892"/>
      <c r="Q470" s="893">
        <v>29262</v>
      </c>
      <c r="R470" s="893">
        <v>4665</v>
      </c>
      <c r="S470" s="893">
        <f>SUM(S468:S469)</f>
      </c>
      <c r="T470" s="893">
        <f>SUM(T468:T469)</f>
      </c>
      <c r="U470" s="864"/>
    </row>
    <row r="471">
      <c r="A471" s="905"/>
      <c r="B471" s="898" t="s">
        <v>926</v>
      </c>
      <c r="C471" s="898"/>
      <c r="D471" s="899">
        <f>D462+D470+D467</f>
      </c>
      <c r="E471" s="899">
        <f>E462+E470+E467</f>
      </c>
      <c r="F471" s="899">
        <f>F462+F470+F467</f>
      </c>
      <c r="G471" s="900">
        <f>G462+G470+G467</f>
      </c>
      <c r="H471" s="899">
        <f>H462+H470+H467</f>
      </c>
      <c r="I471" s="901">
        <f t="shared" si="209"/>
      </c>
      <c r="J471" s="901">
        <f t="shared" si="240"/>
      </c>
      <c r="K471" s="902">
        <f t="shared" si="147"/>
      </c>
      <c r="L471" s="903">
        <f t="shared" si="178"/>
      </c>
      <c r="M471" s="903">
        <f t="shared" si="26"/>
      </c>
      <c r="N471" s="901">
        <f t="shared" si="116"/>
      </c>
      <c r="O471" s="904"/>
      <c r="P471" s="904"/>
      <c r="Q471" s="919">
        <f>Q462+Q470+Q467</f>
      </c>
      <c r="R471" s="919">
        <f>R462+R470+R467</f>
      </c>
      <c r="S471" s="900">
        <f>S462+S470+S467</f>
      </c>
      <c r="T471" s="900">
        <f>T462+T470+T467</f>
      </c>
      <c r="U471" s="864"/>
    </row>
    <row r="472">
      <c r="A472" s="860" t="s">
        <v>877</v>
      </c>
      <c r="B472" s="860"/>
      <c r="C472" s="860"/>
      <c r="D472" s="861" t="s">
        <v>878</v>
      </c>
      <c r="E472" s="861"/>
      <c r="F472" s="861"/>
      <c r="G472" s="861"/>
      <c r="H472" s="861"/>
      <c r="I472" s="861"/>
      <c r="J472" s="861"/>
      <c r="K472" s="861"/>
      <c r="L472" s="862" t="s">
        <v>879</v>
      </c>
      <c r="M472" s="862"/>
      <c r="N472" s="862"/>
      <c r="O472" s="862"/>
      <c r="P472" s="862"/>
      <c r="Q472" s="863" t="s">
        <v>880</v>
      </c>
      <c r="R472" s="863"/>
      <c r="S472" s="863"/>
      <c r="T472" s="863"/>
      <c r="U472" s="864"/>
    </row>
    <row r="473">
      <c r="A473" s="865" t="s">
        <v>881</v>
      </c>
      <c r="B473" s="865" t="s">
        <v>882</v>
      </c>
      <c r="C473" s="865" t="s">
        <v>883</v>
      </c>
      <c r="D473" s="866" t="s">
        <v>884</v>
      </c>
      <c r="E473" s="866" t="s">
        <v>885</v>
      </c>
      <c r="F473" s="866" t="s">
        <v>886</v>
      </c>
      <c r="G473" s="867" t="s">
        <v>887</v>
      </c>
      <c r="H473" s="866" t="s">
        <v>888</v>
      </c>
      <c r="I473" s="868" t="s">
        <v>889</v>
      </c>
      <c r="J473" s="869" t="s">
        <v>890</v>
      </c>
      <c r="K473" s="870" t="s">
        <v>891</v>
      </c>
      <c r="L473" s="871" t="s">
        <v>892</v>
      </c>
      <c r="M473" s="871" t="s">
        <v>893</v>
      </c>
      <c r="N473" s="871" t="s">
        <v>894</v>
      </c>
      <c r="O473" s="862" t="s">
        <v>895</v>
      </c>
      <c r="P473" s="862" t="s">
        <v>896</v>
      </c>
      <c r="Q473" s="872" t="s">
        <v>897</v>
      </c>
      <c r="R473" s="872" t="s">
        <v>898</v>
      </c>
      <c r="S473" s="872" t="s">
        <v>899</v>
      </c>
      <c r="T473" s="872" t="s">
        <v>900</v>
      </c>
      <c r="U473" s="864"/>
    </row>
    <row r="474">
      <c r="A474" s="905" t="s">
        <v>967</v>
      </c>
      <c r="B474" s="858" t="s">
        <v>922</v>
      </c>
      <c r="C474" s="875" t="s">
        <v>960</v>
      </c>
      <c r="D474" s="875">
        <f t="shared" ref="D474:D477" si="76">E474+F474</f>
      </c>
      <c r="E474" s="875">
        <v>2755.88</v>
      </c>
      <c r="F474" s="875">
        <v>686.87</v>
      </c>
      <c r="G474" s="906">
        <v>12</v>
      </c>
      <c r="H474" s="875">
        <v>10413.48</v>
      </c>
      <c r="I474" s="877">
        <f t="shared" ref="I474:I488" si="210">H474/D474</f>
      </c>
      <c r="J474" s="877">
        <f t="shared" ref="J474:J488" si="241">D474/G474</f>
      </c>
      <c r="K474" s="878">
        <f t="shared" ref="K474:K488" si="148">H474/G474</f>
      </c>
      <c r="L474" s="879">
        <f t="shared" ref="L474:L488" si="179">R474/Q474</f>
      </c>
      <c r="M474" s="880">
        <f t="shared" ref="M474:M488" si="27">G474/S474</f>
      </c>
      <c r="N474" s="881">
        <f t="shared" ref="N474:N488" si="117">(T474*1000)/D474</f>
      </c>
      <c r="O474" s="882" t="s">
        <v>904</v>
      </c>
      <c r="P474" s="883" t="s">
        <v>932</v>
      </c>
      <c r="Q474" s="874">
        <v>33728</v>
      </c>
      <c r="R474" s="874">
        <v>5909</v>
      </c>
      <c r="S474" s="884">
        <v>18</v>
      </c>
      <c r="T474" s="884">
        <v>99</v>
      </c>
      <c r="U474" s="864"/>
    </row>
    <row r="475">
      <c r="A475" s="905"/>
      <c r="B475" s="858" t="s">
        <v>922</v>
      </c>
      <c r="C475" s="875" t="s">
        <v>954</v>
      </c>
      <c r="D475" s="875">
        <f t="shared" si="76"/>
      </c>
      <c r="E475" s="875">
        <v>5511.68</v>
      </c>
      <c r="F475" s="875">
        <v>2198.72</v>
      </c>
      <c r="G475" s="906">
        <v>30</v>
      </c>
      <c r="H475" s="875">
        <v>17018.3</v>
      </c>
      <c r="I475" s="877">
        <f t="shared" si="210"/>
      </c>
      <c r="J475" s="877">
        <f t="shared" si="241"/>
      </c>
      <c r="K475" s="878">
        <f t="shared" si="148"/>
      </c>
      <c r="L475" s="879">
        <f t="shared" si="179"/>
      </c>
      <c r="M475" s="880">
        <f t="shared" si="27"/>
      </c>
      <c r="N475" s="881">
        <f t="shared" si="117"/>
      </c>
      <c r="O475" s="882" t="s">
        <v>904</v>
      </c>
      <c r="P475" s="883" t="s">
        <v>932</v>
      </c>
      <c r="Q475" s="874">
        <v>71866</v>
      </c>
      <c r="R475" s="874">
        <v>12790</v>
      </c>
      <c r="S475" s="884">
        <v>42</v>
      </c>
      <c r="T475" s="884">
        <v>167</v>
      </c>
      <c r="U475" s="864"/>
    </row>
    <row r="476">
      <c r="A476" s="905"/>
      <c r="B476" s="858" t="s">
        <v>922</v>
      </c>
      <c r="C476" s="875" t="s">
        <v>903</v>
      </c>
      <c r="D476" s="875">
        <f t="shared" si="76"/>
      </c>
      <c r="E476" s="875">
        <v>7673.55</v>
      </c>
      <c r="F476" s="875">
        <v>4111.69</v>
      </c>
      <c r="G476" s="910">
        <v>46</v>
      </c>
      <c r="H476" s="911">
        <v>28124.72</v>
      </c>
      <c r="I476" s="877">
        <f t="shared" si="210"/>
      </c>
      <c r="J476" s="877">
        <f t="shared" si="241"/>
      </c>
      <c r="K476" s="878">
        <f t="shared" si="148"/>
      </c>
      <c r="L476" s="879">
        <f t="shared" si="179"/>
      </c>
      <c r="M476" s="880">
        <f t="shared" si="27"/>
      </c>
      <c r="N476" s="881">
        <f t="shared" si="117"/>
      </c>
      <c r="O476" s="882" t="s">
        <v>904</v>
      </c>
      <c r="P476" s="883" t="s">
        <v>932</v>
      </c>
      <c r="Q476" s="874">
        <v>69486</v>
      </c>
      <c r="R476" s="874">
        <v>8742</v>
      </c>
      <c r="S476" s="884">
        <v>66</v>
      </c>
      <c r="T476" s="884">
        <v>235</v>
      </c>
      <c r="U476" s="864"/>
    </row>
    <row r="477">
      <c r="A477" s="905"/>
      <c r="B477" s="858" t="s">
        <v>922</v>
      </c>
      <c r="C477" s="875" t="s">
        <v>906</v>
      </c>
      <c r="D477" s="875">
        <f t="shared" si="76"/>
      </c>
      <c r="E477" s="875">
        <v>6044.95</v>
      </c>
      <c r="F477" s="912">
        <v>3699.21</v>
      </c>
      <c r="G477" s="913">
        <v>37</v>
      </c>
      <c r="H477" s="911">
        <v>15769.62000000001</v>
      </c>
      <c r="I477" s="914">
        <f t="shared" si="210"/>
      </c>
      <c r="J477" s="877">
        <f t="shared" si="241"/>
      </c>
      <c r="K477" s="878">
        <f t="shared" si="148"/>
      </c>
      <c r="L477" s="879">
        <f t="shared" si="179"/>
      </c>
      <c r="M477" s="880">
        <f t="shared" si="27"/>
      </c>
      <c r="N477" s="881">
        <f t="shared" si="117"/>
      </c>
      <c r="O477" s="882" t="s">
        <v>904</v>
      </c>
      <c r="P477" s="883" t="s">
        <v>932</v>
      </c>
      <c r="Q477" s="874">
        <v>66271</v>
      </c>
      <c r="R477" s="874">
        <v>11815</v>
      </c>
      <c r="S477" s="884">
        <v>46</v>
      </c>
      <c r="T477" s="884">
        <v>170</v>
      </c>
      <c r="U477" s="864"/>
    </row>
    <row r="478">
      <c r="A478" s="905"/>
      <c r="B478" s="885" t="s">
        <v>910</v>
      </c>
      <c r="C478" s="885"/>
      <c r="D478" s="886">
        <f>SUM(D474:D477)</f>
      </c>
      <c r="E478" s="886">
        <f>SUM(E474:E477)</f>
      </c>
      <c r="F478" s="915">
        <f>SUM(F474:F477)</f>
      </c>
      <c r="G478" s="800">
        <f>SUM(G474:G477)</f>
      </c>
      <c r="H478" s="799">
        <f>SUM(H474:H477)</f>
      </c>
      <c r="I478" s="916">
        <f t="shared" si="210"/>
      </c>
      <c r="J478" s="889">
        <f t="shared" si="241"/>
      </c>
      <c r="K478" s="890">
        <f t="shared" si="148"/>
      </c>
      <c r="L478" s="891">
        <f t="shared" si="179"/>
      </c>
      <c r="M478" s="891">
        <f t="shared" si="27"/>
      </c>
      <c r="N478" s="892">
        <f t="shared" si="117"/>
      </c>
      <c r="O478" s="892"/>
      <c r="P478" s="892"/>
      <c r="Q478" s="893">
        <f>SUM(Q474:Q477)</f>
      </c>
      <c r="R478" s="893">
        <f>SUM(R474:R477)</f>
      </c>
      <c r="S478" s="893">
        <f>SUM(S474:S477)</f>
      </c>
      <c r="T478" s="893">
        <f>SUM(T474:T477)</f>
      </c>
      <c r="U478" s="864"/>
    </row>
    <row r="479">
      <c r="A479" s="905"/>
      <c r="B479" s="894" t="s">
        <v>902</v>
      </c>
      <c r="C479" s="875" t="s">
        <v>907</v>
      </c>
      <c r="D479" s="875">
        <f t="shared" ref="D479:D482" si="77">E479+F479</f>
      </c>
      <c r="E479" s="875">
        <v>5226.55</v>
      </c>
      <c r="F479" s="875">
        <v>3745.79</v>
      </c>
      <c r="G479" s="917">
        <v>36</v>
      </c>
      <c r="H479" s="918">
        <v>25769.15999999999</v>
      </c>
      <c r="I479" s="877">
        <f t="shared" si="210"/>
      </c>
      <c r="J479" s="877">
        <f t="shared" si="241"/>
      </c>
      <c r="K479" s="878">
        <f t="shared" si="148"/>
      </c>
      <c r="L479" s="879">
        <f t="shared" si="179"/>
      </c>
      <c r="M479" s="880">
        <f t="shared" si="27"/>
      </c>
      <c r="N479" s="881">
        <f t="shared" si="117"/>
      </c>
      <c r="O479" s="882" t="s">
        <v>904</v>
      </c>
      <c r="P479" s="883" t="s">
        <v>932</v>
      </c>
      <c r="Q479" s="872">
        <v>69144</v>
      </c>
      <c r="R479" s="872">
        <v>11715</v>
      </c>
      <c r="S479" s="895">
        <v>50</v>
      </c>
      <c r="T479" s="895">
        <v>166</v>
      </c>
      <c r="U479" s="864"/>
    </row>
    <row r="480">
      <c r="A480" s="905"/>
      <c r="B480" s="894" t="s">
        <v>902</v>
      </c>
      <c r="C480" s="875" t="s">
        <v>908</v>
      </c>
      <c r="D480" s="875">
        <f t="shared" si="77"/>
      </c>
      <c r="E480" s="875">
        <v>3171.33</v>
      </c>
      <c r="F480" s="875">
        <v>3397.18</v>
      </c>
      <c r="G480" s="906">
        <v>12</v>
      </c>
      <c r="H480" s="875">
        <v>7159.240000000005</v>
      </c>
      <c r="I480" s="877">
        <f t="shared" si="210"/>
      </c>
      <c r="J480" s="877">
        <f t="shared" si="241"/>
      </c>
      <c r="K480" s="878">
        <f t="shared" si="148"/>
      </c>
      <c r="L480" s="879">
        <f t="shared" si="179"/>
      </c>
      <c r="M480" s="880">
        <f t="shared" si="27"/>
      </c>
      <c r="N480" s="881">
        <f t="shared" si="117"/>
      </c>
      <c r="O480" s="882" t="s">
        <v>904</v>
      </c>
      <c r="P480" s="883" t="s">
        <v>932</v>
      </c>
      <c r="Q480" s="896">
        <v>59591</v>
      </c>
      <c r="R480" s="896">
        <v>8844</v>
      </c>
      <c r="S480" s="897">
        <v>23</v>
      </c>
      <c r="T480" s="897">
        <v>143</v>
      </c>
      <c r="U480" s="864"/>
    </row>
    <row r="481">
      <c r="A481" s="905"/>
      <c r="B481" s="894" t="s">
        <v>902</v>
      </c>
      <c r="C481" s="875" t="s">
        <v>909</v>
      </c>
      <c r="D481" s="875">
        <f t="shared" si="77"/>
      </c>
      <c r="E481" s="875">
        <v>4635.49</v>
      </c>
      <c r="F481" s="875">
        <v>4570.06</v>
      </c>
      <c r="G481" s="876">
        <v>35</v>
      </c>
      <c r="H481" s="875">
        <v>20725.559999999998</v>
      </c>
      <c r="I481" s="877">
        <f t="shared" si="210"/>
      </c>
      <c r="J481" s="877">
        <f t="shared" si="241"/>
      </c>
      <c r="K481" s="878">
        <f t="shared" si="148"/>
      </c>
      <c r="L481" s="879">
        <f t="shared" si="179"/>
      </c>
      <c r="M481" s="880">
        <f t="shared" si="27"/>
      </c>
      <c r="N481" s="881">
        <f t="shared" si="117"/>
      </c>
      <c r="O481" s="882" t="s">
        <v>904</v>
      </c>
      <c r="P481" s="883" t="s">
        <v>932</v>
      </c>
      <c r="Q481" s="896">
        <v>83324</v>
      </c>
      <c r="R481" s="896">
        <v>10300</v>
      </c>
      <c r="S481" s="897">
        <v>42</v>
      </c>
      <c r="T481" s="897">
        <v>169</v>
      </c>
      <c r="U481" s="864"/>
    </row>
    <row r="482">
      <c r="A482" s="905"/>
      <c r="B482" s="894" t="s">
        <v>902</v>
      </c>
      <c r="C482" s="875" t="s">
        <v>912</v>
      </c>
      <c r="D482" s="875">
        <f t="shared" si="77"/>
      </c>
      <c r="E482" s="875">
        <v>3265.13</v>
      </c>
      <c r="F482" s="875">
        <v>5122.71</v>
      </c>
      <c r="G482" s="876">
        <v>20</v>
      </c>
      <c r="H482" s="875">
        <v>12017.800000000003</v>
      </c>
      <c r="I482" s="877">
        <f t="shared" si="210"/>
      </c>
      <c r="J482" s="877">
        <f t="shared" si="241"/>
      </c>
      <c r="K482" s="878">
        <f t="shared" si="148"/>
      </c>
      <c r="L482" s="879">
        <f t="shared" si="179"/>
      </c>
      <c r="M482" s="880">
        <f t="shared" si="27"/>
      </c>
      <c r="N482" s="881">
        <f t="shared" si="117"/>
      </c>
      <c r="O482" s="882" t="s">
        <v>904</v>
      </c>
      <c r="P482" s="883" t="s">
        <v>932</v>
      </c>
      <c r="Q482" s="896">
        <v>91398</v>
      </c>
      <c r="R482" s="896">
        <v>9643</v>
      </c>
      <c r="S482" s="897">
        <v>41</v>
      </c>
      <c r="T482" s="897">
        <v>165</v>
      </c>
      <c r="U482" s="864"/>
    </row>
    <row r="483">
      <c r="A483" s="905"/>
      <c r="B483" s="885" t="s">
        <v>910</v>
      </c>
      <c r="C483" s="885"/>
      <c r="D483" s="886">
        <f>SUM(D479:D482)</f>
      </c>
      <c r="E483" s="886">
        <f>SUM(E479:E482)</f>
      </c>
      <c r="F483" s="886">
        <f>SUM(F479:F482)</f>
      </c>
      <c r="G483" s="887">
        <f>SUM(G479:G482)</f>
      </c>
      <c r="H483" s="886">
        <f>SUM(H479:H482)</f>
      </c>
      <c r="I483" s="888">
        <f t="shared" si="210"/>
      </c>
      <c r="J483" s="889">
        <f t="shared" si="241"/>
      </c>
      <c r="K483" s="890">
        <f t="shared" si="148"/>
      </c>
      <c r="L483" s="891">
        <f t="shared" si="179"/>
      </c>
      <c r="M483" s="891">
        <f t="shared" si="27"/>
      </c>
      <c r="N483" s="892">
        <f t="shared" si="117"/>
      </c>
      <c r="O483" s="892"/>
      <c r="P483" s="892"/>
      <c r="Q483" s="893">
        <f>SUM(Q479:Q482)</f>
      </c>
      <c r="R483" s="893">
        <f>SUM(R479:R482)</f>
      </c>
      <c r="S483" s="893">
        <f>SUM(S479:S482)</f>
      </c>
      <c r="T483" s="893">
        <f>SUM(T479:T482)</f>
      </c>
      <c r="U483" s="864"/>
    </row>
    <row r="484">
      <c r="A484" s="905"/>
      <c r="B484" s="909" t="s">
        <v>955</v>
      </c>
      <c r="C484" s="907" t="s">
        <v>920</v>
      </c>
      <c r="D484" s="875">
        <f t="shared" ref="D484:D486" si="78">E484+F484</f>
      </c>
      <c r="E484" s="907">
        <v>1011.78</v>
      </c>
      <c r="F484" s="907">
        <v>3551.37</v>
      </c>
      <c r="G484" s="876">
        <v>11</v>
      </c>
      <c r="H484" s="875">
        <v>6944.399999999994</v>
      </c>
      <c r="I484" s="877">
        <f t="shared" si="210"/>
      </c>
      <c r="J484" s="877">
        <f t="shared" si="241"/>
      </c>
      <c r="K484" s="878">
        <f t="shared" si="148"/>
      </c>
      <c r="L484" s="879">
        <f t="shared" si="179"/>
      </c>
      <c r="M484" s="880">
        <f t="shared" si="27"/>
      </c>
      <c r="N484" s="881">
        <f t="shared" si="117"/>
      </c>
      <c r="O484" s="882" t="s">
        <v>904</v>
      </c>
      <c r="P484" s="908" t="s">
        <v>916</v>
      </c>
      <c r="Q484" s="896">
        <v>74474</v>
      </c>
      <c r="R484" s="896">
        <v>4854</v>
      </c>
      <c r="S484" s="897">
        <v>12</v>
      </c>
      <c r="T484" s="897">
        <v>79</v>
      </c>
      <c r="U484" s="864"/>
    </row>
    <row customHeight="true" ht="16.666666666666668" r="485">
      <c r="A485" s="905"/>
      <c r="B485" s="909" t="s">
        <v>955</v>
      </c>
      <c r="C485" s="907" t="s">
        <v>921</v>
      </c>
      <c r="D485" s="875">
        <f t="shared" si="78"/>
      </c>
      <c r="E485" s="907">
        <v>1016.64</v>
      </c>
      <c r="F485" s="907">
        <v>4216.73</v>
      </c>
      <c r="G485" s="876">
        <v>8</v>
      </c>
      <c r="H485" s="875">
        <v>1720.320000000007</v>
      </c>
      <c r="I485" s="877">
        <f t="shared" si="210"/>
      </c>
      <c r="J485" s="877">
        <f t="shared" si="241"/>
      </c>
      <c r="K485" s="878">
        <f t="shared" si="148"/>
      </c>
      <c r="L485" s="879">
        <f t="shared" si="179"/>
      </c>
      <c r="M485" s="880">
        <f t="shared" si="27"/>
      </c>
      <c r="N485" s="881">
        <f t="shared" si="117"/>
      </c>
      <c r="O485" s="882" t="s">
        <v>904</v>
      </c>
      <c r="P485" s="908" t="s">
        <v>916</v>
      </c>
      <c r="Q485" s="896">
        <v>125357</v>
      </c>
      <c r="R485" s="896">
        <v>6744</v>
      </c>
      <c r="S485" s="897">
        <v>13</v>
      </c>
      <c r="T485" s="897">
        <v>93</v>
      </c>
      <c r="U485" s="864"/>
    </row>
    <row r="486">
      <c r="A486" s="905"/>
      <c r="B486" s="909" t="s">
        <v>955</v>
      </c>
      <c r="C486" s="907" t="s">
        <v>923</v>
      </c>
      <c r="D486" s="875">
        <f t="shared" si="78"/>
      </c>
      <c r="E486" s="907">
        <v>1018.13</v>
      </c>
      <c r="F486" s="907">
        <v>0.11</v>
      </c>
      <c r="G486" s="876">
        <v>1</v>
      </c>
      <c r="H486" s="907">
        <v>677.7599999999802</v>
      </c>
      <c r="I486" s="877">
        <f t="shared" si="210"/>
      </c>
      <c r="J486" s="877">
        <f t="shared" si="241"/>
      </c>
      <c r="K486" s="878">
        <f t="shared" si="148"/>
      </c>
      <c r="L486" s="879">
        <f t="shared" si="179"/>
      </c>
      <c r="M486" s="880">
        <f t="shared" si="27"/>
      </c>
      <c r="N486" s="881">
        <f t="shared" si="117"/>
      </c>
      <c r="O486" s="882" t="s">
        <v>904</v>
      </c>
      <c r="P486" s="908" t="s">
        <v>916</v>
      </c>
      <c r="Q486" s="896">
        <v>13116</v>
      </c>
      <c r="R486" s="896">
        <v>1751</v>
      </c>
      <c r="S486" s="897">
        <v>3</v>
      </c>
      <c r="T486" s="897">
        <v>21</v>
      </c>
      <c r="U486" s="864"/>
    </row>
    <row r="487">
      <c r="A487" s="905"/>
      <c r="B487" s="885" t="s">
        <v>910</v>
      </c>
      <c r="C487" s="885"/>
      <c r="D487" s="886">
        <f>SUM(D484:D486)</f>
      </c>
      <c r="E487" s="886">
        <f>SUM(E484:E486)</f>
      </c>
      <c r="F487" s="886">
        <f>SUM(F484:F486)</f>
      </c>
      <c r="G487" s="887">
        <f>SUM(G484:G486)</f>
      </c>
      <c r="H487" s="886">
        <f>SUM(H484:H486)</f>
      </c>
      <c r="I487" s="888">
        <f t="shared" si="210"/>
      </c>
      <c r="J487" s="889">
        <f t="shared" si="241"/>
      </c>
      <c r="K487" s="890">
        <f t="shared" si="148"/>
      </c>
      <c r="L487" s="891">
        <f t="shared" si="179"/>
      </c>
      <c r="M487" s="891">
        <f t="shared" si="27"/>
      </c>
      <c r="N487" s="892">
        <f t="shared" si="117"/>
      </c>
      <c r="O487" s="892"/>
      <c r="P487" s="892"/>
      <c r="Q487" s="893">
        <f>SUM(Q484:Q486)</f>
      </c>
      <c r="R487" s="893">
        <f>SUM(R484:R486)</f>
      </c>
      <c r="S487" s="893">
        <f>SUM(S484:S486)</f>
      </c>
      <c r="T487" s="893">
        <f>SUM(T484:T486)</f>
      </c>
      <c r="U487" s="864"/>
    </row>
    <row r="488">
      <c r="A488" s="905"/>
      <c r="B488" s="898" t="s">
        <v>926</v>
      </c>
      <c r="C488" s="898"/>
      <c r="D488" s="899">
        <f>D478+D487+D483</f>
      </c>
      <c r="E488" s="899">
        <f>E478+E487+E483</f>
      </c>
      <c r="F488" s="899">
        <f>F478+F487+F483</f>
      </c>
      <c r="G488" s="900">
        <f>G478+G487+G483</f>
      </c>
      <c r="H488" s="899">
        <f>H478+H487+H483</f>
      </c>
      <c r="I488" s="901">
        <f t="shared" si="210"/>
      </c>
      <c r="J488" s="901">
        <f t="shared" si="241"/>
      </c>
      <c r="K488" s="902">
        <f t="shared" si="148"/>
      </c>
      <c r="L488" s="903">
        <f t="shared" si="179"/>
      </c>
      <c r="M488" s="903">
        <f t="shared" si="27"/>
      </c>
      <c r="N488" s="901">
        <f t="shared" si="117"/>
      </c>
      <c r="O488" s="904"/>
      <c r="P488" s="904"/>
      <c r="Q488" s="919">
        <f>Q478+Q487+Q483</f>
      </c>
      <c r="R488" s="919">
        <f>R478+R487+R483</f>
      </c>
      <c r="S488" s="900">
        <f>S478+S487+S483</f>
      </c>
      <c r="T488" s="900">
        <f>T478+T487+T483</f>
      </c>
      <c r="U488" s="864"/>
    </row>
    <row r="489">
      <c r="A489" s="860" t="s">
        <v>877</v>
      </c>
      <c r="B489" s="860"/>
      <c r="C489" s="860"/>
      <c r="D489" s="861" t="s">
        <v>878</v>
      </c>
      <c r="E489" s="861"/>
      <c r="F489" s="861"/>
      <c r="G489" s="861"/>
      <c r="H489" s="861"/>
      <c r="I489" s="861"/>
      <c r="J489" s="861"/>
      <c r="K489" s="861"/>
      <c r="L489" s="862" t="s">
        <v>879</v>
      </c>
      <c r="M489" s="862"/>
      <c r="N489" s="862"/>
      <c r="O489" s="862"/>
      <c r="P489" s="862"/>
      <c r="Q489" s="863" t="s">
        <v>880</v>
      </c>
      <c r="R489" s="863"/>
      <c r="S489" s="863"/>
      <c r="T489" s="863"/>
      <c r="U489" s="864"/>
    </row>
    <row r="490">
      <c r="A490" s="865" t="s">
        <v>881</v>
      </c>
      <c r="B490" s="865" t="s">
        <v>882</v>
      </c>
      <c r="C490" s="865" t="s">
        <v>883</v>
      </c>
      <c r="D490" s="866" t="s">
        <v>884</v>
      </c>
      <c r="E490" s="866" t="s">
        <v>885</v>
      </c>
      <c r="F490" s="866" t="s">
        <v>886</v>
      </c>
      <c r="G490" s="867" t="s">
        <v>887</v>
      </c>
      <c r="H490" s="866" t="s">
        <v>888</v>
      </c>
      <c r="I490" s="868" t="s">
        <v>889</v>
      </c>
      <c r="J490" s="869" t="s">
        <v>890</v>
      </c>
      <c r="K490" s="870" t="s">
        <v>891</v>
      </c>
      <c r="L490" s="871" t="s">
        <v>892</v>
      </c>
      <c r="M490" s="871" t="s">
        <v>893</v>
      </c>
      <c r="N490" s="871" t="s">
        <v>894</v>
      </c>
      <c r="O490" s="862" t="s">
        <v>895</v>
      </c>
      <c r="P490" s="862" t="s">
        <v>896</v>
      </c>
      <c r="Q490" s="872" t="s">
        <v>897</v>
      </c>
      <c r="R490" s="872" t="s">
        <v>898</v>
      </c>
      <c r="S490" s="872" t="s">
        <v>899</v>
      </c>
      <c r="T490" s="872" t="s">
        <v>900</v>
      </c>
      <c r="U490" s="864"/>
    </row>
    <row r="491">
      <c r="A491" s="905" t="s">
        <v>968</v>
      </c>
      <c r="B491" s="858" t="s">
        <v>922</v>
      </c>
      <c r="C491" s="875" t="s">
        <v>960</v>
      </c>
      <c r="D491" s="875">
        <f t="shared" ref="D491:D494" si="79">E491+F491</f>
      </c>
      <c r="E491" s="875">
        <v>1881.72</v>
      </c>
      <c r="F491" s="875">
        <v>2267.04</v>
      </c>
      <c r="G491" s="906">
        <v>23</v>
      </c>
      <c r="H491" s="875">
        <v>10762.58</v>
      </c>
      <c r="I491" s="877">
        <f t="shared" ref="I491:I505" si="211">H491/D491</f>
      </c>
      <c r="J491" s="877">
        <f t="shared" ref="J491:J505" si="242">D491/G491</f>
      </c>
      <c r="K491" s="878">
        <f t="shared" ref="K491:K505" si="149">H491/G491</f>
      </c>
      <c r="L491" s="879">
        <f t="shared" ref="L491:L505" si="180">R491/Q491</f>
      </c>
      <c r="M491" s="880">
        <f t="shared" ref="M491:M505" si="28">G491/S491</f>
      </c>
      <c r="N491" s="881">
        <f t="shared" ref="N491:N505" si="118">(T491*1000)/D491</f>
      </c>
      <c r="O491" s="882" t="s">
        <v>904</v>
      </c>
      <c r="P491" s="908" t="s">
        <v>969</v>
      </c>
      <c r="Q491" s="874">
        <v>59899</v>
      </c>
      <c r="R491" s="874">
        <v>6371</v>
      </c>
      <c r="S491" s="884">
        <v>35</v>
      </c>
      <c r="T491" s="884">
        <v>159</v>
      </c>
      <c r="U491" s="864"/>
    </row>
    <row r="492">
      <c r="A492" s="905"/>
      <c r="B492" s="858" t="s">
        <v>922</v>
      </c>
      <c r="C492" s="875" t="s">
        <v>954</v>
      </c>
      <c r="D492" s="875">
        <f t="shared" si="79"/>
      </c>
      <c r="E492" s="875">
        <v>4926.55</v>
      </c>
      <c r="F492" s="875">
        <v>3135.4</v>
      </c>
      <c r="G492" s="906">
        <v>23</v>
      </c>
      <c r="H492" s="875">
        <v>10858.72</v>
      </c>
      <c r="I492" s="877">
        <f t="shared" si="211"/>
      </c>
      <c r="J492" s="877">
        <f t="shared" si="242"/>
      </c>
      <c r="K492" s="878">
        <f t="shared" si="149"/>
      </c>
      <c r="L492" s="879">
        <f t="shared" si="180"/>
      </c>
      <c r="M492" s="880">
        <f t="shared" si="28"/>
      </c>
      <c r="N492" s="881">
        <f t="shared" si="118"/>
      </c>
      <c r="O492" s="882" t="s">
        <v>904</v>
      </c>
      <c r="P492" s="908" t="s">
        <v>969</v>
      </c>
      <c r="Q492" s="874">
        <v>127592</v>
      </c>
      <c r="R492" s="874">
        <v>12958</v>
      </c>
      <c r="S492" s="884">
        <v>34</v>
      </c>
      <c r="T492" s="884">
        <v>123</v>
      </c>
      <c r="U492" s="864"/>
    </row>
    <row r="493">
      <c r="A493" s="905"/>
      <c r="B493" s="858" t="s">
        <v>922</v>
      </c>
      <c r="C493" s="875" t="s">
        <v>903</v>
      </c>
      <c r="D493" s="875">
        <f t="shared" si="79"/>
      </c>
      <c r="E493" s="875">
        <v>3960.11</v>
      </c>
      <c r="F493" s="875">
        <v>2575.97</v>
      </c>
      <c r="G493" s="910">
        <v>21</v>
      </c>
      <c r="H493" s="911">
        <v>15054.360000000004</v>
      </c>
      <c r="I493" s="877">
        <f t="shared" si="211"/>
      </c>
      <c r="J493" s="877">
        <f t="shared" si="242"/>
      </c>
      <c r="K493" s="878">
        <f t="shared" si="149"/>
      </c>
      <c r="L493" s="879">
        <f t="shared" si="180"/>
      </c>
      <c r="M493" s="880">
        <f t="shared" si="28"/>
      </c>
      <c r="N493" s="881">
        <f t="shared" si="118"/>
      </c>
      <c r="O493" s="882" t="s">
        <v>904</v>
      </c>
      <c r="P493" s="908" t="s">
        <v>969</v>
      </c>
      <c r="Q493" s="874">
        <v>100668</v>
      </c>
      <c r="R493" s="874">
        <v>8131</v>
      </c>
      <c r="S493" s="884">
        <v>25</v>
      </c>
      <c r="T493" s="884">
        <v>99</v>
      </c>
      <c r="U493" s="864"/>
    </row>
    <row r="494">
      <c r="A494" s="905"/>
      <c r="B494" s="858" t="s">
        <v>922</v>
      </c>
      <c r="C494" s="875" t="s">
        <v>906</v>
      </c>
      <c r="D494" s="875">
        <f t="shared" si="79"/>
      </c>
      <c r="E494" s="875">
        <v>4215.17</v>
      </c>
      <c r="F494" s="912">
        <v>2335.2</v>
      </c>
      <c r="G494" s="913">
        <v>20</v>
      </c>
      <c r="H494" s="911">
        <v>11154.239999999998</v>
      </c>
      <c r="I494" s="914">
        <f t="shared" si="211"/>
      </c>
      <c r="J494" s="877">
        <f t="shared" si="242"/>
      </c>
      <c r="K494" s="878">
        <f t="shared" si="149"/>
      </c>
      <c r="L494" s="879">
        <f t="shared" si="180"/>
      </c>
      <c r="M494" s="880">
        <f t="shared" si="28"/>
      </c>
      <c r="N494" s="881">
        <f t="shared" si="118"/>
      </c>
      <c r="O494" s="882" t="s">
        <v>904</v>
      </c>
      <c r="P494" s="908" t="s">
        <v>969</v>
      </c>
      <c r="Q494" s="874">
        <v>64755</v>
      </c>
      <c r="R494" s="874">
        <v>6725</v>
      </c>
      <c r="S494" s="884">
        <v>27</v>
      </c>
      <c r="T494" s="884">
        <v>104</v>
      </c>
      <c r="U494" s="864"/>
    </row>
    <row r="495">
      <c r="A495" s="905"/>
      <c r="B495" s="885" t="s">
        <v>910</v>
      </c>
      <c r="C495" s="885"/>
      <c r="D495" s="886">
        <f>SUM(D491:D494)</f>
      </c>
      <c r="E495" s="886">
        <f>SUM(E491:E494)</f>
      </c>
      <c r="F495" s="915">
        <f>SUM(F491:F494)</f>
      </c>
      <c r="G495" s="800">
        <f>SUM(G491:G494)</f>
      </c>
      <c r="H495" s="799">
        <f>SUM(H491:H494)</f>
      </c>
      <c r="I495" s="916">
        <f t="shared" si="211"/>
      </c>
      <c r="J495" s="889">
        <f t="shared" si="242"/>
      </c>
      <c r="K495" s="890">
        <f t="shared" si="149"/>
      </c>
      <c r="L495" s="891">
        <f t="shared" si="180"/>
      </c>
      <c r="M495" s="891">
        <f t="shared" si="28"/>
      </c>
      <c r="N495" s="892">
        <f t="shared" si="118"/>
      </c>
      <c r="O495" s="892"/>
      <c r="P495" s="892"/>
      <c r="Q495" s="893">
        <f>SUM(Q491:Q494)</f>
      </c>
      <c r="R495" s="893">
        <f>SUM(R491:R494)</f>
      </c>
      <c r="S495" s="893">
        <f>SUM(S491:S494)</f>
      </c>
      <c r="T495" s="893">
        <f>SUM(T491:T494)</f>
      </c>
      <c r="U495" s="864"/>
    </row>
    <row r="496">
      <c r="A496" s="905"/>
      <c r="B496" s="894" t="s">
        <v>902</v>
      </c>
      <c r="C496" s="875" t="s">
        <v>907</v>
      </c>
      <c r="D496" s="875">
        <f t="shared" ref="D496:D499" si="80">E496+F496</f>
      </c>
      <c r="E496" s="875">
        <v>2889.49</v>
      </c>
      <c r="F496" s="875">
        <v>1376.37</v>
      </c>
      <c r="G496" s="917">
        <v>10</v>
      </c>
      <c r="H496" s="918">
        <v>3883.519999999997</v>
      </c>
      <c r="I496" s="877">
        <f t="shared" si="211"/>
      </c>
      <c r="J496" s="877">
        <f t="shared" si="242"/>
      </c>
      <c r="K496" s="878">
        <f t="shared" si="149"/>
      </c>
      <c r="L496" s="879">
        <f t="shared" si="180"/>
      </c>
      <c r="M496" s="880">
        <f t="shared" si="28"/>
      </c>
      <c r="N496" s="881">
        <f t="shared" si="118"/>
      </c>
      <c r="O496" s="882" t="s">
        <v>904</v>
      </c>
      <c r="P496" s="883" t="s">
        <v>969</v>
      </c>
      <c r="Q496" s="872">
        <v>33688</v>
      </c>
      <c r="R496" s="872">
        <v>4500</v>
      </c>
      <c r="S496" s="895">
        <v>15</v>
      </c>
      <c r="T496" s="895">
        <v>30</v>
      </c>
      <c r="U496" s="864"/>
    </row>
    <row r="497">
      <c r="A497" s="905"/>
      <c r="B497" s="894" t="s">
        <v>902</v>
      </c>
      <c r="C497" s="875" t="s">
        <v>908</v>
      </c>
      <c r="D497" s="875">
        <f t="shared" si="80"/>
      </c>
      <c r="E497" s="875">
        <v>2341.66</v>
      </c>
      <c r="F497" s="875">
        <v>958.56</v>
      </c>
      <c r="G497" s="906">
        <v>10</v>
      </c>
      <c r="H497" s="875">
        <v>4971.720000000001</v>
      </c>
      <c r="I497" s="877">
        <f t="shared" si="211"/>
      </c>
      <c r="J497" s="877">
        <f t="shared" si="242"/>
      </c>
      <c r="K497" s="878">
        <f t="shared" si="149"/>
      </c>
      <c r="L497" s="879">
        <f t="shared" si="180"/>
      </c>
      <c r="M497" s="880">
        <f t="shared" si="28"/>
      </c>
      <c r="N497" s="881">
        <f t="shared" si="118"/>
      </c>
      <c r="O497" s="882" t="s">
        <v>904</v>
      </c>
      <c r="P497" s="883" t="s">
        <v>969</v>
      </c>
      <c r="Q497" s="896">
        <v>27791</v>
      </c>
      <c r="R497" s="896">
        <v>3335</v>
      </c>
      <c r="S497" s="897">
        <v>16</v>
      </c>
      <c r="T497" s="897">
        <v>69</v>
      </c>
      <c r="U497" s="864"/>
    </row>
    <row r="498">
      <c r="A498" s="905"/>
      <c r="B498" s="894" t="s">
        <v>902</v>
      </c>
      <c r="C498" s="875" t="s">
        <v>909</v>
      </c>
      <c r="D498" s="875">
        <f t="shared" si="80"/>
      </c>
      <c r="E498" s="875">
        <v>2403.65</v>
      </c>
      <c r="F498" s="875">
        <v>1661.97</v>
      </c>
      <c r="G498" s="876">
        <v>17</v>
      </c>
      <c r="H498" s="875">
        <v>9090.960000000006</v>
      </c>
      <c r="I498" s="877">
        <f t="shared" si="211"/>
      </c>
      <c r="J498" s="877">
        <f t="shared" si="242"/>
      </c>
      <c r="K498" s="878">
        <f t="shared" si="149"/>
      </c>
      <c r="L498" s="879">
        <f t="shared" si="180"/>
      </c>
      <c r="M498" s="880">
        <f t="shared" si="28"/>
      </c>
      <c r="N498" s="881">
        <f t="shared" si="118"/>
      </c>
      <c r="O498" s="882" t="s">
        <v>904</v>
      </c>
      <c r="P498" s="883" t="s">
        <v>969</v>
      </c>
      <c r="Q498" s="896">
        <v>56736</v>
      </c>
      <c r="R498" s="896">
        <v>3746</v>
      </c>
      <c r="S498" s="897">
        <v>30</v>
      </c>
      <c r="T498" s="897">
        <v>75</v>
      </c>
      <c r="U498" s="864"/>
    </row>
    <row r="499">
      <c r="A499" s="905"/>
      <c r="B499" s="894" t="s">
        <v>902</v>
      </c>
      <c r="C499" s="875" t="s">
        <v>912</v>
      </c>
      <c r="D499" s="875">
        <f t="shared" si="80"/>
      </c>
      <c r="E499" s="875">
        <v>2032.67</v>
      </c>
      <c r="F499" s="875">
        <v>1151.6</v>
      </c>
      <c r="G499" s="876">
        <v>8</v>
      </c>
      <c r="H499" s="875">
        <v>1661.3399999999965</v>
      </c>
      <c r="I499" s="877">
        <f t="shared" si="211"/>
      </c>
      <c r="J499" s="877">
        <f t="shared" si="242"/>
      </c>
      <c r="K499" s="878">
        <f t="shared" si="149"/>
      </c>
      <c r="L499" s="879">
        <f t="shared" si="180"/>
      </c>
      <c r="M499" s="880">
        <f t="shared" si="28"/>
      </c>
      <c r="N499" s="881">
        <f t="shared" si="118"/>
      </c>
      <c r="O499" s="882" t="s">
        <v>904</v>
      </c>
      <c r="P499" s="883" t="s">
        <v>969</v>
      </c>
      <c r="Q499" s="896">
        <v>38922</v>
      </c>
      <c r="R499" s="896">
        <v>3145</v>
      </c>
      <c r="S499" s="897">
        <v>14</v>
      </c>
      <c r="T499" s="897">
        <v>62</v>
      </c>
      <c r="U499" s="864"/>
    </row>
    <row r="500">
      <c r="A500" s="905"/>
      <c r="B500" s="885" t="s">
        <v>910</v>
      </c>
      <c r="C500" s="885"/>
      <c r="D500" s="886">
        <f>SUM(D496:D499)</f>
      </c>
      <c r="E500" s="886">
        <f>SUM(E496:E499)</f>
      </c>
      <c r="F500" s="886">
        <f>SUM(F496:F499)</f>
      </c>
      <c r="G500" s="887">
        <f>SUM(G496:G499)</f>
      </c>
      <c r="H500" s="886">
        <f>SUM(H496:H499)</f>
      </c>
      <c r="I500" s="888">
        <f t="shared" si="211"/>
      </c>
      <c r="J500" s="889">
        <f t="shared" si="242"/>
      </c>
      <c r="K500" s="890">
        <f t="shared" si="149"/>
      </c>
      <c r="L500" s="891">
        <f t="shared" si="180"/>
      </c>
      <c r="M500" s="891">
        <f t="shared" si="28"/>
      </c>
      <c r="N500" s="892">
        <f t="shared" si="118"/>
      </c>
      <c r="O500" s="892"/>
      <c r="P500" s="892"/>
      <c r="Q500" s="893">
        <f>SUM(Q496:Q499)</f>
      </c>
      <c r="R500" s="893">
        <f>SUM(R496:R499)</f>
      </c>
      <c r="S500" s="893">
        <f>SUM(S496:S499)</f>
      </c>
      <c r="T500" s="893">
        <f>SUM(T496:T499)</f>
      </c>
      <c r="U500" s="864"/>
    </row>
    <row r="501">
      <c r="A501" s="905"/>
      <c r="B501" s="909" t="s">
        <v>955</v>
      </c>
      <c r="C501" s="907" t="s">
        <v>920</v>
      </c>
      <c r="D501" s="875">
        <f t="shared" ref="D501:D503" si="81">E501+F501</f>
      </c>
      <c r="E501" s="907">
        <v>2264.81</v>
      </c>
      <c r="F501" s="907">
        <v>1325.72</v>
      </c>
      <c r="G501" s="876">
        <v>5</v>
      </c>
      <c r="H501" s="875">
        <v>2404.5800000000017</v>
      </c>
      <c r="I501" s="877">
        <f t="shared" si="211"/>
      </c>
      <c r="J501" s="877">
        <f t="shared" si="242"/>
      </c>
      <c r="K501" s="878">
        <f t="shared" si="149"/>
      </c>
      <c r="L501" s="879">
        <f t="shared" si="180"/>
      </c>
      <c r="M501" s="880">
        <f t="shared" si="28"/>
      </c>
      <c r="N501" s="881">
        <f t="shared" si="118"/>
      </c>
      <c r="O501" s="882" t="s">
        <v>904</v>
      </c>
      <c r="P501" s="908" t="s">
        <v>916</v>
      </c>
      <c r="Q501" s="896">
        <v>39672</v>
      </c>
      <c r="R501" s="896">
        <v>3498</v>
      </c>
      <c r="S501" s="897">
        <v>7</v>
      </c>
      <c r="T501" s="897">
        <v>59</v>
      </c>
      <c r="U501" s="864"/>
    </row>
    <row r="502">
      <c r="A502" s="905"/>
      <c r="B502" s="909" t="s">
        <v>955</v>
      </c>
      <c r="C502" s="907" t="s">
        <v>921</v>
      </c>
      <c r="D502" s="875">
        <f t="shared" si="81"/>
      </c>
      <c r="E502" s="907">
        <v>2324.23</v>
      </c>
      <c r="F502" s="907">
        <v>1680.68</v>
      </c>
      <c r="G502" s="876">
        <v>6</v>
      </c>
      <c r="H502" s="875">
        <v>2176.3600000000006</v>
      </c>
      <c r="I502" s="877">
        <f t="shared" si="211"/>
      </c>
      <c r="J502" s="877">
        <f t="shared" si="242"/>
      </c>
      <c r="K502" s="878">
        <f t="shared" si="149"/>
      </c>
      <c r="L502" s="879">
        <f t="shared" si="180"/>
      </c>
      <c r="M502" s="880">
        <f t="shared" si="28"/>
      </c>
      <c r="N502" s="881">
        <f t="shared" si="118"/>
      </c>
      <c r="O502" s="882" t="s">
        <v>904</v>
      </c>
      <c r="P502" s="908" t="s">
        <v>916</v>
      </c>
      <c r="Q502" s="896">
        <v>38921</v>
      </c>
      <c r="R502" s="896">
        <v>4249</v>
      </c>
      <c r="S502" s="897">
        <v>10</v>
      </c>
      <c r="T502" s="897">
        <v>82</v>
      </c>
      <c r="U502" s="864"/>
    </row>
    <row r="503">
      <c r="A503" s="905"/>
      <c r="B503" s="909" t="s">
        <v>955</v>
      </c>
      <c r="C503" s="907" t="s">
        <v>923</v>
      </c>
      <c r="D503" s="875">
        <f t="shared" si="81"/>
      </c>
      <c r="E503" s="907">
        <v>1110.76</v>
      </c>
      <c r="F503" s="907">
        <v>1214.11</v>
      </c>
      <c r="G503" s="876">
        <v>6</v>
      </c>
      <c r="H503" s="907">
        <v>2619.6199999999953</v>
      </c>
      <c r="I503" s="877">
        <f t="shared" si="211"/>
      </c>
      <c r="J503" s="877">
        <f t="shared" si="242"/>
      </c>
      <c r="K503" s="878">
        <f t="shared" si="149"/>
      </c>
      <c r="L503" s="879">
        <f t="shared" si="180"/>
      </c>
      <c r="M503" s="880">
        <f t="shared" si="28"/>
      </c>
      <c r="N503" s="881">
        <f t="shared" si="118"/>
      </c>
      <c r="O503" s="882" t="s">
        <v>904</v>
      </c>
      <c r="P503" s="908" t="s">
        <v>916</v>
      </c>
      <c r="Q503" s="896">
        <v>30448</v>
      </c>
      <c r="R503" s="896">
        <v>2320</v>
      </c>
      <c r="S503" s="897">
        <v>11</v>
      </c>
      <c r="T503" s="897">
        <v>36</v>
      </c>
      <c r="U503" s="864"/>
    </row>
    <row r="504">
      <c r="A504" s="905"/>
      <c r="B504" s="885" t="s">
        <v>910</v>
      </c>
      <c r="C504" s="885"/>
      <c r="D504" s="886">
        <f>SUM(D501:D503)</f>
      </c>
      <c r="E504" s="886">
        <f>SUM(E501:E503)</f>
      </c>
      <c r="F504" s="886">
        <f>SUM(F501:F503)</f>
      </c>
      <c r="G504" s="887">
        <f>SUM(G501:G503)</f>
      </c>
      <c r="H504" s="886">
        <f>SUM(H501:H503)</f>
      </c>
      <c r="I504" s="888">
        <f t="shared" si="211"/>
      </c>
      <c r="J504" s="889">
        <f t="shared" si="242"/>
      </c>
      <c r="K504" s="890">
        <f t="shared" si="149"/>
      </c>
      <c r="L504" s="891">
        <f t="shared" si="180"/>
      </c>
      <c r="M504" s="891">
        <f t="shared" si="28"/>
      </c>
      <c r="N504" s="892">
        <f t="shared" si="118"/>
      </c>
      <c r="O504" s="892"/>
      <c r="P504" s="892"/>
      <c r="Q504" s="893">
        <f>SUM(Q501:Q503)</f>
      </c>
      <c r="R504" s="893">
        <f>SUM(R501:R503)</f>
      </c>
      <c r="S504" s="893">
        <f>SUM(S501:S503)</f>
      </c>
      <c r="T504" s="893">
        <f>SUM(T501:T503)</f>
      </c>
      <c r="U504" s="864"/>
    </row>
    <row r="505">
      <c r="A505" s="905"/>
      <c r="B505" s="898" t="s">
        <v>926</v>
      </c>
      <c r="C505" s="898"/>
      <c r="D505" s="899">
        <f>D495+D504+D500</f>
      </c>
      <c r="E505" s="899">
        <f>E495+E504+E500</f>
      </c>
      <c r="F505" s="899">
        <f>F495+F504+F500</f>
      </c>
      <c r="G505" s="900">
        <f>G495+G504+G500</f>
      </c>
      <c r="H505" s="899">
        <f>H495+H504+H500</f>
      </c>
      <c r="I505" s="901">
        <f t="shared" si="211"/>
      </c>
      <c r="J505" s="901">
        <f t="shared" si="242"/>
      </c>
      <c r="K505" s="902">
        <f t="shared" si="149"/>
      </c>
      <c r="L505" s="903">
        <f t="shared" si="180"/>
      </c>
      <c r="M505" s="903">
        <f t="shared" si="28"/>
      </c>
      <c r="N505" s="901">
        <f t="shared" si="118"/>
      </c>
      <c r="O505" s="904"/>
      <c r="P505" s="904"/>
      <c r="Q505" s="919">
        <f>Q495+Q504+Q500</f>
      </c>
      <c r="R505" s="919">
        <f>R495+R504+R500</f>
      </c>
      <c r="S505" s="900">
        <f>S495+S504+S500</f>
      </c>
      <c r="T505" s="900">
        <f>T495+T504+T500</f>
      </c>
      <c r="U505" s="864"/>
    </row>
    <row r="506">
      <c r="A506" s="860" t="s">
        <v>877</v>
      </c>
      <c r="B506" s="860"/>
      <c r="C506" s="860"/>
      <c r="D506" s="861" t="s">
        <v>878</v>
      </c>
      <c r="E506" s="861"/>
      <c r="F506" s="861"/>
      <c r="G506" s="861"/>
      <c r="H506" s="861"/>
      <c r="I506" s="861"/>
      <c r="J506" s="861"/>
      <c r="K506" s="861"/>
      <c r="L506" s="862" t="s">
        <v>879</v>
      </c>
      <c r="M506" s="862"/>
      <c r="N506" s="862"/>
      <c r="O506" s="862"/>
      <c r="P506" s="862"/>
      <c r="Q506" s="863" t="s">
        <v>880</v>
      </c>
      <c r="R506" s="863"/>
      <c r="S506" s="863"/>
      <c r="T506" s="863"/>
      <c r="U506" s="864"/>
    </row>
    <row r="507">
      <c r="A507" s="920" t="s">
        <v>881</v>
      </c>
      <c r="B507" s="865" t="s">
        <v>882</v>
      </c>
      <c r="C507" s="865" t="s">
        <v>883</v>
      </c>
      <c r="D507" s="866" t="s">
        <v>884</v>
      </c>
      <c r="E507" s="866" t="s">
        <v>885</v>
      </c>
      <c r="F507" s="866" t="s">
        <v>886</v>
      </c>
      <c r="G507" s="867" t="s">
        <v>887</v>
      </c>
      <c r="H507" s="866" t="s">
        <v>888</v>
      </c>
      <c r="I507" s="868" t="s">
        <v>889</v>
      </c>
      <c r="J507" s="869" t="s">
        <v>890</v>
      </c>
      <c r="K507" s="870" t="s">
        <v>891</v>
      </c>
      <c r="L507" s="871" t="s">
        <v>892</v>
      </c>
      <c r="M507" s="871" t="s">
        <v>893</v>
      </c>
      <c r="N507" s="871" t="s">
        <v>894</v>
      </c>
      <c r="O507" s="862" t="s">
        <v>895</v>
      </c>
      <c r="P507" s="862" t="s">
        <v>896</v>
      </c>
      <c r="Q507" s="872" t="s">
        <v>897</v>
      </c>
      <c r="R507" s="872" t="s">
        <v>898</v>
      </c>
      <c r="S507" s="872" t="s">
        <v>899</v>
      </c>
      <c r="T507" s="872" t="s">
        <v>900</v>
      </c>
      <c r="U507" s="864"/>
    </row>
    <row r="508">
      <c r="A508" s="921" t="s">
        <v>970</v>
      </c>
      <c r="B508" s="922" t="s">
        <v>922</v>
      </c>
      <c r="C508" s="875" t="s">
        <v>960</v>
      </c>
      <c r="D508" s="875">
        <f t="shared" ref="D508:D510" si="82">E508+F508</f>
      </c>
      <c r="E508" s="875">
        <v>1363.64</v>
      </c>
      <c r="F508" s="875">
        <v>891.66</v>
      </c>
      <c r="G508" s="906">
        <v>7</v>
      </c>
      <c r="H508" s="875">
        <v>6441.73</v>
      </c>
      <c r="I508" s="877">
        <f t="shared" ref="I508:I527" si="212">H508/D508</f>
      </c>
      <c r="J508" s="877">
        <f t="shared" ref="J508:J527" si="243">D508/G508</f>
      </c>
      <c r="K508" s="878">
        <f t="shared" ref="K508:K527" si="150">H508/G508</f>
      </c>
      <c r="L508" s="879">
        <f t="shared" ref="L508:L527" si="181">R508/Q508</f>
      </c>
      <c r="M508" s="880">
        <f t="shared" ref="M508:M527" si="29">G508/S508</f>
      </c>
      <c r="N508" s="881">
        <f t="shared" ref="N508:N527" si="119">(T508*1000)/D508</f>
      </c>
      <c r="O508" s="882" t="s">
        <v>904</v>
      </c>
      <c r="P508" s="908" t="s">
        <v>969</v>
      </c>
      <c r="Q508" s="874">
        <v>21868</v>
      </c>
      <c r="R508" s="874">
        <v>3040</v>
      </c>
      <c r="S508" s="884">
        <v>11</v>
      </c>
      <c r="T508" s="884">
        <v>43</v>
      </c>
      <c r="U508" s="864"/>
    </row>
    <row r="509">
      <c r="A509" s="921"/>
      <c r="B509" s="922" t="s">
        <v>922</v>
      </c>
      <c r="C509" s="875" t="s">
        <v>954</v>
      </c>
      <c r="D509" s="875">
        <f t="shared" si="82"/>
      </c>
      <c r="E509" s="875">
        <v>2692.75</v>
      </c>
      <c r="F509" s="875">
        <v>4693.85</v>
      </c>
      <c r="G509" s="906">
        <v>37</v>
      </c>
      <c r="H509" s="875">
        <v>21148.08</v>
      </c>
      <c r="I509" s="877">
        <f t="shared" si="212"/>
      </c>
      <c r="J509" s="877">
        <f t="shared" si="243"/>
      </c>
      <c r="K509" s="878">
        <f t="shared" si="150"/>
      </c>
      <c r="L509" s="879">
        <f t="shared" si="181"/>
      </c>
      <c r="M509" s="880">
        <f t="shared" si="29"/>
      </c>
      <c r="N509" s="881">
        <f t="shared" si="119"/>
      </c>
      <c r="O509" s="882" t="s">
        <v>904</v>
      </c>
      <c r="P509" s="908" t="s">
        <v>969</v>
      </c>
      <c r="Q509" s="874">
        <v>73782</v>
      </c>
      <c r="R509" s="874">
        <v>12039</v>
      </c>
      <c r="S509" s="884">
        <v>50</v>
      </c>
      <c r="T509" s="884">
        <v>148</v>
      </c>
      <c r="U509" s="864"/>
    </row>
    <row r="510">
      <c r="A510" s="921"/>
      <c r="B510" s="922" t="s">
        <v>922</v>
      </c>
      <c r="C510" s="875" t="s">
        <v>903</v>
      </c>
      <c r="D510" s="875">
        <f t="shared" si="82"/>
      </c>
      <c r="E510" s="875">
        <v>1596.61</v>
      </c>
      <c r="F510" s="875">
        <v>3942.95</v>
      </c>
      <c r="G510" s="913">
        <v>11</v>
      </c>
      <c r="H510" s="911">
        <v>4177.199999999997</v>
      </c>
      <c r="I510" s="877">
        <f t="shared" si="212"/>
      </c>
      <c r="J510" s="877">
        <f t="shared" si="243"/>
      </c>
      <c r="K510" s="878">
        <f t="shared" si="150"/>
      </c>
      <c r="L510" s="879">
        <f t="shared" si="181"/>
      </c>
      <c r="M510" s="880">
        <f t="shared" si="29"/>
      </c>
      <c r="N510" s="881">
        <f t="shared" si="119"/>
      </c>
      <c r="O510" s="882" t="s">
        <v>904</v>
      </c>
      <c r="P510" s="908" t="s">
        <v>969</v>
      </c>
      <c r="Q510" s="874">
        <v>60164</v>
      </c>
      <c r="R510" s="874">
        <v>9091</v>
      </c>
      <c r="S510" s="884">
        <v>14</v>
      </c>
      <c r="T510" s="884">
        <v>69</v>
      </c>
      <c r="U510" s="864"/>
    </row>
    <row r="511">
      <c r="A511" s="921"/>
      <c r="B511" s="923" t="s">
        <v>910</v>
      </c>
      <c r="C511" s="885"/>
      <c r="D511" s="886">
        <f>SUM(D508:D510)</f>
      </c>
      <c r="E511" s="886">
        <f>SUM(E508:E510)</f>
      </c>
      <c r="F511" s="915">
        <f>SUM(F508:F510)</f>
      </c>
      <c r="G511" s="800">
        <f>SUM(G508:G510)</f>
      </c>
      <c r="H511" s="799">
        <f>SUM(H508:H510)</f>
      </c>
      <c r="I511" s="916">
        <f t="shared" si="212"/>
      </c>
      <c r="J511" s="889">
        <f t="shared" si="243"/>
      </c>
      <c r="K511" s="890">
        <f t="shared" si="150"/>
      </c>
      <c r="L511" s="891">
        <f t="shared" si="181"/>
      </c>
      <c r="M511" s="891">
        <f t="shared" si="29"/>
      </c>
      <c r="N511" s="892">
        <f t="shared" si="119"/>
      </c>
      <c r="O511" s="892"/>
      <c r="P511" s="892"/>
      <c r="Q511" s="893">
        <f>SUM(Q508:Q510)</f>
      </c>
      <c r="R511" s="893">
        <f>SUM(R508:R510)</f>
      </c>
      <c r="S511" s="893">
        <f>SUM(S508:S510)</f>
      </c>
      <c r="T511" s="893">
        <f>SUM(T508:T510)</f>
      </c>
      <c r="U511" s="864"/>
    </row>
    <row r="512">
      <c r="A512" s="921"/>
      <c r="B512" s="924" t="s">
        <v>902</v>
      </c>
      <c r="C512" s="875" t="s">
        <v>906</v>
      </c>
      <c r="D512" s="875">
        <f t="shared" ref="D512:D516" si="83">E512+F512</f>
      </c>
      <c r="E512" s="875">
        <v>808.54</v>
      </c>
      <c r="F512" s="875">
        <v>5633.63</v>
      </c>
      <c r="G512" s="906">
        <v>20</v>
      </c>
      <c r="H512" s="918">
        <v>11085.119999999999</v>
      </c>
      <c r="I512" s="877">
        <f t="shared" si="212"/>
      </c>
      <c r="J512" s="877">
        <f t="shared" si="243"/>
      </c>
      <c r="K512" s="878">
        <f t="shared" si="150"/>
      </c>
      <c r="L512" s="879">
        <f t="shared" si="181"/>
      </c>
      <c r="M512" s="880">
        <f t="shared" si="29"/>
      </c>
      <c r="N512" s="881">
        <f t="shared" si="119"/>
      </c>
      <c r="O512" s="882" t="s">
        <v>904</v>
      </c>
      <c r="P512" s="883" t="s">
        <v>969</v>
      </c>
      <c r="Q512" s="872">
        <v>57461</v>
      </c>
      <c r="R512" s="872">
        <v>11642</v>
      </c>
      <c r="S512" s="895">
        <v>29</v>
      </c>
      <c r="T512" s="895">
        <v>125</v>
      </c>
      <c r="U512" s="864"/>
    </row>
    <row r="513">
      <c r="A513" s="921"/>
      <c r="B513" s="924" t="s">
        <v>902</v>
      </c>
      <c r="C513" s="875" t="s">
        <v>907</v>
      </c>
      <c r="D513" s="875">
        <f t="shared" si="83"/>
      </c>
      <c r="E513" s="875">
        <v>752.55</v>
      </c>
      <c r="F513" s="875">
        <v>2936.47</v>
      </c>
      <c r="G513" s="906">
        <v>17</v>
      </c>
      <c r="H513" s="875">
        <v>9012.630000000005</v>
      </c>
      <c r="I513" s="877">
        <f t="shared" si="212"/>
      </c>
      <c r="J513" s="877">
        <f t="shared" si="243"/>
      </c>
      <c r="K513" s="878">
        <f t="shared" si="150"/>
      </c>
      <c r="L513" s="879">
        <f t="shared" si="181"/>
      </c>
      <c r="M513" s="880">
        <f t="shared" si="29"/>
      </c>
      <c r="N513" s="881">
        <f t="shared" si="119"/>
      </c>
      <c r="O513" s="882" t="s">
        <v>904</v>
      </c>
      <c r="P513" s="883" t="s">
        <v>969</v>
      </c>
      <c r="Q513" s="896">
        <v>32548</v>
      </c>
      <c r="R513" s="896">
        <v>6347</v>
      </c>
      <c r="S513" s="897">
        <v>20</v>
      </c>
      <c r="T513" s="897">
        <v>76</v>
      </c>
      <c r="U513" s="864"/>
    </row>
    <row r="514">
      <c r="A514" s="921"/>
      <c r="B514" s="924" t="s">
        <v>902</v>
      </c>
      <c r="C514" s="875" t="s">
        <v>908</v>
      </c>
      <c r="D514" s="875">
        <f t="shared" si="83"/>
      </c>
      <c r="E514" s="875">
        <v>1169.73</v>
      </c>
      <c r="F514" s="875">
        <v>2557.66</v>
      </c>
      <c r="G514" s="913">
        <v>10</v>
      </c>
      <c r="H514" s="875">
        <v>6236.639999999992</v>
      </c>
      <c r="I514" s="877">
        <f t="shared" si="212"/>
      </c>
      <c r="J514" s="877">
        <f t="shared" si="243"/>
      </c>
      <c r="K514" s="878">
        <f t="shared" si="150"/>
      </c>
      <c r="L514" s="879">
        <f t="shared" si="181"/>
      </c>
      <c r="M514" s="880">
        <f t="shared" si="29"/>
      </c>
      <c r="N514" s="881">
        <f t="shared" si="119"/>
      </c>
      <c r="O514" s="882" t="s">
        <v>904</v>
      </c>
      <c r="P514" s="883" t="s">
        <v>969</v>
      </c>
      <c r="Q514" s="896">
        <v>43105</v>
      </c>
      <c r="R514" s="896">
        <v>5243</v>
      </c>
      <c r="S514" s="897">
        <v>13</v>
      </c>
      <c r="T514" s="897">
        <v>91</v>
      </c>
      <c r="U514" s="864"/>
    </row>
    <row customHeight="true" ht="16.666666666666668" r="515">
      <c r="A515" s="921"/>
      <c r="B515" s="924" t="s">
        <v>902</v>
      </c>
      <c r="C515" s="875" t="s">
        <v>909</v>
      </c>
      <c r="D515" s="875">
        <f t="shared" si="83"/>
      </c>
      <c r="E515" s="875">
        <v>1444.5</v>
      </c>
      <c r="F515" s="912">
        <v>1437.89</v>
      </c>
      <c r="G515" s="913">
        <v>6</v>
      </c>
      <c r="H515" s="875">
        <v>4042.4400000000023</v>
      </c>
      <c r="I515" s="877">
        <f t="shared" si="212"/>
      </c>
      <c r="J515" s="877">
        <f t="shared" si="243"/>
      </c>
      <c r="K515" s="878">
        <f t="shared" si="150"/>
      </c>
      <c r="L515" s="879">
        <f t="shared" si="181"/>
      </c>
      <c r="M515" s="880">
        <f t="shared" si="29"/>
      </c>
      <c r="N515" s="881">
        <f t="shared" si="119"/>
      </c>
      <c r="O515" s="882" t="s">
        <v>904</v>
      </c>
      <c r="P515" s="883" t="s">
        <v>969</v>
      </c>
      <c r="Q515" s="896">
        <v>34508</v>
      </c>
      <c r="R515" s="896">
        <v>4183</v>
      </c>
      <c r="S515" s="897">
        <v>9</v>
      </c>
      <c r="T515" s="897">
        <v>44</v>
      </c>
      <c r="U515" s="864"/>
    </row>
    <row r="516">
      <c r="A516" s="921"/>
      <c r="B516" s="924" t="s">
        <v>902</v>
      </c>
      <c r="C516" s="875" t="s">
        <v>912</v>
      </c>
      <c r="D516" s="875">
        <f t="shared" si="83"/>
      </c>
      <c r="E516" s="875">
        <v>625.15</v>
      </c>
      <c r="F516" s="912">
        <v>1528.6</v>
      </c>
      <c r="G516" s="913">
        <v>8</v>
      </c>
      <c r="H516" s="875">
        <v>2645.760000000002</v>
      </c>
      <c r="I516" s="877">
        <f t="shared" si="212"/>
      </c>
      <c r="J516" s="877">
        <f t="shared" si="243"/>
      </c>
      <c r="K516" s="878">
        <f t="shared" si="150"/>
      </c>
      <c r="L516" s="879">
        <f t="shared" si="181"/>
      </c>
      <c r="M516" s="880">
        <f t="shared" si="29"/>
      </c>
      <c r="N516" s="881">
        <f t="shared" si="119"/>
      </c>
      <c r="O516" s="882" t="s">
        <v>904</v>
      </c>
      <c r="P516" s="883" t="s">
        <v>969</v>
      </c>
      <c r="Q516" s="896">
        <v>19141</v>
      </c>
      <c r="R516" s="896">
        <v>2708</v>
      </c>
      <c r="S516" s="897">
        <v>11</v>
      </c>
      <c r="T516" s="897">
        <v>98</v>
      </c>
      <c r="U516" s="864"/>
    </row>
    <row r="517">
      <c r="A517" s="921"/>
      <c r="B517" s="923" t="s">
        <v>910</v>
      </c>
      <c r="C517" s="885"/>
      <c r="D517" s="886">
        <f>SUM(D512:D516)</f>
      </c>
      <c r="E517" s="886">
        <f>SUM(E512:E516)</f>
      </c>
      <c r="F517" s="886">
        <f>SUM(F512:F516)</f>
      </c>
      <c r="G517" s="887">
        <f>SUM(G512:G516)</f>
      </c>
      <c r="H517" s="886">
        <f>SUM(H512:H516)</f>
      </c>
      <c r="I517" s="888">
        <f t="shared" si="212"/>
      </c>
      <c r="J517" s="889">
        <f t="shared" si="243"/>
      </c>
      <c r="K517" s="890">
        <f t="shared" si="150"/>
      </c>
      <c r="L517" s="891">
        <f t="shared" si="181"/>
      </c>
      <c r="M517" s="891">
        <f t="shared" si="29"/>
      </c>
      <c r="N517" s="892">
        <f t="shared" si="119"/>
      </c>
      <c r="O517" s="892"/>
      <c r="P517" s="892"/>
      <c r="Q517" s="893">
        <f>SUM(Q512:Q516)</f>
      </c>
      <c r="R517" s="893">
        <f>SUM(R512:R516)</f>
      </c>
      <c r="S517" s="893">
        <f>SUM(S512:S516)</f>
      </c>
      <c r="T517" s="893">
        <f>SUM(T512:T516)</f>
      </c>
      <c r="U517" s="864"/>
    </row>
    <row r="518">
      <c r="A518" s="921"/>
      <c r="B518" s="925" t="s">
        <v>911</v>
      </c>
      <c r="C518" s="907" t="s">
        <v>913</v>
      </c>
      <c r="D518" s="875">
        <f t="shared" ref="D518:D522" si="84">E518+F518</f>
      </c>
      <c r="E518" s="907">
        <v>1173.1</v>
      </c>
      <c r="F518" s="907">
        <v>1207.74</v>
      </c>
      <c r="G518" s="906">
        <v>12</v>
      </c>
      <c r="H518" s="875">
        <v>5775.74000000002</v>
      </c>
      <c r="I518" s="877">
        <f t="shared" si="212"/>
      </c>
      <c r="J518" s="877">
        <f t="shared" si="243"/>
      </c>
      <c r="K518" s="878">
        <f t="shared" si="150"/>
      </c>
      <c r="L518" s="879">
        <f t="shared" si="181"/>
      </c>
      <c r="M518" s="880">
        <f t="shared" si="29"/>
      </c>
      <c r="N518" s="881">
        <f t="shared" si="119"/>
      </c>
      <c r="O518" s="882" t="s">
        <v>904</v>
      </c>
      <c r="P518" s="883" t="s">
        <v>969</v>
      </c>
      <c r="Q518" s="896">
        <v>21601</v>
      </c>
      <c r="R518" s="896">
        <v>2907</v>
      </c>
      <c r="S518" s="897">
        <v>15</v>
      </c>
      <c r="T518" s="897">
        <v>18</v>
      </c>
      <c r="U518" s="864"/>
    </row>
    <row r="519">
      <c r="A519" s="921"/>
      <c r="B519" s="925" t="s">
        <v>911</v>
      </c>
      <c r="C519" s="907" t="s">
        <v>914</v>
      </c>
      <c r="D519" s="875">
        <f t="shared" si="84"/>
      </c>
      <c r="E519" s="907">
        <v>1823.25</v>
      </c>
      <c r="F519" s="907">
        <v>1963.79</v>
      </c>
      <c r="G519" s="906">
        <v>10</v>
      </c>
      <c r="H519" s="875">
        <v>7969.959999999992</v>
      </c>
      <c r="I519" s="877">
        <f t="shared" si="212"/>
      </c>
      <c r="J519" s="877">
        <f t="shared" si="243"/>
      </c>
      <c r="K519" s="878">
        <f t="shared" si="150"/>
      </c>
      <c r="L519" s="879">
        <f t="shared" si="181"/>
      </c>
      <c r="M519" s="880">
        <f t="shared" si="29"/>
      </c>
      <c r="N519" s="881">
        <f t="shared" si="119"/>
      </c>
      <c r="O519" s="882" t="s">
        <v>904</v>
      </c>
      <c r="P519" s="908" t="s">
        <v>916</v>
      </c>
      <c r="Q519" s="896">
        <v>38186</v>
      </c>
      <c r="R519" s="896">
        <v>4805</v>
      </c>
      <c r="S519" s="897">
        <v>12</v>
      </c>
      <c r="T519" s="897">
        <v>68</v>
      </c>
      <c r="U519" s="864"/>
    </row>
    <row customHeight="true" ht="16.666666666666668" r="520">
      <c r="A520" s="921"/>
      <c r="B520" s="925" t="s">
        <v>911</v>
      </c>
      <c r="C520" s="907" t="s">
        <v>915</v>
      </c>
      <c r="D520" s="875">
        <f t="shared" si="84"/>
      </c>
      <c r="E520" s="907">
        <v>1526.03</v>
      </c>
      <c r="F520" s="907">
        <v>1898.62</v>
      </c>
      <c r="G520" s="910">
        <v>8</v>
      </c>
      <c r="H520" s="907">
        <v>3123.479999999996</v>
      </c>
      <c r="I520" s="877">
        <f t="shared" si="212"/>
      </c>
      <c r="J520" s="877">
        <f t="shared" si="243"/>
      </c>
      <c r="K520" s="878">
        <f t="shared" si="150"/>
      </c>
      <c r="L520" s="879">
        <f t="shared" si="181"/>
      </c>
      <c r="M520" s="880">
        <f t="shared" si="29"/>
      </c>
      <c r="N520" s="881">
        <f t="shared" si="119"/>
      </c>
      <c r="O520" s="882" t="s">
        <v>904</v>
      </c>
      <c r="P520" s="908" t="s">
        <v>916</v>
      </c>
      <c r="Q520" s="896">
        <v>32497</v>
      </c>
      <c r="R520" s="896">
        <v>5241</v>
      </c>
      <c r="S520" s="897">
        <v>11</v>
      </c>
      <c r="T520" s="897">
        <v>70</v>
      </c>
      <c r="U520" s="864"/>
    </row>
    <row customHeight="true" ht="16.666666666666668" r="521">
      <c r="A521" s="921"/>
      <c r="B521" s="925" t="s">
        <v>911</v>
      </c>
      <c r="C521" s="907" t="s">
        <v>917</v>
      </c>
      <c r="D521" s="875">
        <f t="shared" si="84"/>
      </c>
      <c r="E521" s="907">
        <v>2156.92</v>
      </c>
      <c r="F521" s="907">
        <v>1951.76</v>
      </c>
      <c r="G521" s="910">
        <v>10</v>
      </c>
      <c r="H521" s="907">
        <v>3036.520000000004</v>
      </c>
      <c r="I521" s="877">
        <f t="shared" si="212"/>
      </c>
      <c r="J521" s="877">
        <f t="shared" si="243"/>
      </c>
      <c r="K521" s="878">
        <f t="shared" si="150"/>
      </c>
      <c r="L521" s="879">
        <f t="shared" si="181"/>
      </c>
      <c r="M521" s="880">
        <f t="shared" si="29"/>
      </c>
      <c r="N521" s="881">
        <f t="shared" si="119"/>
      </c>
      <c r="O521" s="882" t="s">
        <v>904</v>
      </c>
      <c r="P521" s="908" t="s">
        <v>916</v>
      </c>
      <c r="Q521" s="896">
        <v>38893</v>
      </c>
      <c r="R521" s="896">
        <v>6134</v>
      </c>
      <c r="S521" s="897">
        <v>17</v>
      </c>
      <c r="T521" s="897">
        <v>73</v>
      </c>
      <c r="U521" s="864"/>
    </row>
    <row r="522">
      <c r="A522" s="921"/>
      <c r="B522" s="925" t="s">
        <v>911</v>
      </c>
      <c r="C522" s="907" t="s">
        <v>919</v>
      </c>
      <c r="D522" s="875">
        <f t="shared" si="84"/>
      </c>
      <c r="E522" s="907">
        <v>1479.03</v>
      </c>
      <c r="F522" s="907">
        <v>1961.74</v>
      </c>
      <c r="G522" s="910">
        <v>13</v>
      </c>
      <c r="H522" s="907">
        <v>6453.5</v>
      </c>
      <c r="I522" s="877">
        <f t="shared" si="212"/>
      </c>
      <c r="J522" s="877">
        <f t="shared" si="243"/>
      </c>
      <c r="K522" s="878">
        <f t="shared" si="150"/>
      </c>
      <c r="L522" s="879">
        <f t="shared" si="181"/>
      </c>
      <c r="M522" s="880">
        <f t="shared" si="29"/>
      </c>
      <c r="N522" s="881">
        <f t="shared" si="119"/>
      </c>
      <c r="O522" s="882" t="s">
        <v>904</v>
      </c>
      <c r="P522" s="908" t="s">
        <v>916</v>
      </c>
      <c r="Q522" s="896">
        <v>33631</v>
      </c>
      <c r="R522" s="896">
        <v>4768</v>
      </c>
      <c r="S522" s="897">
        <v>20</v>
      </c>
      <c r="T522" s="897">
        <v>75</v>
      </c>
      <c r="U522" s="864"/>
    </row>
    <row customHeight="true" ht="16.666666666666668" r="523">
      <c r="A523" s="921"/>
      <c r="B523" s="923" t="s">
        <v>910</v>
      </c>
      <c r="C523" s="885"/>
      <c r="D523" s="886">
        <f>SUM(D518:D522)</f>
      </c>
      <c r="E523" s="886">
        <f>SUM(E518:E522)</f>
      </c>
      <c r="F523" s="886">
        <f>SUM(F518:F522)</f>
      </c>
      <c r="G523" s="887">
        <f>SUM(G518:G522)</f>
      </c>
      <c r="H523" s="886">
        <f>SUM(H518:H522)</f>
      </c>
      <c r="I523" s="888">
        <f t="shared" si="212"/>
      </c>
      <c r="J523" s="889">
        <f t="shared" si="243"/>
      </c>
      <c r="K523" s="890">
        <f t="shared" si="150"/>
      </c>
      <c r="L523" s="891">
        <f t="shared" si="181"/>
      </c>
      <c r="M523" s="891">
        <f t="shared" si="29"/>
      </c>
      <c r="N523" s="892">
        <f t="shared" si="119"/>
      </c>
      <c r="O523" s="892"/>
      <c r="P523" s="892"/>
      <c r="Q523" s="893">
        <f>SUM(Q518:Q522)</f>
      </c>
      <c r="R523" s="893">
        <f>SUM(R518:R522)</f>
      </c>
      <c r="S523" s="893">
        <f>SUM(S518:S522)</f>
      </c>
      <c r="T523" s="893">
        <f>SUM(T518:T522)</f>
      </c>
      <c r="U523" s="864"/>
    </row>
    <row customHeight="true" ht="16.666666666666668" r="524">
      <c r="A524" s="921"/>
      <c r="B524" s="925" t="s">
        <v>955</v>
      </c>
      <c r="C524" s="907" t="s">
        <v>920</v>
      </c>
      <c r="D524" s="875">
        <f t="shared" ref="D524:D525" si="85">E524+F524</f>
      </c>
      <c r="E524" s="907">
        <v>928.66</v>
      </c>
      <c r="F524" s="907">
        <v>1574.35</v>
      </c>
      <c r="G524" s="906">
        <v>5</v>
      </c>
      <c r="H524" s="875">
        <v>3207.3300000000017</v>
      </c>
      <c r="I524" s="877">
        <f t="shared" si="212"/>
      </c>
      <c r="J524" s="877">
        <f t="shared" si="243"/>
      </c>
      <c r="K524" s="878">
        <f t="shared" si="150"/>
      </c>
      <c r="L524" s="879">
        <f t="shared" si="181"/>
      </c>
      <c r="M524" s="880">
        <f t="shared" si="29"/>
      </c>
      <c r="N524" s="881">
        <f t="shared" si="119"/>
      </c>
      <c r="O524" s="882" t="s">
        <v>904</v>
      </c>
      <c r="P524" s="908" t="s">
        <v>916</v>
      </c>
      <c r="Q524" s="896">
        <v>23712</v>
      </c>
      <c r="R524" s="896">
        <v>3143</v>
      </c>
      <c r="S524" s="897">
        <v>5</v>
      </c>
      <c r="T524" s="897">
        <v>45</v>
      </c>
      <c r="U524" s="864"/>
    </row>
    <row customHeight="true" ht="16.666666666666668" r="525">
      <c r="A525" s="921"/>
      <c r="B525" s="925" t="s">
        <v>955</v>
      </c>
      <c r="C525" s="907" t="s">
        <v>921</v>
      </c>
      <c r="D525" s="875">
        <f t="shared" si="85"/>
      </c>
      <c r="E525" s="907">
        <v>700.75</v>
      </c>
      <c r="F525" s="907">
        <v>3064</v>
      </c>
      <c r="G525" s="906">
        <v>9</v>
      </c>
      <c r="H525" s="907">
        <v>3761.9199999999983</v>
      </c>
      <c r="I525" s="877">
        <f t="shared" si="212"/>
      </c>
      <c r="J525" s="877">
        <f t="shared" si="243"/>
      </c>
      <c r="K525" s="878">
        <f t="shared" si="150"/>
      </c>
      <c r="L525" s="879">
        <f t="shared" si="181"/>
      </c>
      <c r="M525" s="880">
        <f t="shared" si="29"/>
      </c>
      <c r="N525" s="881">
        <f t="shared" si="119"/>
      </c>
      <c r="O525" s="882" t="s">
        <v>904</v>
      </c>
      <c r="P525" s="908" t="s">
        <v>916</v>
      </c>
      <c r="Q525" s="896">
        <v>35481</v>
      </c>
      <c r="R525" s="896">
        <v>4672</v>
      </c>
      <c r="S525" s="897">
        <v>16</v>
      </c>
      <c r="T525" s="897">
        <v>46</v>
      </c>
      <c r="U525" s="864"/>
    </row>
    <row r="526">
      <c r="A526" s="921"/>
      <c r="B526" s="923" t="s">
        <v>910</v>
      </c>
      <c r="C526" s="885"/>
      <c r="D526" s="886">
        <f>D524+D525</f>
      </c>
      <c r="E526" s="886">
        <f>E524+E525</f>
      </c>
      <c r="F526" s="886">
        <f>F524+F525</f>
      </c>
      <c r="G526" s="887">
        <f>G524+G525</f>
      </c>
      <c r="H526" s="886">
        <f>H524+H525</f>
      </c>
      <c r="I526" s="888">
        <f t="shared" si="212"/>
      </c>
      <c r="J526" s="889">
        <f t="shared" si="243"/>
      </c>
      <c r="K526" s="890">
        <f t="shared" si="150"/>
      </c>
      <c r="L526" s="891">
        <f t="shared" si="181"/>
      </c>
      <c r="M526" s="891">
        <f t="shared" si="29"/>
      </c>
      <c r="N526" s="892">
        <f t="shared" si="119"/>
      </c>
      <c r="O526" s="892"/>
      <c r="P526" s="892"/>
      <c r="Q526" s="926">
        <f>SUM(Q524:Q525)</f>
      </c>
      <c r="R526" s="926">
        <f>SUM(R524:R525)</f>
      </c>
      <c r="S526" s="926">
        <f>SUM(S524:S525)</f>
      </c>
      <c r="T526" s="926">
        <f>SUM(T524:T525)</f>
      </c>
      <c r="U526" s="864"/>
    </row>
    <row r="527">
      <c r="A527" s="921"/>
      <c r="B527" s="927" t="s">
        <v>926</v>
      </c>
      <c r="C527" s="898"/>
      <c r="D527" s="899">
        <f>D511+D526+D517+D523</f>
      </c>
      <c r="E527" s="899">
        <f>E511+E526+E517+E523</f>
      </c>
      <c r="F527" s="899">
        <f>F511+F526+F517+F523</f>
      </c>
      <c r="G527" s="900">
        <f>G511+G526+G517+G523</f>
      </c>
      <c r="H527" s="899">
        <f>H511+H526+H517+H523</f>
      </c>
      <c r="I527" s="901">
        <f t="shared" si="212"/>
      </c>
      <c r="J527" s="901">
        <f t="shared" si="243"/>
      </c>
      <c r="K527" s="902">
        <f t="shared" si="150"/>
      </c>
      <c r="L527" s="903">
        <f t="shared" si="181"/>
      </c>
      <c r="M527" s="903">
        <f t="shared" si="29"/>
      </c>
      <c r="N527" s="901">
        <f t="shared" si="119"/>
      </c>
      <c r="O527" s="904"/>
      <c r="P527" s="904"/>
      <c r="Q527" s="900">
        <f>Q511+Q526+Q517+Q523</f>
      </c>
      <c r="R527" s="900">
        <f>R511+R526+R517+R523</f>
      </c>
      <c r="S527" s="900">
        <f>S511+S526+S517+S523</f>
      </c>
      <c r="T527" s="900">
        <f>T511+T526+T517+T523</f>
      </c>
      <c r="U527" s="864"/>
    </row>
    <row r="528">
      <c r="A528" s="860" t="s">
        <v>877</v>
      </c>
      <c r="B528" s="860"/>
      <c r="C528" s="860"/>
      <c r="D528" s="861" t="s">
        <v>878</v>
      </c>
      <c r="E528" s="861"/>
      <c r="F528" s="861"/>
      <c r="G528" s="861"/>
      <c r="H528" s="861"/>
      <c r="I528" s="861"/>
      <c r="J528" s="861"/>
      <c r="K528" s="861"/>
      <c r="L528" s="862" t="s">
        <v>879</v>
      </c>
      <c r="M528" s="862"/>
      <c r="N528" s="862"/>
      <c r="O528" s="862"/>
      <c r="P528" s="862"/>
      <c r="Q528" s="863" t="s">
        <v>880</v>
      </c>
      <c r="R528" s="863"/>
      <c r="S528" s="863"/>
      <c r="T528" s="863"/>
      <c r="U528" s="864"/>
    </row>
    <row r="529">
      <c r="A529" s="920" t="s">
        <v>881</v>
      </c>
      <c r="B529" s="865"/>
      <c r="C529" s="865" t="s">
        <v>883</v>
      </c>
      <c r="D529" s="866" t="s">
        <v>884</v>
      </c>
      <c r="E529" s="866" t="s">
        <v>885</v>
      </c>
      <c r="F529" s="866" t="s">
        <v>886</v>
      </c>
      <c r="G529" s="867" t="s">
        <v>887</v>
      </c>
      <c r="H529" s="866" t="s">
        <v>888</v>
      </c>
      <c r="I529" s="868" t="s">
        <v>889</v>
      </c>
      <c r="J529" s="869" t="s">
        <v>890</v>
      </c>
      <c r="K529" s="870" t="s">
        <v>891</v>
      </c>
      <c r="L529" s="871" t="s">
        <v>892</v>
      </c>
      <c r="M529" s="871" t="s">
        <v>893</v>
      </c>
      <c r="N529" s="871" t="s">
        <v>894</v>
      </c>
      <c r="O529" s="862" t="s">
        <v>895</v>
      </c>
      <c r="P529" s="862" t="s">
        <v>896</v>
      </c>
      <c r="Q529" s="872" t="s">
        <v>897</v>
      </c>
      <c r="R529" s="872" t="s">
        <v>898</v>
      </c>
      <c r="S529" s="872" t="s">
        <v>899</v>
      </c>
      <c r="T529" s="872" t="s">
        <v>900</v>
      </c>
      <c r="U529" s="864"/>
    </row>
    <row r="530">
      <c r="A530" s="928" t="s">
        <v>971</v>
      </c>
      <c r="B530" s="924" t="s">
        <v>902</v>
      </c>
      <c r="C530" s="875" t="s">
        <v>960</v>
      </c>
      <c r="D530" s="875">
        <f t="shared" ref="D530:D533" si="86">E530+F530</f>
      </c>
      <c r="E530" s="875">
        <v>1560.46</v>
      </c>
      <c r="F530" s="875">
        <v>1184.25</v>
      </c>
      <c r="G530" s="876">
        <v>14</v>
      </c>
      <c r="H530" s="875">
        <v>7978.46</v>
      </c>
      <c r="I530" s="877">
        <f t="shared" ref="I530:I550" si="213">H530/D530</f>
      </c>
      <c r="J530" s="877">
        <f t="shared" ref="J530:J550" si="244">D530/G530</f>
      </c>
      <c r="K530" s="878">
        <f t="shared" ref="K530:K550" si="151">H530/G530</f>
      </c>
      <c r="L530" s="879">
        <f t="shared" ref="L530:L550" si="182">R530/Q530</f>
      </c>
      <c r="M530" s="880">
        <f t="shared" ref="M530:M550" si="30">G530/S530</f>
      </c>
      <c r="N530" s="881">
        <f t="shared" ref="N530:N550" si="120">(T530*1000)/D530</f>
      </c>
      <c r="O530" s="882" t="s">
        <v>904</v>
      </c>
      <c r="P530" s="883" t="s">
        <v>969</v>
      </c>
      <c r="Q530" s="874">
        <v>25903</v>
      </c>
      <c r="R530" s="874">
        <v>4284</v>
      </c>
      <c r="S530" s="874">
        <v>17</v>
      </c>
      <c r="T530" s="874">
        <v>84</v>
      </c>
      <c r="U530" s="864"/>
    </row>
    <row r="531">
      <c r="A531" s="928"/>
      <c r="B531" s="924" t="s">
        <v>902</v>
      </c>
      <c r="C531" s="875" t="s">
        <v>954</v>
      </c>
      <c r="D531" s="875">
        <f t="shared" si="86"/>
      </c>
      <c r="E531" s="875">
        <v>2929.11</v>
      </c>
      <c r="F531" s="875">
        <v>1798.53</v>
      </c>
      <c r="G531" s="876">
        <v>12</v>
      </c>
      <c r="H531" s="875">
        <v>8123.999999999999</v>
      </c>
      <c r="I531" s="877">
        <f t="shared" si="213"/>
      </c>
      <c r="J531" s="877">
        <f t="shared" si="244"/>
      </c>
      <c r="K531" s="878">
        <f t="shared" si="151"/>
      </c>
      <c r="L531" s="879">
        <f t="shared" si="182"/>
      </c>
      <c r="M531" s="880">
        <f t="shared" si="30"/>
      </c>
      <c r="N531" s="881">
        <f t="shared" si="120"/>
      </c>
      <c r="O531" s="882" t="s">
        <v>904</v>
      </c>
      <c r="P531" s="883" t="s">
        <v>969</v>
      </c>
      <c r="Q531" s="874">
        <v>41202</v>
      </c>
      <c r="R531" s="874">
        <v>7016</v>
      </c>
      <c r="S531" s="874">
        <v>10</v>
      </c>
      <c r="T531" s="874">
        <v>104</v>
      </c>
      <c r="U531" s="864"/>
    </row>
    <row customHeight="true" ht="16.666666666666668" r="532">
      <c r="A532" s="928"/>
      <c r="B532" s="924" t="s">
        <v>902</v>
      </c>
      <c r="C532" s="875" t="s">
        <v>903</v>
      </c>
      <c r="D532" s="875">
        <f t="shared" si="86"/>
      </c>
      <c r="E532" s="875">
        <v>1601.97</v>
      </c>
      <c r="F532" s="875">
        <v>994.72</v>
      </c>
      <c r="G532" s="910">
        <v>10</v>
      </c>
      <c r="H532" s="911">
        <v>5828.040000000001</v>
      </c>
      <c r="I532" s="877">
        <f t="shared" si="213"/>
      </c>
      <c r="J532" s="877">
        <f t="shared" si="244"/>
      </c>
      <c r="K532" s="878">
        <f t="shared" si="151"/>
      </c>
      <c r="L532" s="879">
        <f t="shared" si="182"/>
      </c>
      <c r="M532" s="880">
        <f t="shared" si="30"/>
      </c>
      <c r="N532" s="881">
        <f t="shared" si="120"/>
      </c>
      <c r="O532" s="882" t="s">
        <v>904</v>
      </c>
      <c r="P532" s="883" t="s">
        <v>969</v>
      </c>
      <c r="Q532" s="874">
        <v>21115</v>
      </c>
      <c r="R532" s="874">
        <v>3646</v>
      </c>
      <c r="S532" s="874">
        <v>20</v>
      </c>
      <c r="T532" s="874">
        <v>51</v>
      </c>
      <c r="U532" s="864"/>
    </row>
    <row r="533">
      <c r="A533" s="928"/>
      <c r="B533" s="924" t="s">
        <v>902</v>
      </c>
      <c r="C533" s="875" t="s">
        <v>906</v>
      </c>
      <c r="D533" s="875">
        <f t="shared" si="86"/>
      </c>
      <c r="E533" s="875">
        <v>980.17</v>
      </c>
      <c r="F533" s="875">
        <v>1248.8</v>
      </c>
      <c r="G533" s="910">
        <v>4</v>
      </c>
      <c r="H533" s="911">
        <v>2263.3199999999997</v>
      </c>
      <c r="I533" s="877">
        <f t="shared" si="213"/>
      </c>
      <c r="J533" s="877">
        <f t="shared" si="244"/>
      </c>
      <c r="K533" s="878">
        <f t="shared" si="151"/>
      </c>
      <c r="L533" s="879">
        <f t="shared" si="182"/>
      </c>
      <c r="M533" s="880">
        <f t="shared" si="30"/>
      </c>
      <c r="N533" s="881">
        <f t="shared" si="120"/>
      </c>
      <c r="O533" s="882" t="s">
        <v>904</v>
      </c>
      <c r="P533" s="883" t="s">
        <v>969</v>
      </c>
      <c r="Q533" s="874">
        <v>18542</v>
      </c>
      <c r="R533" s="874">
        <v>3137</v>
      </c>
      <c r="S533" s="874">
        <v>4</v>
      </c>
      <c r="T533" s="874">
        <v>38</v>
      </c>
      <c r="U533" s="864"/>
    </row>
    <row r="534">
      <c r="A534" s="928"/>
      <c r="B534" s="923" t="s">
        <v>910</v>
      </c>
      <c r="C534" s="923"/>
      <c r="D534" s="886">
        <f>SUM(D530:D533)</f>
      </c>
      <c r="E534" s="886">
        <f>SUM(E530:E533)</f>
      </c>
      <c r="F534" s="915">
        <f>SUM(F530:F533)</f>
      </c>
      <c r="G534" s="887">
        <f>SUM(G530:G533)</f>
      </c>
      <c r="H534" s="886">
        <f>SUM(H530:H533)</f>
      </c>
      <c r="I534" s="916">
        <f t="shared" si="213"/>
      </c>
      <c r="J534" s="889">
        <f t="shared" si="244"/>
      </c>
      <c r="K534" s="890">
        <f t="shared" si="151"/>
      </c>
      <c r="L534" s="891">
        <f t="shared" si="182"/>
      </c>
      <c r="M534" s="891">
        <f t="shared" si="30"/>
      </c>
      <c r="N534" s="892">
        <f t="shared" si="120"/>
      </c>
      <c r="O534" s="892"/>
      <c r="P534" s="892"/>
      <c r="Q534" s="893">
        <f>SUM(Q530:Q533)</f>
      </c>
      <c r="R534" s="893">
        <f>SUM(R530:R533)</f>
      </c>
      <c r="S534" s="893">
        <f>SUM(S530:S533)</f>
      </c>
      <c r="T534" s="893">
        <f>SUM(T530:T533)</f>
      </c>
      <c r="U534" s="864"/>
    </row>
    <row r="535">
      <c r="A535" s="928"/>
      <c r="B535" s="922" t="s">
        <v>911</v>
      </c>
      <c r="C535" s="875" t="s">
        <v>907</v>
      </c>
      <c r="D535" s="875">
        <f t="shared" ref="D535:D538" si="87">E535+F535</f>
      </c>
      <c r="E535" s="875">
        <v>901.53</v>
      </c>
      <c r="F535" s="875">
        <v>1276.18</v>
      </c>
      <c r="G535" s="876">
        <v>2</v>
      </c>
      <c r="H535" s="875">
        <v>1779.119999999999</v>
      </c>
      <c r="I535" s="877">
        <f t="shared" si="213"/>
      </c>
      <c r="J535" s="877">
        <f t="shared" si="244"/>
      </c>
      <c r="K535" s="878">
        <f t="shared" si="151"/>
      </c>
      <c r="L535" s="879">
        <f t="shared" si="182"/>
      </c>
      <c r="M535" s="880">
        <f t="shared" si="30"/>
      </c>
      <c r="N535" s="881">
        <f t="shared" si="120"/>
      </c>
      <c r="O535" s="882" t="s">
        <v>904</v>
      </c>
      <c r="P535" s="883" t="s">
        <v>969</v>
      </c>
      <c r="Q535" s="896">
        <v>16390</v>
      </c>
      <c r="R535" s="896">
        <v>3292</v>
      </c>
      <c r="S535" s="896">
        <v>4</v>
      </c>
      <c r="T535" s="896">
        <v>32</v>
      </c>
      <c r="U535" s="864"/>
    </row>
    <row r="536">
      <c r="A536" s="928"/>
      <c r="B536" s="922" t="s">
        <v>911</v>
      </c>
      <c r="C536" s="875" t="s">
        <v>908</v>
      </c>
      <c r="D536" s="875">
        <f t="shared" si="87"/>
      </c>
      <c r="E536" s="875">
        <v>1197.7</v>
      </c>
      <c r="F536" s="875">
        <v>900.13</v>
      </c>
      <c r="G536" s="910">
        <v>8</v>
      </c>
      <c r="H536" s="875">
        <v>3103.8199999999997</v>
      </c>
      <c r="I536" s="877">
        <f t="shared" si="213"/>
      </c>
      <c r="J536" s="877">
        <f t="shared" si="244"/>
      </c>
      <c r="K536" s="878">
        <f t="shared" si="151"/>
      </c>
      <c r="L536" s="879">
        <f t="shared" si="182"/>
      </c>
      <c r="M536" s="880">
        <f t="shared" si="30"/>
      </c>
      <c r="N536" s="881">
        <f t="shared" si="120"/>
      </c>
      <c r="O536" s="882" t="s">
        <v>904</v>
      </c>
      <c r="P536" s="883" t="s">
        <v>969</v>
      </c>
      <c r="Q536" s="896">
        <v>15568</v>
      </c>
      <c r="R536" s="896">
        <v>2644</v>
      </c>
      <c r="S536" s="896">
        <v>9</v>
      </c>
      <c r="T536" s="896">
        <v>49</v>
      </c>
      <c r="U536" s="864"/>
    </row>
    <row r="537">
      <c r="A537" s="928"/>
      <c r="B537" s="922" t="s">
        <v>911</v>
      </c>
      <c r="C537" s="875" t="s">
        <v>909</v>
      </c>
      <c r="D537" s="875">
        <f t="shared" si="87"/>
      </c>
      <c r="E537" s="875">
        <v>2047.54</v>
      </c>
      <c r="F537" s="912">
        <v>924.81</v>
      </c>
      <c r="G537" s="910">
        <v>4</v>
      </c>
      <c r="H537" s="875">
        <v>2263.3199999999997</v>
      </c>
      <c r="I537" s="877">
        <f t="shared" si="213"/>
      </c>
      <c r="J537" s="877">
        <f t="shared" si="244"/>
      </c>
      <c r="K537" s="878">
        <f t="shared" si="151"/>
      </c>
      <c r="L537" s="879">
        <f t="shared" si="182"/>
      </c>
      <c r="M537" s="880">
        <f t="shared" si="30"/>
      </c>
      <c r="N537" s="881">
        <f t="shared" si="120"/>
      </c>
      <c r="O537" s="882" t="s">
        <v>904</v>
      </c>
      <c r="P537" s="883" t="s">
        <v>969</v>
      </c>
      <c r="Q537" s="896">
        <v>26550</v>
      </c>
      <c r="R537" s="896">
        <v>4828</v>
      </c>
      <c r="S537" s="896">
        <v>9</v>
      </c>
      <c r="T537" s="896">
        <v>50</v>
      </c>
      <c r="U537" s="864"/>
    </row>
    <row r="538">
      <c r="A538" s="928"/>
      <c r="B538" s="922" t="s">
        <v>911</v>
      </c>
      <c r="C538" s="875" t="s">
        <v>912</v>
      </c>
      <c r="D538" s="875">
        <f t="shared" si="87"/>
      </c>
      <c r="E538" s="875">
        <v>583.53</v>
      </c>
      <c r="F538" s="912">
        <v>917.95</v>
      </c>
      <c r="G538" s="910">
        <v>4</v>
      </c>
      <c r="H538" s="875">
        <v>2169.880000000001</v>
      </c>
      <c r="I538" s="877">
        <f t="shared" si="213"/>
      </c>
      <c r="J538" s="877">
        <f t="shared" si="244"/>
      </c>
      <c r="K538" s="878">
        <f t="shared" si="151"/>
      </c>
      <c r="L538" s="879">
        <f t="shared" si="182"/>
      </c>
      <c r="M538" s="880">
        <f t="shared" si="30"/>
      </c>
      <c r="N538" s="881">
        <f t="shared" si="120"/>
      </c>
      <c r="O538" s="882" t="s">
        <v>904</v>
      </c>
      <c r="P538" s="883" t="s">
        <v>969</v>
      </c>
      <c r="Q538" s="896">
        <v>12013</v>
      </c>
      <c r="R538" s="896">
        <v>1834</v>
      </c>
      <c r="S538" s="896">
        <v>5</v>
      </c>
      <c r="T538" s="896">
        <v>38</v>
      </c>
      <c r="U538" s="864"/>
    </row>
    <row r="539">
      <c r="A539" s="928"/>
      <c r="B539" s="923" t="s">
        <v>910</v>
      </c>
      <c r="C539" s="923"/>
      <c r="D539" s="886">
        <f>SUM(D535:D538)</f>
      </c>
      <c r="E539" s="886">
        <f>SUM(E535:E538)</f>
      </c>
      <c r="F539" s="886">
        <f>SUM(F535:F538)</f>
      </c>
      <c r="G539" s="887">
        <f>SUM(G535:G538)</f>
      </c>
      <c r="H539" s="886">
        <f>SUM(H535:H538)</f>
      </c>
      <c r="I539" s="888">
        <f t="shared" si="213"/>
      </c>
      <c r="J539" s="889">
        <f t="shared" si="244"/>
      </c>
      <c r="K539" s="890">
        <f t="shared" si="151"/>
      </c>
      <c r="L539" s="891">
        <f t="shared" si="182"/>
      </c>
      <c r="M539" s="891">
        <f t="shared" si="30"/>
      </c>
      <c r="N539" s="892">
        <f t="shared" si="120"/>
      </c>
      <c r="O539" s="892"/>
      <c r="P539" s="892"/>
      <c r="Q539" s="893">
        <f>SUM(Q535:Q538)</f>
      </c>
      <c r="R539" s="893">
        <f>SUM(R535:R538)</f>
      </c>
      <c r="S539" s="893">
        <f>SUM(S535:S538)</f>
      </c>
      <c r="T539" s="893">
        <f>SUM(T535:T538)</f>
      </c>
      <c r="U539" s="864"/>
    </row>
    <row r="540">
      <c r="A540" s="928"/>
      <c r="B540" s="922" t="s">
        <v>922</v>
      </c>
      <c r="C540" s="875" t="s">
        <v>913</v>
      </c>
      <c r="D540" s="875">
        <f t="shared" ref="D540:D544" si="88">E540+F540</f>
      </c>
      <c r="E540" s="875">
        <v>780</v>
      </c>
      <c r="F540" s="875">
        <v>789.51</v>
      </c>
      <c r="G540" s="876">
        <v>6</v>
      </c>
      <c r="H540" s="875">
        <v>4913.760000000002</v>
      </c>
      <c r="I540" s="877">
        <f t="shared" si="213"/>
      </c>
      <c r="J540" s="877">
        <f t="shared" si="244"/>
      </c>
      <c r="K540" s="878">
        <f t="shared" si="151"/>
      </c>
      <c r="L540" s="879">
        <f t="shared" si="182"/>
      </c>
      <c r="M540" s="880">
        <f t="shared" si="30"/>
      </c>
      <c r="N540" s="881">
        <f t="shared" si="120"/>
      </c>
      <c r="O540" s="882" t="s">
        <v>904</v>
      </c>
      <c r="P540" s="883" t="s">
        <v>969</v>
      </c>
      <c r="Q540" s="896">
        <v>12899</v>
      </c>
      <c r="R540" s="896">
        <v>2030</v>
      </c>
      <c r="S540" s="896">
        <v>10</v>
      </c>
      <c r="T540" s="896">
        <v>23</v>
      </c>
      <c r="U540" s="864"/>
    </row>
    <row r="541">
      <c r="A541" s="928"/>
      <c r="B541" s="922" t="s">
        <v>922</v>
      </c>
      <c r="C541" s="875" t="s">
        <v>914</v>
      </c>
      <c r="D541" s="875">
        <f t="shared" si="88"/>
      </c>
      <c r="E541" s="875">
        <v>911.8</v>
      </c>
      <c r="F541" s="875">
        <v>854.53</v>
      </c>
      <c r="G541" s="876">
        <v>9</v>
      </c>
      <c r="H541" s="875">
        <v>4229.300000000003</v>
      </c>
      <c r="I541" s="877">
        <f t="shared" si="213"/>
      </c>
      <c r="J541" s="877">
        <f t="shared" si="244"/>
      </c>
      <c r="K541" s="878">
        <f t="shared" si="151"/>
      </c>
      <c r="L541" s="879">
        <f t="shared" si="182"/>
      </c>
      <c r="M541" s="880">
        <f t="shared" si="30"/>
      </c>
      <c r="N541" s="881">
        <f t="shared" si="120"/>
      </c>
      <c r="O541" s="882" t="s">
        <v>904</v>
      </c>
      <c r="P541" s="883" t="s">
        <v>916</v>
      </c>
      <c r="Q541" s="896">
        <v>13765</v>
      </c>
      <c r="R541" s="896">
        <v>2127</v>
      </c>
      <c r="S541" s="896">
        <v>11</v>
      </c>
      <c r="T541" s="896">
        <v>34</v>
      </c>
      <c r="U541" s="864"/>
    </row>
    <row r="542">
      <c r="A542" s="928"/>
      <c r="B542" s="922" t="s">
        <v>922</v>
      </c>
      <c r="C542" s="875" t="s">
        <v>915</v>
      </c>
      <c r="D542" s="875">
        <f t="shared" si="88"/>
      </c>
      <c r="E542" s="875">
        <v>1735.71</v>
      </c>
      <c r="F542" s="875">
        <v>1325.82</v>
      </c>
      <c r="G542" s="910">
        <v>11</v>
      </c>
      <c r="H542" s="875">
        <v>7737.389999999999</v>
      </c>
      <c r="I542" s="877">
        <f t="shared" si="213"/>
      </c>
      <c r="J542" s="877">
        <f t="shared" si="244"/>
      </c>
      <c r="K542" s="878">
        <f t="shared" si="151"/>
      </c>
      <c r="L542" s="879">
        <f t="shared" si="182"/>
      </c>
      <c r="M542" s="880">
        <f t="shared" si="30"/>
      </c>
      <c r="N542" s="881">
        <f t="shared" si="120"/>
      </c>
      <c r="O542" s="882" t="s">
        <v>904</v>
      </c>
      <c r="P542" s="883" t="s">
        <v>916</v>
      </c>
      <c r="Q542" s="896">
        <v>25127</v>
      </c>
      <c r="R542" s="896">
        <v>3788</v>
      </c>
      <c r="S542" s="896">
        <v>18</v>
      </c>
      <c r="T542" s="896">
        <v>54</v>
      </c>
      <c r="U542" s="864"/>
    </row>
    <row r="543">
      <c r="A543" s="928"/>
      <c r="B543" s="922" t="s">
        <v>922</v>
      </c>
      <c r="C543" s="875" t="s">
        <v>917</v>
      </c>
      <c r="D543" s="875">
        <f t="shared" si="88"/>
      </c>
      <c r="E543" s="875">
        <v>1476.51</v>
      </c>
      <c r="F543" s="875">
        <v>2499.53</v>
      </c>
      <c r="G543" s="910">
        <v>17</v>
      </c>
      <c r="H543" s="875">
        <v>11803.839999999997</v>
      </c>
      <c r="I543" s="877">
        <f t="shared" si="213"/>
      </c>
      <c r="J543" s="877">
        <f t="shared" si="244"/>
      </c>
      <c r="K543" s="878">
        <f t="shared" si="151"/>
      </c>
      <c r="L543" s="879">
        <f t="shared" si="182"/>
      </c>
      <c r="M543" s="880">
        <f t="shared" si="30"/>
      </c>
      <c r="N543" s="881">
        <f t="shared" si="120"/>
      </c>
      <c r="O543" s="882" t="s">
        <v>904</v>
      </c>
      <c r="P543" s="883" t="s">
        <v>916</v>
      </c>
      <c r="Q543" s="896">
        <v>35601</v>
      </c>
      <c r="R543" s="896">
        <v>5647</v>
      </c>
      <c r="S543" s="896">
        <v>19</v>
      </c>
      <c r="T543" s="896">
        <v>60</v>
      </c>
      <c r="U543" s="864"/>
    </row>
    <row r="544">
      <c r="A544" s="928"/>
      <c r="B544" s="922" t="s">
        <v>922</v>
      </c>
      <c r="C544" s="875" t="s">
        <v>919</v>
      </c>
      <c r="D544" s="875">
        <f t="shared" si="88"/>
      </c>
      <c r="E544" s="875">
        <v>869.89</v>
      </c>
      <c r="F544" s="875">
        <v>2790.06</v>
      </c>
      <c r="G544" s="910">
        <v>11</v>
      </c>
      <c r="H544" s="875">
        <v>6023.419999999998</v>
      </c>
      <c r="I544" s="877">
        <f t="shared" si="213"/>
      </c>
      <c r="J544" s="877">
        <f t="shared" si="244"/>
      </c>
      <c r="K544" s="878">
        <f t="shared" si="151"/>
      </c>
      <c r="L544" s="879">
        <f t="shared" si="182"/>
      </c>
      <c r="M544" s="880">
        <f t="shared" si="30"/>
      </c>
      <c r="N544" s="881">
        <f t="shared" si="120"/>
      </c>
      <c r="O544" s="882" t="s">
        <v>904</v>
      </c>
      <c r="P544" s="883" t="s">
        <v>916</v>
      </c>
      <c r="Q544" s="896">
        <v>35030</v>
      </c>
      <c r="R544" s="896">
        <v>5524</v>
      </c>
      <c r="S544" s="896">
        <v>15</v>
      </c>
      <c r="T544" s="896">
        <v>69</v>
      </c>
      <c r="U544" s="864"/>
    </row>
    <row r="545">
      <c r="A545" s="928"/>
      <c r="B545" s="923" t="s">
        <v>910</v>
      </c>
      <c r="C545" s="923"/>
      <c r="D545" s="886">
        <f>SUM(D540:D544)</f>
      </c>
      <c r="E545" s="886">
        <f>SUM(E540:E544)</f>
      </c>
      <c r="F545" s="886">
        <f>SUM(F540:F544)</f>
      </c>
      <c r="G545" s="887">
        <f>SUM(G540:G544)</f>
      </c>
      <c r="H545" s="886">
        <f>SUM(H540:H544)</f>
      </c>
      <c r="I545" s="888">
        <f t="shared" si="213"/>
      </c>
      <c r="J545" s="889">
        <f t="shared" si="244"/>
      </c>
      <c r="K545" s="890">
        <f t="shared" si="151"/>
      </c>
      <c r="L545" s="891">
        <f t="shared" si="182"/>
      </c>
      <c r="M545" s="891">
        <f t="shared" si="30"/>
      </c>
      <c r="N545" s="892">
        <f t="shared" si="120"/>
      </c>
      <c r="O545" s="892"/>
      <c r="P545" s="892"/>
      <c r="Q545" s="893">
        <f>SUM(Q540:Q544)</f>
      </c>
      <c r="R545" s="893">
        <f>SUM(R540:R544)</f>
      </c>
      <c r="S545" s="893">
        <f>SUM(S540:S544)</f>
      </c>
      <c r="T545" s="893">
        <f>SUM(T540:T544)</f>
      </c>
      <c r="U545" s="864"/>
    </row>
    <row r="546">
      <c r="A546" s="928"/>
      <c r="B546" s="922" t="s">
        <v>955</v>
      </c>
      <c r="C546" s="875" t="s">
        <v>920</v>
      </c>
      <c r="D546" s="875">
        <f t="shared" ref="D546:D548" si="89">E546+F546</f>
      </c>
      <c r="E546" s="875">
        <v>807.99</v>
      </c>
      <c r="F546" s="875">
        <v>2195.41</v>
      </c>
      <c r="G546" s="876">
        <v>12</v>
      </c>
      <c r="H546" s="875">
        <v>7290.030000000013</v>
      </c>
      <c r="I546" s="877">
        <f t="shared" si="213"/>
      </c>
      <c r="J546" s="877">
        <f t="shared" si="244"/>
      </c>
      <c r="K546" s="878">
        <f t="shared" si="151"/>
      </c>
      <c r="L546" s="879">
        <f t="shared" si="182"/>
      </c>
      <c r="M546" s="880">
        <f t="shared" si="30"/>
      </c>
      <c r="N546" s="881">
        <f t="shared" si="120"/>
      </c>
      <c r="O546" s="882" t="s">
        <v>904</v>
      </c>
      <c r="P546" s="883" t="s">
        <v>916</v>
      </c>
      <c r="Q546" s="896">
        <v>30439</v>
      </c>
      <c r="R546" s="896">
        <v>4470</v>
      </c>
      <c r="S546" s="896">
        <v>14</v>
      </c>
      <c r="T546" s="896">
        <v>37</v>
      </c>
      <c r="U546" s="864"/>
    </row>
    <row r="547">
      <c r="A547" s="928"/>
      <c r="B547" s="922" t="s">
        <v>955</v>
      </c>
      <c r="C547" s="875" t="s">
        <v>921</v>
      </c>
      <c r="D547" s="875">
        <f t="shared" si="89"/>
      </c>
      <c r="E547" s="875">
        <v>1609.89</v>
      </c>
      <c r="F547" s="875">
        <v>1222.8</v>
      </c>
      <c r="G547" s="876">
        <v>5</v>
      </c>
      <c r="H547" s="875">
        <v>3364.68</v>
      </c>
      <c r="I547" s="877">
        <f t="shared" si="213"/>
      </c>
      <c r="J547" s="877">
        <f t="shared" si="244"/>
      </c>
      <c r="K547" s="878">
        <f t="shared" si="151"/>
      </c>
      <c r="L547" s="879">
        <f t="shared" si="182"/>
      </c>
      <c r="M547" s="880">
        <f t="shared" si="30"/>
      </c>
      <c r="N547" s="881">
        <f t="shared" si="120"/>
      </c>
      <c r="O547" s="882" t="s">
        <v>904</v>
      </c>
      <c r="P547" s="883" t="s">
        <v>916</v>
      </c>
      <c r="Q547" s="896">
        <v>33257</v>
      </c>
      <c r="R547" s="896">
        <v>3565</v>
      </c>
      <c r="S547" s="896">
        <v>10</v>
      </c>
      <c r="T547" s="896">
        <v>45</v>
      </c>
      <c r="U547" s="864"/>
    </row>
    <row r="548">
      <c r="A548" s="928"/>
      <c r="B548" s="922" t="s">
        <v>955</v>
      </c>
      <c r="C548" s="875" t="s">
        <v>923</v>
      </c>
      <c r="D548" s="875">
        <f t="shared" si="89"/>
      </c>
      <c r="E548" s="875">
        <v>1562.69</v>
      </c>
      <c r="F548" s="875">
        <v>1773.03</v>
      </c>
      <c r="G548" s="876">
        <v>8</v>
      </c>
      <c r="H548" s="875">
        <v>2645.7599999999948</v>
      </c>
      <c r="I548" s="877">
        <f t="shared" si="213"/>
      </c>
      <c r="J548" s="877">
        <f t="shared" si="244"/>
      </c>
      <c r="K548" s="878">
        <f t="shared" si="151"/>
      </c>
      <c r="L548" s="879">
        <f t="shared" si="182"/>
      </c>
      <c r="M548" s="880">
        <f t="shared" si="30"/>
      </c>
      <c r="N548" s="881">
        <f t="shared" si="120"/>
      </c>
      <c r="O548" s="882" t="s">
        <v>904</v>
      </c>
      <c r="P548" s="883" t="s">
        <v>916</v>
      </c>
      <c r="Q548" s="896">
        <v>33581</v>
      </c>
      <c r="R548" s="896">
        <v>4654</v>
      </c>
      <c r="S548" s="896">
        <v>11</v>
      </c>
      <c r="T548" s="896">
        <v>64</v>
      </c>
      <c r="U548" s="864"/>
    </row>
    <row r="549">
      <c r="A549" s="928"/>
      <c r="B549" s="923" t="s">
        <v>910</v>
      </c>
      <c r="C549" s="923"/>
      <c r="D549" s="886">
        <f>SUM(D546:D548)</f>
      </c>
      <c r="E549" s="886">
        <f>SUM(E546:E548)</f>
      </c>
      <c r="F549" s="886">
        <f>SUM(F546:F548)</f>
      </c>
      <c r="G549" s="887">
        <f>SUM(G546:G548)</f>
      </c>
      <c r="H549" s="886">
        <f>SUM(H546:H548)</f>
      </c>
      <c r="I549" s="888">
        <f t="shared" si="213"/>
      </c>
      <c r="J549" s="889">
        <f t="shared" si="244"/>
      </c>
      <c r="K549" s="890">
        <f t="shared" si="151"/>
      </c>
      <c r="L549" s="891">
        <f t="shared" si="182"/>
      </c>
      <c r="M549" s="891">
        <f t="shared" si="30"/>
      </c>
      <c r="N549" s="892">
        <f t="shared" si="120"/>
      </c>
      <c r="O549" s="892"/>
      <c r="P549" s="892"/>
      <c r="Q549" s="893">
        <f>SUM(Q546:Q548)</f>
      </c>
      <c r="R549" s="893">
        <f>SUM(R546:R548)</f>
      </c>
      <c r="S549" s="893">
        <f>SUM(S546:S548)</f>
      </c>
      <c r="T549" s="893">
        <f>SUM(T546:T548)</f>
      </c>
      <c r="U549" s="864"/>
    </row>
    <row r="550">
      <c r="A550" s="928"/>
      <c r="B550" s="927" t="s">
        <v>926</v>
      </c>
      <c r="C550" s="927"/>
      <c r="D550" s="899">
        <f>D534+D549+D539+D545</f>
      </c>
      <c r="E550" s="899">
        <f>E534+E549+E539+E545</f>
      </c>
      <c r="F550" s="899">
        <f>F534+F549+F539+F545</f>
      </c>
      <c r="G550" s="900">
        <f>G534+G549+G539+G545</f>
      </c>
      <c r="H550" s="899">
        <f>H534+H549+H539+H545</f>
      </c>
      <c r="I550" s="901">
        <f t="shared" si="213"/>
      </c>
      <c r="J550" s="901">
        <f t="shared" si="244"/>
      </c>
      <c r="K550" s="902">
        <f t="shared" si="151"/>
      </c>
      <c r="L550" s="903">
        <f t="shared" si="182"/>
      </c>
      <c r="M550" s="903">
        <f t="shared" si="30"/>
      </c>
      <c r="N550" s="901">
        <f t="shared" si="120"/>
      </c>
      <c r="O550" s="904"/>
      <c r="P550" s="904"/>
      <c r="Q550" s="900">
        <f>Q534+Q549+Q539+Q545</f>
      </c>
      <c r="R550" s="900">
        <f>R534+R549+R539+R545</f>
      </c>
      <c r="S550" s="900">
        <f>S534+S549+S539+S545</f>
      </c>
      <c r="T550" s="900">
        <f>T534+T539+T549+T545</f>
      </c>
      <c r="U550" s="864"/>
    </row>
    <row r="551"/>
    <row r="552"/>
    <row r="553"/>
    <row r="554">
      <c r="A554" s="864"/>
      <c r="B554" s="864"/>
      <c r="C554" s="864"/>
      <c r="D554" s="864"/>
      <c r="E554" s="864"/>
      <c r="F554" s="864"/>
      <c r="G554" s="929"/>
      <c r="H554" s="864"/>
      <c r="I554" s="864"/>
      <c r="S554" s="864"/>
      <c r="T554" s="864"/>
    </row>
    <row r="555">
      <c r="A555" s="864"/>
      <c r="B555" s="864"/>
      <c r="C555" s="864"/>
      <c r="D555" s="864"/>
      <c r="E555" s="864"/>
      <c r="F555" s="864"/>
      <c r="G555" s="929"/>
      <c r="H555" s="864"/>
      <c r="I555" s="864"/>
      <c r="S555" s="864"/>
      <c r="T555" s="864"/>
    </row>
    <row r="556">
      <c r="G556" s="930"/>
    </row>
    <row r="557">
      <c r="G557" s="930"/>
    </row>
    <row r="558">
      <c r="G558" s="930"/>
    </row>
    <row r="559">
      <c r="G559" s="930"/>
    </row>
    <row r="560">
      <c r="G560" s="930"/>
    </row>
    <row r="561">
      <c r="G561" s="930"/>
    </row>
    <row r="562">
      <c r="G562" s="930"/>
    </row>
    <row r="563">
      <c r="G563" s="930"/>
    </row>
    <row r="564">
      <c r="G564" s="930"/>
    </row>
    <row r="565">
      <c r="G565" s="930"/>
    </row>
    <row r="566">
      <c r="G566" s="930"/>
    </row>
    <row r="567">
      <c r="G567" s="930"/>
    </row>
    <row r="568">
      <c r="G568" s="930"/>
    </row>
    <row r="569">
      <c r="G569" s="930"/>
    </row>
    <row r="570">
      <c r="G570" s="930"/>
    </row>
    <row r="571">
      <c r="G571" s="930"/>
    </row>
    <row r="572">
      <c r="G572" s="930"/>
    </row>
    <row r="573">
      <c r="G573" s="930"/>
    </row>
    <row r="574">
      <c r="G574" s="930"/>
    </row>
    <row r="575">
      <c r="G575" s="930"/>
    </row>
    <row r="576">
      <c r="G576" s="930"/>
    </row>
    <row r="577">
      <c r="G577" s="930"/>
    </row>
    <row r="578">
      <c r="G578" s="930"/>
    </row>
    <row r="579">
      <c r="G579" s="930"/>
    </row>
    <row r="580">
      <c r="G580" s="930"/>
    </row>
    <row r="581">
      <c r="G581" s="930"/>
    </row>
    <row r="582">
      <c r="G582" s="930"/>
    </row>
    <row r="583">
      <c r="G583" s="930"/>
    </row>
    <row r="584">
      <c r="G584" s="930"/>
    </row>
    <row r="585">
      <c r="G585" s="930"/>
    </row>
    <row r="586">
      <c r="G586" s="930"/>
    </row>
    <row r="587">
      <c r="G587" s="930"/>
    </row>
    <row r="588">
      <c r="G588" s="930"/>
    </row>
    <row r="589">
      <c r="G589" s="930"/>
    </row>
    <row r="590">
      <c r="G590" s="930"/>
    </row>
    <row r="591">
      <c r="G591" s="930"/>
    </row>
    <row r="592">
      <c r="G592" s="930"/>
    </row>
    <row r="593">
      <c r="G593" s="930"/>
    </row>
    <row r="594">
      <c r="G594" s="930"/>
    </row>
    <row r="595">
      <c r="G595" s="930"/>
    </row>
    <row r="596">
      <c r="G596" s="930"/>
    </row>
    <row r="597">
      <c r="G597" s="930"/>
    </row>
    <row r="598">
      <c r="G598" s="930"/>
    </row>
    <row r="599">
      <c r="G599" s="930"/>
    </row>
    <row r="600">
      <c r="G600" s="930"/>
    </row>
    <row r="601">
      <c r="G601" s="930"/>
    </row>
    <row r="602">
      <c r="G602" s="930"/>
    </row>
    <row r="603">
      <c r="G603" s="930"/>
    </row>
    <row r="604">
      <c r="G604" s="930"/>
    </row>
    <row r="605">
      <c r="G605" s="930"/>
    </row>
    <row r="606">
      <c r="G606" s="930"/>
    </row>
    <row r="607">
      <c r="G607" s="930"/>
    </row>
    <row r="608">
      <c r="G608" s="930"/>
    </row>
    <row r="609">
      <c r="G609" s="930"/>
    </row>
    <row r="610">
      <c r="G610" s="930"/>
    </row>
    <row r="611">
      <c r="G611" s="930"/>
    </row>
    <row r="612">
      <c r="G612" s="930"/>
    </row>
    <row r="613">
      <c r="G613" s="930"/>
    </row>
    <row r="614">
      <c r="G614" s="930"/>
    </row>
    <row r="615">
      <c r="G615" s="930"/>
    </row>
    <row r="616">
      <c r="G616" s="930"/>
    </row>
    <row r="617">
      <c r="G617" s="930"/>
    </row>
    <row r="618">
      <c r="G618" s="930"/>
    </row>
    <row r="619">
      <c r="G619" s="930"/>
    </row>
    <row r="620">
      <c r="G620" s="930"/>
    </row>
    <row r="621">
      <c r="G621" s="930"/>
    </row>
    <row r="622">
      <c r="G622" s="930"/>
    </row>
    <row r="623">
      <c r="G623" s="930"/>
    </row>
    <row r="624">
      <c r="G624" s="930"/>
    </row>
    <row r="625">
      <c r="G625" s="930"/>
    </row>
    <row r="626">
      <c r="G626" s="930"/>
    </row>
    <row r="627">
      <c r="G627" s="930"/>
    </row>
    <row r="628">
      <c r="G628" s="930"/>
    </row>
    <row r="629">
      <c r="G629" s="930"/>
    </row>
    <row r="630">
      <c r="G630" s="930"/>
    </row>
    <row r="631">
      <c r="G631" s="930"/>
    </row>
    <row r="632">
      <c r="G632" s="930"/>
    </row>
    <row r="633">
      <c r="G633" s="930"/>
    </row>
    <row r="634">
      <c r="G634" s="930"/>
    </row>
    <row r="635">
      <c r="G635" s="930"/>
    </row>
    <row r="636">
      <c r="G636" s="930"/>
    </row>
    <row r="637">
      <c r="G637" s="930"/>
    </row>
    <row r="638">
      <c r="G638" s="930"/>
    </row>
    <row r="639">
      <c r="G639" s="930"/>
    </row>
    <row r="640">
      <c r="G640" s="930"/>
    </row>
    <row r="641">
      <c r="G641" s="930"/>
    </row>
    <row r="642">
      <c r="G642" s="930"/>
    </row>
    <row r="643">
      <c r="G643" s="930"/>
    </row>
    <row r="644">
      <c r="G644" s="930"/>
    </row>
    <row r="645">
      <c r="G645" s="930"/>
    </row>
    <row r="646">
      <c r="G646" s="930"/>
    </row>
    <row r="647">
      <c r="G647" s="930"/>
    </row>
    <row r="648">
      <c r="G648" s="930"/>
    </row>
    <row r="649">
      <c r="G649" s="930"/>
    </row>
    <row r="650">
      <c r="G650" s="930"/>
    </row>
    <row r="651">
      <c r="G651" s="930"/>
    </row>
    <row r="652">
      <c r="G652" s="930"/>
    </row>
    <row r="653">
      <c r="G653" s="930"/>
    </row>
    <row r="654">
      <c r="G654" s="930"/>
    </row>
    <row r="655">
      <c r="G655" s="930"/>
    </row>
    <row r="656">
      <c r="G656" s="930"/>
    </row>
    <row r="657">
      <c r="G657" s="930"/>
    </row>
    <row r="658">
      <c r="G658" s="930"/>
    </row>
    <row r="659">
      <c r="G659" s="930"/>
    </row>
    <row r="660">
      <c r="G660" s="930"/>
    </row>
    <row r="661">
      <c r="G661" s="930"/>
    </row>
    <row r="662">
      <c r="G662" s="930"/>
    </row>
    <row r="663">
      <c r="G663" s="930"/>
    </row>
    <row r="664">
      <c r="G664" s="930"/>
    </row>
    <row r="665">
      <c r="G665" s="930"/>
    </row>
    <row r="666">
      <c r="G666" s="930"/>
    </row>
    <row r="667">
      <c r="G667" s="930"/>
    </row>
    <row r="668">
      <c r="G668" s="930"/>
    </row>
    <row r="669">
      <c r="G669" s="930"/>
    </row>
    <row r="670">
      <c r="G670" s="930"/>
    </row>
    <row r="671">
      <c r="G671" s="930"/>
    </row>
    <row r="672">
      <c r="G672" s="930"/>
    </row>
    <row r="673">
      <c r="G673" s="930"/>
    </row>
    <row r="674">
      <c r="G674" s="930"/>
    </row>
    <row r="675">
      <c r="G675" s="930"/>
    </row>
    <row r="676">
      <c r="G676" s="930"/>
    </row>
    <row r="677">
      <c r="G677" s="930"/>
    </row>
    <row r="678">
      <c r="G678" s="930"/>
    </row>
    <row r="679">
      <c r="G679" s="930"/>
    </row>
    <row r="680">
      <c r="G680" s="930"/>
    </row>
    <row r="681">
      <c r="G681" s="930"/>
    </row>
    <row r="682">
      <c r="G682" s="930"/>
    </row>
    <row r="683">
      <c r="G683" s="930"/>
    </row>
    <row r="684">
      <c r="G684" s="930"/>
    </row>
    <row r="685">
      <c r="G685" s="930"/>
    </row>
    <row r="686">
      <c r="G686" s="930"/>
    </row>
    <row r="687">
      <c r="G687" s="930"/>
    </row>
    <row r="688">
      <c r="G688" s="930"/>
    </row>
    <row r="689">
      <c r="G689" s="930"/>
    </row>
    <row r="690">
      <c r="G690" s="930"/>
    </row>
    <row r="691">
      <c r="G691" s="930"/>
    </row>
    <row r="692">
      <c r="G692" s="930"/>
    </row>
    <row r="693">
      <c r="G693" s="930"/>
    </row>
    <row r="694">
      <c r="G694" s="930"/>
    </row>
    <row r="695">
      <c r="G695" s="930"/>
    </row>
    <row r="696">
      <c r="G696" s="930"/>
    </row>
    <row r="697">
      <c r="G697" s="930"/>
    </row>
    <row r="698">
      <c r="G698" s="930"/>
    </row>
    <row r="699">
      <c r="G699" s="930"/>
    </row>
    <row r="700">
      <c r="G700" s="930"/>
    </row>
    <row r="701">
      <c r="G701" s="930"/>
    </row>
    <row r="702">
      <c r="G702" s="930"/>
    </row>
    <row r="703">
      <c r="G703" s="930"/>
    </row>
    <row r="704">
      <c r="G704" s="930"/>
    </row>
    <row r="705">
      <c r="G705" s="930"/>
    </row>
    <row r="706">
      <c r="G706" s="930"/>
    </row>
    <row r="707">
      <c r="G707" s="930"/>
    </row>
    <row r="708">
      <c r="G708" s="930"/>
    </row>
    <row r="709">
      <c r="G709" s="930"/>
    </row>
    <row r="710">
      <c r="G710" s="930"/>
    </row>
    <row r="711">
      <c r="G711" s="930"/>
    </row>
    <row r="712">
      <c r="G712" s="930"/>
    </row>
    <row r="713">
      <c r="G713" s="930"/>
    </row>
    <row r="714">
      <c r="G714" s="930"/>
    </row>
    <row r="715">
      <c r="G715" s="930"/>
    </row>
    <row r="716">
      <c r="G716" s="930"/>
    </row>
    <row r="717">
      <c r="G717" s="930"/>
    </row>
    <row r="718">
      <c r="G718" s="930"/>
    </row>
    <row r="719">
      <c r="G719" s="930"/>
    </row>
    <row r="720">
      <c r="G720" s="930"/>
    </row>
    <row r="721">
      <c r="G721" s="930"/>
    </row>
    <row r="722">
      <c r="G722" s="930"/>
    </row>
    <row r="723">
      <c r="G723" s="930"/>
    </row>
    <row r="724">
      <c r="G724" s="930"/>
    </row>
    <row r="725">
      <c r="G725" s="930"/>
    </row>
    <row r="726">
      <c r="G726" s="930"/>
    </row>
    <row r="727">
      <c r="G727" s="930"/>
    </row>
    <row r="728">
      <c r="G728" s="930"/>
    </row>
    <row r="729">
      <c r="G729" s="930"/>
    </row>
    <row r="730">
      <c r="G730" s="930"/>
    </row>
    <row r="731">
      <c r="G731" s="930"/>
    </row>
    <row r="732">
      <c r="G732" s="930"/>
    </row>
    <row r="733">
      <c r="G733" s="930"/>
    </row>
    <row r="734">
      <c r="G734" s="930"/>
    </row>
    <row r="735">
      <c r="G735" s="930"/>
    </row>
    <row r="736">
      <c r="G736" s="930"/>
    </row>
    <row r="737">
      <c r="G737" s="930"/>
    </row>
    <row r="738">
      <c r="G738" s="930"/>
    </row>
    <row r="739">
      <c r="G739" s="930"/>
    </row>
    <row r="740">
      <c r="G740" s="930"/>
    </row>
    <row r="741">
      <c r="G741" s="930"/>
    </row>
    <row r="742">
      <c r="G742" s="930"/>
    </row>
    <row r="743">
      <c r="G743" s="930"/>
    </row>
    <row r="744">
      <c r="G744" s="930"/>
    </row>
    <row r="745">
      <c r="G745" s="930"/>
    </row>
    <row r="746">
      <c r="G746" s="930"/>
    </row>
    <row r="747">
      <c r="G747" s="930"/>
    </row>
    <row r="748">
      <c r="G748" s="930"/>
    </row>
    <row r="749">
      <c r="G749" s="930"/>
    </row>
    <row r="750">
      <c r="G750" s="930"/>
    </row>
    <row r="751">
      <c r="G751" s="930"/>
    </row>
    <row r="752">
      <c r="G752" s="930"/>
    </row>
    <row r="753">
      <c r="G753" s="930"/>
    </row>
    <row r="754">
      <c r="G754" s="930"/>
    </row>
    <row r="755">
      <c r="G755" s="930"/>
    </row>
    <row r="756">
      <c r="G756" s="930"/>
    </row>
    <row r="757">
      <c r="G757" s="930"/>
    </row>
    <row r="758">
      <c r="G758" s="930"/>
    </row>
    <row r="759">
      <c r="G759" s="930"/>
    </row>
    <row r="760">
      <c r="G760" s="930"/>
    </row>
    <row r="761">
      <c r="G761" s="930"/>
    </row>
    <row r="762">
      <c r="G762" s="930"/>
    </row>
    <row r="763">
      <c r="G763" s="930"/>
    </row>
    <row r="764">
      <c r="G764" s="930"/>
    </row>
    <row r="765">
      <c r="G765" s="930"/>
    </row>
    <row r="766">
      <c r="G766" s="930"/>
    </row>
    <row r="767">
      <c r="G767" s="930"/>
    </row>
    <row r="768">
      <c r="G768" s="930"/>
    </row>
    <row r="769">
      <c r="G769" s="930"/>
    </row>
    <row r="770">
      <c r="G770" s="930"/>
    </row>
    <row r="771">
      <c r="G771" s="930"/>
    </row>
    <row r="772">
      <c r="G772" s="930"/>
    </row>
    <row r="773">
      <c r="G773" s="930"/>
    </row>
    <row r="774">
      <c r="G774" s="930"/>
    </row>
    <row r="775">
      <c r="G775" s="930"/>
    </row>
    <row r="776">
      <c r="G776" s="930"/>
    </row>
    <row r="777">
      <c r="G777" s="930"/>
    </row>
    <row r="778">
      <c r="G778" s="930"/>
    </row>
    <row r="779">
      <c r="G779" s="930"/>
    </row>
    <row r="780">
      <c r="G780" s="930"/>
    </row>
    <row r="781">
      <c r="G781" s="930"/>
    </row>
    <row r="782">
      <c r="G782" s="930"/>
    </row>
    <row r="783">
      <c r="G783" s="930"/>
    </row>
    <row r="784">
      <c r="G784" s="930"/>
    </row>
    <row r="785">
      <c r="G785" s="930"/>
    </row>
    <row r="786">
      <c r="G786" s="930"/>
    </row>
    <row r="787">
      <c r="G787" s="930"/>
    </row>
    <row r="788">
      <c r="G788" s="930"/>
    </row>
    <row r="789">
      <c r="G789" s="930"/>
    </row>
    <row r="790">
      <c r="G790" s="930"/>
    </row>
    <row r="791">
      <c r="G791" s="930"/>
    </row>
    <row r="792">
      <c r="G792" s="930"/>
    </row>
    <row r="793">
      <c r="G793" s="930"/>
    </row>
    <row r="794">
      <c r="G794" s="930"/>
    </row>
    <row r="795">
      <c r="G795" s="930"/>
    </row>
    <row r="796">
      <c r="G796" s="930"/>
    </row>
    <row r="797">
      <c r="G797" s="930"/>
    </row>
    <row r="798">
      <c r="G798" s="930"/>
    </row>
    <row r="799">
      <c r="G799" s="930"/>
    </row>
    <row r="800">
      <c r="G800" s="930"/>
    </row>
    <row r="801">
      <c r="G801" s="930"/>
    </row>
    <row r="802">
      <c r="G802" s="930"/>
    </row>
    <row r="803">
      <c r="G803" s="930"/>
    </row>
    <row r="804">
      <c r="G804" s="930"/>
    </row>
    <row r="805">
      <c r="G805" s="930"/>
    </row>
    <row r="806">
      <c r="G806" s="930"/>
    </row>
    <row r="807">
      <c r="G807" s="930"/>
    </row>
    <row r="808">
      <c r="G808" s="930"/>
    </row>
    <row r="809">
      <c r="G809" s="930"/>
    </row>
    <row r="810">
      <c r="G810" s="930"/>
    </row>
    <row r="811">
      <c r="G811" s="930"/>
    </row>
    <row r="812">
      <c r="G812" s="930"/>
    </row>
    <row r="813">
      <c r="G813" s="930"/>
    </row>
    <row r="814">
      <c r="G814" s="930"/>
    </row>
    <row r="815">
      <c r="G815" s="930"/>
    </row>
    <row r="816">
      <c r="G816" s="930"/>
    </row>
    <row r="817">
      <c r="G817" s="930"/>
    </row>
    <row r="818">
      <c r="G818" s="930"/>
    </row>
    <row r="819">
      <c r="G819" s="930"/>
    </row>
    <row r="820">
      <c r="G820" s="930"/>
    </row>
    <row r="821">
      <c r="G821" s="930"/>
    </row>
    <row r="822">
      <c r="G822" s="930"/>
    </row>
    <row r="823">
      <c r="G823" s="930"/>
    </row>
    <row r="824">
      <c r="G824" s="930"/>
    </row>
    <row r="825">
      <c r="G825" s="930"/>
    </row>
    <row r="826">
      <c r="G826" s="930"/>
    </row>
    <row r="827">
      <c r="G827" s="930"/>
    </row>
    <row r="828">
      <c r="G828" s="930"/>
    </row>
    <row r="829">
      <c r="G829" s="930"/>
    </row>
    <row r="830">
      <c r="G830" s="930"/>
    </row>
    <row r="831">
      <c r="G831" s="930"/>
    </row>
    <row r="832">
      <c r="G832" s="930"/>
    </row>
    <row r="833">
      <c r="G833" s="930"/>
    </row>
    <row r="834">
      <c r="G834" s="930"/>
    </row>
    <row r="835">
      <c r="G835" s="930"/>
    </row>
    <row r="836">
      <c r="G836" s="930"/>
    </row>
    <row r="837">
      <c r="G837" s="930"/>
    </row>
    <row r="838">
      <c r="G838" s="930"/>
    </row>
    <row r="839">
      <c r="G839" s="930"/>
    </row>
    <row r="840">
      <c r="G840" s="930"/>
    </row>
    <row r="841">
      <c r="G841" s="930"/>
    </row>
    <row r="842">
      <c r="G842" s="930"/>
    </row>
    <row r="843">
      <c r="G843" s="930"/>
    </row>
    <row r="844">
      <c r="G844" s="930"/>
    </row>
    <row r="845">
      <c r="G845" s="930"/>
    </row>
    <row r="846">
      <c r="G846" s="930"/>
    </row>
    <row r="847">
      <c r="G847" s="930"/>
    </row>
    <row r="848">
      <c r="G848" s="930"/>
    </row>
    <row r="849">
      <c r="G849" s="930"/>
    </row>
    <row r="850">
      <c r="G850" s="930"/>
    </row>
    <row r="851">
      <c r="G851" s="930"/>
    </row>
    <row r="852">
      <c r="G852" s="930"/>
    </row>
    <row r="853">
      <c r="G853" s="930"/>
    </row>
    <row r="854">
      <c r="G854" s="930"/>
    </row>
    <row r="855">
      <c r="G855" s="930"/>
    </row>
    <row r="856">
      <c r="G856" s="930"/>
    </row>
    <row r="857">
      <c r="G857" s="930"/>
    </row>
    <row r="858">
      <c r="G858" s="930"/>
    </row>
    <row r="859">
      <c r="G859" s="930"/>
    </row>
    <row r="860">
      <c r="G860" s="930"/>
    </row>
    <row r="861">
      <c r="G861" s="930"/>
    </row>
    <row r="862">
      <c r="G862" s="930"/>
    </row>
    <row r="863">
      <c r="G863" s="930"/>
    </row>
    <row r="864">
      <c r="G864" s="930"/>
    </row>
    <row r="865">
      <c r="G865" s="930"/>
    </row>
    <row r="866">
      <c r="G866" s="930"/>
    </row>
    <row r="867">
      <c r="G867" s="930"/>
    </row>
    <row r="868">
      <c r="G868" s="930"/>
    </row>
    <row r="869">
      <c r="G869" s="930"/>
    </row>
    <row r="870">
      <c r="G870" s="930"/>
    </row>
    <row r="871">
      <c r="G871" s="930"/>
    </row>
    <row r="872">
      <c r="G872" s="930"/>
    </row>
    <row r="873">
      <c r="G873" s="930"/>
    </row>
    <row r="874">
      <c r="G874" s="930"/>
    </row>
    <row r="875">
      <c r="G875" s="930"/>
    </row>
    <row r="876">
      <c r="G876" s="930"/>
    </row>
    <row r="877">
      <c r="G877" s="930"/>
    </row>
    <row r="878">
      <c r="G878" s="930"/>
    </row>
    <row r="879">
      <c r="G879" s="930"/>
    </row>
    <row r="880">
      <c r="G880" s="930"/>
    </row>
    <row r="881">
      <c r="G881" s="930"/>
    </row>
    <row r="882">
      <c r="G882" s="930"/>
    </row>
    <row r="883">
      <c r="G883" s="930"/>
    </row>
    <row r="884">
      <c r="G884" s="930"/>
    </row>
    <row r="885">
      <c r="G885" s="930"/>
    </row>
    <row r="886">
      <c r="G886" s="930"/>
    </row>
    <row r="887">
      <c r="G887" s="930"/>
    </row>
    <row r="888">
      <c r="G888" s="930"/>
    </row>
    <row r="889">
      <c r="G889" s="930"/>
    </row>
    <row r="890">
      <c r="G890" s="930"/>
    </row>
    <row r="891">
      <c r="G891" s="930"/>
    </row>
    <row r="892">
      <c r="G892" s="930"/>
    </row>
    <row r="893">
      <c r="G893" s="930"/>
    </row>
    <row r="894">
      <c r="G894" s="930"/>
    </row>
    <row r="895">
      <c r="G895" s="930"/>
    </row>
    <row r="896">
      <c r="G896" s="930"/>
    </row>
    <row r="897">
      <c r="G897" s="930"/>
    </row>
    <row r="898">
      <c r="G898" s="930"/>
    </row>
    <row r="899">
      <c r="G899" s="930"/>
    </row>
    <row r="900">
      <c r="G900" s="930"/>
    </row>
    <row r="901">
      <c r="G901" s="930"/>
    </row>
    <row r="902">
      <c r="G902" s="930"/>
    </row>
    <row r="903">
      <c r="G903" s="930"/>
    </row>
    <row r="904">
      <c r="G904" s="930"/>
    </row>
    <row r="905">
      <c r="G905" s="930"/>
    </row>
    <row r="906">
      <c r="G906" s="930"/>
    </row>
    <row r="907">
      <c r="G907" s="930"/>
    </row>
    <row r="908">
      <c r="G908" s="930"/>
    </row>
    <row r="909">
      <c r="G909" s="930"/>
    </row>
    <row r="910">
      <c r="G910" s="930"/>
    </row>
    <row r="911">
      <c r="G911" s="930"/>
    </row>
    <row r="912">
      <c r="G912" s="930"/>
    </row>
    <row r="913">
      <c r="G913" s="930"/>
    </row>
    <row r="914">
      <c r="G914" s="930"/>
    </row>
    <row r="915">
      <c r="G915" s="930"/>
    </row>
    <row r="916">
      <c r="G916" s="930"/>
    </row>
    <row r="917">
      <c r="G917" s="930"/>
    </row>
    <row r="918">
      <c r="G918" s="930"/>
    </row>
    <row r="919">
      <c r="G919" s="930"/>
    </row>
    <row r="920">
      <c r="G920" s="930"/>
    </row>
    <row r="921">
      <c r="G921" s="930"/>
    </row>
    <row r="922">
      <c r="G922" s="930"/>
    </row>
    <row r="923">
      <c r="G923" s="930"/>
    </row>
    <row r="924">
      <c r="G924" s="930"/>
    </row>
    <row r="925">
      <c r="G925" s="930"/>
    </row>
    <row r="926">
      <c r="G926" s="930"/>
    </row>
    <row r="927">
      <c r="G927" s="930"/>
    </row>
    <row r="928">
      <c r="G928" s="930"/>
    </row>
    <row r="929">
      <c r="G929" s="930"/>
    </row>
    <row r="930">
      <c r="G930" s="930"/>
    </row>
    <row r="931">
      <c r="G931" s="930"/>
    </row>
    <row r="932">
      <c r="G932" s="930"/>
    </row>
    <row r="933">
      <c r="G933" s="930"/>
    </row>
    <row r="934">
      <c r="G934" s="930"/>
    </row>
    <row r="935">
      <c r="G935" s="930"/>
    </row>
    <row r="936">
      <c r="G936" s="930"/>
    </row>
    <row r="937">
      <c r="G937" s="930"/>
    </row>
    <row r="938">
      <c r="G938" s="930"/>
    </row>
    <row r="939">
      <c r="G939" s="930"/>
    </row>
    <row r="940">
      <c r="G940" s="930"/>
    </row>
    <row r="941">
      <c r="G941" s="930"/>
    </row>
    <row r="942">
      <c r="G942" s="930"/>
    </row>
    <row r="943">
      <c r="G943" s="930"/>
    </row>
    <row r="944">
      <c r="G944" s="930"/>
    </row>
    <row r="945">
      <c r="G945" s="930"/>
    </row>
    <row r="946">
      <c r="G946" s="930"/>
    </row>
    <row r="947">
      <c r="G947" s="930"/>
    </row>
    <row r="948">
      <c r="G948" s="930"/>
    </row>
    <row r="949">
      <c r="G949" s="930"/>
    </row>
    <row r="950">
      <c r="G950" s="930"/>
    </row>
    <row r="951">
      <c r="G951" s="930"/>
    </row>
    <row r="952">
      <c r="G952" s="930"/>
    </row>
    <row r="953">
      <c r="G953" s="930"/>
    </row>
    <row r="954">
      <c r="G954" s="930"/>
    </row>
    <row r="955">
      <c r="G955" s="930"/>
    </row>
    <row r="956">
      <c r="G956" s="930"/>
    </row>
    <row r="957">
      <c r="G957" s="930"/>
    </row>
    <row r="958">
      <c r="G958" s="930"/>
    </row>
    <row r="959">
      <c r="G959" s="930"/>
    </row>
    <row r="960">
      <c r="G960" s="930"/>
    </row>
    <row r="961">
      <c r="G961" s="930"/>
    </row>
    <row r="962">
      <c r="G962" s="930"/>
    </row>
    <row r="963">
      <c r="G963" s="930"/>
    </row>
    <row r="964">
      <c r="G964" s="930"/>
    </row>
    <row r="965">
      <c r="G965" s="930"/>
    </row>
    <row r="966">
      <c r="G966" s="930"/>
    </row>
    <row r="967">
      <c r="G967" s="930"/>
    </row>
    <row r="968">
      <c r="G968" s="930"/>
    </row>
    <row r="969">
      <c r="G969" s="930"/>
    </row>
    <row r="970">
      <c r="G970" s="930"/>
    </row>
    <row r="971">
      <c r="G971" s="930"/>
    </row>
    <row r="972">
      <c r="G972" s="930"/>
    </row>
    <row r="973">
      <c r="G973" s="930"/>
    </row>
    <row r="974">
      <c r="G974" s="930"/>
    </row>
    <row r="975">
      <c r="G975" s="930"/>
    </row>
    <row r="976">
      <c r="G976" s="930"/>
    </row>
    <row r="977">
      <c r="G977" s="930"/>
    </row>
    <row r="978">
      <c r="G978" s="930"/>
    </row>
    <row r="979">
      <c r="G979" s="930"/>
    </row>
    <row r="980">
      <c r="G980" s="930"/>
    </row>
    <row r="981">
      <c r="G981" s="930"/>
    </row>
    <row r="982">
      <c r="G982" s="930"/>
    </row>
    <row r="983">
      <c r="G983" s="930"/>
    </row>
    <row r="984">
      <c r="G984" s="930"/>
    </row>
    <row r="985">
      <c r="G985" s="930"/>
    </row>
    <row r="986">
      <c r="G986" s="930"/>
    </row>
    <row r="987">
      <c r="G987" s="930"/>
    </row>
    <row r="988">
      <c r="G988" s="930"/>
    </row>
    <row r="989">
      <c r="G989" s="930"/>
    </row>
    <row r="990">
      <c r="G990" s="930"/>
    </row>
    <row r="991">
      <c r="G991" s="930"/>
    </row>
    <row r="992">
      <c r="G992" s="930"/>
    </row>
    <row r="993">
      <c r="G993" s="930"/>
    </row>
    <row r="994">
      <c r="G994" s="930"/>
    </row>
    <row r="995">
      <c r="G995" s="930"/>
    </row>
    <row r="996">
      <c r="G996" s="930"/>
    </row>
    <row r="997">
      <c r="G997" s="930"/>
    </row>
    <row r="998">
      <c r="G998" s="930"/>
    </row>
    <row r="999">
      <c r="G999" s="930"/>
    </row>
    <row r="1000">
      <c r="G1000" s="930"/>
    </row>
    <row r="1001">
      <c r="G1001" s="930"/>
    </row>
    <row r="1002">
      <c r="G1002" s="930"/>
    </row>
    <row r="1003">
      <c r="G1003" s="930"/>
    </row>
    <row r="1004">
      <c r="G1004" s="930"/>
    </row>
    <row r="1005">
      <c r="G1005" s="930"/>
    </row>
    <row r="1006">
      <c r="G1006" s="930"/>
    </row>
  </sheetData>
  <autoFilter ref="A1:U1006"/>
  <mergeCells>
    <mergeCell ref="B523:C523"/>
    <mergeCell ref="B527:C527"/>
    <mergeCell ref="B526:C526"/>
    <mergeCell ref="B511:C511"/>
    <mergeCell ref="A506:C506"/>
    <mergeCell ref="D506:K506"/>
    <mergeCell ref="L506:P506"/>
    <mergeCell ref="Q506:T506"/>
    <mergeCell ref="B505:C505"/>
    <mergeCell ref="B504:C504"/>
    <mergeCell ref="B500:C500"/>
    <mergeCell ref="B495:C495"/>
    <mergeCell ref="A491:A505"/>
    <mergeCell ref="A489:C489"/>
    <mergeCell ref="D489:K489"/>
    <mergeCell ref="L489:P489"/>
    <mergeCell ref="Q489:T489"/>
    <mergeCell ref="A474:A488"/>
    <mergeCell ref="B487:C487"/>
    <mergeCell ref="B488:C488"/>
    <mergeCell ref="B483:C483"/>
    <mergeCell ref="B478:C478"/>
    <mergeCell ref="A472:C472"/>
    <mergeCell ref="D472:K472"/>
    <mergeCell ref="L472:P472"/>
    <mergeCell ref="Q472:T472"/>
    <mergeCell ref="A456:C456"/>
    <mergeCell ref="D456:K456"/>
    <mergeCell ref="L456:P456"/>
    <mergeCell ref="Q456:T456"/>
    <mergeCell ref="B455:C455"/>
    <mergeCell ref="A442:A455"/>
    <mergeCell ref="B454:C454"/>
    <mergeCell ref="B449:C449"/>
    <mergeCell ref="B445:C445"/>
    <mergeCell ref="A440:C440"/>
    <mergeCell ref="D440:K440"/>
    <mergeCell ref="L440:P440"/>
    <mergeCell ref="Q440:T440"/>
    <mergeCell ref="B439:C439"/>
    <mergeCell ref="B438:C438"/>
    <mergeCell ref="A423:A439"/>
    <mergeCell ref="A421:C421"/>
    <mergeCell ref="D421:K421"/>
    <mergeCell ref="L421:P421"/>
    <mergeCell ref="Q421:T421"/>
    <mergeCell ref="B420:C420"/>
    <mergeCell ref="A404:A420"/>
    <mergeCell ref="B419:C419"/>
    <mergeCell ref="B415:C415"/>
    <mergeCell ref="B411:C411"/>
    <mergeCell ref="B407:C407"/>
    <mergeCell ref="A402:C402"/>
    <mergeCell ref="D402:K402"/>
    <mergeCell ref="L402:P402"/>
    <mergeCell ref="Q402:T402"/>
    <mergeCell ref="B401:C401"/>
    <mergeCell ref="B400:C400"/>
    <mergeCell ref="B396:C396"/>
    <mergeCell ref="B392:C392"/>
    <mergeCell ref="A389:A401"/>
    <mergeCell ref="A387:C387"/>
    <mergeCell ref="D387:K387"/>
    <mergeCell ref="L387:P387"/>
    <mergeCell ref="Q387:T387"/>
    <mergeCell ref="B366:C366"/>
    <mergeCell ref="Q360:T360"/>
    <mergeCell ref="L360:P360"/>
    <mergeCell ref="D360:K360"/>
    <mergeCell ref="A360:C360"/>
    <mergeCell ref="A332:A344"/>
    <mergeCell ref="B343:C343"/>
    <mergeCell ref="B344:C344"/>
    <mergeCell ref="B339:C339"/>
    <mergeCell ref="B336:C336"/>
    <mergeCell ref="Q330:T330"/>
    <mergeCell ref="L330:P330"/>
    <mergeCell ref="D330:K330"/>
    <mergeCell ref="A330:C330"/>
    <mergeCell ref="B329:C329"/>
    <mergeCell ref="B328:C328"/>
    <mergeCell ref="B325:C325"/>
    <mergeCell ref="B321:C321"/>
    <mergeCell ref="A317:A329"/>
    <mergeCell ref="Q315:T315"/>
    <mergeCell ref="L315:P315"/>
    <mergeCell ref="D315:K315"/>
    <mergeCell ref="A315:C315"/>
    <mergeCell ref="A304:A314"/>
    <mergeCell ref="B313:C313"/>
    <mergeCell ref="B314:C314"/>
    <mergeCell ref="B296:C296"/>
    <mergeCell ref="B301:C301"/>
    <mergeCell ref="B300:C300"/>
    <mergeCell ref="A286:A301"/>
    <mergeCell ref="A252:A267"/>
    <mergeCell ref="B266:C266"/>
    <mergeCell ref="B267:C267"/>
    <mergeCell ref="B261:C261"/>
    <mergeCell ref="B256:C256"/>
    <mergeCell ref="Q250:T250"/>
    <mergeCell ref="L250:P250"/>
    <mergeCell ref="D250:K250"/>
    <mergeCell ref="A250:C250"/>
    <mergeCell ref="B154:C154"/>
    <mergeCell ref="Q149:T149"/>
    <mergeCell ref="L149:P149"/>
    <mergeCell ref="D149:K149"/>
    <mergeCell ref="A149:C149"/>
    <mergeCell ref="B147:C147"/>
    <mergeCell ref="A138:A148"/>
    <mergeCell ref="B148:C148"/>
    <mergeCell ref="B125:C125"/>
    <mergeCell ref="A115:A135"/>
    <mergeCell ref="B130:C130"/>
    <mergeCell ref="B134:C134"/>
    <mergeCell ref="B135:C135"/>
    <mergeCell ref="B106:C106"/>
    <mergeCell ref="B101:C101"/>
    <mergeCell ref="B96:C96"/>
    <mergeCell ref="Q90:T90"/>
    <mergeCell ref="L90:P90"/>
    <mergeCell ref="D90:K90"/>
    <mergeCell ref="A90:C90"/>
    <mergeCell ref="B89:C89"/>
    <mergeCell ref="B88:C88"/>
    <mergeCell ref="B84:C84"/>
    <mergeCell ref="B78:C78"/>
    <mergeCell ref="B73:C73"/>
    <mergeCell ref="A69:A89"/>
    <mergeCell ref="Q67:T67"/>
    <mergeCell ref="L67:P67"/>
    <mergeCell ref="D67:K67"/>
    <mergeCell ref="A67:C67"/>
    <mergeCell ref="B36:C36"/>
    <mergeCell ref="B30:C30"/>
    <mergeCell ref="Q24:T24"/>
    <mergeCell ref="L24:P24"/>
    <mergeCell ref="D24:K24"/>
    <mergeCell ref="A24:C24"/>
    <mergeCell ref="B22:C22"/>
    <mergeCell ref="B18:C18"/>
    <mergeCell ref="A3:A23"/>
    <mergeCell ref="B23:C23"/>
    <mergeCell ref="B14:C14"/>
    <mergeCell ref="B8:C8"/>
    <mergeCell ref="Q1:T1"/>
    <mergeCell ref="L1:P1"/>
    <mergeCell ref="D1:K1"/>
    <mergeCell ref="A1:C1"/>
    <mergeCell ref="A26:A43"/>
    <mergeCell ref="B43:C43"/>
    <mergeCell ref="B42:C42"/>
    <mergeCell ref="B55:C55"/>
    <mergeCell ref="B50:C50"/>
    <mergeCell ref="Q44:T44"/>
    <mergeCell ref="L44:P44"/>
    <mergeCell ref="D44:K44"/>
    <mergeCell ref="A44:C44"/>
    <mergeCell ref="B61:C61"/>
    <mergeCell ref="B66:C66"/>
    <mergeCell ref="A46:A66"/>
    <mergeCell ref="B65:C65"/>
    <mergeCell ref="A92:A112"/>
    <mergeCell ref="B111:C111"/>
    <mergeCell ref="B112:C112"/>
    <mergeCell ref="Q113:T113"/>
    <mergeCell ref="L113:P113"/>
    <mergeCell ref="D113:K113"/>
    <mergeCell ref="A113:C113"/>
    <mergeCell ref="B119:C119"/>
    <mergeCell ref="Q136:T136"/>
    <mergeCell ref="L136:P136"/>
    <mergeCell ref="D136:K136"/>
    <mergeCell ref="A136:C136"/>
    <mergeCell ref="B142:C142"/>
    <mergeCell ref="A151:A161"/>
    <mergeCell ref="B160:C160"/>
    <mergeCell ref="B161:C161"/>
    <mergeCell ref="B172:C172"/>
    <mergeCell ref="B168:C168"/>
    <mergeCell ref="Q162:T162"/>
    <mergeCell ref="L162:P162"/>
    <mergeCell ref="D162:K162"/>
    <mergeCell ref="A162:C162"/>
    <mergeCell ref="A164:A178"/>
    <mergeCell ref="B177:C177"/>
    <mergeCell ref="B178:C178"/>
    <mergeCell ref="Q179:T179"/>
    <mergeCell ref="L179:P179"/>
    <mergeCell ref="D179:K179"/>
    <mergeCell ref="A179:C179"/>
    <mergeCell ref="B185:C185"/>
    <mergeCell ref="B196:C196"/>
    <mergeCell ref="B195:C195"/>
    <mergeCell ref="A181:A196"/>
    <mergeCell ref="B191:C191"/>
    <mergeCell ref="Q197:T197"/>
    <mergeCell ref="L197:P197"/>
    <mergeCell ref="D197:K197"/>
    <mergeCell ref="A197:C197"/>
    <mergeCell ref="A199:A214"/>
    <mergeCell ref="B203:C203"/>
    <mergeCell ref="B209:C209"/>
    <mergeCell ref="B213:C213"/>
    <mergeCell ref="B214:C214"/>
    <mergeCell ref="Q215:T215"/>
    <mergeCell ref="L215:P215"/>
    <mergeCell ref="D215:K215"/>
    <mergeCell ref="A215:C215"/>
    <mergeCell ref="B221:C221"/>
    <mergeCell ref="B226:C226"/>
    <mergeCell ref="B231:C231"/>
    <mergeCell ref="B230:C230"/>
    <mergeCell ref="A217:A231"/>
    <mergeCell ref="Q232:T232"/>
    <mergeCell ref="L232:P232"/>
    <mergeCell ref="D232:K232"/>
    <mergeCell ref="A232:C232"/>
    <mergeCell ref="B249:C249"/>
    <mergeCell ref="B248:C248"/>
    <mergeCell ref="B244:C244"/>
    <mergeCell ref="B239:C239"/>
    <mergeCell ref="A234:A249"/>
    <mergeCell ref="Q268:T268"/>
    <mergeCell ref="L268:P268"/>
    <mergeCell ref="D268:K268"/>
    <mergeCell ref="A268:C268"/>
    <mergeCell ref="A270:A283"/>
    <mergeCell ref="B274:C274"/>
    <mergeCell ref="B279:C279"/>
    <mergeCell ref="B282:C282"/>
    <mergeCell ref="B283:C283"/>
    <mergeCell ref="Q284:T284"/>
    <mergeCell ref="L284:P284"/>
    <mergeCell ref="D284:K284"/>
    <mergeCell ref="A284:C284"/>
    <mergeCell ref="B290:C290"/>
    <mergeCell ref="Q302:T302"/>
    <mergeCell ref="L302:P302"/>
    <mergeCell ref="D302:K302"/>
    <mergeCell ref="A302:C302"/>
    <mergeCell ref="B308:C308"/>
    <mergeCell ref="Q345:T345"/>
    <mergeCell ref="L345:P345"/>
    <mergeCell ref="D345:K345"/>
    <mergeCell ref="A345:C345"/>
    <mergeCell ref="B350:C350"/>
    <mergeCell ref="B359:C359"/>
    <mergeCell ref="B358:C358"/>
    <mergeCell ref="B354:C354"/>
    <mergeCell ref="A347:A359"/>
    <mergeCell ref="B371:C371"/>
    <mergeCell ref="B370:C370"/>
    <mergeCell ref="A362:A371"/>
    <mergeCell ref="A372:C372"/>
    <mergeCell ref="D372:K372"/>
    <mergeCell ref="L372:P372"/>
    <mergeCell ref="Q372:T372"/>
    <mergeCell ref="A374:A386"/>
    <mergeCell ref="B377:C377"/>
    <mergeCell ref="B381:C381"/>
    <mergeCell ref="B385:C385"/>
    <mergeCell ref="B386:C386"/>
    <mergeCell ref="B426:C426"/>
    <mergeCell ref="B431:C431"/>
    <mergeCell ref="B435:C435"/>
    <mergeCell ref="B462:C462"/>
    <mergeCell ref="B471:C471"/>
    <mergeCell ref="B470:C470"/>
    <mergeCell ref="B467:C467"/>
    <mergeCell ref="A458:A471"/>
    <mergeCell ref="B517:C517"/>
    <mergeCell ref="A508:A527"/>
    <mergeCell ref="A528:C528"/>
    <mergeCell ref="D528:K528"/>
    <mergeCell ref="L528:P528"/>
    <mergeCell ref="Q528:T528"/>
    <mergeCell ref="A530:A550"/>
    <mergeCell ref="B534:C534"/>
    <mergeCell ref="B539:C539"/>
    <mergeCell ref="B545:C545"/>
    <mergeCell ref="B549:C549"/>
    <mergeCell ref="B550:C550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8" min="18" style="0" width="11.211267605633802"/>
    <col collapsed="false" customWidth="true" hidden="false" max="4" min="4" style="0" width="11.211267605633802"/>
    <col collapsed="false" customWidth="true" hidden="false" max="16" min="16" style="0" width="11.211267605633802"/>
    <col collapsed="false" customWidth="true" hidden="false" max="17" min="17" style="0" width="11.211267605633802"/>
  </cols>
  <sheetData>
    <row r="1">
      <c r="A1" s="931" t="s">
        <v>972</v>
      </c>
      <c r="B1" s="931"/>
      <c r="C1" s="931"/>
      <c r="D1" s="932" t="s">
        <v>973</v>
      </c>
      <c r="E1" s="932"/>
      <c r="F1" s="932"/>
      <c r="G1" s="932"/>
      <c r="H1" s="932"/>
      <c r="I1" s="932"/>
      <c r="J1" s="933" t="s">
        <v>974</v>
      </c>
      <c r="K1" s="933"/>
      <c r="L1" s="933"/>
      <c r="M1" s="933"/>
      <c r="N1" s="933"/>
      <c r="O1" s="934" t="s">
        <v>975</v>
      </c>
      <c r="P1" s="934"/>
      <c r="Q1" s="934"/>
      <c r="R1" s="934"/>
      <c r="S1" s="935"/>
      <c r="T1" s="935"/>
      <c r="U1" s="935"/>
      <c r="V1" s="935"/>
    </row>
    <row r="2">
      <c r="A2" s="936" t="s">
        <v>976</v>
      </c>
      <c r="B2" s="936" t="s">
        <v>977</v>
      </c>
      <c r="C2" s="937" t="s">
        <v>978</v>
      </c>
      <c r="D2" s="932" t="s">
        <v>979</v>
      </c>
      <c r="E2" s="938" t="s">
        <v>980</v>
      </c>
      <c r="F2" s="932" t="s">
        <v>981</v>
      </c>
      <c r="G2" s="939" t="s">
        <v>982</v>
      </c>
      <c r="H2" s="940" t="s">
        <v>983</v>
      </c>
      <c r="I2" s="932" t="s">
        <v>984</v>
      </c>
      <c r="J2" s="941" t="s">
        <v>985</v>
      </c>
      <c r="K2" s="941" t="s">
        <v>986</v>
      </c>
      <c r="L2" s="941" t="s">
        <v>987</v>
      </c>
      <c r="M2" s="933" t="s">
        <v>988</v>
      </c>
      <c r="N2" s="933" t="s">
        <v>989</v>
      </c>
      <c r="O2" s="942" t="s">
        <v>990</v>
      </c>
      <c r="P2" s="943" t="s">
        <v>991</v>
      </c>
      <c r="Q2" s="943" t="s">
        <v>992</v>
      </c>
      <c r="R2" s="943" t="s">
        <v>993</v>
      </c>
      <c r="S2" s="935"/>
      <c r="T2" s="935"/>
      <c r="U2" s="935"/>
      <c r="V2" s="935"/>
    </row>
    <row r="3">
      <c r="A3" s="944" t="s">
        <v>994</v>
      </c>
      <c r="B3" s="945" t="s">
        <v>995</v>
      </c>
      <c r="C3" s="946" t="s">
        <v>996</v>
      </c>
      <c r="D3" s="947">
        <v>1216.93</v>
      </c>
      <c r="E3" s="945">
        <v>1</v>
      </c>
      <c r="F3" s="947">
        <v>215.04</v>
      </c>
      <c r="G3" s="948">
        <f t="shared" ref="G3:G11" si="180">F3/D3</f>
      </c>
      <c r="H3" s="948">
        <f t="shared" ref="H3:H11" si="0">D3/E3</f>
      </c>
      <c r="I3" s="948">
        <f t="shared" ref="I3:I11" si="78">F3/E3</f>
      </c>
      <c r="J3" s="949">
        <f t="shared" ref="J3:J11" si="137">P3/O3</f>
      </c>
      <c r="K3" s="950">
        <f t="shared" ref="K3:K11" si="9">E3/Q3</f>
      </c>
      <c r="L3" s="951">
        <f t="shared" ref="L3:L11" si="52">(R3*1000)/D3</f>
      </c>
      <c r="M3" s="952" t="s">
        <v>997</v>
      </c>
      <c r="N3" s="953" t="s">
        <v>998</v>
      </c>
      <c r="O3" s="954">
        <v>15962</v>
      </c>
      <c r="P3" s="954">
        <v>2696</v>
      </c>
      <c r="Q3" s="955">
        <v>2</v>
      </c>
      <c r="R3" s="955">
        <v>30</v>
      </c>
      <c r="S3" s="935"/>
      <c r="T3" s="935"/>
      <c r="U3" s="935"/>
      <c r="V3" s="935"/>
    </row>
    <row r="4">
      <c r="A4" s="956"/>
      <c r="B4" s="945" t="s">
        <v>995</v>
      </c>
      <c r="C4" s="957" t="s">
        <v>999</v>
      </c>
      <c r="D4" s="947">
        <v>658.81</v>
      </c>
      <c r="E4" s="958">
        <v>3</v>
      </c>
      <c r="F4" s="947">
        <v>4283.64</v>
      </c>
      <c r="G4" s="948">
        <f t="shared" si="180"/>
      </c>
      <c r="H4" s="948">
        <f t="shared" si="0"/>
      </c>
      <c r="I4" s="948">
        <f t="shared" si="78"/>
      </c>
      <c r="J4" s="949">
        <f t="shared" si="137"/>
      </c>
      <c r="K4" s="950">
        <f t="shared" si="9"/>
      </c>
      <c r="L4" s="951">
        <f t="shared" si="52"/>
      </c>
      <c r="M4" s="952" t="s">
        <v>997</v>
      </c>
      <c r="N4" s="953" t="s">
        <v>998</v>
      </c>
      <c r="O4" s="959">
        <v>6125</v>
      </c>
      <c r="P4" s="959">
        <v>1026</v>
      </c>
      <c r="Q4" s="960">
        <v>6</v>
      </c>
      <c r="R4" s="960">
        <v>42</v>
      </c>
      <c r="S4" s="935"/>
      <c r="T4" s="935"/>
      <c r="U4" s="935"/>
      <c r="V4" s="935"/>
    </row>
    <row r="5">
      <c r="A5" s="956"/>
      <c r="B5" s="945" t="s">
        <v>995</v>
      </c>
      <c r="C5" s="957" t="s">
        <v>1000</v>
      </c>
      <c r="D5" s="947">
        <v>2411.29</v>
      </c>
      <c r="E5" s="958">
        <v>11</v>
      </c>
      <c r="F5" s="947">
        <v>5364.23</v>
      </c>
      <c r="G5" s="948">
        <f t="shared" si="180"/>
      </c>
      <c r="H5" s="948">
        <f t="shared" si="0"/>
      </c>
      <c r="I5" s="948">
        <f t="shared" si="78"/>
      </c>
      <c r="J5" s="949">
        <f t="shared" si="137"/>
      </c>
      <c r="K5" s="950">
        <f t="shared" si="9"/>
      </c>
      <c r="L5" s="951">
        <f t="shared" si="52"/>
      </c>
      <c r="M5" s="952" t="s">
        <v>997</v>
      </c>
      <c r="N5" s="953" t="s">
        <v>998</v>
      </c>
      <c r="O5" s="959">
        <v>21236</v>
      </c>
      <c r="P5" s="959">
        <v>3111</v>
      </c>
      <c r="Q5" s="960">
        <v>12</v>
      </c>
      <c r="R5" s="960">
        <v>44</v>
      </c>
      <c r="S5" s="935"/>
      <c r="T5" s="935"/>
      <c r="U5" s="935"/>
      <c r="V5" s="935"/>
    </row>
    <row r="6">
      <c r="A6" s="956"/>
      <c r="B6" s="961" t="s">
        <v>1001</v>
      </c>
      <c r="C6" s="961"/>
      <c r="D6" s="962">
        <f>SUM(D3:D5)</f>
      </c>
      <c r="E6" s="963">
        <f>SUM(E3:E5)</f>
      </c>
      <c r="F6" s="962">
        <f>SUM(F3:F5)</f>
      </c>
      <c r="G6" s="964">
        <f t="shared" si="180"/>
      </c>
      <c r="H6" s="965">
        <f t="shared" si="0"/>
      </c>
      <c r="I6" s="966">
        <f t="shared" si="78"/>
      </c>
      <c r="J6" s="967">
        <f t="shared" si="137"/>
      </c>
      <c r="K6" s="967">
        <f t="shared" si="9"/>
      </c>
      <c r="L6" s="968">
        <f t="shared" si="52"/>
      </c>
      <c r="M6" s="968"/>
      <c r="N6" s="968"/>
      <c r="O6" s="969">
        <f>SUM(O3:O5)</f>
      </c>
      <c r="P6" s="969">
        <f>SUM(P3:P5)</f>
      </c>
      <c r="Q6" s="969">
        <f>SUM(Q3:Q5)</f>
      </c>
      <c r="R6" s="969">
        <f>SUM(R3:R5)</f>
      </c>
      <c r="S6" s="935"/>
      <c r="T6" s="935"/>
      <c r="U6" s="935"/>
      <c r="V6" s="935"/>
    </row>
    <row r="7">
      <c r="A7" s="956"/>
      <c r="B7" s="945" t="s">
        <v>1002</v>
      </c>
      <c r="C7" s="957" t="s">
        <v>1003</v>
      </c>
      <c r="D7" s="947">
        <v>2199.01</v>
      </c>
      <c r="E7" s="958">
        <v>10</v>
      </c>
      <c r="F7" s="947">
        <v>7724.580000000002</v>
      </c>
      <c r="G7" s="948">
        <f t="shared" si="180"/>
      </c>
      <c r="H7" s="948">
        <f t="shared" si="0"/>
      </c>
      <c r="I7" s="948">
        <f t="shared" si="78"/>
      </c>
      <c r="J7" s="949">
        <f t="shared" si="137"/>
      </c>
      <c r="K7" s="950">
        <f t="shared" si="9"/>
      </c>
      <c r="L7" s="951">
        <f t="shared" si="52"/>
      </c>
      <c r="M7" s="952" t="s">
        <v>997</v>
      </c>
      <c r="N7" s="953" t="s">
        <v>998</v>
      </c>
      <c r="O7" s="959">
        <v>25257</v>
      </c>
      <c r="P7" s="959">
        <v>3060</v>
      </c>
      <c r="Q7" s="960">
        <v>16</v>
      </c>
      <c r="R7" s="970">
        <v>61</v>
      </c>
      <c r="S7" s="935"/>
      <c r="T7" s="935"/>
      <c r="U7" s="935"/>
      <c r="V7" s="935"/>
    </row>
    <row r="8">
      <c r="A8" s="956"/>
      <c r="B8" s="945" t="s">
        <v>1002</v>
      </c>
      <c r="C8" s="957" t="s">
        <v>1004</v>
      </c>
      <c r="D8" s="947">
        <v>2406.66</v>
      </c>
      <c r="E8" s="958">
        <v>2</v>
      </c>
      <c r="F8" s="947">
        <v>430.0799999999981</v>
      </c>
      <c r="G8" s="948">
        <f t="shared" si="180"/>
      </c>
      <c r="H8" s="948">
        <f t="shared" si="0"/>
      </c>
      <c r="I8" s="948">
        <f t="shared" si="78"/>
      </c>
      <c r="J8" s="949">
        <f t="shared" si="137"/>
      </c>
      <c r="K8" s="950">
        <f t="shared" si="9"/>
      </c>
      <c r="L8" s="951">
        <f t="shared" si="52"/>
      </c>
      <c r="M8" s="952" t="s">
        <v>997</v>
      </c>
      <c r="N8" s="953" t="s">
        <v>998</v>
      </c>
      <c r="O8" s="959">
        <v>37368</v>
      </c>
      <c r="P8" s="959">
        <v>3908</v>
      </c>
      <c r="Q8" s="960">
        <v>7</v>
      </c>
      <c r="R8" s="970">
        <v>50</v>
      </c>
      <c r="S8" s="935"/>
      <c r="T8" s="935"/>
      <c r="U8" s="935"/>
      <c r="V8" s="935"/>
    </row>
    <row r="9">
      <c r="A9" s="956"/>
      <c r="B9" s="945" t="s">
        <v>1002</v>
      </c>
      <c r="C9" s="957" t="s">
        <v>1005</v>
      </c>
      <c r="D9" s="947">
        <v>569.9899999999998</v>
      </c>
      <c r="E9" s="971">
        <v>3</v>
      </c>
      <c r="F9" s="947">
        <v>1570.5600000000013</v>
      </c>
      <c r="G9" s="948">
        <f t="shared" si="180"/>
      </c>
      <c r="H9" s="948">
        <f t="shared" si="0"/>
      </c>
      <c r="I9" s="948">
        <f t="shared" si="78"/>
      </c>
      <c r="J9" s="949">
        <f t="shared" si="137"/>
      </c>
      <c r="K9" s="950">
        <f t="shared" si="9"/>
      </c>
      <c r="L9" s="951">
        <f t="shared" si="52"/>
      </c>
      <c r="M9" s="952" t="s">
        <v>997</v>
      </c>
      <c r="N9" s="953" t="s">
        <v>998</v>
      </c>
      <c r="O9" s="959">
        <v>6900</v>
      </c>
      <c r="P9" s="959">
        <v>948</v>
      </c>
      <c r="Q9" s="960">
        <v>5</v>
      </c>
      <c r="R9" s="970">
        <v>23</v>
      </c>
      <c r="S9" s="935"/>
      <c r="T9" s="935"/>
      <c r="U9" s="935"/>
      <c r="V9" s="935"/>
    </row>
    <row r="10">
      <c r="A10" s="956"/>
      <c r="B10" s="972" t="s">
        <v>1001</v>
      </c>
      <c r="C10" s="972"/>
      <c r="D10" s="962">
        <f>SUM(D7:D9)</f>
      </c>
      <c r="E10" s="963">
        <f>SUM(E7:E9)</f>
      </c>
      <c r="F10" s="962">
        <f>SUM(F7:F9)</f>
      </c>
      <c r="G10" s="964">
        <f t="shared" si="180"/>
      </c>
      <c r="H10" s="965">
        <f t="shared" si="0"/>
      </c>
      <c r="I10" s="966">
        <f t="shared" si="78"/>
      </c>
      <c r="J10" s="967">
        <f t="shared" si="137"/>
      </c>
      <c r="K10" s="967">
        <f t="shared" si="9"/>
      </c>
      <c r="L10" s="968">
        <f t="shared" si="52"/>
      </c>
      <c r="M10" s="968"/>
      <c r="N10" s="968"/>
      <c r="O10" s="969">
        <f>SUM(O7:O9)</f>
      </c>
      <c r="P10" s="969">
        <f>SUM(P7:P9)</f>
      </c>
      <c r="Q10" s="969">
        <f>SUM(Q7:Q9)</f>
      </c>
      <c r="R10" s="969">
        <f>SUM(R7:R9)</f>
      </c>
      <c r="S10" s="935"/>
      <c r="T10" s="935"/>
      <c r="U10" s="935"/>
      <c r="V10" s="935"/>
    </row>
    <row r="11">
      <c r="A11" s="956"/>
      <c r="B11" s="973" t="s">
        <v>1006</v>
      </c>
      <c r="C11" s="973"/>
      <c r="D11" s="974">
        <f>D6+D10</f>
      </c>
      <c r="E11" s="974">
        <f>E6+E10</f>
      </c>
      <c r="F11" s="974">
        <f>F6+F10</f>
      </c>
      <c r="G11" s="975">
        <f t="shared" si="180"/>
      </c>
      <c r="H11" s="973">
        <f t="shared" si="0"/>
      </c>
      <c r="I11" s="973">
        <f t="shared" si="78"/>
      </c>
      <c r="J11" s="976">
        <f t="shared" si="137"/>
      </c>
      <c r="K11" s="976">
        <f t="shared" si="9"/>
      </c>
      <c r="L11" s="973">
        <f t="shared" si="52"/>
      </c>
      <c r="M11" s="977"/>
      <c r="N11" s="977"/>
      <c r="O11" s="974">
        <f>O6+O10</f>
      </c>
      <c r="P11" s="974">
        <f>P6+P10</f>
      </c>
      <c r="Q11" s="974">
        <f>Q6+Q10</f>
      </c>
      <c r="R11" s="974">
        <f>R6+R10</f>
      </c>
      <c r="S11" s="935"/>
      <c r="T11" s="935"/>
      <c r="U11" s="935"/>
      <c r="V11" s="935"/>
    </row>
    <row r="12">
      <c r="A12" s="931" t="s">
        <v>972</v>
      </c>
      <c r="B12" s="931"/>
      <c r="C12" s="931"/>
      <c r="D12" s="932" t="s">
        <v>973</v>
      </c>
      <c r="E12" s="932"/>
      <c r="F12" s="932"/>
      <c r="G12" s="932"/>
      <c r="H12" s="932"/>
      <c r="I12" s="932"/>
      <c r="J12" s="933" t="s">
        <v>974</v>
      </c>
      <c r="K12" s="933"/>
      <c r="L12" s="933"/>
      <c r="M12" s="933"/>
      <c r="N12" s="933"/>
      <c r="O12" s="934" t="s">
        <v>975</v>
      </c>
      <c r="P12" s="934"/>
      <c r="Q12" s="934"/>
      <c r="R12" s="934"/>
    </row>
    <row r="13">
      <c r="A13" s="936" t="s">
        <v>976</v>
      </c>
      <c r="B13" s="936" t="s">
        <v>977</v>
      </c>
      <c r="C13" s="937" t="s">
        <v>978</v>
      </c>
      <c r="D13" s="932" t="s">
        <v>979</v>
      </c>
      <c r="E13" s="938" t="s">
        <v>980</v>
      </c>
      <c r="F13" s="932" t="s">
        <v>981</v>
      </c>
      <c r="G13" s="939" t="s">
        <v>982</v>
      </c>
      <c r="H13" s="940" t="s">
        <v>983</v>
      </c>
      <c r="I13" s="932" t="s">
        <v>984</v>
      </c>
      <c r="J13" s="941" t="s">
        <v>985</v>
      </c>
      <c r="K13" s="941" t="s">
        <v>986</v>
      </c>
      <c r="L13" s="941" t="s">
        <v>987</v>
      </c>
      <c r="M13" s="933" t="s">
        <v>988</v>
      </c>
      <c r="N13" s="933" t="s">
        <v>989</v>
      </c>
      <c r="O13" s="942" t="s">
        <v>990</v>
      </c>
      <c r="P13" s="943" t="s">
        <v>991</v>
      </c>
      <c r="Q13" s="943" t="s">
        <v>992</v>
      </c>
      <c r="R13" s="943" t="s">
        <v>993</v>
      </c>
    </row>
    <row r="14">
      <c r="A14" s="944" t="s">
        <v>1007</v>
      </c>
      <c r="B14" s="945" t="s">
        <v>1008</v>
      </c>
      <c r="C14" s="946" t="s">
        <v>1009</v>
      </c>
      <c r="D14" s="945">
        <v>1215.17</v>
      </c>
      <c r="E14" s="958">
        <v>2</v>
      </c>
      <c r="F14" s="945">
        <v>1779.12</v>
      </c>
      <c r="G14" s="948">
        <f t="shared" ref="G14:G22" si="181">F14/D14</f>
      </c>
      <c r="H14" s="948">
        <f t="shared" ref="H14:H22" si="1">D14/E14</f>
      </c>
      <c r="I14" s="948">
        <f t="shared" ref="I14:I22" si="79">F14/E14</f>
      </c>
      <c r="J14" s="949">
        <f t="shared" ref="J14:J22" si="138">P14/O14</f>
      </c>
      <c r="K14" s="950">
        <f t="shared" ref="K14:K22" si="10">E14/Q14</f>
      </c>
      <c r="L14" s="951">
        <f t="shared" ref="L14:L22" si="53">(R14*1000)/D14</f>
      </c>
      <c r="M14" s="952" t="s">
        <v>997</v>
      </c>
      <c r="N14" s="953" t="s">
        <v>1010</v>
      </c>
      <c r="O14" s="955">
        <v>12445</v>
      </c>
      <c r="P14" s="955">
        <v>1716</v>
      </c>
      <c r="Q14" s="955">
        <v>4</v>
      </c>
      <c r="R14" s="955">
        <v>39</v>
      </c>
    </row>
    <row r="15">
      <c r="A15" s="944"/>
      <c r="B15" s="945" t="s">
        <v>1008</v>
      </c>
      <c r="C15" s="957" t="s">
        <v>999</v>
      </c>
      <c r="D15" s="945">
        <v>667.24</v>
      </c>
      <c r="E15" s="958">
        <v>4</v>
      </c>
      <c r="F15" s="945">
        <v>860.16</v>
      </c>
      <c r="G15" s="948">
        <f t="shared" si="181"/>
      </c>
      <c r="H15" s="948">
        <f t="shared" si="1"/>
      </c>
      <c r="I15" s="948">
        <f t="shared" si="79"/>
      </c>
      <c r="J15" s="949">
        <f t="shared" si="138"/>
      </c>
      <c r="K15" s="950">
        <f t="shared" si="10"/>
      </c>
      <c r="L15" s="951">
        <f t="shared" si="53"/>
      </c>
      <c r="M15" s="952" t="s">
        <v>997</v>
      </c>
      <c r="N15" s="953" t="s">
        <v>1010</v>
      </c>
      <c r="O15" s="960">
        <v>5364</v>
      </c>
      <c r="P15" s="960">
        <v>797</v>
      </c>
      <c r="Q15" s="960">
        <v>5</v>
      </c>
      <c r="R15" s="960">
        <v>15</v>
      </c>
    </row>
    <row r="16">
      <c r="A16" s="944"/>
      <c r="B16" s="945" t="s">
        <v>1008</v>
      </c>
      <c r="C16" s="957" t="s">
        <v>1000</v>
      </c>
      <c r="D16" s="945">
        <v>823.32</v>
      </c>
      <c r="E16" s="958">
        <v>1</v>
      </c>
      <c r="F16" s="945">
        <v>215.04</v>
      </c>
      <c r="G16" s="948">
        <f t="shared" si="181"/>
      </c>
      <c r="H16" s="948">
        <f t="shared" si="1"/>
      </c>
      <c r="I16" s="948">
        <f t="shared" si="79"/>
      </c>
      <c r="J16" s="949">
        <f t="shared" si="138"/>
      </c>
      <c r="K16" s="950">
        <f t="shared" si="10"/>
      </c>
      <c r="L16" s="951">
        <f t="shared" si="53"/>
      </c>
      <c r="M16" s="952" t="s">
        <v>997</v>
      </c>
      <c r="N16" s="953" t="s">
        <v>1010</v>
      </c>
      <c r="O16" s="960">
        <v>6974</v>
      </c>
      <c r="P16" s="960">
        <v>743</v>
      </c>
      <c r="Q16" s="960">
        <v>1</v>
      </c>
      <c r="R16" s="960">
        <v>20</v>
      </c>
    </row>
    <row r="17">
      <c r="A17" s="944"/>
      <c r="B17" s="961" t="s">
        <v>1001</v>
      </c>
      <c r="C17" s="961"/>
      <c r="D17" s="962">
        <f>SUM(D14:D16)</f>
      </c>
      <c r="E17" s="963">
        <f>SUM(E14:E16)</f>
      </c>
      <c r="F17" s="962">
        <f>SUM(F14:F16)</f>
      </c>
      <c r="G17" s="964">
        <f t="shared" si="181"/>
      </c>
      <c r="H17" s="965">
        <f t="shared" si="1"/>
      </c>
      <c r="I17" s="966">
        <f t="shared" si="79"/>
      </c>
      <c r="J17" s="967">
        <f t="shared" si="138"/>
      </c>
      <c r="K17" s="967">
        <f t="shared" si="10"/>
      </c>
      <c r="L17" s="968">
        <f t="shared" si="53"/>
      </c>
      <c r="M17" s="968"/>
      <c r="N17" s="968"/>
      <c r="O17" s="969">
        <f>SUM(O14:O16)</f>
      </c>
      <c r="P17" s="969">
        <f>SUM(P14:P16)</f>
      </c>
      <c r="Q17" s="969">
        <f>SUM(Q14:Q16)</f>
      </c>
      <c r="R17" s="969">
        <f>SUM(R14:R16)</f>
      </c>
    </row>
    <row r="18">
      <c r="A18" s="944"/>
      <c r="B18" s="945" t="s">
        <v>1002</v>
      </c>
      <c r="C18" s="957" t="s">
        <v>1003</v>
      </c>
      <c r="D18" s="945">
        <v>1570.89</v>
      </c>
      <c r="E18" s="958">
        <v>8</v>
      </c>
      <c r="F18" s="945">
        <v>3103.82</v>
      </c>
      <c r="G18" s="948">
        <f t="shared" si="181"/>
      </c>
      <c r="H18" s="948">
        <f t="shared" si="1"/>
      </c>
      <c r="I18" s="948">
        <f t="shared" si="79"/>
      </c>
      <c r="J18" s="949">
        <f t="shared" si="138"/>
      </c>
      <c r="K18" s="950">
        <f t="shared" si="10"/>
      </c>
      <c r="L18" s="951">
        <f t="shared" si="53"/>
      </c>
      <c r="M18" s="952" t="s">
        <v>997</v>
      </c>
      <c r="N18" s="953" t="s">
        <v>1010</v>
      </c>
      <c r="O18" s="960">
        <v>13675</v>
      </c>
      <c r="P18" s="960">
        <v>1676</v>
      </c>
      <c r="Q18" s="960">
        <v>10</v>
      </c>
      <c r="R18" s="970">
        <v>53</v>
      </c>
    </row>
    <row r="19">
      <c r="A19" s="944"/>
      <c r="B19" s="945" t="s">
        <v>1002</v>
      </c>
      <c r="C19" s="957" t="s">
        <v>1004</v>
      </c>
      <c r="D19" s="945">
        <v>1988.72</v>
      </c>
      <c r="E19" s="958">
        <v>4</v>
      </c>
      <c r="F19" s="945">
        <v>2652.26</v>
      </c>
      <c r="G19" s="948">
        <f t="shared" si="181"/>
      </c>
      <c r="H19" s="948">
        <f t="shared" si="1"/>
      </c>
      <c r="I19" s="948">
        <f t="shared" si="79"/>
      </c>
      <c r="J19" s="949">
        <f t="shared" si="138"/>
      </c>
      <c r="K19" s="950">
        <f t="shared" si="10"/>
      </c>
      <c r="L19" s="951">
        <f t="shared" si="53"/>
      </c>
      <c r="M19" s="952" t="s">
        <v>997</v>
      </c>
      <c r="N19" s="953" t="s">
        <v>1010</v>
      </c>
      <c r="O19" s="960">
        <v>22035</v>
      </c>
      <c r="P19" s="960">
        <v>2367</v>
      </c>
      <c r="Q19" s="960">
        <v>7</v>
      </c>
      <c r="R19" s="970">
        <v>55</v>
      </c>
    </row>
    <row r="20">
      <c r="A20" s="944"/>
      <c r="B20" s="945" t="s">
        <v>1002</v>
      </c>
      <c r="C20" s="957" t="s">
        <v>1005</v>
      </c>
      <c r="D20" s="945">
        <v>673.03</v>
      </c>
      <c r="E20" s="958">
        <v>2</v>
      </c>
      <c r="F20" s="945">
        <v>430.08</v>
      </c>
      <c r="G20" s="948">
        <f t="shared" si="181"/>
      </c>
      <c r="H20" s="948">
        <f t="shared" si="1"/>
      </c>
      <c r="I20" s="948">
        <f t="shared" si="79"/>
      </c>
      <c r="J20" s="949">
        <f t="shared" si="138"/>
      </c>
      <c r="K20" s="950">
        <f t="shared" si="10"/>
      </c>
      <c r="L20" s="951">
        <f t="shared" si="53"/>
      </c>
      <c r="M20" s="952" t="s">
        <v>997</v>
      </c>
      <c r="N20" s="953" t="s">
        <v>1010</v>
      </c>
      <c r="O20" s="960">
        <v>6244</v>
      </c>
      <c r="P20" s="960">
        <v>723</v>
      </c>
      <c r="Q20" s="960">
        <v>2</v>
      </c>
      <c r="R20" s="970">
        <v>22</v>
      </c>
    </row>
    <row r="21">
      <c r="A21" s="944"/>
      <c r="B21" s="972" t="s">
        <v>1001</v>
      </c>
      <c r="C21" s="972"/>
      <c r="D21" s="962">
        <f>SUM(D18:D20)</f>
      </c>
      <c r="E21" s="963">
        <f>SUM(E18:E20)</f>
      </c>
      <c r="F21" s="962">
        <f>SUM(F18:F20)</f>
      </c>
      <c r="G21" s="964">
        <f t="shared" si="181"/>
      </c>
      <c r="H21" s="965">
        <f t="shared" si="1"/>
      </c>
      <c r="I21" s="966">
        <f t="shared" si="79"/>
      </c>
      <c r="J21" s="967">
        <f t="shared" si="138"/>
      </c>
      <c r="K21" s="967">
        <f t="shared" si="10"/>
      </c>
      <c r="L21" s="968">
        <f t="shared" si="53"/>
      </c>
      <c r="M21" s="968"/>
      <c r="N21" s="968"/>
      <c r="O21" s="969">
        <f>SUM(O18:O20)</f>
      </c>
      <c r="P21" s="969">
        <f>SUM(P18:P20)</f>
      </c>
      <c r="Q21" s="969">
        <f>SUM(Q18:Q20)</f>
      </c>
      <c r="R21" s="969">
        <f>SUM(R18:R20)</f>
      </c>
    </row>
    <row r="22">
      <c r="A22" s="944"/>
      <c r="B22" s="973" t="s">
        <v>1006</v>
      </c>
      <c r="C22" s="973"/>
      <c r="D22" s="974">
        <f>D17+D21</f>
      </c>
      <c r="E22" s="974">
        <f>E17+E21</f>
      </c>
      <c r="F22" s="974">
        <f>F17+F21</f>
      </c>
      <c r="G22" s="975">
        <f t="shared" si="181"/>
      </c>
      <c r="H22" s="973">
        <f t="shared" si="1"/>
      </c>
      <c r="I22" s="973">
        <f t="shared" si="79"/>
      </c>
      <c r="J22" s="976">
        <f t="shared" si="138"/>
      </c>
      <c r="K22" s="976">
        <f t="shared" si="10"/>
      </c>
      <c r="L22" s="973">
        <f t="shared" si="53"/>
      </c>
      <c r="M22" s="977"/>
      <c r="N22" s="977"/>
      <c r="O22" s="974">
        <f>O17+O21</f>
      </c>
      <c r="P22" s="974">
        <f>P17+P21</f>
      </c>
      <c r="Q22" s="974">
        <f>Q17+Q21</f>
      </c>
      <c r="R22" s="974">
        <f>R17+R21</f>
      </c>
    </row>
    <row r="23">
      <c r="A23" s="931" t="s">
        <v>972</v>
      </c>
      <c r="B23" s="931"/>
      <c r="C23" s="931"/>
      <c r="D23" s="932" t="s">
        <v>973</v>
      </c>
      <c r="E23" s="932"/>
      <c r="F23" s="932"/>
      <c r="G23" s="932"/>
      <c r="H23" s="932"/>
      <c r="I23" s="932"/>
      <c r="J23" s="933" t="s">
        <v>974</v>
      </c>
      <c r="K23" s="933"/>
      <c r="L23" s="933"/>
      <c r="M23" s="933"/>
      <c r="N23" s="933"/>
      <c r="O23" s="934" t="s">
        <v>975</v>
      </c>
      <c r="P23" s="934"/>
      <c r="Q23" s="934"/>
      <c r="R23" s="934"/>
    </row>
    <row r="24">
      <c r="A24" s="936" t="s">
        <v>976</v>
      </c>
      <c r="B24" s="936" t="s">
        <v>977</v>
      </c>
      <c r="C24" s="937" t="s">
        <v>978</v>
      </c>
      <c r="D24" s="932" t="s">
        <v>979</v>
      </c>
      <c r="E24" s="938" t="s">
        <v>980</v>
      </c>
      <c r="F24" s="932" t="s">
        <v>981</v>
      </c>
      <c r="G24" s="939" t="s">
        <v>982</v>
      </c>
      <c r="H24" s="940" t="s">
        <v>983</v>
      </c>
      <c r="I24" s="932" t="s">
        <v>984</v>
      </c>
      <c r="J24" s="941" t="s">
        <v>985</v>
      </c>
      <c r="K24" s="941" t="s">
        <v>986</v>
      </c>
      <c r="L24" s="941" t="s">
        <v>987</v>
      </c>
      <c r="M24" s="933" t="s">
        <v>988</v>
      </c>
      <c r="N24" s="933" t="s">
        <v>989</v>
      </c>
      <c r="O24" s="942" t="s">
        <v>990</v>
      </c>
      <c r="P24" s="943" t="s">
        <v>991</v>
      </c>
      <c r="Q24" s="943" t="s">
        <v>992</v>
      </c>
      <c r="R24" s="943" t="s">
        <v>993</v>
      </c>
    </row>
    <row r="25">
      <c r="A25" s="944" t="s">
        <v>1011</v>
      </c>
      <c r="B25" s="945" t="s">
        <v>1008</v>
      </c>
      <c r="C25" s="946" t="s">
        <v>1012</v>
      </c>
      <c r="D25" s="945">
        <v>1518.29</v>
      </c>
      <c r="E25" s="958">
        <v>6</v>
      </c>
      <c r="F25" s="945">
        <v>1713.64</v>
      </c>
      <c r="G25" s="948">
        <f t="shared" ref="G25:G33" si="182">F25/D25</f>
      </c>
      <c r="H25" s="948">
        <f t="shared" ref="H25:H33" si="2">D25/E25</f>
      </c>
      <c r="I25" s="948">
        <f t="shared" ref="I25:I33" si="80">F25/E25</f>
      </c>
      <c r="J25" s="949">
        <f t="shared" ref="J25:J33" si="139">P25/O25</f>
      </c>
      <c r="K25" s="950">
        <f t="shared" ref="K25:K33" si="11">E25/Q25</f>
      </c>
      <c r="L25" s="951">
        <f t="shared" ref="L25:L33" si="54">(R25*1000)/D25</f>
      </c>
      <c r="M25" s="952" t="s">
        <v>997</v>
      </c>
      <c r="N25" s="953" t="s">
        <v>1013</v>
      </c>
      <c r="O25" s="955">
        <v>18525</v>
      </c>
      <c r="P25" s="955">
        <v>1878</v>
      </c>
      <c r="Q25" s="955">
        <v>12</v>
      </c>
      <c r="R25" s="955">
        <v>46</v>
      </c>
    </row>
    <row r="26">
      <c r="A26" s="944"/>
      <c r="B26" s="945" t="s">
        <v>1008</v>
      </c>
      <c r="C26" s="957" t="s">
        <v>999</v>
      </c>
      <c r="D26" s="945">
        <v>1597.74</v>
      </c>
      <c r="E26" s="958">
        <v>9</v>
      </c>
      <c r="F26" s="945">
        <v>4648.24</v>
      </c>
      <c r="G26" s="948">
        <f t="shared" si="182"/>
      </c>
      <c r="H26" s="948">
        <f t="shared" si="2"/>
      </c>
      <c r="I26" s="948">
        <f t="shared" si="80"/>
      </c>
      <c r="J26" s="949">
        <f t="shared" si="139"/>
      </c>
      <c r="K26" s="950">
        <f t="shared" si="11"/>
      </c>
      <c r="L26" s="951">
        <f t="shared" si="54"/>
      </c>
      <c r="M26" s="952" t="s">
        <v>997</v>
      </c>
      <c r="N26" s="953" t="s">
        <v>1013</v>
      </c>
      <c r="O26" s="960">
        <v>16604</v>
      </c>
      <c r="P26" s="960">
        <v>2664</v>
      </c>
      <c r="Q26" s="960">
        <v>10</v>
      </c>
      <c r="R26" s="960">
        <v>34</v>
      </c>
    </row>
    <row r="27">
      <c r="A27" s="944"/>
      <c r="B27" s="945" t="s">
        <v>1008</v>
      </c>
      <c r="C27" s="957" t="s">
        <v>1000</v>
      </c>
      <c r="D27" s="945">
        <v>4470.27</v>
      </c>
      <c r="E27" s="958">
        <v>13</v>
      </c>
      <c r="F27" s="945">
        <v>5586.839999999999</v>
      </c>
      <c r="G27" s="948">
        <f t="shared" si="182"/>
      </c>
      <c r="H27" s="948">
        <f t="shared" si="2"/>
      </c>
      <c r="I27" s="948">
        <f t="shared" si="80"/>
      </c>
      <c r="J27" s="949">
        <f t="shared" si="139"/>
      </c>
      <c r="K27" s="950">
        <f t="shared" si="11"/>
      </c>
      <c r="L27" s="951">
        <f t="shared" si="54"/>
      </c>
      <c r="M27" s="952" t="s">
        <v>997</v>
      </c>
      <c r="N27" s="953" t="s">
        <v>1013</v>
      </c>
      <c r="O27" s="960">
        <v>42731</v>
      </c>
      <c r="P27" s="960">
        <v>6535</v>
      </c>
      <c r="Q27" s="960">
        <v>15</v>
      </c>
      <c r="R27" s="960">
        <v>98</v>
      </c>
    </row>
    <row r="28">
      <c r="A28" s="944"/>
      <c r="B28" s="961" t="s">
        <v>1001</v>
      </c>
      <c r="C28" s="961"/>
      <c r="D28" s="962">
        <f>SUM(D25:D27)</f>
      </c>
      <c r="E28" s="963">
        <f>SUM(E25:E27)</f>
      </c>
      <c r="F28" s="962">
        <f>SUM(F25:F27)</f>
      </c>
      <c r="G28" s="964">
        <f t="shared" si="182"/>
      </c>
      <c r="H28" s="965">
        <f t="shared" si="2"/>
      </c>
      <c r="I28" s="966">
        <f t="shared" si="80"/>
      </c>
      <c r="J28" s="967">
        <f t="shared" si="139"/>
      </c>
      <c r="K28" s="967">
        <f t="shared" si="11"/>
      </c>
      <c r="L28" s="968">
        <f t="shared" si="54"/>
      </c>
      <c r="M28" s="968"/>
      <c r="N28" s="968"/>
      <c r="O28" s="969">
        <f>SUM(O25:O27)</f>
      </c>
      <c r="P28" s="969">
        <f>SUM(P25:P27)</f>
      </c>
      <c r="Q28" s="969">
        <f>SUM(Q25:Q27)</f>
      </c>
      <c r="R28" s="969">
        <f>SUM(R25:R27)</f>
      </c>
    </row>
    <row r="29">
      <c r="A29" s="944"/>
      <c r="B29" s="945" t="s">
        <v>1002</v>
      </c>
      <c r="C29" s="957" t="s">
        <v>1003</v>
      </c>
      <c r="D29" s="945">
        <v>28.37</v>
      </c>
      <c r="E29" s="958">
        <v>0</v>
      </c>
      <c r="F29" s="945">
        <v>0</v>
      </c>
      <c r="G29" s="948">
        <f t="shared" si="182"/>
      </c>
      <c r="H29" s="948">
        <f t="shared" si="2"/>
      </c>
      <c r="I29" s="948">
        <f t="shared" si="80"/>
      </c>
      <c r="J29" s="949">
        <f t="shared" si="139"/>
      </c>
      <c r="K29" s="950">
        <f t="shared" si="11"/>
      </c>
      <c r="L29" s="951">
        <f t="shared" si="54"/>
      </c>
      <c r="M29" s="952" t="s">
        <v>997</v>
      </c>
      <c r="N29" s="953" t="s">
        <v>1013</v>
      </c>
      <c r="O29" s="960">
        <v>1683</v>
      </c>
      <c r="P29" s="960">
        <v>259</v>
      </c>
      <c r="Q29" s="960">
        <v>0</v>
      </c>
      <c r="R29" s="970">
        <v>10</v>
      </c>
    </row>
    <row r="30">
      <c r="A30" s="944"/>
      <c r="B30" s="945" t="s">
        <v>1002</v>
      </c>
      <c r="C30" s="957" t="s">
        <v>1004</v>
      </c>
      <c r="D30" s="945">
        <v>2096.66</v>
      </c>
      <c r="E30" s="958">
        <v>4</v>
      </c>
      <c r="F30" s="945">
        <v>4020.960000000001</v>
      </c>
      <c r="G30" s="948">
        <f t="shared" si="182"/>
      </c>
      <c r="H30" s="948">
        <f t="shared" si="2"/>
      </c>
      <c r="I30" s="948">
        <f t="shared" si="80"/>
      </c>
      <c r="J30" s="949">
        <f t="shared" si="139"/>
      </c>
      <c r="K30" s="950">
        <f t="shared" si="11"/>
      </c>
      <c r="L30" s="951">
        <f t="shared" si="54"/>
      </c>
      <c r="M30" s="952" t="s">
        <v>997</v>
      </c>
      <c r="N30" s="953" t="s">
        <v>1013</v>
      </c>
      <c r="O30" s="960">
        <v>23265</v>
      </c>
      <c r="P30" s="960">
        <v>3412</v>
      </c>
      <c r="Q30" s="960">
        <v>5</v>
      </c>
      <c r="R30" s="970">
        <v>58</v>
      </c>
    </row>
    <row r="31">
      <c r="A31" s="944"/>
      <c r="B31" s="945" t="s">
        <v>1002</v>
      </c>
      <c r="C31" s="957" t="s">
        <v>1005</v>
      </c>
      <c r="D31" s="945">
        <v>195.13</v>
      </c>
      <c r="E31" s="958">
        <v>1</v>
      </c>
      <c r="F31" s="945">
        <v>215.03999999999905</v>
      </c>
      <c r="G31" s="948">
        <f t="shared" si="182"/>
      </c>
      <c r="H31" s="948">
        <f t="shared" si="2"/>
      </c>
      <c r="I31" s="948">
        <f t="shared" si="80"/>
      </c>
      <c r="J31" s="949">
        <f t="shared" si="139"/>
      </c>
      <c r="K31" s="950">
        <f t="shared" si="11"/>
      </c>
      <c r="L31" s="951">
        <f t="shared" si="54"/>
      </c>
      <c r="M31" s="952" t="s">
        <v>997</v>
      </c>
      <c r="N31" s="953" t="s">
        <v>1013</v>
      </c>
      <c r="O31" s="960">
        <v>1764</v>
      </c>
      <c r="P31" s="960">
        <v>214</v>
      </c>
      <c r="Q31" s="960">
        <v>2</v>
      </c>
      <c r="R31" s="970">
        <v>3</v>
      </c>
    </row>
    <row r="32">
      <c r="A32" s="944"/>
      <c r="B32" s="972" t="s">
        <v>1001</v>
      </c>
      <c r="C32" s="972"/>
      <c r="D32" s="962">
        <f>SUM(D29:D31)</f>
      </c>
      <c r="E32" s="963">
        <f>SUM(E29:E31)</f>
      </c>
      <c r="F32" s="962">
        <f>SUM(F29:F31)</f>
      </c>
      <c r="G32" s="964">
        <f t="shared" si="182"/>
      </c>
      <c r="H32" s="965">
        <f t="shared" si="2"/>
      </c>
      <c r="I32" s="966">
        <f t="shared" si="80"/>
      </c>
      <c r="J32" s="967">
        <f t="shared" si="139"/>
      </c>
      <c r="K32" s="967">
        <f t="shared" si="11"/>
      </c>
      <c r="L32" s="968">
        <f t="shared" si="54"/>
      </c>
      <c r="M32" s="968"/>
      <c r="N32" s="968"/>
      <c r="O32" s="969">
        <f>SUM(O29:O31)</f>
      </c>
      <c r="P32" s="969">
        <f>SUM(P29:P31)</f>
      </c>
      <c r="Q32" s="969">
        <f>SUM(Q29:Q31)</f>
      </c>
      <c r="R32" s="969">
        <f>SUM(R29:R31)</f>
      </c>
    </row>
    <row r="33">
      <c r="A33" s="944"/>
      <c r="B33" s="973" t="s">
        <v>1006</v>
      </c>
      <c r="C33" s="973"/>
      <c r="D33" s="974">
        <f>D28+D32</f>
      </c>
      <c r="E33" s="974">
        <f>E28+E32</f>
      </c>
      <c r="F33" s="974">
        <f>F28+F32</f>
      </c>
      <c r="G33" s="975">
        <f t="shared" si="182"/>
      </c>
      <c r="H33" s="973">
        <f t="shared" si="2"/>
      </c>
      <c r="I33" s="973">
        <f t="shared" si="80"/>
      </c>
      <c r="J33" s="976">
        <f t="shared" si="139"/>
      </c>
      <c r="K33" s="976">
        <f t="shared" si="11"/>
      </c>
      <c r="L33" s="973">
        <f t="shared" si="54"/>
      </c>
      <c r="M33" s="977"/>
      <c r="N33" s="977"/>
      <c r="O33" s="974">
        <f>O28+O32</f>
      </c>
      <c r="P33" s="974">
        <f>P28+P32</f>
      </c>
      <c r="Q33" s="974">
        <f>Q28+Q32</f>
      </c>
      <c r="R33" s="974">
        <f>R28+R32</f>
      </c>
    </row>
    <row r="34">
      <c r="A34" s="931" t="s">
        <v>972</v>
      </c>
      <c r="B34" s="931"/>
      <c r="C34" s="931"/>
      <c r="D34" s="932" t="s">
        <v>973</v>
      </c>
      <c r="E34" s="932"/>
      <c r="F34" s="932"/>
      <c r="G34" s="932"/>
      <c r="H34" s="932"/>
      <c r="I34" s="932"/>
      <c r="J34" s="933" t="s">
        <v>974</v>
      </c>
      <c r="K34" s="933"/>
      <c r="L34" s="933"/>
      <c r="M34" s="933"/>
      <c r="N34" s="933"/>
      <c r="O34" s="934" t="s">
        <v>975</v>
      </c>
      <c r="P34" s="934"/>
      <c r="Q34" s="934"/>
      <c r="R34" s="934"/>
    </row>
    <row r="35">
      <c r="A35" s="936" t="s">
        <v>976</v>
      </c>
      <c r="B35" s="936" t="s">
        <v>977</v>
      </c>
      <c r="C35" s="937" t="s">
        <v>978</v>
      </c>
      <c r="D35" s="932" t="s">
        <v>979</v>
      </c>
      <c r="E35" s="938" t="s">
        <v>980</v>
      </c>
      <c r="F35" s="932" t="s">
        <v>981</v>
      </c>
      <c r="G35" s="939" t="s">
        <v>982</v>
      </c>
      <c r="H35" s="940" t="s">
        <v>983</v>
      </c>
      <c r="I35" s="932" t="s">
        <v>984</v>
      </c>
      <c r="J35" s="941" t="s">
        <v>985</v>
      </c>
      <c r="K35" s="941" t="s">
        <v>986</v>
      </c>
      <c r="L35" s="941" t="s">
        <v>987</v>
      </c>
      <c r="M35" s="933" t="s">
        <v>988</v>
      </c>
      <c r="N35" s="933" t="s">
        <v>989</v>
      </c>
      <c r="O35" s="942" t="s">
        <v>990</v>
      </c>
      <c r="P35" s="943" t="s">
        <v>991</v>
      </c>
      <c r="Q35" s="943" t="s">
        <v>992</v>
      </c>
      <c r="R35" s="943" t="s">
        <v>993</v>
      </c>
    </row>
    <row r="36">
      <c r="A36" s="944" t="s">
        <v>1014</v>
      </c>
      <c r="B36" s="945" t="s">
        <v>1008</v>
      </c>
      <c r="C36" s="946" t="s">
        <v>1015</v>
      </c>
      <c r="D36" s="945">
        <v>6477.46</v>
      </c>
      <c r="E36" s="958">
        <v>15</v>
      </c>
      <c r="F36" s="945">
        <v>5056.82</v>
      </c>
      <c r="G36" s="948">
        <f t="shared" ref="G36:G44" si="183">F36/D36</f>
      </c>
      <c r="H36" s="948">
        <f t="shared" ref="H36:H44" si="3">D36/E36</f>
      </c>
      <c r="I36" s="948">
        <f t="shared" ref="I36:I44" si="81">F36/E36</f>
      </c>
      <c r="J36" s="949">
        <f t="shared" ref="J36:J44" si="140">P36/O36</f>
      </c>
      <c r="K36" s="950">
        <f t="shared" ref="K36:K44" si="12">E36/Q36</f>
      </c>
      <c r="L36" s="951">
        <f t="shared" ref="L36:L44" si="55">(R36*1000)/D36</f>
      </c>
      <c r="M36" s="952" t="s">
        <v>997</v>
      </c>
      <c r="N36" s="953" t="s">
        <v>1013</v>
      </c>
      <c r="O36" s="955">
        <v>66239</v>
      </c>
      <c r="P36" s="955">
        <v>12721</v>
      </c>
      <c r="Q36" s="955">
        <v>25</v>
      </c>
      <c r="R36" s="955">
        <v>207</v>
      </c>
    </row>
    <row r="37">
      <c r="A37" s="944"/>
      <c r="B37" s="945" t="s">
        <v>1008</v>
      </c>
      <c r="C37" s="946" t="s">
        <v>1016</v>
      </c>
      <c r="D37" s="945">
        <v>3588.15</v>
      </c>
      <c r="E37" s="958">
        <v>5</v>
      </c>
      <c r="F37" s="945">
        <v>1476.2400000000007</v>
      </c>
      <c r="G37" s="948">
        <f t="shared" si="183"/>
      </c>
      <c r="H37" s="948">
        <f t="shared" si="3"/>
      </c>
      <c r="I37" s="948">
        <f t="shared" si="81"/>
      </c>
      <c r="J37" s="949">
        <f t="shared" si="140"/>
      </c>
      <c r="K37" s="950">
        <f t="shared" si="12"/>
      </c>
      <c r="L37" s="951">
        <f t="shared" si="55"/>
      </c>
      <c r="M37" s="952" t="s">
        <v>997</v>
      </c>
      <c r="N37" s="953" t="s">
        <v>1013</v>
      </c>
      <c r="O37" s="960">
        <v>36434</v>
      </c>
      <c r="P37" s="960">
        <v>6356</v>
      </c>
      <c r="Q37" s="960">
        <v>10</v>
      </c>
      <c r="R37" s="960">
        <v>110</v>
      </c>
    </row>
    <row r="38">
      <c r="A38" s="944"/>
      <c r="B38" s="945" t="s">
        <v>1008</v>
      </c>
      <c r="C38" s="946" t="s">
        <v>1012</v>
      </c>
      <c r="D38" s="945">
        <v>1725.72</v>
      </c>
      <c r="E38" s="958">
        <v>4</v>
      </c>
      <c r="F38" s="945">
        <v>820.8399999999992</v>
      </c>
      <c r="G38" s="948">
        <f t="shared" si="183"/>
      </c>
      <c r="H38" s="948">
        <f t="shared" si="3"/>
      </c>
      <c r="I38" s="948">
        <f t="shared" si="81"/>
      </c>
      <c r="J38" s="949">
        <f t="shared" si="140"/>
      </c>
      <c r="K38" s="950">
        <f t="shared" si="12"/>
      </c>
      <c r="L38" s="951">
        <f t="shared" si="55"/>
      </c>
      <c r="M38" s="952" t="s">
        <v>997</v>
      </c>
      <c r="N38" s="953" t="s">
        <v>1013</v>
      </c>
      <c r="O38" s="960">
        <v>13984</v>
      </c>
      <c r="P38" s="960">
        <v>1992</v>
      </c>
      <c r="Q38" s="960">
        <v>4</v>
      </c>
      <c r="R38" s="960">
        <v>39</v>
      </c>
    </row>
    <row r="39">
      <c r="A39" s="944"/>
      <c r="B39" s="961" t="s">
        <v>1001</v>
      </c>
      <c r="C39" s="961"/>
      <c r="D39" s="962">
        <f>SUM(D36:D38)</f>
      </c>
      <c r="E39" s="963">
        <f>SUM(E36:E38)</f>
      </c>
      <c r="F39" s="962">
        <f>SUM(F36:F38)</f>
      </c>
      <c r="G39" s="964">
        <f t="shared" si="183"/>
      </c>
      <c r="H39" s="965">
        <f t="shared" si="3"/>
      </c>
      <c r="I39" s="966">
        <f t="shared" si="81"/>
      </c>
      <c r="J39" s="967">
        <f t="shared" si="140"/>
      </c>
      <c r="K39" s="967">
        <f t="shared" si="12"/>
      </c>
      <c r="L39" s="968">
        <f t="shared" si="55"/>
      </c>
      <c r="M39" s="968"/>
      <c r="N39" s="968"/>
      <c r="O39" s="969">
        <f>SUM(O36:O38)</f>
      </c>
      <c r="P39" s="969">
        <f>SUM(P36:P38)</f>
      </c>
      <c r="Q39" s="969">
        <f>SUM(Q36:Q38)</f>
      </c>
      <c r="R39" s="969">
        <f>SUM(R36:R38)</f>
      </c>
    </row>
    <row r="40">
      <c r="A40" s="944"/>
      <c r="B40" s="945" t="s">
        <v>1002</v>
      </c>
      <c r="C40" s="957" t="s">
        <v>999</v>
      </c>
      <c r="D40" s="945">
        <v>1326.54</v>
      </c>
      <c r="E40" s="958">
        <v>7</v>
      </c>
      <c r="F40" s="945">
        <v>3669.870000000001</v>
      </c>
      <c r="G40" s="948">
        <f t="shared" si="183"/>
      </c>
      <c r="H40" s="948">
        <f t="shared" si="3"/>
      </c>
      <c r="I40" s="948">
        <f t="shared" si="81"/>
      </c>
      <c r="J40" s="949">
        <f t="shared" si="140"/>
      </c>
      <c r="K40" s="950">
        <f t="shared" si="12"/>
      </c>
      <c r="L40" s="951">
        <f t="shared" si="55"/>
      </c>
      <c r="M40" s="952" t="s">
        <v>997</v>
      </c>
      <c r="N40" s="953" t="s">
        <v>1013</v>
      </c>
      <c r="O40" s="960">
        <v>10399</v>
      </c>
      <c r="P40" s="960">
        <v>1415</v>
      </c>
      <c r="Q40" s="960">
        <v>8</v>
      </c>
      <c r="R40" s="970">
        <v>33</v>
      </c>
    </row>
    <row r="41">
      <c r="A41" s="944"/>
      <c r="B41" s="945" t="s">
        <v>1002</v>
      </c>
      <c r="C41" s="957" t="s">
        <v>1000</v>
      </c>
      <c r="D41" s="945">
        <v>1952.94</v>
      </c>
      <c r="E41" s="958">
        <v>6</v>
      </c>
      <c r="F41" s="945">
        <v>2619.619999999999</v>
      </c>
      <c r="G41" s="948">
        <f t="shared" si="183"/>
      </c>
      <c r="H41" s="948">
        <f t="shared" si="3"/>
      </c>
      <c r="I41" s="948">
        <f t="shared" si="81"/>
      </c>
      <c r="J41" s="949">
        <f t="shared" si="140"/>
      </c>
      <c r="K41" s="950">
        <f t="shared" si="12"/>
      </c>
      <c r="L41" s="951">
        <f t="shared" si="55"/>
      </c>
      <c r="M41" s="952" t="s">
        <v>997</v>
      </c>
      <c r="N41" s="953" t="s">
        <v>1013</v>
      </c>
      <c r="O41" s="960">
        <v>15197</v>
      </c>
      <c r="P41" s="960">
        <v>1851</v>
      </c>
      <c r="Q41" s="960">
        <v>9</v>
      </c>
      <c r="R41" s="970">
        <v>36</v>
      </c>
    </row>
    <row r="42">
      <c r="A42" s="944"/>
      <c r="B42" s="945" t="s">
        <v>1002</v>
      </c>
      <c r="C42" s="957" t="s">
        <v>1003</v>
      </c>
      <c r="D42" s="945">
        <v>1421.76</v>
      </c>
      <c r="E42" s="958">
        <v>0</v>
      </c>
      <c r="F42" s="945">
        <v>0</v>
      </c>
      <c r="G42" s="948">
        <f t="shared" si="183"/>
      </c>
      <c r="H42" s="948">
        <f t="shared" si="3"/>
      </c>
      <c r="I42" s="948">
        <f t="shared" si="81"/>
      </c>
      <c r="J42" s="949">
        <f t="shared" si="140"/>
      </c>
      <c r="K42" s="950">
        <f t="shared" si="12"/>
      </c>
      <c r="L42" s="951">
        <f t="shared" si="55"/>
      </c>
      <c r="M42" s="952" t="s">
        <v>997</v>
      </c>
      <c r="N42" s="953" t="s">
        <v>1013</v>
      </c>
      <c r="O42" s="960">
        <v>12859</v>
      </c>
      <c r="P42" s="960">
        <v>1680</v>
      </c>
      <c r="Q42" s="960">
        <v>5</v>
      </c>
      <c r="R42" s="970">
        <v>29</v>
      </c>
    </row>
    <row r="43">
      <c r="A43" s="944"/>
      <c r="B43" s="972" t="s">
        <v>1001</v>
      </c>
      <c r="C43" s="972"/>
      <c r="D43" s="962">
        <f>SUM(D40:D42)</f>
      </c>
      <c r="E43" s="963">
        <f>SUM(E40:E42)</f>
      </c>
      <c r="F43" s="962">
        <f>SUM(F40:F42)</f>
      </c>
      <c r="G43" s="964">
        <f t="shared" si="183"/>
      </c>
      <c r="H43" s="965">
        <f t="shared" si="3"/>
      </c>
      <c r="I43" s="966">
        <f t="shared" si="81"/>
      </c>
      <c r="J43" s="967">
        <f t="shared" si="140"/>
      </c>
      <c r="K43" s="967">
        <f t="shared" si="12"/>
      </c>
      <c r="L43" s="968">
        <f t="shared" si="55"/>
      </c>
      <c r="M43" s="968"/>
      <c r="N43" s="968"/>
      <c r="O43" s="969">
        <f>SUM(O40:O42)</f>
      </c>
      <c r="P43" s="969">
        <f>SUM(P40:P42)</f>
      </c>
      <c r="Q43" s="969">
        <f>SUM(Q40:Q42)</f>
      </c>
      <c r="R43" s="969">
        <f>SUM(R40:R42)</f>
      </c>
    </row>
    <row r="44">
      <c r="A44" s="944"/>
      <c r="B44" s="973" t="s">
        <v>1006</v>
      </c>
      <c r="C44" s="973"/>
      <c r="D44" s="974">
        <f>D39+D43</f>
      </c>
      <c r="E44" s="974">
        <f>E39+E43</f>
      </c>
      <c r="F44" s="974">
        <f>F39+F43</f>
      </c>
      <c r="G44" s="975">
        <f t="shared" si="183"/>
      </c>
      <c r="H44" s="973">
        <f t="shared" si="3"/>
      </c>
      <c r="I44" s="973">
        <f t="shared" si="81"/>
      </c>
      <c r="J44" s="976">
        <f t="shared" si="140"/>
      </c>
      <c r="K44" s="976">
        <f t="shared" si="12"/>
      </c>
      <c r="L44" s="973">
        <f t="shared" si="55"/>
      </c>
      <c r="M44" s="977"/>
      <c r="N44" s="977"/>
      <c r="O44" s="974">
        <f>O39+O43</f>
      </c>
      <c r="P44" s="974">
        <f>P39+P43</f>
      </c>
      <c r="Q44" s="974">
        <f>Q39+Q43</f>
      </c>
      <c r="R44" s="974">
        <f>R39+R43</f>
      </c>
    </row>
    <row r="45">
      <c r="A45" s="931" t="s">
        <v>972</v>
      </c>
      <c r="B45" s="931"/>
      <c r="C45" s="931"/>
      <c r="D45" s="932" t="s">
        <v>973</v>
      </c>
      <c r="E45" s="932"/>
      <c r="F45" s="932"/>
      <c r="G45" s="932"/>
      <c r="H45" s="932"/>
      <c r="I45" s="932"/>
      <c r="J45" s="933" t="s">
        <v>974</v>
      </c>
      <c r="K45" s="933"/>
      <c r="L45" s="933"/>
      <c r="M45" s="933"/>
      <c r="N45" s="933"/>
      <c r="O45" s="934" t="s">
        <v>975</v>
      </c>
      <c r="P45" s="934"/>
      <c r="Q45" s="934"/>
      <c r="R45" s="934"/>
    </row>
    <row r="46">
      <c r="A46" s="936" t="s">
        <v>976</v>
      </c>
      <c r="B46" s="936" t="s">
        <v>977</v>
      </c>
      <c r="C46" s="937" t="s">
        <v>978</v>
      </c>
      <c r="D46" s="932" t="s">
        <v>979</v>
      </c>
      <c r="E46" s="938" t="s">
        <v>980</v>
      </c>
      <c r="F46" s="932" t="s">
        <v>981</v>
      </c>
      <c r="G46" s="939" t="s">
        <v>982</v>
      </c>
      <c r="H46" s="940" t="s">
        <v>983</v>
      </c>
      <c r="I46" s="932" t="s">
        <v>984</v>
      </c>
      <c r="J46" s="941" t="s">
        <v>985</v>
      </c>
      <c r="K46" s="941" t="s">
        <v>986</v>
      </c>
      <c r="L46" s="941" t="s">
        <v>987</v>
      </c>
      <c r="M46" s="933" t="s">
        <v>988</v>
      </c>
      <c r="N46" s="933" t="s">
        <v>989</v>
      </c>
      <c r="O46" s="942" t="s">
        <v>990</v>
      </c>
      <c r="P46" s="943" t="s">
        <v>991</v>
      </c>
      <c r="Q46" s="943" t="s">
        <v>992</v>
      </c>
      <c r="R46" s="943" t="s">
        <v>993</v>
      </c>
    </row>
    <row r="47">
      <c r="A47" s="944" t="s">
        <v>1017</v>
      </c>
      <c r="B47" s="945" t="s">
        <v>1008</v>
      </c>
      <c r="C47" s="946" t="s">
        <v>1015</v>
      </c>
      <c r="D47" s="945">
        <v>2171.59</v>
      </c>
      <c r="E47" s="958">
        <v>2</v>
      </c>
      <c r="F47" s="945">
        <v>1833.24</v>
      </c>
      <c r="G47" s="948">
        <f t="shared" ref="G47:G55" si="184">F47/D47</f>
      </c>
      <c r="H47" s="948">
        <f t="shared" ref="H47:H55" si="4">D47/E47</f>
      </c>
      <c r="I47" s="948">
        <f t="shared" ref="I47:I55" si="82">F47/E47</f>
      </c>
      <c r="J47" s="949">
        <f t="shared" ref="J47:J55" si="141">P47/O47</f>
      </c>
      <c r="K47" s="950">
        <f t="shared" ref="K47:K55" si="13">E47/Q47</f>
      </c>
      <c r="L47" s="951">
        <f t="shared" ref="L47:L55" si="56">(R47*1000)/D47</f>
      </c>
      <c r="M47" s="952" t="s">
        <v>997</v>
      </c>
      <c r="N47" s="953" t="s">
        <v>1013</v>
      </c>
      <c r="O47" s="955">
        <v>22708</v>
      </c>
      <c r="P47" s="955">
        <v>4106</v>
      </c>
      <c r="Q47" s="955">
        <v>4</v>
      </c>
      <c r="R47" s="955">
        <v>68</v>
      </c>
    </row>
    <row r="48">
      <c r="A48" s="944"/>
      <c r="B48" s="945" t="s">
        <v>1008</v>
      </c>
      <c r="C48" s="946" t="s">
        <v>1016</v>
      </c>
      <c r="D48" s="945">
        <v>4008.16</v>
      </c>
      <c r="E48" s="958">
        <v>15</v>
      </c>
      <c r="F48" s="945">
        <v>5943.14</v>
      </c>
      <c r="G48" s="948">
        <f t="shared" si="184"/>
      </c>
      <c r="H48" s="948">
        <f t="shared" si="4"/>
      </c>
      <c r="I48" s="948">
        <f t="shared" si="82"/>
      </c>
      <c r="J48" s="949">
        <f t="shared" si="141"/>
      </c>
      <c r="K48" s="950">
        <f t="shared" si="13"/>
      </c>
      <c r="L48" s="951">
        <f t="shared" si="56"/>
      </c>
      <c r="M48" s="952" t="s">
        <v>997</v>
      </c>
      <c r="N48" s="953" t="s">
        <v>1013</v>
      </c>
      <c r="O48" s="960">
        <v>40928</v>
      </c>
      <c r="P48" s="960">
        <v>6548</v>
      </c>
      <c r="Q48" s="960">
        <v>25</v>
      </c>
      <c r="R48" s="960">
        <v>117</v>
      </c>
    </row>
    <row r="49">
      <c r="A49" s="944"/>
      <c r="B49" s="945" t="s">
        <v>1008</v>
      </c>
      <c r="C49" s="946" t="s">
        <v>1012</v>
      </c>
      <c r="D49" s="945">
        <v>5235.77</v>
      </c>
      <c r="E49" s="958">
        <v>14</v>
      </c>
      <c r="F49" s="945">
        <v>3433.96</v>
      </c>
      <c r="G49" s="948">
        <f t="shared" si="184"/>
      </c>
      <c r="H49" s="948">
        <f t="shared" si="4"/>
      </c>
      <c r="I49" s="948">
        <f t="shared" si="82"/>
      </c>
      <c r="J49" s="949">
        <f t="shared" si="141"/>
      </c>
      <c r="K49" s="950">
        <f t="shared" si="13"/>
      </c>
      <c r="L49" s="951">
        <f t="shared" si="56"/>
      </c>
      <c r="M49" s="952" t="s">
        <v>997</v>
      </c>
      <c r="N49" s="953" t="s">
        <v>1013</v>
      </c>
      <c r="O49" s="960">
        <v>50201</v>
      </c>
      <c r="P49" s="960">
        <v>7792</v>
      </c>
      <c r="Q49" s="960">
        <v>25</v>
      </c>
      <c r="R49" s="960">
        <v>124</v>
      </c>
    </row>
    <row r="50">
      <c r="A50" s="944"/>
      <c r="B50" s="961" t="s">
        <v>1001</v>
      </c>
      <c r="C50" s="961"/>
      <c r="D50" s="962">
        <f>SUM(D47:D49)</f>
      </c>
      <c r="E50" s="963">
        <f>SUM(E47:E49)</f>
      </c>
      <c r="F50" s="962">
        <f>SUM(F47:F49)</f>
      </c>
      <c r="G50" s="964">
        <f t="shared" si="184"/>
      </c>
      <c r="H50" s="965">
        <f t="shared" si="4"/>
      </c>
      <c r="I50" s="966">
        <f t="shared" si="82"/>
      </c>
      <c r="J50" s="967">
        <f t="shared" si="141"/>
      </c>
      <c r="K50" s="967">
        <f t="shared" si="13"/>
      </c>
      <c r="L50" s="968">
        <f t="shared" si="56"/>
      </c>
      <c r="M50" s="968"/>
      <c r="N50" s="968"/>
      <c r="O50" s="969">
        <f>SUM(O47:O49)</f>
      </c>
      <c r="P50" s="969">
        <f>SUM(P47:P49)</f>
      </c>
      <c r="Q50" s="969">
        <f>SUM(Q47:Q49)</f>
      </c>
      <c r="R50" s="969">
        <f>SUM(R47:R49)</f>
      </c>
    </row>
    <row r="51">
      <c r="A51" s="944"/>
      <c r="B51" s="945" t="s">
        <v>1002</v>
      </c>
      <c r="C51" s="957" t="s">
        <v>999</v>
      </c>
      <c r="D51" s="945">
        <v>4207.75</v>
      </c>
      <c r="E51" s="958">
        <v>13</v>
      </c>
      <c r="F51" s="945">
        <v>6483.299999999999</v>
      </c>
      <c r="G51" s="948">
        <f t="shared" si="184"/>
      </c>
      <c r="H51" s="948">
        <f t="shared" si="4"/>
      </c>
      <c r="I51" s="948">
        <f t="shared" si="82"/>
      </c>
      <c r="J51" s="949">
        <f t="shared" si="141"/>
      </c>
      <c r="K51" s="950">
        <f t="shared" si="13"/>
      </c>
      <c r="L51" s="951">
        <f t="shared" si="56"/>
      </c>
      <c r="M51" s="952" t="s">
        <v>997</v>
      </c>
      <c r="N51" s="953" t="s">
        <v>1013</v>
      </c>
      <c r="O51" s="960">
        <v>35953</v>
      </c>
      <c r="P51" s="960">
        <v>5824</v>
      </c>
      <c r="Q51" s="960">
        <v>19</v>
      </c>
      <c r="R51" s="970">
        <v>90</v>
      </c>
    </row>
    <row r="52">
      <c r="A52" s="944"/>
      <c r="B52" s="945" t="s">
        <v>1002</v>
      </c>
      <c r="C52" s="957" t="s">
        <v>1000</v>
      </c>
      <c r="D52" s="945">
        <v>2502.58</v>
      </c>
      <c r="E52" s="958">
        <v>9</v>
      </c>
      <c r="F52" s="945">
        <v>4170.52</v>
      </c>
      <c r="G52" s="948">
        <f t="shared" si="184"/>
      </c>
      <c r="H52" s="948">
        <f t="shared" si="4"/>
      </c>
      <c r="I52" s="948">
        <f t="shared" si="82"/>
      </c>
      <c r="J52" s="949">
        <f t="shared" si="141"/>
      </c>
      <c r="K52" s="950">
        <f t="shared" si="13"/>
      </c>
      <c r="L52" s="951">
        <f t="shared" si="56"/>
      </c>
      <c r="M52" s="952" t="s">
        <v>997</v>
      </c>
      <c r="N52" s="953" t="s">
        <v>1013</v>
      </c>
      <c r="O52" s="960">
        <v>21985</v>
      </c>
      <c r="P52" s="960">
        <v>2636</v>
      </c>
      <c r="Q52" s="960">
        <v>14</v>
      </c>
      <c r="R52" s="970">
        <v>58</v>
      </c>
    </row>
    <row r="53">
      <c r="A53" s="944"/>
      <c r="B53" s="945" t="s">
        <v>1002</v>
      </c>
      <c r="C53" s="957" t="s">
        <v>1003</v>
      </c>
      <c r="D53" s="945">
        <v>1692.69</v>
      </c>
      <c r="E53" s="958">
        <v>13</v>
      </c>
      <c r="F53" s="945">
        <v>5099.799999999999</v>
      </c>
      <c r="G53" s="948">
        <f t="shared" si="184"/>
      </c>
      <c r="H53" s="948">
        <f t="shared" si="4"/>
      </c>
      <c r="I53" s="948">
        <f t="shared" si="82"/>
      </c>
      <c r="J53" s="949">
        <f t="shared" si="141"/>
      </c>
      <c r="K53" s="950">
        <f t="shared" si="13"/>
      </c>
      <c r="L53" s="951">
        <f t="shared" si="56"/>
      </c>
      <c r="M53" s="952" t="s">
        <v>997</v>
      </c>
      <c r="N53" s="953" t="s">
        <v>1013</v>
      </c>
      <c r="O53" s="960">
        <v>16727</v>
      </c>
      <c r="P53" s="960">
        <v>2135</v>
      </c>
      <c r="Q53" s="960">
        <v>17</v>
      </c>
      <c r="R53" s="970">
        <v>34</v>
      </c>
    </row>
    <row r="54">
      <c r="A54" s="944"/>
      <c r="B54" s="972" t="s">
        <v>1001</v>
      </c>
      <c r="C54" s="972"/>
      <c r="D54" s="962">
        <f>SUM(D51:D53)</f>
      </c>
      <c r="E54" s="963">
        <f>SUM(E51:E53)</f>
      </c>
      <c r="F54" s="962">
        <f>SUM(F51:F53)</f>
      </c>
      <c r="G54" s="964">
        <f t="shared" si="184"/>
      </c>
      <c r="H54" s="965">
        <f t="shared" si="4"/>
      </c>
      <c r="I54" s="966">
        <f t="shared" si="82"/>
      </c>
      <c r="J54" s="967">
        <f t="shared" si="141"/>
      </c>
      <c r="K54" s="967">
        <f t="shared" si="13"/>
      </c>
      <c r="L54" s="968">
        <f t="shared" si="56"/>
      </c>
      <c r="M54" s="968"/>
      <c r="N54" s="968"/>
      <c r="O54" s="969">
        <f>SUM(O51:O53)</f>
      </c>
      <c r="P54" s="969">
        <f>SUM(P51:P53)</f>
      </c>
      <c r="Q54" s="969">
        <f>SUM(Q51:Q53)</f>
      </c>
      <c r="R54" s="969">
        <f>SUM(R51:R53)</f>
      </c>
    </row>
    <row r="55">
      <c r="A55" s="944"/>
      <c r="B55" s="973" t="s">
        <v>1006</v>
      </c>
      <c r="C55" s="973"/>
      <c r="D55" s="974">
        <f>D50+D54</f>
      </c>
      <c r="E55" s="974">
        <f>E50+E54</f>
      </c>
      <c r="F55" s="974">
        <f>F50+F54</f>
      </c>
      <c r="G55" s="975">
        <f t="shared" si="184"/>
      </c>
      <c r="H55" s="973">
        <f t="shared" si="4"/>
      </c>
      <c r="I55" s="973">
        <f t="shared" si="82"/>
      </c>
      <c r="J55" s="976">
        <f t="shared" si="141"/>
      </c>
      <c r="K55" s="976">
        <f t="shared" si="13"/>
      </c>
      <c r="L55" s="973">
        <f t="shared" si="56"/>
      </c>
      <c r="M55" s="977"/>
      <c r="N55" s="977"/>
      <c r="O55" s="974">
        <f>O50+O54</f>
      </c>
      <c r="P55" s="974">
        <f>P50+P54</f>
      </c>
      <c r="Q55" s="974">
        <f>Q50+Q54</f>
      </c>
      <c r="R55" s="974">
        <f>R50+R54</f>
      </c>
    </row>
    <row r="56">
      <c r="A56" s="931" t="s">
        <v>972</v>
      </c>
      <c r="B56" s="931"/>
      <c r="C56" s="931"/>
      <c r="D56" s="932" t="s">
        <v>973</v>
      </c>
      <c r="E56" s="932"/>
      <c r="F56" s="932"/>
      <c r="G56" s="932"/>
      <c r="H56" s="932"/>
      <c r="I56" s="932"/>
      <c r="J56" s="933" t="s">
        <v>974</v>
      </c>
      <c r="K56" s="933"/>
      <c r="L56" s="933"/>
      <c r="M56" s="933"/>
      <c r="N56" s="933"/>
      <c r="O56" s="934" t="s">
        <v>975</v>
      </c>
      <c r="P56" s="934"/>
      <c r="Q56" s="934"/>
      <c r="R56" s="934"/>
    </row>
    <row r="57">
      <c r="A57" s="936" t="s">
        <v>976</v>
      </c>
      <c r="B57" s="936" t="s">
        <v>977</v>
      </c>
      <c r="C57" s="937" t="s">
        <v>978</v>
      </c>
      <c r="D57" s="932" t="s">
        <v>979</v>
      </c>
      <c r="E57" s="938" t="s">
        <v>980</v>
      </c>
      <c r="F57" s="932" t="s">
        <v>981</v>
      </c>
      <c r="G57" s="939" t="s">
        <v>982</v>
      </c>
      <c r="H57" s="940" t="s">
        <v>983</v>
      </c>
      <c r="I57" s="932" t="s">
        <v>984</v>
      </c>
      <c r="J57" s="941" t="s">
        <v>985</v>
      </c>
      <c r="K57" s="941" t="s">
        <v>986</v>
      </c>
      <c r="L57" s="941" t="s">
        <v>987</v>
      </c>
      <c r="M57" s="933" t="s">
        <v>988</v>
      </c>
      <c r="N57" s="933" t="s">
        <v>989</v>
      </c>
      <c r="O57" s="942" t="s">
        <v>990</v>
      </c>
      <c r="P57" s="943" t="s">
        <v>991</v>
      </c>
      <c r="Q57" s="943" t="s">
        <v>992</v>
      </c>
      <c r="R57" s="943" t="s">
        <v>993</v>
      </c>
    </row>
    <row r="58">
      <c r="A58" s="944" t="s">
        <v>1018</v>
      </c>
      <c r="B58" s="945" t="s">
        <v>1002</v>
      </c>
      <c r="C58" s="946" t="s">
        <v>1015</v>
      </c>
      <c r="D58" s="945">
        <v>7352.59</v>
      </c>
      <c r="E58" s="958">
        <v>26</v>
      </c>
      <c r="F58" s="945">
        <v>14679.64</v>
      </c>
      <c r="G58" s="948">
        <f t="shared" ref="G58:G68" si="185">F58/D58</f>
      </c>
      <c r="H58" s="948">
        <f t="shared" ref="H58:H68" si="5">D58/E58</f>
      </c>
      <c r="I58" s="948">
        <f t="shared" ref="I58:I68" si="83">F58/E58</f>
      </c>
      <c r="J58" s="949">
        <f t="shared" ref="J58:J68" si="142">P58/O58</f>
      </c>
      <c r="K58" s="950">
        <f t="shared" ref="K58:K68" si="14">E58/Q58</f>
      </c>
      <c r="L58" s="951">
        <f t="shared" ref="L58:L68" si="57">(R58*1000)/D58</f>
      </c>
      <c r="M58" s="952" t="s">
        <v>997</v>
      </c>
      <c r="N58" s="953" t="s">
        <v>1010</v>
      </c>
      <c r="O58" s="955">
        <v>86509</v>
      </c>
      <c r="P58" s="955">
        <v>14490</v>
      </c>
      <c r="Q58" s="955">
        <v>32</v>
      </c>
      <c r="R58" s="955">
        <v>187</v>
      </c>
    </row>
    <row r="59">
      <c r="A59" s="944"/>
      <c r="B59" s="945" t="s">
        <v>1002</v>
      </c>
      <c r="C59" s="946" t="s">
        <v>1016</v>
      </c>
      <c r="D59" s="945">
        <v>9733.1</v>
      </c>
      <c r="E59" s="958">
        <v>30</v>
      </c>
      <c r="F59" s="945">
        <v>14087.53</v>
      </c>
      <c r="G59" s="948">
        <f t="shared" si="185"/>
      </c>
      <c r="H59" s="948">
        <f t="shared" si="5"/>
      </c>
      <c r="I59" s="948">
        <f t="shared" si="83"/>
      </c>
      <c r="J59" s="949">
        <f t="shared" si="142"/>
      </c>
      <c r="K59" s="950">
        <f t="shared" si="14"/>
      </c>
      <c r="L59" s="951">
        <f t="shared" si="57"/>
      </c>
      <c r="M59" s="952" t="s">
        <v>997</v>
      </c>
      <c r="N59" s="953" t="s">
        <v>1010</v>
      </c>
      <c r="O59" s="960">
        <v>126633</v>
      </c>
      <c r="P59" s="960">
        <v>18669</v>
      </c>
      <c r="Q59" s="960">
        <v>37</v>
      </c>
      <c r="R59" s="960">
        <v>262</v>
      </c>
    </row>
    <row r="60">
      <c r="A60" s="944"/>
      <c r="B60" s="945" t="s">
        <v>1002</v>
      </c>
      <c r="C60" s="946" t="s">
        <v>1012</v>
      </c>
      <c r="D60" s="945">
        <v>5320.68</v>
      </c>
      <c r="E60" s="958">
        <v>10</v>
      </c>
      <c r="F60" s="945">
        <v>6660.24</v>
      </c>
      <c r="G60" s="948">
        <f t="shared" si="185"/>
      </c>
      <c r="H60" s="948">
        <f t="shared" si="5"/>
      </c>
      <c r="I60" s="948">
        <f t="shared" si="83"/>
      </c>
      <c r="J60" s="949">
        <f t="shared" si="142"/>
      </c>
      <c r="K60" s="950">
        <f t="shared" si="14"/>
      </c>
      <c r="L60" s="951">
        <f t="shared" si="57"/>
      </c>
      <c r="M60" s="952" t="s">
        <v>997</v>
      </c>
      <c r="N60" s="953" t="s">
        <v>1010</v>
      </c>
      <c r="O60" s="960">
        <v>59615</v>
      </c>
      <c r="P60" s="960">
        <v>7919</v>
      </c>
      <c r="Q60" s="960">
        <v>13</v>
      </c>
      <c r="R60" s="960">
        <v>97</v>
      </c>
    </row>
    <row r="61">
      <c r="A61" s="944"/>
      <c r="B61" s="945" t="s">
        <v>1002</v>
      </c>
      <c r="C61" s="957" t="s">
        <v>999</v>
      </c>
      <c r="D61" s="945">
        <v>3176.56</v>
      </c>
      <c r="E61" s="958">
        <v>8</v>
      </c>
      <c r="F61" s="945">
        <v>2101.7</v>
      </c>
      <c r="G61" s="948">
        <f t="shared" si="185"/>
      </c>
      <c r="H61" s="948">
        <f t="shared" si="5"/>
      </c>
      <c r="I61" s="948">
        <f t="shared" si="83"/>
      </c>
      <c r="J61" s="949">
        <f t="shared" si="142"/>
      </c>
      <c r="K61" s="950">
        <f t="shared" si="14"/>
      </c>
      <c r="L61" s="951">
        <f t="shared" si="57"/>
      </c>
      <c r="M61" s="952" t="s">
        <v>997</v>
      </c>
      <c r="N61" s="953" t="s">
        <v>1010</v>
      </c>
      <c r="O61" s="960">
        <v>37082</v>
      </c>
      <c r="P61" s="960">
        <v>4673</v>
      </c>
      <c r="Q61" s="960">
        <v>10</v>
      </c>
      <c r="R61" s="970">
        <v>71</v>
      </c>
    </row>
    <row r="62">
      <c r="A62" s="944"/>
      <c r="B62" s="961" t="s">
        <v>1001</v>
      </c>
      <c r="C62" s="961"/>
      <c r="D62" s="962">
        <f>SUM(D58:D61)</f>
      </c>
      <c r="E62" s="963">
        <f>SUM(E58:E61)</f>
      </c>
      <c r="F62" s="962">
        <f>SUM(F58:F61)</f>
      </c>
      <c r="G62" s="964">
        <f t="shared" si="185"/>
      </c>
      <c r="H62" s="965">
        <f t="shared" si="5"/>
      </c>
      <c r="I62" s="966">
        <f t="shared" si="83"/>
      </c>
      <c r="J62" s="967">
        <f t="shared" si="142"/>
      </c>
      <c r="K62" s="967">
        <f t="shared" si="14"/>
      </c>
      <c r="L62" s="968">
        <f t="shared" si="57"/>
      </c>
      <c r="M62" s="968"/>
      <c r="N62" s="968"/>
      <c r="O62" s="969">
        <f>SUM(O58:O61)</f>
      </c>
      <c r="P62" s="969">
        <f>SUM(P58:P61)</f>
      </c>
      <c r="Q62" s="969">
        <f>SUM(Q58:Q61)</f>
      </c>
      <c r="R62" s="969">
        <f>SUM(R58:R61)</f>
      </c>
    </row>
    <row customHeight="true" ht="16.071428571428573" r="63">
      <c r="A63" s="944"/>
      <c r="B63" s="945" t="s">
        <v>1008</v>
      </c>
      <c r="C63" s="946" t="s">
        <v>1000</v>
      </c>
      <c r="D63" s="945">
        <v>4513.37</v>
      </c>
      <c r="E63" s="958">
        <v>16</v>
      </c>
      <c r="F63" s="945">
        <v>7556.68</v>
      </c>
      <c r="G63" s="948">
        <f t="shared" si="185"/>
      </c>
      <c r="H63" s="948">
        <f t="shared" si="5"/>
      </c>
      <c r="I63" s="948">
        <f t="shared" si="83"/>
      </c>
      <c r="J63" s="949">
        <f t="shared" si="142"/>
      </c>
      <c r="K63" s="950">
        <f t="shared" si="14"/>
      </c>
      <c r="L63" s="951">
        <f t="shared" si="57"/>
      </c>
      <c r="M63" s="952" t="s">
        <v>997</v>
      </c>
      <c r="N63" s="953" t="s">
        <v>1010</v>
      </c>
      <c r="O63" s="960">
        <v>38902</v>
      </c>
      <c r="P63" s="960">
        <v>4573</v>
      </c>
      <c r="Q63" s="960">
        <v>21</v>
      </c>
      <c r="R63" s="970">
        <v>83</v>
      </c>
    </row>
    <row customHeight="true" ht="16.071428571428573" r="64">
      <c r="A64" s="944"/>
      <c r="B64" s="945" t="s">
        <v>1008</v>
      </c>
      <c r="C64" s="946" t="s">
        <v>1003</v>
      </c>
      <c r="D64" s="945">
        <v>3096.13</v>
      </c>
      <c r="E64" s="958">
        <v>6</v>
      </c>
      <c r="F64" s="945">
        <v>4862.65</v>
      </c>
      <c r="G64" s="948">
        <f t="shared" si="185"/>
      </c>
      <c r="H64" s="948">
        <f t="shared" si="5"/>
      </c>
      <c r="I64" s="948">
        <f t="shared" si="83"/>
      </c>
      <c r="J64" s="949">
        <f t="shared" si="142"/>
      </c>
      <c r="K64" s="950">
        <f t="shared" si="14"/>
      </c>
      <c r="L64" s="951">
        <f t="shared" si="57"/>
      </c>
      <c r="M64" s="952" t="s">
        <v>997</v>
      </c>
      <c r="N64" s="953" t="s">
        <v>1010</v>
      </c>
      <c r="O64" s="960">
        <v>29820</v>
      </c>
      <c r="P64" s="960">
        <v>3647</v>
      </c>
      <c r="Q64" s="960">
        <v>9</v>
      </c>
      <c r="R64" s="970">
        <v>47</v>
      </c>
    </row>
    <row r="65">
      <c r="A65" s="944"/>
      <c r="B65" s="945" t="s">
        <v>1008</v>
      </c>
      <c r="C65" s="946" t="s">
        <v>1004</v>
      </c>
      <c r="D65" s="945">
        <v>2455.47</v>
      </c>
      <c r="E65" s="958">
        <v>4</v>
      </c>
      <c r="F65" s="945">
        <v>820.84</v>
      </c>
      <c r="G65" s="948">
        <f t="shared" si="185"/>
      </c>
      <c r="H65" s="948">
        <f t="shared" si="5"/>
      </c>
      <c r="I65" s="948">
        <f t="shared" si="83"/>
      </c>
      <c r="J65" s="949">
        <f t="shared" si="142"/>
      </c>
      <c r="K65" s="950">
        <f t="shared" si="14"/>
      </c>
      <c r="L65" s="951">
        <f t="shared" si="57"/>
      </c>
      <c r="M65" s="952" t="s">
        <v>997</v>
      </c>
      <c r="N65" s="953" t="s">
        <v>1010</v>
      </c>
      <c r="O65" s="960">
        <v>22187</v>
      </c>
      <c r="P65" s="960">
        <v>2709</v>
      </c>
      <c r="Q65" s="960">
        <v>7</v>
      </c>
      <c r="R65" s="970">
        <v>52</v>
      </c>
    </row>
    <row r="66">
      <c r="A66" s="944"/>
      <c r="B66" s="945" t="s">
        <v>1008</v>
      </c>
      <c r="C66" s="946" t="s">
        <v>1005</v>
      </c>
      <c r="D66" s="945">
        <v>1121.87</v>
      </c>
      <c r="E66" s="958">
        <v>8</v>
      </c>
      <c r="F66" s="945">
        <v>2183.04</v>
      </c>
      <c r="G66" s="948">
        <f t="shared" si="185"/>
      </c>
      <c r="H66" s="948">
        <f t="shared" si="5"/>
      </c>
      <c r="I66" s="948">
        <f t="shared" si="83"/>
      </c>
      <c r="J66" s="949">
        <f t="shared" si="142"/>
      </c>
      <c r="K66" s="950">
        <f t="shared" si="14"/>
      </c>
      <c r="L66" s="951">
        <f t="shared" si="57"/>
      </c>
      <c r="M66" s="952" t="s">
        <v>997</v>
      </c>
      <c r="N66" s="953" t="s">
        <v>1010</v>
      </c>
      <c r="O66" s="960">
        <v>14588</v>
      </c>
      <c r="P66" s="960">
        <v>1720</v>
      </c>
      <c r="Q66" s="960">
        <v>8</v>
      </c>
      <c r="R66" s="970">
        <v>24</v>
      </c>
    </row>
    <row r="67">
      <c r="A67" s="944"/>
      <c r="B67" s="972" t="s">
        <v>1001</v>
      </c>
      <c r="C67" s="972"/>
      <c r="D67" s="962">
        <f>SUM(D63:D66)</f>
      </c>
      <c r="E67" s="963">
        <f>SUM(E63:E66)</f>
      </c>
      <c r="F67" s="962">
        <f>SUM(F63:F66)</f>
      </c>
      <c r="G67" s="964">
        <f t="shared" si="185"/>
      </c>
      <c r="H67" s="965">
        <f t="shared" si="5"/>
      </c>
      <c r="I67" s="966">
        <f t="shared" si="83"/>
      </c>
      <c r="J67" s="967">
        <f t="shared" si="142"/>
      </c>
      <c r="K67" s="967">
        <f t="shared" si="14"/>
      </c>
      <c r="L67" s="968">
        <f t="shared" si="57"/>
      </c>
      <c r="M67" s="968"/>
      <c r="N67" s="968"/>
      <c r="O67" s="969">
        <f>SUM(O63:O66)</f>
      </c>
      <c r="P67" s="969">
        <f>SUM(P63:P66)</f>
      </c>
      <c r="Q67" s="969">
        <f>SUM(Q63:Q66)</f>
      </c>
      <c r="R67" s="969">
        <f>SUM(R63:R66)</f>
      </c>
    </row>
    <row r="68">
      <c r="A68" s="944"/>
      <c r="B68" s="973" t="s">
        <v>1006</v>
      </c>
      <c r="C68" s="973"/>
      <c r="D68" s="974">
        <f>D62+D67</f>
      </c>
      <c r="E68" s="974">
        <f>E62+E67</f>
      </c>
      <c r="F68" s="974">
        <f>F62+F67</f>
      </c>
      <c r="G68" s="975">
        <f t="shared" si="185"/>
      </c>
      <c r="H68" s="973">
        <f t="shared" si="5"/>
      </c>
      <c r="I68" s="973">
        <f t="shared" si="83"/>
      </c>
      <c r="J68" s="976">
        <f t="shared" si="142"/>
      </c>
      <c r="K68" s="976">
        <f t="shared" si="14"/>
      </c>
      <c r="L68" s="973">
        <f t="shared" si="57"/>
      </c>
      <c r="M68" s="977"/>
      <c r="N68" s="977"/>
      <c r="O68" s="974">
        <f>O62+O67</f>
      </c>
      <c r="P68" s="974">
        <f>P62+P67</f>
      </c>
      <c r="Q68" s="974">
        <f>Q62+Q67</f>
      </c>
      <c r="R68" s="974">
        <f>R62+R67</f>
      </c>
    </row>
    <row r="69">
      <c r="A69" s="931" t="s">
        <v>972</v>
      </c>
      <c r="B69" s="931"/>
      <c r="C69" s="931"/>
      <c r="D69" s="932" t="s">
        <v>973</v>
      </c>
      <c r="E69" s="932"/>
      <c r="F69" s="932"/>
      <c r="G69" s="932"/>
      <c r="H69" s="932"/>
      <c r="I69" s="932"/>
      <c r="J69" s="933" t="s">
        <v>974</v>
      </c>
      <c r="K69" s="933"/>
      <c r="L69" s="933"/>
      <c r="M69" s="933"/>
      <c r="N69" s="933"/>
      <c r="O69" s="934" t="s">
        <v>975</v>
      </c>
      <c r="P69" s="934"/>
      <c r="Q69" s="934"/>
      <c r="R69" s="934"/>
    </row>
    <row r="70">
      <c r="A70" s="936" t="s">
        <v>976</v>
      </c>
      <c r="B70" s="936" t="s">
        <v>977</v>
      </c>
      <c r="C70" s="937" t="s">
        <v>978</v>
      </c>
      <c r="D70" s="932" t="s">
        <v>979</v>
      </c>
      <c r="E70" s="938" t="s">
        <v>980</v>
      </c>
      <c r="F70" s="932" t="s">
        <v>981</v>
      </c>
      <c r="G70" s="939" t="s">
        <v>982</v>
      </c>
      <c r="H70" s="940" t="s">
        <v>983</v>
      </c>
      <c r="I70" s="932" t="s">
        <v>984</v>
      </c>
      <c r="J70" s="941" t="s">
        <v>985</v>
      </c>
      <c r="K70" s="941" t="s">
        <v>986</v>
      </c>
      <c r="L70" s="941" t="s">
        <v>987</v>
      </c>
      <c r="M70" s="933" t="s">
        <v>988</v>
      </c>
      <c r="N70" s="933" t="s">
        <v>989</v>
      </c>
      <c r="O70" s="942" t="s">
        <v>990</v>
      </c>
      <c r="P70" s="943" t="s">
        <v>991</v>
      </c>
      <c r="Q70" s="943" t="s">
        <v>992</v>
      </c>
      <c r="R70" s="943" t="s">
        <v>993</v>
      </c>
    </row>
    <row r="71">
      <c r="A71" s="944" t="s">
        <v>1019</v>
      </c>
      <c r="B71" s="945" t="s">
        <v>1002</v>
      </c>
      <c r="C71" s="946" t="s">
        <v>1015</v>
      </c>
      <c r="D71" s="945">
        <v>7346.96</v>
      </c>
      <c r="E71" s="958">
        <v>20</v>
      </c>
      <c r="F71" s="945">
        <v>10656.86</v>
      </c>
      <c r="G71" s="948">
        <f t="shared" ref="G71:G81" si="186">F71/D71</f>
      </c>
      <c r="H71" s="948">
        <f t="shared" ref="H71:H81" si="6">D71/E71</f>
      </c>
      <c r="I71" s="948">
        <f t="shared" ref="I71:I81" si="84">F71/E71</f>
      </c>
      <c r="J71" s="949">
        <f t="shared" ref="J71:J81" si="143">P71/O71</f>
      </c>
      <c r="K71" s="950">
        <f t="shared" ref="K71:K81" si="15">E71/Q71</f>
      </c>
      <c r="L71" s="951">
        <f t="shared" ref="L71:L81" si="58">(R71*1000)/D71</f>
      </c>
      <c r="M71" s="952" t="s">
        <v>997</v>
      </c>
      <c r="N71" s="953" t="s">
        <v>1010</v>
      </c>
      <c r="O71" s="955">
        <v>96071</v>
      </c>
      <c r="P71" s="955">
        <v>16833</v>
      </c>
      <c r="Q71" s="955">
        <v>25</v>
      </c>
      <c r="R71" s="955">
        <v>206</v>
      </c>
    </row>
    <row r="72">
      <c r="A72" s="944"/>
      <c r="B72" s="945" t="s">
        <v>1002</v>
      </c>
      <c r="C72" s="946" t="s">
        <v>1016</v>
      </c>
      <c r="D72" s="945">
        <v>7484.15</v>
      </c>
      <c r="E72" s="958">
        <v>24</v>
      </c>
      <c r="F72" s="945">
        <v>12792.08</v>
      </c>
      <c r="G72" s="948">
        <f t="shared" si="186"/>
      </c>
      <c r="H72" s="948">
        <f t="shared" si="6"/>
      </c>
      <c r="I72" s="948">
        <f t="shared" si="84"/>
      </c>
      <c r="J72" s="949">
        <f t="shared" si="143"/>
      </c>
      <c r="K72" s="950">
        <f t="shared" si="15"/>
      </c>
      <c r="L72" s="951">
        <f t="shared" si="58"/>
      </c>
      <c r="M72" s="952" t="s">
        <v>997</v>
      </c>
      <c r="N72" s="953" t="s">
        <v>1010</v>
      </c>
      <c r="O72" s="960">
        <v>89245</v>
      </c>
      <c r="P72" s="960">
        <v>14050</v>
      </c>
      <c r="Q72" s="960">
        <v>31</v>
      </c>
      <c r="R72" s="960">
        <v>151</v>
      </c>
    </row>
    <row r="73">
      <c r="A73" s="944"/>
      <c r="B73" s="945" t="s">
        <v>1002</v>
      </c>
      <c r="C73" s="946" t="s">
        <v>1012</v>
      </c>
      <c r="D73" s="945">
        <v>3447.57</v>
      </c>
      <c r="E73" s="958">
        <v>14</v>
      </c>
      <c r="F73" s="945">
        <v>7932.01</v>
      </c>
      <c r="G73" s="948">
        <f t="shared" si="186"/>
      </c>
      <c r="H73" s="948">
        <f t="shared" si="6"/>
      </c>
      <c r="I73" s="948">
        <f t="shared" si="84"/>
      </c>
      <c r="J73" s="949">
        <f t="shared" si="143"/>
      </c>
      <c r="K73" s="950">
        <f t="shared" si="15"/>
      </c>
      <c r="L73" s="951">
        <f t="shared" si="58"/>
      </c>
      <c r="M73" s="952" t="s">
        <v>997</v>
      </c>
      <c r="N73" s="953" t="s">
        <v>1010</v>
      </c>
      <c r="O73" s="960">
        <v>33536</v>
      </c>
      <c r="P73" s="960">
        <v>5063</v>
      </c>
      <c r="Q73" s="960">
        <v>16</v>
      </c>
      <c r="R73" s="960">
        <v>79</v>
      </c>
    </row>
    <row r="74">
      <c r="A74" s="944"/>
      <c r="B74" s="945" t="s">
        <v>1002</v>
      </c>
      <c r="C74" s="957" t="s">
        <v>999</v>
      </c>
      <c r="D74" s="945">
        <v>5588.61</v>
      </c>
      <c r="E74" s="958">
        <v>18</v>
      </c>
      <c r="F74" s="945">
        <v>5500.81</v>
      </c>
      <c r="G74" s="948">
        <f t="shared" si="186"/>
      </c>
      <c r="H74" s="948">
        <f t="shared" si="6"/>
      </c>
      <c r="I74" s="948">
        <f t="shared" si="84"/>
      </c>
      <c r="J74" s="949">
        <f t="shared" si="143"/>
      </c>
      <c r="K74" s="950">
        <f t="shared" si="15"/>
      </c>
      <c r="L74" s="951">
        <f t="shared" si="58"/>
      </c>
      <c r="M74" s="952" t="s">
        <v>997</v>
      </c>
      <c r="N74" s="953" t="s">
        <v>1010</v>
      </c>
      <c r="O74" s="960">
        <v>47197</v>
      </c>
      <c r="P74" s="960">
        <v>7813</v>
      </c>
      <c r="Q74" s="960">
        <v>24</v>
      </c>
      <c r="R74" s="970">
        <v>100</v>
      </c>
    </row>
    <row r="75">
      <c r="A75" s="944"/>
      <c r="B75" s="961" t="s">
        <v>1001</v>
      </c>
      <c r="C75" s="961"/>
      <c r="D75" s="962">
        <f>SUM(D71:D74)</f>
      </c>
      <c r="E75" s="963">
        <f>SUM(E71:E74)</f>
      </c>
      <c r="F75" s="962">
        <f>SUM(F71:F74)</f>
      </c>
      <c r="G75" s="964">
        <f t="shared" si="186"/>
      </c>
      <c r="H75" s="965">
        <f t="shared" si="6"/>
      </c>
      <c r="I75" s="966">
        <f t="shared" si="84"/>
      </c>
      <c r="J75" s="967">
        <f t="shared" si="143"/>
      </c>
      <c r="K75" s="967">
        <f t="shared" si="15"/>
      </c>
      <c r="L75" s="968">
        <f t="shared" si="58"/>
      </c>
      <c r="M75" s="968"/>
      <c r="N75" s="968"/>
      <c r="O75" s="969">
        <f>SUM(O71:O74)</f>
      </c>
      <c r="P75" s="969">
        <f>SUM(P71:P74)</f>
      </c>
      <c r="Q75" s="969">
        <f>SUM(Q71:Q74)</f>
      </c>
      <c r="R75" s="969">
        <f>SUM(R71:R74)</f>
      </c>
    </row>
    <row r="76">
      <c r="A76" s="944"/>
      <c r="B76" s="945" t="s">
        <v>1008</v>
      </c>
      <c r="C76" s="946" t="s">
        <v>1000</v>
      </c>
      <c r="D76" s="945">
        <v>6784.25</v>
      </c>
      <c r="E76" s="958">
        <v>18</v>
      </c>
      <c r="F76" s="945">
        <v>8358</v>
      </c>
      <c r="G76" s="948">
        <f t="shared" si="186"/>
      </c>
      <c r="H76" s="948">
        <f t="shared" si="6"/>
      </c>
      <c r="I76" s="948">
        <f t="shared" si="84"/>
      </c>
      <c r="J76" s="949">
        <f t="shared" si="143"/>
      </c>
      <c r="K76" s="950">
        <f t="shared" si="15"/>
      </c>
      <c r="L76" s="951">
        <f t="shared" si="58"/>
      </c>
      <c r="M76" s="952" t="s">
        <v>997</v>
      </c>
      <c r="N76" s="953" t="s">
        <v>1010</v>
      </c>
      <c r="O76" s="960">
        <v>58010</v>
      </c>
      <c r="P76" s="960">
        <v>8740</v>
      </c>
      <c r="Q76" s="960">
        <v>20</v>
      </c>
      <c r="R76" s="970">
        <v>110</v>
      </c>
    </row>
    <row r="77">
      <c r="A77" s="944"/>
      <c r="B77" s="945" t="s">
        <v>1008</v>
      </c>
      <c r="C77" s="946" t="s">
        <v>1003</v>
      </c>
      <c r="D77" s="945">
        <v>3485.03</v>
      </c>
      <c r="E77" s="958">
        <v>6</v>
      </c>
      <c r="F77" s="945">
        <v>2196.02</v>
      </c>
      <c r="G77" s="948">
        <f t="shared" si="186"/>
      </c>
      <c r="H77" s="948">
        <f t="shared" si="6"/>
      </c>
      <c r="I77" s="948">
        <f t="shared" si="84"/>
      </c>
      <c r="J77" s="949">
        <f t="shared" si="143"/>
      </c>
      <c r="K77" s="950">
        <f t="shared" si="15"/>
      </c>
      <c r="L77" s="951">
        <f t="shared" si="58"/>
      </c>
      <c r="M77" s="952" t="s">
        <v>997</v>
      </c>
      <c r="N77" s="953" t="s">
        <v>1010</v>
      </c>
      <c r="O77" s="960">
        <v>32803</v>
      </c>
      <c r="P77" s="960">
        <v>5021</v>
      </c>
      <c r="Q77" s="960">
        <v>10</v>
      </c>
      <c r="R77" s="970">
        <v>61</v>
      </c>
    </row>
    <row r="78">
      <c r="A78" s="944"/>
      <c r="B78" s="945" t="s">
        <v>1008</v>
      </c>
      <c r="C78" s="946" t="s">
        <v>1004</v>
      </c>
      <c r="D78" s="945">
        <v>1430.88</v>
      </c>
      <c r="E78" s="958">
        <v>3</v>
      </c>
      <c r="F78" s="945">
        <v>1994.16</v>
      </c>
      <c r="G78" s="948">
        <f t="shared" si="186"/>
      </c>
      <c r="H78" s="948">
        <f t="shared" si="6"/>
      </c>
      <c r="I78" s="948">
        <f t="shared" si="84"/>
      </c>
      <c r="J78" s="949">
        <f t="shared" si="143"/>
      </c>
      <c r="K78" s="950">
        <f t="shared" si="15"/>
      </c>
      <c r="L78" s="951">
        <f t="shared" si="58"/>
      </c>
      <c r="M78" s="952" t="s">
        <v>997</v>
      </c>
      <c r="N78" s="953" t="s">
        <v>1010</v>
      </c>
      <c r="O78" s="960">
        <v>19252</v>
      </c>
      <c r="P78" s="960">
        <v>2503</v>
      </c>
      <c r="Q78" s="960">
        <v>4</v>
      </c>
      <c r="R78" s="970">
        <v>45</v>
      </c>
    </row>
    <row r="79">
      <c r="A79" s="944"/>
      <c r="B79" s="945" t="s">
        <v>1008</v>
      </c>
      <c r="C79" s="946" t="s">
        <v>1005</v>
      </c>
      <c r="D79" s="945">
        <v>839.24</v>
      </c>
      <c r="E79" s="958">
        <v>5</v>
      </c>
      <c r="F79" s="945">
        <v>1518.26</v>
      </c>
      <c r="G79" s="948">
        <f t="shared" si="186"/>
      </c>
      <c r="H79" s="948">
        <f t="shared" si="6"/>
      </c>
      <c r="I79" s="948">
        <f t="shared" si="84"/>
      </c>
      <c r="J79" s="949">
        <f t="shared" si="143"/>
      </c>
      <c r="K79" s="950">
        <f t="shared" si="15"/>
      </c>
      <c r="L79" s="951">
        <f t="shared" si="58"/>
      </c>
      <c r="M79" s="952" t="s">
        <v>997</v>
      </c>
      <c r="N79" s="953" t="s">
        <v>1010</v>
      </c>
      <c r="O79" s="960">
        <v>7479</v>
      </c>
      <c r="P79" s="960">
        <v>1224</v>
      </c>
      <c r="Q79" s="960">
        <v>6</v>
      </c>
      <c r="R79" s="970">
        <v>18</v>
      </c>
    </row>
    <row r="80">
      <c r="A80" s="944"/>
      <c r="B80" s="972" t="s">
        <v>1001</v>
      </c>
      <c r="C80" s="972"/>
      <c r="D80" s="962">
        <f>SUM(D76:D79)</f>
      </c>
      <c r="E80" s="963">
        <f>SUM(E76:E79)</f>
      </c>
      <c r="F80" s="962">
        <f>SUM(F76:F79)</f>
      </c>
      <c r="G80" s="964">
        <f t="shared" si="186"/>
      </c>
      <c r="H80" s="965">
        <f t="shared" si="6"/>
      </c>
      <c r="I80" s="966">
        <f t="shared" si="84"/>
      </c>
      <c r="J80" s="967">
        <f t="shared" si="143"/>
      </c>
      <c r="K80" s="967">
        <f t="shared" si="15"/>
      </c>
      <c r="L80" s="968">
        <f t="shared" si="58"/>
      </c>
      <c r="M80" s="968"/>
      <c r="N80" s="968"/>
      <c r="O80" s="969">
        <f>SUM(O76:O79)</f>
      </c>
      <c r="P80" s="969">
        <f>SUM(P76:P79)</f>
      </c>
      <c r="Q80" s="969">
        <f>SUM(Q76:Q79)</f>
      </c>
      <c r="R80" s="969">
        <f>SUM(R76:R79)</f>
      </c>
    </row>
    <row r="81">
      <c r="A81" s="944"/>
      <c r="B81" s="973" t="s">
        <v>1006</v>
      </c>
      <c r="C81" s="973"/>
      <c r="D81" s="974">
        <f>D75+D80</f>
      </c>
      <c r="E81" s="974">
        <f>E75+E80</f>
      </c>
      <c r="F81" s="974">
        <f>F75+F80</f>
      </c>
      <c r="G81" s="975">
        <f t="shared" si="186"/>
      </c>
      <c r="H81" s="973">
        <f t="shared" si="6"/>
      </c>
      <c r="I81" s="973">
        <f t="shared" si="84"/>
      </c>
      <c r="J81" s="976">
        <f t="shared" si="143"/>
      </c>
      <c r="K81" s="976">
        <f t="shared" si="15"/>
      </c>
      <c r="L81" s="973">
        <f t="shared" si="58"/>
      </c>
      <c r="M81" s="977"/>
      <c r="N81" s="977"/>
      <c r="O81" s="974">
        <f>O75+O80</f>
      </c>
      <c r="P81" s="974">
        <f>P75+P80</f>
      </c>
      <c r="Q81" s="974">
        <f>Q75+Q80</f>
      </c>
      <c r="R81" s="974">
        <f>R75+R80</f>
      </c>
    </row>
    <row r="82">
      <c r="A82" s="931" t="s">
        <v>972</v>
      </c>
      <c r="B82" s="931"/>
      <c r="C82" s="931"/>
      <c r="D82" s="932" t="s">
        <v>973</v>
      </c>
      <c r="E82" s="932"/>
      <c r="F82" s="932"/>
      <c r="G82" s="932"/>
      <c r="H82" s="932"/>
      <c r="I82" s="932"/>
      <c r="J82" s="933" t="s">
        <v>974</v>
      </c>
      <c r="K82" s="933"/>
      <c r="L82" s="933"/>
      <c r="M82" s="933"/>
      <c r="N82" s="933"/>
      <c r="O82" s="934" t="s">
        <v>975</v>
      </c>
      <c r="P82" s="934"/>
      <c r="Q82" s="934"/>
      <c r="R82" s="934"/>
    </row>
    <row r="83">
      <c r="A83" s="936" t="s">
        <v>976</v>
      </c>
      <c r="B83" s="936" t="s">
        <v>977</v>
      </c>
      <c r="C83" s="937" t="s">
        <v>978</v>
      </c>
      <c r="D83" s="932" t="s">
        <v>979</v>
      </c>
      <c r="E83" s="938" t="s">
        <v>980</v>
      </c>
      <c r="F83" s="932" t="s">
        <v>981</v>
      </c>
      <c r="G83" s="939" t="s">
        <v>982</v>
      </c>
      <c r="H83" s="940" t="s">
        <v>983</v>
      </c>
      <c r="I83" s="932" t="s">
        <v>984</v>
      </c>
      <c r="J83" s="941" t="s">
        <v>985</v>
      </c>
      <c r="K83" s="941" t="s">
        <v>986</v>
      </c>
      <c r="L83" s="941" t="s">
        <v>987</v>
      </c>
      <c r="M83" s="933" t="s">
        <v>988</v>
      </c>
      <c r="N83" s="933" t="s">
        <v>989</v>
      </c>
      <c r="O83" s="942" t="s">
        <v>990</v>
      </c>
      <c r="P83" s="943" t="s">
        <v>991</v>
      </c>
      <c r="Q83" s="943" t="s">
        <v>992</v>
      </c>
      <c r="R83" s="943" t="s">
        <v>993</v>
      </c>
    </row>
    <row r="84">
      <c r="A84" s="944" t="s">
        <v>1020</v>
      </c>
      <c r="B84" s="945" t="s">
        <v>1008</v>
      </c>
      <c r="C84" s="946" t="s">
        <v>1015</v>
      </c>
      <c r="D84" s="945">
        <v>7878.2</v>
      </c>
      <c r="E84" s="958">
        <v>25</v>
      </c>
      <c r="F84" s="945">
        <v>14427.04</v>
      </c>
      <c r="G84" s="948">
        <f t="shared" ref="G84:G94" si="187">F84/D84</f>
      </c>
      <c r="H84" s="948">
        <f t="shared" ref="H84:H94" si="7">D84/E84</f>
      </c>
      <c r="I84" s="948">
        <f t="shared" ref="I84:I94" si="85">F84/E84</f>
      </c>
      <c r="J84" s="949">
        <f t="shared" ref="J84:J94" si="144">P84/O84</f>
      </c>
      <c r="K84" s="950">
        <f t="shared" ref="K84:K94" si="16">E84/Q84</f>
      </c>
      <c r="L84" s="951">
        <f t="shared" ref="L84:L94" si="59">(R84*1000)/D84</f>
      </c>
      <c r="M84" s="952" t="s">
        <v>997</v>
      </c>
      <c r="N84" s="953" t="s">
        <v>1010</v>
      </c>
      <c r="O84" s="955">
        <v>95726</v>
      </c>
      <c r="P84" s="955">
        <v>17423</v>
      </c>
      <c r="Q84" s="955">
        <v>32</v>
      </c>
      <c r="R84" s="955">
        <v>208</v>
      </c>
    </row>
    <row r="85">
      <c r="A85" s="944"/>
      <c r="B85" s="945" t="s">
        <v>1008</v>
      </c>
      <c r="C85" s="946" t="s">
        <v>1016</v>
      </c>
      <c r="D85" s="945">
        <v>7598.08</v>
      </c>
      <c r="E85" s="958">
        <v>22</v>
      </c>
      <c r="F85" s="945">
        <v>12470.44</v>
      </c>
      <c r="G85" s="948">
        <f t="shared" si="187"/>
      </c>
      <c r="H85" s="948">
        <f t="shared" si="7"/>
      </c>
      <c r="I85" s="948">
        <f t="shared" si="85"/>
      </c>
      <c r="J85" s="949">
        <f t="shared" si="144"/>
      </c>
      <c r="K85" s="950">
        <f t="shared" si="16"/>
      </c>
      <c r="L85" s="951">
        <f t="shared" si="59"/>
      </c>
      <c r="M85" s="952" t="s">
        <v>997</v>
      </c>
      <c r="N85" s="953" t="s">
        <v>1010</v>
      </c>
      <c r="O85" s="960">
        <v>100387</v>
      </c>
      <c r="P85" s="960">
        <v>15321</v>
      </c>
      <c r="Q85" s="960">
        <v>26</v>
      </c>
      <c r="R85" s="960">
        <v>188</v>
      </c>
    </row>
    <row r="86">
      <c r="A86" s="944"/>
      <c r="B86" s="945" t="s">
        <v>1008</v>
      </c>
      <c r="C86" s="946" t="s">
        <v>1012</v>
      </c>
      <c r="D86" s="945">
        <v>4885.52</v>
      </c>
      <c r="E86" s="958">
        <v>23</v>
      </c>
      <c r="F86" s="945">
        <v>8079.3</v>
      </c>
      <c r="G86" s="948">
        <f t="shared" si="187"/>
      </c>
      <c r="H86" s="948">
        <f t="shared" si="7"/>
      </c>
      <c r="I86" s="948">
        <f t="shared" si="85"/>
      </c>
      <c r="J86" s="949">
        <f t="shared" si="144"/>
      </c>
      <c r="K86" s="950">
        <f t="shared" si="16"/>
      </c>
      <c r="L86" s="951">
        <f t="shared" si="59"/>
      </c>
      <c r="M86" s="952" t="s">
        <v>997</v>
      </c>
      <c r="N86" s="953" t="s">
        <v>1010</v>
      </c>
      <c r="O86" s="960">
        <v>53874</v>
      </c>
      <c r="P86" s="960">
        <v>8170</v>
      </c>
      <c r="Q86" s="960">
        <v>27</v>
      </c>
      <c r="R86" s="960">
        <v>137</v>
      </c>
    </row>
    <row r="87">
      <c r="A87" s="944"/>
      <c r="B87" s="945" t="s">
        <v>1008</v>
      </c>
      <c r="C87" s="957" t="s">
        <v>999</v>
      </c>
      <c r="D87" s="945">
        <v>5132.66</v>
      </c>
      <c r="E87" s="958">
        <v>10</v>
      </c>
      <c r="F87" s="945">
        <v>7226.54</v>
      </c>
      <c r="G87" s="948">
        <f t="shared" si="187"/>
      </c>
      <c r="H87" s="948">
        <f t="shared" si="7"/>
      </c>
      <c r="I87" s="948">
        <f t="shared" si="85"/>
      </c>
      <c r="J87" s="949">
        <f t="shared" si="144"/>
      </c>
      <c r="K87" s="950">
        <f t="shared" si="16"/>
      </c>
      <c r="L87" s="951">
        <f t="shared" si="59"/>
      </c>
      <c r="M87" s="952" t="s">
        <v>997</v>
      </c>
      <c r="N87" s="953" t="s">
        <v>1010</v>
      </c>
      <c r="O87" s="960">
        <v>52659</v>
      </c>
      <c r="P87" s="960">
        <v>7765</v>
      </c>
      <c r="Q87" s="960">
        <v>12</v>
      </c>
      <c r="R87" s="970">
        <v>98</v>
      </c>
    </row>
    <row r="88">
      <c r="A88" s="944"/>
      <c r="B88" s="961" t="s">
        <v>1001</v>
      </c>
      <c r="C88" s="961"/>
      <c r="D88" s="962">
        <f>SUM(D84:D87)</f>
      </c>
      <c r="E88" s="963">
        <f>SUM(E84:E87)</f>
      </c>
      <c r="F88" s="962">
        <f>SUM(F84:F87)</f>
      </c>
      <c r="G88" s="964">
        <f t="shared" si="187"/>
      </c>
      <c r="H88" s="965">
        <f t="shared" si="7"/>
      </c>
      <c r="I88" s="966">
        <f t="shared" si="85"/>
      </c>
      <c r="J88" s="967">
        <f t="shared" si="144"/>
      </c>
      <c r="K88" s="967">
        <f t="shared" si="16"/>
      </c>
      <c r="L88" s="968">
        <f t="shared" si="59"/>
      </c>
      <c r="M88" s="968"/>
      <c r="N88" s="968"/>
      <c r="O88" s="969">
        <f>SUM(O84:O87)</f>
      </c>
      <c r="P88" s="969">
        <f>SUM(P84:P87)</f>
      </c>
      <c r="Q88" s="969">
        <f>SUM(Q84:Q87)</f>
      </c>
      <c r="R88" s="969">
        <f>SUM(R84:R87)</f>
      </c>
    </row>
    <row r="89">
      <c r="A89" s="944"/>
      <c r="B89" s="945" t="s">
        <v>1002</v>
      </c>
      <c r="C89" s="946" t="s">
        <v>1000</v>
      </c>
      <c r="D89" s="945">
        <v>2293.69</v>
      </c>
      <c r="E89" s="958">
        <v>2</v>
      </c>
      <c r="F89" s="945">
        <v>430.08</v>
      </c>
      <c r="G89" s="948">
        <f t="shared" si="187"/>
      </c>
      <c r="H89" s="948">
        <f t="shared" si="7"/>
      </c>
      <c r="I89" s="948">
        <f t="shared" si="85"/>
      </c>
      <c r="J89" s="949">
        <f t="shared" si="144"/>
      </c>
      <c r="K89" s="950">
        <f t="shared" si="16"/>
      </c>
      <c r="L89" s="951">
        <f t="shared" si="59"/>
      </c>
      <c r="M89" s="952" t="s">
        <v>997</v>
      </c>
      <c r="N89" s="953" t="s">
        <v>1010</v>
      </c>
      <c r="O89" s="960">
        <v>19637</v>
      </c>
      <c r="P89" s="960">
        <v>2547</v>
      </c>
      <c r="Q89" s="960">
        <v>4</v>
      </c>
      <c r="R89" s="970">
        <v>39</v>
      </c>
    </row>
    <row r="90">
      <c r="A90" s="944"/>
      <c r="B90" s="945" t="s">
        <v>1002</v>
      </c>
      <c r="C90" s="946" t="s">
        <v>1003</v>
      </c>
      <c r="D90" s="945">
        <v>5275.39</v>
      </c>
      <c r="E90" s="958">
        <v>19</v>
      </c>
      <c r="F90" s="945">
        <v>7216.44</v>
      </c>
      <c r="G90" s="948">
        <f t="shared" si="187"/>
      </c>
      <c r="H90" s="948">
        <f t="shared" si="7"/>
      </c>
      <c r="I90" s="948">
        <f t="shared" si="85"/>
      </c>
      <c r="J90" s="949">
        <f t="shared" si="144"/>
      </c>
      <c r="K90" s="950">
        <f t="shared" si="16"/>
      </c>
      <c r="L90" s="951">
        <f t="shared" si="59"/>
      </c>
      <c r="M90" s="952" t="s">
        <v>997</v>
      </c>
      <c r="N90" s="953" t="s">
        <v>1010</v>
      </c>
      <c r="O90" s="960">
        <v>61837</v>
      </c>
      <c r="P90" s="960">
        <v>9321</v>
      </c>
      <c r="Q90" s="960">
        <v>24</v>
      </c>
      <c r="R90" s="970">
        <v>127</v>
      </c>
    </row>
    <row r="91">
      <c r="A91" s="944"/>
      <c r="B91" s="945" t="s">
        <v>1002</v>
      </c>
      <c r="C91" s="946" t="s">
        <v>1004</v>
      </c>
      <c r="D91" s="945">
        <v>3818.02</v>
      </c>
      <c r="E91" s="958">
        <v>10</v>
      </c>
      <c r="F91" s="945">
        <v>8132.52</v>
      </c>
      <c r="G91" s="948">
        <f t="shared" si="187"/>
      </c>
      <c r="H91" s="948">
        <f t="shared" si="7"/>
      </c>
      <c r="I91" s="948">
        <f t="shared" si="85"/>
      </c>
      <c r="J91" s="949">
        <f t="shared" si="144"/>
      </c>
      <c r="K91" s="950">
        <f t="shared" si="16"/>
      </c>
      <c r="L91" s="951">
        <f t="shared" si="59"/>
      </c>
      <c r="M91" s="952" t="s">
        <v>997</v>
      </c>
      <c r="N91" s="953" t="s">
        <v>1010</v>
      </c>
      <c r="O91" s="960">
        <v>45924</v>
      </c>
      <c r="P91" s="960">
        <v>6177</v>
      </c>
      <c r="Q91" s="960">
        <v>12</v>
      </c>
      <c r="R91" s="970">
        <v>109</v>
      </c>
    </row>
    <row r="92">
      <c r="A92" s="944"/>
      <c r="B92" s="945" t="s">
        <v>1002</v>
      </c>
      <c r="C92" s="946" t="s">
        <v>1005</v>
      </c>
      <c r="D92" s="945">
        <v>2891.85</v>
      </c>
      <c r="E92" s="958">
        <v>3</v>
      </c>
      <c r="F92" s="945">
        <v>625.46</v>
      </c>
      <c r="G92" s="948">
        <f t="shared" si="187"/>
      </c>
      <c r="H92" s="948">
        <f t="shared" si="7"/>
      </c>
      <c r="I92" s="948">
        <f t="shared" si="85"/>
      </c>
      <c r="J92" s="949">
        <f t="shared" si="144"/>
      </c>
      <c r="K92" s="950">
        <f t="shared" si="16"/>
      </c>
      <c r="L92" s="951">
        <f t="shared" si="59"/>
      </c>
      <c r="M92" s="952" t="s">
        <v>997</v>
      </c>
      <c r="N92" s="953" t="s">
        <v>1010</v>
      </c>
      <c r="O92" s="960">
        <v>32338</v>
      </c>
      <c r="P92" s="960">
        <v>4142</v>
      </c>
      <c r="Q92" s="960">
        <v>8</v>
      </c>
      <c r="R92" s="970">
        <v>63</v>
      </c>
    </row>
    <row r="93">
      <c r="A93" s="944"/>
      <c r="B93" s="972" t="s">
        <v>1001</v>
      </c>
      <c r="C93" s="972"/>
      <c r="D93" s="962">
        <f>SUM(D89:D92)</f>
      </c>
      <c r="E93" s="963">
        <f>SUM(E89:E92)</f>
      </c>
      <c r="F93" s="962">
        <f>SUM(F89:F92)</f>
      </c>
      <c r="G93" s="964">
        <f t="shared" si="187"/>
      </c>
      <c r="H93" s="965">
        <f t="shared" si="7"/>
      </c>
      <c r="I93" s="966">
        <f t="shared" si="85"/>
      </c>
      <c r="J93" s="967">
        <f t="shared" si="144"/>
      </c>
      <c r="K93" s="967">
        <f t="shared" si="16"/>
      </c>
      <c r="L93" s="968">
        <f t="shared" si="59"/>
      </c>
      <c r="M93" s="968"/>
      <c r="N93" s="968"/>
      <c r="O93" s="969">
        <f>SUM(O89:O92)</f>
      </c>
      <c r="P93" s="969">
        <f>SUM(P89:P92)</f>
      </c>
      <c r="Q93" s="969">
        <f>SUM(Q89:Q92)</f>
      </c>
      <c r="R93" s="969">
        <f>SUM(R89:R92)</f>
      </c>
    </row>
    <row r="94">
      <c r="A94" s="944"/>
      <c r="B94" s="973" t="s">
        <v>1006</v>
      </c>
      <c r="C94" s="973"/>
      <c r="D94" s="974">
        <f>D88+D93</f>
      </c>
      <c r="E94" s="974">
        <f>E88+E93</f>
      </c>
      <c r="F94" s="974">
        <f>F88+F93</f>
      </c>
      <c r="G94" s="975">
        <f t="shared" si="187"/>
      </c>
      <c r="H94" s="973">
        <f t="shared" si="7"/>
      </c>
      <c r="I94" s="973">
        <f t="shared" si="85"/>
      </c>
      <c r="J94" s="976">
        <f t="shared" si="144"/>
      </c>
      <c r="K94" s="976">
        <f t="shared" si="16"/>
      </c>
      <c r="L94" s="973">
        <f t="shared" si="59"/>
      </c>
      <c r="M94" s="977"/>
      <c r="N94" s="977"/>
      <c r="O94" s="974">
        <f>O88+O93</f>
      </c>
      <c r="P94" s="974">
        <f>P88+P93</f>
      </c>
      <c r="Q94" s="974">
        <f>Q88+Q93</f>
      </c>
      <c r="R94" s="974">
        <f>R88+R93</f>
      </c>
    </row>
    <row r="95">
      <c r="A95" s="931" t="s">
        <v>972</v>
      </c>
      <c r="B95" s="931"/>
      <c r="C95" s="931"/>
      <c r="D95" s="932" t="s">
        <v>973</v>
      </c>
      <c r="E95" s="932"/>
      <c r="F95" s="932"/>
      <c r="G95" s="932"/>
      <c r="H95" s="932"/>
      <c r="I95" s="932"/>
      <c r="J95" s="933" t="s">
        <v>974</v>
      </c>
      <c r="K95" s="933"/>
      <c r="L95" s="933"/>
      <c r="M95" s="933"/>
      <c r="N95" s="933"/>
      <c r="O95" s="934" t="s">
        <v>975</v>
      </c>
      <c r="P95" s="934"/>
      <c r="Q95" s="934"/>
      <c r="R95" s="934"/>
    </row>
    <row r="96">
      <c r="A96" s="936" t="s">
        <v>976</v>
      </c>
      <c r="B96" s="936" t="s">
        <v>977</v>
      </c>
      <c r="C96" s="937" t="s">
        <v>978</v>
      </c>
      <c r="D96" s="932" t="s">
        <v>979</v>
      </c>
      <c r="E96" s="938" t="s">
        <v>980</v>
      </c>
      <c r="F96" s="932" t="s">
        <v>981</v>
      </c>
      <c r="G96" s="939" t="s">
        <v>982</v>
      </c>
      <c r="H96" s="940" t="s">
        <v>983</v>
      </c>
      <c r="I96" s="932" t="s">
        <v>984</v>
      </c>
      <c r="J96" s="941" t="s">
        <v>985</v>
      </c>
      <c r="K96" s="941" t="s">
        <v>986</v>
      </c>
      <c r="L96" s="941" t="s">
        <v>987</v>
      </c>
      <c r="M96" s="933" t="s">
        <v>988</v>
      </c>
      <c r="N96" s="933" t="s">
        <v>989</v>
      </c>
      <c r="O96" s="942" t="s">
        <v>990</v>
      </c>
      <c r="P96" s="943" t="s">
        <v>991</v>
      </c>
      <c r="Q96" s="943" t="s">
        <v>992</v>
      </c>
      <c r="R96" s="943" t="s">
        <v>993</v>
      </c>
    </row>
    <row r="97">
      <c r="A97" s="944" t="s">
        <v>1021</v>
      </c>
      <c r="B97" s="945" t="s">
        <v>1008</v>
      </c>
      <c r="C97" s="946" t="s">
        <v>1015</v>
      </c>
      <c r="D97" s="945">
        <v>2793.29</v>
      </c>
      <c r="E97" s="958">
        <v>6</v>
      </c>
      <c r="F97" s="945">
        <v>2678.4</v>
      </c>
      <c r="G97" s="948">
        <f t="shared" ref="G97:G107" si="188">F97/D97</f>
      </c>
      <c r="H97" s="948">
        <f t="shared" ref="H97:H107" si="8">D97/E97</f>
      </c>
      <c r="I97" s="948">
        <f t="shared" ref="I97:I107" si="86">F97/E97</f>
      </c>
      <c r="J97" s="949">
        <f t="shared" ref="J97:J107" si="145">P97/O97</f>
      </c>
      <c r="K97" s="950">
        <f t="shared" ref="K97:K107" si="17">E97/Q97</f>
      </c>
      <c r="L97" s="951">
        <f t="shared" ref="L97:L107" si="60">(R97*1000)/D97</f>
      </c>
      <c r="M97" s="952" t="s">
        <v>997</v>
      </c>
      <c r="N97" s="953" t="s">
        <v>1010</v>
      </c>
      <c r="O97" s="955">
        <v>27625</v>
      </c>
      <c r="P97" s="955">
        <v>4665</v>
      </c>
      <c r="Q97" s="955">
        <v>11</v>
      </c>
      <c r="R97" s="955">
        <v>69</v>
      </c>
    </row>
    <row r="98">
      <c r="A98" s="944"/>
      <c r="B98" s="945" t="s">
        <v>1008</v>
      </c>
      <c r="C98" s="946" t="s">
        <v>1016</v>
      </c>
      <c r="D98" s="945">
        <v>1562.52</v>
      </c>
      <c r="E98" s="958">
        <v>5</v>
      </c>
      <c r="F98" s="945">
        <v>1075.2</v>
      </c>
      <c r="G98" s="948">
        <f t="shared" si="188"/>
      </c>
      <c r="H98" s="948">
        <f t="shared" si="8"/>
      </c>
      <c r="I98" s="948">
        <f t="shared" si="86"/>
      </c>
      <c r="J98" s="949">
        <f t="shared" si="145"/>
      </c>
      <c r="K98" s="950">
        <f t="shared" si="17"/>
      </c>
      <c r="L98" s="951">
        <f t="shared" si="60"/>
      </c>
      <c r="M98" s="952" t="s">
        <v>997</v>
      </c>
      <c r="N98" s="953" t="s">
        <v>1010</v>
      </c>
      <c r="O98" s="960">
        <v>15665</v>
      </c>
      <c r="P98" s="960">
        <v>2903</v>
      </c>
      <c r="Q98" s="960">
        <v>5</v>
      </c>
      <c r="R98" s="960">
        <v>39</v>
      </c>
    </row>
    <row r="99">
      <c r="A99" s="944"/>
      <c r="B99" s="945" t="s">
        <v>1008</v>
      </c>
      <c r="C99" s="946" t="s">
        <v>1012</v>
      </c>
      <c r="D99" s="945">
        <v>1975.79</v>
      </c>
      <c r="E99" s="958">
        <v>2</v>
      </c>
      <c r="F99" s="945">
        <v>1779.12</v>
      </c>
      <c r="G99" s="948">
        <f t="shared" si="188"/>
      </c>
      <c r="H99" s="948">
        <f t="shared" si="8"/>
      </c>
      <c r="I99" s="948">
        <f t="shared" si="86"/>
      </c>
      <c r="J99" s="949">
        <f t="shared" si="145"/>
      </c>
      <c r="K99" s="950">
        <f t="shared" si="17"/>
      </c>
      <c r="L99" s="951">
        <f t="shared" si="60"/>
      </c>
      <c r="M99" s="952" t="s">
        <v>997</v>
      </c>
      <c r="N99" s="953" t="s">
        <v>1010</v>
      </c>
      <c r="O99" s="960">
        <v>18278</v>
      </c>
      <c r="P99" s="960">
        <v>2938</v>
      </c>
      <c r="Q99" s="960">
        <v>3</v>
      </c>
      <c r="R99" s="960">
        <v>48</v>
      </c>
    </row>
    <row r="100">
      <c r="A100" s="944"/>
      <c r="B100" s="945" t="s">
        <v>1008</v>
      </c>
      <c r="C100" s="957" t="s">
        <v>999</v>
      </c>
      <c r="D100" s="945">
        <v>1143.89</v>
      </c>
      <c r="E100" s="958">
        <v>3</v>
      </c>
      <c r="F100" s="945">
        <v>1088.18</v>
      </c>
      <c r="G100" s="948">
        <f t="shared" si="188"/>
      </c>
      <c r="H100" s="948">
        <f t="shared" si="8"/>
      </c>
      <c r="I100" s="948">
        <f t="shared" si="86"/>
      </c>
      <c r="J100" s="949">
        <f t="shared" si="145"/>
      </c>
      <c r="K100" s="950">
        <f t="shared" si="17"/>
      </c>
      <c r="L100" s="951">
        <f t="shared" si="60"/>
      </c>
      <c r="M100" s="952" t="s">
        <v>997</v>
      </c>
      <c r="N100" s="953" t="s">
        <v>1010</v>
      </c>
      <c r="O100" s="960">
        <v>9696</v>
      </c>
      <c r="P100" s="960">
        <v>1233</v>
      </c>
      <c r="Q100" s="960">
        <v>4</v>
      </c>
      <c r="R100" s="970">
        <v>38</v>
      </c>
    </row>
    <row r="101">
      <c r="A101" s="944"/>
      <c r="B101" s="961" t="s">
        <v>1001</v>
      </c>
      <c r="C101" s="961"/>
      <c r="D101" s="962">
        <f>SUM(D97:D100)</f>
      </c>
      <c r="E101" s="963">
        <f>SUM(E97:E100)</f>
      </c>
      <c r="F101" s="962">
        <f>SUM(F97:F100)</f>
      </c>
      <c r="G101" s="964">
        <f t="shared" si="188"/>
      </c>
      <c r="H101" s="965">
        <f t="shared" si="8"/>
      </c>
      <c r="I101" s="966">
        <f t="shared" si="86"/>
      </c>
      <c r="J101" s="967">
        <f t="shared" si="145"/>
      </c>
      <c r="K101" s="967">
        <f t="shared" si="17"/>
      </c>
      <c r="L101" s="968">
        <f t="shared" si="60"/>
      </c>
      <c r="M101" s="968"/>
      <c r="N101" s="968"/>
      <c r="O101" s="969">
        <f>SUM(O97:O100)</f>
      </c>
      <c r="P101" s="969">
        <f>SUM(P97:P100)</f>
      </c>
      <c r="Q101" s="969">
        <f>SUM(Q97:Q100)</f>
      </c>
      <c r="R101" s="969">
        <f>SUM(R97:R100)</f>
      </c>
    </row>
    <row r="102">
      <c r="A102" s="944"/>
      <c r="B102" s="945" t="s">
        <v>1002</v>
      </c>
      <c r="C102" s="946" t="s">
        <v>1000</v>
      </c>
      <c r="D102" s="945">
        <v>1820.25</v>
      </c>
      <c r="E102" s="958">
        <v>8</v>
      </c>
      <c r="F102" s="945">
        <v>1700.66</v>
      </c>
      <c r="G102" s="948">
        <f t="shared" si="188"/>
      </c>
      <c r="H102" s="948">
        <f t="shared" si="8"/>
      </c>
      <c r="I102" s="948">
        <f t="shared" si="86"/>
      </c>
      <c r="J102" s="949">
        <f t="shared" si="145"/>
      </c>
      <c r="K102" s="950">
        <f t="shared" si="17"/>
      </c>
      <c r="L102" s="951">
        <f t="shared" si="60"/>
      </c>
      <c r="M102" s="952" t="s">
        <v>997</v>
      </c>
      <c r="N102" s="953" t="s">
        <v>1010</v>
      </c>
      <c r="O102" s="960">
        <v>15686</v>
      </c>
      <c r="P102" s="960">
        <v>1894</v>
      </c>
      <c r="Q102" s="960">
        <v>10</v>
      </c>
      <c r="R102" s="970">
        <v>30</v>
      </c>
    </row>
    <row r="103">
      <c r="A103" s="944"/>
      <c r="B103" s="945" t="s">
        <v>1002</v>
      </c>
      <c r="C103" s="946" t="s">
        <v>1003</v>
      </c>
      <c r="D103" s="945">
        <v>4019.58</v>
      </c>
      <c r="E103" s="958">
        <v>14</v>
      </c>
      <c r="F103" s="945">
        <v>5743.1</v>
      </c>
      <c r="G103" s="948">
        <f t="shared" si="188"/>
      </c>
      <c r="H103" s="948">
        <f t="shared" si="8"/>
      </c>
      <c r="I103" s="948">
        <f t="shared" si="86"/>
      </c>
      <c r="J103" s="949">
        <f t="shared" si="145"/>
      </c>
      <c r="K103" s="950">
        <f t="shared" si="17"/>
      </c>
      <c r="L103" s="951">
        <f t="shared" si="60"/>
      </c>
      <c r="M103" s="952" t="s">
        <v>997</v>
      </c>
      <c r="N103" s="953" t="s">
        <v>1010</v>
      </c>
      <c r="O103" s="960">
        <v>33959</v>
      </c>
      <c r="P103" s="960">
        <v>4856</v>
      </c>
      <c r="Q103" s="960">
        <v>16</v>
      </c>
      <c r="R103" s="970">
        <v>82</v>
      </c>
    </row>
    <row r="104">
      <c r="A104" s="944"/>
      <c r="B104" s="945" t="s">
        <v>1002</v>
      </c>
      <c r="C104" s="946" t="s">
        <v>1004</v>
      </c>
      <c r="D104" s="945">
        <v>4301.25</v>
      </c>
      <c r="E104" s="958">
        <v>13</v>
      </c>
      <c r="F104" s="945">
        <v>7182.47</v>
      </c>
      <c r="G104" s="948">
        <f t="shared" si="188"/>
      </c>
      <c r="H104" s="948">
        <f t="shared" si="8"/>
      </c>
      <c r="I104" s="948">
        <f t="shared" si="86"/>
      </c>
      <c r="J104" s="949">
        <f t="shared" si="145"/>
      </c>
      <c r="K104" s="950">
        <f t="shared" si="17"/>
      </c>
      <c r="L104" s="951">
        <f t="shared" si="60"/>
      </c>
      <c r="M104" s="952" t="s">
        <v>997</v>
      </c>
      <c r="N104" s="953" t="s">
        <v>1010</v>
      </c>
      <c r="O104" s="960">
        <v>39916</v>
      </c>
      <c r="P104" s="960">
        <v>5188</v>
      </c>
      <c r="Q104" s="960">
        <v>15</v>
      </c>
      <c r="R104" s="970">
        <v>73</v>
      </c>
    </row>
    <row r="105">
      <c r="A105" s="944"/>
      <c r="B105" s="945" t="s">
        <v>1002</v>
      </c>
      <c r="C105" s="946" t="s">
        <v>1005</v>
      </c>
      <c r="D105" s="945">
        <v>1095.31</v>
      </c>
      <c r="E105" s="958">
        <v>4</v>
      </c>
      <c r="F105" s="945">
        <v>860.16</v>
      </c>
      <c r="G105" s="948">
        <f t="shared" si="188"/>
      </c>
      <c r="H105" s="948">
        <f t="shared" si="8"/>
      </c>
      <c r="I105" s="948">
        <f t="shared" si="86"/>
      </c>
      <c r="J105" s="949">
        <f t="shared" si="145"/>
      </c>
      <c r="K105" s="950">
        <f t="shared" si="17"/>
      </c>
      <c r="L105" s="951">
        <f t="shared" si="60"/>
      </c>
      <c r="M105" s="952" t="s">
        <v>997</v>
      </c>
      <c r="N105" s="953" t="s">
        <v>1010</v>
      </c>
      <c r="O105" s="960">
        <v>10821</v>
      </c>
      <c r="P105" s="960">
        <v>1335</v>
      </c>
      <c r="Q105" s="960">
        <v>6</v>
      </c>
      <c r="R105" s="970">
        <v>31</v>
      </c>
    </row>
    <row r="106">
      <c r="A106" s="944"/>
      <c r="B106" s="972" t="s">
        <v>1001</v>
      </c>
      <c r="C106" s="972"/>
      <c r="D106" s="962">
        <f>SUM(D102:D105)</f>
      </c>
      <c r="E106" s="963">
        <f>SUM(E102:E105)</f>
      </c>
      <c r="F106" s="962">
        <f>SUM(F102:F105)</f>
      </c>
      <c r="G106" s="964">
        <f t="shared" si="188"/>
      </c>
      <c r="H106" s="965">
        <f t="shared" si="8"/>
      </c>
      <c r="I106" s="966">
        <f t="shared" si="86"/>
      </c>
      <c r="J106" s="967">
        <f t="shared" si="145"/>
      </c>
      <c r="K106" s="967">
        <f t="shared" si="17"/>
      </c>
      <c r="L106" s="968">
        <f t="shared" si="60"/>
      </c>
      <c r="M106" s="968"/>
      <c r="N106" s="968"/>
      <c r="O106" s="969">
        <f>SUM(O102:O105)</f>
      </c>
      <c r="P106" s="969">
        <f>SUM(P102:P105)</f>
      </c>
      <c r="Q106" s="969">
        <f>SUM(Q102:Q105)</f>
      </c>
      <c r="R106" s="969">
        <f>SUM(R102:R105)</f>
      </c>
    </row>
    <row r="107">
      <c r="A107" s="944"/>
      <c r="B107" s="973" t="s">
        <v>1006</v>
      </c>
      <c r="C107" s="973"/>
      <c r="D107" s="974">
        <f>D101+D106</f>
      </c>
      <c r="E107" s="974">
        <f>E101+E106</f>
      </c>
      <c r="F107" s="974">
        <f>F101+F106</f>
      </c>
      <c r="G107" s="975">
        <f t="shared" si="188"/>
      </c>
      <c r="H107" s="973">
        <f t="shared" si="8"/>
      </c>
      <c r="I107" s="973">
        <f t="shared" si="86"/>
      </c>
      <c r="J107" s="976">
        <f t="shared" si="145"/>
      </c>
      <c r="K107" s="976">
        <f t="shared" si="17"/>
      </c>
      <c r="L107" s="973">
        <f t="shared" si="60"/>
      </c>
      <c r="M107" s="977"/>
      <c r="N107" s="977"/>
      <c r="O107" s="974">
        <f>O101+O106</f>
      </c>
      <c r="P107" s="974">
        <f>P101+P106</f>
      </c>
      <c r="Q107" s="974">
        <f>Q101+Q106</f>
      </c>
      <c r="R107" s="974">
        <f>R101+R106</f>
      </c>
    </row>
    <row r="108">
      <c r="A108" s="931" t="s">
        <v>972</v>
      </c>
      <c r="B108" s="931"/>
      <c r="C108" s="931"/>
      <c r="D108" s="932" t="s">
        <v>973</v>
      </c>
      <c r="E108" s="932"/>
      <c r="F108" s="932"/>
      <c r="G108" s="932"/>
      <c r="H108" s="932"/>
      <c r="I108" s="932"/>
      <c r="J108" s="932"/>
      <c r="K108" s="932"/>
      <c r="L108" s="933" t="s">
        <v>974</v>
      </c>
      <c r="M108" s="933"/>
      <c r="N108" s="933"/>
      <c r="O108" s="933"/>
      <c r="P108" s="933"/>
      <c r="Q108" s="934" t="s">
        <v>975</v>
      </c>
      <c r="R108" s="934"/>
      <c r="S108" s="934"/>
      <c r="T108" s="934"/>
    </row>
    <row r="109">
      <c r="A109" s="936" t="s">
        <v>976</v>
      </c>
      <c r="B109" s="936" t="s">
        <v>977</v>
      </c>
      <c r="C109" s="937" t="s">
        <v>978</v>
      </c>
      <c r="D109" s="932" t="s">
        <v>979</v>
      </c>
      <c r="E109" s="932" t="s">
        <v>1022</v>
      </c>
      <c r="F109" s="932" t="s">
        <v>1023</v>
      </c>
      <c r="G109" s="938" t="s">
        <v>980</v>
      </c>
      <c r="H109" s="932" t="s">
        <v>981</v>
      </c>
      <c r="I109" s="939" t="s">
        <v>982</v>
      </c>
      <c r="J109" s="940" t="s">
        <v>983</v>
      </c>
      <c r="K109" s="932" t="s">
        <v>984</v>
      </c>
      <c r="L109" s="941" t="s">
        <v>985</v>
      </c>
      <c r="M109" s="941" t="s">
        <v>986</v>
      </c>
      <c r="N109" s="941" t="s">
        <v>987</v>
      </c>
      <c r="O109" s="933" t="s">
        <v>988</v>
      </c>
      <c r="P109" s="933" t="s">
        <v>989</v>
      </c>
      <c r="Q109" s="942" t="s">
        <v>990</v>
      </c>
      <c r="R109" s="943" t="s">
        <v>991</v>
      </c>
      <c r="S109" s="943" t="s">
        <v>992</v>
      </c>
      <c r="T109" s="943" t="s">
        <v>993</v>
      </c>
    </row>
    <row r="110">
      <c r="A110" s="956" t="s">
        <v>1024</v>
      </c>
      <c r="B110" s="947" t="s">
        <v>1002</v>
      </c>
      <c r="C110" s="957" t="s">
        <v>1015</v>
      </c>
      <c r="D110" s="947">
        <f t="shared" ref="D110:D113" si="104">E110+F110</f>
      </c>
      <c r="E110" s="947">
        <v>4581.94</v>
      </c>
      <c r="F110" s="947">
        <v>498.25</v>
      </c>
      <c r="G110" s="971">
        <v>10</v>
      </c>
      <c r="H110" s="947">
        <v>4385.56</v>
      </c>
      <c r="I110" s="948">
        <f t="shared" ref="I110:I120" si="163">H110/D110</f>
      </c>
      <c r="J110" s="948">
        <f t="shared" ref="J110:J120" si="35">D110/G110</f>
      </c>
      <c r="K110" s="948">
        <f t="shared" ref="K110:K120" si="87">H110/G110</f>
      </c>
      <c r="L110" s="949">
        <f t="shared" ref="L110:L120" si="146">R110/Q110</f>
      </c>
      <c r="M110" s="950">
        <f t="shared" ref="M110:M120" si="18">G110/S110</f>
      </c>
      <c r="N110" s="951">
        <f t="shared" ref="N110:N120" si="61">(T110*1000)/D110</f>
      </c>
      <c r="O110" s="978" t="s">
        <v>997</v>
      </c>
      <c r="P110" s="979" t="s">
        <v>1010</v>
      </c>
      <c r="Q110" s="954">
        <v>60006</v>
      </c>
      <c r="R110" s="954">
        <v>11219</v>
      </c>
      <c r="S110" s="954">
        <v>15</v>
      </c>
      <c r="T110" s="954">
        <v>83</v>
      </c>
    </row>
    <row r="111">
      <c r="A111" s="956"/>
      <c r="B111" s="947" t="s">
        <v>1002</v>
      </c>
      <c r="C111" s="957" t="s">
        <v>1016</v>
      </c>
      <c r="D111" s="947">
        <f t="shared" si="104"/>
      </c>
      <c r="E111" s="947">
        <v>1988.07</v>
      </c>
      <c r="F111" s="947">
        <v>2089.55</v>
      </c>
      <c r="G111" s="971">
        <v>17</v>
      </c>
      <c r="H111" s="947">
        <v>8129.21</v>
      </c>
      <c r="I111" s="948">
        <f t="shared" si="163"/>
      </c>
      <c r="J111" s="948">
        <f t="shared" si="35"/>
      </c>
      <c r="K111" s="948">
        <f t="shared" si="87"/>
      </c>
      <c r="L111" s="949">
        <f t="shared" si="146"/>
      </c>
      <c r="M111" s="950">
        <f t="shared" si="18"/>
      </c>
      <c r="N111" s="951">
        <f t="shared" si="61"/>
      </c>
      <c r="O111" s="978" t="s">
        <v>997</v>
      </c>
      <c r="P111" s="979" t="s">
        <v>1010</v>
      </c>
      <c r="Q111" s="959">
        <v>42042</v>
      </c>
      <c r="R111" s="959">
        <v>6061</v>
      </c>
      <c r="S111" s="959">
        <v>20</v>
      </c>
      <c r="T111" s="959">
        <v>76</v>
      </c>
    </row>
    <row r="112">
      <c r="A112" s="956"/>
      <c r="B112" s="947" t="s">
        <v>1002</v>
      </c>
      <c r="C112" s="957" t="s">
        <v>1012</v>
      </c>
      <c r="D112" s="947">
        <f t="shared" si="104"/>
      </c>
      <c r="E112" s="947">
        <v>1916.98</v>
      </c>
      <c r="F112" s="947">
        <v>1959.91</v>
      </c>
      <c r="G112" s="971">
        <v>9</v>
      </c>
      <c r="H112" s="947">
        <v>2358.76</v>
      </c>
      <c r="I112" s="948">
        <f t="shared" si="163"/>
      </c>
      <c r="J112" s="948">
        <f t="shared" si="35"/>
      </c>
      <c r="K112" s="948">
        <f t="shared" si="87"/>
      </c>
      <c r="L112" s="949">
        <f t="shared" si="146"/>
      </c>
      <c r="M112" s="950">
        <f t="shared" si="18"/>
      </c>
      <c r="N112" s="951">
        <f t="shared" si="61"/>
      </c>
      <c r="O112" s="978" t="s">
        <v>997</v>
      </c>
      <c r="P112" s="979" t="s">
        <v>1010</v>
      </c>
      <c r="Q112" s="959">
        <v>46186</v>
      </c>
      <c r="R112" s="959">
        <v>5511</v>
      </c>
      <c r="S112" s="959">
        <v>10</v>
      </c>
      <c r="T112" s="959">
        <v>65</v>
      </c>
    </row>
    <row r="113">
      <c r="A113" s="956"/>
      <c r="B113" s="947" t="s">
        <v>1002</v>
      </c>
      <c r="C113" s="957" t="s">
        <v>999</v>
      </c>
      <c r="D113" s="947">
        <f t="shared" si="104"/>
      </c>
      <c r="E113" s="947">
        <v>1392.46</v>
      </c>
      <c r="F113" s="947">
        <v>1819.14</v>
      </c>
      <c r="G113" s="971">
        <v>6</v>
      </c>
      <c r="H113" s="947">
        <v>1691.28</v>
      </c>
      <c r="I113" s="948">
        <f t="shared" si="163"/>
      </c>
      <c r="J113" s="948">
        <f t="shared" si="35"/>
      </c>
      <c r="K113" s="948">
        <f t="shared" si="87"/>
      </c>
      <c r="L113" s="949">
        <f t="shared" si="146"/>
      </c>
      <c r="M113" s="950">
        <f t="shared" si="18"/>
      </c>
      <c r="N113" s="951">
        <f t="shared" si="61"/>
      </c>
      <c r="O113" s="978" t="s">
        <v>997</v>
      </c>
      <c r="P113" s="979" t="s">
        <v>1010</v>
      </c>
      <c r="Q113" s="959">
        <v>36902</v>
      </c>
      <c r="R113" s="959">
        <v>4865</v>
      </c>
      <c r="S113" s="959">
        <v>6</v>
      </c>
      <c r="T113" s="980">
        <v>79</v>
      </c>
    </row>
    <row r="114">
      <c r="A114" s="956"/>
      <c r="B114" s="961" t="s">
        <v>1001</v>
      </c>
      <c r="C114" s="961"/>
      <c r="D114" s="962">
        <f>SUM(D110:D113)</f>
      </c>
      <c r="E114" s="962">
        <f>SUM(E110:E113)</f>
      </c>
      <c r="F114" s="962">
        <f>SUM(F110:F113)</f>
      </c>
      <c r="G114" s="963">
        <f>SUM(G110:G113)</f>
      </c>
      <c r="H114" s="962">
        <f>SUM(H110:H113)</f>
      </c>
      <c r="I114" s="964">
        <f t="shared" si="163"/>
      </c>
      <c r="J114" s="965">
        <f t="shared" si="35"/>
      </c>
      <c r="K114" s="966">
        <f t="shared" si="87"/>
      </c>
      <c r="L114" s="967">
        <f t="shared" si="146"/>
      </c>
      <c r="M114" s="967">
        <f t="shared" si="18"/>
      </c>
      <c r="N114" s="968">
        <f t="shared" si="61"/>
      </c>
      <c r="O114" s="968"/>
      <c r="P114" s="968"/>
      <c r="Q114" s="969">
        <f>SUM(Q110:Q113)</f>
      </c>
      <c r="R114" s="969">
        <f>SUM(R110:R113)</f>
      </c>
      <c r="S114" s="969">
        <f>SUM(S110:S113)</f>
      </c>
      <c r="T114" s="969">
        <f>SUM(T110:T113)</f>
      </c>
    </row>
    <row r="115">
      <c r="A115" s="956"/>
      <c r="B115" s="947" t="s">
        <v>1008</v>
      </c>
      <c r="C115" s="957" t="s">
        <v>1000</v>
      </c>
      <c r="D115" s="947">
        <f t="shared" ref="D115:D118" si="105">E115+F115</f>
      </c>
      <c r="E115" s="947">
        <v>944.73</v>
      </c>
      <c r="F115" s="947">
        <v>1093.92</v>
      </c>
      <c r="G115" s="971">
        <v>3</v>
      </c>
      <c r="H115" s="947">
        <v>645.12</v>
      </c>
      <c r="I115" s="948">
        <f t="shared" si="163"/>
      </c>
      <c r="J115" s="948">
        <f t="shared" si="35"/>
      </c>
      <c r="K115" s="948">
        <f t="shared" si="87"/>
      </c>
      <c r="L115" s="949">
        <f t="shared" si="146"/>
      </c>
      <c r="M115" s="950">
        <f t="shared" si="18"/>
      </c>
      <c r="N115" s="951">
        <f t="shared" si="61"/>
      </c>
      <c r="O115" s="978" t="s">
        <v>997</v>
      </c>
      <c r="P115" s="979" t="s">
        <v>1010</v>
      </c>
      <c r="Q115" s="959">
        <v>20913</v>
      </c>
      <c r="R115" s="959">
        <v>2364</v>
      </c>
      <c r="S115" s="959">
        <v>6</v>
      </c>
      <c r="T115" s="980">
        <v>36</v>
      </c>
    </row>
    <row r="116">
      <c r="A116" s="956"/>
      <c r="B116" s="947" t="s">
        <v>1008</v>
      </c>
      <c r="C116" s="957" t="s">
        <v>1003</v>
      </c>
      <c r="D116" s="947">
        <f t="shared" si="105"/>
      </c>
      <c r="E116" s="945">
        <v>891.58</v>
      </c>
      <c r="F116" s="945">
        <v>1084.47</v>
      </c>
      <c r="G116" s="958">
        <v>3</v>
      </c>
      <c r="H116" s="945">
        <v>1994.16</v>
      </c>
      <c r="I116" s="948">
        <f t="shared" si="163"/>
      </c>
      <c r="J116" s="948">
        <f t="shared" si="35"/>
      </c>
      <c r="K116" s="948">
        <f t="shared" si="87"/>
      </c>
      <c r="L116" s="949">
        <f t="shared" si="146"/>
      </c>
      <c r="M116" s="950">
        <f t="shared" si="18"/>
      </c>
      <c r="N116" s="951">
        <f t="shared" si="61"/>
      </c>
      <c r="O116" s="978" t="s">
        <v>997</v>
      </c>
      <c r="P116" s="979" t="s">
        <v>1010</v>
      </c>
      <c r="Q116" s="960">
        <v>20191</v>
      </c>
      <c r="R116" s="960">
        <v>2246</v>
      </c>
      <c r="S116" s="960">
        <v>3</v>
      </c>
      <c r="T116" s="970">
        <v>46</v>
      </c>
    </row>
    <row r="117">
      <c r="A117" s="956"/>
      <c r="B117" s="947" t="s">
        <v>1008</v>
      </c>
      <c r="C117" s="957" t="s">
        <v>1004</v>
      </c>
      <c r="D117" s="947">
        <f t="shared" si="105"/>
      </c>
      <c r="E117" s="945">
        <v>1512.92</v>
      </c>
      <c r="F117" s="945">
        <v>327.46</v>
      </c>
      <c r="G117" s="958">
        <v>5</v>
      </c>
      <c r="H117" s="945">
        <v>2886.96</v>
      </c>
      <c r="I117" s="948">
        <f t="shared" si="163"/>
      </c>
      <c r="J117" s="948">
        <f t="shared" si="35"/>
      </c>
      <c r="K117" s="948">
        <f t="shared" si="87"/>
      </c>
      <c r="L117" s="949">
        <f t="shared" si="146"/>
      </c>
      <c r="M117" s="950">
        <f t="shared" si="18"/>
      </c>
      <c r="N117" s="951">
        <f t="shared" si="61"/>
      </c>
      <c r="O117" s="978" t="s">
        <v>997</v>
      </c>
      <c r="P117" s="979" t="s">
        <v>1010</v>
      </c>
      <c r="Q117" s="960">
        <v>23255</v>
      </c>
      <c r="R117" s="960">
        <v>4540</v>
      </c>
      <c r="S117" s="960">
        <v>6</v>
      </c>
      <c r="T117" s="970">
        <v>79</v>
      </c>
    </row>
    <row r="118">
      <c r="A118" s="956"/>
      <c r="B118" s="947" t="s">
        <v>1008</v>
      </c>
      <c r="C118" s="957" t="s">
        <v>1005</v>
      </c>
      <c r="D118" s="947">
        <f t="shared" si="105"/>
      </c>
      <c r="E118" s="945">
        <v>289.09</v>
      </c>
      <c r="F118" s="945">
        <v>415.83</v>
      </c>
      <c r="G118" s="958">
        <v>1</v>
      </c>
      <c r="H118" s="945">
        <v>195.38</v>
      </c>
      <c r="I118" s="948">
        <f t="shared" si="163"/>
      </c>
      <c r="J118" s="948">
        <f t="shared" si="35"/>
      </c>
      <c r="K118" s="948">
        <f t="shared" si="87"/>
      </c>
      <c r="L118" s="949">
        <f t="shared" si="146"/>
      </c>
      <c r="M118" s="950">
        <f t="shared" si="18"/>
      </c>
      <c r="N118" s="951">
        <f t="shared" si="61"/>
      </c>
      <c r="O118" s="978" t="s">
        <v>997</v>
      </c>
      <c r="P118" s="979" t="s">
        <v>1010</v>
      </c>
      <c r="Q118" s="960">
        <v>7762</v>
      </c>
      <c r="R118" s="960">
        <v>1350</v>
      </c>
      <c r="S118" s="960">
        <v>1</v>
      </c>
      <c r="T118" s="970">
        <v>26</v>
      </c>
    </row>
    <row r="119">
      <c r="A119" s="956"/>
      <c r="B119" s="972" t="s">
        <v>1001</v>
      </c>
      <c r="C119" s="972"/>
      <c r="D119" s="962">
        <f>SUM(D115:D118)</f>
      </c>
      <c r="E119" s="962">
        <f>SUM(E115:E118)</f>
      </c>
      <c r="F119" s="962">
        <f>SUM(F115:F118)</f>
      </c>
      <c r="G119" s="963">
        <f>SUM(G115:G118)</f>
      </c>
      <c r="H119" s="962">
        <f>SUM(H115:H118)</f>
      </c>
      <c r="I119" s="964">
        <f t="shared" si="163"/>
      </c>
      <c r="J119" s="965">
        <f t="shared" si="35"/>
      </c>
      <c r="K119" s="966">
        <f t="shared" si="87"/>
      </c>
      <c r="L119" s="967">
        <f t="shared" si="146"/>
      </c>
      <c r="M119" s="967">
        <f t="shared" si="18"/>
      </c>
      <c r="N119" s="968">
        <f t="shared" si="61"/>
      </c>
      <c r="O119" s="968"/>
      <c r="P119" s="968"/>
      <c r="Q119" s="969">
        <f>SUM(Q115:Q118)</f>
      </c>
      <c r="R119" s="969">
        <f>SUM(R115:R118)</f>
      </c>
      <c r="S119" s="969">
        <f>SUM(S115:S118)</f>
      </c>
      <c r="T119" s="969">
        <f>SUM(T115:T118)</f>
      </c>
    </row>
    <row r="120">
      <c r="A120" s="956"/>
      <c r="B120" s="973" t="s">
        <v>1006</v>
      </c>
      <c r="C120" s="973"/>
      <c r="D120" s="974">
        <f>D114+D119</f>
      </c>
      <c r="E120" s="974">
        <f>E114+E119</f>
      </c>
      <c r="F120" s="974">
        <f>F114+F119</f>
      </c>
      <c r="G120" s="974">
        <f>G114+G119</f>
      </c>
      <c r="H120" s="974">
        <f>H114+H119</f>
      </c>
      <c r="I120" s="975">
        <f t="shared" si="163"/>
      </c>
      <c r="J120" s="973">
        <f t="shared" si="35"/>
      </c>
      <c r="K120" s="973">
        <f t="shared" si="87"/>
      </c>
      <c r="L120" s="976">
        <f t="shared" si="146"/>
      </c>
      <c r="M120" s="976">
        <f t="shared" si="18"/>
      </c>
      <c r="N120" s="973">
        <f t="shared" si="61"/>
      </c>
      <c r="O120" s="977"/>
      <c r="P120" s="977"/>
      <c r="Q120" s="981">
        <f>Q114+Q119</f>
      </c>
      <c r="R120" s="981">
        <f>R114+R119</f>
      </c>
      <c r="S120" s="974">
        <f>S114+S119</f>
      </c>
      <c r="T120" s="974">
        <f>T114+T119</f>
      </c>
      <c r="U120">
        <f>105-79</f>
      </c>
    </row>
    <row r="121">
      <c r="A121" s="931" t="s">
        <v>972</v>
      </c>
      <c r="B121" s="931"/>
      <c r="C121" s="931"/>
      <c r="D121" s="932" t="s">
        <v>973</v>
      </c>
      <c r="E121" s="932"/>
      <c r="F121" s="932"/>
      <c r="G121" s="932"/>
      <c r="H121" s="932"/>
      <c r="I121" s="932"/>
      <c r="J121" s="932"/>
      <c r="K121" s="932"/>
      <c r="L121" s="933" t="s">
        <v>974</v>
      </c>
      <c r="M121" s="933"/>
      <c r="N121" s="933"/>
      <c r="O121" s="933"/>
      <c r="P121" s="933"/>
      <c r="Q121" s="934" t="s">
        <v>975</v>
      </c>
      <c r="R121" s="934"/>
      <c r="S121" s="934"/>
      <c r="T121" s="934"/>
    </row>
    <row r="122">
      <c r="A122" s="936" t="s">
        <v>976</v>
      </c>
      <c r="B122" s="936" t="s">
        <v>977</v>
      </c>
      <c r="C122" s="937" t="s">
        <v>978</v>
      </c>
      <c r="D122" s="932" t="s">
        <v>979</v>
      </c>
      <c r="E122" s="932" t="s">
        <v>1022</v>
      </c>
      <c r="F122" s="932" t="s">
        <v>1023</v>
      </c>
      <c r="G122" s="938" t="s">
        <v>980</v>
      </c>
      <c r="H122" s="932" t="s">
        <v>981</v>
      </c>
      <c r="I122" s="939" t="s">
        <v>982</v>
      </c>
      <c r="J122" s="940" t="s">
        <v>983</v>
      </c>
      <c r="K122" s="932" t="s">
        <v>984</v>
      </c>
      <c r="L122" s="941" t="s">
        <v>985</v>
      </c>
      <c r="M122" s="941" t="s">
        <v>986</v>
      </c>
      <c r="N122" s="941" t="s">
        <v>987</v>
      </c>
      <c r="O122" s="933" t="s">
        <v>988</v>
      </c>
      <c r="P122" s="933" t="s">
        <v>989</v>
      </c>
      <c r="Q122" s="942" t="s">
        <v>990</v>
      </c>
      <c r="R122" s="943" t="s">
        <v>991</v>
      </c>
      <c r="S122" s="943" t="s">
        <v>992</v>
      </c>
      <c r="T122" s="943" t="s">
        <v>993</v>
      </c>
    </row>
    <row r="123">
      <c r="A123" s="944" t="s">
        <v>1025</v>
      </c>
      <c r="B123" s="945" t="s">
        <v>1008</v>
      </c>
      <c r="C123" s="957" t="s">
        <v>1015</v>
      </c>
      <c r="D123" s="947">
        <f t="shared" ref="D123:D126" si="106">E123+F123</f>
      </c>
      <c r="E123" s="945">
        <v>1097.94</v>
      </c>
      <c r="F123" s="945">
        <v>610.97</v>
      </c>
      <c r="G123" s="958">
        <v>7</v>
      </c>
      <c r="H123" s="945">
        <v>2411.06</v>
      </c>
      <c r="I123" s="948">
        <f t="shared" ref="I123:I128" si="164">H123/D123</f>
      </c>
      <c r="J123" s="948">
        <f t="shared" ref="J123:J128" si="36">D123/G123</f>
      </c>
      <c r="K123" s="948">
        <f t="shared" ref="K123:K128" si="88">H123/G123</f>
      </c>
      <c r="L123" s="949">
        <f t="shared" ref="L123:L128" si="147">R123/Q123</f>
      </c>
      <c r="M123" s="950">
        <f t="shared" ref="M123:M128" si="19">G123/S123</f>
      </c>
      <c r="N123" s="951">
        <f t="shared" ref="N123:N128" si="62">(T123*1000)/D123</f>
      </c>
      <c r="O123" s="978" t="s">
        <v>997</v>
      </c>
      <c r="P123" s="979" t="s">
        <v>1010</v>
      </c>
      <c r="Q123" s="955">
        <v>18443</v>
      </c>
      <c r="R123" s="955">
        <v>2978</v>
      </c>
      <c r="S123" s="955">
        <v>7</v>
      </c>
      <c r="T123" s="955">
        <v>37</v>
      </c>
    </row>
    <row r="124">
      <c r="A124" s="956"/>
      <c r="B124" s="945" t="s">
        <v>1008</v>
      </c>
      <c r="C124" s="957" t="s">
        <v>1016</v>
      </c>
      <c r="D124" s="947">
        <f t="shared" si="106"/>
      </c>
      <c r="E124" s="945">
        <v>2341.13</v>
      </c>
      <c r="F124" s="945">
        <v>1276.52</v>
      </c>
      <c r="G124" s="958">
        <v>14</v>
      </c>
      <c r="H124" s="945">
        <v>5627.1</v>
      </c>
      <c r="I124" s="948">
        <f t="shared" si="164"/>
      </c>
      <c r="J124" s="948">
        <f t="shared" si="36"/>
      </c>
      <c r="K124" s="948">
        <f t="shared" si="88"/>
      </c>
      <c r="L124" s="949">
        <f t="shared" si="147"/>
      </c>
      <c r="M124" s="950">
        <f t="shared" si="19"/>
      </c>
      <c r="N124" s="951">
        <f t="shared" si="62"/>
      </c>
      <c r="O124" s="978" t="s">
        <v>997</v>
      </c>
      <c r="P124" s="979" t="s">
        <v>1010</v>
      </c>
      <c r="Q124" s="960">
        <v>34427</v>
      </c>
      <c r="R124" s="960">
        <v>5327</v>
      </c>
      <c r="S124" s="960">
        <v>16</v>
      </c>
      <c r="T124" s="960">
        <v>83</v>
      </c>
    </row>
    <row r="125">
      <c r="A125" s="956"/>
      <c r="B125" s="945" t="s">
        <v>1008</v>
      </c>
      <c r="C125" s="957" t="s">
        <v>1012</v>
      </c>
      <c r="D125" s="947">
        <f t="shared" si="106"/>
      </c>
      <c r="E125" s="945">
        <v>1120.68</v>
      </c>
      <c r="F125" s="945">
        <v>1556.83</v>
      </c>
      <c r="G125" s="958">
        <v>7</v>
      </c>
      <c r="H125" s="945">
        <v>3297.38</v>
      </c>
      <c r="I125" s="948">
        <f t="shared" si="164"/>
      </c>
      <c r="J125" s="948">
        <f t="shared" si="36"/>
      </c>
      <c r="K125" s="948">
        <f t="shared" si="88"/>
      </c>
      <c r="L125" s="949">
        <f t="shared" si="147"/>
      </c>
      <c r="M125" s="950">
        <f t="shared" si="19"/>
      </c>
      <c r="N125" s="951">
        <f t="shared" si="62"/>
      </c>
      <c r="O125" s="978" t="s">
        <v>997</v>
      </c>
      <c r="P125" s="979" t="s">
        <v>1010</v>
      </c>
      <c r="Q125" s="960">
        <v>23550</v>
      </c>
      <c r="R125" s="960">
        <v>3512</v>
      </c>
      <c r="S125" s="960">
        <v>7</v>
      </c>
      <c r="T125" s="960">
        <v>69</v>
      </c>
    </row>
    <row r="126">
      <c r="A126" s="956"/>
      <c r="B126" s="945" t="s">
        <v>1008</v>
      </c>
      <c r="C126" s="957" t="s">
        <v>999</v>
      </c>
      <c r="D126" s="947">
        <f t="shared" si="106"/>
      </c>
      <c r="E126" s="945">
        <v>822.02</v>
      </c>
      <c r="F126" s="945">
        <v>564.32</v>
      </c>
      <c r="G126" s="958">
        <v>4</v>
      </c>
      <c r="H126" s="945">
        <v>1785.6</v>
      </c>
      <c r="I126" s="948">
        <f t="shared" si="164"/>
      </c>
      <c r="J126" s="948">
        <f t="shared" si="36"/>
      </c>
      <c r="K126" s="948">
        <f t="shared" si="88"/>
      </c>
      <c r="L126" s="949">
        <f t="shared" si="147"/>
      </c>
      <c r="M126" s="950">
        <f t="shared" si="19"/>
      </c>
      <c r="N126" s="951">
        <f t="shared" si="62"/>
      </c>
      <c r="O126" s="978" t="s">
        <v>997</v>
      </c>
      <c r="P126" s="979" t="s">
        <v>1010</v>
      </c>
      <c r="Q126" s="960">
        <v>11085</v>
      </c>
      <c r="R126" s="960">
        <v>1482</v>
      </c>
      <c r="S126" s="960">
        <v>7</v>
      </c>
      <c r="T126" s="970">
        <v>31</v>
      </c>
    </row>
    <row r="127">
      <c r="A127" s="956"/>
      <c r="B127" s="961" t="s">
        <v>1001</v>
      </c>
      <c r="C127" s="961"/>
      <c r="D127" s="962">
        <f>SUM(D123:D126)</f>
      </c>
      <c r="E127" s="962">
        <f>SUM(E123:E126)</f>
      </c>
      <c r="F127" s="962">
        <f>SUM(F123:F126)</f>
      </c>
      <c r="G127" s="963">
        <f>SUM(G123:G126)</f>
      </c>
      <c r="H127" s="962">
        <f>SUM(H123:H126)</f>
      </c>
      <c r="I127" s="964">
        <f t="shared" si="164"/>
      </c>
      <c r="J127" s="965">
        <f t="shared" si="36"/>
      </c>
      <c r="K127" s="966">
        <f t="shared" si="88"/>
      </c>
      <c r="L127" s="967">
        <f t="shared" si="147"/>
      </c>
      <c r="M127" s="967">
        <f t="shared" si="19"/>
      </c>
      <c r="N127" s="968">
        <f t="shared" si="62"/>
      </c>
      <c r="O127" s="968"/>
      <c r="P127" s="968"/>
      <c r="Q127" s="969">
        <f>SUM(Q123:Q126)</f>
      </c>
      <c r="R127" s="969">
        <f>SUM(R123:R126)</f>
      </c>
      <c r="S127" s="969">
        <f>SUM(S123:S126)</f>
      </c>
      <c r="T127" s="969">
        <f>SUM(T123:T126)</f>
      </c>
    </row>
    <row r="128">
      <c r="A128" s="956"/>
      <c r="B128" s="973" t="s">
        <v>1006</v>
      </c>
      <c r="C128" s="973"/>
      <c r="D128" s="974">
        <f>D127</f>
      </c>
      <c r="E128" s="974">
        <f>E127</f>
      </c>
      <c r="F128" s="974">
        <f>F127</f>
      </c>
      <c r="G128" s="982">
        <f>G127</f>
      </c>
      <c r="H128" s="974">
        <f>H127</f>
      </c>
      <c r="I128" s="975">
        <f t="shared" si="164"/>
      </c>
      <c r="J128" s="973">
        <f t="shared" si="36"/>
      </c>
      <c r="K128" s="973">
        <f t="shared" si="88"/>
      </c>
      <c r="L128" s="976">
        <f t="shared" si="147"/>
      </c>
      <c r="M128" s="976">
        <f t="shared" si="19"/>
      </c>
      <c r="N128" s="973">
        <f t="shared" si="62"/>
      </c>
      <c r="O128" s="977"/>
      <c r="P128" s="977"/>
      <c r="Q128" s="983">
        <f>Q127</f>
      </c>
      <c r="R128" s="983">
        <f>R127</f>
      </c>
      <c r="S128" s="982">
        <f>S127</f>
      </c>
      <c r="T128" s="982">
        <f>T127</f>
      </c>
    </row>
    <row r="129">
      <c r="A129" s="931" t="s">
        <v>972</v>
      </c>
      <c r="B129" s="931"/>
      <c r="C129" s="931"/>
      <c r="D129" s="932" t="s">
        <v>973</v>
      </c>
      <c r="E129" s="932"/>
      <c r="F129" s="932"/>
      <c r="G129" s="932"/>
      <c r="H129" s="932"/>
      <c r="I129" s="932"/>
      <c r="J129" s="932"/>
      <c r="K129" s="932"/>
      <c r="L129" s="933" t="s">
        <v>974</v>
      </c>
      <c r="M129" s="933"/>
      <c r="N129" s="933"/>
      <c r="O129" s="933"/>
      <c r="P129" s="933"/>
      <c r="Q129" s="934" t="s">
        <v>975</v>
      </c>
      <c r="R129" s="934"/>
      <c r="S129" s="934"/>
      <c r="T129" s="934"/>
    </row>
    <row r="130">
      <c r="A130" s="936" t="s">
        <v>976</v>
      </c>
      <c r="B130" s="936" t="s">
        <v>977</v>
      </c>
      <c r="C130" s="937" t="s">
        <v>978</v>
      </c>
      <c r="D130" s="932" t="s">
        <v>979</v>
      </c>
      <c r="E130" s="932" t="s">
        <v>1022</v>
      </c>
      <c r="F130" s="932" t="s">
        <v>1023</v>
      </c>
      <c r="G130" s="938" t="s">
        <v>980</v>
      </c>
      <c r="H130" s="932" t="s">
        <v>981</v>
      </c>
      <c r="I130" s="939" t="s">
        <v>982</v>
      </c>
      <c r="J130" s="940" t="s">
        <v>983</v>
      </c>
      <c r="K130" s="932" t="s">
        <v>984</v>
      </c>
      <c r="L130" s="941" t="s">
        <v>985</v>
      </c>
      <c r="M130" s="941" t="s">
        <v>986</v>
      </c>
      <c r="N130" s="941" t="s">
        <v>987</v>
      </c>
      <c r="O130" s="933" t="s">
        <v>988</v>
      </c>
      <c r="P130" s="933" t="s">
        <v>989</v>
      </c>
      <c r="Q130" s="942" t="s">
        <v>990</v>
      </c>
      <c r="R130" s="943" t="s">
        <v>991</v>
      </c>
      <c r="S130" s="943" t="s">
        <v>992</v>
      </c>
      <c r="T130" s="943" t="s">
        <v>993</v>
      </c>
    </row>
    <row r="131">
      <c r="A131" s="956" t="s">
        <v>1026</v>
      </c>
      <c r="B131" s="947" t="s">
        <v>1008</v>
      </c>
      <c r="C131" s="957" t="s">
        <v>1015</v>
      </c>
      <c r="D131" s="947">
        <f t="shared" ref="D131:D134" si="107">E131+F131</f>
      </c>
      <c r="E131" s="947">
        <v>1379.64</v>
      </c>
      <c r="F131" s="947">
        <v>581.06</v>
      </c>
      <c r="G131" s="971">
        <v>9</v>
      </c>
      <c r="H131" s="947">
        <v>2378.42</v>
      </c>
      <c r="I131" s="948">
        <f t="shared" ref="I131:I141" si="165">H131/D131</f>
      </c>
      <c r="J131" s="948">
        <f t="shared" ref="J131:J141" si="37">D131/G131</f>
      </c>
      <c r="K131" s="948">
        <f t="shared" ref="K131:K141" si="89">H131/G131</f>
      </c>
      <c r="L131" s="949">
        <f t="shared" ref="L131:L141" si="148">R131/Q131</f>
      </c>
      <c r="M131" s="950">
        <f t="shared" ref="M131:M141" si="20">G131/S131</f>
      </c>
      <c r="N131" s="951">
        <f t="shared" ref="N131:N141" si="63">(T131*1000)/D131</f>
      </c>
      <c r="O131" s="978" t="s">
        <v>997</v>
      </c>
      <c r="P131" s="979" t="s">
        <v>1010</v>
      </c>
      <c r="Q131" s="954">
        <v>16977</v>
      </c>
      <c r="R131" s="954">
        <v>3276</v>
      </c>
      <c r="S131" s="954">
        <v>13</v>
      </c>
      <c r="T131" s="954">
        <v>53</v>
      </c>
    </row>
    <row r="132">
      <c r="A132" s="956"/>
      <c r="B132" s="947" t="s">
        <v>1008</v>
      </c>
      <c r="C132" s="957" t="s">
        <v>1016</v>
      </c>
      <c r="D132" s="947">
        <f t="shared" si="107"/>
      </c>
      <c r="E132" s="947">
        <v>4763.9</v>
      </c>
      <c r="F132" s="947">
        <v>1421.51</v>
      </c>
      <c r="G132" s="971">
        <v>20</v>
      </c>
      <c r="H132" s="947">
        <v>11378.27</v>
      </c>
      <c r="I132" s="948">
        <f t="shared" si="165"/>
      </c>
      <c r="J132" s="948">
        <f t="shared" si="37"/>
      </c>
      <c r="K132" s="948">
        <f t="shared" si="89"/>
      </c>
      <c r="L132" s="949">
        <f t="shared" si="148"/>
      </c>
      <c r="M132" s="950">
        <f t="shared" si="20"/>
      </c>
      <c r="N132" s="951">
        <f t="shared" si="63"/>
      </c>
      <c r="O132" s="978" t="s">
        <v>997</v>
      </c>
      <c r="P132" s="979" t="s">
        <v>1010</v>
      </c>
      <c r="Q132" s="959">
        <v>59838</v>
      </c>
      <c r="R132" s="959">
        <v>10726</v>
      </c>
      <c r="S132" s="959">
        <v>24</v>
      </c>
      <c r="T132" s="959">
        <v>133</v>
      </c>
    </row>
    <row r="133">
      <c r="A133" s="956"/>
      <c r="B133" s="947" t="s">
        <v>1008</v>
      </c>
      <c r="C133" s="957" t="s">
        <v>1012</v>
      </c>
      <c r="D133" s="947">
        <f t="shared" si="107"/>
      </c>
      <c r="E133" s="947">
        <v>7368.47</v>
      </c>
      <c r="F133" s="947">
        <v>2952.91</v>
      </c>
      <c r="G133" s="971">
        <v>32</v>
      </c>
      <c r="H133" s="947">
        <v>12596.74</v>
      </c>
      <c r="I133" s="948">
        <f t="shared" si="165"/>
      </c>
      <c r="J133" s="948">
        <f t="shared" si="37"/>
      </c>
      <c r="K133" s="948">
        <f t="shared" si="89"/>
      </c>
      <c r="L133" s="949">
        <f t="shared" si="148"/>
      </c>
      <c r="M133" s="950">
        <f t="shared" si="20"/>
      </c>
      <c r="N133" s="951">
        <f t="shared" si="63"/>
      </c>
      <c r="O133" s="978" t="s">
        <v>997</v>
      </c>
      <c r="P133" s="979" t="s">
        <v>1010</v>
      </c>
      <c r="Q133" s="959">
        <v>87966</v>
      </c>
      <c r="R133" s="959">
        <v>14897</v>
      </c>
      <c r="S133" s="959">
        <v>36</v>
      </c>
      <c r="T133" s="959">
        <v>175</v>
      </c>
    </row>
    <row r="134">
      <c r="A134" s="956"/>
      <c r="B134" s="947" t="s">
        <v>1008</v>
      </c>
      <c r="C134" s="957" t="s">
        <v>999</v>
      </c>
      <c r="D134" s="947">
        <f t="shared" si="107"/>
      </c>
      <c r="E134" s="947">
        <v>4858.69</v>
      </c>
      <c r="F134" s="947">
        <v>1802.65</v>
      </c>
      <c r="G134" s="971">
        <v>25</v>
      </c>
      <c r="H134" s="947">
        <v>17086</v>
      </c>
      <c r="I134" s="948">
        <f t="shared" si="165"/>
      </c>
      <c r="J134" s="948">
        <f t="shared" si="37"/>
      </c>
      <c r="K134" s="948">
        <f t="shared" si="89"/>
      </c>
      <c r="L134" s="949">
        <f t="shared" si="148"/>
      </c>
      <c r="M134" s="950">
        <f t="shared" si="20"/>
      </c>
      <c r="N134" s="951">
        <f t="shared" si="63"/>
      </c>
      <c r="O134" s="978" t="s">
        <v>997</v>
      </c>
      <c r="P134" s="979" t="s">
        <v>1010</v>
      </c>
      <c r="Q134" s="959">
        <v>57437</v>
      </c>
      <c r="R134" s="959">
        <v>9580</v>
      </c>
      <c r="S134" s="959">
        <v>30</v>
      </c>
      <c r="T134" s="980">
        <v>130</v>
      </c>
    </row>
    <row r="135">
      <c r="A135" s="956"/>
      <c r="B135" s="961" t="s">
        <v>1001</v>
      </c>
      <c r="C135" s="961"/>
      <c r="D135" s="962">
        <f>SUM(D131:D134)</f>
      </c>
      <c r="E135" s="962">
        <f>SUM(E131:E134)</f>
      </c>
      <c r="F135" s="962">
        <f>SUM(F131:F134)</f>
      </c>
      <c r="G135" s="963">
        <f>SUM(G131:G134)</f>
      </c>
      <c r="H135" s="962">
        <f>SUM(H131:H134)</f>
      </c>
      <c r="I135" s="964">
        <f t="shared" si="165"/>
      </c>
      <c r="J135" s="965">
        <f t="shared" si="37"/>
      </c>
      <c r="K135" s="966">
        <f t="shared" si="89"/>
      </c>
      <c r="L135" s="967">
        <f t="shared" si="148"/>
      </c>
      <c r="M135" s="967">
        <f t="shared" si="20"/>
      </c>
      <c r="N135" s="968">
        <f t="shared" si="63"/>
      </c>
      <c r="O135" s="968"/>
      <c r="P135" s="968"/>
      <c r="Q135" s="969">
        <f>SUM(Q131:Q134)</f>
      </c>
      <c r="R135" s="969">
        <f>SUM(R131:R134)</f>
      </c>
      <c r="S135" s="969">
        <f>SUM(S131:S134)</f>
      </c>
      <c r="T135" s="969">
        <f>SUM(T131:T134)</f>
      </c>
    </row>
    <row r="136">
      <c r="A136" s="956"/>
      <c r="B136" s="947" t="s">
        <v>1002</v>
      </c>
      <c r="C136" s="957" t="s">
        <v>1000</v>
      </c>
      <c r="D136" s="947">
        <f t="shared" ref="D136:D139" si="108">E136+F136</f>
      </c>
      <c r="E136" s="947">
        <v>1345.09</v>
      </c>
      <c r="F136" s="947">
        <v>1770.19</v>
      </c>
      <c r="G136" s="971">
        <v>12</v>
      </c>
      <c r="H136" s="947">
        <v>5197.02</v>
      </c>
      <c r="I136" s="948">
        <f t="shared" si="165"/>
      </c>
      <c r="J136" s="948">
        <f t="shared" si="37"/>
      </c>
      <c r="K136" s="948">
        <f t="shared" si="89"/>
      </c>
      <c r="L136" s="949">
        <f t="shared" si="148"/>
      </c>
      <c r="M136" s="950">
        <f t="shared" si="20"/>
      </c>
      <c r="N136" s="951">
        <f t="shared" si="63"/>
      </c>
      <c r="O136" s="978" t="s">
        <v>997</v>
      </c>
      <c r="P136" s="979" t="s">
        <v>1010</v>
      </c>
      <c r="Q136" s="959">
        <v>26021</v>
      </c>
      <c r="R136" s="959">
        <v>3488</v>
      </c>
      <c r="S136" s="959">
        <v>13</v>
      </c>
      <c r="T136" s="980">
        <v>46</v>
      </c>
    </row>
    <row r="137">
      <c r="A137" s="956"/>
      <c r="B137" s="947" t="s">
        <v>1002</v>
      </c>
      <c r="C137" s="957" t="s">
        <v>1003</v>
      </c>
      <c r="D137" s="947">
        <f t="shared" si="108"/>
      </c>
      <c r="E137" s="947">
        <v>851.43</v>
      </c>
      <c r="F137" s="947">
        <v>1454.86</v>
      </c>
      <c r="G137" s="971">
        <v>5</v>
      </c>
      <c r="H137" s="947">
        <v>2886.96</v>
      </c>
      <c r="I137" s="948">
        <f t="shared" si="165"/>
      </c>
      <c r="J137" s="948">
        <f t="shared" si="37"/>
      </c>
      <c r="K137" s="948">
        <f t="shared" si="89"/>
      </c>
      <c r="L137" s="949">
        <f t="shared" si="148"/>
      </c>
      <c r="M137" s="950">
        <f t="shared" si="20"/>
      </c>
      <c r="N137" s="951">
        <f t="shared" si="63"/>
      </c>
      <c r="O137" s="978" t="s">
        <v>997</v>
      </c>
      <c r="P137" s="979" t="s">
        <v>1010</v>
      </c>
      <c r="Q137" s="959">
        <v>22435</v>
      </c>
      <c r="R137" s="959">
        <v>2367</v>
      </c>
      <c r="S137" s="959">
        <v>9</v>
      </c>
      <c r="T137" s="980">
        <v>44</v>
      </c>
    </row>
    <row r="138">
      <c r="A138" s="956"/>
      <c r="B138" s="947" t="s">
        <v>1002</v>
      </c>
      <c r="C138" s="957" t="s">
        <v>1004</v>
      </c>
      <c r="D138" s="947">
        <f t="shared" si="108"/>
      </c>
      <c r="E138" s="947">
        <v>3967.29</v>
      </c>
      <c r="F138" s="947">
        <v>997.78</v>
      </c>
      <c r="G138" s="971">
        <v>13</v>
      </c>
      <c r="H138" s="947">
        <v>8708.52</v>
      </c>
      <c r="I138" s="948">
        <f t="shared" si="165"/>
      </c>
      <c r="J138" s="948">
        <f t="shared" si="37"/>
      </c>
      <c r="K138" s="948">
        <f t="shared" si="89"/>
      </c>
      <c r="L138" s="949">
        <f t="shared" si="148"/>
      </c>
      <c r="M138" s="950">
        <f t="shared" si="20"/>
      </c>
      <c r="N138" s="951">
        <f t="shared" si="63"/>
      </c>
      <c r="O138" s="978" t="s">
        <v>997</v>
      </c>
      <c r="P138" s="979" t="s">
        <v>1010</v>
      </c>
      <c r="Q138" s="959">
        <v>52165</v>
      </c>
      <c r="R138" s="959">
        <v>7870</v>
      </c>
      <c r="S138" s="959">
        <v>16</v>
      </c>
      <c r="T138" s="980">
        <v>95</v>
      </c>
    </row>
    <row r="139">
      <c r="A139" s="956"/>
      <c r="B139" s="947" t="s">
        <v>1002</v>
      </c>
      <c r="C139" s="957" t="s">
        <v>1005</v>
      </c>
      <c r="D139" s="947">
        <f t="shared" si="108"/>
      </c>
      <c r="E139" s="947">
        <v>1453.14</v>
      </c>
      <c r="F139" s="947">
        <v>399.31</v>
      </c>
      <c r="G139" s="971">
        <v>13</v>
      </c>
      <c r="H139" s="947">
        <v>8142.57</v>
      </c>
      <c r="I139" s="948">
        <f t="shared" si="165"/>
      </c>
      <c r="J139" s="948">
        <f t="shared" si="37"/>
      </c>
      <c r="K139" s="948">
        <f t="shared" si="89"/>
      </c>
      <c r="L139" s="949">
        <f t="shared" si="148"/>
      </c>
      <c r="M139" s="950">
        <f t="shared" si="20"/>
      </c>
      <c r="N139" s="951">
        <f t="shared" si="63"/>
      </c>
      <c r="O139" s="978" t="s">
        <v>997</v>
      </c>
      <c r="P139" s="979" t="s">
        <v>1010</v>
      </c>
      <c r="Q139" s="959">
        <v>18018</v>
      </c>
      <c r="R139" s="959">
        <v>3109</v>
      </c>
      <c r="S139" s="959">
        <v>16</v>
      </c>
      <c r="T139" s="980">
        <v>38</v>
      </c>
    </row>
    <row r="140">
      <c r="A140" s="956"/>
      <c r="B140" s="972" t="s">
        <v>1001</v>
      </c>
      <c r="C140" s="972"/>
      <c r="D140" s="962">
        <f>SUM(D136:D139)</f>
      </c>
      <c r="E140" s="962">
        <f>SUM(E136:E139)</f>
      </c>
      <c r="F140" s="962">
        <f>SUM(F136:F139)</f>
      </c>
      <c r="G140" s="963">
        <f>SUM(G136:G139)</f>
      </c>
      <c r="H140" s="962">
        <f>SUM(H136:H139)</f>
      </c>
      <c r="I140" s="964">
        <f t="shared" si="165"/>
      </c>
      <c r="J140" s="965">
        <f t="shared" si="37"/>
      </c>
      <c r="K140" s="966">
        <f t="shared" si="89"/>
      </c>
      <c r="L140" s="967">
        <f t="shared" si="148"/>
      </c>
      <c r="M140" s="967">
        <f t="shared" si="20"/>
      </c>
      <c r="N140" s="968">
        <f t="shared" si="63"/>
      </c>
      <c r="O140" s="968"/>
      <c r="P140" s="968"/>
      <c r="Q140" s="969">
        <f>SUM(Q136:Q139)</f>
      </c>
      <c r="R140" s="969">
        <f>SUM(R136:R139)</f>
      </c>
      <c r="S140" s="969">
        <f>SUM(S136:S139)</f>
      </c>
      <c r="T140" s="969">
        <f>SUM(T136:T139)</f>
      </c>
    </row>
    <row r="141">
      <c r="A141" s="956"/>
      <c r="B141" s="973" t="s">
        <v>1006</v>
      </c>
      <c r="C141" s="973"/>
      <c r="D141" s="974">
        <f>D135+D140</f>
      </c>
      <c r="E141" s="974">
        <f>E135+E140</f>
      </c>
      <c r="F141" s="974">
        <f>F135+F140</f>
      </c>
      <c r="G141" s="974">
        <f>G135+G140</f>
      </c>
      <c r="H141" s="974">
        <f>H135+H140</f>
      </c>
      <c r="I141" s="975">
        <f t="shared" si="165"/>
      </c>
      <c r="J141" s="973">
        <f t="shared" si="37"/>
      </c>
      <c r="K141" s="973">
        <f t="shared" si="89"/>
      </c>
      <c r="L141" s="976">
        <f t="shared" si="148"/>
      </c>
      <c r="M141" s="976">
        <f t="shared" si="20"/>
      </c>
      <c r="N141" s="973">
        <f t="shared" si="63"/>
      </c>
      <c r="O141" s="977"/>
      <c r="P141" s="977"/>
      <c r="Q141" s="981">
        <f>Q135+Q140</f>
      </c>
      <c r="R141" s="981">
        <f>R135+R140</f>
      </c>
      <c r="S141" s="974">
        <f>S135+S140</f>
      </c>
      <c r="T141" s="974">
        <f>T135+T140</f>
      </c>
    </row>
    <row r="142">
      <c r="A142" s="931" t="s">
        <v>972</v>
      </c>
      <c r="B142" s="931"/>
      <c r="C142" s="931"/>
      <c r="D142" s="932" t="s">
        <v>973</v>
      </c>
      <c r="E142" s="932"/>
      <c r="F142" s="932"/>
      <c r="G142" s="932"/>
      <c r="H142" s="932"/>
      <c r="I142" s="932"/>
      <c r="J142" s="932"/>
      <c r="K142" s="932"/>
      <c r="L142" s="933" t="s">
        <v>974</v>
      </c>
      <c r="M142" s="933"/>
      <c r="N142" s="933"/>
      <c r="O142" s="933"/>
      <c r="P142" s="933"/>
      <c r="Q142" s="934" t="s">
        <v>975</v>
      </c>
      <c r="R142" s="934"/>
      <c r="S142" s="934"/>
      <c r="T142" s="934"/>
    </row>
    <row r="143">
      <c r="A143" s="936" t="s">
        <v>976</v>
      </c>
      <c r="B143" s="936" t="s">
        <v>977</v>
      </c>
      <c r="C143" s="937" t="s">
        <v>978</v>
      </c>
      <c r="D143" s="932" t="s">
        <v>979</v>
      </c>
      <c r="E143" s="932" t="s">
        <v>1022</v>
      </c>
      <c r="F143" s="932" t="s">
        <v>1023</v>
      </c>
      <c r="G143" s="938" t="s">
        <v>980</v>
      </c>
      <c r="H143" s="932" t="s">
        <v>981</v>
      </c>
      <c r="I143" s="939" t="s">
        <v>982</v>
      </c>
      <c r="J143" s="940" t="s">
        <v>983</v>
      </c>
      <c r="K143" s="932" t="s">
        <v>984</v>
      </c>
      <c r="L143" s="941" t="s">
        <v>985</v>
      </c>
      <c r="M143" s="941" t="s">
        <v>986</v>
      </c>
      <c r="N143" s="941" t="s">
        <v>987</v>
      </c>
      <c r="O143" s="933" t="s">
        <v>988</v>
      </c>
      <c r="P143" s="933" t="s">
        <v>989</v>
      </c>
      <c r="Q143" s="942" t="s">
        <v>990</v>
      </c>
      <c r="R143" s="943" t="s">
        <v>991</v>
      </c>
      <c r="S143" s="943" t="s">
        <v>992</v>
      </c>
      <c r="T143" s="943" t="s">
        <v>993</v>
      </c>
    </row>
    <row r="144">
      <c r="A144" s="944" t="s">
        <v>1027</v>
      </c>
      <c r="B144" s="947" t="s">
        <v>1002</v>
      </c>
      <c r="C144" s="957" t="s">
        <v>1015</v>
      </c>
      <c r="D144" s="947">
        <f t="shared" ref="D144:D147" si="109">E144+F144</f>
      </c>
      <c r="E144" s="945">
        <v>6077.85</v>
      </c>
      <c r="F144" s="945">
        <v>447.75</v>
      </c>
      <c r="G144" s="958">
        <v>10</v>
      </c>
      <c r="H144" s="945">
        <v>6244.08</v>
      </c>
      <c r="I144" s="948">
        <f t="shared" ref="I144:I154" si="166">H144/D144</f>
      </c>
      <c r="J144" s="948">
        <f t="shared" ref="J144:J154" si="38">D144/G144</f>
      </c>
      <c r="K144" s="948">
        <f t="shared" ref="K144:K154" si="90">H144/G144</f>
      </c>
      <c r="L144" s="949">
        <f t="shared" ref="L144:L154" si="149">R144/Q144</f>
      </c>
      <c r="M144" s="950">
        <f t="shared" ref="M144:M154" si="21">G144/S144</f>
      </c>
      <c r="N144" s="951">
        <f t="shared" ref="N144:N154" si="64">(T144*1000)/D144</f>
      </c>
      <c r="O144" s="978" t="s">
        <v>997</v>
      </c>
      <c r="P144" s="979" t="s">
        <v>1010</v>
      </c>
      <c r="Q144" s="955">
        <v>63977</v>
      </c>
      <c r="R144" s="955">
        <v>14348</v>
      </c>
      <c r="S144" s="955">
        <v>12</v>
      </c>
      <c r="T144" s="955">
        <v>111</v>
      </c>
    </row>
    <row r="145">
      <c r="A145" s="956"/>
      <c r="B145" s="947" t="s">
        <v>1002</v>
      </c>
      <c r="C145" s="957" t="s">
        <v>1016</v>
      </c>
      <c r="D145" s="947">
        <f t="shared" si="109"/>
      </c>
      <c r="E145" s="945">
        <v>3621.11</v>
      </c>
      <c r="F145" s="945">
        <v>1025.11</v>
      </c>
      <c r="G145" s="958">
        <v>15</v>
      </c>
      <c r="H145" s="945">
        <v>5480.42</v>
      </c>
      <c r="I145" s="948">
        <f t="shared" si="166"/>
      </c>
      <c r="J145" s="948">
        <f t="shared" si="38"/>
      </c>
      <c r="K145" s="948">
        <f t="shared" si="90"/>
      </c>
      <c r="L145" s="949">
        <f t="shared" si="149"/>
      </c>
      <c r="M145" s="950">
        <f t="shared" si="21"/>
      </c>
      <c r="N145" s="951">
        <f t="shared" si="64"/>
      </c>
      <c r="O145" s="978" t="s">
        <v>997</v>
      </c>
      <c r="P145" s="979" t="s">
        <v>1010</v>
      </c>
      <c r="Q145" s="960">
        <v>48501</v>
      </c>
      <c r="R145" s="960">
        <v>8276</v>
      </c>
      <c r="S145" s="960">
        <v>17</v>
      </c>
      <c r="T145" s="960">
        <v>80</v>
      </c>
    </row>
    <row r="146">
      <c r="A146" s="956"/>
      <c r="B146" s="947" t="s">
        <v>1002</v>
      </c>
      <c r="C146" s="957" t="s">
        <v>1012</v>
      </c>
      <c r="D146" s="947">
        <f t="shared" si="109"/>
      </c>
      <c r="E146" s="945">
        <v>4093.64</v>
      </c>
      <c r="F146" s="945">
        <v>1375.45</v>
      </c>
      <c r="G146" s="958">
        <v>17</v>
      </c>
      <c r="H146" s="945">
        <v>8184.98</v>
      </c>
      <c r="I146" s="948">
        <f t="shared" si="166"/>
      </c>
      <c r="J146" s="948">
        <f t="shared" si="38"/>
      </c>
      <c r="K146" s="948">
        <f t="shared" si="90"/>
      </c>
      <c r="L146" s="949">
        <f t="shared" si="149"/>
      </c>
      <c r="M146" s="950">
        <f t="shared" si="21"/>
      </c>
      <c r="N146" s="951">
        <f t="shared" si="64"/>
      </c>
      <c r="O146" s="978" t="s">
        <v>997</v>
      </c>
      <c r="P146" s="979" t="s">
        <v>1010</v>
      </c>
      <c r="Q146" s="960">
        <v>52704</v>
      </c>
      <c r="R146" s="960">
        <v>9413</v>
      </c>
      <c r="S146" s="960">
        <v>20</v>
      </c>
      <c r="T146" s="960">
        <v>73</v>
      </c>
    </row>
    <row r="147">
      <c r="A147" s="956"/>
      <c r="B147" s="947" t="s">
        <v>1002</v>
      </c>
      <c r="C147" s="957" t="s">
        <v>999</v>
      </c>
      <c r="D147" s="947">
        <f t="shared" si="109"/>
      </c>
      <c r="E147" s="945">
        <v>2325.13</v>
      </c>
      <c r="F147" s="945">
        <v>1885.97</v>
      </c>
      <c r="G147" s="958">
        <v>10</v>
      </c>
      <c r="H147" s="945">
        <v>5823.38</v>
      </c>
      <c r="I147" s="948">
        <f t="shared" si="166"/>
      </c>
      <c r="J147" s="948">
        <f t="shared" si="38"/>
      </c>
      <c r="K147" s="948">
        <f t="shared" si="90"/>
      </c>
      <c r="L147" s="949">
        <f t="shared" si="149"/>
      </c>
      <c r="M147" s="950">
        <f t="shared" si="21"/>
      </c>
      <c r="N147" s="951">
        <f t="shared" si="64"/>
      </c>
      <c r="O147" s="978" t="s">
        <v>997</v>
      </c>
      <c r="P147" s="979" t="s">
        <v>1010</v>
      </c>
      <c r="Q147" s="960">
        <v>40975</v>
      </c>
      <c r="R147" s="960">
        <v>6401</v>
      </c>
      <c r="S147" s="960">
        <v>12</v>
      </c>
      <c r="T147" s="970">
        <v>87</v>
      </c>
    </row>
    <row r="148">
      <c r="A148" s="956"/>
      <c r="B148" s="961" t="s">
        <v>1001</v>
      </c>
      <c r="C148" s="961"/>
      <c r="D148" s="962">
        <f>SUM(D144:D147)</f>
      </c>
      <c r="E148" s="962">
        <f>SUM(E144:E147)</f>
      </c>
      <c r="F148" s="962">
        <f>SUM(F144:F147)</f>
      </c>
      <c r="G148" s="963">
        <f>SUM(G144:G147)</f>
      </c>
      <c r="H148" s="962">
        <f>SUM(H144:H147)</f>
      </c>
      <c r="I148" s="964">
        <f t="shared" si="166"/>
      </c>
      <c r="J148" s="965">
        <f t="shared" si="38"/>
      </c>
      <c r="K148" s="966">
        <f t="shared" si="90"/>
      </c>
      <c r="L148" s="967">
        <f t="shared" si="149"/>
      </c>
      <c r="M148" s="967">
        <f t="shared" si="21"/>
      </c>
      <c r="N148" s="968">
        <f t="shared" si="64"/>
      </c>
      <c r="O148" s="968"/>
      <c r="P148" s="968"/>
      <c r="Q148" s="969">
        <f>SUM(Q144:Q147)</f>
      </c>
      <c r="R148" s="969">
        <f>SUM(R144:R147)</f>
      </c>
      <c r="S148" s="969">
        <f>SUM(S144:S147)</f>
      </c>
      <c r="T148" s="969">
        <f>SUM(T144:T147)</f>
      </c>
    </row>
    <row r="149">
      <c r="A149" s="956"/>
      <c r="B149" s="947" t="s">
        <v>1008</v>
      </c>
      <c r="C149" s="957" t="s">
        <v>1000</v>
      </c>
      <c r="D149" s="947">
        <f t="shared" ref="D149:D152" si="110">E149+F149</f>
      </c>
      <c r="E149" s="945">
        <v>2305.09</v>
      </c>
      <c r="F149" s="945">
        <v>1638.69</v>
      </c>
      <c r="G149" s="958">
        <v>12</v>
      </c>
      <c r="H149" s="945">
        <v>6681.72</v>
      </c>
      <c r="I149" s="948">
        <f t="shared" si="166"/>
      </c>
      <c r="J149" s="948">
        <f t="shared" si="38"/>
      </c>
      <c r="K149" s="948">
        <f t="shared" si="90"/>
      </c>
      <c r="L149" s="949">
        <f t="shared" si="149"/>
      </c>
      <c r="M149" s="950">
        <f t="shared" si="21"/>
      </c>
      <c r="N149" s="951">
        <f t="shared" si="64"/>
      </c>
      <c r="O149" s="978" t="s">
        <v>997</v>
      </c>
      <c r="P149" s="979" t="s">
        <v>1010</v>
      </c>
      <c r="Q149" s="960">
        <v>34896</v>
      </c>
      <c r="R149" s="960">
        <v>6179</v>
      </c>
      <c r="S149" s="960">
        <v>13</v>
      </c>
      <c r="T149" s="970">
        <v>102</v>
      </c>
    </row>
    <row r="150">
      <c r="A150" s="956"/>
      <c r="B150" s="947" t="s">
        <v>1008</v>
      </c>
      <c r="C150" s="957" t="s">
        <v>1003</v>
      </c>
      <c r="D150" s="947">
        <f t="shared" si="110"/>
      </c>
      <c r="E150" s="945">
        <v>1734.31</v>
      </c>
      <c r="F150" s="945">
        <v>1312.61</v>
      </c>
      <c r="G150" s="958">
        <v>8</v>
      </c>
      <c r="H150" s="945">
        <v>2163.38</v>
      </c>
      <c r="I150" s="948">
        <f t="shared" si="166"/>
      </c>
      <c r="J150" s="948">
        <f t="shared" si="38"/>
      </c>
      <c r="K150" s="948">
        <f t="shared" si="90"/>
      </c>
      <c r="L150" s="949">
        <f t="shared" si="149"/>
      </c>
      <c r="M150" s="950">
        <f t="shared" si="21"/>
      </c>
      <c r="N150" s="951">
        <f t="shared" si="64"/>
      </c>
      <c r="O150" s="978" t="s">
        <v>997</v>
      </c>
      <c r="P150" s="979" t="s">
        <v>1010</v>
      </c>
      <c r="Q150" s="960">
        <v>24222</v>
      </c>
      <c r="R150" s="960">
        <v>3618</v>
      </c>
      <c r="S150" s="960">
        <v>11</v>
      </c>
      <c r="T150" s="970">
        <v>48</v>
      </c>
    </row>
    <row r="151">
      <c r="A151" s="956"/>
      <c r="B151" s="947" t="s">
        <v>1008</v>
      </c>
      <c r="C151" s="957" t="s">
        <v>1004</v>
      </c>
      <c r="D151" s="947">
        <f t="shared" si="110"/>
      </c>
      <c r="E151" s="945">
        <v>1281.24</v>
      </c>
      <c r="F151" s="945">
        <v>726.51</v>
      </c>
      <c r="G151" s="958">
        <v>2</v>
      </c>
      <c r="H151" s="945">
        <v>892.8</v>
      </c>
      <c r="I151" s="948">
        <f t="shared" si="166"/>
      </c>
      <c r="J151" s="948">
        <f t="shared" si="38"/>
      </c>
      <c r="K151" s="948">
        <f t="shared" si="90"/>
      </c>
      <c r="L151" s="949">
        <f t="shared" si="149"/>
      </c>
      <c r="M151" s="950">
        <f t="shared" si="21"/>
      </c>
      <c r="N151" s="951">
        <f t="shared" si="64"/>
      </c>
      <c r="O151" s="978" t="s">
        <v>997</v>
      </c>
      <c r="P151" s="979" t="s">
        <v>1010</v>
      </c>
      <c r="Q151" s="960">
        <v>18499</v>
      </c>
      <c r="R151" s="960">
        <v>2734</v>
      </c>
      <c r="S151" s="960">
        <v>7</v>
      </c>
      <c r="T151" s="970">
        <v>46</v>
      </c>
    </row>
    <row r="152">
      <c r="A152" s="956"/>
      <c r="B152" s="947" t="s">
        <v>1008</v>
      </c>
      <c r="C152" s="957" t="s">
        <v>1005</v>
      </c>
      <c r="D152" s="947">
        <f t="shared" si="110"/>
      </c>
      <c r="E152" s="945">
        <v>458.08</v>
      </c>
      <c r="F152" s="945">
        <v>220.75</v>
      </c>
      <c r="G152" s="958">
        <v>6</v>
      </c>
      <c r="H152" s="945">
        <v>4982.88</v>
      </c>
      <c r="I152" s="948">
        <f t="shared" si="166"/>
      </c>
      <c r="J152" s="948">
        <f t="shared" si="38"/>
      </c>
      <c r="K152" s="948">
        <f t="shared" si="90"/>
      </c>
      <c r="L152" s="949">
        <f t="shared" si="149"/>
      </c>
      <c r="M152" s="950">
        <f t="shared" si="21"/>
      </c>
      <c r="N152" s="951">
        <f t="shared" si="64"/>
      </c>
      <c r="O152" s="978" t="s">
        <v>997</v>
      </c>
      <c r="P152" s="979" t="s">
        <v>1010</v>
      </c>
      <c r="Q152" s="960">
        <v>7000</v>
      </c>
      <c r="R152" s="960">
        <v>1020</v>
      </c>
      <c r="S152" s="960">
        <v>6</v>
      </c>
      <c r="T152" s="970">
        <v>11</v>
      </c>
    </row>
    <row r="153">
      <c r="A153" s="956"/>
      <c r="B153" s="972" t="s">
        <v>1001</v>
      </c>
      <c r="C153" s="972"/>
      <c r="D153" s="962">
        <f>SUM(D149:D152)</f>
      </c>
      <c r="E153" s="962">
        <f>SUM(E149:E152)</f>
      </c>
      <c r="F153" s="962">
        <f>SUM(F149:F152)</f>
      </c>
      <c r="G153" s="963">
        <f>SUM(G149:G152)</f>
      </c>
      <c r="H153" s="962">
        <f>SUM(H149:H152)</f>
      </c>
      <c r="I153" s="964">
        <f t="shared" si="166"/>
      </c>
      <c r="J153" s="965">
        <f t="shared" si="38"/>
      </c>
      <c r="K153" s="966">
        <f t="shared" si="90"/>
      </c>
      <c r="L153" s="967">
        <f t="shared" si="149"/>
      </c>
      <c r="M153" s="967">
        <f t="shared" si="21"/>
      </c>
      <c r="N153" s="968">
        <f t="shared" si="64"/>
      </c>
      <c r="O153" s="968"/>
      <c r="P153" s="968"/>
      <c r="Q153" s="969">
        <f>SUM(Q149:Q152)</f>
      </c>
      <c r="R153" s="969">
        <f>SUM(R149:R152)</f>
      </c>
      <c r="S153" s="969">
        <f>SUM(S149:S152)</f>
      </c>
      <c r="T153" s="969">
        <f>SUM(T149:T152)</f>
      </c>
    </row>
    <row r="154">
      <c r="A154" s="956"/>
      <c r="B154" s="973" t="s">
        <v>1006</v>
      </c>
      <c r="C154" s="973"/>
      <c r="D154" s="974">
        <f>D148+D153</f>
      </c>
      <c r="E154" s="974">
        <f>E148+E153</f>
      </c>
      <c r="F154" s="974">
        <f>F148+F153</f>
      </c>
      <c r="G154" s="974">
        <f>G148+G153</f>
      </c>
      <c r="H154" s="974">
        <f>H148+H153</f>
      </c>
      <c r="I154" s="975">
        <f t="shared" si="166"/>
      </c>
      <c r="J154" s="973">
        <f t="shared" si="38"/>
      </c>
      <c r="K154" s="973">
        <f t="shared" si="90"/>
      </c>
      <c r="L154" s="976">
        <f t="shared" si="149"/>
      </c>
      <c r="M154" s="976">
        <f t="shared" si="21"/>
      </c>
      <c r="N154" s="973">
        <f t="shared" si="64"/>
      </c>
      <c r="O154" s="977"/>
      <c r="P154" s="977"/>
      <c r="Q154" s="981">
        <f>Q148+Q153</f>
      </c>
      <c r="R154" s="981">
        <f>R148+R153</f>
      </c>
      <c r="S154" s="974">
        <f>S148+S153</f>
      </c>
      <c r="T154" s="974">
        <f>T148+T153</f>
      </c>
    </row>
    <row r="155">
      <c r="A155" s="931" t="s">
        <v>972</v>
      </c>
      <c r="B155" s="931"/>
      <c r="C155" s="931"/>
      <c r="D155" s="932" t="s">
        <v>973</v>
      </c>
      <c r="E155" s="932"/>
      <c r="F155" s="932"/>
      <c r="G155" s="932"/>
      <c r="H155" s="932"/>
      <c r="I155" s="932"/>
      <c r="J155" s="932"/>
      <c r="K155" s="932"/>
      <c r="L155" s="933" t="s">
        <v>974</v>
      </c>
      <c r="M155" s="933"/>
      <c r="N155" s="933"/>
      <c r="O155" s="933"/>
      <c r="P155" s="933"/>
      <c r="Q155" s="934" t="s">
        <v>975</v>
      </c>
      <c r="R155" s="934"/>
      <c r="S155" s="934"/>
      <c r="T155" s="934"/>
    </row>
    <row r="156">
      <c r="A156" s="936" t="s">
        <v>976</v>
      </c>
      <c r="B156" s="936" t="s">
        <v>977</v>
      </c>
      <c r="C156" s="937" t="s">
        <v>978</v>
      </c>
      <c r="D156" s="932" t="s">
        <v>979</v>
      </c>
      <c r="E156" s="932" t="s">
        <v>1022</v>
      </c>
      <c r="F156" s="932" t="s">
        <v>1023</v>
      </c>
      <c r="G156" s="938" t="s">
        <v>980</v>
      </c>
      <c r="H156" s="932" t="s">
        <v>981</v>
      </c>
      <c r="I156" s="939" t="s">
        <v>982</v>
      </c>
      <c r="J156" s="940" t="s">
        <v>983</v>
      </c>
      <c r="K156" s="932" t="s">
        <v>984</v>
      </c>
      <c r="L156" s="941" t="s">
        <v>985</v>
      </c>
      <c r="M156" s="941" t="s">
        <v>986</v>
      </c>
      <c r="N156" s="941" t="s">
        <v>987</v>
      </c>
      <c r="O156" s="933" t="s">
        <v>988</v>
      </c>
      <c r="P156" s="933" t="s">
        <v>989</v>
      </c>
      <c r="Q156" s="942" t="s">
        <v>990</v>
      </c>
      <c r="R156" s="943" t="s">
        <v>991</v>
      </c>
      <c r="S156" s="943" t="s">
        <v>992</v>
      </c>
      <c r="T156" s="943" t="s">
        <v>993</v>
      </c>
    </row>
    <row r="157">
      <c r="A157" s="944" t="s">
        <v>1028</v>
      </c>
      <c r="B157" s="947" t="s">
        <v>1002</v>
      </c>
      <c r="C157" s="957" t="s">
        <v>1015</v>
      </c>
      <c r="D157" s="947">
        <f t="shared" ref="D157:D160" si="111">E157+F157</f>
      </c>
      <c r="E157" s="945">
        <v>2047.68</v>
      </c>
      <c r="F157" s="945">
        <v>542</v>
      </c>
      <c r="G157" s="958">
        <v>4</v>
      </c>
      <c r="H157" s="945">
        <v>860.16</v>
      </c>
      <c r="I157" s="948">
        <f t="shared" ref="I157:I167" si="167">H157/D157</f>
      </c>
      <c r="J157" s="948">
        <f t="shared" ref="J157:J167" si="39">D157/G157</f>
      </c>
      <c r="K157" s="948">
        <f t="shared" ref="K157:K167" si="91">H157/G157</f>
      </c>
      <c r="L157" s="949">
        <f t="shared" ref="L157:L167" si="150">R157/Q157</f>
      </c>
      <c r="M157" s="950">
        <f t="shared" ref="M157:M167" si="22">G157/S157</f>
      </c>
      <c r="N157" s="951">
        <f t="shared" ref="N157:N167" si="65">(T157*1000)/D157</f>
      </c>
      <c r="O157" s="978" t="s">
        <v>997</v>
      </c>
      <c r="P157" s="979" t="s">
        <v>1010</v>
      </c>
      <c r="Q157" s="955">
        <v>25309</v>
      </c>
      <c r="R157" s="955">
        <v>4508</v>
      </c>
      <c r="S157" s="955">
        <v>7</v>
      </c>
      <c r="T157" s="955">
        <v>61</v>
      </c>
    </row>
    <row r="158">
      <c r="A158" s="944"/>
      <c r="B158" s="947" t="s">
        <v>1002</v>
      </c>
      <c r="C158" s="957" t="s">
        <v>1016</v>
      </c>
      <c r="D158" s="947">
        <f t="shared" si="111"/>
      </c>
      <c r="E158" s="945">
        <v>3708.09</v>
      </c>
      <c r="F158" s="945">
        <v>1148.57</v>
      </c>
      <c r="G158" s="958">
        <v>17</v>
      </c>
      <c r="H158" s="945">
        <v>11156.75</v>
      </c>
      <c r="I158" s="948">
        <f t="shared" si="167"/>
      </c>
      <c r="J158" s="948">
        <f t="shared" si="39"/>
      </c>
      <c r="K158" s="948">
        <f t="shared" si="91"/>
      </c>
      <c r="L158" s="949">
        <f t="shared" si="150"/>
      </c>
      <c r="M158" s="950">
        <f t="shared" si="22"/>
      </c>
      <c r="N158" s="951">
        <f t="shared" si="65"/>
      </c>
      <c r="O158" s="978" t="s">
        <v>997</v>
      </c>
      <c r="P158" s="979" t="s">
        <v>1010</v>
      </c>
      <c r="Q158" s="960">
        <v>46773</v>
      </c>
      <c r="R158" s="960">
        <v>7668</v>
      </c>
      <c r="S158" s="960">
        <v>24</v>
      </c>
      <c r="T158" s="960">
        <v>72</v>
      </c>
    </row>
    <row r="159">
      <c r="A159" s="944"/>
      <c r="B159" s="947" t="s">
        <v>1002</v>
      </c>
      <c r="C159" s="957" t="s">
        <v>1012</v>
      </c>
      <c r="D159" s="947">
        <f t="shared" si="111"/>
      </c>
      <c r="E159" s="945">
        <v>3616.65</v>
      </c>
      <c r="F159" s="945">
        <v>1071.27</v>
      </c>
      <c r="G159" s="958">
        <v>13</v>
      </c>
      <c r="H159" s="945">
        <v>8250.26</v>
      </c>
      <c r="I159" s="948">
        <f t="shared" si="167"/>
      </c>
      <c r="J159" s="948">
        <f t="shared" si="39"/>
      </c>
      <c r="K159" s="948">
        <f t="shared" si="91"/>
      </c>
      <c r="L159" s="949">
        <f t="shared" si="150"/>
      </c>
      <c r="M159" s="950">
        <f t="shared" si="22"/>
      </c>
      <c r="N159" s="951">
        <f t="shared" si="65"/>
      </c>
      <c r="O159" s="978" t="s">
        <v>997</v>
      </c>
      <c r="P159" s="979" t="s">
        <v>1010</v>
      </c>
      <c r="Q159" s="960">
        <v>46105</v>
      </c>
      <c r="R159" s="960">
        <v>7711</v>
      </c>
      <c r="S159" s="960">
        <v>13</v>
      </c>
      <c r="T159" s="960">
        <v>92</v>
      </c>
    </row>
    <row r="160">
      <c r="A160" s="944"/>
      <c r="B160" s="947" t="s">
        <v>1002</v>
      </c>
      <c r="C160" s="957" t="s">
        <v>999</v>
      </c>
      <c r="D160" s="947">
        <f t="shared" si="111"/>
      </c>
      <c r="E160" s="945">
        <v>738.2</v>
      </c>
      <c r="F160" s="945">
        <v>1071.89</v>
      </c>
      <c r="G160" s="958">
        <v>4</v>
      </c>
      <c r="H160" s="945">
        <v>860.16</v>
      </c>
      <c r="I160" s="948">
        <f t="shared" si="167"/>
      </c>
      <c r="J160" s="948">
        <f t="shared" si="39"/>
      </c>
      <c r="K160" s="948">
        <f t="shared" si="91"/>
      </c>
      <c r="L160" s="949">
        <f t="shared" si="150"/>
      </c>
      <c r="M160" s="950">
        <f t="shared" si="22"/>
      </c>
      <c r="N160" s="951">
        <f t="shared" si="65"/>
      </c>
      <c r="O160" s="978" t="s">
        <v>997</v>
      </c>
      <c r="P160" s="979" t="s">
        <v>1010</v>
      </c>
      <c r="Q160" s="960">
        <v>15828</v>
      </c>
      <c r="R160" s="960">
        <v>2552</v>
      </c>
      <c r="S160" s="960">
        <v>7</v>
      </c>
      <c r="T160" s="970">
        <v>32</v>
      </c>
    </row>
    <row r="161">
      <c r="A161" s="944"/>
      <c r="B161" s="961" t="s">
        <v>1001</v>
      </c>
      <c r="C161" s="961"/>
      <c r="D161" s="962">
        <f>SUM(D157:D160)</f>
      </c>
      <c r="E161" s="962">
        <f>SUM(E157:E160)</f>
      </c>
      <c r="F161" s="962">
        <f>SUM(F157:F160)</f>
      </c>
      <c r="G161" s="963">
        <f>SUM(G157:G160)</f>
      </c>
      <c r="H161" s="962">
        <f>SUM(H157:H160)</f>
      </c>
      <c r="I161" s="964">
        <f t="shared" si="167"/>
      </c>
      <c r="J161" s="965">
        <f t="shared" si="39"/>
      </c>
      <c r="K161" s="966">
        <f t="shared" si="91"/>
      </c>
      <c r="L161" s="967">
        <f t="shared" si="150"/>
      </c>
      <c r="M161" s="967">
        <f t="shared" si="22"/>
      </c>
      <c r="N161" s="968">
        <f t="shared" si="65"/>
      </c>
      <c r="O161" s="968"/>
      <c r="P161" s="968"/>
      <c r="Q161" s="969">
        <f>SUM(Q157:Q160)</f>
      </c>
      <c r="R161" s="969">
        <f>SUM(R157:R160)</f>
      </c>
      <c r="S161" s="969">
        <f>SUM(S157:S160)</f>
      </c>
      <c r="T161" s="969">
        <f>SUM(T157:T160)</f>
      </c>
    </row>
    <row r="162">
      <c r="A162" s="944"/>
      <c r="B162" s="945" t="s">
        <v>1029</v>
      </c>
      <c r="C162" s="957" t="s">
        <v>1000</v>
      </c>
      <c r="D162" s="947">
        <f t="shared" ref="D162:D165" si="112">E162+F162</f>
      </c>
      <c r="E162" s="945">
        <v>1650.92</v>
      </c>
      <c r="F162" s="945">
        <v>874.07</v>
      </c>
      <c r="G162" s="958">
        <v>6</v>
      </c>
      <c r="H162" s="945">
        <v>3564.72</v>
      </c>
      <c r="I162" s="948">
        <f t="shared" si="167"/>
      </c>
      <c r="J162" s="948">
        <f t="shared" si="39"/>
      </c>
      <c r="K162" s="948">
        <f t="shared" si="91"/>
      </c>
      <c r="L162" s="949">
        <f t="shared" si="150"/>
      </c>
      <c r="M162" s="950">
        <f t="shared" si="22"/>
      </c>
      <c r="N162" s="951">
        <f t="shared" si="65"/>
      </c>
      <c r="O162" s="978" t="s">
        <v>997</v>
      </c>
      <c r="P162" s="979" t="s">
        <v>1010</v>
      </c>
      <c r="Q162" s="960">
        <v>20984</v>
      </c>
      <c r="R162" s="960">
        <v>3240</v>
      </c>
      <c r="S162" s="960">
        <v>6</v>
      </c>
      <c r="T162" s="970">
        <v>64</v>
      </c>
    </row>
    <row r="163">
      <c r="A163" s="944"/>
      <c r="B163" s="945" t="s">
        <v>1029</v>
      </c>
      <c r="C163" s="957" t="s">
        <v>1003</v>
      </c>
      <c r="D163" s="947">
        <f t="shared" si="112"/>
      </c>
      <c r="E163" s="945">
        <v>1995.42</v>
      </c>
      <c r="F163" s="945">
        <v>369.24</v>
      </c>
      <c r="G163" s="958">
        <v>7</v>
      </c>
      <c r="H163" s="945">
        <v>4735.2</v>
      </c>
      <c r="I163" s="948">
        <f t="shared" si="167"/>
      </c>
      <c r="J163" s="948">
        <f t="shared" si="39"/>
      </c>
      <c r="K163" s="948">
        <f t="shared" si="91"/>
      </c>
      <c r="L163" s="949">
        <f t="shared" si="150"/>
      </c>
      <c r="M163" s="950">
        <f t="shared" si="22"/>
      </c>
      <c r="N163" s="951">
        <f t="shared" si="65"/>
      </c>
      <c r="O163" s="978" t="s">
        <v>997</v>
      </c>
      <c r="P163" s="979" t="s">
        <v>1010</v>
      </c>
      <c r="Q163" s="960">
        <v>19379</v>
      </c>
      <c r="R163" s="960">
        <v>3179</v>
      </c>
      <c r="S163" s="960">
        <v>10</v>
      </c>
      <c r="T163" s="970">
        <v>45</v>
      </c>
    </row>
    <row r="164">
      <c r="A164" s="944"/>
      <c r="B164" s="945" t="s">
        <v>1029</v>
      </c>
      <c r="C164" s="957" t="s">
        <v>1004</v>
      </c>
      <c r="D164" s="947">
        <f t="shared" si="112"/>
      </c>
      <c r="E164" s="945">
        <v>2356.96</v>
      </c>
      <c r="F164" s="945">
        <v>595.62</v>
      </c>
      <c r="G164" s="958">
        <v>6</v>
      </c>
      <c r="H164" s="945">
        <v>3082.34</v>
      </c>
      <c r="I164" s="948">
        <f t="shared" si="167"/>
      </c>
      <c r="J164" s="948">
        <f t="shared" si="39"/>
      </c>
      <c r="K164" s="948">
        <f t="shared" si="91"/>
      </c>
      <c r="L164" s="949">
        <f t="shared" si="150"/>
      </c>
      <c r="M164" s="950">
        <f t="shared" si="22"/>
      </c>
      <c r="N164" s="951">
        <f t="shared" si="65"/>
      </c>
      <c r="O164" s="978" t="s">
        <v>997</v>
      </c>
      <c r="P164" s="979" t="s">
        <v>1010</v>
      </c>
      <c r="Q164" s="960">
        <v>24189</v>
      </c>
      <c r="R164" s="960">
        <v>3701</v>
      </c>
      <c r="S164" s="960">
        <v>9</v>
      </c>
      <c r="T164" s="970">
        <v>49</v>
      </c>
    </row>
    <row r="165">
      <c r="A165" s="944"/>
      <c r="B165" s="945" t="s">
        <v>1029</v>
      </c>
      <c r="C165" s="957" t="s">
        <v>1005</v>
      </c>
      <c r="D165" s="947">
        <f t="shared" si="112"/>
      </c>
      <c r="E165" s="945">
        <v>2070.07</v>
      </c>
      <c r="F165" s="945">
        <v>184.96</v>
      </c>
      <c r="G165" s="958">
        <v>13</v>
      </c>
      <c r="H165" s="945">
        <v>8615.080000000002</v>
      </c>
      <c r="I165" s="948">
        <f t="shared" si="167"/>
      </c>
      <c r="J165" s="948">
        <f t="shared" si="39"/>
      </c>
      <c r="K165" s="948">
        <f t="shared" si="91"/>
      </c>
      <c r="L165" s="949">
        <f t="shared" si="150"/>
      </c>
      <c r="M165" s="950">
        <f t="shared" si="22"/>
      </c>
      <c r="N165" s="951">
        <f t="shared" si="65"/>
      </c>
      <c r="O165" s="978" t="s">
        <v>997</v>
      </c>
      <c r="P165" s="979" t="s">
        <v>1010</v>
      </c>
      <c r="Q165" s="960">
        <v>19386</v>
      </c>
      <c r="R165" s="960">
        <v>2916</v>
      </c>
      <c r="S165" s="960">
        <v>14</v>
      </c>
      <c r="T165" s="970">
        <v>33</v>
      </c>
    </row>
    <row r="166">
      <c r="A166" s="944"/>
      <c r="B166" s="972" t="s">
        <v>1001</v>
      </c>
      <c r="C166" s="972"/>
      <c r="D166" s="962">
        <f>SUM(D162:D165)</f>
      </c>
      <c r="E166" s="962">
        <f>SUM(E162:E165)</f>
      </c>
      <c r="F166" s="962">
        <f>SUM(F162:F165)</f>
      </c>
      <c r="G166" s="963">
        <f>SUM(G162:G165)</f>
      </c>
      <c r="H166" s="962">
        <f>SUM(H162:H165)</f>
      </c>
      <c r="I166" s="964">
        <f t="shared" si="167"/>
      </c>
      <c r="J166" s="965">
        <f t="shared" si="39"/>
      </c>
      <c r="K166" s="966">
        <f t="shared" si="91"/>
      </c>
      <c r="L166" s="967">
        <f t="shared" si="150"/>
      </c>
      <c r="M166" s="967">
        <f t="shared" si="22"/>
      </c>
      <c r="N166" s="968">
        <f t="shared" si="65"/>
      </c>
      <c r="O166" s="968"/>
      <c r="P166" s="968"/>
      <c r="Q166" s="969">
        <f>SUM(Q162:Q165)</f>
      </c>
      <c r="R166" s="969">
        <f>SUM(R162:R165)</f>
      </c>
      <c r="S166" s="969">
        <f>SUM(S162:S165)</f>
      </c>
      <c r="T166" s="969">
        <f>SUM(T162:T165)</f>
      </c>
    </row>
    <row r="167">
      <c r="A167" s="944"/>
      <c r="B167" s="973" t="s">
        <v>1006</v>
      </c>
      <c r="C167" s="973"/>
      <c r="D167" s="974">
        <f>D161+D166</f>
      </c>
      <c r="E167" s="974">
        <f>E161+E166</f>
      </c>
      <c r="F167" s="974">
        <f>F161+F166</f>
      </c>
      <c r="G167" s="974">
        <f>G161+G166</f>
      </c>
      <c r="H167" s="974">
        <f>H161+H166</f>
      </c>
      <c r="I167" s="975">
        <f t="shared" si="167"/>
      </c>
      <c r="J167" s="973">
        <f t="shared" si="39"/>
      </c>
      <c r="K167" s="973">
        <f t="shared" si="91"/>
      </c>
      <c r="L167" s="976">
        <f t="shared" si="150"/>
      </c>
      <c r="M167" s="976">
        <f t="shared" si="22"/>
      </c>
      <c r="N167" s="973">
        <f t="shared" si="65"/>
      </c>
      <c r="O167" s="977"/>
      <c r="P167" s="977"/>
      <c r="Q167" s="981">
        <f>Q161+Q166</f>
      </c>
      <c r="R167" s="981">
        <f>R161+R166</f>
      </c>
      <c r="S167" s="974">
        <f>S161+S166</f>
      </c>
      <c r="T167" s="974">
        <f>T161+T166</f>
      </c>
    </row>
    <row r="168">
      <c r="A168" s="931" t="s">
        <v>972</v>
      </c>
      <c r="B168" s="931"/>
      <c r="C168" s="931"/>
      <c r="D168" s="932" t="s">
        <v>973</v>
      </c>
      <c r="E168" s="932"/>
      <c r="F168" s="932"/>
      <c r="G168" s="932"/>
      <c r="H168" s="932"/>
      <c r="I168" s="932"/>
      <c r="J168" s="932"/>
      <c r="K168" s="932"/>
      <c r="L168" s="933" t="s">
        <v>974</v>
      </c>
      <c r="M168" s="933"/>
      <c r="N168" s="933"/>
      <c r="O168" s="933"/>
      <c r="P168" s="933"/>
      <c r="Q168" s="934" t="s">
        <v>975</v>
      </c>
      <c r="R168" s="934"/>
      <c r="S168" s="934"/>
      <c r="T168" s="934"/>
    </row>
    <row r="169">
      <c r="A169" s="936" t="s">
        <v>976</v>
      </c>
      <c r="B169" s="936" t="s">
        <v>977</v>
      </c>
      <c r="C169" s="937" t="s">
        <v>978</v>
      </c>
      <c r="D169" s="932" t="s">
        <v>979</v>
      </c>
      <c r="E169" s="932" t="s">
        <v>1022</v>
      </c>
      <c r="F169" s="932" t="s">
        <v>1023</v>
      </c>
      <c r="G169" s="938" t="s">
        <v>980</v>
      </c>
      <c r="H169" s="932" t="s">
        <v>981</v>
      </c>
      <c r="I169" s="939" t="s">
        <v>982</v>
      </c>
      <c r="J169" s="940" t="s">
        <v>983</v>
      </c>
      <c r="K169" s="932" t="s">
        <v>984</v>
      </c>
      <c r="L169" s="941" t="s">
        <v>985</v>
      </c>
      <c r="M169" s="941" t="s">
        <v>986</v>
      </c>
      <c r="N169" s="941" t="s">
        <v>987</v>
      </c>
      <c r="O169" s="933" t="s">
        <v>988</v>
      </c>
      <c r="P169" s="933" t="s">
        <v>989</v>
      </c>
      <c r="Q169" s="942" t="s">
        <v>990</v>
      </c>
      <c r="R169" s="943" t="s">
        <v>991</v>
      </c>
      <c r="S169" s="943" t="s">
        <v>992</v>
      </c>
      <c r="T169" s="943" t="s">
        <v>993</v>
      </c>
    </row>
    <row r="170">
      <c r="A170" s="944" t="s">
        <v>1030</v>
      </c>
      <c r="B170" s="945" t="s">
        <v>1008</v>
      </c>
      <c r="C170" s="957" t="s">
        <v>1015</v>
      </c>
      <c r="D170" s="947">
        <f t="shared" ref="D170:D173" si="113">E170+F170</f>
      </c>
      <c r="E170" s="945">
        <v>2307.55</v>
      </c>
      <c r="F170" s="945">
        <v>690.84</v>
      </c>
      <c r="G170" s="958">
        <v>9</v>
      </c>
      <c r="H170" s="945">
        <v>5539.22</v>
      </c>
      <c r="I170" s="948">
        <f t="shared" ref="I170:I180" si="168">H170/D170</f>
      </c>
      <c r="J170" s="948">
        <f t="shared" ref="J170:J180" si="40">D170/G170</f>
      </c>
      <c r="K170" s="948">
        <f t="shared" ref="K170:K180" si="92">H170/G170</f>
      </c>
      <c r="L170" s="949">
        <f t="shared" ref="L170:L180" si="151">R170/Q170</f>
      </c>
      <c r="M170" s="950">
        <f t="shared" ref="M170:M180" si="23">G170/S170</f>
      </c>
      <c r="N170" s="951">
        <f t="shared" ref="N170:N180" si="66">(T170*1000)/D170</f>
      </c>
      <c r="O170" s="978" t="s">
        <v>997</v>
      </c>
      <c r="P170" s="979" t="s">
        <v>1010</v>
      </c>
      <c r="Q170" s="955">
        <v>27849</v>
      </c>
      <c r="R170" s="955">
        <v>4843</v>
      </c>
      <c r="S170" s="955">
        <v>10</v>
      </c>
      <c r="T170" s="955">
        <v>64</v>
      </c>
    </row>
    <row r="171">
      <c r="A171" s="944"/>
      <c r="B171" s="945" t="s">
        <v>1008</v>
      </c>
      <c r="C171" s="957" t="s">
        <v>1016</v>
      </c>
      <c r="D171" s="947">
        <f t="shared" si="113"/>
      </c>
      <c r="E171" s="945">
        <v>9674.62</v>
      </c>
      <c r="F171" s="945">
        <v>1441.41</v>
      </c>
      <c r="G171" s="958">
        <v>31</v>
      </c>
      <c r="H171" s="945">
        <v>12414.129999999997</v>
      </c>
      <c r="I171" s="948">
        <f t="shared" si="168"/>
      </c>
      <c r="J171" s="948">
        <f t="shared" si="40"/>
      </c>
      <c r="K171" s="948">
        <f t="shared" si="92"/>
      </c>
      <c r="L171" s="949">
        <f t="shared" si="151"/>
      </c>
      <c r="M171" s="950">
        <f t="shared" si="23"/>
      </c>
      <c r="N171" s="951">
        <f t="shared" si="66"/>
      </c>
      <c r="O171" s="978" t="s">
        <v>997</v>
      </c>
      <c r="P171" s="979" t="s">
        <v>1010</v>
      </c>
      <c r="Q171" s="960">
        <v>114052</v>
      </c>
      <c r="R171" s="960">
        <v>19456</v>
      </c>
      <c r="S171" s="960">
        <v>44</v>
      </c>
      <c r="T171" s="960">
        <v>201</v>
      </c>
    </row>
    <row r="172">
      <c r="A172" s="944"/>
      <c r="B172" s="945" t="s">
        <v>1008</v>
      </c>
      <c r="C172" s="957" t="s">
        <v>1012</v>
      </c>
      <c r="D172" s="947">
        <f t="shared" si="113"/>
      </c>
      <c r="E172" s="945">
        <v>7490.25</v>
      </c>
      <c r="F172" s="945">
        <v>1445.01</v>
      </c>
      <c r="G172" s="958">
        <v>23</v>
      </c>
      <c r="H172" s="945">
        <v>12151.990000000002</v>
      </c>
      <c r="I172" s="948">
        <f t="shared" si="168"/>
      </c>
      <c r="J172" s="948">
        <f t="shared" si="40"/>
      </c>
      <c r="K172" s="948">
        <f t="shared" si="92"/>
      </c>
      <c r="L172" s="949">
        <f t="shared" si="151"/>
      </c>
      <c r="M172" s="950">
        <f t="shared" si="23"/>
      </c>
      <c r="N172" s="951">
        <f t="shared" si="66"/>
      </c>
      <c r="O172" s="978" t="s">
        <v>997</v>
      </c>
      <c r="P172" s="979" t="s">
        <v>1010</v>
      </c>
      <c r="Q172" s="960">
        <v>93402</v>
      </c>
      <c r="R172" s="960">
        <v>15736</v>
      </c>
      <c r="S172" s="960">
        <v>27</v>
      </c>
      <c r="T172" s="960">
        <v>198</v>
      </c>
    </row>
    <row r="173">
      <c r="A173" s="944"/>
      <c r="B173" s="945" t="s">
        <v>1008</v>
      </c>
      <c r="C173" s="957" t="s">
        <v>999</v>
      </c>
      <c r="D173" s="947">
        <f t="shared" si="113"/>
      </c>
      <c r="E173" s="945">
        <v>2657.19</v>
      </c>
      <c r="F173" s="945">
        <v>1228.52</v>
      </c>
      <c r="G173" s="958">
        <v>16</v>
      </c>
      <c r="H173" s="945">
        <v>7137.740000000002</v>
      </c>
      <c r="I173" s="948">
        <f t="shared" si="168"/>
      </c>
      <c r="J173" s="948">
        <f t="shared" si="40"/>
      </c>
      <c r="K173" s="948">
        <f t="shared" si="92"/>
      </c>
      <c r="L173" s="949">
        <f t="shared" si="151"/>
      </c>
      <c r="M173" s="950">
        <f t="shared" si="23"/>
      </c>
      <c r="N173" s="951">
        <f t="shared" si="66"/>
      </c>
      <c r="O173" s="978" t="s">
        <v>997</v>
      </c>
      <c r="P173" s="979" t="s">
        <v>1010</v>
      </c>
      <c r="Q173" s="960">
        <v>36095</v>
      </c>
      <c r="R173" s="960">
        <v>5764</v>
      </c>
      <c r="S173" s="960">
        <v>19</v>
      </c>
      <c r="T173" s="970">
        <v>76</v>
      </c>
    </row>
    <row r="174">
      <c r="A174" s="944"/>
      <c r="B174" s="961" t="s">
        <v>1001</v>
      </c>
      <c r="C174" s="961"/>
      <c r="D174" s="962">
        <f>SUM(D170:D173)</f>
      </c>
      <c r="E174" s="962">
        <f>SUM(E170:E173)</f>
      </c>
      <c r="F174" s="962">
        <f>SUM(F170:F173)</f>
      </c>
      <c r="G174" s="963">
        <f>SUM(G170:G173)</f>
      </c>
      <c r="H174" s="962">
        <f>SUM(H170:H173)</f>
      </c>
      <c r="I174" s="964">
        <f t="shared" si="168"/>
      </c>
      <c r="J174" s="965">
        <f t="shared" si="40"/>
      </c>
      <c r="K174" s="966">
        <f t="shared" si="92"/>
      </c>
      <c r="L174" s="967">
        <f t="shared" si="151"/>
      </c>
      <c r="M174" s="967">
        <f t="shared" si="23"/>
      </c>
      <c r="N174" s="968">
        <f t="shared" si="66"/>
      </c>
      <c r="O174" s="968"/>
      <c r="P174" s="968"/>
      <c r="Q174" s="969">
        <f>SUM(Q170:Q173)</f>
      </c>
      <c r="R174" s="969">
        <f>SUM(R170:R173)</f>
      </c>
      <c r="S174" s="969">
        <f>SUM(S170:S173)</f>
      </c>
      <c r="T174" s="969">
        <f>SUM(T170:T173)</f>
      </c>
    </row>
    <row r="175">
      <c r="A175" s="944"/>
      <c r="B175" s="945" t="s">
        <v>1029</v>
      </c>
      <c r="C175" s="957" t="s">
        <v>1000</v>
      </c>
      <c r="D175" s="947">
        <f t="shared" ref="D175:D178" si="114">E175+F175</f>
      </c>
      <c r="E175" s="945">
        <v>3751.1</v>
      </c>
      <c r="F175" s="945">
        <v>2088.23</v>
      </c>
      <c r="G175" s="958">
        <v>19</v>
      </c>
      <c r="H175" s="945">
        <v>11884.099999999999</v>
      </c>
      <c r="I175" s="948">
        <f t="shared" si="168"/>
      </c>
      <c r="J175" s="948">
        <f t="shared" si="40"/>
      </c>
      <c r="K175" s="948">
        <f t="shared" si="92"/>
      </c>
      <c r="L175" s="949">
        <f t="shared" si="151"/>
      </c>
      <c r="M175" s="950">
        <f t="shared" si="23"/>
      </c>
      <c r="N175" s="951">
        <f t="shared" si="66"/>
      </c>
      <c r="O175" s="978" t="s">
        <v>997</v>
      </c>
      <c r="P175" s="979" t="s">
        <v>1010</v>
      </c>
      <c r="Q175" s="960">
        <v>50255</v>
      </c>
      <c r="R175" s="960">
        <v>7746</v>
      </c>
      <c r="S175" s="960">
        <v>22</v>
      </c>
      <c r="T175" s="970">
        <v>130</v>
      </c>
    </row>
    <row r="176">
      <c r="A176" s="944"/>
      <c r="B176" s="945" t="s">
        <v>1029</v>
      </c>
      <c r="C176" s="957" t="s">
        <v>1003</v>
      </c>
      <c r="D176" s="947">
        <f t="shared" si="114"/>
      </c>
      <c r="E176" s="945">
        <v>3676.77</v>
      </c>
      <c r="F176" s="945">
        <v>3681.46</v>
      </c>
      <c r="G176" s="958">
        <v>33</v>
      </c>
      <c r="H176" s="945">
        <v>16132.36</v>
      </c>
      <c r="I176" s="948">
        <f t="shared" si="168"/>
      </c>
      <c r="J176" s="948">
        <f t="shared" si="40"/>
      </c>
      <c r="K176" s="948">
        <f t="shared" si="92"/>
      </c>
      <c r="L176" s="949">
        <f t="shared" si="151"/>
      </c>
      <c r="M176" s="950">
        <f t="shared" si="23"/>
      </c>
      <c r="N176" s="951">
        <f t="shared" si="66"/>
      </c>
      <c r="O176" s="978" t="s">
        <v>997</v>
      </c>
      <c r="P176" s="979" t="s">
        <v>1010</v>
      </c>
      <c r="Q176" s="960">
        <v>73367</v>
      </c>
      <c r="R176" s="960">
        <v>10963</v>
      </c>
      <c r="S176" s="960">
        <v>35</v>
      </c>
      <c r="T176" s="970">
        <v>100</v>
      </c>
    </row>
    <row r="177">
      <c r="A177" s="944"/>
      <c r="B177" s="945" t="s">
        <v>1029</v>
      </c>
      <c r="C177" s="957" t="s">
        <v>1004</v>
      </c>
      <c r="D177" s="947">
        <f t="shared" si="114"/>
      </c>
      <c r="E177" s="945">
        <v>3547.38</v>
      </c>
      <c r="F177" s="945">
        <v>3750.66</v>
      </c>
      <c r="G177" s="958">
        <v>9</v>
      </c>
      <c r="H177" s="945">
        <v>6743.010000000002</v>
      </c>
      <c r="I177" s="948">
        <f t="shared" si="168"/>
      </c>
      <c r="J177" s="948">
        <f t="shared" si="40"/>
      </c>
      <c r="K177" s="948">
        <f t="shared" si="92"/>
      </c>
      <c r="L177" s="949">
        <f t="shared" si="151"/>
      </c>
      <c r="M177" s="950">
        <f t="shared" si="23"/>
      </c>
      <c r="N177" s="951">
        <f t="shared" si="66"/>
      </c>
      <c r="O177" s="978" t="s">
        <v>997</v>
      </c>
      <c r="P177" s="979" t="s">
        <v>1010</v>
      </c>
      <c r="Q177" s="960">
        <v>74911</v>
      </c>
      <c r="R177" s="960">
        <v>11981</v>
      </c>
      <c r="S177" s="960">
        <v>13</v>
      </c>
      <c r="T177" s="970">
        <v>116</v>
      </c>
    </row>
    <row r="178">
      <c r="A178" s="944"/>
      <c r="B178" s="945" t="s">
        <v>1029</v>
      </c>
      <c r="C178" s="957" t="s">
        <v>1005</v>
      </c>
      <c r="D178" s="947">
        <f t="shared" si="114"/>
      </c>
      <c r="E178" s="945">
        <v>1852.18</v>
      </c>
      <c r="F178" s="945">
        <v>1253.44</v>
      </c>
      <c r="G178" s="958">
        <v>14</v>
      </c>
      <c r="H178" s="945">
        <v>8514.759999999995</v>
      </c>
      <c r="I178" s="948">
        <f t="shared" si="168"/>
      </c>
      <c r="J178" s="948">
        <f t="shared" si="40"/>
      </c>
      <c r="K178" s="948">
        <f t="shared" si="92"/>
      </c>
      <c r="L178" s="949">
        <f t="shared" si="151"/>
      </c>
      <c r="M178" s="950">
        <f t="shared" si="23"/>
      </c>
      <c r="N178" s="951">
        <f t="shared" si="66"/>
      </c>
      <c r="O178" s="978" t="s">
        <v>997</v>
      </c>
      <c r="P178" s="979" t="s">
        <v>1010</v>
      </c>
      <c r="Q178" s="960">
        <v>31226</v>
      </c>
      <c r="R178" s="960">
        <v>4940</v>
      </c>
      <c r="S178" s="960">
        <v>15</v>
      </c>
      <c r="T178" s="970">
        <v>60</v>
      </c>
    </row>
    <row r="179">
      <c r="A179" s="944"/>
      <c r="B179" s="972" t="s">
        <v>1001</v>
      </c>
      <c r="C179" s="972"/>
      <c r="D179" s="962">
        <f>SUM(D175:D178)</f>
      </c>
      <c r="E179" s="962">
        <f>SUM(E175:E178)</f>
      </c>
      <c r="F179" s="962">
        <f>SUM(F175:F178)</f>
      </c>
      <c r="G179" s="963">
        <f>SUM(G175:G178)</f>
      </c>
      <c r="H179" s="962">
        <f>SUM(H175:H178)</f>
      </c>
      <c r="I179" s="964">
        <f t="shared" si="168"/>
      </c>
      <c r="J179" s="965">
        <f t="shared" si="40"/>
      </c>
      <c r="K179" s="966">
        <f t="shared" si="92"/>
      </c>
      <c r="L179" s="967">
        <f t="shared" si="151"/>
      </c>
      <c r="M179" s="967">
        <f t="shared" si="23"/>
      </c>
      <c r="N179" s="968">
        <f t="shared" si="66"/>
      </c>
      <c r="O179" s="968"/>
      <c r="P179" s="968"/>
      <c r="Q179" s="969">
        <f>SUM(Q175:Q178)</f>
      </c>
      <c r="R179" s="969">
        <f>SUM(R175:R178)</f>
      </c>
      <c r="S179" s="969">
        <f>SUM(S175:S178)</f>
      </c>
      <c r="T179" s="969">
        <f>SUM(T175:T178)</f>
      </c>
    </row>
    <row r="180">
      <c r="A180" s="944"/>
      <c r="B180" s="973" t="s">
        <v>1006</v>
      </c>
      <c r="C180" s="973"/>
      <c r="D180" s="974">
        <f>D174+D179</f>
      </c>
      <c r="E180" s="974">
        <f>E174+E179</f>
      </c>
      <c r="F180" s="974">
        <f>F174+F179</f>
      </c>
      <c r="G180" s="974">
        <f>G174+G179</f>
      </c>
      <c r="H180" s="974">
        <f>H174+H179</f>
      </c>
      <c r="I180" s="975">
        <f t="shared" si="168"/>
      </c>
      <c r="J180" s="973">
        <f t="shared" si="40"/>
      </c>
      <c r="K180" s="973">
        <f t="shared" si="92"/>
      </c>
      <c r="L180" s="976">
        <f t="shared" si="151"/>
      </c>
      <c r="M180" s="976">
        <f t="shared" si="23"/>
      </c>
      <c r="N180" s="973">
        <f t="shared" si="66"/>
      </c>
      <c r="O180" s="977"/>
      <c r="P180" s="977"/>
      <c r="Q180" s="981">
        <f>Q174+Q179</f>
      </c>
      <c r="R180" s="981">
        <f>R174+R179</f>
      </c>
      <c r="S180" s="974">
        <f>S174+S179</f>
      </c>
      <c r="T180" s="974">
        <f>T174+T179</f>
      </c>
    </row>
    <row r="181">
      <c r="A181" s="931" t="s">
        <v>972</v>
      </c>
      <c r="B181" s="931"/>
      <c r="C181" s="931"/>
      <c r="D181" s="932" t="s">
        <v>973</v>
      </c>
      <c r="E181" s="932"/>
      <c r="F181" s="932"/>
      <c r="G181" s="932"/>
      <c r="H181" s="932"/>
      <c r="I181" s="932"/>
      <c r="J181" s="932"/>
      <c r="K181" s="932"/>
      <c r="L181" s="933" t="s">
        <v>974</v>
      </c>
      <c r="M181" s="933"/>
      <c r="N181" s="933"/>
      <c r="O181" s="933"/>
      <c r="P181" s="933"/>
      <c r="Q181" s="934" t="s">
        <v>975</v>
      </c>
      <c r="R181" s="934"/>
      <c r="S181" s="934"/>
      <c r="T181" s="934"/>
    </row>
    <row r="182">
      <c r="A182" s="936" t="s">
        <v>976</v>
      </c>
      <c r="B182" s="936" t="s">
        <v>977</v>
      </c>
      <c r="C182" s="937" t="s">
        <v>978</v>
      </c>
      <c r="D182" s="932" t="s">
        <v>979</v>
      </c>
      <c r="E182" s="932" t="s">
        <v>1022</v>
      </c>
      <c r="F182" s="932" t="s">
        <v>1023</v>
      </c>
      <c r="G182" s="938" t="s">
        <v>980</v>
      </c>
      <c r="H182" s="932" t="s">
        <v>981</v>
      </c>
      <c r="I182" s="939" t="s">
        <v>982</v>
      </c>
      <c r="J182" s="940" t="s">
        <v>983</v>
      </c>
      <c r="K182" s="932" t="s">
        <v>984</v>
      </c>
      <c r="L182" s="941" t="s">
        <v>985</v>
      </c>
      <c r="M182" s="941" t="s">
        <v>986</v>
      </c>
      <c r="N182" s="941" t="s">
        <v>987</v>
      </c>
      <c r="O182" s="933" t="s">
        <v>988</v>
      </c>
      <c r="P182" s="933" t="s">
        <v>989</v>
      </c>
      <c r="Q182" s="942" t="s">
        <v>990</v>
      </c>
      <c r="R182" s="943" t="s">
        <v>991</v>
      </c>
      <c r="S182" s="943" t="s">
        <v>992</v>
      </c>
      <c r="T182" s="943" t="s">
        <v>993</v>
      </c>
    </row>
    <row r="183">
      <c r="A183" s="944" t="s">
        <v>1031</v>
      </c>
      <c r="B183" s="945" t="s">
        <v>1008</v>
      </c>
      <c r="C183" s="957" t="s">
        <v>1015</v>
      </c>
      <c r="D183" s="947">
        <f t="shared" ref="D183:D186" si="115">E183+F183</f>
      </c>
      <c r="E183" s="945">
        <v>2819.88</v>
      </c>
      <c r="F183" s="945">
        <v>407.03</v>
      </c>
      <c r="G183" s="958">
        <v>4</v>
      </c>
      <c r="H183" s="945">
        <v>1723.92</v>
      </c>
      <c r="I183" s="948">
        <f t="shared" ref="I183:I193" si="169">H183/D183</f>
      </c>
      <c r="J183" s="948">
        <f t="shared" ref="J183:J193" si="41">D183/G183</f>
      </c>
      <c r="K183" s="948">
        <f t="shared" ref="K183:K193" si="93">H183/G183</f>
      </c>
      <c r="L183" s="949">
        <f t="shared" ref="L183:L193" si="152">R183/Q183</f>
      </c>
      <c r="M183" s="950">
        <f t="shared" ref="M183:M193" si="24">G183/S183</f>
      </c>
      <c r="N183" s="951">
        <f t="shared" ref="N183:N193" si="67">(T183*1000)/D183</f>
      </c>
      <c r="O183" s="978" t="s">
        <v>997</v>
      </c>
      <c r="P183" s="953" t="s">
        <v>1013</v>
      </c>
      <c r="Q183" s="955">
        <v>33951</v>
      </c>
      <c r="R183" s="955">
        <v>7011</v>
      </c>
      <c r="S183" s="955">
        <v>7</v>
      </c>
      <c r="T183" s="955">
        <v>105</v>
      </c>
    </row>
    <row r="184">
      <c r="A184" s="944"/>
      <c r="B184" s="945" t="s">
        <v>1008</v>
      </c>
      <c r="C184" s="957" t="s">
        <v>1016</v>
      </c>
      <c r="D184" s="947">
        <f t="shared" si="115"/>
      </c>
      <c r="E184" s="945">
        <v>2352.19</v>
      </c>
      <c r="F184" s="945">
        <v>288.76</v>
      </c>
      <c r="G184" s="958">
        <v>4</v>
      </c>
      <c r="H184" s="945">
        <v>1800.6</v>
      </c>
      <c r="I184" s="948">
        <f t="shared" si="169"/>
      </c>
      <c r="J184" s="948">
        <f t="shared" si="41"/>
      </c>
      <c r="K184" s="948">
        <f t="shared" si="93"/>
      </c>
      <c r="L184" s="949">
        <f t="shared" si="152"/>
      </c>
      <c r="M184" s="950">
        <f t="shared" si="24"/>
      </c>
      <c r="N184" s="951">
        <f t="shared" si="67"/>
      </c>
      <c r="O184" s="978" t="s">
        <v>997</v>
      </c>
      <c r="P184" s="953" t="s">
        <v>1013</v>
      </c>
      <c r="Q184" s="960">
        <v>27108</v>
      </c>
      <c r="R184" s="960">
        <v>5265</v>
      </c>
      <c r="S184" s="960">
        <v>5</v>
      </c>
      <c r="T184" s="960">
        <v>82</v>
      </c>
    </row>
    <row r="185">
      <c r="A185" s="944"/>
      <c r="B185" s="945" t="s">
        <v>1008</v>
      </c>
      <c r="C185" s="957" t="s">
        <v>1012</v>
      </c>
      <c r="D185" s="947">
        <f t="shared" si="115"/>
      </c>
      <c r="E185" s="945">
        <v>2863.34</v>
      </c>
      <c r="F185" s="945">
        <v>231.1</v>
      </c>
      <c r="G185" s="958">
        <v>10</v>
      </c>
      <c r="H185" s="945">
        <v>4459.34</v>
      </c>
      <c r="I185" s="948">
        <f t="shared" si="169"/>
      </c>
      <c r="J185" s="948">
        <f t="shared" si="41"/>
      </c>
      <c r="K185" s="948">
        <f t="shared" si="93"/>
      </c>
      <c r="L185" s="949">
        <f t="shared" si="152"/>
      </c>
      <c r="M185" s="950">
        <f t="shared" si="24"/>
      </c>
      <c r="N185" s="951">
        <f t="shared" si="67"/>
      </c>
      <c r="O185" s="978" t="s">
        <v>997</v>
      </c>
      <c r="P185" s="953" t="s">
        <v>1013</v>
      </c>
      <c r="Q185" s="960">
        <v>33180</v>
      </c>
      <c r="R185" s="960">
        <v>6013</v>
      </c>
      <c r="S185" s="960">
        <v>13</v>
      </c>
      <c r="T185" s="960">
        <v>93</v>
      </c>
    </row>
    <row r="186">
      <c r="A186" s="944"/>
      <c r="B186" s="945" t="s">
        <v>1008</v>
      </c>
      <c r="C186" s="957" t="s">
        <v>999</v>
      </c>
      <c r="D186" s="947">
        <f t="shared" si="115"/>
      </c>
      <c r="E186" s="945">
        <v>1473.8</v>
      </c>
      <c r="F186" s="945">
        <v>447.68</v>
      </c>
      <c r="G186" s="958">
        <v>10</v>
      </c>
      <c r="H186" s="945">
        <v>3056.1800000000003</v>
      </c>
      <c r="I186" s="948">
        <f t="shared" si="169"/>
      </c>
      <c r="J186" s="948">
        <f t="shared" si="41"/>
      </c>
      <c r="K186" s="948">
        <f t="shared" si="93"/>
      </c>
      <c r="L186" s="949">
        <f t="shared" si="152"/>
      </c>
      <c r="M186" s="950">
        <f t="shared" si="24"/>
      </c>
      <c r="N186" s="951">
        <f t="shared" si="67"/>
      </c>
      <c r="O186" s="978" t="s">
        <v>997</v>
      </c>
      <c r="P186" s="953" t="s">
        <v>1013</v>
      </c>
      <c r="Q186" s="960">
        <v>20223</v>
      </c>
      <c r="R186" s="960">
        <v>3366</v>
      </c>
      <c r="S186" s="960">
        <v>13</v>
      </c>
      <c r="T186" s="970">
        <v>62</v>
      </c>
    </row>
    <row r="187">
      <c r="A187" s="944"/>
      <c r="B187" s="961" t="s">
        <v>1001</v>
      </c>
      <c r="C187" s="961"/>
      <c r="D187" s="962">
        <f>SUM(D183:D186)</f>
      </c>
      <c r="E187" s="962">
        <f>SUM(E183:E186)</f>
      </c>
      <c r="F187" s="962">
        <f>SUM(F183:F186)</f>
      </c>
      <c r="G187" s="963">
        <f>SUM(G183:G186)</f>
      </c>
      <c r="H187" s="962">
        <f>SUM(H183:H186)</f>
      </c>
      <c r="I187" s="964">
        <f t="shared" si="169"/>
      </c>
      <c r="J187" s="965">
        <f t="shared" si="41"/>
      </c>
      <c r="K187" s="966">
        <f t="shared" si="93"/>
      </c>
      <c r="L187" s="967">
        <f t="shared" si="152"/>
      </c>
      <c r="M187" s="967">
        <f t="shared" si="24"/>
      </c>
      <c r="N187" s="968">
        <f t="shared" si="67"/>
      </c>
      <c r="O187" s="968"/>
      <c r="P187" s="968"/>
      <c r="Q187" s="969">
        <f>SUM(Q183:Q186)</f>
      </c>
      <c r="R187" s="969">
        <f>SUM(R183:R186)</f>
      </c>
      <c r="S187" s="969">
        <f>SUM(S183:S186)</f>
      </c>
      <c r="T187" s="969">
        <f>SUM(T183:T186)</f>
      </c>
    </row>
    <row r="188">
      <c r="A188" s="944"/>
      <c r="B188" s="945" t="s">
        <v>1002</v>
      </c>
      <c r="C188" s="957" t="s">
        <v>1000</v>
      </c>
      <c r="D188" s="947">
        <f t="shared" ref="D188:D191" si="116">E188+F188</f>
      </c>
      <c r="E188" s="945">
        <v>2016.55</v>
      </c>
      <c r="F188" s="945">
        <v>307.39</v>
      </c>
      <c r="G188" s="958">
        <v>8</v>
      </c>
      <c r="H188" s="945">
        <v>2626.0999999999985</v>
      </c>
      <c r="I188" s="948">
        <f t="shared" si="169"/>
      </c>
      <c r="J188" s="948">
        <f t="shared" si="41"/>
      </c>
      <c r="K188" s="948">
        <f t="shared" si="93"/>
      </c>
      <c r="L188" s="949">
        <f t="shared" si="152"/>
      </c>
      <c r="M188" s="950">
        <f t="shared" si="24"/>
      </c>
      <c r="N188" s="951">
        <f t="shared" si="67"/>
      </c>
      <c r="O188" s="978" t="s">
        <v>997</v>
      </c>
      <c r="P188" s="953" t="s">
        <v>1013</v>
      </c>
      <c r="Q188" s="960">
        <v>25018</v>
      </c>
      <c r="R188" s="960">
        <v>4060</v>
      </c>
      <c r="S188" s="960">
        <v>12</v>
      </c>
      <c r="T188" s="970">
        <v>41</v>
      </c>
    </row>
    <row r="189">
      <c r="A189" s="944"/>
      <c r="B189" s="945" t="s">
        <v>1002</v>
      </c>
      <c r="C189" s="957" t="s">
        <v>1003</v>
      </c>
      <c r="D189" s="947">
        <f t="shared" si="116"/>
      </c>
      <c r="E189" s="945">
        <v>2723.42</v>
      </c>
      <c r="F189" s="945">
        <v>119.28</v>
      </c>
      <c r="G189" s="958">
        <v>5</v>
      </c>
      <c r="H189" s="945">
        <v>1518.2600000000002</v>
      </c>
      <c r="I189" s="948">
        <f t="shared" si="169"/>
      </c>
      <c r="J189" s="948">
        <f t="shared" si="41"/>
      </c>
      <c r="K189" s="948">
        <f t="shared" si="93"/>
      </c>
      <c r="L189" s="949">
        <f t="shared" si="152"/>
      </c>
      <c r="M189" s="950">
        <f t="shared" si="24"/>
      </c>
      <c r="N189" s="951">
        <f t="shared" si="67"/>
      </c>
      <c r="O189" s="978" t="s">
        <v>997</v>
      </c>
      <c r="P189" s="953" t="s">
        <v>1013</v>
      </c>
      <c r="Q189" s="960">
        <v>27522</v>
      </c>
      <c r="R189" s="960">
        <v>4133</v>
      </c>
      <c r="S189" s="960">
        <v>10</v>
      </c>
      <c r="T189" s="970">
        <v>64</v>
      </c>
    </row>
    <row r="190">
      <c r="A190" s="944"/>
      <c r="B190" s="945" t="s">
        <v>1002</v>
      </c>
      <c r="C190" s="957" t="s">
        <v>1004</v>
      </c>
      <c r="D190" s="947">
        <f t="shared" si="116"/>
      </c>
      <c r="E190" s="945">
        <v>3413.29</v>
      </c>
      <c r="F190" s="945">
        <v>182.77</v>
      </c>
      <c r="G190" s="958">
        <v>18</v>
      </c>
      <c r="H190" s="945">
        <v>7513.699999999999</v>
      </c>
      <c r="I190" s="948">
        <f t="shared" si="169"/>
      </c>
      <c r="J190" s="948">
        <f t="shared" si="41"/>
      </c>
      <c r="K190" s="948">
        <f t="shared" si="93"/>
      </c>
      <c r="L190" s="949">
        <f t="shared" si="152"/>
      </c>
      <c r="M190" s="950">
        <f t="shared" si="24"/>
      </c>
      <c r="N190" s="951">
        <f t="shared" si="67"/>
      </c>
      <c r="O190" s="978" t="s">
        <v>997</v>
      </c>
      <c r="P190" s="953" t="s">
        <v>1013</v>
      </c>
      <c r="Q190" s="960">
        <v>38946</v>
      </c>
      <c r="R190" s="960">
        <v>5601</v>
      </c>
      <c r="S190" s="960">
        <v>23</v>
      </c>
      <c r="T190" s="970">
        <v>95</v>
      </c>
    </row>
    <row r="191">
      <c r="A191" s="944"/>
      <c r="B191" s="945" t="s">
        <v>1002</v>
      </c>
      <c r="C191" s="957" t="s">
        <v>1005</v>
      </c>
      <c r="D191" s="947">
        <f t="shared" si="116"/>
      </c>
      <c r="E191" s="945">
        <v>2827.56</v>
      </c>
      <c r="F191" s="945">
        <v>74.5</v>
      </c>
      <c r="G191" s="958">
        <v>9</v>
      </c>
      <c r="H191" s="945">
        <v>4148.16</v>
      </c>
      <c r="I191" s="948">
        <f t="shared" si="169"/>
      </c>
      <c r="J191" s="948">
        <f t="shared" si="41"/>
      </c>
      <c r="K191" s="948">
        <f t="shared" si="93"/>
      </c>
      <c r="L191" s="949">
        <f t="shared" si="152"/>
      </c>
      <c r="M191" s="950">
        <f t="shared" si="24"/>
      </c>
      <c r="N191" s="951">
        <f t="shared" si="67"/>
      </c>
      <c r="O191" s="978" t="s">
        <v>997</v>
      </c>
      <c r="P191" s="953" t="s">
        <v>1013</v>
      </c>
      <c r="Q191" s="960">
        <v>33404</v>
      </c>
      <c r="R191" s="960">
        <v>4796</v>
      </c>
      <c r="S191" s="960">
        <v>10</v>
      </c>
      <c r="T191" s="970">
        <v>46</v>
      </c>
    </row>
    <row r="192">
      <c r="A192" s="944"/>
      <c r="B192" s="972" t="s">
        <v>1001</v>
      </c>
      <c r="C192" s="972"/>
      <c r="D192" s="962">
        <f>SUM(D188:D191)</f>
      </c>
      <c r="E192" s="962">
        <f>SUM(E188:E191)</f>
      </c>
      <c r="F192" s="962">
        <f>SUM(F188:F191)</f>
      </c>
      <c r="G192" s="963">
        <f>SUM(G188:G191)</f>
      </c>
      <c r="H192" s="962">
        <f>SUM(H188:H191)</f>
      </c>
      <c r="I192" s="964">
        <f t="shared" si="169"/>
      </c>
      <c r="J192" s="965">
        <f t="shared" si="41"/>
      </c>
      <c r="K192" s="966">
        <f t="shared" si="93"/>
      </c>
      <c r="L192" s="967">
        <f t="shared" si="152"/>
      </c>
      <c r="M192" s="967">
        <f t="shared" si="24"/>
      </c>
      <c r="N192" s="968">
        <f t="shared" si="67"/>
      </c>
      <c r="O192" s="968"/>
      <c r="P192" s="968"/>
      <c r="Q192" s="969">
        <f>SUM(Q188:Q191)</f>
      </c>
      <c r="R192" s="969">
        <f>SUM(R188:R191)</f>
      </c>
      <c r="S192" s="969">
        <f>SUM(S188:S191)</f>
      </c>
      <c r="T192" s="969">
        <f>SUM(T188:T191)</f>
      </c>
    </row>
    <row r="193">
      <c r="A193" s="944"/>
      <c r="B193" s="973" t="s">
        <v>1006</v>
      </c>
      <c r="C193" s="973"/>
      <c r="D193" s="974">
        <f>D187+D192</f>
      </c>
      <c r="E193" s="974">
        <f>E187+E192</f>
      </c>
      <c r="F193" s="974">
        <f>F187+F192</f>
      </c>
      <c r="G193" s="974">
        <f>G187+G192</f>
      </c>
      <c r="H193" s="974">
        <f>H187+H192</f>
      </c>
      <c r="I193" s="975">
        <f t="shared" si="169"/>
      </c>
      <c r="J193" s="973">
        <f t="shared" si="41"/>
      </c>
      <c r="K193" s="973">
        <f t="shared" si="93"/>
      </c>
      <c r="L193" s="976">
        <f t="shared" si="152"/>
      </c>
      <c r="M193" s="976">
        <f t="shared" si="24"/>
      </c>
      <c r="N193" s="973">
        <f t="shared" si="67"/>
      </c>
      <c r="O193" s="977"/>
      <c r="P193" s="977"/>
      <c r="Q193" s="981">
        <f>Q187+Q192</f>
      </c>
      <c r="R193" s="981">
        <f>R187+R192</f>
      </c>
      <c r="S193" s="974">
        <f>S187+S192</f>
      </c>
      <c r="T193" s="974">
        <f>T187+T192</f>
      </c>
    </row>
    <row r="194">
      <c r="A194" s="931" t="s">
        <v>972</v>
      </c>
      <c r="B194" s="931"/>
      <c r="C194" s="931"/>
      <c r="D194" s="932" t="s">
        <v>973</v>
      </c>
      <c r="E194" s="932"/>
      <c r="F194" s="932"/>
      <c r="G194" s="932"/>
      <c r="H194" s="932"/>
      <c r="I194" s="932"/>
      <c r="J194" s="932"/>
      <c r="K194" s="932"/>
      <c r="L194" s="933" t="s">
        <v>974</v>
      </c>
      <c r="M194" s="933"/>
      <c r="N194" s="933"/>
      <c r="O194" s="933"/>
      <c r="P194" s="933"/>
      <c r="Q194" s="934" t="s">
        <v>975</v>
      </c>
      <c r="R194" s="934"/>
      <c r="S194" s="934"/>
      <c r="T194" s="934"/>
    </row>
    <row r="195">
      <c r="A195" s="936" t="s">
        <v>976</v>
      </c>
      <c r="B195" s="936" t="s">
        <v>977</v>
      </c>
      <c r="C195" s="937" t="s">
        <v>978</v>
      </c>
      <c r="D195" s="932" t="s">
        <v>979</v>
      </c>
      <c r="E195" s="932" t="s">
        <v>1022</v>
      </c>
      <c r="F195" s="932" t="s">
        <v>1023</v>
      </c>
      <c r="G195" s="938" t="s">
        <v>980</v>
      </c>
      <c r="H195" s="932" t="s">
        <v>981</v>
      </c>
      <c r="I195" s="939" t="s">
        <v>982</v>
      </c>
      <c r="J195" s="940" t="s">
        <v>983</v>
      </c>
      <c r="K195" s="932" t="s">
        <v>984</v>
      </c>
      <c r="L195" s="941" t="s">
        <v>985</v>
      </c>
      <c r="M195" s="941" t="s">
        <v>986</v>
      </c>
      <c r="N195" s="941" t="s">
        <v>987</v>
      </c>
      <c r="O195" s="933" t="s">
        <v>988</v>
      </c>
      <c r="P195" s="933" t="s">
        <v>989</v>
      </c>
      <c r="Q195" s="942" t="s">
        <v>990</v>
      </c>
      <c r="R195" s="943" t="s">
        <v>991</v>
      </c>
      <c r="S195" s="943" t="s">
        <v>992</v>
      </c>
      <c r="T195" s="943" t="s">
        <v>993</v>
      </c>
    </row>
    <row r="196">
      <c r="A196" s="944" t="s">
        <v>1032</v>
      </c>
      <c r="B196" s="945" t="s">
        <v>1002</v>
      </c>
      <c r="C196" s="957" t="s">
        <v>1015</v>
      </c>
      <c r="D196" s="947">
        <f t="shared" ref="D196:D199" si="117">E196+F196</f>
      </c>
      <c r="E196" s="945">
        <v>5241.08</v>
      </c>
      <c r="F196" s="945">
        <v>1144.4</v>
      </c>
      <c r="G196" s="958">
        <v>15</v>
      </c>
      <c r="H196" s="945">
        <v>6878.92</v>
      </c>
      <c r="I196" s="948">
        <f t="shared" ref="I196:I206" si="170">H196/D196</f>
      </c>
      <c r="J196" s="948">
        <f t="shared" ref="J196:J206" si="42">D196/G196</f>
      </c>
      <c r="K196" s="948">
        <f t="shared" ref="K196:K206" si="94">H196/G196</f>
      </c>
      <c r="L196" s="949">
        <f t="shared" ref="L196:L206" si="153">R196/Q196</f>
      </c>
      <c r="M196" s="950">
        <f t="shared" ref="M196:M206" si="25">G196/S196</f>
      </c>
      <c r="N196" s="951">
        <f t="shared" ref="N196:N206" si="68">(T196*1000)/D196</f>
      </c>
      <c r="O196" s="978" t="s">
        <v>997</v>
      </c>
      <c r="P196" s="953" t="s">
        <v>1013</v>
      </c>
      <c r="Q196" s="955">
        <v>70475</v>
      </c>
      <c r="R196" s="955">
        <v>12090</v>
      </c>
      <c r="S196" s="955">
        <v>17</v>
      </c>
      <c r="T196" s="955">
        <v>148</v>
      </c>
    </row>
    <row r="197">
      <c r="A197" s="944"/>
      <c r="B197" s="945" t="s">
        <v>1002</v>
      </c>
      <c r="C197" s="957" t="s">
        <v>1016</v>
      </c>
      <c r="D197" s="947">
        <f t="shared" si="117"/>
      </c>
      <c r="E197" s="945">
        <v>2860.5</v>
      </c>
      <c r="F197" s="945">
        <v>1806.56</v>
      </c>
      <c r="G197" s="958">
        <v>14</v>
      </c>
      <c r="H197" s="945">
        <v>7111.6</v>
      </c>
      <c r="I197" s="948">
        <f t="shared" si="170"/>
      </c>
      <c r="J197" s="948">
        <f t="shared" si="42"/>
      </c>
      <c r="K197" s="948">
        <f t="shared" si="94"/>
      </c>
      <c r="L197" s="949">
        <f t="shared" si="153"/>
      </c>
      <c r="M197" s="950">
        <f t="shared" si="25"/>
      </c>
      <c r="N197" s="951">
        <f t="shared" si="68"/>
      </c>
      <c r="O197" s="978" t="s">
        <v>997</v>
      </c>
      <c r="P197" s="953" t="s">
        <v>1013</v>
      </c>
      <c r="Q197" s="960">
        <v>48335</v>
      </c>
      <c r="R197" s="960">
        <v>7649</v>
      </c>
      <c r="S197" s="960">
        <v>21</v>
      </c>
      <c r="T197" s="960">
        <v>92</v>
      </c>
    </row>
    <row r="198">
      <c r="A198" s="944"/>
      <c r="B198" s="945" t="s">
        <v>1002</v>
      </c>
      <c r="C198" s="957" t="s">
        <v>1012</v>
      </c>
      <c r="D198" s="947">
        <f t="shared" si="117"/>
      </c>
      <c r="E198" s="945">
        <v>3295.99</v>
      </c>
      <c r="F198" s="945">
        <v>878.97</v>
      </c>
      <c r="G198" s="958">
        <v>9</v>
      </c>
      <c r="H198" s="945">
        <v>6001.939999999999</v>
      </c>
      <c r="I198" s="948">
        <f t="shared" si="170"/>
      </c>
      <c r="J198" s="948">
        <f t="shared" si="42"/>
      </c>
      <c r="K198" s="948">
        <f t="shared" si="94"/>
      </c>
      <c r="L198" s="949">
        <f t="shared" si="153"/>
      </c>
      <c r="M198" s="950">
        <f t="shared" si="25"/>
      </c>
      <c r="N198" s="951">
        <f t="shared" si="68"/>
      </c>
      <c r="O198" s="978" t="s">
        <v>997</v>
      </c>
      <c r="P198" s="953" t="s">
        <v>1013</v>
      </c>
      <c r="Q198" s="960">
        <v>41388</v>
      </c>
      <c r="R198" s="960">
        <v>6352</v>
      </c>
      <c r="S198" s="960">
        <v>14</v>
      </c>
      <c r="T198" s="960">
        <v>73</v>
      </c>
    </row>
    <row r="199">
      <c r="A199" s="944"/>
      <c r="B199" s="945" t="s">
        <v>1002</v>
      </c>
      <c r="C199" s="957" t="s">
        <v>999</v>
      </c>
      <c r="D199" s="947">
        <f t="shared" si="117"/>
      </c>
      <c r="E199" s="945">
        <v>1007.82</v>
      </c>
      <c r="F199" s="945">
        <v>601.9</v>
      </c>
      <c r="G199" s="958">
        <v>0</v>
      </c>
      <c r="H199" s="945">
        <v>0</v>
      </c>
      <c r="I199" s="948">
        <f t="shared" si="170"/>
      </c>
      <c r="J199" s="948">
        <f t="shared" si="42"/>
      </c>
      <c r="K199" s="948">
        <f t="shared" si="94"/>
      </c>
      <c r="L199" s="949">
        <f t="shared" si="153"/>
      </c>
      <c r="M199" s="950">
        <f t="shared" si="25"/>
      </c>
      <c r="N199" s="951">
        <f t="shared" si="68"/>
      </c>
      <c r="O199" s="978" t="s">
        <v>997</v>
      </c>
      <c r="P199" s="953" t="s">
        <v>1013</v>
      </c>
      <c r="Q199" s="960">
        <v>16063</v>
      </c>
      <c r="R199" s="960">
        <v>2056</v>
      </c>
      <c r="S199" s="960">
        <v>2</v>
      </c>
      <c r="T199" s="970">
        <v>34</v>
      </c>
    </row>
    <row r="200">
      <c r="A200" s="944"/>
      <c r="B200" s="961" t="s">
        <v>1001</v>
      </c>
      <c r="C200" s="961"/>
      <c r="D200" s="962">
        <f>SUM(D196:D199)</f>
      </c>
      <c r="E200" s="962">
        <f>SUM(E196:E199)</f>
      </c>
      <c r="F200" s="962">
        <f>SUM(F196:F199)</f>
      </c>
      <c r="G200" s="963">
        <f>SUM(G196:G199)</f>
      </c>
      <c r="H200" s="962">
        <f>SUM(H196:H199)</f>
      </c>
      <c r="I200" s="964">
        <f t="shared" si="170"/>
      </c>
      <c r="J200" s="965">
        <f t="shared" si="42"/>
      </c>
      <c r="K200" s="966">
        <f t="shared" si="94"/>
      </c>
      <c r="L200" s="967">
        <f t="shared" si="153"/>
      </c>
      <c r="M200" s="967">
        <f t="shared" si="25"/>
      </c>
      <c r="N200" s="968">
        <f t="shared" si="68"/>
      </c>
      <c r="O200" s="968"/>
      <c r="P200" s="968"/>
      <c r="Q200" s="969">
        <f>SUM(Q196:Q199)</f>
      </c>
      <c r="R200" s="969">
        <f>SUM(R196:R199)</f>
      </c>
      <c r="S200" s="969">
        <f>SUM(S196:S199)</f>
      </c>
      <c r="T200" s="969">
        <f>SUM(T196:T199)</f>
      </c>
    </row>
    <row r="201">
      <c r="A201" s="944"/>
      <c r="B201" s="945" t="s">
        <v>1008</v>
      </c>
      <c r="C201" s="957" t="s">
        <v>1000</v>
      </c>
      <c r="D201" s="947">
        <f t="shared" ref="D201:D204" si="118">E201+F201</f>
      </c>
      <c r="E201" s="945">
        <v>1951.41</v>
      </c>
      <c r="F201" s="945">
        <v>236.79</v>
      </c>
      <c r="G201" s="958">
        <v>7</v>
      </c>
      <c r="H201" s="945">
        <v>6084.240000000002</v>
      </c>
      <c r="I201" s="948">
        <f t="shared" si="170"/>
      </c>
      <c r="J201" s="948">
        <f t="shared" si="42"/>
      </c>
      <c r="K201" s="948">
        <f t="shared" si="94"/>
      </c>
      <c r="L201" s="949">
        <f t="shared" si="153"/>
      </c>
      <c r="M201" s="950">
        <f t="shared" si="25"/>
      </c>
      <c r="N201" s="951">
        <f t="shared" si="68"/>
      </c>
      <c r="O201" s="978" t="s">
        <v>997</v>
      </c>
      <c r="P201" s="953" t="s">
        <v>1013</v>
      </c>
      <c r="Q201" s="960">
        <v>20024</v>
      </c>
      <c r="R201" s="960">
        <v>3202</v>
      </c>
      <c r="S201" s="960">
        <v>10</v>
      </c>
      <c r="T201" s="970">
        <v>62</v>
      </c>
    </row>
    <row r="202">
      <c r="A202" s="944"/>
      <c r="B202" s="945" t="s">
        <v>1008</v>
      </c>
      <c r="C202" s="957" t="s">
        <v>1003</v>
      </c>
      <c r="D202" s="947">
        <f t="shared" si="118"/>
      </c>
      <c r="E202" s="945">
        <v>2680.62</v>
      </c>
      <c r="F202" s="945">
        <v>402.39</v>
      </c>
      <c r="G202" s="958">
        <v>10</v>
      </c>
      <c r="H202" s="945">
        <v>4655.02</v>
      </c>
      <c r="I202" s="948">
        <f t="shared" si="170"/>
      </c>
      <c r="J202" s="948">
        <f t="shared" si="42"/>
      </c>
      <c r="K202" s="948">
        <f t="shared" si="94"/>
      </c>
      <c r="L202" s="949">
        <f t="shared" si="153"/>
      </c>
      <c r="M202" s="950">
        <f t="shared" si="25"/>
      </c>
      <c r="N202" s="951">
        <f t="shared" si="68"/>
      </c>
      <c r="O202" s="978" t="s">
        <v>997</v>
      </c>
      <c r="P202" s="953" t="s">
        <v>1013</v>
      </c>
      <c r="Q202" s="960">
        <v>33063</v>
      </c>
      <c r="R202" s="960">
        <v>4927</v>
      </c>
      <c r="S202" s="960">
        <v>11</v>
      </c>
      <c r="T202" s="970">
        <v>76</v>
      </c>
    </row>
    <row r="203">
      <c r="A203" s="944"/>
      <c r="B203" s="945" t="s">
        <v>1008</v>
      </c>
      <c r="C203" s="957" t="s">
        <v>1004</v>
      </c>
      <c r="D203" s="947">
        <f t="shared" si="118"/>
      </c>
      <c r="E203" s="945">
        <v>2289.21</v>
      </c>
      <c r="F203" s="945">
        <v>813.75</v>
      </c>
      <c r="G203" s="958">
        <v>10</v>
      </c>
      <c r="H203" s="945">
        <v>5828.040000000001</v>
      </c>
      <c r="I203" s="948">
        <f t="shared" si="170"/>
      </c>
      <c r="J203" s="948">
        <f t="shared" si="42"/>
      </c>
      <c r="K203" s="948">
        <f t="shared" si="94"/>
      </c>
      <c r="L203" s="949">
        <f t="shared" si="153"/>
      </c>
      <c r="M203" s="950">
        <f t="shared" si="25"/>
      </c>
      <c r="N203" s="951">
        <f t="shared" si="68"/>
      </c>
      <c r="O203" s="978" t="s">
        <v>997</v>
      </c>
      <c r="P203" s="953" t="s">
        <v>1013</v>
      </c>
      <c r="Q203" s="960">
        <v>33391</v>
      </c>
      <c r="R203" s="960">
        <v>4543</v>
      </c>
      <c r="S203" s="960">
        <v>15</v>
      </c>
      <c r="T203" s="970">
        <v>86</v>
      </c>
    </row>
    <row r="204">
      <c r="A204" s="944"/>
      <c r="B204" s="945" t="s">
        <v>1008</v>
      </c>
      <c r="C204" s="957" t="s">
        <v>1005</v>
      </c>
      <c r="D204" s="947">
        <f t="shared" si="118"/>
      </c>
      <c r="E204" s="945">
        <v>745.44</v>
      </c>
      <c r="F204" s="945">
        <v>738.47</v>
      </c>
      <c r="G204" s="958">
        <v>5</v>
      </c>
      <c r="H204" s="945">
        <v>2478.3600000000006</v>
      </c>
      <c r="I204" s="948">
        <f t="shared" si="170"/>
      </c>
      <c r="J204" s="948">
        <f t="shared" si="42"/>
      </c>
      <c r="K204" s="948">
        <f t="shared" si="94"/>
      </c>
      <c r="L204" s="949">
        <f t="shared" si="153"/>
      </c>
      <c r="M204" s="950">
        <f t="shared" si="25"/>
      </c>
      <c r="N204" s="951">
        <f t="shared" si="68"/>
      </c>
      <c r="O204" s="978" t="s">
        <v>997</v>
      </c>
      <c r="P204" s="953" t="s">
        <v>1013</v>
      </c>
      <c r="Q204" s="960">
        <v>15588</v>
      </c>
      <c r="R204" s="960">
        <v>1799</v>
      </c>
      <c r="S204" s="960">
        <v>10</v>
      </c>
      <c r="T204" s="970">
        <v>36</v>
      </c>
    </row>
    <row r="205">
      <c r="A205" s="944"/>
      <c r="B205" s="972" t="s">
        <v>1001</v>
      </c>
      <c r="C205" s="972"/>
      <c r="D205" s="962">
        <f>SUM(D201:D204)</f>
      </c>
      <c r="E205" s="962">
        <f>SUM(E201:E204)</f>
      </c>
      <c r="F205" s="962">
        <f>SUM(F201:F204)</f>
      </c>
      <c r="G205" s="963">
        <f>SUM(G201:G204)</f>
      </c>
      <c r="H205" s="962">
        <f>SUM(H201:H204)</f>
      </c>
      <c r="I205" s="964">
        <f t="shared" si="170"/>
      </c>
      <c r="J205" s="965">
        <f t="shared" si="42"/>
      </c>
      <c r="K205" s="966">
        <f t="shared" si="94"/>
      </c>
      <c r="L205" s="967">
        <f t="shared" si="153"/>
      </c>
      <c r="M205" s="967">
        <f t="shared" si="25"/>
      </c>
      <c r="N205" s="968">
        <f t="shared" si="68"/>
      </c>
      <c r="O205" s="968"/>
      <c r="P205" s="968"/>
      <c r="Q205" s="969">
        <f>SUM(Q201:Q204)</f>
      </c>
      <c r="R205" s="969">
        <f>SUM(R201:R204)</f>
      </c>
      <c r="S205" s="969">
        <f>SUM(S201:S204)</f>
      </c>
      <c r="T205" s="969">
        <f>SUM(T201:T204)</f>
      </c>
    </row>
    <row r="206">
      <c r="A206" s="944"/>
      <c r="B206" s="973" t="s">
        <v>1006</v>
      </c>
      <c r="C206" s="973"/>
      <c r="D206" s="974">
        <f>D200+D205</f>
      </c>
      <c r="E206" s="974">
        <f>E200+E205</f>
      </c>
      <c r="F206" s="974">
        <f>F200+F205</f>
      </c>
      <c r="G206" s="974">
        <f>G200+G205</f>
      </c>
      <c r="H206" s="974">
        <f>H200+H205</f>
      </c>
      <c r="I206" s="975">
        <f t="shared" si="170"/>
      </c>
      <c r="J206" s="973">
        <f t="shared" si="42"/>
      </c>
      <c r="K206" s="973">
        <f t="shared" si="94"/>
      </c>
      <c r="L206" s="976">
        <f t="shared" si="153"/>
      </c>
      <c r="M206" s="976">
        <f t="shared" si="25"/>
      </c>
      <c r="N206" s="973">
        <f t="shared" si="68"/>
      </c>
      <c r="O206" s="977"/>
      <c r="P206" s="977"/>
      <c r="Q206" s="981">
        <f>Q200+Q205</f>
      </c>
      <c r="R206" s="981">
        <f>R200+R205</f>
      </c>
      <c r="S206" s="974">
        <f>S200+S205</f>
      </c>
      <c r="T206" s="974">
        <f>T200+T205</f>
      </c>
    </row>
    <row r="207">
      <c r="A207" s="931" t="s">
        <v>972</v>
      </c>
      <c r="B207" s="931"/>
      <c r="C207" s="931"/>
      <c r="D207" s="932" t="s">
        <v>973</v>
      </c>
      <c r="E207" s="932"/>
      <c r="F207" s="932"/>
      <c r="G207" s="932"/>
      <c r="H207" s="932"/>
      <c r="I207" s="932"/>
      <c r="J207" s="932"/>
      <c r="K207" s="932"/>
      <c r="L207" s="933" t="s">
        <v>974</v>
      </c>
      <c r="M207" s="933"/>
      <c r="N207" s="933"/>
      <c r="O207" s="933"/>
      <c r="P207" s="933"/>
      <c r="Q207" s="934" t="s">
        <v>975</v>
      </c>
      <c r="R207" s="934"/>
      <c r="S207" s="934"/>
      <c r="T207" s="934"/>
    </row>
    <row r="208">
      <c r="A208" s="936" t="s">
        <v>976</v>
      </c>
      <c r="B208" s="936" t="s">
        <v>977</v>
      </c>
      <c r="C208" s="937" t="s">
        <v>978</v>
      </c>
      <c r="D208" s="932" t="s">
        <v>979</v>
      </c>
      <c r="E208" s="932" t="s">
        <v>1022</v>
      </c>
      <c r="F208" s="932" t="s">
        <v>1023</v>
      </c>
      <c r="G208" s="938" t="s">
        <v>980</v>
      </c>
      <c r="H208" s="932" t="s">
        <v>981</v>
      </c>
      <c r="I208" s="939" t="s">
        <v>982</v>
      </c>
      <c r="J208" s="940" t="s">
        <v>983</v>
      </c>
      <c r="K208" s="932" t="s">
        <v>984</v>
      </c>
      <c r="L208" s="941" t="s">
        <v>985</v>
      </c>
      <c r="M208" s="941" t="s">
        <v>986</v>
      </c>
      <c r="N208" s="941" t="s">
        <v>987</v>
      </c>
      <c r="O208" s="933" t="s">
        <v>988</v>
      </c>
      <c r="P208" s="933" t="s">
        <v>989</v>
      </c>
      <c r="Q208" s="942" t="s">
        <v>990</v>
      </c>
      <c r="R208" s="943" t="s">
        <v>991</v>
      </c>
      <c r="S208" s="943" t="s">
        <v>992</v>
      </c>
      <c r="T208" s="943" t="s">
        <v>993</v>
      </c>
    </row>
    <row r="209">
      <c r="A209" s="944" t="s">
        <v>1033</v>
      </c>
      <c r="B209" s="945" t="s">
        <v>1002</v>
      </c>
      <c r="C209" s="957" t="s">
        <v>1015</v>
      </c>
      <c r="D209" s="947">
        <f t="shared" ref="D209:D212" si="119">E209+F209</f>
      </c>
      <c r="E209" s="945">
        <v>781.82</v>
      </c>
      <c r="F209" s="945">
        <v>276.7</v>
      </c>
      <c r="G209" s="958">
        <v>2</v>
      </c>
      <c r="H209" s="945">
        <v>1779.12</v>
      </c>
      <c r="I209" s="948">
        <f t="shared" ref="I209:I219" si="171">H209/D209</f>
      </c>
      <c r="J209" s="948">
        <f t="shared" ref="J209:J219" si="43">D209/G209</f>
      </c>
      <c r="K209" s="948">
        <f t="shared" ref="K209:K219" si="95">H209/G209</f>
      </c>
      <c r="L209" s="949">
        <f t="shared" ref="L209:L219" si="154">R209/Q209</f>
      </c>
      <c r="M209" s="950">
        <f t="shared" ref="M209:M219" si="26">G209/S209</f>
      </c>
      <c r="N209" s="951">
        <f t="shared" ref="N209:N219" si="69">(T209*1000)/D209</f>
      </c>
      <c r="O209" s="978" t="s">
        <v>997</v>
      </c>
      <c r="P209" s="953" t="s">
        <v>1013</v>
      </c>
      <c r="Q209" s="955">
        <v>11850</v>
      </c>
      <c r="R209" s="955">
        <v>1826</v>
      </c>
      <c r="S209" s="955">
        <v>2</v>
      </c>
      <c r="T209" s="955">
        <v>33</v>
      </c>
    </row>
    <row r="210">
      <c r="A210" s="944"/>
      <c r="B210" s="945" t="s">
        <v>1002</v>
      </c>
      <c r="C210" s="957" t="s">
        <v>1016</v>
      </c>
      <c r="D210" s="947">
        <f t="shared" si="119"/>
      </c>
      <c r="E210" s="945">
        <v>1597.13</v>
      </c>
      <c r="F210" s="945">
        <v>455.15</v>
      </c>
      <c r="G210" s="958">
        <v>3</v>
      </c>
      <c r="H210" s="945">
        <v>1107.8400000000001</v>
      </c>
      <c r="I210" s="948">
        <f t="shared" si="171"/>
      </c>
      <c r="J210" s="948">
        <f t="shared" si="43"/>
      </c>
      <c r="K210" s="948">
        <f t="shared" si="95"/>
      </c>
      <c r="L210" s="949">
        <f t="shared" si="154"/>
      </c>
      <c r="M210" s="950">
        <f t="shared" si="26"/>
      </c>
      <c r="N210" s="951">
        <f t="shared" si="69"/>
      </c>
      <c r="O210" s="978" t="s">
        <v>997</v>
      </c>
      <c r="P210" s="953" t="s">
        <v>1013</v>
      </c>
      <c r="Q210" s="960">
        <v>23749</v>
      </c>
      <c r="R210" s="960">
        <v>3353</v>
      </c>
      <c r="S210" s="960">
        <v>11</v>
      </c>
      <c r="T210" s="960">
        <v>55</v>
      </c>
    </row>
    <row r="211">
      <c r="A211" s="944"/>
      <c r="B211" s="945" t="s">
        <v>1002</v>
      </c>
      <c r="C211" s="957" t="s">
        <v>1012</v>
      </c>
      <c r="D211" s="947">
        <f t="shared" si="119"/>
      </c>
      <c r="E211" s="945">
        <v>772.03</v>
      </c>
      <c r="F211" s="945">
        <v>243.71</v>
      </c>
      <c r="G211" s="958">
        <v>1</v>
      </c>
      <c r="H211" s="945">
        <v>215.03999999999996</v>
      </c>
      <c r="I211" s="948">
        <f t="shared" si="171"/>
      </c>
      <c r="J211" s="948">
        <f t="shared" si="43"/>
      </c>
      <c r="K211" s="948">
        <f t="shared" si="95"/>
      </c>
      <c r="L211" s="949">
        <f t="shared" si="154"/>
      </c>
      <c r="M211" s="950">
        <f t="shared" si="26"/>
      </c>
      <c r="N211" s="951">
        <f t="shared" si="69"/>
      </c>
      <c r="O211" s="978" t="s">
        <v>997</v>
      </c>
      <c r="P211" s="953" t="s">
        <v>1013</v>
      </c>
      <c r="Q211" s="960">
        <v>13230</v>
      </c>
      <c r="R211" s="960">
        <v>1646</v>
      </c>
      <c r="S211" s="960">
        <v>4</v>
      </c>
      <c r="T211" s="960">
        <v>24</v>
      </c>
    </row>
    <row r="212">
      <c r="A212" s="944"/>
      <c r="B212" s="945" t="s">
        <v>1002</v>
      </c>
      <c r="C212" s="957" t="s">
        <v>999</v>
      </c>
      <c r="D212" s="947">
        <f t="shared" si="119"/>
      </c>
      <c r="E212" s="945">
        <v>449.95</v>
      </c>
      <c r="F212" s="945">
        <v>107.55</v>
      </c>
      <c r="G212" s="958">
        <v>0</v>
      </c>
      <c r="H212" s="945">
        <v>0</v>
      </c>
      <c r="I212" s="948">
        <f t="shared" si="171"/>
      </c>
      <c r="J212" s="948">
        <f t="shared" si="43"/>
      </c>
      <c r="K212" s="948">
        <f t="shared" si="95"/>
      </c>
      <c r="L212" s="949">
        <f t="shared" si="154"/>
      </c>
      <c r="M212" s="950">
        <f t="shared" si="26"/>
      </c>
      <c r="N212" s="951">
        <f t="shared" si="69"/>
      </c>
      <c r="O212" s="978" t="s">
        <v>997</v>
      </c>
      <c r="P212" s="953" t="s">
        <v>1013</v>
      </c>
      <c r="Q212" s="960">
        <v>5701</v>
      </c>
      <c r="R212" s="960">
        <v>818</v>
      </c>
      <c r="S212" s="960">
        <v>0</v>
      </c>
      <c r="T212" s="970">
        <v>9</v>
      </c>
    </row>
    <row r="213">
      <c r="A213" s="944"/>
      <c r="B213" s="961" t="s">
        <v>1001</v>
      </c>
      <c r="C213" s="961"/>
      <c r="D213" s="962">
        <f>SUM(D209:D212)</f>
      </c>
      <c r="E213" s="962">
        <f>SUM(E209:E212)</f>
      </c>
      <c r="F213" s="962">
        <f>SUM(F209:F212)</f>
      </c>
      <c r="G213" s="963">
        <f>SUM(G209:G212)</f>
      </c>
      <c r="H213" s="962">
        <f>SUM(H209:H212)</f>
      </c>
      <c r="I213" s="964">
        <f t="shared" si="171"/>
      </c>
      <c r="J213" s="965">
        <f t="shared" si="43"/>
      </c>
      <c r="K213" s="966">
        <f t="shared" si="95"/>
      </c>
      <c r="L213" s="967">
        <f t="shared" si="154"/>
      </c>
      <c r="M213" s="967">
        <f t="shared" si="26"/>
      </c>
      <c r="N213" s="968">
        <f t="shared" si="69"/>
      </c>
      <c r="O213" s="968"/>
      <c r="P213" s="968"/>
      <c r="Q213" s="969">
        <f>SUM(Q209:Q212)</f>
      </c>
      <c r="R213" s="969">
        <f>SUM(R209:R212)</f>
      </c>
      <c r="S213" s="969">
        <f>SUM(S209:S212)</f>
      </c>
      <c r="T213" s="969">
        <f>SUM(T209:T212)</f>
      </c>
    </row>
    <row r="214">
      <c r="A214" s="944"/>
      <c r="B214" s="945" t="s">
        <v>1008</v>
      </c>
      <c r="C214" s="957" t="s">
        <v>1000</v>
      </c>
      <c r="D214" s="947">
        <f t="shared" ref="D214:D217" si="120">E214+F214</f>
      </c>
      <c r="E214" s="945">
        <v>261.67</v>
      </c>
      <c r="F214" s="945">
        <v>205.85</v>
      </c>
      <c r="G214" s="958">
        <v>2</v>
      </c>
      <c r="H214" s="945">
        <v>1370.5200000000004</v>
      </c>
      <c r="I214" s="948">
        <f t="shared" si="171"/>
      </c>
      <c r="J214" s="948">
        <f t="shared" si="43"/>
      </c>
      <c r="K214" s="948">
        <f t="shared" si="95"/>
      </c>
      <c r="L214" s="949">
        <f t="shared" si="154"/>
      </c>
      <c r="M214" s="950">
        <f t="shared" si="26"/>
      </c>
      <c r="N214" s="951">
        <f t="shared" si="69"/>
      </c>
      <c r="O214" s="978" t="s">
        <v>997</v>
      </c>
      <c r="P214" s="953" t="s">
        <v>1013</v>
      </c>
      <c r="Q214" s="960">
        <v>5820</v>
      </c>
      <c r="R214" s="960">
        <v>795</v>
      </c>
      <c r="S214" s="960">
        <v>3</v>
      </c>
      <c r="T214" s="970">
        <v>15</v>
      </c>
    </row>
    <row r="215">
      <c r="A215" s="944"/>
      <c r="B215" s="945" t="s">
        <v>1008</v>
      </c>
      <c r="C215" s="957" t="s">
        <v>1003</v>
      </c>
      <c r="D215" s="947">
        <f t="shared" si="120"/>
      </c>
      <c r="E215" s="945">
        <v>840.68</v>
      </c>
      <c r="F215" s="945">
        <v>163.36</v>
      </c>
      <c r="G215" s="958">
        <v>4</v>
      </c>
      <c r="H215" s="945">
        <v>1785.5999999999995</v>
      </c>
      <c r="I215" s="948">
        <f t="shared" si="171"/>
      </c>
      <c r="J215" s="948">
        <f t="shared" si="43"/>
      </c>
      <c r="K215" s="948">
        <f t="shared" si="95"/>
      </c>
      <c r="L215" s="949">
        <f t="shared" si="154"/>
      </c>
      <c r="M215" s="950">
        <f t="shared" si="26"/>
      </c>
      <c r="N215" s="951">
        <f t="shared" si="69"/>
      </c>
      <c r="O215" s="978" t="s">
        <v>997</v>
      </c>
      <c r="P215" s="953" t="s">
        <v>1013</v>
      </c>
      <c r="Q215" s="960">
        <v>11455</v>
      </c>
      <c r="R215" s="960">
        <v>1620</v>
      </c>
      <c r="S215" s="960">
        <v>6</v>
      </c>
      <c r="T215" s="970">
        <v>37</v>
      </c>
    </row>
    <row r="216">
      <c r="A216" s="944"/>
      <c r="B216" s="945" t="s">
        <v>1008</v>
      </c>
      <c r="C216" s="957" t="s">
        <v>1004</v>
      </c>
      <c r="D216" s="947">
        <f t="shared" si="120"/>
      </c>
      <c r="E216" s="945">
        <v>1799.21</v>
      </c>
      <c r="F216" s="945">
        <v>250.56</v>
      </c>
      <c r="G216" s="958">
        <v>7</v>
      </c>
      <c r="H216" s="945">
        <v>2834.6600000000008</v>
      </c>
      <c r="I216" s="948">
        <f t="shared" si="171"/>
      </c>
      <c r="J216" s="948">
        <f t="shared" si="43"/>
      </c>
      <c r="K216" s="948">
        <f t="shared" si="95"/>
      </c>
      <c r="L216" s="949">
        <f t="shared" si="154"/>
      </c>
      <c r="M216" s="950">
        <f t="shared" si="26"/>
      </c>
      <c r="N216" s="951">
        <f t="shared" si="69"/>
      </c>
      <c r="O216" s="978" t="s">
        <v>997</v>
      </c>
      <c r="P216" s="953" t="s">
        <v>1013</v>
      </c>
      <c r="Q216" s="960">
        <v>24351</v>
      </c>
      <c r="R216" s="960">
        <v>3444</v>
      </c>
      <c r="S216" s="960">
        <v>11</v>
      </c>
      <c r="T216" s="970">
        <v>68</v>
      </c>
    </row>
    <row r="217">
      <c r="A217" s="944"/>
      <c r="B217" s="945" t="s">
        <v>1008</v>
      </c>
      <c r="C217" s="957" t="s">
        <v>1005</v>
      </c>
      <c r="D217" s="947">
        <f t="shared" si="120"/>
      </c>
      <c r="E217" s="945">
        <v>1077.4</v>
      </c>
      <c r="F217" s="945">
        <v>139.04</v>
      </c>
      <c r="G217" s="958">
        <v>5</v>
      </c>
      <c r="H217" s="945">
        <v>1537.92</v>
      </c>
      <c r="I217" s="948">
        <f t="shared" si="171"/>
      </c>
      <c r="J217" s="948">
        <f t="shared" si="43"/>
      </c>
      <c r="K217" s="948">
        <f t="shared" si="95"/>
      </c>
      <c r="L217" s="949">
        <f t="shared" si="154"/>
      </c>
      <c r="M217" s="950">
        <f t="shared" si="26"/>
      </c>
      <c r="N217" s="951">
        <f t="shared" si="69"/>
      </c>
      <c r="O217" s="978" t="s">
        <v>997</v>
      </c>
      <c r="P217" s="953" t="s">
        <v>1013</v>
      </c>
      <c r="Q217" s="960">
        <v>14097</v>
      </c>
      <c r="R217" s="960">
        <v>1963</v>
      </c>
      <c r="S217" s="960">
        <v>5</v>
      </c>
      <c r="T217" s="970">
        <v>33</v>
      </c>
    </row>
    <row r="218">
      <c r="A218" s="944"/>
      <c r="B218" s="972" t="s">
        <v>1001</v>
      </c>
      <c r="C218" s="972"/>
      <c r="D218" s="962">
        <f>SUM(D214:D217)</f>
      </c>
      <c r="E218" s="962">
        <f>SUM(E214:E217)</f>
      </c>
      <c r="F218" s="962">
        <f>SUM(F214:F217)</f>
      </c>
      <c r="G218" s="963">
        <f>SUM(G214:G217)</f>
      </c>
      <c r="H218" s="962">
        <f>SUM(H214:H217)</f>
      </c>
      <c r="I218" s="964">
        <f t="shared" si="171"/>
      </c>
      <c r="J218" s="965">
        <f t="shared" si="43"/>
      </c>
      <c r="K218" s="966">
        <f t="shared" si="95"/>
      </c>
      <c r="L218" s="967">
        <f t="shared" si="154"/>
      </c>
      <c r="M218" s="967">
        <f t="shared" si="26"/>
      </c>
      <c r="N218" s="968">
        <f t="shared" si="69"/>
      </c>
      <c r="O218" s="968"/>
      <c r="P218" s="968"/>
      <c r="Q218" s="969">
        <f>SUM(Q214:Q217)</f>
      </c>
      <c r="R218" s="969">
        <f>SUM(R214:R217)</f>
      </c>
      <c r="S218" s="969">
        <f>SUM(S214:S217)</f>
      </c>
      <c r="T218" s="969">
        <f>SUM(T214:T217)</f>
      </c>
    </row>
    <row r="219">
      <c r="A219" s="944"/>
      <c r="B219" s="973" t="s">
        <v>1006</v>
      </c>
      <c r="C219" s="973"/>
      <c r="D219" s="974">
        <f>D213+D218</f>
      </c>
      <c r="E219" s="974">
        <f>E213+E218</f>
      </c>
      <c r="F219" s="974">
        <f>F213+F218</f>
      </c>
      <c r="G219" s="974">
        <f>G213+G218</f>
      </c>
      <c r="H219" s="974">
        <f>H213+H218</f>
      </c>
      <c r="I219" s="975">
        <f t="shared" si="171"/>
      </c>
      <c r="J219" s="973">
        <f t="shared" si="43"/>
      </c>
      <c r="K219" s="973">
        <f t="shared" si="95"/>
      </c>
      <c r="L219" s="976">
        <f t="shared" si="154"/>
      </c>
      <c r="M219" s="976">
        <f t="shared" si="26"/>
      </c>
      <c r="N219" s="973">
        <f t="shared" si="69"/>
      </c>
      <c r="O219" s="977"/>
      <c r="P219" s="977"/>
      <c r="Q219" s="981">
        <f>Q213+Q218</f>
      </c>
      <c r="R219" s="981">
        <f>R213+R218</f>
      </c>
      <c r="S219" s="974">
        <f>S213+S218</f>
      </c>
      <c r="T219" s="974">
        <f>T213+T218</f>
      </c>
    </row>
    <row r="220">
      <c r="A220" s="931" t="s">
        <v>972</v>
      </c>
      <c r="B220" s="931"/>
      <c r="C220" s="931"/>
      <c r="D220" s="932" t="s">
        <v>973</v>
      </c>
      <c r="E220" s="932"/>
      <c r="F220" s="932"/>
      <c r="G220" s="932"/>
      <c r="H220" s="932"/>
      <c r="I220" s="932"/>
      <c r="J220" s="932"/>
      <c r="K220" s="932"/>
      <c r="L220" s="933" t="s">
        <v>974</v>
      </c>
      <c r="M220" s="933"/>
      <c r="N220" s="933"/>
      <c r="O220" s="933"/>
      <c r="P220" s="933"/>
      <c r="Q220" s="934" t="s">
        <v>975</v>
      </c>
      <c r="R220" s="934"/>
      <c r="S220" s="934"/>
      <c r="T220" s="934"/>
    </row>
    <row r="221">
      <c r="A221" s="936" t="s">
        <v>976</v>
      </c>
      <c r="B221" s="936" t="s">
        <v>977</v>
      </c>
      <c r="C221" s="937" t="s">
        <v>978</v>
      </c>
      <c r="D221" s="932" t="s">
        <v>979</v>
      </c>
      <c r="E221" s="932" t="s">
        <v>1022</v>
      </c>
      <c r="F221" s="932" t="s">
        <v>1023</v>
      </c>
      <c r="G221" s="938" t="s">
        <v>980</v>
      </c>
      <c r="H221" s="932" t="s">
        <v>981</v>
      </c>
      <c r="I221" s="939" t="s">
        <v>982</v>
      </c>
      <c r="J221" s="940" t="s">
        <v>983</v>
      </c>
      <c r="K221" s="932" t="s">
        <v>984</v>
      </c>
      <c r="L221" s="941" t="s">
        <v>985</v>
      </c>
      <c r="M221" s="941" t="s">
        <v>986</v>
      </c>
      <c r="N221" s="941" t="s">
        <v>987</v>
      </c>
      <c r="O221" s="933" t="s">
        <v>988</v>
      </c>
      <c r="P221" s="933" t="s">
        <v>989</v>
      </c>
      <c r="Q221" s="942" t="s">
        <v>990</v>
      </c>
      <c r="R221" s="943" t="s">
        <v>991</v>
      </c>
      <c r="S221" s="943" t="s">
        <v>992</v>
      </c>
      <c r="T221" s="943" t="s">
        <v>993</v>
      </c>
    </row>
    <row r="222">
      <c r="A222" s="944" t="s">
        <v>1034</v>
      </c>
      <c r="B222" s="945" t="s">
        <v>1008</v>
      </c>
      <c r="C222" s="957" t="s">
        <v>1015</v>
      </c>
      <c r="D222" s="947">
        <f t="shared" ref="D222:D225" si="121">E222+F222</f>
      </c>
      <c r="E222" s="945">
        <v>2748.02</v>
      </c>
      <c r="F222" s="945">
        <v>1050.24</v>
      </c>
      <c r="G222" s="958">
        <v>11</v>
      </c>
      <c r="H222" s="945">
        <v>4177</v>
      </c>
      <c r="I222" s="948">
        <f t="shared" ref="I222:I232" si="172">H222/D222</f>
      </c>
      <c r="J222" s="948">
        <f t="shared" ref="J222:J232" si="44">D222/G222</f>
      </c>
      <c r="K222" s="948">
        <f t="shared" ref="K222:K232" si="96">H222/G222</f>
      </c>
      <c r="L222" s="949">
        <f t="shared" ref="L222:L232" si="155">R222/Q222</f>
      </c>
      <c r="M222" s="950">
        <f t="shared" ref="M222:M232" si="27">G222/S222</f>
      </c>
      <c r="N222" s="951">
        <f t="shared" ref="N222:N232" si="70">(T222*1000)/D222</f>
      </c>
      <c r="O222" s="978" t="s">
        <v>997</v>
      </c>
      <c r="P222" s="953" t="s">
        <v>1010</v>
      </c>
      <c r="Q222" s="955">
        <v>35250</v>
      </c>
      <c r="R222" s="955">
        <v>5722</v>
      </c>
      <c r="S222" s="955">
        <v>15</v>
      </c>
      <c r="T222" s="955">
        <v>103</v>
      </c>
    </row>
    <row r="223">
      <c r="A223" s="944"/>
      <c r="B223" s="945" t="s">
        <v>1008</v>
      </c>
      <c r="C223" s="957" t="s">
        <v>1016</v>
      </c>
      <c r="D223" s="947">
        <f t="shared" si="121"/>
      </c>
      <c r="E223" s="945">
        <v>4188.81</v>
      </c>
      <c r="F223" s="945">
        <v>1268.65</v>
      </c>
      <c r="G223" s="958">
        <v>16</v>
      </c>
      <c r="H223" s="945">
        <v>8910.38</v>
      </c>
      <c r="I223" s="948">
        <f t="shared" si="172"/>
      </c>
      <c r="J223" s="948">
        <f t="shared" si="44"/>
      </c>
      <c r="K223" s="948">
        <f t="shared" si="96"/>
      </c>
      <c r="L223" s="949">
        <f t="shared" si="155"/>
      </c>
      <c r="M223" s="950">
        <f t="shared" si="27"/>
      </c>
      <c r="N223" s="951">
        <f t="shared" si="70"/>
      </c>
      <c r="O223" s="978" t="s">
        <v>997</v>
      </c>
      <c r="P223" s="953" t="s">
        <v>1010</v>
      </c>
      <c r="Q223" s="960">
        <v>54370</v>
      </c>
      <c r="R223" s="960">
        <v>8919</v>
      </c>
      <c r="S223" s="960">
        <v>23</v>
      </c>
      <c r="T223" s="960">
        <v>138</v>
      </c>
    </row>
    <row r="224">
      <c r="A224" s="944"/>
      <c r="B224" s="945" t="s">
        <v>1008</v>
      </c>
      <c r="C224" s="957" t="s">
        <v>1012</v>
      </c>
      <c r="D224" s="947">
        <f t="shared" si="121"/>
      </c>
      <c r="E224" s="945">
        <v>1855.56</v>
      </c>
      <c r="F224" s="945">
        <v>739.59</v>
      </c>
      <c r="G224" s="958">
        <v>11</v>
      </c>
      <c r="H224" s="945">
        <v>8687.039999999999</v>
      </c>
      <c r="I224" s="948">
        <f t="shared" si="172"/>
      </c>
      <c r="J224" s="948">
        <f t="shared" si="44"/>
      </c>
      <c r="K224" s="948">
        <f t="shared" si="96"/>
      </c>
      <c r="L224" s="949">
        <f t="shared" si="155"/>
      </c>
      <c r="M224" s="950">
        <f t="shared" si="27"/>
      </c>
      <c r="N224" s="951">
        <f t="shared" si="70"/>
      </c>
      <c r="O224" s="978" t="s">
        <v>997</v>
      </c>
      <c r="P224" s="953" t="s">
        <v>1010</v>
      </c>
      <c r="Q224" s="960">
        <v>25618</v>
      </c>
      <c r="R224" s="960">
        <v>3635</v>
      </c>
      <c r="S224" s="960">
        <v>13</v>
      </c>
      <c r="T224" s="960">
        <v>64</v>
      </c>
    </row>
    <row r="225">
      <c r="A225" s="944"/>
      <c r="B225" s="945" t="s">
        <v>1008</v>
      </c>
      <c r="C225" s="957" t="s">
        <v>999</v>
      </c>
      <c r="D225" s="947">
        <f t="shared" si="121"/>
      </c>
      <c r="E225" s="945">
        <v>1383.33</v>
      </c>
      <c r="F225" s="945">
        <v>612.73</v>
      </c>
      <c r="G225" s="958">
        <v>4</v>
      </c>
      <c r="H225" s="945">
        <v>1785.6000000000022</v>
      </c>
      <c r="I225" s="948">
        <f t="shared" si="172"/>
      </c>
      <c r="J225" s="948">
        <f t="shared" si="44"/>
      </c>
      <c r="K225" s="948">
        <f t="shared" si="96"/>
      </c>
      <c r="L225" s="949">
        <f t="shared" si="155"/>
      </c>
      <c r="M225" s="950">
        <f t="shared" si="27"/>
      </c>
      <c r="N225" s="951">
        <f t="shared" si="70"/>
      </c>
      <c r="O225" s="978" t="s">
        <v>997</v>
      </c>
      <c r="P225" s="953" t="s">
        <v>1010</v>
      </c>
      <c r="Q225" s="960">
        <v>18392</v>
      </c>
      <c r="R225" s="960">
        <v>2450</v>
      </c>
      <c r="S225" s="960">
        <v>4</v>
      </c>
      <c r="T225" s="970">
        <v>37</v>
      </c>
    </row>
    <row r="226">
      <c r="A226" s="944"/>
      <c r="B226" s="961" t="s">
        <v>1001</v>
      </c>
      <c r="C226" s="961"/>
      <c r="D226" s="962">
        <f>SUM(D222:D225)</f>
      </c>
      <c r="E226" s="962">
        <f>SUM(E222:E225)</f>
      </c>
      <c r="F226" s="962">
        <f>SUM(F222:F225)</f>
      </c>
      <c r="G226" s="963">
        <f>SUM(G222:G225)</f>
      </c>
      <c r="H226" s="962">
        <f>SUM(H222:H225)</f>
      </c>
      <c r="I226" s="964">
        <f t="shared" si="172"/>
      </c>
      <c r="J226" s="965">
        <f t="shared" si="44"/>
      </c>
      <c r="K226" s="966">
        <f t="shared" si="96"/>
      </c>
      <c r="L226" s="967">
        <f t="shared" si="155"/>
      </c>
      <c r="M226" s="967">
        <f t="shared" si="27"/>
      </c>
      <c r="N226" s="968">
        <f t="shared" si="70"/>
      </c>
      <c r="O226" s="968"/>
      <c r="P226" s="968"/>
      <c r="Q226" s="969">
        <f>SUM(Q222:Q225)</f>
      </c>
      <c r="R226" s="969">
        <f>SUM(R222:R225)</f>
      </c>
      <c r="S226" s="969">
        <f>SUM(S222:S225)</f>
      </c>
      <c r="T226" s="969">
        <f>SUM(T222:T225)</f>
      </c>
    </row>
    <row r="227">
      <c r="A227" s="944"/>
      <c r="B227" s="945" t="s">
        <v>1002</v>
      </c>
      <c r="C227" s="957" t="s">
        <v>1000</v>
      </c>
      <c r="D227" s="947">
        <f t="shared" ref="D227:D230" si="122">E227+F227</f>
      </c>
      <c r="E227" s="945">
        <v>773.7</v>
      </c>
      <c r="F227" s="945">
        <v>704.69</v>
      </c>
      <c r="G227" s="958">
        <v>4</v>
      </c>
      <c r="H227" s="945">
        <v>1684.5999999999985</v>
      </c>
      <c r="I227" s="948">
        <f t="shared" si="172"/>
      </c>
      <c r="J227" s="948">
        <f t="shared" si="44"/>
      </c>
      <c r="K227" s="948">
        <f t="shared" si="96"/>
      </c>
      <c r="L227" s="949">
        <f t="shared" si="155"/>
      </c>
      <c r="M227" s="950">
        <f t="shared" si="27"/>
      </c>
      <c r="N227" s="951">
        <f t="shared" si="70"/>
      </c>
      <c r="O227" s="978" t="s">
        <v>997</v>
      </c>
      <c r="P227" s="953" t="s">
        <v>1010</v>
      </c>
      <c r="Q227" s="960">
        <v>12374</v>
      </c>
      <c r="R227" s="960">
        <v>1567</v>
      </c>
      <c r="S227" s="960">
        <v>7</v>
      </c>
      <c r="T227" s="970">
        <v>26</v>
      </c>
    </row>
    <row r="228">
      <c r="A228" s="944"/>
      <c r="B228" s="945" t="s">
        <v>1002</v>
      </c>
      <c r="C228" s="957" t="s">
        <v>1003</v>
      </c>
      <c r="D228" s="947">
        <f t="shared" si="122"/>
      </c>
      <c r="E228" s="945">
        <v>331.96</v>
      </c>
      <c r="F228" s="945">
        <v>680.92</v>
      </c>
      <c r="G228" s="958">
        <v>3</v>
      </c>
      <c r="H228" s="945">
        <v>645.1200000000026</v>
      </c>
      <c r="I228" s="948">
        <f t="shared" si="172"/>
      </c>
      <c r="J228" s="948">
        <f t="shared" si="44"/>
      </c>
      <c r="K228" s="948">
        <f t="shared" si="96"/>
      </c>
      <c r="L228" s="949">
        <f t="shared" si="155"/>
      </c>
      <c r="M228" s="950">
        <f t="shared" si="27"/>
      </c>
      <c r="N228" s="951">
        <f t="shared" si="70"/>
      </c>
      <c r="O228" s="978" t="s">
        <v>997</v>
      </c>
      <c r="P228" s="953" t="s">
        <v>1010</v>
      </c>
      <c r="Q228" s="960">
        <v>9653</v>
      </c>
      <c r="R228" s="960">
        <v>1119</v>
      </c>
      <c r="S228" s="960">
        <v>3</v>
      </c>
      <c r="T228" s="970">
        <v>20</v>
      </c>
    </row>
    <row r="229">
      <c r="A229" s="944"/>
      <c r="B229" s="945" t="s">
        <v>1002</v>
      </c>
      <c r="C229" s="957" t="s">
        <v>1004</v>
      </c>
      <c r="D229" s="947">
        <f t="shared" si="122"/>
      </c>
      <c r="E229" s="945">
        <v>419.74</v>
      </c>
      <c r="F229" s="945">
        <v>1322.92</v>
      </c>
      <c r="G229" s="958">
        <v>7</v>
      </c>
      <c r="H229" s="945">
        <v>3760.0999999999985</v>
      </c>
      <c r="I229" s="948">
        <f t="shared" si="172"/>
      </c>
      <c r="J229" s="948">
        <f t="shared" si="44"/>
      </c>
      <c r="K229" s="948">
        <f t="shared" si="96"/>
      </c>
      <c r="L229" s="949">
        <f t="shared" si="155"/>
      </c>
      <c r="M229" s="950">
        <f t="shared" si="27"/>
      </c>
      <c r="N229" s="951">
        <f t="shared" si="70"/>
      </c>
      <c r="O229" s="978" t="s">
        <v>997</v>
      </c>
      <c r="P229" s="953" t="s">
        <v>1010</v>
      </c>
      <c r="Q229" s="960">
        <v>16472</v>
      </c>
      <c r="R229" s="960">
        <v>1900</v>
      </c>
      <c r="S229" s="960">
        <v>7</v>
      </c>
      <c r="T229" s="970">
        <v>35</v>
      </c>
    </row>
    <row r="230">
      <c r="A230" s="944"/>
      <c r="B230" s="945" t="s">
        <v>1002</v>
      </c>
      <c r="C230" s="957" t="s">
        <v>1005</v>
      </c>
      <c r="D230" s="947">
        <f t="shared" si="122"/>
      </c>
      <c r="E230" s="945">
        <v>215.24</v>
      </c>
      <c r="F230" s="945">
        <v>763.74</v>
      </c>
      <c r="G230" s="958">
        <v>5</v>
      </c>
      <c r="H230" s="945">
        <v>2015.6399999999994</v>
      </c>
      <c r="I230" s="948">
        <f t="shared" si="172"/>
      </c>
      <c r="J230" s="948">
        <f t="shared" si="44"/>
      </c>
      <c r="K230" s="948">
        <f t="shared" si="96"/>
      </c>
      <c r="L230" s="949">
        <f t="shared" si="155"/>
      </c>
      <c r="M230" s="950">
        <f t="shared" si="27"/>
      </c>
      <c r="N230" s="951">
        <f t="shared" si="70"/>
      </c>
      <c r="O230" s="978" t="s">
        <v>997</v>
      </c>
      <c r="P230" s="953" t="s">
        <v>1010</v>
      </c>
      <c r="Q230" s="960">
        <v>9524</v>
      </c>
      <c r="R230" s="960">
        <v>1080</v>
      </c>
      <c r="S230" s="960">
        <v>9</v>
      </c>
      <c r="T230" s="970">
        <v>27</v>
      </c>
    </row>
    <row r="231">
      <c r="A231" s="944"/>
      <c r="B231" s="972" t="s">
        <v>1001</v>
      </c>
      <c r="C231" s="972"/>
      <c r="D231" s="962">
        <f>SUM(D227:D230)</f>
      </c>
      <c r="E231" s="962">
        <f>SUM(E227:E230)</f>
      </c>
      <c r="F231" s="962">
        <f>SUM(F227:F230)</f>
      </c>
      <c r="G231" s="963">
        <f>SUM(G227:G230)</f>
      </c>
      <c r="H231" s="962">
        <f>SUM(H227:H230)</f>
      </c>
      <c r="I231" s="964">
        <f t="shared" si="172"/>
      </c>
      <c r="J231" s="965">
        <f t="shared" si="44"/>
      </c>
      <c r="K231" s="966">
        <f t="shared" si="96"/>
      </c>
      <c r="L231" s="967">
        <f t="shared" si="155"/>
      </c>
      <c r="M231" s="967">
        <f t="shared" si="27"/>
      </c>
      <c r="N231" s="968">
        <f t="shared" si="70"/>
      </c>
      <c r="O231" s="968"/>
      <c r="P231" s="968"/>
      <c r="Q231" s="969">
        <f>SUM(Q227:Q230)</f>
      </c>
      <c r="R231" s="969">
        <f>SUM(R227:R230)</f>
      </c>
      <c r="S231" s="969">
        <f>SUM(S227:S230)</f>
      </c>
      <c r="T231" s="969">
        <f>SUM(T227:T230)</f>
      </c>
    </row>
    <row r="232">
      <c r="A232" s="944"/>
      <c r="B232" s="973" t="s">
        <v>1006</v>
      </c>
      <c r="C232" s="973"/>
      <c r="D232" s="974">
        <f>D226+D231</f>
      </c>
      <c r="E232" s="974">
        <f>E226+E231</f>
      </c>
      <c r="F232" s="974">
        <f>F226+F231</f>
      </c>
      <c r="G232" s="974">
        <f>G226+G231</f>
      </c>
      <c r="H232" s="974">
        <f>H226+H231</f>
      </c>
      <c r="I232" s="975">
        <f t="shared" si="172"/>
      </c>
      <c r="J232" s="973">
        <f t="shared" si="44"/>
      </c>
      <c r="K232" s="973">
        <f t="shared" si="96"/>
      </c>
      <c r="L232" s="976">
        <f t="shared" si="155"/>
      </c>
      <c r="M232" s="976">
        <f t="shared" si="27"/>
      </c>
      <c r="N232" s="973">
        <f t="shared" si="70"/>
      </c>
      <c r="O232" s="977"/>
      <c r="P232" s="977"/>
      <c r="Q232" s="981">
        <f>Q226+Q231</f>
      </c>
      <c r="R232" s="981">
        <f>R226+R231</f>
      </c>
      <c r="S232" s="974">
        <f>S226+S231</f>
      </c>
      <c r="T232" s="974">
        <f>T226+T231</f>
      </c>
    </row>
    <row r="233">
      <c r="A233" s="931" t="s">
        <v>972</v>
      </c>
      <c r="B233" s="931"/>
      <c r="C233" s="931"/>
      <c r="D233" s="932" t="s">
        <v>973</v>
      </c>
      <c r="E233" s="932"/>
      <c r="F233" s="932"/>
      <c r="G233" s="932"/>
      <c r="H233" s="932"/>
      <c r="I233" s="932"/>
      <c r="J233" s="932"/>
      <c r="K233" s="932"/>
      <c r="L233" s="933" t="s">
        <v>974</v>
      </c>
      <c r="M233" s="933"/>
      <c r="N233" s="933"/>
      <c r="O233" s="933"/>
      <c r="P233" s="933"/>
      <c r="Q233" s="934" t="s">
        <v>975</v>
      </c>
      <c r="R233" s="934"/>
      <c r="S233" s="934"/>
      <c r="T233" s="934"/>
    </row>
    <row r="234">
      <c r="A234" s="936" t="s">
        <v>976</v>
      </c>
      <c r="B234" s="936" t="s">
        <v>977</v>
      </c>
      <c r="C234" s="937" t="s">
        <v>978</v>
      </c>
      <c r="D234" s="932" t="s">
        <v>979</v>
      </c>
      <c r="E234" s="932" t="s">
        <v>1022</v>
      </c>
      <c r="F234" s="932" t="s">
        <v>1023</v>
      </c>
      <c r="G234" s="938" t="s">
        <v>980</v>
      </c>
      <c r="H234" s="932" t="s">
        <v>981</v>
      </c>
      <c r="I234" s="939" t="s">
        <v>982</v>
      </c>
      <c r="J234" s="940" t="s">
        <v>983</v>
      </c>
      <c r="K234" s="932" t="s">
        <v>984</v>
      </c>
      <c r="L234" s="941" t="s">
        <v>985</v>
      </c>
      <c r="M234" s="941" t="s">
        <v>986</v>
      </c>
      <c r="N234" s="941" t="s">
        <v>987</v>
      </c>
      <c r="O234" s="933" t="s">
        <v>988</v>
      </c>
      <c r="P234" s="933" t="s">
        <v>989</v>
      </c>
      <c r="Q234" s="942" t="s">
        <v>990</v>
      </c>
      <c r="R234" s="943" t="s">
        <v>991</v>
      </c>
      <c r="S234" s="943" t="s">
        <v>992</v>
      </c>
      <c r="T234" s="943" t="s">
        <v>993</v>
      </c>
    </row>
    <row r="235">
      <c r="A235" s="984" t="s">
        <v>1035</v>
      </c>
      <c r="B235" s="985" t="s">
        <v>1036</v>
      </c>
      <c r="C235" s="986" t="s">
        <v>1037</v>
      </c>
      <c r="D235" s="947">
        <f t="shared" ref="D235:D238" si="123">E235+F235</f>
      </c>
      <c r="E235" s="945">
        <v>266.85</v>
      </c>
      <c r="F235" s="945">
        <v>312.66</v>
      </c>
      <c r="G235" s="958">
        <v>0</v>
      </c>
      <c r="H235" s="945">
        <v>0</v>
      </c>
      <c r="I235" s="948">
        <f t="shared" ref="I235:I245" si="173">H235/D235</f>
      </c>
      <c r="J235" s="948">
        <f t="shared" ref="J235:J245" si="45">D235/G235</f>
      </c>
      <c r="K235" s="948">
        <f t="shared" ref="K235:K245" si="97">H235/G235</f>
      </c>
      <c r="L235" s="949">
        <f t="shared" ref="L235:L245" si="156">R235/Q235</f>
      </c>
      <c r="M235" s="950">
        <f t="shared" ref="M235:M245" si="28">G235/S235</f>
      </c>
      <c r="N235" s="951">
        <f t="shared" ref="N235:N245" si="71">(T235*1000)/D235</f>
      </c>
      <c r="O235" s="978" t="s">
        <v>997</v>
      </c>
      <c r="P235" s="953" t="s">
        <v>1010</v>
      </c>
      <c r="Q235" s="955">
        <v>5592</v>
      </c>
      <c r="R235" s="955">
        <v>579</v>
      </c>
      <c r="S235" s="955">
        <v>1</v>
      </c>
      <c r="T235" s="955">
        <v>14</v>
      </c>
    </row>
    <row r="236">
      <c r="A236" s="984"/>
      <c r="B236" s="985" t="s">
        <v>1036</v>
      </c>
      <c r="C236" s="986" t="s">
        <v>1038</v>
      </c>
      <c r="D236" s="947">
        <f t="shared" si="123"/>
      </c>
      <c r="E236" s="945">
        <v>319.37</v>
      </c>
      <c r="F236" s="945">
        <v>157.07</v>
      </c>
      <c r="G236" s="958">
        <v>2</v>
      </c>
      <c r="H236" s="945">
        <v>1759.46</v>
      </c>
      <c r="I236" s="948">
        <f t="shared" si="173"/>
      </c>
      <c r="J236" s="948">
        <f t="shared" si="45"/>
      </c>
      <c r="K236" s="948">
        <f t="shared" si="97"/>
      </c>
      <c r="L236" s="949">
        <f t="shared" si="156"/>
      </c>
      <c r="M236" s="950">
        <f t="shared" si="28"/>
      </c>
      <c r="N236" s="951">
        <f t="shared" si="71"/>
      </c>
      <c r="O236" s="978" t="s">
        <v>997</v>
      </c>
      <c r="P236" s="953" t="s">
        <v>1010</v>
      </c>
      <c r="Q236" s="960">
        <v>6144</v>
      </c>
      <c r="R236" s="960">
        <v>733</v>
      </c>
      <c r="S236" s="960">
        <v>2</v>
      </c>
      <c r="T236" s="960">
        <v>16</v>
      </c>
    </row>
    <row r="237">
      <c r="A237" s="984"/>
      <c r="B237" s="985" t="s">
        <v>1036</v>
      </c>
      <c r="C237" s="986" t="s">
        <v>1039</v>
      </c>
      <c r="D237" s="947">
        <f t="shared" si="123"/>
      </c>
      <c r="E237" s="945">
        <v>646.07</v>
      </c>
      <c r="F237" s="945">
        <v>200.82</v>
      </c>
      <c r="G237" s="958">
        <v>2</v>
      </c>
      <c r="H237" s="945">
        <v>2310.96</v>
      </c>
      <c r="I237" s="948">
        <f t="shared" si="173"/>
      </c>
      <c r="J237" s="948">
        <f t="shared" si="45"/>
      </c>
      <c r="K237" s="948">
        <f t="shared" si="97"/>
      </c>
      <c r="L237" s="949">
        <f t="shared" si="156"/>
      </c>
      <c r="M237" s="950">
        <f t="shared" si="28"/>
      </c>
      <c r="N237" s="951">
        <f t="shared" si="71"/>
      </c>
      <c r="O237" s="978" t="s">
        <v>997</v>
      </c>
      <c r="P237" s="953" t="s">
        <v>1010</v>
      </c>
      <c r="Q237" s="960">
        <v>9563</v>
      </c>
      <c r="R237" s="960">
        <v>1219</v>
      </c>
      <c r="S237" s="960">
        <v>2</v>
      </c>
      <c r="T237" s="960">
        <v>20</v>
      </c>
    </row>
    <row r="238">
      <c r="A238" s="984"/>
      <c r="B238" s="985" t="s">
        <v>1036</v>
      </c>
      <c r="C238" s="986" t="s">
        <v>1040</v>
      </c>
      <c r="D238" s="947">
        <f t="shared" si="123"/>
      </c>
      <c r="E238" s="945">
        <v>717.15</v>
      </c>
      <c r="F238" s="945">
        <v>191.7</v>
      </c>
      <c r="G238" s="958">
        <v>3</v>
      </c>
      <c r="H238" s="945">
        <v>2526</v>
      </c>
      <c r="I238" s="948">
        <f t="shared" si="173"/>
      </c>
      <c r="J238" s="948">
        <f t="shared" si="45"/>
      </c>
      <c r="K238" s="948">
        <f t="shared" si="97"/>
      </c>
      <c r="L238" s="949">
        <f t="shared" si="156"/>
      </c>
      <c r="M238" s="950">
        <f t="shared" si="28"/>
      </c>
      <c r="N238" s="951">
        <f t="shared" si="71"/>
      </c>
      <c r="O238" s="978" t="s">
        <v>997</v>
      </c>
      <c r="P238" s="953" t="s">
        <v>1010</v>
      </c>
      <c r="Q238" s="960">
        <v>8691</v>
      </c>
      <c r="R238" s="960">
        <v>1176</v>
      </c>
      <c r="S238" s="960">
        <v>4</v>
      </c>
      <c r="T238" s="970">
        <v>27</v>
      </c>
    </row>
    <row r="239">
      <c r="A239" s="944"/>
      <c r="B239" s="987" t="s">
        <v>1001</v>
      </c>
      <c r="C239" s="961"/>
      <c r="D239" s="962">
        <f>SUM(D235:D238)</f>
      </c>
      <c r="E239" s="962">
        <f>SUM(E235:E238)</f>
      </c>
      <c r="F239" s="962">
        <f>SUM(F235:F238)</f>
      </c>
      <c r="G239" s="963">
        <f>SUM(G235:G238)</f>
      </c>
      <c r="H239" s="962">
        <f>SUM(H235:H238)</f>
      </c>
      <c r="I239" s="964">
        <f t="shared" si="173"/>
      </c>
      <c r="J239" s="965">
        <f t="shared" si="45"/>
      </c>
      <c r="K239" s="966">
        <f t="shared" si="97"/>
      </c>
      <c r="L239" s="967">
        <f t="shared" si="156"/>
      </c>
      <c r="M239" s="967">
        <f t="shared" si="28"/>
      </c>
      <c r="N239" s="968">
        <f t="shared" si="71"/>
      </c>
      <c r="O239" s="968"/>
      <c r="P239" s="968"/>
      <c r="Q239" s="969">
        <f>SUM(Q235:Q238)</f>
      </c>
      <c r="R239" s="969">
        <f>SUM(R235:R238)</f>
      </c>
      <c r="S239" s="969">
        <f>SUM(S235:S238)</f>
      </c>
      <c r="T239" s="969">
        <f>SUM(T235:T238)</f>
      </c>
    </row>
    <row r="240">
      <c r="A240" s="944"/>
      <c r="B240" s="945" t="s">
        <v>1008</v>
      </c>
      <c r="C240" s="957" t="s">
        <v>1041</v>
      </c>
      <c r="D240" s="947">
        <f t="shared" ref="D240:D243" si="124">E240+F240</f>
      </c>
      <c r="E240" s="945">
        <v>934.54</v>
      </c>
      <c r="F240" s="945">
        <v>361.54</v>
      </c>
      <c r="G240" s="958">
        <v>3</v>
      </c>
      <c r="H240" s="945">
        <v>1006.8400000000001</v>
      </c>
      <c r="I240" s="948">
        <f t="shared" si="173"/>
      </c>
      <c r="J240" s="948">
        <f t="shared" si="45"/>
      </c>
      <c r="K240" s="948">
        <f t="shared" si="97"/>
      </c>
      <c r="L240" s="949">
        <f t="shared" si="156"/>
      </c>
      <c r="M240" s="950">
        <f t="shared" si="28"/>
      </c>
      <c r="N240" s="951">
        <f t="shared" si="71"/>
      </c>
      <c r="O240" s="978" t="s">
        <v>997</v>
      </c>
      <c r="P240" s="953" t="s">
        <v>1010</v>
      </c>
      <c r="Q240" s="960">
        <v>13342</v>
      </c>
      <c r="R240" s="960">
        <v>1743</v>
      </c>
      <c r="S240" s="960">
        <v>3</v>
      </c>
      <c r="T240" s="970">
        <v>30</v>
      </c>
    </row>
    <row r="241">
      <c r="A241" s="944"/>
      <c r="B241" s="945" t="s">
        <v>1008</v>
      </c>
      <c r="C241" s="957" t="s">
        <v>1042</v>
      </c>
      <c r="D241" s="947">
        <f t="shared" si="124"/>
      </c>
      <c r="E241" s="945">
        <v>1272.32</v>
      </c>
      <c r="F241" s="945">
        <v>727.31</v>
      </c>
      <c r="G241" s="958">
        <v>3</v>
      </c>
      <c r="H241" s="945">
        <v>625.4599999999991</v>
      </c>
      <c r="I241" s="948">
        <f t="shared" si="173"/>
      </c>
      <c r="J241" s="948">
        <f t="shared" si="45"/>
      </c>
      <c r="K241" s="948">
        <f t="shared" si="97"/>
      </c>
      <c r="L241" s="949">
        <f t="shared" si="156"/>
      </c>
      <c r="M241" s="950">
        <f t="shared" si="28"/>
      </c>
      <c r="N241" s="951">
        <f t="shared" si="71"/>
      </c>
      <c r="O241" s="978" t="s">
        <v>997</v>
      </c>
      <c r="P241" s="953" t="s">
        <v>1010</v>
      </c>
      <c r="Q241" s="960">
        <v>19307</v>
      </c>
      <c r="R241" s="960">
        <v>2824</v>
      </c>
      <c r="S241" s="960">
        <v>6</v>
      </c>
      <c r="T241" s="970">
        <v>40</v>
      </c>
    </row>
    <row r="242">
      <c r="A242" s="944"/>
      <c r="B242" s="945" t="s">
        <v>1008</v>
      </c>
      <c r="C242" s="957" t="s">
        <v>1043</v>
      </c>
      <c r="D242" s="947">
        <f t="shared" si="124"/>
      </c>
      <c r="E242" s="945">
        <v>1498.6</v>
      </c>
      <c r="F242" s="945">
        <v>1048.78</v>
      </c>
      <c r="G242" s="958">
        <v>7</v>
      </c>
      <c r="H242" s="945">
        <v>2873.7800000000007</v>
      </c>
      <c r="I242" s="948">
        <f t="shared" si="173"/>
      </c>
      <c r="J242" s="948">
        <f t="shared" si="45"/>
      </c>
      <c r="K242" s="948">
        <f t="shared" si="97"/>
      </c>
      <c r="L242" s="949">
        <f t="shared" si="156"/>
      </c>
      <c r="M242" s="950">
        <f t="shared" si="28"/>
      </c>
      <c r="N242" s="951">
        <f t="shared" si="71"/>
      </c>
      <c r="O242" s="978" t="s">
        <v>997</v>
      </c>
      <c r="P242" s="953" t="s">
        <v>1010</v>
      </c>
      <c r="Q242" s="960">
        <v>24328</v>
      </c>
      <c r="R242" s="960">
        <v>3687</v>
      </c>
      <c r="S242" s="960">
        <v>11</v>
      </c>
      <c r="T242" s="970">
        <v>45</v>
      </c>
    </row>
    <row r="243">
      <c r="A243" s="944"/>
      <c r="B243" s="945" t="s">
        <v>1008</v>
      </c>
      <c r="C243" s="957" t="s">
        <v>1044</v>
      </c>
      <c r="D243" s="947">
        <f t="shared" si="124"/>
      </c>
      <c r="E243" s="945">
        <v>888.89</v>
      </c>
      <c r="F243" s="945">
        <v>501.85</v>
      </c>
      <c r="G243" s="958">
        <v>4</v>
      </c>
      <c r="H243" s="945">
        <v>840.5</v>
      </c>
      <c r="I243" s="948">
        <f t="shared" si="173"/>
      </c>
      <c r="J243" s="948">
        <f t="shared" si="45"/>
      </c>
      <c r="K243" s="948">
        <f t="shared" si="97"/>
      </c>
      <c r="L243" s="949">
        <f t="shared" si="156"/>
      </c>
      <c r="M243" s="950">
        <f t="shared" si="28"/>
      </c>
      <c r="N243" s="951">
        <f t="shared" si="71"/>
      </c>
      <c r="O243" s="978" t="s">
        <v>997</v>
      </c>
      <c r="P243" s="953" t="s">
        <v>1010</v>
      </c>
      <c r="Q243" s="960">
        <v>14305</v>
      </c>
      <c r="R243" s="960">
        <v>2139</v>
      </c>
      <c r="S243" s="960">
        <v>7</v>
      </c>
      <c r="T243" s="970">
        <v>42</v>
      </c>
    </row>
    <row r="244">
      <c r="A244" s="944"/>
      <c r="B244" s="972" t="s">
        <v>1001</v>
      </c>
      <c r="C244" s="972"/>
      <c r="D244" s="962">
        <f>SUM(D240:D243)</f>
      </c>
      <c r="E244" s="962">
        <f>SUM(E240:E243)</f>
      </c>
      <c r="F244" s="962">
        <f>SUM(F240:F243)</f>
      </c>
      <c r="G244" s="963">
        <f>SUM(G240:G243)</f>
      </c>
      <c r="H244" s="962">
        <f>SUM(H240:H243)</f>
      </c>
      <c r="I244" s="964">
        <f t="shared" si="173"/>
      </c>
      <c r="J244" s="965">
        <f t="shared" si="45"/>
      </c>
      <c r="K244" s="966">
        <f t="shared" si="97"/>
      </c>
      <c r="L244" s="967">
        <f t="shared" si="156"/>
      </c>
      <c r="M244" s="967">
        <f t="shared" si="28"/>
      </c>
      <c r="N244" s="968">
        <f t="shared" si="71"/>
      </c>
      <c r="O244" s="968"/>
      <c r="P244" s="968"/>
      <c r="Q244" s="969">
        <f>SUM(Q240:Q243)</f>
      </c>
      <c r="R244" s="969">
        <f>SUM(R240:R243)</f>
      </c>
      <c r="S244" s="969">
        <f>SUM(S240:S243)</f>
      </c>
      <c r="T244" s="969">
        <f>SUM(T240:T243)</f>
      </c>
    </row>
    <row r="245">
      <c r="A245" s="944"/>
      <c r="B245" s="973" t="s">
        <v>1006</v>
      </c>
      <c r="C245" s="973"/>
      <c r="D245" s="974">
        <f>D239+D244</f>
      </c>
      <c r="E245" s="974">
        <f>E239+E244</f>
      </c>
      <c r="F245" s="974">
        <f>F239+F244</f>
      </c>
      <c r="G245" s="974">
        <f>G239+G244</f>
      </c>
      <c r="H245" s="974">
        <f>H239+H244</f>
      </c>
      <c r="I245" s="975">
        <f t="shared" si="173"/>
      </c>
      <c r="J245" s="973">
        <f t="shared" si="45"/>
      </c>
      <c r="K245" s="973">
        <f t="shared" si="97"/>
      </c>
      <c r="L245" s="976">
        <f t="shared" si="156"/>
      </c>
      <c r="M245" s="976">
        <f t="shared" si="28"/>
      </c>
      <c r="N245" s="973">
        <f t="shared" si="71"/>
      </c>
      <c r="O245" s="977"/>
      <c r="P245" s="977"/>
      <c r="Q245" s="981">
        <f>Q239+Q244</f>
      </c>
      <c r="R245" s="981">
        <f>R239+R244</f>
      </c>
      <c r="S245" s="974">
        <f>S239+S244</f>
      </c>
      <c r="T245" s="974">
        <f>T239+T244</f>
      </c>
    </row>
    <row r="246">
      <c r="A246" s="931" t="s">
        <v>972</v>
      </c>
      <c r="B246" s="931"/>
      <c r="C246" s="931"/>
      <c r="D246" s="932" t="s">
        <v>973</v>
      </c>
      <c r="E246" s="932"/>
      <c r="F246" s="932"/>
      <c r="G246" s="932"/>
      <c r="H246" s="932"/>
      <c r="I246" s="932"/>
      <c r="J246" s="932"/>
      <c r="K246" s="932"/>
      <c r="L246" s="933" t="s">
        <v>974</v>
      </c>
      <c r="M246" s="933"/>
      <c r="N246" s="933"/>
      <c r="O246" s="933"/>
      <c r="P246" s="933"/>
      <c r="Q246" s="934" t="s">
        <v>975</v>
      </c>
      <c r="R246" s="934"/>
      <c r="S246" s="934"/>
      <c r="T246" s="934"/>
    </row>
    <row r="247">
      <c r="A247" s="936" t="s">
        <v>976</v>
      </c>
      <c r="B247" s="936" t="s">
        <v>977</v>
      </c>
      <c r="C247" s="937" t="s">
        <v>978</v>
      </c>
      <c r="D247" s="932" t="s">
        <v>979</v>
      </c>
      <c r="E247" s="932" t="s">
        <v>1022</v>
      </c>
      <c r="F247" s="932" t="s">
        <v>1023</v>
      </c>
      <c r="G247" s="938" t="s">
        <v>980</v>
      </c>
      <c r="H247" s="932" t="s">
        <v>981</v>
      </c>
      <c r="I247" s="939" t="s">
        <v>982</v>
      </c>
      <c r="J247" s="940" t="s">
        <v>983</v>
      </c>
      <c r="K247" s="932" t="s">
        <v>984</v>
      </c>
      <c r="L247" s="941" t="s">
        <v>985</v>
      </c>
      <c r="M247" s="941" t="s">
        <v>986</v>
      </c>
      <c r="N247" s="941" t="s">
        <v>987</v>
      </c>
      <c r="O247" s="933" t="s">
        <v>988</v>
      </c>
      <c r="P247" s="933" t="s">
        <v>989</v>
      </c>
      <c r="Q247" s="942" t="s">
        <v>990</v>
      </c>
      <c r="R247" s="943" t="s">
        <v>991</v>
      </c>
      <c r="S247" s="943" t="s">
        <v>992</v>
      </c>
      <c r="T247" s="943" t="s">
        <v>993</v>
      </c>
    </row>
    <row r="248">
      <c r="A248" s="984" t="s">
        <v>1045</v>
      </c>
      <c r="B248" s="985" t="s">
        <v>1029</v>
      </c>
      <c r="C248" s="986" t="s">
        <v>1037</v>
      </c>
      <c r="D248" s="947">
        <f t="shared" ref="D248:D251" si="125">E248+F248</f>
      </c>
      <c r="E248" s="945">
        <v>535.88</v>
      </c>
      <c r="F248" s="945">
        <v>157.73</v>
      </c>
      <c r="G248" s="958">
        <v>3</v>
      </c>
      <c r="H248" s="945">
        <v>1107.84</v>
      </c>
      <c r="I248" s="948">
        <f t="shared" ref="I248:I258" si="174">H248/D248</f>
      </c>
      <c r="J248" s="948">
        <f t="shared" ref="J248:J258" si="46">D248/G248</f>
      </c>
      <c r="K248" s="948">
        <f t="shared" ref="K248:K258" si="98">H248/G248</f>
      </c>
      <c r="L248" s="949">
        <f t="shared" ref="L248:L258" si="157">R248/Q248</f>
      </c>
      <c r="M248" s="950">
        <f t="shared" ref="M248:M258" si="29">G248/S248</f>
      </c>
      <c r="N248" s="951">
        <f t="shared" ref="N248:N258" si="72">(T248*1000)/D248</f>
      </c>
      <c r="O248" s="978" t="s">
        <v>997</v>
      </c>
      <c r="P248" s="953" t="s">
        <v>1010</v>
      </c>
      <c r="Q248" s="955">
        <v>7674</v>
      </c>
      <c r="R248" s="955">
        <v>1034</v>
      </c>
      <c r="S248" s="955">
        <v>4</v>
      </c>
      <c r="T248" s="955">
        <v>28</v>
      </c>
    </row>
    <row r="249">
      <c r="A249" s="984"/>
      <c r="B249" s="985" t="s">
        <v>1029</v>
      </c>
      <c r="C249" s="986" t="s">
        <v>1038</v>
      </c>
      <c r="D249" s="947">
        <f t="shared" si="125"/>
      </c>
      <c r="E249" s="945">
        <v>625.33</v>
      </c>
      <c r="F249" s="945">
        <v>217.09</v>
      </c>
      <c r="G249" s="958">
        <v>2</v>
      </c>
      <c r="H249" s="945">
        <v>892.8000000000002</v>
      </c>
      <c r="I249" s="948">
        <f t="shared" si="174"/>
      </c>
      <c r="J249" s="948">
        <f t="shared" si="46"/>
      </c>
      <c r="K249" s="948">
        <f t="shared" si="98"/>
      </c>
      <c r="L249" s="949">
        <f t="shared" si="157"/>
      </c>
      <c r="M249" s="950">
        <f t="shared" si="29"/>
      </c>
      <c r="N249" s="951">
        <f t="shared" si="72"/>
      </c>
      <c r="O249" s="978" t="s">
        <v>997</v>
      </c>
      <c r="P249" s="953" t="s">
        <v>1010</v>
      </c>
      <c r="Q249" s="960">
        <v>10361</v>
      </c>
      <c r="R249" s="960">
        <v>1646</v>
      </c>
      <c r="S249" s="960">
        <v>3</v>
      </c>
      <c r="T249" s="960">
        <v>21</v>
      </c>
    </row>
    <row r="250">
      <c r="A250" s="984"/>
      <c r="B250" s="985" t="s">
        <v>1029</v>
      </c>
      <c r="C250" s="986" t="s">
        <v>1039</v>
      </c>
      <c r="D250" s="947">
        <f t="shared" si="125"/>
      </c>
      <c r="E250" s="945">
        <v>1125.04</v>
      </c>
      <c r="F250" s="945">
        <v>360.01</v>
      </c>
      <c r="G250" s="958">
        <v>7</v>
      </c>
      <c r="H250" s="945">
        <v>3277.7199999999993</v>
      </c>
      <c r="I250" s="948">
        <f t="shared" si="174"/>
      </c>
      <c r="J250" s="948">
        <f t="shared" si="46"/>
      </c>
      <c r="K250" s="948">
        <f t="shared" si="98"/>
      </c>
      <c r="L250" s="949">
        <f t="shared" si="157"/>
      </c>
      <c r="M250" s="950">
        <f t="shared" si="29"/>
      </c>
      <c r="N250" s="951">
        <f t="shared" si="72"/>
      </c>
      <c r="O250" s="978" t="s">
        <v>997</v>
      </c>
      <c r="P250" s="953" t="s">
        <v>1010</v>
      </c>
      <c r="Q250" s="960">
        <v>19603</v>
      </c>
      <c r="R250" s="960">
        <v>2850</v>
      </c>
      <c r="S250" s="960">
        <v>14</v>
      </c>
      <c r="T250" s="960">
        <v>40</v>
      </c>
    </row>
    <row r="251">
      <c r="A251" s="984"/>
      <c r="B251" s="985" t="s">
        <v>1029</v>
      </c>
      <c r="C251" s="986" t="s">
        <v>1040</v>
      </c>
      <c r="D251" s="947">
        <f t="shared" si="125"/>
      </c>
      <c r="E251" s="945">
        <v>1434.55</v>
      </c>
      <c r="F251" s="945">
        <v>567.39</v>
      </c>
      <c r="G251" s="958">
        <v>8</v>
      </c>
      <c r="H251" s="945">
        <v>5234.580000000001</v>
      </c>
      <c r="I251" s="948">
        <f t="shared" si="174"/>
      </c>
      <c r="J251" s="948">
        <f t="shared" si="46"/>
      </c>
      <c r="K251" s="948">
        <f t="shared" si="98"/>
      </c>
      <c r="L251" s="949">
        <f t="shared" si="157"/>
      </c>
      <c r="M251" s="950">
        <f t="shared" si="29"/>
      </c>
      <c r="N251" s="951">
        <f t="shared" si="72"/>
      </c>
      <c r="O251" s="978" t="s">
        <v>997</v>
      </c>
      <c r="P251" s="953" t="s">
        <v>1010</v>
      </c>
      <c r="Q251" s="960">
        <v>26437</v>
      </c>
      <c r="R251" s="960">
        <v>3574</v>
      </c>
      <c r="S251" s="960">
        <v>14</v>
      </c>
      <c r="T251" s="970">
        <v>75</v>
      </c>
    </row>
    <row r="252">
      <c r="A252" s="984"/>
      <c r="B252" s="987" t="s">
        <v>1001</v>
      </c>
      <c r="C252" s="987"/>
      <c r="D252" s="962">
        <f>SUM(D248:D251)</f>
      </c>
      <c r="E252" s="962">
        <f>SUM(E248:E251)</f>
      </c>
      <c r="F252" s="962">
        <f>SUM(F248:F251)</f>
      </c>
      <c r="G252" s="963">
        <f>SUM(G248:G251)</f>
      </c>
      <c r="H252" s="962">
        <f>SUM(H248:H251)</f>
      </c>
      <c r="I252" s="964">
        <f t="shared" si="174"/>
      </c>
      <c r="J252" s="965">
        <f t="shared" si="46"/>
      </c>
      <c r="K252" s="966">
        <f t="shared" si="98"/>
      </c>
      <c r="L252" s="967">
        <f t="shared" si="157"/>
      </c>
      <c r="M252" s="967">
        <f t="shared" si="29"/>
      </c>
      <c r="N252" s="968">
        <f t="shared" si="72"/>
      </c>
      <c r="O252" s="968"/>
      <c r="P252" s="968"/>
      <c r="Q252" s="969">
        <f>SUM(Q248:Q251)</f>
      </c>
      <c r="R252" s="969">
        <f>SUM(R248:R251)</f>
      </c>
      <c r="S252" s="969">
        <f>SUM(S248:S251)</f>
      </c>
      <c r="T252" s="969">
        <f>SUM(T248:T251)</f>
      </c>
    </row>
    <row r="253">
      <c r="A253" s="984"/>
      <c r="B253" s="985" t="s">
        <v>1036</v>
      </c>
      <c r="C253" s="957" t="s">
        <v>1041</v>
      </c>
      <c r="D253" s="947">
        <f t="shared" ref="D253:D256" si="126">E253+F253</f>
      </c>
      <c r="E253" s="945">
        <v>2697.92</v>
      </c>
      <c r="F253" s="945">
        <v>861</v>
      </c>
      <c r="G253" s="958">
        <v>14</v>
      </c>
      <c r="H253" s="945">
        <v>8161.300000000001</v>
      </c>
      <c r="I253" s="948">
        <f t="shared" si="174"/>
      </c>
      <c r="J253" s="948">
        <f t="shared" si="46"/>
      </c>
      <c r="K253" s="948">
        <f t="shared" si="98"/>
      </c>
      <c r="L253" s="949">
        <f t="shared" si="157"/>
      </c>
      <c r="M253" s="950">
        <f t="shared" si="29"/>
      </c>
      <c r="N253" s="951">
        <f t="shared" si="72"/>
      </c>
      <c r="O253" s="978" t="s">
        <v>997</v>
      </c>
      <c r="P253" s="953" t="s">
        <v>1010</v>
      </c>
      <c r="Q253" s="960">
        <v>45123</v>
      </c>
      <c r="R253" s="960">
        <v>5942</v>
      </c>
      <c r="S253" s="960">
        <v>20</v>
      </c>
      <c r="T253" s="970">
        <v>103</v>
      </c>
    </row>
    <row r="254">
      <c r="A254" s="984"/>
      <c r="B254" s="985" t="s">
        <v>1036</v>
      </c>
      <c r="C254" s="957" t="s">
        <v>1042</v>
      </c>
      <c r="D254" s="947">
        <f t="shared" si="126"/>
      </c>
      <c r="E254" s="945">
        <v>4842.35</v>
      </c>
      <c r="F254" s="945">
        <v>1287.5</v>
      </c>
      <c r="G254" s="958">
        <v>22</v>
      </c>
      <c r="H254" s="945">
        <v>11795.579999999998</v>
      </c>
      <c r="I254" s="948">
        <f t="shared" si="174"/>
      </c>
      <c r="J254" s="948">
        <f t="shared" si="46"/>
      </c>
      <c r="K254" s="948">
        <f t="shared" si="98"/>
      </c>
      <c r="L254" s="949">
        <f t="shared" si="157"/>
      </c>
      <c r="M254" s="950">
        <f t="shared" si="29"/>
      </c>
      <c r="N254" s="951">
        <f t="shared" si="72"/>
      </c>
      <c r="O254" s="978" t="s">
        <v>997</v>
      </c>
      <c r="P254" s="953" t="s">
        <v>1010</v>
      </c>
      <c r="Q254" s="960">
        <v>71300</v>
      </c>
      <c r="R254" s="960">
        <v>10752</v>
      </c>
      <c r="S254" s="960">
        <v>28</v>
      </c>
      <c r="T254" s="970">
        <v>121</v>
      </c>
    </row>
    <row r="255">
      <c r="A255" s="984"/>
      <c r="B255" s="985" t="s">
        <v>1036</v>
      </c>
      <c r="C255" s="957" t="s">
        <v>1043</v>
      </c>
      <c r="D255" s="947">
        <f t="shared" si="126"/>
      </c>
      <c r="E255" s="945">
        <v>8651.11</v>
      </c>
      <c r="F255" s="945">
        <v>2154.01</v>
      </c>
      <c r="G255" s="958">
        <v>31</v>
      </c>
      <c r="H255" s="945">
        <v>12879.949999999997</v>
      </c>
      <c r="I255" s="948">
        <f t="shared" si="174"/>
      </c>
      <c r="J255" s="948">
        <f t="shared" si="46"/>
      </c>
      <c r="K255" s="948">
        <f t="shared" si="98"/>
      </c>
      <c r="L255" s="949">
        <f t="shared" si="157"/>
      </c>
      <c r="M255" s="950">
        <f t="shared" si="29"/>
      </c>
      <c r="N255" s="951">
        <f t="shared" si="72"/>
      </c>
      <c r="O255" s="978" t="s">
        <v>997</v>
      </c>
      <c r="P255" s="953" t="s">
        <v>1010</v>
      </c>
      <c r="Q255" s="960">
        <v>129618</v>
      </c>
      <c r="R255" s="960">
        <v>18709</v>
      </c>
      <c r="S255" s="960">
        <v>44</v>
      </c>
      <c r="T255" s="970">
        <v>237</v>
      </c>
    </row>
    <row r="256">
      <c r="A256" s="984"/>
      <c r="B256" s="985" t="s">
        <v>1036</v>
      </c>
      <c r="C256" s="957" t="s">
        <v>1044</v>
      </c>
      <c r="D256" s="947">
        <f t="shared" si="126"/>
      </c>
      <c r="E256" s="945">
        <v>4895.58</v>
      </c>
      <c r="F256" s="945">
        <v>736.04</v>
      </c>
      <c r="G256" s="958">
        <v>29</v>
      </c>
      <c r="H256" s="945">
        <v>14995.640000000007</v>
      </c>
      <c r="I256" s="948">
        <f t="shared" si="174"/>
      </c>
      <c r="J256" s="948">
        <f t="shared" si="46"/>
      </c>
      <c r="K256" s="948">
        <f t="shared" si="98"/>
      </c>
      <c r="L256" s="949">
        <f t="shared" si="157"/>
      </c>
      <c r="M256" s="950">
        <f t="shared" si="29"/>
      </c>
      <c r="N256" s="951">
        <f t="shared" si="72"/>
      </c>
      <c r="O256" s="978" t="s">
        <v>997</v>
      </c>
      <c r="P256" s="953" t="s">
        <v>1010</v>
      </c>
      <c r="Q256" s="960">
        <v>77579</v>
      </c>
      <c r="R256" s="960">
        <v>10966</v>
      </c>
      <c r="S256" s="960">
        <v>35</v>
      </c>
      <c r="T256" s="970">
        <v>141</v>
      </c>
    </row>
    <row r="257">
      <c r="A257" s="984"/>
      <c r="B257" s="972" t="s">
        <v>1001</v>
      </c>
      <c r="C257" s="972"/>
      <c r="D257" s="962">
        <f>SUM(D253:D256)</f>
      </c>
      <c r="E257" s="962">
        <f>SUM(E253:E256)</f>
      </c>
      <c r="F257" s="962">
        <f>SUM(F253:F256)</f>
      </c>
      <c r="G257" s="963">
        <f>SUM(G253:G256)</f>
      </c>
      <c r="H257" s="962">
        <f>SUM(H253:H256)</f>
      </c>
      <c r="I257" s="964">
        <f t="shared" si="174"/>
      </c>
      <c r="J257" s="965">
        <f t="shared" si="46"/>
      </c>
      <c r="K257" s="966">
        <f t="shared" si="98"/>
      </c>
      <c r="L257" s="967">
        <f t="shared" si="157"/>
      </c>
      <c r="M257" s="967">
        <f t="shared" si="29"/>
      </c>
      <c r="N257" s="968">
        <f t="shared" si="72"/>
      </c>
      <c r="O257" s="968"/>
      <c r="P257" s="968"/>
      <c r="Q257" s="969">
        <f>SUM(Q253:Q256)</f>
      </c>
      <c r="R257" s="969">
        <f>SUM(R253:R256)</f>
      </c>
      <c r="S257" s="969">
        <f>SUM(S253:S256)</f>
      </c>
      <c r="T257" s="969">
        <f>SUM(T253:T256)</f>
      </c>
    </row>
    <row r="258">
      <c r="A258" s="984"/>
      <c r="B258" s="973" t="s">
        <v>1006</v>
      </c>
      <c r="C258" s="973"/>
      <c r="D258" s="974">
        <f>D252+D257</f>
      </c>
      <c r="E258" s="974">
        <f>E252+E257</f>
      </c>
      <c r="F258" s="974">
        <f>F252+F257</f>
      </c>
      <c r="G258" s="974">
        <f>G252+G257</f>
      </c>
      <c r="H258" s="974">
        <f>H252+H257</f>
      </c>
      <c r="I258" s="975">
        <f t="shared" si="174"/>
      </c>
      <c r="J258" s="973">
        <f t="shared" si="46"/>
      </c>
      <c r="K258" s="973">
        <f t="shared" si="98"/>
      </c>
      <c r="L258" s="976">
        <f t="shared" si="157"/>
      </c>
      <c r="M258" s="976">
        <f t="shared" si="29"/>
      </c>
      <c r="N258" s="973">
        <f t="shared" si="72"/>
      </c>
      <c r="O258" s="977"/>
      <c r="P258" s="977"/>
      <c r="Q258" s="981">
        <f>Q252+Q257</f>
      </c>
      <c r="R258" s="981">
        <f>R252+R257</f>
      </c>
      <c r="S258" s="974">
        <f>S252+S257</f>
      </c>
      <c r="T258" s="974">
        <f>T252+T257</f>
      </c>
    </row>
    <row r="259">
      <c r="A259" s="931" t="s">
        <v>972</v>
      </c>
      <c r="B259" s="931"/>
      <c r="C259" s="931"/>
      <c r="D259" s="932" t="s">
        <v>973</v>
      </c>
      <c r="E259" s="932"/>
      <c r="F259" s="932"/>
      <c r="G259" s="932"/>
      <c r="H259" s="932"/>
      <c r="I259" s="932"/>
      <c r="J259" s="932"/>
      <c r="K259" s="932"/>
      <c r="L259" s="933" t="s">
        <v>974</v>
      </c>
      <c r="M259" s="933"/>
      <c r="N259" s="933"/>
      <c r="O259" s="933"/>
      <c r="P259" s="933"/>
      <c r="Q259" s="934" t="s">
        <v>975</v>
      </c>
      <c r="R259" s="934"/>
      <c r="S259" s="934"/>
      <c r="T259" s="934"/>
    </row>
    <row r="260">
      <c r="A260" s="936" t="s">
        <v>976</v>
      </c>
      <c r="B260" s="936" t="s">
        <v>977</v>
      </c>
      <c r="C260" s="937" t="s">
        <v>978</v>
      </c>
      <c r="D260" s="932" t="s">
        <v>979</v>
      </c>
      <c r="E260" s="932" t="s">
        <v>1022</v>
      </c>
      <c r="F260" s="932" t="s">
        <v>1023</v>
      </c>
      <c r="G260" s="938" t="s">
        <v>980</v>
      </c>
      <c r="H260" s="932" t="s">
        <v>981</v>
      </c>
      <c r="I260" s="939" t="s">
        <v>982</v>
      </c>
      <c r="J260" s="940" t="s">
        <v>983</v>
      </c>
      <c r="K260" s="932" t="s">
        <v>984</v>
      </c>
      <c r="L260" s="941" t="s">
        <v>985</v>
      </c>
      <c r="M260" s="941" t="s">
        <v>986</v>
      </c>
      <c r="N260" s="941" t="s">
        <v>987</v>
      </c>
      <c r="O260" s="933" t="s">
        <v>988</v>
      </c>
      <c r="P260" s="933" t="s">
        <v>989</v>
      </c>
      <c r="Q260" s="942" t="s">
        <v>990</v>
      </c>
      <c r="R260" s="943" t="s">
        <v>991</v>
      </c>
      <c r="S260" s="943" t="s">
        <v>992</v>
      </c>
      <c r="T260" s="943" t="s">
        <v>993</v>
      </c>
    </row>
    <row r="261">
      <c r="A261" s="984" t="s">
        <v>1046</v>
      </c>
      <c r="B261" s="985" t="s">
        <v>1036</v>
      </c>
      <c r="C261" s="986" t="s">
        <v>1037</v>
      </c>
      <c r="D261" s="947">
        <f t="shared" ref="D261:D264" si="127">E261+F261</f>
      </c>
      <c r="E261" s="945">
        <v>1662.3</v>
      </c>
      <c r="F261" s="945">
        <v>571.89</v>
      </c>
      <c r="G261" s="958">
        <v>4</v>
      </c>
      <c r="H261" s="945">
        <v>2263.32</v>
      </c>
      <c r="I261" s="948">
        <f t="shared" ref="I261:I271" si="175">H261/D261</f>
      </c>
      <c r="J261" s="948">
        <f t="shared" ref="J261:J271" si="47">D261/G261</f>
      </c>
      <c r="K261" s="948">
        <f t="shared" ref="K261:K271" si="99">H261/G261</f>
      </c>
      <c r="L261" s="949">
        <f t="shared" ref="L261:L271" si="158">R261/Q261</f>
      </c>
      <c r="M261" s="950">
        <f t="shared" ref="M261:M271" si="30">G261/S261</f>
      </c>
      <c r="N261" s="951">
        <f t="shared" ref="N261:N271" si="73">(T261*1000)/D261</f>
      </c>
      <c r="O261" s="978" t="s">
        <v>997</v>
      </c>
      <c r="P261" s="953" t="s">
        <v>1010</v>
      </c>
      <c r="Q261" s="955">
        <v>25169</v>
      </c>
      <c r="R261" s="955">
        <v>3558</v>
      </c>
      <c r="S261" s="955">
        <v>7</v>
      </c>
      <c r="T261" s="955">
        <v>59</v>
      </c>
    </row>
    <row r="262">
      <c r="A262" s="984"/>
      <c r="B262" s="985" t="s">
        <v>1036</v>
      </c>
      <c r="C262" s="986" t="s">
        <v>1038</v>
      </c>
      <c r="D262" s="947">
        <f t="shared" si="127"/>
      </c>
      <c r="E262" s="945">
        <v>1224.56</v>
      </c>
      <c r="F262" s="945">
        <v>910.55</v>
      </c>
      <c r="G262" s="958">
        <v>6</v>
      </c>
      <c r="H262" s="945">
        <v>1713.64</v>
      </c>
      <c r="I262" s="948">
        <f t="shared" si="175"/>
      </c>
      <c r="J262" s="948">
        <f t="shared" si="47"/>
      </c>
      <c r="K262" s="948">
        <f t="shared" si="99"/>
      </c>
      <c r="L262" s="949">
        <f t="shared" si="158"/>
      </c>
      <c r="M262" s="950">
        <f t="shared" si="30"/>
      </c>
      <c r="N262" s="951">
        <f t="shared" si="73"/>
      </c>
      <c r="O262" s="978" t="s">
        <v>997</v>
      </c>
      <c r="P262" s="953" t="s">
        <v>1010</v>
      </c>
      <c r="Q262" s="960">
        <v>23589</v>
      </c>
      <c r="R262" s="960">
        <v>3775</v>
      </c>
      <c r="S262" s="960">
        <v>10</v>
      </c>
      <c r="T262" s="960">
        <v>59</v>
      </c>
    </row>
    <row r="263">
      <c r="A263" s="984"/>
      <c r="B263" s="985" t="s">
        <v>1036</v>
      </c>
      <c r="C263" s="986" t="s">
        <v>1039</v>
      </c>
      <c r="D263" s="947">
        <f t="shared" si="127"/>
      </c>
      <c r="E263" s="945">
        <v>4345.24</v>
      </c>
      <c r="F263" s="945">
        <v>1498.38</v>
      </c>
      <c r="G263" s="958">
        <v>19</v>
      </c>
      <c r="H263" s="945">
        <v>8669.18</v>
      </c>
      <c r="I263" s="948">
        <f t="shared" si="175"/>
      </c>
      <c r="J263" s="948">
        <f t="shared" si="47"/>
      </c>
      <c r="K263" s="948">
        <f t="shared" si="99"/>
      </c>
      <c r="L263" s="949">
        <f t="shared" si="158"/>
      </c>
      <c r="M263" s="950">
        <f t="shared" si="30"/>
      </c>
      <c r="N263" s="951">
        <f t="shared" si="73"/>
      </c>
      <c r="O263" s="978" t="s">
        <v>997</v>
      </c>
      <c r="P263" s="953" t="s">
        <v>1010</v>
      </c>
      <c r="Q263" s="960">
        <v>69886</v>
      </c>
      <c r="R263" s="960">
        <v>10162</v>
      </c>
      <c r="S263" s="960">
        <v>26</v>
      </c>
      <c r="T263" s="960">
        <v>164</v>
      </c>
    </row>
    <row r="264">
      <c r="A264" s="984"/>
      <c r="B264" s="985" t="s">
        <v>1036</v>
      </c>
      <c r="C264" s="986" t="s">
        <v>1040</v>
      </c>
      <c r="D264" s="947">
        <f t="shared" si="127"/>
      </c>
      <c r="E264" s="945">
        <v>16756.73</v>
      </c>
      <c r="F264" s="945">
        <v>2063.61</v>
      </c>
      <c r="G264" s="958">
        <v>81</v>
      </c>
      <c r="H264" s="945">
        <v>50287.82</v>
      </c>
      <c r="I264" s="948">
        <f t="shared" si="175"/>
      </c>
      <c r="J264" s="948">
        <f t="shared" si="47"/>
      </c>
      <c r="K264" s="948">
        <f t="shared" si="99"/>
      </c>
      <c r="L264" s="949">
        <f t="shared" si="158"/>
      </c>
      <c r="M264" s="950">
        <f t="shared" si="30"/>
      </c>
      <c r="N264" s="951">
        <f t="shared" si="73"/>
      </c>
      <c r="O264" s="978" t="s">
        <v>997</v>
      </c>
      <c r="P264" s="953" t="s">
        <v>1010</v>
      </c>
      <c r="Q264" s="960">
        <v>241677</v>
      </c>
      <c r="R264" s="960">
        <v>36702</v>
      </c>
      <c r="S264" s="960">
        <v>104</v>
      </c>
      <c r="T264" s="970">
        <v>457</v>
      </c>
    </row>
    <row r="265">
      <c r="A265" s="984"/>
      <c r="B265" s="988" t="s">
        <v>1001</v>
      </c>
      <c r="C265" s="987"/>
      <c r="D265" s="962">
        <f>SUM(D261:D264)</f>
      </c>
      <c r="E265" s="962">
        <f>SUM(E261:E264)</f>
      </c>
      <c r="F265" s="962">
        <f>SUM(F261:F264)</f>
      </c>
      <c r="G265" s="963">
        <f>SUM(G261:G264)</f>
      </c>
      <c r="H265" s="962">
        <f>SUM(H261:H264)</f>
      </c>
      <c r="I265" s="964">
        <f t="shared" si="175"/>
      </c>
      <c r="J265" s="965">
        <f t="shared" si="47"/>
      </c>
      <c r="K265" s="966">
        <f t="shared" si="99"/>
      </c>
      <c r="L265" s="967">
        <f t="shared" si="158"/>
      </c>
      <c r="M265" s="967">
        <f t="shared" si="30"/>
      </c>
      <c r="N265" s="968">
        <f t="shared" si="73"/>
      </c>
      <c r="O265" s="968"/>
      <c r="P265" s="968"/>
      <c r="Q265" s="969">
        <f>SUM(Q261:Q264)</f>
      </c>
      <c r="R265" s="969">
        <f>SUM(R261:R264)</f>
      </c>
      <c r="S265" s="969">
        <f>SUM(S261:S264)</f>
      </c>
      <c r="T265" s="969">
        <f>SUM(T261:T264)</f>
      </c>
    </row>
    <row r="266">
      <c r="A266" s="984"/>
      <c r="B266" s="985" t="s">
        <v>1002</v>
      </c>
      <c r="C266" s="986" t="s">
        <v>1041</v>
      </c>
      <c r="D266" s="947">
        <f t="shared" ref="D266:D269" si="128">E266+F266</f>
      </c>
      <c r="E266" s="945">
        <v>16064.63</v>
      </c>
      <c r="F266" s="945">
        <v>3933.76</v>
      </c>
      <c r="G266" s="958">
        <v>38</v>
      </c>
      <c r="H266" s="945">
        <v>20887.980000000003</v>
      </c>
      <c r="I266" s="948">
        <f t="shared" si="175"/>
      </c>
      <c r="J266" s="948">
        <f t="shared" si="47"/>
      </c>
      <c r="K266" s="948">
        <f t="shared" si="99"/>
      </c>
      <c r="L266" s="949">
        <f t="shared" si="158"/>
      </c>
      <c r="M266" s="950">
        <f t="shared" si="30"/>
      </c>
      <c r="N266" s="951">
        <f t="shared" si="73"/>
      </c>
      <c r="O266" s="978" t="s">
        <v>997</v>
      </c>
      <c r="P266" s="953" t="s">
        <v>1010</v>
      </c>
      <c r="Q266" s="960">
        <v>259708</v>
      </c>
      <c r="R266" s="960">
        <v>36271</v>
      </c>
      <c r="S266" s="960">
        <v>49</v>
      </c>
      <c r="T266" s="970">
        <v>309</v>
      </c>
    </row>
    <row r="267">
      <c r="A267" s="984"/>
      <c r="B267" s="985" t="s">
        <v>1002</v>
      </c>
      <c r="C267" s="986" t="s">
        <v>1042</v>
      </c>
      <c r="D267" s="947">
        <f t="shared" si="128"/>
      </c>
      <c r="E267" s="945">
        <v>3593.31</v>
      </c>
      <c r="F267" s="945">
        <v>869.42</v>
      </c>
      <c r="G267" s="958">
        <v>24</v>
      </c>
      <c r="H267" s="945">
        <v>12536.720000000001</v>
      </c>
      <c r="I267" s="948">
        <f t="shared" si="175"/>
      </c>
      <c r="J267" s="948">
        <f t="shared" si="47"/>
      </c>
      <c r="K267" s="948">
        <f t="shared" si="99"/>
      </c>
      <c r="L267" s="949">
        <f t="shared" si="158"/>
      </c>
      <c r="M267" s="950">
        <f t="shared" si="30"/>
      </c>
      <c r="N267" s="951">
        <f t="shared" si="73"/>
      </c>
      <c r="O267" s="978" t="s">
        <v>997</v>
      </c>
      <c r="P267" s="953" t="s">
        <v>1010</v>
      </c>
      <c r="Q267" s="960">
        <v>51927</v>
      </c>
      <c r="R267" s="960">
        <v>6873</v>
      </c>
      <c r="S267" s="960">
        <v>28</v>
      </c>
      <c r="T267" s="970">
        <v>72</v>
      </c>
    </row>
    <row r="268">
      <c r="A268" s="984"/>
      <c r="B268" s="985" t="s">
        <v>1002</v>
      </c>
      <c r="C268" s="986" t="s">
        <v>1043</v>
      </c>
      <c r="D268" s="947">
        <f t="shared" si="128"/>
      </c>
      <c r="E268" s="945">
        <v>1700.07</v>
      </c>
      <c r="F268" s="945">
        <v>0</v>
      </c>
      <c r="G268" s="958">
        <v>6</v>
      </c>
      <c r="H268" s="945">
        <v>3579.720000000001</v>
      </c>
      <c r="I268" s="948">
        <f t="shared" si="175"/>
      </c>
      <c r="J268" s="948">
        <f t="shared" si="47"/>
      </c>
      <c r="K268" s="948">
        <f t="shared" si="99"/>
      </c>
      <c r="L268" s="949">
        <f t="shared" si="158"/>
      </c>
      <c r="M268" s="950">
        <f t="shared" si="30"/>
      </c>
      <c r="N268" s="951">
        <f t="shared" si="73"/>
      </c>
      <c r="O268" s="978" t="s">
        <v>997</v>
      </c>
      <c r="P268" s="953" t="s">
        <v>1010</v>
      </c>
      <c r="Q268" s="960">
        <v>18986</v>
      </c>
      <c r="R268" s="960">
        <v>2385</v>
      </c>
      <c r="S268" s="960">
        <v>9</v>
      </c>
      <c r="T268" s="970">
        <v>36</v>
      </c>
    </row>
    <row r="269">
      <c r="A269" s="984"/>
      <c r="B269" s="985" t="s">
        <v>1002</v>
      </c>
      <c r="C269" s="986" t="s">
        <v>1044</v>
      </c>
      <c r="D269" s="947">
        <f t="shared" si="128"/>
      </c>
      <c r="E269" s="945">
        <v>35.43</v>
      </c>
      <c r="F269" s="945">
        <v>0</v>
      </c>
      <c r="G269" s="958">
        <v>2</v>
      </c>
      <c r="H269" s="945">
        <v>430.08000000000175</v>
      </c>
      <c r="I269" s="948">
        <f t="shared" si="175"/>
      </c>
      <c r="J269" s="948">
        <f t="shared" si="47"/>
      </c>
      <c r="K269" s="948">
        <f t="shared" si="99"/>
      </c>
      <c r="L269" s="949">
        <f t="shared" si="158"/>
      </c>
      <c r="M269" s="950">
        <f t="shared" si="30"/>
      </c>
      <c r="N269" s="951">
        <f t="shared" si="73"/>
      </c>
      <c r="O269" s="978" t="s">
        <v>997</v>
      </c>
      <c r="P269" s="953" t="s">
        <v>1010</v>
      </c>
      <c r="Q269" s="960">
        <v>752</v>
      </c>
      <c r="R269" s="960">
        <v>40</v>
      </c>
      <c r="S269" s="960">
        <v>2</v>
      </c>
      <c r="T269" s="970">
        <v>1</v>
      </c>
    </row>
    <row r="270">
      <c r="A270" s="984"/>
      <c r="B270" s="989" t="s">
        <v>1001</v>
      </c>
      <c r="C270" s="972"/>
      <c r="D270" s="962">
        <f>SUM(D266:D269)</f>
      </c>
      <c r="E270" s="962">
        <f>SUM(E266:E269)</f>
      </c>
      <c r="F270" s="962">
        <f>SUM(F266:F269)</f>
      </c>
      <c r="G270" s="963">
        <f>SUM(G266:G269)</f>
      </c>
      <c r="H270" s="962">
        <f>SUM(H266:H269)</f>
      </c>
      <c r="I270" s="964">
        <f t="shared" si="175"/>
      </c>
      <c r="J270" s="965">
        <f t="shared" si="47"/>
      </c>
      <c r="K270" s="966">
        <f t="shared" si="99"/>
      </c>
      <c r="L270" s="967">
        <f t="shared" si="158"/>
      </c>
      <c r="M270" s="967">
        <f t="shared" si="30"/>
      </c>
      <c r="N270" s="968">
        <f t="shared" si="73"/>
      </c>
      <c r="O270" s="968"/>
      <c r="P270" s="968"/>
      <c r="Q270" s="969">
        <f>SUM(Q266:Q269)</f>
      </c>
      <c r="R270" s="969">
        <f>SUM(R266:R269)</f>
      </c>
      <c r="S270" s="969">
        <f>SUM(S266:S269)</f>
      </c>
      <c r="T270" s="969">
        <f>SUM(T266:T269)</f>
      </c>
    </row>
    <row r="271">
      <c r="A271" s="984"/>
      <c r="B271" s="973" t="s">
        <v>1006</v>
      </c>
      <c r="C271" s="973"/>
      <c r="D271" s="974">
        <f>D265+D270</f>
      </c>
      <c r="E271" s="974">
        <f>E265+E270</f>
      </c>
      <c r="F271" s="974">
        <f>F265+F270</f>
      </c>
      <c r="G271" s="974">
        <f>G265+G270</f>
      </c>
      <c r="H271" s="974">
        <f>H265+H270</f>
      </c>
      <c r="I271" s="975">
        <f t="shared" si="175"/>
      </c>
      <c r="J271" s="973">
        <f t="shared" si="47"/>
      </c>
      <c r="K271" s="973">
        <f t="shared" si="99"/>
      </c>
      <c r="L271" s="976">
        <f t="shared" si="158"/>
      </c>
      <c r="M271" s="976">
        <f t="shared" si="30"/>
      </c>
      <c r="N271" s="973">
        <f t="shared" si="73"/>
      </c>
      <c r="O271" s="977"/>
      <c r="P271" s="977"/>
      <c r="Q271" s="981">
        <f>Q265+Q270</f>
      </c>
      <c r="R271" s="981">
        <f>R265+R270</f>
      </c>
      <c r="S271" s="974">
        <f>S265+S270</f>
      </c>
      <c r="T271" s="974">
        <f>T265+T270</f>
      </c>
    </row>
    <row r="272">
      <c r="A272" s="931" t="s">
        <v>972</v>
      </c>
      <c r="B272" s="931"/>
      <c r="C272" s="931"/>
      <c r="D272" s="932" t="s">
        <v>973</v>
      </c>
      <c r="E272" s="932"/>
      <c r="F272" s="932"/>
      <c r="G272" s="932"/>
      <c r="H272" s="932"/>
      <c r="I272" s="932"/>
      <c r="J272" s="932"/>
      <c r="K272" s="932"/>
      <c r="L272" s="933" t="s">
        <v>974</v>
      </c>
      <c r="M272" s="933"/>
      <c r="N272" s="933"/>
      <c r="O272" s="933"/>
      <c r="P272" s="933"/>
      <c r="Q272" s="934" t="s">
        <v>975</v>
      </c>
      <c r="R272" s="934"/>
      <c r="S272" s="934"/>
      <c r="T272" s="934"/>
    </row>
    <row r="273">
      <c r="A273" s="936" t="s">
        <v>976</v>
      </c>
      <c r="B273" s="936" t="s">
        <v>977</v>
      </c>
      <c r="C273" s="937" t="s">
        <v>978</v>
      </c>
      <c r="D273" s="932" t="s">
        <v>979</v>
      </c>
      <c r="E273" s="932" t="s">
        <v>1022</v>
      </c>
      <c r="F273" s="932" t="s">
        <v>1023</v>
      </c>
      <c r="G273" s="938" t="s">
        <v>980</v>
      </c>
      <c r="H273" s="932" t="s">
        <v>981</v>
      </c>
      <c r="I273" s="939" t="s">
        <v>982</v>
      </c>
      <c r="J273" s="940" t="s">
        <v>983</v>
      </c>
      <c r="K273" s="932" t="s">
        <v>984</v>
      </c>
      <c r="L273" s="941" t="s">
        <v>985</v>
      </c>
      <c r="M273" s="941" t="s">
        <v>986</v>
      </c>
      <c r="N273" s="941" t="s">
        <v>987</v>
      </c>
      <c r="O273" s="933" t="s">
        <v>988</v>
      </c>
      <c r="P273" s="933" t="s">
        <v>989</v>
      </c>
      <c r="Q273" s="942" t="s">
        <v>990</v>
      </c>
      <c r="R273" s="943" t="s">
        <v>991</v>
      </c>
      <c r="S273" s="943" t="s">
        <v>992</v>
      </c>
      <c r="T273" s="943" t="s">
        <v>993</v>
      </c>
    </row>
    <row r="274">
      <c r="A274" s="984" t="s">
        <v>1047</v>
      </c>
      <c r="B274" s="985" t="s">
        <v>1036</v>
      </c>
      <c r="C274" s="986" t="s">
        <v>1037</v>
      </c>
      <c r="D274" s="947">
        <f t="shared" ref="D274:D277" si="129">E274+F274</f>
      </c>
      <c r="E274" s="945">
        <v>3076.3</v>
      </c>
      <c r="F274" s="945">
        <v>562.33</v>
      </c>
      <c r="G274" s="958">
        <v>8</v>
      </c>
      <c r="H274" s="945">
        <v>3046.8</v>
      </c>
      <c r="I274" s="948">
        <f t="shared" ref="I274:I284" si="176">H274/D274</f>
      </c>
      <c r="J274" s="948">
        <f t="shared" ref="J274:J284" si="48">D274/G274</f>
      </c>
      <c r="K274" s="948">
        <f t="shared" ref="K274:K284" si="100">H274/G274</f>
      </c>
      <c r="L274" s="949">
        <f t="shared" ref="L274:L284" si="159">R274/Q274</f>
      </c>
      <c r="M274" s="950">
        <f t="shared" ref="M274:M284" si="31">G274/S274</f>
      </c>
      <c r="N274" s="951">
        <f t="shared" ref="N274:N284" si="74">(T274*1000)/D274</f>
      </c>
      <c r="O274" s="978" t="s">
        <v>997</v>
      </c>
      <c r="P274" s="953" t="s">
        <v>1010</v>
      </c>
      <c r="Q274" s="955">
        <v>39278</v>
      </c>
      <c r="R274" s="955">
        <v>4956</v>
      </c>
      <c r="S274" s="955">
        <v>13</v>
      </c>
      <c r="T274" s="955">
        <v>69</v>
      </c>
    </row>
    <row r="275">
      <c r="A275" s="984"/>
      <c r="B275" s="985" t="s">
        <v>1036</v>
      </c>
      <c r="C275" s="986" t="s">
        <v>1038</v>
      </c>
      <c r="D275" s="947">
        <f t="shared" si="129"/>
      </c>
      <c r="E275" s="945">
        <v>8995.94</v>
      </c>
      <c r="F275" s="945">
        <v>497.68</v>
      </c>
      <c r="G275" s="958">
        <v>30</v>
      </c>
      <c r="H275" s="945">
        <v>20044.98</v>
      </c>
      <c r="I275" s="948">
        <f t="shared" si="176"/>
      </c>
      <c r="J275" s="948">
        <f t="shared" si="48"/>
      </c>
      <c r="K275" s="948">
        <f t="shared" si="100"/>
      </c>
      <c r="L275" s="949">
        <f t="shared" si="159"/>
      </c>
      <c r="M275" s="950">
        <f t="shared" si="31"/>
      </c>
      <c r="N275" s="951">
        <f t="shared" si="74"/>
      </c>
      <c r="O275" s="978" t="s">
        <v>997</v>
      </c>
      <c r="P275" s="953" t="s">
        <v>1010</v>
      </c>
      <c r="Q275" s="960">
        <v>104551</v>
      </c>
      <c r="R275" s="960">
        <v>18391</v>
      </c>
      <c r="S275" s="960">
        <v>39</v>
      </c>
      <c r="T275" s="960">
        <v>211</v>
      </c>
    </row>
    <row r="276">
      <c r="A276" s="984"/>
      <c r="B276" s="985" t="s">
        <v>1036</v>
      </c>
      <c r="C276" s="986" t="s">
        <v>1039</v>
      </c>
      <c r="D276" s="947">
        <f t="shared" si="129"/>
      </c>
      <c r="E276" s="945">
        <v>14155.63</v>
      </c>
      <c r="F276" s="945">
        <v>727.17</v>
      </c>
      <c r="G276" s="958">
        <v>67</v>
      </c>
      <c r="H276" s="945">
        <v>34969.16</v>
      </c>
      <c r="I276" s="948">
        <f t="shared" si="176"/>
      </c>
      <c r="J276" s="948">
        <f t="shared" si="48"/>
      </c>
      <c r="K276" s="948">
        <f t="shared" si="100"/>
      </c>
      <c r="L276" s="949">
        <f t="shared" si="159"/>
      </c>
      <c r="M276" s="950">
        <f t="shared" si="31"/>
      </c>
      <c r="N276" s="951">
        <f t="shared" si="74"/>
      </c>
      <c r="O276" s="978" t="s">
        <v>997</v>
      </c>
      <c r="P276" s="953" t="s">
        <v>1010</v>
      </c>
      <c r="Q276" s="960">
        <v>161183</v>
      </c>
      <c r="R276" s="960">
        <v>31440</v>
      </c>
      <c r="S276" s="960">
        <v>81</v>
      </c>
      <c r="T276" s="960">
        <v>369</v>
      </c>
    </row>
    <row r="277">
      <c r="A277" s="984"/>
      <c r="B277" s="985" t="s">
        <v>1036</v>
      </c>
      <c r="C277" s="986" t="s">
        <v>1040</v>
      </c>
      <c r="D277" s="947">
        <f t="shared" si="129"/>
      </c>
      <c r="E277" s="945">
        <v>4613.71</v>
      </c>
      <c r="F277" s="945">
        <v>2028.27</v>
      </c>
      <c r="G277" s="958">
        <v>42</v>
      </c>
      <c r="H277" s="945">
        <v>20333.309999999998</v>
      </c>
      <c r="I277" s="948">
        <f t="shared" si="176"/>
      </c>
      <c r="J277" s="948">
        <f t="shared" si="48"/>
      </c>
      <c r="K277" s="948">
        <f t="shared" si="100"/>
      </c>
      <c r="L277" s="949">
        <f t="shared" si="159"/>
      </c>
      <c r="M277" s="950">
        <f t="shared" si="31"/>
      </c>
      <c r="N277" s="951">
        <f t="shared" si="74"/>
      </c>
      <c r="O277" s="978" t="s">
        <v>997</v>
      </c>
      <c r="P277" s="953" t="s">
        <v>1010</v>
      </c>
      <c r="Q277" s="960">
        <v>80763</v>
      </c>
      <c r="R277" s="960">
        <v>12312</v>
      </c>
      <c r="S277" s="960">
        <v>53</v>
      </c>
      <c r="T277" s="970">
        <v>160</v>
      </c>
    </row>
    <row r="278">
      <c r="A278" s="984"/>
      <c r="B278" s="988" t="s">
        <v>1001</v>
      </c>
      <c r="C278" s="988"/>
      <c r="D278" s="962">
        <f>SUM(D274:D277)</f>
      </c>
      <c r="E278" s="962">
        <f>SUM(E274:E277)</f>
      </c>
      <c r="F278" s="962">
        <f>SUM(F274:F277)</f>
      </c>
      <c r="G278" s="963">
        <f>SUM(G274:G277)</f>
      </c>
      <c r="H278" s="962">
        <f>SUM(H274:H277)</f>
      </c>
      <c r="I278" s="964">
        <f t="shared" si="176"/>
      </c>
      <c r="J278" s="965">
        <f t="shared" si="48"/>
      </c>
      <c r="K278" s="966">
        <f t="shared" si="100"/>
      </c>
      <c r="L278" s="967">
        <f t="shared" si="159"/>
      </c>
      <c r="M278" s="967">
        <f t="shared" si="31"/>
      </c>
      <c r="N278" s="968">
        <f t="shared" si="74"/>
      </c>
      <c r="O278" s="968"/>
      <c r="P278" s="968"/>
      <c r="Q278" s="969">
        <f>SUM(Q274:Q277)</f>
      </c>
      <c r="R278" s="969">
        <f>SUM(R274:R277)</f>
      </c>
      <c r="S278" s="969">
        <f>SUM(S274:S277)</f>
      </c>
      <c r="T278" s="969">
        <f>SUM(T274:T277)</f>
      </c>
    </row>
    <row r="279">
      <c r="A279" s="984"/>
      <c r="B279" s="985" t="s">
        <v>1002</v>
      </c>
      <c r="C279" s="986" t="s">
        <v>1041</v>
      </c>
      <c r="D279" s="947">
        <f t="shared" ref="D279:D282" si="130">E279+F279</f>
      </c>
      <c r="E279" s="945">
        <v>7632.66</v>
      </c>
      <c r="F279" s="945">
        <v>2299.08</v>
      </c>
      <c r="G279" s="958">
        <v>20</v>
      </c>
      <c r="H279" s="945">
        <v>7496.059999999998</v>
      </c>
      <c r="I279" s="948">
        <f t="shared" si="176"/>
      </c>
      <c r="J279" s="948">
        <f t="shared" si="48"/>
      </c>
      <c r="K279" s="948">
        <f t="shared" si="100"/>
      </c>
      <c r="L279" s="949">
        <f t="shared" si="159"/>
      </c>
      <c r="M279" s="950">
        <f t="shared" si="31"/>
      </c>
      <c r="N279" s="951">
        <f t="shared" si="74"/>
      </c>
      <c r="O279" s="978" t="s">
        <v>997</v>
      </c>
      <c r="P279" s="953" t="s">
        <v>1010</v>
      </c>
      <c r="Q279" s="960">
        <v>127524</v>
      </c>
      <c r="R279" s="960">
        <v>17609</v>
      </c>
      <c r="S279" s="960">
        <v>29</v>
      </c>
      <c r="T279" s="970">
        <v>198</v>
      </c>
    </row>
    <row r="280">
      <c r="A280" s="984"/>
      <c r="B280" s="985" t="s">
        <v>1002</v>
      </c>
      <c r="C280" s="986" t="s">
        <v>1042</v>
      </c>
      <c r="D280" s="947">
        <f t="shared" si="130"/>
      </c>
      <c r="E280" s="945">
        <v>3225.87</v>
      </c>
      <c r="F280" s="945">
        <v>1007.99</v>
      </c>
      <c r="G280" s="958">
        <v>19</v>
      </c>
      <c r="H280" s="945">
        <v>10522.839999999997</v>
      </c>
      <c r="I280" s="948">
        <f t="shared" si="176"/>
      </c>
      <c r="J280" s="948">
        <f t="shared" si="48"/>
      </c>
      <c r="K280" s="948">
        <f t="shared" si="100"/>
      </c>
      <c r="L280" s="949">
        <f t="shared" si="159"/>
      </c>
      <c r="M280" s="950">
        <f t="shared" si="31"/>
      </c>
      <c r="N280" s="951">
        <f t="shared" si="74"/>
      </c>
      <c r="O280" s="978" t="s">
        <v>997</v>
      </c>
      <c r="P280" s="953" t="s">
        <v>1010</v>
      </c>
      <c r="Q280" s="960">
        <v>53003</v>
      </c>
      <c r="R280" s="960">
        <v>7277</v>
      </c>
      <c r="S280" s="960">
        <v>21</v>
      </c>
      <c r="T280" s="970">
        <v>87</v>
      </c>
    </row>
    <row r="281">
      <c r="A281" s="984"/>
      <c r="B281" s="985" t="s">
        <v>1002</v>
      </c>
      <c r="C281" s="986" t="s">
        <v>1043</v>
      </c>
      <c r="D281" s="947">
        <f t="shared" si="130"/>
      </c>
      <c r="E281" s="945">
        <v>3510.54</v>
      </c>
      <c r="F281" s="945">
        <v>1319.96</v>
      </c>
      <c r="G281" s="958">
        <v>12</v>
      </c>
      <c r="H281" s="945">
        <v>3505.920000000013</v>
      </c>
      <c r="I281" s="948">
        <f t="shared" si="176"/>
      </c>
      <c r="J281" s="948">
        <f t="shared" si="48"/>
      </c>
      <c r="K281" s="948">
        <f t="shared" si="100"/>
      </c>
      <c r="L281" s="949">
        <f t="shared" si="159"/>
      </c>
      <c r="M281" s="950">
        <f t="shared" si="31"/>
      </c>
      <c r="N281" s="951">
        <f t="shared" si="74"/>
      </c>
      <c r="O281" s="978" t="s">
        <v>997</v>
      </c>
      <c r="P281" s="953" t="s">
        <v>1010</v>
      </c>
      <c r="Q281" s="960">
        <v>70164</v>
      </c>
      <c r="R281" s="960">
        <v>6424</v>
      </c>
      <c r="S281" s="960">
        <v>15</v>
      </c>
      <c r="T281" s="970">
        <v>93</v>
      </c>
    </row>
    <row r="282">
      <c r="A282" s="984"/>
      <c r="B282" s="985" t="s">
        <v>1002</v>
      </c>
      <c r="C282" s="986" t="s">
        <v>1044</v>
      </c>
      <c r="D282" s="947">
        <f t="shared" si="130"/>
      </c>
      <c r="E282" s="945">
        <v>1304.66</v>
      </c>
      <c r="F282" s="945">
        <v>501.51</v>
      </c>
      <c r="G282" s="958">
        <v>1</v>
      </c>
      <c r="H282" s="945">
        <v>195.3799999999901</v>
      </c>
      <c r="I282" s="948">
        <f t="shared" si="176"/>
      </c>
      <c r="J282" s="948">
        <f t="shared" si="48"/>
      </c>
      <c r="K282" s="948">
        <f t="shared" si="100"/>
      </c>
      <c r="L282" s="949">
        <f t="shared" si="159"/>
      </c>
      <c r="M282" s="950">
        <f t="shared" si="31"/>
      </c>
      <c r="N282" s="951">
        <f t="shared" si="74"/>
      </c>
      <c r="O282" s="978" t="s">
        <v>997</v>
      </c>
      <c r="P282" s="953" t="s">
        <v>1010</v>
      </c>
      <c r="Q282" s="960">
        <v>40251</v>
      </c>
      <c r="R282" s="960">
        <v>1447</v>
      </c>
      <c r="S282" s="960">
        <v>4</v>
      </c>
      <c r="T282" s="970">
        <v>35</v>
      </c>
    </row>
    <row r="283">
      <c r="A283" s="984"/>
      <c r="B283" s="989" t="s">
        <v>1001</v>
      </c>
      <c r="C283" s="989"/>
      <c r="D283" s="962">
        <f>SUM(D279:D282)</f>
      </c>
      <c r="E283" s="962">
        <f>SUM(E279:E282)</f>
      </c>
      <c r="F283" s="962">
        <f>SUM(F279:F282)</f>
      </c>
      <c r="G283" s="963">
        <f>SUM(G279:G282)</f>
      </c>
      <c r="H283" s="962">
        <f>SUM(H279:H282)</f>
      </c>
      <c r="I283" s="964">
        <f t="shared" si="176"/>
      </c>
      <c r="J283" s="965">
        <f t="shared" si="48"/>
      </c>
      <c r="K283" s="966">
        <f t="shared" si="100"/>
      </c>
      <c r="L283" s="967">
        <f t="shared" si="159"/>
      </c>
      <c r="M283" s="967">
        <f t="shared" si="31"/>
      </c>
      <c r="N283" s="968">
        <f t="shared" si="74"/>
      </c>
      <c r="O283" s="968"/>
      <c r="P283" s="968"/>
      <c r="Q283" s="969">
        <f>SUM(Q279:Q282)</f>
      </c>
      <c r="R283" s="969">
        <f>SUM(R279:R282)</f>
      </c>
      <c r="S283" s="969">
        <f>SUM(S279:S282)</f>
      </c>
      <c r="T283" s="969">
        <f>SUM(T279:T282)</f>
      </c>
    </row>
    <row r="284">
      <c r="A284" s="984"/>
      <c r="B284" s="973" t="s">
        <v>1006</v>
      </c>
      <c r="C284" s="973"/>
      <c r="D284" s="974">
        <f>D278+D283</f>
      </c>
      <c r="E284" s="974">
        <f>E278+E283</f>
      </c>
      <c r="F284" s="974">
        <f>F278+F283</f>
      </c>
      <c r="G284" s="974">
        <f>G278+G283</f>
      </c>
      <c r="H284" s="974">
        <f>H278+H283</f>
      </c>
      <c r="I284" s="975">
        <f t="shared" si="176"/>
      </c>
      <c r="J284" s="973">
        <f t="shared" si="48"/>
      </c>
      <c r="K284" s="973">
        <f t="shared" si="100"/>
      </c>
      <c r="L284" s="976">
        <f t="shared" si="159"/>
      </c>
      <c r="M284" s="976">
        <f t="shared" si="31"/>
      </c>
      <c r="N284" s="973">
        <f t="shared" si="74"/>
      </c>
      <c r="O284" s="977"/>
      <c r="P284" s="977"/>
      <c r="Q284" s="981">
        <f>Q278+Q283</f>
      </c>
      <c r="R284" s="981">
        <f>R278+R283</f>
      </c>
      <c r="S284" s="974">
        <f>S278+S283</f>
      </c>
      <c r="T284" s="974">
        <f>T278+T283</f>
      </c>
    </row>
    <row r="285">
      <c r="A285" s="931" t="s">
        <v>972</v>
      </c>
      <c r="B285" s="931"/>
      <c r="C285" s="931"/>
      <c r="D285" s="932" t="s">
        <v>973</v>
      </c>
      <c r="E285" s="932"/>
      <c r="F285" s="932"/>
      <c r="G285" s="932"/>
      <c r="H285" s="932"/>
      <c r="I285" s="932"/>
      <c r="J285" s="932"/>
      <c r="K285" s="932"/>
      <c r="L285" s="933" t="s">
        <v>974</v>
      </c>
      <c r="M285" s="933"/>
      <c r="N285" s="933"/>
      <c r="O285" s="933"/>
      <c r="P285" s="933"/>
      <c r="Q285" s="934" t="s">
        <v>975</v>
      </c>
      <c r="R285" s="934"/>
      <c r="S285" s="934"/>
      <c r="T285" s="934"/>
    </row>
    <row r="286">
      <c r="A286" s="936" t="s">
        <v>976</v>
      </c>
      <c r="B286" s="936" t="s">
        <v>977</v>
      </c>
      <c r="C286" s="937" t="s">
        <v>978</v>
      </c>
      <c r="D286" s="932" t="s">
        <v>979</v>
      </c>
      <c r="E286" s="932" t="s">
        <v>1022</v>
      </c>
      <c r="F286" s="932" t="s">
        <v>1023</v>
      </c>
      <c r="G286" s="938" t="s">
        <v>980</v>
      </c>
      <c r="H286" s="932" t="s">
        <v>981</v>
      </c>
      <c r="I286" s="939" t="s">
        <v>982</v>
      </c>
      <c r="J286" s="940" t="s">
        <v>983</v>
      </c>
      <c r="K286" s="932" t="s">
        <v>984</v>
      </c>
      <c r="L286" s="941" t="s">
        <v>985</v>
      </c>
      <c r="M286" s="941" t="s">
        <v>986</v>
      </c>
      <c r="N286" s="941" t="s">
        <v>987</v>
      </c>
      <c r="O286" s="933" t="s">
        <v>988</v>
      </c>
      <c r="P286" s="933" t="s">
        <v>989</v>
      </c>
      <c r="Q286" s="942" t="s">
        <v>990</v>
      </c>
      <c r="R286" s="943" t="s">
        <v>991</v>
      </c>
      <c r="S286" s="943" t="s">
        <v>992</v>
      </c>
      <c r="T286" s="943" t="s">
        <v>993</v>
      </c>
    </row>
    <row r="287">
      <c r="A287" s="984" t="s">
        <v>1048</v>
      </c>
      <c r="B287" s="985" t="s">
        <v>1036</v>
      </c>
      <c r="C287" s="986" t="s">
        <v>1037</v>
      </c>
      <c r="D287" s="947">
        <f t="shared" ref="D287:D291" si="131">E287+F287</f>
      </c>
      <c r="E287" s="945">
        <v>10869.34</v>
      </c>
      <c r="F287" s="945">
        <v>523.09</v>
      </c>
      <c r="G287" s="958">
        <v>36</v>
      </c>
      <c r="H287" s="945">
        <v>17307.36</v>
      </c>
      <c r="I287" s="948">
        <f t="shared" ref="I287:I297" si="177">H287/D287</f>
      </c>
      <c r="J287" s="948">
        <f t="shared" ref="J287:J297" si="49">D287/G287</f>
      </c>
      <c r="K287" s="948">
        <f t="shared" ref="K287:K297" si="101">H287/G287</f>
      </c>
      <c r="L287" s="949">
        <f t="shared" ref="L287:L297" si="160">R287/Q287</f>
      </c>
      <c r="M287" s="950">
        <f t="shared" ref="M287:M297" si="32">G287/S287</f>
      </c>
      <c r="N287" s="951">
        <f t="shared" ref="N287:N297" si="75">(T287*1000)/D287</f>
      </c>
      <c r="O287" s="978" t="s">
        <v>997</v>
      </c>
      <c r="P287" s="953" t="s">
        <v>1010</v>
      </c>
      <c r="Q287" s="955">
        <v>136259</v>
      </c>
      <c r="R287" s="955">
        <v>22644</v>
      </c>
      <c r="S287" s="955">
        <v>46</v>
      </c>
      <c r="T287" s="955">
        <v>296</v>
      </c>
    </row>
    <row r="288">
      <c r="A288" s="984"/>
      <c r="B288" s="985" t="s">
        <v>1036</v>
      </c>
      <c r="C288" s="986" t="s">
        <v>1038</v>
      </c>
      <c r="D288" s="947">
        <f t="shared" si="131"/>
      </c>
      <c r="E288" s="945">
        <v>24628.57</v>
      </c>
      <c r="F288" s="945">
        <v>1440.8</v>
      </c>
      <c r="G288" s="958">
        <v>89</v>
      </c>
      <c r="H288" s="945">
        <v>44746.87</v>
      </c>
      <c r="I288" s="948">
        <f t="shared" si="177"/>
      </c>
      <c r="J288" s="948">
        <f t="shared" si="49"/>
      </c>
      <c r="K288" s="948">
        <f t="shared" si="101"/>
      </c>
      <c r="L288" s="949">
        <f t="shared" si="160"/>
      </c>
      <c r="M288" s="950">
        <f t="shared" si="32"/>
      </c>
      <c r="N288" s="951">
        <f t="shared" si="75"/>
      </c>
      <c r="O288" s="978" t="s">
        <v>997</v>
      </c>
      <c r="P288" s="953" t="s">
        <v>1010</v>
      </c>
      <c r="Q288" s="960">
        <v>297071</v>
      </c>
      <c r="R288" s="960">
        <v>51394</v>
      </c>
      <c r="S288" s="960">
        <v>111</v>
      </c>
      <c r="T288" s="960">
        <v>534</v>
      </c>
    </row>
    <row r="289">
      <c r="A289" s="984"/>
      <c r="B289" s="985" t="s">
        <v>1036</v>
      </c>
      <c r="C289" s="986" t="s">
        <v>1039</v>
      </c>
      <c r="D289" s="947">
        <f t="shared" si="131"/>
      </c>
      <c r="E289" s="945">
        <v>13838.71</v>
      </c>
      <c r="F289" s="945">
        <v>1922.04</v>
      </c>
      <c r="G289" s="958">
        <v>80</v>
      </c>
      <c r="H289" s="945">
        <v>47288.98</v>
      </c>
      <c r="I289" s="948">
        <f t="shared" si="177"/>
      </c>
      <c r="J289" s="948">
        <f t="shared" si="49"/>
      </c>
      <c r="K289" s="948">
        <f t="shared" si="101"/>
      </c>
      <c r="L289" s="949">
        <f t="shared" si="160"/>
      </c>
      <c r="M289" s="950">
        <f t="shared" si="32"/>
      </c>
      <c r="N289" s="951">
        <f t="shared" si="75"/>
      </c>
      <c r="O289" s="978" t="s">
        <v>997</v>
      </c>
      <c r="P289" s="953" t="s">
        <v>1010</v>
      </c>
      <c r="Q289" s="960">
        <v>197582</v>
      </c>
      <c r="R289" s="960">
        <v>34490</v>
      </c>
      <c r="S289" s="960">
        <v>93</v>
      </c>
      <c r="T289" s="960">
        <v>366</v>
      </c>
    </row>
    <row r="290">
      <c r="A290" s="984"/>
      <c r="B290" s="985" t="s">
        <v>1036</v>
      </c>
      <c r="C290" s="986" t="s">
        <v>1040</v>
      </c>
      <c r="D290" s="947">
        <f t="shared" si="131"/>
      </c>
      <c r="E290" s="945">
        <v>4557.69</v>
      </c>
      <c r="F290" s="945">
        <v>876.12</v>
      </c>
      <c r="G290" s="958">
        <v>31</v>
      </c>
      <c r="H290" s="945">
        <v>18645.699999999997</v>
      </c>
      <c r="I290" s="948">
        <f t="shared" si="177"/>
      </c>
      <c r="J290" s="948">
        <f t="shared" si="49"/>
      </c>
      <c r="K290" s="948">
        <f t="shared" si="101"/>
      </c>
      <c r="L290" s="949">
        <f t="shared" si="160"/>
      </c>
      <c r="M290" s="950">
        <f t="shared" si="32"/>
      </c>
      <c r="N290" s="951">
        <f t="shared" si="75"/>
      </c>
      <c r="O290" s="978" t="s">
        <v>997</v>
      </c>
      <c r="P290" s="953" t="s">
        <v>1010</v>
      </c>
      <c r="Q290" s="960">
        <v>62536</v>
      </c>
      <c r="R290" s="960">
        <v>10180</v>
      </c>
      <c r="S290" s="960">
        <v>33</v>
      </c>
      <c r="T290" s="970">
        <v>134</v>
      </c>
    </row>
    <row r="291">
      <c r="A291" s="984"/>
      <c r="B291" s="985" t="s">
        <v>1036</v>
      </c>
      <c r="C291" s="986" t="s">
        <v>1041</v>
      </c>
      <c r="D291" s="947">
        <f t="shared" si="131"/>
      </c>
      <c r="E291" s="945">
        <v>1864.8</v>
      </c>
      <c r="F291" s="945">
        <v>622.38</v>
      </c>
      <c r="G291" s="958">
        <v>6</v>
      </c>
      <c r="H291" s="945">
        <v>4411.720000000001</v>
      </c>
      <c r="I291" s="948">
        <f t="shared" si="177"/>
      </c>
      <c r="J291" s="948">
        <f t="shared" si="49"/>
      </c>
      <c r="K291" s="948">
        <f t="shared" si="101"/>
      </c>
      <c r="L291" s="949">
        <f t="shared" si="160"/>
      </c>
      <c r="M291" s="950">
        <f t="shared" si="32"/>
      </c>
      <c r="N291" s="951">
        <f t="shared" si="75"/>
      </c>
      <c r="O291" s="978" t="s">
        <v>997</v>
      </c>
      <c r="P291" s="953" t="s">
        <v>1010</v>
      </c>
      <c r="Q291" s="960">
        <v>28167</v>
      </c>
      <c r="R291" s="960">
        <v>4037</v>
      </c>
      <c r="S291" s="960">
        <v>6</v>
      </c>
      <c r="T291" s="970">
        <v>63</v>
      </c>
    </row>
    <row r="292">
      <c r="A292" s="984"/>
      <c r="B292" s="988" t="s">
        <v>1001</v>
      </c>
      <c r="C292" s="988"/>
      <c r="D292" s="962">
        <f>SUM(D287:D291)</f>
      </c>
      <c r="E292" s="962">
        <f>SUM(E287:E291)</f>
      </c>
      <c r="F292" s="962">
        <f>SUM(F287:F291)</f>
      </c>
      <c r="G292" s="963">
        <f>SUM(G287:G291)</f>
      </c>
      <c r="H292" s="962">
        <f>SUM(H287:H291)</f>
      </c>
      <c r="I292" s="964">
        <f t="shared" si="177"/>
      </c>
      <c r="J292" s="965">
        <f t="shared" si="49"/>
      </c>
      <c r="K292" s="966">
        <f t="shared" si="101"/>
      </c>
      <c r="L292" s="967">
        <f t="shared" si="160"/>
      </c>
      <c r="M292" s="967">
        <f t="shared" si="32"/>
      </c>
      <c r="N292" s="968">
        <f t="shared" si="75"/>
      </c>
      <c r="O292" s="968"/>
      <c r="P292" s="968"/>
      <c r="Q292" s="969">
        <f>SUM(Q287:Q291)</f>
      </c>
      <c r="R292" s="969">
        <f>SUM(R287:R291)</f>
      </c>
      <c r="S292" s="969">
        <f>SUM(S287:S291)</f>
      </c>
      <c r="T292" s="969">
        <f>SUM(T287:T291)</f>
      </c>
    </row>
    <row r="293">
      <c r="A293" s="984"/>
      <c r="B293" s="985" t="s">
        <v>1002</v>
      </c>
      <c r="C293" s="986" t="s">
        <v>1042</v>
      </c>
      <c r="D293" s="947">
        <f t="shared" ref="D293:D295" si="132">E293+F293</f>
      </c>
      <c r="E293" s="945">
        <v>1445.08</v>
      </c>
      <c r="F293" s="945">
        <v>741.99</v>
      </c>
      <c r="G293" s="958">
        <v>13</v>
      </c>
      <c r="H293" s="945">
        <v>3720.959999999992</v>
      </c>
      <c r="I293" s="948">
        <f t="shared" si="177"/>
      </c>
      <c r="J293" s="948">
        <f t="shared" si="49"/>
      </c>
      <c r="K293" s="948">
        <f t="shared" si="101"/>
      </c>
      <c r="L293" s="949">
        <f t="shared" si="160"/>
      </c>
      <c r="M293" s="950">
        <f t="shared" si="32"/>
      </c>
      <c r="N293" s="951">
        <f t="shared" si="75"/>
      </c>
      <c r="O293" s="978" t="s">
        <v>997</v>
      </c>
      <c r="P293" s="953" t="s">
        <v>1010</v>
      </c>
      <c r="Q293" s="960">
        <v>20552</v>
      </c>
      <c r="R293" s="960">
        <v>3188</v>
      </c>
      <c r="S293" s="960">
        <v>13</v>
      </c>
      <c r="T293" s="970">
        <v>42</v>
      </c>
    </row>
    <row r="294">
      <c r="A294" s="984"/>
      <c r="B294" s="985" t="s">
        <v>1002</v>
      </c>
      <c r="C294" s="986" t="s">
        <v>1043</v>
      </c>
      <c r="D294" s="947">
        <f t="shared" si="132"/>
      </c>
      <c r="E294" s="945">
        <v>1969.86</v>
      </c>
      <c r="F294" s="945">
        <v>1073.21</v>
      </c>
      <c r="G294" s="958">
        <v>15</v>
      </c>
      <c r="H294" s="945">
        <v>9123.600000000006</v>
      </c>
      <c r="I294" s="948">
        <f t="shared" si="177"/>
      </c>
      <c r="J294" s="948">
        <f t="shared" si="49"/>
      </c>
      <c r="K294" s="948">
        <f t="shared" si="101"/>
      </c>
      <c r="L294" s="949">
        <f t="shared" si="160"/>
      </c>
      <c r="M294" s="950">
        <f t="shared" si="32"/>
      </c>
      <c r="N294" s="951">
        <f t="shared" si="75"/>
      </c>
      <c r="O294" s="978" t="s">
        <v>997</v>
      </c>
      <c r="P294" s="953" t="s">
        <v>1010</v>
      </c>
      <c r="Q294" s="960">
        <v>27475</v>
      </c>
      <c r="R294" s="960">
        <v>4012</v>
      </c>
      <c r="S294" s="960">
        <v>16</v>
      </c>
      <c r="T294" s="970">
        <v>55</v>
      </c>
    </row>
    <row r="295">
      <c r="A295" s="984"/>
      <c r="B295" s="985" t="s">
        <v>1002</v>
      </c>
      <c r="C295" s="986" t="s">
        <v>1044</v>
      </c>
      <c r="D295" s="947">
        <f t="shared" si="132"/>
      </c>
      <c r="E295" s="945">
        <v>1870.07</v>
      </c>
      <c r="F295" s="945">
        <v>523.25</v>
      </c>
      <c r="G295" s="958">
        <v>15</v>
      </c>
      <c r="H295" s="945">
        <v>9103.940000000002</v>
      </c>
      <c r="I295" s="948">
        <f t="shared" si="177"/>
      </c>
      <c r="J295" s="948">
        <f t="shared" si="49"/>
      </c>
      <c r="K295" s="948">
        <f t="shared" si="101"/>
      </c>
      <c r="L295" s="949">
        <f t="shared" si="160"/>
      </c>
      <c r="M295" s="950">
        <f t="shared" si="32"/>
      </c>
      <c r="N295" s="951">
        <f t="shared" si="75"/>
      </c>
      <c r="O295" s="978" t="s">
        <v>997</v>
      </c>
      <c r="P295" s="953" t="s">
        <v>1010</v>
      </c>
      <c r="Q295" s="960">
        <v>24998</v>
      </c>
      <c r="R295" s="960">
        <v>3916</v>
      </c>
      <c r="S295" s="960">
        <v>17</v>
      </c>
      <c r="T295" s="970">
        <v>49</v>
      </c>
    </row>
    <row r="296">
      <c r="A296" s="984"/>
      <c r="B296" s="989" t="s">
        <v>1001</v>
      </c>
      <c r="C296" s="989"/>
      <c r="D296" s="962">
        <f>SUM(D293:D295)</f>
      </c>
      <c r="E296" s="962">
        <f>SUM(E293:E295)</f>
      </c>
      <c r="F296" s="962">
        <f>SUM(F293:F295)</f>
      </c>
      <c r="G296" s="963">
        <f>SUM(G293:G295)</f>
      </c>
      <c r="H296" s="962">
        <f>SUM(H293:H295)</f>
      </c>
      <c r="I296" s="964">
        <f t="shared" si="177"/>
      </c>
      <c r="J296" s="965">
        <f t="shared" si="49"/>
      </c>
      <c r="K296" s="966">
        <f t="shared" si="101"/>
      </c>
      <c r="L296" s="967">
        <f t="shared" si="160"/>
      </c>
      <c r="M296" s="967">
        <f t="shared" si="32"/>
      </c>
      <c r="N296" s="968">
        <f t="shared" si="75"/>
      </c>
      <c r="O296" s="968"/>
      <c r="P296" s="968"/>
      <c r="Q296" s="969">
        <f>SUM(Q293:Q295)</f>
      </c>
      <c r="R296" s="969">
        <f>SUM(R293:R295)</f>
      </c>
      <c r="S296" s="969">
        <f>SUM(S293:S295)</f>
      </c>
      <c r="T296" s="969">
        <f>SUM(T293:T295)</f>
      </c>
    </row>
    <row r="297">
      <c r="A297" s="990"/>
      <c r="B297" s="991" t="s">
        <v>1006</v>
      </c>
      <c r="C297" s="991"/>
      <c r="D297" s="981">
        <f>D292+D296</f>
      </c>
      <c r="E297" s="981">
        <f>E292+E296</f>
      </c>
      <c r="F297" s="981">
        <f>F292+F296</f>
      </c>
      <c r="G297" s="981">
        <f>G292+G296</f>
      </c>
      <c r="H297" s="981">
        <f>H292+H296</f>
      </c>
      <c r="I297" s="992">
        <f t="shared" si="177"/>
      </c>
      <c r="J297" s="991">
        <f t="shared" si="49"/>
      </c>
      <c r="K297" s="991">
        <f t="shared" si="101"/>
      </c>
      <c r="L297" s="993">
        <f t="shared" si="160"/>
      </c>
      <c r="M297" s="993">
        <f t="shared" si="32"/>
      </c>
      <c r="N297" s="991">
        <f t="shared" si="75"/>
      </c>
      <c r="O297" s="994"/>
      <c r="P297" s="994"/>
      <c r="Q297" s="981">
        <f>Q292+Q296</f>
      </c>
      <c r="R297" s="981">
        <f>R292+R296</f>
      </c>
      <c r="S297" s="981">
        <f>S292+S296</f>
      </c>
      <c r="T297" s="981">
        <f>T292+T296</f>
      </c>
    </row>
    <row r="298">
      <c r="A298" s="995" t="s">
        <v>972</v>
      </c>
      <c r="B298" s="995"/>
      <c r="C298" s="995"/>
      <c r="D298" s="996" t="s">
        <v>973</v>
      </c>
      <c r="E298" s="996"/>
      <c r="F298" s="996"/>
      <c r="G298" s="996"/>
      <c r="H298" s="996"/>
      <c r="I298" s="996"/>
      <c r="J298" s="996"/>
      <c r="K298" s="996"/>
      <c r="L298" s="997" t="s">
        <v>974</v>
      </c>
      <c r="M298" s="997"/>
      <c r="N298" s="997"/>
      <c r="O298" s="997"/>
      <c r="P298" s="997"/>
      <c r="Q298" s="998" t="s">
        <v>975</v>
      </c>
      <c r="R298" s="998"/>
      <c r="S298" s="998"/>
      <c r="T298" s="998"/>
      <c r="U298" s="999"/>
    </row>
    <row r="299">
      <c r="A299" s="1000" t="s">
        <v>976</v>
      </c>
      <c r="B299" s="1000" t="s">
        <v>977</v>
      </c>
      <c r="C299" s="1000" t="s">
        <v>978</v>
      </c>
      <c r="D299" s="996" t="s">
        <v>979</v>
      </c>
      <c r="E299" s="996" t="s">
        <v>1022</v>
      </c>
      <c r="F299" s="996" t="s">
        <v>1023</v>
      </c>
      <c r="G299" s="1001" t="s">
        <v>980</v>
      </c>
      <c r="H299" s="996" t="s">
        <v>981</v>
      </c>
      <c r="I299" s="1002" t="s">
        <v>982</v>
      </c>
      <c r="J299" s="1003" t="s">
        <v>983</v>
      </c>
      <c r="K299" s="996" t="s">
        <v>984</v>
      </c>
      <c r="L299" s="1004" t="s">
        <v>985</v>
      </c>
      <c r="M299" s="1004" t="s">
        <v>986</v>
      </c>
      <c r="N299" s="1004" t="s">
        <v>987</v>
      </c>
      <c r="O299" s="997" t="s">
        <v>988</v>
      </c>
      <c r="P299" s="997" t="s">
        <v>989</v>
      </c>
      <c r="Q299" s="1005" t="s">
        <v>990</v>
      </c>
      <c r="R299" s="1005" t="s">
        <v>991</v>
      </c>
      <c r="S299" s="1005" t="s">
        <v>992</v>
      </c>
      <c r="T299" s="1005" t="s">
        <v>993</v>
      </c>
      <c r="U299" s="999"/>
    </row>
    <row r="300">
      <c r="A300" s="1006" t="s">
        <v>1049</v>
      </c>
      <c r="B300" s="985" t="s">
        <v>1036</v>
      </c>
      <c r="C300" s="1007" t="s">
        <v>1037</v>
      </c>
      <c r="D300" s="1007">
        <f t="shared" ref="D300:D303" si="133">E300+F300</f>
      </c>
      <c r="E300" s="1008">
        <v>1870.05</v>
      </c>
      <c r="F300" s="1008">
        <v>474.51</v>
      </c>
      <c r="G300" s="1009">
        <v>6</v>
      </c>
      <c r="H300" s="1008">
        <v>1733.3</v>
      </c>
      <c r="I300" s="1010">
        <f t="shared" ref="I300:I310" si="178">H300/D300</f>
      </c>
      <c r="J300" s="1010">
        <f t="shared" ref="J300:J310" si="50">D300/G300</f>
      </c>
      <c r="K300" s="1010">
        <f t="shared" ref="K300:K310" si="102">H300/G300</f>
      </c>
      <c r="L300" s="1011">
        <f t="shared" ref="L300:L310" si="161">R300/Q300</f>
      </c>
      <c r="M300" s="1012">
        <f t="shared" ref="M300:M310" si="33">G300/S300</f>
      </c>
      <c r="N300" s="1013">
        <f t="shared" ref="N300:N310" si="76">(T300*1000)/D300</f>
      </c>
      <c r="O300" s="1014" t="s">
        <v>997</v>
      </c>
      <c r="P300" s="1015" t="s">
        <v>1010</v>
      </c>
      <c r="Q300" s="1016">
        <v>24642</v>
      </c>
      <c r="R300" s="1016">
        <v>3701</v>
      </c>
      <c r="S300" s="1016">
        <v>10</v>
      </c>
      <c r="T300" s="1016">
        <v>56</v>
      </c>
      <c r="U300" s="999"/>
    </row>
    <row r="301">
      <c r="A301" s="1006"/>
      <c r="B301" s="985" t="s">
        <v>1036</v>
      </c>
      <c r="C301" s="1007" t="s">
        <v>1038</v>
      </c>
      <c r="D301" s="1007">
        <f t="shared" si="133"/>
      </c>
      <c r="E301" s="1008">
        <v>2402.97</v>
      </c>
      <c r="F301" s="1008">
        <v>760.48</v>
      </c>
      <c r="G301" s="1009">
        <v>9</v>
      </c>
      <c r="H301" s="1008">
        <v>4672.5599999999995</v>
      </c>
      <c r="I301" s="1010">
        <f t="shared" si="178"/>
      </c>
      <c r="J301" s="1010">
        <f t="shared" si="50"/>
      </c>
      <c r="K301" s="1010">
        <f t="shared" si="102"/>
      </c>
      <c r="L301" s="1011">
        <f t="shared" si="161"/>
      </c>
      <c r="M301" s="1012">
        <f t="shared" si="33"/>
      </c>
      <c r="N301" s="1013">
        <f t="shared" si="76"/>
      </c>
      <c r="O301" s="1014" t="s">
        <v>997</v>
      </c>
      <c r="P301" s="1015" t="s">
        <v>1010</v>
      </c>
      <c r="Q301" s="1016">
        <v>36377</v>
      </c>
      <c r="R301" s="1016">
        <v>5715</v>
      </c>
      <c r="S301" s="1016">
        <v>12</v>
      </c>
      <c r="T301" s="1016">
        <v>105</v>
      </c>
      <c r="U301" s="999"/>
    </row>
    <row r="302">
      <c r="A302" s="1006"/>
      <c r="B302" s="985" t="s">
        <v>1036</v>
      </c>
      <c r="C302" s="1007" t="s">
        <v>1039</v>
      </c>
      <c r="D302" s="1007">
        <f t="shared" si="133"/>
      </c>
      <c r="E302" s="1008">
        <v>3687.97</v>
      </c>
      <c r="F302" s="1008">
        <v>765.42</v>
      </c>
      <c r="G302" s="1009">
        <v>15</v>
      </c>
      <c r="H302" s="1008">
        <v>5056.820000000001</v>
      </c>
      <c r="I302" s="1010">
        <f t="shared" si="178"/>
      </c>
      <c r="J302" s="1010">
        <f t="shared" si="50"/>
      </c>
      <c r="K302" s="1010">
        <f t="shared" si="102"/>
      </c>
      <c r="L302" s="1011">
        <f t="shared" si="161"/>
      </c>
      <c r="M302" s="1012">
        <f t="shared" si="33"/>
      </c>
      <c r="N302" s="1013">
        <f t="shared" si="76"/>
      </c>
      <c r="O302" s="1014" t="s">
        <v>997</v>
      </c>
      <c r="P302" s="1015" t="s">
        <v>1010</v>
      </c>
      <c r="Q302" s="1016">
        <v>53639</v>
      </c>
      <c r="R302" s="1016">
        <v>8185</v>
      </c>
      <c r="S302" s="1016">
        <v>16</v>
      </c>
      <c r="T302" s="1016">
        <v>123</v>
      </c>
      <c r="U302" s="999"/>
    </row>
    <row r="303">
      <c r="A303" s="1006"/>
      <c r="B303" s="985" t="s">
        <v>1036</v>
      </c>
      <c r="C303" s="1007" t="s">
        <v>1040</v>
      </c>
      <c r="D303" s="1007">
        <f t="shared" si="133"/>
      </c>
      <c r="E303" s="1008">
        <v>5798.73</v>
      </c>
      <c r="F303" s="1008">
        <v>626.41</v>
      </c>
      <c r="G303" s="1009">
        <v>20</v>
      </c>
      <c r="H303" s="1008">
        <v>13315.619999999999</v>
      </c>
      <c r="I303" s="1010">
        <f t="shared" si="178"/>
      </c>
      <c r="J303" s="1010">
        <f t="shared" si="50"/>
      </c>
      <c r="K303" s="1010">
        <f t="shared" si="102"/>
      </c>
      <c r="L303" s="1011">
        <f t="shared" si="161"/>
      </c>
      <c r="M303" s="1012">
        <f t="shared" si="33"/>
      </c>
      <c r="N303" s="1013">
        <f t="shared" si="76"/>
      </c>
      <c r="O303" s="1014" t="s">
        <v>997</v>
      </c>
      <c r="P303" s="1015" t="s">
        <v>1010</v>
      </c>
      <c r="Q303" s="1016">
        <v>77226</v>
      </c>
      <c r="R303" s="1016">
        <v>11641</v>
      </c>
      <c r="S303" s="1016">
        <v>27</v>
      </c>
      <c r="T303" s="1016">
        <v>155</v>
      </c>
      <c r="U303" s="999"/>
    </row>
    <row r="304">
      <c r="A304" s="1006"/>
      <c r="B304" s="1017" t="s">
        <v>1001</v>
      </c>
      <c r="C304" s="1017"/>
      <c r="D304" s="1018">
        <f>SUM(D300:D303)</f>
      </c>
      <c r="E304" s="1018">
        <f>SUM(E300:E303)</f>
      </c>
      <c r="F304" s="1018">
        <f>SUM(F300:F303)</f>
      </c>
      <c r="G304" s="1019">
        <f>SUM(G300:G303)</f>
      </c>
      <c r="H304" s="1018">
        <f>SUM(H300:H303)</f>
      </c>
      <c r="I304" s="1020">
        <f t="shared" si="178"/>
      </c>
      <c r="J304" s="1021">
        <f t="shared" si="50"/>
      </c>
      <c r="K304" s="1022">
        <f t="shared" si="102"/>
      </c>
      <c r="L304" s="1023">
        <f t="shared" si="161"/>
      </c>
      <c r="M304" s="1023">
        <f t="shared" si="33"/>
      </c>
      <c r="N304" s="1024">
        <f t="shared" si="76"/>
      </c>
      <c r="O304" s="1024"/>
      <c r="P304" s="1024"/>
      <c r="Q304" s="1025">
        <f>SUM(Q300:Q303)</f>
      </c>
      <c r="R304" s="1025">
        <f>SUM(R300:R303)</f>
      </c>
      <c r="S304" s="1025">
        <f>SUM(S300:S303)</f>
      </c>
      <c r="T304" s="1025">
        <f>SUM(T300:T303)</f>
      </c>
      <c r="U304" s="999"/>
    </row>
    <row r="305">
      <c r="A305" s="1006"/>
      <c r="B305" s="985" t="s">
        <v>1008</v>
      </c>
      <c r="C305" s="1007" t="s">
        <v>1041</v>
      </c>
      <c r="D305" s="1007">
        <f t="shared" ref="D305:D308" si="134">E305+F305</f>
      </c>
      <c r="E305" s="1008">
        <v>3657.29</v>
      </c>
      <c r="F305" s="1008">
        <v>501.88</v>
      </c>
      <c r="G305" s="1009">
        <v>13</v>
      </c>
      <c r="H305" s="1008">
        <v>6911.560000000001</v>
      </c>
      <c r="I305" s="1010">
        <f t="shared" si="178"/>
      </c>
      <c r="J305" s="1010">
        <f t="shared" si="50"/>
      </c>
      <c r="K305" s="1010">
        <f t="shared" si="102"/>
      </c>
      <c r="L305" s="1011">
        <f t="shared" si="161"/>
      </c>
      <c r="M305" s="1012">
        <f t="shared" si="33"/>
      </c>
      <c r="N305" s="1013">
        <f t="shared" si="76"/>
      </c>
      <c r="O305" s="1014" t="s">
        <v>997</v>
      </c>
      <c r="P305" s="1015" t="s">
        <v>1010</v>
      </c>
      <c r="Q305" s="1016">
        <v>43146</v>
      </c>
      <c r="R305" s="1016">
        <v>6850</v>
      </c>
      <c r="S305" s="1016">
        <v>16</v>
      </c>
      <c r="T305" s="1016">
        <v>83</v>
      </c>
      <c r="U305" s="999"/>
    </row>
    <row r="306">
      <c r="A306" s="1006"/>
      <c r="B306" s="985" t="s">
        <v>1008</v>
      </c>
      <c r="C306" s="1007" t="s">
        <v>1042</v>
      </c>
      <c r="D306" s="1007">
        <f t="shared" si="134"/>
      </c>
      <c r="E306" s="1008">
        <v>2749.01</v>
      </c>
      <c r="F306" s="1008">
        <v>224.15</v>
      </c>
      <c r="G306" s="1009">
        <v>12</v>
      </c>
      <c r="H306" s="1008">
        <v>7002.9000000000015</v>
      </c>
      <c r="I306" s="1010">
        <f t="shared" si="178"/>
      </c>
      <c r="J306" s="1010">
        <f t="shared" si="50"/>
      </c>
      <c r="K306" s="1010">
        <f t="shared" si="102"/>
      </c>
      <c r="L306" s="1011">
        <f t="shared" si="161"/>
      </c>
      <c r="M306" s="1012">
        <f t="shared" si="33"/>
      </c>
      <c r="N306" s="1013">
        <f t="shared" si="76"/>
      </c>
      <c r="O306" s="1014" t="s">
        <v>997</v>
      </c>
      <c r="P306" s="1015" t="s">
        <v>1010</v>
      </c>
      <c r="Q306" s="1016">
        <v>30375</v>
      </c>
      <c r="R306" s="1016">
        <v>4724</v>
      </c>
      <c r="S306" s="1016">
        <v>15</v>
      </c>
      <c r="T306" s="1016">
        <v>66</v>
      </c>
      <c r="U306" s="999"/>
    </row>
    <row r="307">
      <c r="A307" s="1006"/>
      <c r="B307" s="985" t="s">
        <v>1008</v>
      </c>
      <c r="C307" s="1007" t="s">
        <v>1043</v>
      </c>
      <c r="D307" s="1007">
        <f t="shared" si="134"/>
      </c>
      <c r="E307" s="1008">
        <v>2708.91</v>
      </c>
      <c r="F307" s="1008">
        <v>269.6</v>
      </c>
      <c r="G307" s="1009">
        <v>13</v>
      </c>
      <c r="H307" s="1008">
        <v>9109.559999999998</v>
      </c>
      <c r="I307" s="1010">
        <f t="shared" si="178"/>
      </c>
      <c r="J307" s="1010">
        <f t="shared" si="50"/>
      </c>
      <c r="K307" s="1010">
        <f t="shared" si="102"/>
      </c>
      <c r="L307" s="1011">
        <f t="shared" si="161"/>
      </c>
      <c r="M307" s="1012">
        <f t="shared" si="33"/>
      </c>
      <c r="N307" s="1013">
        <f t="shared" si="76"/>
      </c>
      <c r="O307" s="1014" t="s">
        <v>997</v>
      </c>
      <c r="P307" s="1015" t="s">
        <v>1010</v>
      </c>
      <c r="Q307" s="1016">
        <v>35004</v>
      </c>
      <c r="R307" s="1016">
        <v>4888</v>
      </c>
      <c r="S307" s="1016">
        <v>14</v>
      </c>
      <c r="T307" s="1016">
        <v>73</v>
      </c>
      <c r="U307" s="999"/>
    </row>
    <row r="308">
      <c r="A308" s="1006"/>
      <c r="B308" s="985" t="s">
        <v>1008</v>
      </c>
      <c r="C308" s="1007" t="s">
        <v>1044</v>
      </c>
      <c r="D308" s="1007">
        <f t="shared" si="134"/>
      </c>
      <c r="E308" s="1008">
        <v>1514.21</v>
      </c>
      <c r="F308" s="1008">
        <v>257.19</v>
      </c>
      <c r="G308" s="1009">
        <v>11</v>
      </c>
      <c r="H308" s="1008">
        <v>5845.940000000002</v>
      </c>
      <c r="I308" s="1010">
        <f t="shared" si="178"/>
      </c>
      <c r="J308" s="1010">
        <f t="shared" si="50"/>
      </c>
      <c r="K308" s="1010">
        <f t="shared" si="102"/>
      </c>
      <c r="L308" s="1011">
        <f t="shared" si="161"/>
      </c>
      <c r="M308" s="1012">
        <f t="shared" si="33"/>
      </c>
      <c r="N308" s="1013">
        <f t="shared" si="76"/>
      </c>
      <c r="O308" s="1014" t="s">
        <v>997</v>
      </c>
      <c r="P308" s="1015" t="s">
        <v>1010</v>
      </c>
      <c r="Q308" s="1016">
        <v>22089</v>
      </c>
      <c r="R308" s="1016">
        <v>3303</v>
      </c>
      <c r="S308" s="1016">
        <v>13</v>
      </c>
      <c r="T308" s="1016">
        <v>53</v>
      </c>
      <c r="U308" s="999"/>
    </row>
    <row r="309">
      <c r="A309" s="1006"/>
      <c r="B309" s="1026" t="s">
        <v>1001</v>
      </c>
      <c r="C309" s="1026"/>
      <c r="D309" s="1018">
        <f>SUM(D305:D308)</f>
      </c>
      <c r="E309" s="1018">
        <f>SUM(E305:E308)</f>
      </c>
      <c r="F309" s="1018">
        <f>SUM(F305:F308)</f>
      </c>
      <c r="G309" s="1019">
        <f>SUM(G305:G308)</f>
      </c>
      <c r="H309" s="1018">
        <f>SUM(H305:H308)</f>
      </c>
      <c r="I309" s="1020">
        <f t="shared" si="178"/>
      </c>
      <c r="J309" s="1021">
        <f t="shared" si="50"/>
      </c>
      <c r="K309" s="1022">
        <f t="shared" si="102"/>
      </c>
      <c r="L309" s="1023">
        <f t="shared" si="161"/>
      </c>
      <c r="M309" s="1023">
        <f t="shared" si="33"/>
      </c>
      <c r="N309" s="1024">
        <f t="shared" si="76"/>
      </c>
      <c r="O309" s="1024"/>
      <c r="P309" s="1024"/>
      <c r="Q309" s="1025">
        <f>SUM(Q305:Q308)</f>
      </c>
      <c r="R309" s="1025">
        <f>SUM(R305:R308)</f>
      </c>
      <c r="S309" s="1025">
        <f>SUM(S305:S308)</f>
      </c>
      <c r="T309" s="1025">
        <f>SUM(T305:T308)</f>
      </c>
      <c r="U309" s="999"/>
    </row>
    <row r="310">
      <c r="A310" s="1006"/>
      <c r="B310" s="1027" t="s">
        <v>1006</v>
      </c>
      <c r="C310" s="1027"/>
      <c r="D310" s="1028">
        <f>D304+D309</f>
      </c>
      <c r="E310" s="1028">
        <f>E304+E309</f>
      </c>
      <c r="F310" s="1028">
        <f>F304+F309</f>
      </c>
      <c r="G310" s="1028">
        <f>G304+G309</f>
      </c>
      <c r="H310" s="1028">
        <f>H304+H309</f>
      </c>
      <c r="I310" s="1027">
        <f t="shared" si="178"/>
      </c>
      <c r="J310" s="1027">
        <f t="shared" si="50"/>
      </c>
      <c r="K310" s="1027">
        <f t="shared" si="102"/>
      </c>
      <c r="L310" s="1029">
        <f t="shared" si="161"/>
      </c>
      <c r="M310" s="1029">
        <f t="shared" si="33"/>
      </c>
      <c r="N310" s="1027">
        <f t="shared" si="76"/>
      </c>
      <c r="O310" s="1030"/>
      <c r="P310" s="1030"/>
      <c r="Q310" s="1028">
        <f>Q304+Q309</f>
      </c>
      <c r="R310" s="1028">
        <f>R304+R309</f>
      </c>
      <c r="S310" s="1028">
        <f>S304+S309</f>
      </c>
      <c r="T310" s="1028">
        <f>T304+T309</f>
      </c>
      <c r="U310" s="999"/>
    </row>
    <row r="311">
      <c r="A311" s="995" t="s">
        <v>972</v>
      </c>
      <c r="B311" s="995"/>
      <c r="C311" s="995"/>
      <c r="D311" s="996" t="s">
        <v>973</v>
      </c>
      <c r="E311" s="996"/>
      <c r="F311" s="996"/>
      <c r="G311" s="996"/>
      <c r="H311" s="996"/>
      <c r="I311" s="996"/>
      <c r="J311" s="996"/>
      <c r="K311" s="996"/>
      <c r="L311" s="997" t="s">
        <v>974</v>
      </c>
      <c r="M311" s="997"/>
      <c r="N311" s="997"/>
      <c r="O311" s="997"/>
      <c r="P311" s="997"/>
      <c r="Q311" s="998" t="s">
        <v>975</v>
      </c>
      <c r="R311" s="998"/>
      <c r="S311" s="998"/>
      <c r="T311" s="998"/>
    </row>
    <row r="312">
      <c r="A312" s="1000" t="s">
        <v>976</v>
      </c>
      <c r="B312" s="1000" t="s">
        <v>977</v>
      </c>
      <c r="C312" s="1000" t="s">
        <v>978</v>
      </c>
      <c r="D312" s="996" t="s">
        <v>979</v>
      </c>
      <c r="E312" s="996" t="s">
        <v>1022</v>
      </c>
      <c r="F312" s="996" t="s">
        <v>1023</v>
      </c>
      <c r="G312" s="1001" t="s">
        <v>980</v>
      </c>
      <c r="H312" s="996" t="s">
        <v>981</v>
      </c>
      <c r="I312" s="1002" t="s">
        <v>982</v>
      </c>
      <c r="J312" s="1003" t="s">
        <v>983</v>
      </c>
      <c r="K312" s="996" t="s">
        <v>984</v>
      </c>
      <c r="L312" s="1004" t="s">
        <v>985</v>
      </c>
      <c r="M312" s="1004" t="s">
        <v>986</v>
      </c>
      <c r="N312" s="1004" t="s">
        <v>987</v>
      </c>
      <c r="O312" s="997" t="s">
        <v>988</v>
      </c>
      <c r="P312" s="997" t="s">
        <v>989</v>
      </c>
      <c r="Q312" s="1005" t="s">
        <v>990</v>
      </c>
      <c r="R312" s="1005" t="s">
        <v>991</v>
      </c>
      <c r="S312" s="1005" t="s">
        <v>992</v>
      </c>
      <c r="T312" s="1005" t="s">
        <v>993</v>
      </c>
    </row>
    <row r="313">
      <c r="A313" s="1006" t="s">
        <v>1050</v>
      </c>
      <c r="B313" s="985" t="s">
        <v>1036</v>
      </c>
      <c r="C313" s="1031" t="s">
        <v>1051</v>
      </c>
      <c r="D313" s="1007">
        <f t="shared" ref="D313:D317" si="135">E313+F313</f>
      </c>
      <c r="E313" s="1008">
        <v>14968.64</v>
      </c>
      <c r="F313" s="1008">
        <v>1020.58</v>
      </c>
      <c r="G313" s="1009">
        <v>51</v>
      </c>
      <c r="H313" s="1008">
        <v>26384.28</v>
      </c>
      <c r="I313" s="1010">
        <f t="shared" ref="I313:I324" si="179">H313/D313</f>
      </c>
      <c r="J313" s="1010">
        <f t="shared" ref="J313:J324" si="51">D313/G313</f>
      </c>
      <c r="K313" s="1010">
        <f t="shared" ref="K313:K324" si="103">H313/G313</f>
      </c>
      <c r="L313" s="1011">
        <f t="shared" ref="L313:L324" si="162">R313/Q313</f>
      </c>
      <c r="M313" s="1012">
        <f t="shared" ref="M313:M324" si="34">G313/S313</f>
      </c>
      <c r="N313" s="1013">
        <f t="shared" ref="N313:N324" si="77">(T313*1000)/D313</f>
      </c>
      <c r="O313" s="1014" t="s">
        <v>997</v>
      </c>
      <c r="P313" s="1015" t="s">
        <v>1010</v>
      </c>
      <c r="Q313" s="1016">
        <v>218927</v>
      </c>
      <c r="R313" s="1016">
        <v>30627</v>
      </c>
      <c r="S313" s="1016">
        <v>74</v>
      </c>
      <c r="T313" s="1016">
        <v>375</v>
      </c>
    </row>
    <row r="314">
      <c r="A314" s="1006"/>
      <c r="B314" s="985" t="s">
        <v>1036</v>
      </c>
      <c r="C314" s="1007" t="s">
        <v>1037</v>
      </c>
      <c r="D314" s="1007">
        <f t="shared" si="135"/>
      </c>
      <c r="E314" s="1008">
        <v>51928.53</v>
      </c>
      <c r="F314" s="1008">
        <v>2945.76</v>
      </c>
      <c r="G314" s="1009">
        <v>224</v>
      </c>
      <c r="H314" s="1008">
        <v>124217.38</v>
      </c>
      <c r="I314" s="1010">
        <f t="shared" si="179"/>
      </c>
      <c r="J314" s="1010">
        <f t="shared" si="51"/>
      </c>
      <c r="K314" s="1010">
        <f t="shared" si="103"/>
      </c>
      <c r="L314" s="1011">
        <f t="shared" si="162"/>
      </c>
      <c r="M314" s="1012">
        <f t="shared" si="34"/>
      </c>
      <c r="N314" s="1013">
        <f t="shared" si="77"/>
      </c>
      <c r="O314" s="1014" t="s">
        <v>997</v>
      </c>
      <c r="P314" s="1015" t="s">
        <v>1010</v>
      </c>
      <c r="Q314" s="1016">
        <v>834235</v>
      </c>
      <c r="R314" s="1016">
        <v>104644</v>
      </c>
      <c r="S314" s="1016">
        <v>275</v>
      </c>
      <c r="T314" s="1016">
        <v>1521</v>
      </c>
    </row>
    <row r="315">
      <c r="A315" s="1006"/>
      <c r="B315" s="985" t="s">
        <v>1036</v>
      </c>
      <c r="C315" s="1007" t="s">
        <v>1038</v>
      </c>
      <c r="D315" s="1007">
        <f t="shared" si="135"/>
      </c>
      <c r="E315" s="1008">
        <v>73380.44</v>
      </c>
      <c r="F315" s="1008">
        <v>4193.31</v>
      </c>
      <c r="G315" s="1009">
        <v>295</v>
      </c>
      <c r="H315" s="1008">
        <v>147105.18999999997</v>
      </c>
      <c r="I315" s="1010">
        <f t="shared" si="179"/>
      </c>
      <c r="J315" s="1010">
        <f t="shared" si="51"/>
      </c>
      <c r="K315" s="1010">
        <f t="shared" si="103"/>
      </c>
      <c r="L315" s="1011">
        <f t="shared" si="162"/>
      </c>
      <c r="M315" s="1012">
        <f t="shared" si="34"/>
      </c>
      <c r="N315" s="1013">
        <f t="shared" si="77"/>
      </c>
      <c r="O315" s="1014" t="s">
        <v>997</v>
      </c>
      <c r="P315" s="1015" t="s">
        <v>1010</v>
      </c>
      <c r="Q315" s="1016">
        <v>1245192</v>
      </c>
      <c r="R315" s="1016">
        <v>159290</v>
      </c>
      <c r="S315" s="1016">
        <v>346</v>
      </c>
      <c r="T315" s="1016">
        <v>1327</v>
      </c>
    </row>
    <row r="316">
      <c r="A316" s="1006"/>
      <c r="B316" s="985" t="s">
        <v>1036</v>
      </c>
      <c r="C316" s="1007" t="s">
        <v>1039</v>
      </c>
      <c r="D316" s="1007">
        <f t="shared" si="135"/>
      </c>
      <c r="E316" s="1008">
        <v>69536.51</v>
      </c>
      <c r="F316" s="1008">
        <v>4897.48</v>
      </c>
      <c r="G316" s="1009">
        <v>305</v>
      </c>
      <c r="H316" s="1008">
        <v>155494.11000000004</v>
      </c>
      <c r="I316" s="1010">
        <f t="shared" si="179"/>
      </c>
      <c r="J316" s="1010">
        <f t="shared" si="51"/>
      </c>
      <c r="K316" s="1010">
        <f t="shared" si="103"/>
      </c>
      <c r="L316" s="1011">
        <f t="shared" si="162"/>
      </c>
      <c r="M316" s="1012">
        <f t="shared" si="34"/>
      </c>
      <c r="N316" s="1013">
        <f t="shared" si="77"/>
      </c>
      <c r="O316" s="1014" t="s">
        <v>997</v>
      </c>
      <c r="P316" s="1015" t="s">
        <v>1010</v>
      </c>
      <c r="Q316" s="1016">
        <v>1201082</v>
      </c>
      <c r="R316" s="1016">
        <v>146726</v>
      </c>
      <c r="S316" s="1016">
        <v>351</v>
      </c>
      <c r="T316" s="1016">
        <v>1230</v>
      </c>
    </row>
    <row r="317">
      <c r="A317" s="1006"/>
      <c r="B317" s="985" t="s">
        <v>1036</v>
      </c>
      <c r="C317" s="1007" t="s">
        <v>1040</v>
      </c>
      <c r="D317" s="1007">
        <f t="shared" si="135"/>
      </c>
      <c r="E317" s="1008">
        <v>14533.89</v>
      </c>
      <c r="F317" s="1008">
        <v>853.3</v>
      </c>
      <c r="G317" s="1009">
        <v>97</v>
      </c>
      <c r="H317" s="1008">
        <v>49125.59999999998</v>
      </c>
      <c r="I317" s="1010">
        <f t="shared" si="179"/>
      </c>
      <c r="J317" s="1010">
        <f t="shared" si="51"/>
      </c>
      <c r="K317" s="1010">
        <f t="shared" si="103"/>
      </c>
      <c r="L317" s="1011">
        <f t="shared" si="162"/>
      </c>
      <c r="M317" s="1012">
        <f t="shared" si="34"/>
      </c>
      <c r="N317" s="1013">
        <f t="shared" si="77"/>
      </c>
      <c r="O317" s="1014" t="s">
        <v>997</v>
      </c>
      <c r="P317" s="1015" t="s">
        <v>1010</v>
      </c>
      <c r="Q317" s="1016">
        <v>255162</v>
      </c>
      <c r="R317" s="1016">
        <v>29269</v>
      </c>
      <c r="S317" s="1016">
        <v>112</v>
      </c>
      <c r="T317" s="1016">
        <v>144</v>
      </c>
    </row>
    <row r="318">
      <c r="A318" s="1006"/>
      <c r="B318" s="1017" t="s">
        <v>1001</v>
      </c>
      <c r="C318" s="1017"/>
      <c r="D318" s="1018">
        <f>SUM(D313:D317)</f>
      </c>
      <c r="E318" s="1018">
        <f>SUM(E313:E317)</f>
      </c>
      <c r="F318" s="1018">
        <f>SUM(F313:F317)</f>
      </c>
      <c r="G318" s="1019">
        <f>SUM(G313:G317)</f>
      </c>
      <c r="H318" s="1018">
        <f>SUM(H313:H317)</f>
      </c>
      <c r="I318" s="1020">
        <f t="shared" si="179"/>
      </c>
      <c r="J318" s="1021">
        <f t="shared" si="51"/>
      </c>
      <c r="K318" s="1022">
        <f t="shared" si="103"/>
      </c>
      <c r="L318" s="1023">
        <f t="shared" si="162"/>
      </c>
      <c r="M318" s="1023">
        <f t="shared" si="34"/>
      </c>
      <c r="N318" s="1024">
        <f t="shared" si="77"/>
      </c>
      <c r="O318" s="1024"/>
      <c r="P318" s="1024"/>
      <c r="Q318" s="1025">
        <f>SUM(Q313:Q317)</f>
      </c>
      <c r="R318" s="1025">
        <f>SUM(R313:R317)</f>
      </c>
      <c r="S318" s="1025">
        <f>SUM(S313:S317)</f>
      </c>
      <c r="T318" s="1025">
        <f>SUM(T313:T317)</f>
      </c>
    </row>
    <row r="319">
      <c r="A319" s="1006"/>
      <c r="B319" s="985" t="s">
        <v>1052</v>
      </c>
      <c r="C319" s="1008" t="s">
        <v>1053</v>
      </c>
      <c r="D319" s="1007">
        <f t="shared" ref="D319:D322" si="136">E319+F319</f>
      </c>
      <c r="E319" s="1008">
        <v>21887.67</v>
      </c>
      <c r="F319" s="1008">
        <v>1447.73</v>
      </c>
      <c r="G319" s="1009">
        <v>30</v>
      </c>
      <c r="H319" s="1008">
        <v>12312.460000000021</v>
      </c>
      <c r="I319" s="1010">
        <f t="shared" si="179"/>
      </c>
      <c r="J319" s="1010">
        <f t="shared" si="51"/>
      </c>
      <c r="K319" s="1010">
        <f t="shared" si="103"/>
      </c>
      <c r="L319" s="1011">
        <f t="shared" si="162"/>
      </c>
      <c r="M319" s="1012">
        <f t="shared" si="34"/>
      </c>
      <c r="N319" s="1013">
        <f t="shared" si="77"/>
      </c>
      <c r="O319" s="1014" t="s">
        <v>997</v>
      </c>
      <c r="P319" s="1015" t="s">
        <v>1010</v>
      </c>
      <c r="Q319" s="1016">
        <v>375760</v>
      </c>
      <c r="R319" s="1016">
        <v>42637</v>
      </c>
      <c r="S319" s="1016">
        <v>38</v>
      </c>
      <c r="T319" s="1016">
        <v>340</v>
      </c>
    </row>
    <row r="320">
      <c r="A320" s="1006"/>
      <c r="B320" s="985" t="s">
        <v>1052</v>
      </c>
      <c r="C320" s="1007" t="s">
        <v>1043</v>
      </c>
      <c r="D320" s="1007">
        <f t="shared" si="136"/>
      </c>
      <c r="E320" s="1008">
        <v>5339.46</v>
      </c>
      <c r="F320" s="1008">
        <v>1760.28</v>
      </c>
      <c r="G320" s="1009">
        <v>27</v>
      </c>
      <c r="H320" s="1008">
        <v>12639.459999999963</v>
      </c>
      <c r="I320" s="1010">
        <f t="shared" si="179"/>
      </c>
      <c r="J320" s="1010">
        <f t="shared" si="51"/>
      </c>
      <c r="K320" s="1010">
        <f t="shared" si="103"/>
      </c>
      <c r="L320" s="1011">
        <f t="shared" si="162"/>
      </c>
      <c r="M320" s="1012">
        <f t="shared" si="34"/>
      </c>
      <c r="N320" s="1013">
        <f t="shared" si="77"/>
      </c>
      <c r="O320" s="1014" t="s">
        <v>997</v>
      </c>
      <c r="P320" s="1015" t="s">
        <v>1010</v>
      </c>
      <c r="Q320" s="1016">
        <v>91680</v>
      </c>
      <c r="R320" s="1016">
        <v>12789</v>
      </c>
      <c r="S320" s="1016">
        <v>33</v>
      </c>
      <c r="T320" s="1016">
        <v>212</v>
      </c>
    </row>
    <row r="321">
      <c r="A321" s="1006"/>
      <c r="B321" s="985" t="s">
        <v>1052</v>
      </c>
      <c r="C321" s="1007" t="s">
        <v>1044</v>
      </c>
      <c r="D321" s="1007">
        <f t="shared" si="136"/>
      </c>
      <c r="E321" s="1008">
        <v>7693.1</v>
      </c>
      <c r="F321" s="1008">
        <v>664.64</v>
      </c>
      <c r="G321" s="1009">
        <v>28</v>
      </c>
      <c r="H321" s="1008">
        <v>17242.94000000006</v>
      </c>
      <c r="I321" s="1010">
        <f t="shared" si="179"/>
      </c>
      <c r="J321" s="1010">
        <f t="shared" si="51"/>
      </c>
      <c r="K321" s="1010">
        <f t="shared" si="103"/>
      </c>
      <c r="L321" s="1011">
        <f t="shared" si="162"/>
      </c>
      <c r="M321" s="1012">
        <f t="shared" si="34"/>
      </c>
      <c r="N321" s="1013">
        <f t="shared" si="77"/>
      </c>
      <c r="O321" s="1014" t="s">
        <v>997</v>
      </c>
      <c r="P321" s="1015" t="s">
        <v>1010</v>
      </c>
      <c r="Q321" s="1016">
        <v>105696</v>
      </c>
      <c r="R321" s="1016">
        <v>14326</v>
      </c>
      <c r="S321" s="1016">
        <v>41</v>
      </c>
      <c r="T321" s="1016">
        <v>148</v>
      </c>
    </row>
    <row customHeight="true" ht="16.666666666666668" r="322">
      <c r="A322" s="1006"/>
      <c r="B322" s="985" t="s">
        <v>1052</v>
      </c>
      <c r="C322" s="1008" t="s">
        <v>1054</v>
      </c>
      <c r="D322" s="1007">
        <f t="shared" si="136"/>
      </c>
      <c r="E322" s="1032">
        <v>557.76</v>
      </c>
      <c r="F322" s="1008">
        <v>241.42</v>
      </c>
      <c r="G322" s="1033">
        <v>16</v>
      </c>
      <c r="H322" s="1032">
        <v>8851.4</v>
      </c>
      <c r="I322" s="1010">
        <f t="shared" si="179"/>
      </c>
      <c r="J322" s="1010">
        <f t="shared" si="51"/>
      </c>
      <c r="K322" s="1010">
        <f t="shared" si="103"/>
      </c>
      <c r="L322" s="1011">
        <f t="shared" si="162"/>
      </c>
      <c r="M322" s="1012">
        <f t="shared" si="34"/>
      </c>
      <c r="N322" s="1013">
        <f t="shared" si="77"/>
      </c>
      <c r="O322" s="1014" t="s">
        <v>997</v>
      </c>
      <c r="P322" s="1015" t="s">
        <v>1010</v>
      </c>
      <c r="Q322" s="1016">
        <v>13267</v>
      </c>
      <c r="R322" s="1016">
        <v>1858</v>
      </c>
      <c r="S322" s="1034">
        <v>18</v>
      </c>
      <c r="T322" s="1034">
        <v>17</v>
      </c>
    </row>
    <row r="323">
      <c r="A323" s="1006"/>
      <c r="B323" s="1026" t="s">
        <v>1001</v>
      </c>
      <c r="C323" s="1026"/>
      <c r="D323" s="1018">
        <f>SUM(D319:D322)</f>
      </c>
      <c r="E323" s="1018">
        <f>SUM(E319:E322)</f>
      </c>
      <c r="F323" s="1018">
        <f>SUM(F319:F322)</f>
      </c>
      <c r="G323" s="1019">
        <f>SUM(G319:G322)</f>
      </c>
      <c r="H323" s="1018">
        <f>SUM(H319:H322)</f>
      </c>
      <c r="I323" s="1020">
        <f t="shared" si="179"/>
      </c>
      <c r="J323" s="1021">
        <f t="shared" si="51"/>
      </c>
      <c r="K323" s="1022">
        <f t="shared" si="103"/>
      </c>
      <c r="L323" s="1023">
        <f t="shared" si="162"/>
      </c>
      <c r="M323" s="1023">
        <f t="shared" si="34"/>
      </c>
      <c r="N323" s="1024">
        <f t="shared" si="77"/>
      </c>
      <c r="O323" s="1024"/>
      <c r="P323" s="1024"/>
      <c r="Q323" s="1025">
        <f>SUM(Q319:Q322)</f>
      </c>
      <c r="R323" s="1025">
        <f>SUM(R319:R322)</f>
      </c>
      <c r="S323" s="1025">
        <f>SUM(S319:S322)</f>
      </c>
      <c r="T323" s="1025">
        <f>SUM(T319:T322)</f>
      </c>
    </row>
    <row r="324">
      <c r="A324" s="1006"/>
      <c r="B324" s="1027" t="s">
        <v>1006</v>
      </c>
      <c r="C324" s="1027"/>
      <c r="D324" s="1028">
        <f>D318+D323</f>
      </c>
      <c r="E324" s="1028">
        <f>E318+E323</f>
      </c>
      <c r="F324" s="1028">
        <f>F318+F323</f>
      </c>
      <c r="G324" s="1028">
        <f>G318+G323</f>
      </c>
      <c r="H324" s="1028">
        <f>H318+H323</f>
      </c>
      <c r="I324" s="1027">
        <f t="shared" si="179"/>
      </c>
      <c r="J324" s="1027">
        <f t="shared" si="51"/>
      </c>
      <c r="K324" s="1027">
        <f t="shared" si="103"/>
      </c>
      <c r="L324" s="1029">
        <f t="shared" si="162"/>
      </c>
      <c r="M324" s="1029">
        <f t="shared" si="34"/>
      </c>
      <c r="N324" s="1027">
        <f t="shared" si="77"/>
      </c>
      <c r="O324" s="1030"/>
      <c r="P324" s="1030"/>
      <c r="Q324" s="1028">
        <f>Q318+Q323</f>
      </c>
      <c r="R324" s="1028">
        <f>R318+R323</f>
      </c>
      <c r="S324" s="1028">
        <f>S318+S323</f>
      </c>
      <c r="T324" s="1028">
        <f>T318+T323</f>
      </c>
    </row>
    <row r="325">
      <c r="A325" s="999"/>
      <c r="B325" s="935"/>
      <c r="C325" s="935"/>
      <c r="D325" s="935"/>
      <c r="E325" s="935"/>
      <c r="F325" s="935"/>
      <c r="G325" s="935">
        <f>G326-G324</f>
      </c>
      <c r="H325" s="935">
        <f>H326-H324</f>
      </c>
      <c r="I325" s="935"/>
      <c r="J325" s="935"/>
      <c r="K325" s="935"/>
      <c r="L325" s="935"/>
      <c r="M325" s="935"/>
      <c r="N325" s="935"/>
      <c r="O325" s="935"/>
      <c r="P325" s="935"/>
      <c r="Q325" s="1035">
        <v>1741</v>
      </c>
      <c r="R325" s="1035">
        <v>196</v>
      </c>
      <c r="S325" s="1036"/>
      <c r="T325" s="935">
        <f>T326-T323</f>
      </c>
    </row>
    <row r="326">
      <c r="A326" s="999"/>
      <c r="G326" s="1037">
        <v>1072</v>
      </c>
      <c r="H326" s="1038">
        <v>553372.82</v>
      </c>
      <c r="I326" s="935"/>
      <c r="J326" s="935"/>
      <c r="K326" s="935">
        <f>G314+22</f>
      </c>
      <c r="L326" s="935"/>
      <c r="M326" s="935"/>
      <c r="N326" s="935"/>
      <c r="O326" s="935"/>
      <c r="P326" s="935"/>
      <c r="Q326" s="1039">
        <v>11526</v>
      </c>
      <c r="R326" s="1039">
        <v>1662</v>
      </c>
      <c r="S326" s="1036"/>
      <c r="T326" s="1040">
        <v>717</v>
      </c>
    </row>
    <row r="327">
      <c r="A327" s="1041"/>
      <c r="B327" s="1041"/>
      <c r="D327" s="1041">
        <f>A328+A329+A330+A331+A332+A333+A334+A335</f>
      </c>
      <c r="E327" s="1042">
        <v>549077.31</v>
      </c>
      <c r="F327">
        <f>E327+D327</f>
      </c>
      <c r="Q327">
        <f>Q325+Q326</f>
      </c>
      <c r="R327">
        <f>R325+R326</f>
      </c>
    </row>
    <row r="328">
      <c r="A328" s="1041">
        <v>195.38</v>
      </c>
      <c r="B328" s="1043" t="s">
        <v>1055</v>
      </c>
      <c r="C328" s="1041">
        <f>A328</f>
      </c>
    </row>
    <row r="329">
      <c r="A329" s="1044">
        <v>1421.73</v>
      </c>
      <c r="B329" s="1043" t="s">
        <v>1055</v>
      </c>
      <c r="C329" s="1041">
        <f>A329+A328</f>
      </c>
      <c r="D329" s="1044"/>
    </row>
    <row r="330">
      <c r="A330" s="1041">
        <v>677.76</v>
      </c>
      <c r="B330" s="1045" t="s">
        <v>1056</v>
      </c>
      <c r="C330" s="1041">
        <f>A330+A329+A328</f>
      </c>
      <c r="D330" s="1044"/>
    </row>
    <row r="331">
      <c r="A331" s="1041">
        <v>215.04</v>
      </c>
      <c r="B331" s="1045" t="s">
        <v>1056</v>
      </c>
      <c r="C331" s="1041">
        <f>A328+A329+A330+A331</f>
      </c>
    </row>
    <row r="332">
      <c r="A332" s="1041">
        <v>215.04</v>
      </c>
      <c r="B332" s="1045" t="s">
        <v>1057</v>
      </c>
      <c r="C332" s="1041">
        <f>A328+A329+A330+A331+A332</f>
      </c>
      <c r="D332" s="1044"/>
    </row>
    <row r="333">
      <c r="A333" s="1041">
        <v>677.76</v>
      </c>
      <c r="B333" s="1045" t="s">
        <v>1058</v>
      </c>
      <c r="C333" s="1041">
        <f>A328+A329+A330+A331+A332+A333</f>
      </c>
      <c r="D333" s="1041"/>
    </row>
    <row r="334">
      <c r="A334" s="1041">
        <v>215.04</v>
      </c>
      <c r="B334" s="1045" t="s">
        <v>1059</v>
      </c>
      <c r="C334" s="1041">
        <f>A328+A329+A330+A331+A332+A333+A334</f>
      </c>
      <c r="D334" s="1044"/>
    </row>
    <row r="335">
      <c r="A335" s="1041">
        <v>677.76</v>
      </c>
      <c r="B335" s="1041" t="s">
        <v>1060</v>
      </c>
      <c r="C335" s="1041">
        <f>A328+A329+A330+A331+A332+A333+A334+A335</f>
      </c>
      <c r="D335" s="1041"/>
      <c r="E335" s="1044"/>
    </row>
    <row r="336">
      <c r="B336" s="1041"/>
      <c r="C336" s="1044"/>
      <c r="D336" s="1041"/>
      <c r="E336" s="1044"/>
    </row>
    <row r="337">
      <c r="B337" s="1041"/>
      <c r="C337" s="1044"/>
      <c r="D337" s="1041"/>
      <c r="E337" s="1044"/>
    </row>
    <row r="338">
      <c r="B338" s="1041"/>
      <c r="C338" s="1044"/>
      <c r="D338" s="1041"/>
      <c r="E338" s="1044"/>
    </row>
    <row r="339">
      <c r="B339" s="1041"/>
      <c r="C339" s="1044"/>
      <c r="D339" s="1041"/>
      <c r="E339" s="1044"/>
    </row>
    <row r="340">
      <c r="B340" s="1041"/>
      <c r="C340" s="1044"/>
      <c r="D340" s="1041"/>
      <c r="E340" s="1044"/>
    </row>
    <row r="341">
      <c r="B341" s="1041"/>
      <c r="C341" s="1044"/>
      <c r="D341" s="1041"/>
      <c r="E341" s="1044"/>
    </row>
    <row r="342">
      <c r="B342" s="1041"/>
      <c r="C342" s="1044"/>
      <c r="D342" s="1041"/>
      <c r="E342" s="1044"/>
    </row>
    <row r="343">
      <c r="B343" s="1041"/>
      <c r="C343" s="1044"/>
      <c r="D343" s="1041"/>
      <c r="E343" s="1044"/>
    </row>
    <row r="344">
      <c r="B344" s="1041"/>
      <c r="C344" s="1044"/>
      <c r="D344" s="1041"/>
      <c r="E344" s="1044"/>
    </row>
    <row r="345">
      <c r="B345" s="1041"/>
      <c r="C345" s="1044"/>
      <c r="D345" s="1041"/>
      <c r="E345" s="1044"/>
    </row>
    <row r="346">
      <c r="B346" s="1041"/>
      <c r="C346" s="1044"/>
      <c r="D346" s="1041"/>
      <c r="E346" s="1044"/>
    </row>
    <row r="347">
      <c r="B347" s="1041"/>
      <c r="C347" s="1044"/>
      <c r="D347" s="1041"/>
      <c r="E347" s="1044"/>
    </row>
    <row r="348">
      <c r="B348" s="1041"/>
      <c r="C348" s="1044"/>
      <c r="D348" s="1041"/>
      <c r="E348" s="1044"/>
    </row>
    <row r="349">
      <c r="B349" s="1041"/>
      <c r="C349" s="1044"/>
      <c r="D349" s="1041"/>
      <c r="E349" s="1044"/>
    </row>
    <row r="350">
      <c r="B350" s="1041"/>
      <c r="C350" s="1044"/>
      <c r="D350" s="1041"/>
      <c r="E350" s="1044"/>
    </row>
    <row r="351">
      <c r="B351" s="1041"/>
      <c r="C351" s="1044"/>
      <c r="D351" s="1041"/>
      <c r="E351" s="1044"/>
    </row>
    <row r="352">
      <c r="B352" s="1041"/>
      <c r="C352" s="1044"/>
      <c r="D352" s="1041"/>
      <c r="E352" s="1044"/>
    </row>
    <row r="353">
      <c r="B353" s="1041"/>
      <c r="C353" s="1044"/>
      <c r="D353" s="1041"/>
      <c r="E353" s="1044"/>
    </row>
    <row r="354">
      <c r="B354" s="1041"/>
      <c r="C354" s="1044"/>
      <c r="D354" s="1041"/>
      <c r="E354" s="1044"/>
    </row>
    <row r="355">
      <c r="B355" s="1041"/>
      <c r="C355" s="1044"/>
      <c r="D355" s="1041"/>
      <c r="E355" s="1044"/>
    </row>
    <row r="356">
      <c r="B356" s="1041"/>
      <c r="C356" s="1044"/>
      <c r="D356" s="1041"/>
      <c r="E356" s="1044"/>
    </row>
    <row r="357">
      <c r="B357" s="1041"/>
      <c r="C357" s="1044"/>
      <c r="D357" s="1041"/>
      <c r="E357" s="1044"/>
    </row>
    <row r="358">
      <c r="B358" s="1041"/>
      <c r="C358" s="1044"/>
      <c r="D358" s="1041"/>
      <c r="E358" s="1044"/>
    </row>
    <row r="359">
      <c r="B359" s="1041"/>
      <c r="C359" s="1044"/>
      <c r="D359" s="1041"/>
      <c r="E359" s="1044"/>
    </row>
    <row r="360">
      <c r="B360" s="1041"/>
      <c r="C360" s="1044"/>
      <c r="D360" s="1041"/>
      <c r="E360" s="1044"/>
    </row>
    <row r="361">
      <c r="B361" s="1041"/>
      <c r="C361" s="1044"/>
      <c r="D361" s="1041"/>
      <c r="E361" s="1044"/>
    </row>
    <row r="362">
      <c r="B362" s="1041"/>
      <c r="C362" s="1044"/>
      <c r="D362" s="1041"/>
      <c r="E362" s="1044"/>
    </row>
    <row r="363">
      <c r="B363" s="1041"/>
      <c r="C363" s="1044"/>
      <c r="D363" s="1041"/>
      <c r="E363" s="1044"/>
    </row>
    <row r="364">
      <c r="B364" s="1041"/>
      <c r="C364" s="1044"/>
      <c r="D364" s="1041"/>
      <c r="E364" s="1044"/>
    </row>
    <row r="365">
      <c r="B365" s="1041"/>
      <c r="C365" s="1044"/>
      <c r="D365" s="1041"/>
      <c r="E365" s="1044"/>
    </row>
    <row r="366">
      <c r="B366" s="1041"/>
      <c r="C366" s="1044"/>
      <c r="D366" s="1041"/>
      <c r="E366" s="1044"/>
    </row>
    <row r="367">
      <c r="B367" s="1041"/>
      <c r="C367" s="1044"/>
      <c r="D367" s="1041"/>
      <c r="E367" s="1044"/>
    </row>
    <row r="368">
      <c r="B368" s="1041"/>
      <c r="C368" s="1044"/>
      <c r="D368" s="1041"/>
      <c r="E368" s="1044"/>
    </row>
    <row r="369">
      <c r="B369" s="1041"/>
      <c r="C369" s="1044"/>
      <c r="D369" s="1041"/>
      <c r="E369" s="1044"/>
    </row>
    <row r="370">
      <c r="B370" s="1041"/>
      <c r="C370" s="1044"/>
      <c r="D370" s="1041"/>
      <c r="E370" s="1044"/>
    </row>
    <row r="371">
      <c r="B371" s="1041"/>
      <c r="C371" s="1044"/>
      <c r="D371" s="1041"/>
      <c r="E371" s="1044"/>
    </row>
    <row r="372">
      <c r="B372" s="1041"/>
      <c r="C372" s="1044"/>
      <c r="D372" s="1041"/>
      <c r="E372" s="1044"/>
    </row>
    <row r="373">
      <c r="B373" s="1041"/>
      <c r="C373" s="1044"/>
      <c r="D373" s="1041"/>
      <c r="E373" s="1044"/>
    </row>
    <row r="374">
      <c r="B374" s="1041"/>
      <c r="C374" s="1044"/>
      <c r="D374" s="1041"/>
      <c r="E374" s="1044"/>
    </row>
    <row r="375">
      <c r="B375" s="1041"/>
      <c r="C375" s="1044"/>
      <c r="D375" s="1041"/>
      <c r="E375" s="1044"/>
    </row>
    <row r="376">
      <c r="B376" s="1041"/>
      <c r="C376" s="1044"/>
      <c r="D376" s="1041"/>
      <c r="E376" s="1044"/>
    </row>
    <row r="377">
      <c r="B377" s="1041"/>
      <c r="C377" s="1044"/>
      <c r="D377" s="1041"/>
      <c r="E377" s="1044"/>
    </row>
    <row r="378">
      <c r="B378" s="1041"/>
      <c r="C378" s="1044"/>
      <c r="D378" s="1041"/>
      <c r="E378" s="1044"/>
    </row>
    <row r="379">
      <c r="B379" s="1041"/>
      <c r="C379" s="1044"/>
      <c r="D379" s="1041"/>
      <c r="E379" s="1044"/>
    </row>
    <row r="380">
      <c r="B380" s="1041"/>
      <c r="C380" s="1044"/>
      <c r="D380" s="1041"/>
      <c r="E380" s="1044"/>
    </row>
    <row r="381">
      <c r="B381" s="1041"/>
      <c r="C381" s="1044"/>
      <c r="D381" s="1041"/>
      <c r="E381" s="1044"/>
    </row>
    <row r="382">
      <c r="B382" s="1041"/>
      <c r="C382" s="1044"/>
      <c r="D382" s="1041"/>
      <c r="E382" s="1044"/>
    </row>
    <row r="383">
      <c r="B383" s="1041"/>
      <c r="C383" s="1044"/>
      <c r="D383" s="1041"/>
      <c r="E383" s="1044"/>
    </row>
    <row r="384">
      <c r="B384" s="1041"/>
      <c r="C384" s="1044"/>
      <c r="D384" s="1041"/>
      <c r="E384" s="1044"/>
    </row>
  </sheetData>
  <mergeCells>
    <mergeCell ref="D1:I1"/>
    <mergeCell ref="D12:I12"/>
    <mergeCell ref="D23:I23"/>
    <mergeCell ref="D34:I34"/>
    <mergeCell ref="D45:I45"/>
    <mergeCell ref="D56:I56"/>
    <mergeCell ref="D69:I69"/>
    <mergeCell ref="D82:I82"/>
    <mergeCell ref="D95:I95"/>
    <mergeCell ref="J1:N1"/>
    <mergeCell ref="O1:R1"/>
    <mergeCell ref="J12:N12"/>
    <mergeCell ref="O12:R12"/>
    <mergeCell ref="J23:N23"/>
    <mergeCell ref="O23:R23"/>
    <mergeCell ref="J34:N34"/>
    <mergeCell ref="O34:R34"/>
    <mergeCell ref="J45:N45"/>
    <mergeCell ref="O45:R45"/>
    <mergeCell ref="J56:N56"/>
    <mergeCell ref="O56:R56"/>
    <mergeCell ref="J69:N69"/>
    <mergeCell ref="O69:R69"/>
    <mergeCell ref="J82:N82"/>
    <mergeCell ref="O82:R82"/>
    <mergeCell ref="J95:N95"/>
    <mergeCell ref="O95:R95"/>
    <mergeCell ref="B107:C107"/>
    <mergeCell ref="B106:C106"/>
    <mergeCell ref="B101:C101"/>
    <mergeCell ref="A97:A107"/>
    <mergeCell ref="A95:C95"/>
    <mergeCell ref="B94:C94"/>
    <mergeCell ref="B93:C93"/>
    <mergeCell ref="B88:C88"/>
    <mergeCell ref="A84:A94"/>
    <mergeCell ref="A82:C82"/>
    <mergeCell ref="B81:C81"/>
    <mergeCell ref="B80:C80"/>
    <mergeCell ref="B75:C75"/>
    <mergeCell ref="A71:A81"/>
    <mergeCell ref="A69:C69"/>
    <mergeCell ref="B62:C62"/>
    <mergeCell ref="A58:A68"/>
    <mergeCell ref="B67:C67"/>
    <mergeCell ref="B68:C68"/>
    <mergeCell ref="A56:C56"/>
    <mergeCell ref="B55:C55"/>
    <mergeCell ref="B54:C54"/>
    <mergeCell ref="B50:C50"/>
    <mergeCell ref="A47:A55"/>
    <mergeCell ref="A45:C45"/>
    <mergeCell ref="B44:C44"/>
    <mergeCell ref="B43:C43"/>
    <mergeCell ref="B39:C39"/>
    <mergeCell ref="A36:A44"/>
    <mergeCell ref="A34:C34"/>
    <mergeCell ref="B33:C33"/>
    <mergeCell ref="B32:C32"/>
    <mergeCell ref="B28:C28"/>
    <mergeCell ref="A25:A33"/>
    <mergeCell ref="A23:C23"/>
    <mergeCell ref="B21:C21"/>
    <mergeCell ref="B17:C17"/>
    <mergeCell ref="A12:C12"/>
    <mergeCell ref="B22:C22"/>
    <mergeCell ref="A14:A22"/>
    <mergeCell ref="B10:C10"/>
    <mergeCell ref="B6:C6"/>
    <mergeCell ref="A1:C1"/>
    <mergeCell ref="B11:C11"/>
    <mergeCell ref="A3:A11"/>
    <mergeCell ref="A108:C108"/>
    <mergeCell ref="D108:K108"/>
    <mergeCell ref="L108:P108"/>
    <mergeCell ref="Q108:T108"/>
    <mergeCell ref="A110:A120"/>
    <mergeCell ref="B114:C114"/>
    <mergeCell ref="B119:C119"/>
    <mergeCell ref="B120:C120"/>
    <mergeCell ref="A121:C121"/>
    <mergeCell ref="D121:K121"/>
    <mergeCell ref="L121:P121"/>
    <mergeCell ref="Q121:T121"/>
    <mergeCell ref="A123:A128"/>
    <mergeCell ref="B127:C127"/>
    <mergeCell ref="B128:C128"/>
    <mergeCell ref="A129:C129"/>
    <mergeCell ref="D129:K129"/>
    <mergeCell ref="L129:P129"/>
    <mergeCell ref="Q129:T129"/>
    <mergeCell ref="A131:A141"/>
    <mergeCell ref="B135:C135"/>
    <mergeCell ref="B140:C140"/>
    <mergeCell ref="B141:C141"/>
    <mergeCell ref="B154:C154"/>
    <mergeCell ref="B153:C153"/>
    <mergeCell ref="B148:C148"/>
    <mergeCell ref="A144:A154"/>
    <mergeCell ref="A142:C142"/>
    <mergeCell ref="D142:K142"/>
    <mergeCell ref="L142:P142"/>
    <mergeCell ref="Q142:T142"/>
    <mergeCell ref="A155:C155"/>
    <mergeCell ref="D155:K155"/>
    <mergeCell ref="L155:P155"/>
    <mergeCell ref="Q155:T155"/>
    <mergeCell ref="A157:A167"/>
    <mergeCell ref="B161:C161"/>
    <mergeCell ref="B166:C166"/>
    <mergeCell ref="B167:C167"/>
    <mergeCell ref="A168:C168"/>
    <mergeCell ref="D168:K168"/>
    <mergeCell ref="L168:P168"/>
    <mergeCell ref="Q168:T168"/>
    <mergeCell ref="A170:A180"/>
    <mergeCell ref="B174:C174"/>
    <mergeCell ref="B179:C179"/>
    <mergeCell ref="B180:C180"/>
    <mergeCell ref="A181:C181"/>
    <mergeCell ref="D181:K181"/>
    <mergeCell ref="L181:P181"/>
    <mergeCell ref="Q181:T181"/>
    <mergeCell ref="A183:A193"/>
    <mergeCell ref="B187:C187"/>
    <mergeCell ref="B192:C192"/>
    <mergeCell ref="B193:C193"/>
    <mergeCell ref="A194:C194"/>
    <mergeCell ref="D194:K194"/>
    <mergeCell ref="L194:P194"/>
    <mergeCell ref="Q194:T194"/>
    <mergeCell ref="A196:A206"/>
    <mergeCell ref="B200:C200"/>
    <mergeCell ref="B205:C205"/>
    <mergeCell ref="B206:C206"/>
    <mergeCell ref="A207:C207"/>
    <mergeCell ref="D207:K207"/>
    <mergeCell ref="L207:P207"/>
    <mergeCell ref="Q207:T207"/>
    <mergeCell ref="A209:A219"/>
    <mergeCell ref="B213:C213"/>
    <mergeCell ref="B218:C218"/>
    <mergeCell ref="B219:C219"/>
    <mergeCell ref="A220:C220"/>
    <mergeCell ref="D220:K220"/>
    <mergeCell ref="L220:P220"/>
    <mergeCell ref="Q220:T220"/>
    <mergeCell ref="A222:A232"/>
    <mergeCell ref="B226:C226"/>
    <mergeCell ref="B231:C231"/>
    <mergeCell ref="B232:C232"/>
    <mergeCell ref="A233:C233"/>
    <mergeCell ref="D233:K233"/>
    <mergeCell ref="L233:P233"/>
    <mergeCell ref="Q233:T233"/>
    <mergeCell ref="A235:A245"/>
    <mergeCell ref="B239:C239"/>
    <mergeCell ref="B244:C244"/>
    <mergeCell ref="B245:C245"/>
    <mergeCell ref="A246:C246"/>
    <mergeCell ref="D246:K246"/>
    <mergeCell ref="L246:P246"/>
    <mergeCell ref="Q246:T246"/>
    <mergeCell ref="A248:A258"/>
    <mergeCell ref="B252:C252"/>
    <mergeCell ref="B257:C257"/>
    <mergeCell ref="B258:C258"/>
    <mergeCell ref="A259:C259"/>
    <mergeCell ref="D259:K259"/>
    <mergeCell ref="L259:P259"/>
    <mergeCell ref="Q259:T259"/>
    <mergeCell ref="A261:A271"/>
    <mergeCell ref="B265:C265"/>
    <mergeCell ref="B270:C270"/>
    <mergeCell ref="B271:C271"/>
    <mergeCell ref="A272:C272"/>
    <mergeCell ref="D272:K272"/>
    <mergeCell ref="L272:P272"/>
    <mergeCell ref="Q272:T272"/>
    <mergeCell ref="A274:A284"/>
    <mergeCell ref="B278:C278"/>
    <mergeCell ref="B283:C283"/>
    <mergeCell ref="B284:C284"/>
    <mergeCell ref="A285:C285"/>
    <mergeCell ref="D285:K285"/>
    <mergeCell ref="L285:P285"/>
    <mergeCell ref="Q285:T285"/>
    <mergeCell ref="A287:A297"/>
    <mergeCell ref="B296:C296"/>
    <mergeCell ref="B297:C297"/>
    <mergeCell ref="B292:C292"/>
    <mergeCell ref="A298:C298"/>
    <mergeCell ref="D298:K298"/>
    <mergeCell ref="L298:P298"/>
    <mergeCell ref="Q298:T298"/>
    <mergeCell ref="B309:C309"/>
    <mergeCell ref="B310:C310"/>
    <mergeCell ref="A300:A310"/>
    <mergeCell ref="B304:C304"/>
    <mergeCell ref="A311:C311"/>
    <mergeCell ref="D311:K311"/>
    <mergeCell ref="L311:P311"/>
    <mergeCell ref="Q311:T311"/>
    <mergeCell ref="B318:C318"/>
    <mergeCell ref="B324:C324"/>
    <mergeCell ref="B323:C323"/>
    <mergeCell ref="A313:A32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