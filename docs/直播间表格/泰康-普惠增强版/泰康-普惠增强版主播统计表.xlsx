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Tables/pivotTable2.xml" ContentType="application/vnd.openxmlformats-officedocument.spreadsheetml.pivotTable+xml"/>
  <Override PartName="/xl/pivotCache/pivotCacheDefinition2.xml" ContentType="application/vnd.openxmlformats-officedocument.spreadsheetml.pivotCacheDefinition+xml"/>
  <Override PartName="/xl/worksheets/sheet4.xml" ContentType="application/vnd.openxmlformats-officedocument.spreadsheetml.worksheet+xml"/>
  <Override PartName="/xl/pivotTables/pivotTable3.xml" ContentType="application/vnd.openxmlformats-officedocument.spreadsheetml.pivotTable+xml"/>
  <Override PartName="/xl/pivotCache/pivotCacheDefinition3.xml" ContentType="application/vnd.openxmlformats-officedocument.spreadsheetml.pivotCacheDefinition+xml"/>
  <Override PartName="/xl/worksheets/sheet5.xml" ContentType="application/vnd.openxmlformats-officedocument.spreadsheetml.worksheet+xml"/>
  <Override PartName="/xl/pivotTables/pivotTable4.xml" ContentType="application/vnd.openxmlformats-officedocument.spreadsheetml.pivotTable+xml"/>
  <Override PartName="/xl/pivotCache/pivotCacheDefinition4.xml" ContentType="application/vnd.openxmlformats-officedocument.spreadsheetml.pivotCacheDefinition+xml"/>
  <Override PartName="/xl/worksheets/sheet6.xml" ContentType="application/vnd.openxmlformats-officedocument.spreadsheetml.worksheet+xml"/>
  <Override PartName="/xl/pivotTables/pivotTable5.xml" ContentType="application/vnd.openxmlformats-officedocument.spreadsheetml.pivotTable+xml"/>
  <Override PartName="/xl/pivotCache/pivotCacheDefinition5.xml" ContentType="application/vnd.openxmlformats-officedocument.spreadsheetml.pivotCacheDefinition+xml"/>
  <Override PartName="/xl/worksheets/sheet7.xml" ContentType="application/vnd.openxmlformats-officedocument.spreadsheetml.worksheet+xml"/>
  <Override PartName="/xl/pivotTables/pivotTable6.xml" ContentType="application/vnd.openxmlformats-officedocument.spreadsheetml.pivotTable+xml"/>
  <Override PartName="/xl/pivotCache/pivotCacheDefinition6.xml" ContentType="application/vnd.openxmlformats-officedocument.spreadsheetml.pivotCacheDefinition+xml"/>
  <Override PartName="/xl/worksheets/sheet8.xml" ContentType="application/vnd.openxmlformats-officedocument.spreadsheetml.worksheet+xml"/>
  <Override PartName="/xl/pivotTables/pivotTable7.xml" ContentType="application/vnd.openxmlformats-officedocument.spreadsheetml.pivotTable+xml"/>
  <Override PartName="/xl/pivotCache/pivotCacheDefinition7.xml" ContentType="application/vnd.openxmlformats-officedocument.spreadsheetml.pivotCacheDefinition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harts/chartEx1.xml" ContentType="application/vnd.ms-office.chartex+xml"/>
  <Override PartName="/xl/charts/colors1.xml" ContentType="application/vnd.ms-office.chartcolorstyle+xml"/>
  <Override PartName="/xl/charts/style1.xml" ContentType="application/vnd.ms-office.chartstyle+xml"/>
  <Override PartName="/xl/charts/chart3.xml" ContentType="application/vnd.openxmlformats-officedocument.drawingml.chart+xml"/>
  <Override PartName="/xl/charts/chartEx2.xml" ContentType="application/vnd.ms-office.chartex+xml"/>
  <Override PartName="/xl/charts/colors2.xml" ContentType="application/vnd.ms-office.chartcolorstyle+xml"/>
  <Override PartName="/xl/charts/style2.xml" ContentType="application/vnd.ms-office.chartstyle+xml"/>
  <Override PartName="/xl/charts/chart5.xml" ContentType="application/vnd.openxmlformats-officedocument.drawingml.chart+xml"/>
  <Override PartName="/xl/charts/chartEx3.xml" ContentType="application/vnd.ms-office.chartex+xml"/>
  <Override PartName="/xl/charts/colors3.xml" ContentType="application/vnd.ms-office.chartcolorstyle+xml"/>
  <Override PartName="/xl/charts/style3.xml" ContentType="application/vnd.ms-office.chartstyle+xml"/>
  <Override PartName="/xl/charts/chartEx4.xml" ContentType="application/vnd.ms-office.chartex+xml"/>
  <Override PartName="/xl/charts/colors4.xml" ContentType="application/vnd.ms-office.chartcolorstyle+xml"/>
  <Override PartName="/xl/charts/style4.xml" ContentType="application/vnd.ms-office.chartstyle+xml"/>
  <Override PartName="/xl/charts/chart8.xml" ContentType="application/vnd.openxmlformats-officedocument.drawingml.chart+xml"/>
  <Override PartName="/xl/charts/chartEx5.xml" ContentType="application/vnd.ms-office.chartex+xml"/>
  <Override PartName="/xl/charts/colors5.xml" ContentType="application/vnd.ms-office.chartcolorstyle+xml"/>
  <Override PartName="/xl/charts/style5.xml" ContentType="application/vnd.ms-office.chartstyle+xml"/>
  <Override PartName="/xl/charts/chartEx6.xml" ContentType="application/vnd.ms-office.chartex+xml"/>
  <Override PartName="/xl/charts/colors6.xml" ContentType="application/vnd.ms-office.chartcolorstyle+xml"/>
  <Override PartName="/xl/charts/style6.xml" ContentType="application/vnd.ms-office.chartstyle+xml"/>
  <Override PartName="/xl/charts/chartEx7.xml" ContentType="application/vnd.ms-office.chartex+xml"/>
  <Override PartName="/xl/charts/colors7.xml" ContentType="application/vnd.ms-office.chartcolorstyle+xml"/>
  <Override PartName="/xl/charts/style7.xml" ContentType="application/vnd.ms-office.chartstyle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Ex8.xml" ContentType="application/vnd.ms-office.chartex+xml"/>
  <Override PartName="/xl/charts/colors8.xml" ContentType="application/vnd.ms-office.chartcolorstyle+xml"/>
  <Override PartName="/xl/charts/style8.xml" ContentType="application/vnd.ms-office.chartstyle+xml"/>
  <Override PartName="/xl/charts/chart15.xml" ContentType="application/vnd.openxmlformats-officedocument.drawingml.chart+xml"/>
  <Override PartName="/xl/charts/chartEx9.xml" ContentType="application/vnd.ms-office.chartex+xml"/>
  <Override PartName="/xl/charts/colors9.xml" ContentType="application/vnd.ms-office.chartcolorstyle+xml"/>
  <Override PartName="/xl/charts/style9.xml" ContentType="application/vnd.ms-office.chartstyle+xml"/>
  <Override PartName="/xl/charts/chart17.xml" ContentType="application/vnd.openxmlformats-officedocument.drawingml.chart+xml"/>
  <Override PartName="/xl/charts/chartEx10.xml" ContentType="application/vnd.ms-office.chartex+xml"/>
  <Override PartName="/xl/charts/colors10.xml" ContentType="application/vnd.ms-office.chartcolorstyle+xml"/>
  <Override PartName="/xl/charts/style10.xml" ContentType="application/vnd.ms-office.chartstyle+xml"/>
  <Override PartName="/xl/charts/chartEx11.xml" ContentType="application/vnd.ms-office.chartex+xml"/>
  <Override PartName="/xl/charts/colors11.xml" ContentType="application/vnd.ms-office.chartcolorstyle+xml"/>
  <Override PartName="/xl/charts/style11.xml" ContentType="application/vnd.ms-office.chartstyle+xml"/>
  <Override PartName="/xl/charts/chart20.xml" ContentType="application/vnd.openxmlformats-officedocument.drawingml.chart+xml"/>
  <Override PartName="/xl/pivotTables/pivotTable8.xml" ContentType="application/vnd.openxmlformats-officedocument.spreadsheetml.pivotTable+xml"/>
  <Override PartName="/xl/pivotCache/pivotCacheDefinition8.xml" ContentType="application/vnd.openxmlformats-officedocument.spreadsheetml.pivotCacheDefinition+xml"/>
  <Override PartName="/xl/worksheets/sheet10.xml" ContentType="application/vnd.openxmlformats-officedocument.spreadsheetml.worksheet+xml"/>
  <Override PartName="/xl/pivotTables/pivotTable9.xml" ContentType="application/vnd.openxmlformats-officedocument.spreadsheetml.pivotTable+xml"/>
  <Override PartName="/xl/pivotCache/pivotCacheDefinition9.xml" ContentType="application/vnd.openxmlformats-officedocument.spreadsheetml.pivotCacheDefinition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026.10" sheetId="2" r:id="rId5"/>
    <sheet name="2026.9" sheetId="3" r:id="rId6"/>
    <sheet name="2026.8" sheetId="4" r:id="rId9"/>
    <sheet name="2026.7" sheetId="5" r:id="rId11"/>
    <sheet name="2026.6" sheetId="6" r:id="rId13"/>
    <sheet name="2026.5" sheetId="7" r:id="rId15"/>
    <sheet name="2026.4" sheetId="8" r:id="rId17"/>
    <sheet name="勿删" sheetId="9" r:id="rId19"/>
    <sheet name="Sheet10" sheetId="10" r:id="rId21"/>
    <sheet name="Sheet11" sheetId="11" r:id="rId23"/>
  </sheets>
  <definedNames>
    <definedName hidden="true" name="_xlchart.v1.0">'勿删'!$A$267:$E$267</definedName>
    <definedName hidden="true" name="_xlchart.v1.1">'勿删'!$A$266:$E$266</definedName>
    <definedName hidden="true" name="_xlchart.v1.2">'勿删'!$A$263:$E$263</definedName>
    <definedName hidden="true" name="_xlchart.v1.3">'勿删'!$A$262:$E$262</definedName>
    <definedName hidden="true" name="_xlchart.v1.4">'勿删'!$A$214:$E$214</definedName>
    <definedName hidden="true" name="_xlchart.v1.5">'勿删'!$A$213:$E$213</definedName>
    <definedName hidden="true" name="_xlchart.v1.6">'勿删'!$A$255:$E$255</definedName>
    <definedName hidden="true" name="_xlchart.v1.7">'勿删'!$A$254:$E$254</definedName>
    <definedName hidden="true" name="_xlchart.v1.8">'勿删'!$A$279:$E$279</definedName>
    <definedName hidden="true" name="_xlchart.v1.9">'勿删'!$A$278:$E$278</definedName>
    <definedName hidden="true" name="_xlchart.v1.10">'勿删'!$A$275:$E$275</definedName>
    <definedName hidden="true" name="_xlchart.v1.11">'勿删'!$A$274:$E$274</definedName>
    <definedName hidden="true" name="_xlchart.v1.12">'勿删'!$A$259:$E$259</definedName>
    <definedName hidden="true" name="_xlchart.v1.13">'勿删'!$A$258:$E$258</definedName>
    <definedName hidden="true" name="_xlchart.v1.14">'勿删'!$A$211:$E$211</definedName>
    <definedName hidden="true" name="_xlchart.v1.15">'勿删'!$A$210:$E$210</definedName>
    <definedName hidden="true" name="_xlchart.v1.16">'勿删'!$A$247:$E$247</definedName>
    <definedName hidden="true" name="_xlchart.v1.17">'勿删'!$A$246:$E$246</definedName>
    <definedName hidden="true" name="_xlchart.v1.18">'勿删'!$A$271:$E$271</definedName>
    <definedName hidden="true" name="_xlchart.v1.19">'勿删'!$A$270:$E$270</definedName>
    <definedName hidden="true" name="_xlchart.v1.20">'勿删'!$A$251:$E$251</definedName>
    <definedName hidden="true" name="_xlchart.v1.21">'勿删'!$A$250:$E$250</definedName>
  </definedNames>
  <calcPr calcMode="auto"/>
  <pivotCaches>
    <pivotCache cacheId="1" r:id="rId7"/>
    <pivotCache cacheId="2" r:id="rId8"/>
    <pivotCache cacheId="3" r:id="rId10"/>
    <pivotCache cacheId="4" r:id="rId12"/>
    <pivotCache cacheId="5" r:id="rId14"/>
    <pivotCache cacheId="6" r:id="rId16"/>
    <pivotCache cacheId="7" r:id="rId18"/>
    <pivotCache cacheId="8" r:id="rId20"/>
    <pivotCache cacheId="9" r:id="rId2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<sst xmlns="http://schemas.openxmlformats.org/spreadsheetml/2006/main" count="819" uniqueCount="819">
  <si>
    <t xml:space="preserve">  </t>
  </si>
  <si>
    <t xml:space="preserve">日期</t>
  </si>
  <si>
    <t xml:space="preserve">主播</t>
  </si>
  <si>
    <t xml:space="preserve">直播时段</t>
  </si>
  <si>
    <t xml:space="preserve">直播时长</t>
  </si>
  <si>
    <t xml:space="preserve">保单数量</t>
  </si>
  <si>
    <t xml:space="preserve">t0退保数量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</si>
  <si>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</si>
  <si>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</si>
  <si>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</si>
  <si>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</si>
  <si>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</si>
  <si>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T0退保率</t>
  </si>
  <si>
    <t xml:space="preserve">助播1</t>
  </si>
  <si>
    <t xml:space="preserve">助播时长</t>
  </si>
  <si>
    <t xml:space="preserve">2026.10.1</t>
  </si>
  <si>
    <t xml:space="preserve">李佳怡</t>
  </si>
  <si>
    <t xml:space="preserve">16:00-20:00</t>
  </si>
  <si>
    <t xml:space="preserve">郭玉龙</t>
  </si>
  <si>
    <t xml:space="preserve">20:00-24:00</t>
  </si>
  <si>
    <t xml:space="preserve">李寒玉</t>
  </si>
  <si>
    <t xml:space="preserve">2026.10.12</t>
  </si>
  <si>
    <t xml:space="preserve">8:00-12:00</t>
  </si>
  <si>
    <t xml:space="preserve">李寒玉双</t>
  </si>
  <si>
    <t xml:space="preserve">李凯丽</t>
  </si>
  <si>
    <t xml:space="preserve">12:00-17:00</t>
  </si>
  <si>
    <t xml:space="preserve">17:00-20:00</t>
  </si>
  <si>
    <t xml:space="preserve">李子健</t>
  </si>
  <si>
    <t xml:space="preserve">2026.10.13</t>
  </si>
  <si>
    <t xml:space="preserve">李哲双</t>
  </si>
  <si>
    <t xml:space="preserve">王笑荣</t>
  </si>
  <si>
    <t xml:space="preserve">任子硕</t>
  </si>
  <si>
    <t xml:space="preserve">2026.10.14</t>
  </si>
  <si>
    <t xml:space="preserve">张欣颖</t>
  </si>
  <si>
    <t xml:space="preserve">07:00-11:00</t>
  </si>
  <si>
    <t xml:space="preserve">董柯言双</t>
  </si>
  <si>
    <t xml:space="preserve">11:00-16:00</t>
  </si>
  <si>
    <t xml:space="preserve">董柯言</t>
  </si>
  <si>
    <t xml:space="preserve">韩红双</t>
  </si>
  <si>
    <t xml:space="preserve">2026.10.15</t>
  </si>
  <si>
    <t xml:space="preserve">王学伟双</t>
  </si>
  <si>
    <t xml:space="preserve">16:00-21:00</t>
  </si>
  <si>
    <t xml:space="preserve">21:00-24:00</t>
  </si>
  <si>
    <t xml:space="preserve">2026.10.16</t>
  </si>
  <si>
    <t xml:space="preserve">何彩樱双</t>
  </si>
  <si>
    <t xml:space="preserve">20:00-01:00</t>
  </si>
  <si>
    <t xml:space="preserve">2026.10.17</t>
  </si>
  <si>
    <t xml:space="preserve">2026.10.18</t>
  </si>
  <si>
    <t xml:space="preserve">2026.10.19</t>
  </si>
  <si>
    <t xml:space="preserve">11:00-15:00</t>
  </si>
  <si>
    <t xml:space="preserve">15:00-19:00</t>
  </si>
  <si>
    <t xml:space="preserve">19:00-24:00</t>
  </si>
  <si>
    <t xml:space="preserve">日期</t>
  </si>
  <si>
    <t xml:space="preserve">主播</t>
  </si>
  <si>
    <t xml:space="preserve">直播时段</t>
  </si>
  <si>
    <t xml:space="preserve">直播时长</t>
  </si>
  <si>
    <t xml:space="preserve">保单数量</t>
  </si>
  <si>
    <t xml:space="preserve">t0退保数量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</si>
  <si>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</si>
  <si>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</si>
  <si>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</si>
  <si>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</si>
  <si>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</si>
  <si>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T0退保率</t>
  </si>
  <si>
    <t xml:space="preserve">助播1</t>
  </si>
  <si>
    <t xml:space="preserve">助播时长</t>
  </si>
  <si>
    <t xml:space="preserve">2026.9.1</t>
  </si>
  <si>
    <t xml:space="preserve">李凯丽</t>
  </si>
  <si>
    <t xml:space="preserve">07:00-11:00</t>
  </si>
  <si>
    <t xml:space="preserve">李哲</t>
  </si>
  <si>
    <t xml:space="preserve">王笑荣</t>
  </si>
  <si>
    <t xml:space="preserve">11:00-15:00</t>
  </si>
  <si>
    <t xml:space="preserve">郭玉龙</t>
  </si>
  <si>
    <t xml:space="preserve">15:00-19:00</t>
  </si>
  <si>
    <t xml:space="preserve">张欣颖</t>
  </si>
  <si>
    <t xml:space="preserve">19:00-24:00</t>
  </si>
  <si>
    <t xml:space="preserve">李寒玉</t>
  </si>
  <si>
    <t xml:space="preserve">2026.9.2</t>
  </si>
  <si>
    <t xml:space="preserve">19:00-23:00</t>
  </si>
  <si>
    <t xml:space="preserve">2026.9.3</t>
  </si>
  <si>
    <t xml:space="preserve">何彩樱</t>
  </si>
  <si>
    <t xml:space="preserve">2026.9.4</t>
  </si>
  <si>
    <t xml:space="preserve">何彩樱双</t>
  </si>
  <si>
    <t xml:space="preserve">2026.9.5</t>
  </si>
  <si>
    <t xml:space="preserve">李佳怡</t>
  </si>
  <si>
    <t xml:space="preserve">15:00-20:00</t>
  </si>
  <si>
    <t xml:space="preserve">20:00-24:00</t>
  </si>
  <si>
    <t xml:space="preserve">2026.9.6</t>
  </si>
  <si>
    <t xml:space="preserve">2026.9.7</t>
  </si>
  <si>
    <t xml:space="preserve">2026.9.8</t>
  </si>
  <si>
    <t xml:space="preserve">08:00-13:00</t>
  </si>
  <si>
    <t xml:space="preserve">13:00-17:00</t>
  </si>
  <si>
    <t xml:space="preserve">17:00-21:00</t>
  </si>
  <si>
    <t xml:space="preserve">21:00-01:00</t>
  </si>
  <si>
    <t xml:space="preserve">董柯言双</t>
  </si>
  <si>
    <t xml:space="preserve">2026.9.9</t>
  </si>
  <si>
    <t xml:space="preserve">15:00-18:30</t>
  </si>
  <si>
    <t xml:space="preserve">2026.9.10</t>
  </si>
  <si>
    <t xml:space="preserve">15:00-17:00</t>
  </si>
  <si>
    <t xml:space="preserve">20:00-22:00</t>
  </si>
  <si>
    <t xml:space="preserve">董柯言</t>
  </si>
  <si>
    <t xml:space="preserve">2026.9.11</t>
  </si>
  <si>
    <t xml:space="preserve">11:00-13:30</t>
  </si>
  <si>
    <t xml:space="preserve">2026.9.12</t>
  </si>
  <si>
    <t xml:space="preserve">2026.9.13</t>
  </si>
  <si>
    <t xml:space="preserve">19:00-21:00</t>
  </si>
  <si>
    <t xml:space="preserve">2026.9.14</t>
  </si>
  <si>
    <t xml:space="preserve">2026.9.15</t>
  </si>
  <si>
    <t xml:space="preserve">2026.9.16</t>
  </si>
  <si>
    <t xml:space="preserve">11:00-16:00</t>
  </si>
  <si>
    <t xml:space="preserve">孟璐瑶</t>
  </si>
  <si>
    <t xml:space="preserve">16:00-19:00</t>
  </si>
  <si>
    <t xml:space="preserve">2026.9.17</t>
  </si>
  <si>
    <t xml:space="preserve">2026.9.18</t>
  </si>
  <si>
    <t xml:space="preserve">2026.9.19</t>
  </si>
  <si>
    <t xml:space="preserve">任子硕双</t>
  </si>
  <si>
    <t xml:space="preserve">11:00-15:30</t>
  </si>
  <si>
    <t xml:space="preserve">刘梦</t>
  </si>
  <si>
    <t xml:space="preserve">15:30-19:00</t>
  </si>
  <si>
    <t xml:space="preserve">2026.9.20</t>
  </si>
  <si>
    <t xml:space="preserve">2026.9.21</t>
  </si>
  <si>
    <t xml:space="preserve">2026.9.22</t>
  </si>
  <si>
    <t xml:space="preserve">16:00-17:00</t>
  </si>
  <si>
    <t xml:space="preserve">20:00-22:30</t>
  </si>
  <si>
    <t xml:space="preserve">2026.9.23</t>
  </si>
  <si>
    <t xml:space="preserve">16:00-20:00</t>
  </si>
  <si>
    <t xml:space="preserve">2026.9.24</t>
  </si>
  <si>
    <t xml:space="preserve">2026.9.25</t>
  </si>
  <si>
    <t xml:space="preserve">李寒玉双</t>
  </si>
  <si>
    <t xml:space="preserve">2026.9.26</t>
  </si>
  <si>
    <t xml:space="preserve">17:00-20:00</t>
  </si>
  <si>
    <t xml:space="preserve">20:00-01:00</t>
  </si>
  <si>
    <t xml:space="preserve">2026.9.27</t>
  </si>
  <si>
    <t xml:space="preserve">2026.9.28</t>
  </si>
  <si>
    <t xml:space="preserve">2026.9.29</t>
  </si>
  <si>
    <t xml:space="preserve">2026.9.30</t>
  </si>
  <si>
    <t xml:space="preserve">11:00-14:00</t>
  </si>
  <si>
    <t xml:space="preserve">14:00-19:00</t>
  </si>
  <si>
    <t xml:space="preserve">19:00-22:00</t>
  </si>
  <si>
    <t xml:space="preserve">求和项:助播时长</t>
  </si>
  <si>
    <t xml:space="preserve">总计</t>
  </si>
  <si>
    <t xml:space="preserve">roi</t>
  </si>
  <si>
    <t xml:space="preserve">时耗</t>
  </si>
  <si>
    <t xml:space="preserve">日期</t>
  </si>
  <si>
    <t xml:space="preserve">主播</t>
  </si>
  <si>
    <t xml:space="preserve">直播时段</t>
  </si>
  <si>
    <t xml:space="preserve">直播时长</t>
  </si>
  <si>
    <t xml:space="preserve">保单数量</t>
  </si>
  <si>
    <t xml:space="preserve">t0退保数量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</si>
  <si>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</si>
  <si>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</si>
  <si>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</si>
  <si>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</si>
  <si>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</si>
  <si>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T0退保率</t>
  </si>
  <si>
    <t xml:space="preserve">助播1</t>
  </si>
  <si>
    <t xml:space="preserve">助播时长</t>
  </si>
  <si>
    <t xml:space="preserve">2026.8.1</t>
  </si>
  <si>
    <t xml:space="preserve">王笑荣</t>
  </si>
  <si>
    <t xml:space="preserve">06:00-11:00</t>
  </si>
  <si>
    <t xml:space="preserve">程思佳早</t>
  </si>
  <si>
    <t xml:space="preserve">李佳怡</t>
  </si>
  <si>
    <t xml:space="preserve">11:00-15:00</t>
  </si>
  <si>
    <t xml:space="preserve">尹怡诺</t>
  </si>
  <si>
    <t xml:space="preserve">15:00-18:00</t>
  </si>
  <si>
    <t xml:space="preserve">董柯言</t>
  </si>
  <si>
    <t xml:space="preserve">刘梦</t>
  </si>
  <si>
    <t xml:space="preserve">18:00-20:00</t>
  </si>
  <si>
    <t xml:space="preserve">2026.8.2</t>
  </si>
  <si>
    <t xml:space="preserve">06:00-10:00</t>
  </si>
  <si>
    <t xml:space="preserve">郭玉龙</t>
  </si>
  <si>
    <t xml:space="preserve">10:00-13:00</t>
  </si>
  <si>
    <t xml:space="preserve">18:00-20：00</t>
  </si>
  <si>
    <t xml:space="preserve">2026.8.3</t>
  </si>
  <si>
    <t xml:space="preserve">10:00-14:00</t>
  </si>
  <si>
    <t xml:space="preserve">14:00-18:00</t>
  </si>
  <si>
    <t xml:space="preserve">18:00-21:00</t>
  </si>
  <si>
    <t xml:space="preserve">2026.8.4</t>
  </si>
  <si>
    <t xml:space="preserve">14:00-15:00</t>
  </si>
  <si>
    <t xml:space="preserve">2026.8.5</t>
  </si>
  <si>
    <t xml:space="preserve">何雅源</t>
  </si>
  <si>
    <t xml:space="preserve">2026.8.6</t>
  </si>
  <si>
    <t xml:space="preserve">2026.8.7</t>
  </si>
  <si>
    <t xml:space="preserve">李凯丽</t>
  </si>
  <si>
    <t xml:space="preserve">13:00-16:00</t>
  </si>
  <si>
    <t xml:space="preserve">张欣颖</t>
  </si>
  <si>
    <t xml:space="preserve">17:00-21:00</t>
  </si>
  <si>
    <t xml:space="preserve">何彩樱双</t>
  </si>
  <si>
    <t xml:space="preserve">2026.8.8</t>
  </si>
  <si>
    <t xml:space="preserve">曹颖慧早</t>
  </si>
  <si>
    <t xml:space="preserve">14:00-16:00</t>
  </si>
  <si>
    <t xml:space="preserve">何彩樱</t>
  </si>
  <si>
    <t xml:space="preserve">18:00-22:00</t>
  </si>
  <si>
    <t xml:space="preserve">2026.8.9</t>
  </si>
  <si>
    <t xml:space="preserve">15:00-19:00</t>
  </si>
  <si>
    <t xml:space="preserve">19:00-24:00</t>
  </si>
  <si>
    <t xml:space="preserve">程思佳</t>
  </si>
  <si>
    <t xml:space="preserve">2026.8.10</t>
  </si>
  <si>
    <t xml:space="preserve">王学伟双</t>
  </si>
  <si>
    <t xml:space="preserve">19:00-23:00</t>
  </si>
  <si>
    <t xml:space="preserve">2026.8.11</t>
  </si>
  <si>
    <t xml:space="preserve">14:00-19:00</t>
  </si>
  <si>
    <t xml:space="preserve">2026.8.12</t>
  </si>
  <si>
    <t xml:space="preserve">董柯言早</t>
  </si>
  <si>
    <t xml:space="preserve">2026.8.13</t>
  </si>
  <si>
    <t xml:space="preserve">李子健早</t>
  </si>
  <si>
    <t xml:space="preserve">2026.8.14</t>
  </si>
  <si>
    <t xml:space="preserve">2026.8.15</t>
  </si>
  <si>
    <t xml:space="preserve">2026.8.16</t>
  </si>
  <si>
    <t xml:space="preserve">2026.8.17</t>
  </si>
  <si>
    <t xml:space="preserve">李子健</t>
  </si>
  <si>
    <t xml:space="preserve">2026.8.18</t>
  </si>
  <si>
    <t xml:space="preserve">何彩樱早</t>
  </si>
  <si>
    <t xml:space="preserve">2026.8.19</t>
  </si>
  <si>
    <t xml:space="preserve">07:00-11:00</t>
  </si>
  <si>
    <t xml:space="preserve">2026.8.20</t>
  </si>
  <si>
    <t xml:space="preserve">2026.8.21</t>
  </si>
  <si>
    <t xml:space="preserve">19:00-22:00</t>
  </si>
  <si>
    <t xml:space="preserve">2026.8.22</t>
  </si>
  <si>
    <t xml:space="preserve">2026.8.23</t>
  </si>
  <si>
    <t xml:space="preserve">2026.8.24</t>
  </si>
  <si>
    <t xml:space="preserve">2026.8.25</t>
  </si>
  <si>
    <t xml:space="preserve">2026.8.26</t>
  </si>
  <si>
    <t xml:space="preserve">2026.8.27</t>
  </si>
  <si>
    <t xml:space="preserve">2026.8.28</t>
  </si>
  <si>
    <t xml:space="preserve">2026.8.29</t>
  </si>
  <si>
    <t xml:space="preserve">2026.8.30</t>
  </si>
  <si>
    <t xml:space="preserve">2026.8.31</t>
  </si>
  <si>
    <t xml:space="preserve">李寒玉</t>
  </si>
  <si>
    <t xml:space="preserve">日期</t>
  </si>
  <si>
    <t xml:space="preserve">主播</t>
  </si>
  <si>
    <t xml:space="preserve">直播时段</t>
  </si>
  <si>
    <t xml:space="preserve">直播时长</t>
  </si>
  <si>
    <t xml:space="preserve">保单数量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</si>
  <si>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</si>
  <si>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</si>
  <si>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</si>
  <si>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</si>
  <si>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</si>
  <si>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助播1</t>
  </si>
  <si>
    <t xml:space="preserve">助播时长</t>
  </si>
  <si>
    <t xml:space="preserve">2026.7.2</t>
  </si>
  <si>
    <t xml:space="preserve">卢林琰</t>
  </si>
  <si>
    <t xml:space="preserve">16:00-20:00</t>
  </si>
  <si>
    <t xml:space="preserve">周舒馨</t>
  </si>
  <si>
    <t xml:space="preserve">王笑荣</t>
  </si>
  <si>
    <t xml:space="preserve">20:00-24:00</t>
  </si>
  <si>
    <t xml:space="preserve">2026.7.3</t>
  </si>
  <si>
    <t xml:space="preserve">郭玉龙</t>
  </si>
  <si>
    <t xml:space="preserve">06:00-11:00</t>
  </si>
  <si>
    <t xml:space="preserve">李子健早</t>
  </si>
  <si>
    <t xml:space="preserve">11:00-15:00</t>
  </si>
  <si>
    <t xml:space="preserve">李子健双</t>
  </si>
  <si>
    <t xml:space="preserve">15:00-20:00</t>
  </si>
  <si>
    <t xml:space="preserve">董柯言</t>
  </si>
  <si>
    <t xml:space="preserve">何雅源</t>
  </si>
  <si>
    <t xml:space="preserve">20:00-22:00</t>
  </si>
  <si>
    <t xml:space="preserve">2026.7.4</t>
  </si>
  <si>
    <t xml:space="preserve">何彩樱早</t>
  </si>
  <si>
    <t xml:space="preserve">11:00-16:00</t>
  </si>
  <si>
    <t xml:space="preserve">李佳怡</t>
  </si>
  <si>
    <t xml:space="preserve">2026.7.5</t>
  </si>
  <si>
    <t xml:space="preserve">06:00-10:00</t>
  </si>
  <si>
    <t xml:space="preserve">10:00-14:00</t>
  </si>
  <si>
    <t xml:space="preserve">14:00-18:00</t>
  </si>
  <si>
    <t xml:space="preserve">18:00-22:00</t>
  </si>
  <si>
    <t xml:space="preserve">2026.7.6</t>
  </si>
  <si>
    <t xml:space="preserve">15:00-19:00</t>
  </si>
  <si>
    <t xml:space="preserve">19:00-21:00</t>
  </si>
  <si>
    <t xml:space="preserve">曹颖慧</t>
  </si>
  <si>
    <t xml:space="preserve">2026.7.7</t>
  </si>
  <si>
    <t xml:space="preserve">曹颖慧双</t>
  </si>
  <si>
    <t xml:space="preserve">2026.7.8</t>
  </si>
  <si>
    <t xml:space="preserve">尹怡诺</t>
  </si>
  <si>
    <t xml:space="preserve">14:00-16:00</t>
  </si>
  <si>
    <t xml:space="preserve">2026.7.9</t>
  </si>
  <si>
    <t xml:space="preserve">2026.7.10</t>
  </si>
  <si>
    <t xml:space="preserve">程思佳早</t>
  </si>
  <si>
    <t xml:space="preserve">16:00-18:00</t>
  </si>
  <si>
    <t xml:space="preserve">2026.7.11</t>
  </si>
  <si>
    <t xml:space="preserve">20:00-23:00</t>
  </si>
  <si>
    <t xml:space="preserve">程思佳</t>
  </si>
  <si>
    <t xml:space="preserve">2026.7.12</t>
  </si>
  <si>
    <t xml:space="preserve">14:00-14:30</t>
  </si>
  <si>
    <t xml:space="preserve">2026.7.13</t>
  </si>
  <si>
    <t xml:space="preserve">2026.7.14</t>
  </si>
  <si>
    <t xml:space="preserve">刘昊冉</t>
  </si>
  <si>
    <t xml:space="preserve">14:00-15:00</t>
  </si>
  <si>
    <t xml:space="preserve">15:00-16:00</t>
  </si>
  <si>
    <t xml:space="preserve">2026.7.15</t>
  </si>
  <si>
    <t xml:space="preserve">10:00-13:30</t>
  </si>
  <si>
    <t xml:space="preserve">20:00-21:00</t>
  </si>
  <si>
    <t xml:space="preserve">2026.7.16</t>
  </si>
  <si>
    <t xml:space="preserve">2026.7.17</t>
  </si>
  <si>
    <t xml:space="preserve">16:00-19:00</t>
  </si>
  <si>
    <t xml:space="preserve">刘梦</t>
  </si>
  <si>
    <t xml:space="preserve">19:00-22:00</t>
  </si>
  <si>
    <t xml:space="preserve">2026.7.18</t>
  </si>
  <si>
    <t xml:space="preserve">15:00-18:00</t>
  </si>
  <si>
    <t xml:space="preserve">2026.7.19</t>
  </si>
  <si>
    <t xml:space="preserve">2026.7.20</t>
  </si>
  <si>
    <t xml:space="preserve">董柯言早</t>
  </si>
  <si>
    <t xml:space="preserve">18:00-20:00</t>
  </si>
  <si>
    <t xml:space="preserve">20:00-22:30</t>
  </si>
  <si>
    <t xml:space="preserve">2026.7.21</t>
  </si>
  <si>
    <t xml:space="preserve">2026.7.22</t>
  </si>
  <si>
    <t xml:space="preserve">2026.7.23</t>
  </si>
  <si>
    <t xml:space="preserve">2026.7.24</t>
  </si>
  <si>
    <t xml:space="preserve">2026.7.25</t>
  </si>
  <si>
    <t xml:space="preserve">11:00-14:00</t>
  </si>
  <si>
    <t xml:space="preserve">2026.7.26</t>
  </si>
  <si>
    <t xml:space="preserve">10:00-13:00</t>
  </si>
  <si>
    <t xml:space="preserve">2026.7.27</t>
  </si>
  <si>
    <t xml:space="preserve">18:00-21:00</t>
  </si>
  <si>
    <t xml:space="preserve">21:00-23:00</t>
  </si>
  <si>
    <t xml:space="preserve">2026.7.28</t>
  </si>
  <si>
    <t xml:space="preserve">14:00-16:30</t>
  </si>
  <si>
    <t xml:space="preserve">2026.7.29</t>
  </si>
  <si>
    <t xml:space="preserve">2026.7.30</t>
  </si>
  <si>
    <t xml:space="preserve">2026.7.31</t>
  </si>
  <si>
    <t xml:space="preserve">日期</t>
  </si>
  <si>
    <t xml:space="preserve">主播</t>
  </si>
  <si>
    <t xml:space="preserve">直播时段</t>
  </si>
  <si>
    <t xml:space="preserve">直播时长</t>
  </si>
  <si>
    <t xml:space="preserve">保单数量</t>
  </si>
  <si>
    <t xml:space="preserve">家庭单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</si>
  <si>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</si>
  <si>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</si>
  <si>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</si>
  <si>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</si>
  <si>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</si>
  <si>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助播1</t>
  </si>
  <si>
    <t xml:space="preserve">助播时长</t>
  </si>
  <si>
    <t xml:space="preserve">2026.6.1</t>
  </si>
  <si>
    <t xml:space="preserve">郭玉龙</t>
  </si>
  <si>
    <t xml:space="preserve">06:00-10:00</t>
  </si>
  <si>
    <t xml:space="preserve">董柯言早</t>
  </si>
  <si>
    <t xml:space="preserve">王笑荣</t>
  </si>
  <si>
    <t xml:space="preserve">10:00-14:00</t>
  </si>
  <si>
    <t xml:space="preserve">李子健</t>
  </si>
  <si>
    <t xml:space="preserve">宋博阳</t>
  </si>
  <si>
    <t xml:space="preserve">19:00-22:00</t>
  </si>
  <si>
    <t xml:space="preserve">李子健双</t>
  </si>
  <si>
    <t xml:space="preserve">2026.6.2</t>
  </si>
  <si>
    <t xml:space="preserve">程思佳早</t>
  </si>
  <si>
    <t xml:space="preserve">冯羽馨</t>
  </si>
  <si>
    <t xml:space="preserve">19:00-21:00</t>
  </si>
  <si>
    <t xml:space="preserve">2026.6.3</t>
  </si>
  <si>
    <t xml:space="preserve">06:00-11:00</t>
  </si>
  <si>
    <t xml:space="preserve">11:00-16:00</t>
  </si>
  <si>
    <t xml:space="preserve">16:00-18:00</t>
  </si>
  <si>
    <t xml:space="preserve">2026.6.4</t>
  </si>
  <si>
    <t xml:space="preserve">10:00-15:00</t>
  </si>
  <si>
    <t xml:space="preserve">2026.6.5</t>
  </si>
  <si>
    <t xml:space="preserve">2026.6.6</t>
  </si>
  <si>
    <t xml:space="preserve">李佳怡</t>
  </si>
  <si>
    <t xml:space="preserve">10:00-13:00</t>
  </si>
  <si>
    <t xml:space="preserve">13:00-15:00</t>
  </si>
  <si>
    <t xml:space="preserve">2026.6.7</t>
  </si>
  <si>
    <t xml:space="preserve">2026.6.8</t>
  </si>
  <si>
    <t xml:space="preserve">11:00-15:00</t>
  </si>
  <si>
    <t xml:space="preserve">2026.6.9</t>
  </si>
  <si>
    <t xml:space="preserve">董柯言双</t>
  </si>
  <si>
    <t xml:space="preserve">何雅源</t>
  </si>
  <si>
    <t xml:space="preserve">14:00-17:00</t>
  </si>
  <si>
    <t xml:space="preserve">董柯言</t>
  </si>
  <si>
    <t xml:space="preserve">2026.6.10</t>
  </si>
  <si>
    <t xml:space="preserve">2026.6.11</t>
  </si>
  <si>
    <t xml:space="preserve">14:00-18:00</t>
  </si>
  <si>
    <t xml:space="preserve">2026.6.12</t>
  </si>
  <si>
    <t xml:space="preserve">15:00-19:00</t>
  </si>
  <si>
    <t xml:space="preserve">2026.6.13</t>
  </si>
  <si>
    <t xml:space="preserve">2026.6.14</t>
  </si>
  <si>
    <t xml:space="preserve">2026.6.15</t>
  </si>
  <si>
    <t xml:space="preserve">2026.6.16</t>
  </si>
  <si>
    <t xml:space="preserve">2026.6.17</t>
  </si>
  <si>
    <t xml:space="preserve">15:00-17:00</t>
  </si>
  <si>
    <t xml:space="preserve">2026.6.18</t>
  </si>
  <si>
    <t xml:space="preserve">2026.6.19</t>
  </si>
  <si>
    <t xml:space="preserve">程思佳</t>
  </si>
  <si>
    <t xml:space="preserve">15:00-18:00</t>
  </si>
  <si>
    <t xml:space="preserve">2026.6.20</t>
  </si>
  <si>
    <t xml:space="preserve">2026.6.21</t>
  </si>
  <si>
    <t xml:space="preserve">2026.6.22</t>
  </si>
  <si>
    <t xml:space="preserve">2026.6.23</t>
  </si>
  <si>
    <t xml:space="preserve">2026.6.24</t>
  </si>
  <si>
    <t xml:space="preserve">卢林琰</t>
  </si>
  <si>
    <t xml:space="preserve">18:00-21:00</t>
  </si>
  <si>
    <t xml:space="preserve">卢佳轩双</t>
  </si>
  <si>
    <t xml:space="preserve">2026.6.25</t>
  </si>
  <si>
    <t xml:space="preserve">2026.6.26</t>
  </si>
  <si>
    <t xml:space="preserve">18:00-22:00</t>
  </si>
  <si>
    <t xml:space="preserve">2026.6.27</t>
  </si>
  <si>
    <t xml:space="preserve">15:00-20:00</t>
  </si>
  <si>
    <t xml:space="preserve">20:00-24:00</t>
  </si>
  <si>
    <t xml:space="preserve">2026.6.28</t>
  </si>
  <si>
    <t xml:space="preserve">24:00-01:30</t>
  </si>
  <si>
    <t xml:space="preserve">2026.6.29</t>
  </si>
  <si>
    <t xml:space="preserve">19:00-23:00</t>
  </si>
  <si>
    <t xml:space="preserve">2026.6.30</t>
  </si>
  <si>
    <t xml:space="preserve">17:00-18:00</t>
  </si>
  <si>
    <t xml:space="preserve">周舒馨</t>
  </si>
  <si>
    <t xml:space="preserve">周舒馨双</t>
  </si>
  <si>
    <t xml:space="preserve">日期</t>
  </si>
  <si>
    <t xml:space="preserve">主播</t>
  </si>
  <si>
    <t xml:space="preserve">直播时段</t>
  </si>
  <si>
    <t xml:space="preserve">直播时长</t>
  </si>
  <si>
    <t xml:space="preserve">保单数量</t>
  </si>
  <si>
    <t xml:space="preserve">家庭单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</si>
  <si>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</si>
  <si>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</si>
  <si>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</si>
  <si>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</si>
  <si>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</si>
  <si>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助播1</t>
  </si>
  <si>
    <t xml:space="preserve">助播时长</t>
  </si>
  <si>
    <t xml:space="preserve">2026.5.1</t>
  </si>
  <si>
    <t xml:space="preserve">郭玉龙</t>
  </si>
  <si>
    <t xml:space="preserve">08:00-13:00</t>
  </si>
  <si>
    <t xml:space="preserve">任子硕双</t>
  </si>
  <si>
    <t xml:space="preserve">李佳怡</t>
  </si>
  <si>
    <t xml:space="preserve">13:00-18:00</t>
  </si>
  <si>
    <t xml:space="preserve">冯羽馨</t>
  </si>
  <si>
    <t xml:space="preserve">18:00-21:00</t>
  </si>
  <si>
    <t xml:space="preserve">王笑荣</t>
  </si>
  <si>
    <t xml:space="preserve">21:00-24:00</t>
  </si>
  <si>
    <t xml:space="preserve">何彩樱</t>
  </si>
  <si>
    <t xml:space="preserve">2026.5.2</t>
  </si>
  <si>
    <t xml:space="preserve">08:00-12:00</t>
  </si>
  <si>
    <t xml:space="preserve">12:00-17:00</t>
  </si>
  <si>
    <t xml:space="preserve">17:00-22:00</t>
  </si>
  <si>
    <t xml:space="preserve">2026.5.3</t>
  </si>
  <si>
    <t xml:space="preserve">12:00-16:00</t>
  </si>
  <si>
    <t xml:space="preserve">16:00-21:00</t>
  </si>
  <si>
    <t xml:space="preserve">2026.5.4</t>
  </si>
  <si>
    <t xml:space="preserve">任子硕</t>
  </si>
  <si>
    <t xml:space="preserve">王茜</t>
  </si>
  <si>
    <t xml:space="preserve">2026.5.5</t>
  </si>
  <si>
    <t xml:space="preserve">16:00-20:00</t>
  </si>
  <si>
    <t xml:space="preserve">20:00-24:00</t>
  </si>
  <si>
    <t xml:space="preserve">董柯言</t>
  </si>
  <si>
    <t xml:space="preserve">2026.5.6</t>
  </si>
  <si>
    <t xml:space="preserve">17:00-21:00</t>
  </si>
  <si>
    <t xml:space="preserve">2026.5.7</t>
  </si>
  <si>
    <t xml:space="preserve">13:00-17:00</t>
  </si>
  <si>
    <t xml:space="preserve">2026.5.8</t>
  </si>
  <si>
    <t xml:space="preserve">12:00-15:00</t>
  </si>
  <si>
    <t xml:space="preserve">陈思钰</t>
  </si>
  <si>
    <t xml:space="preserve">16:30-20:30</t>
  </si>
  <si>
    <t xml:space="preserve">2026.5.9</t>
  </si>
  <si>
    <t xml:space="preserve">16:00-19:00</t>
  </si>
  <si>
    <t xml:space="preserve">19:00-23:00</t>
  </si>
  <si>
    <t xml:space="preserve">2026.5.10</t>
  </si>
  <si>
    <t xml:space="preserve">2026.5.11</t>
  </si>
  <si>
    <t xml:space="preserve">2026.5.12</t>
  </si>
  <si>
    <t xml:space="preserve">20:00-23:00</t>
  </si>
  <si>
    <t xml:space="preserve">2026.5.13</t>
  </si>
  <si>
    <t xml:space="preserve">2026.5.14</t>
  </si>
  <si>
    <t xml:space="preserve">2026.5.15</t>
  </si>
  <si>
    <t xml:space="preserve">20:00-22:00</t>
  </si>
  <si>
    <t xml:space="preserve">2026.5.16</t>
  </si>
  <si>
    <t xml:space="preserve">2026.5.17</t>
  </si>
  <si>
    <t xml:space="preserve">07:00-11:00</t>
  </si>
  <si>
    <t xml:space="preserve">李子健双</t>
  </si>
  <si>
    <t xml:space="preserve">11:00-15:00</t>
  </si>
  <si>
    <t xml:space="preserve">周舒馨双</t>
  </si>
  <si>
    <t xml:space="preserve">2026.5.18</t>
  </si>
  <si>
    <t xml:space="preserve">11:00-14:00</t>
  </si>
  <si>
    <t xml:space="preserve">宋博阳</t>
  </si>
  <si>
    <t xml:space="preserve">14:00-16:00</t>
  </si>
  <si>
    <t xml:space="preserve">2026.5.19</t>
  </si>
  <si>
    <t xml:space="preserve">11:00-13:00</t>
  </si>
  <si>
    <t xml:space="preserve">13:00-16:00</t>
  </si>
  <si>
    <t xml:space="preserve">2026.5.20</t>
  </si>
  <si>
    <t xml:space="preserve">07:00-10:00</t>
  </si>
  <si>
    <t xml:space="preserve">10:00-13:00</t>
  </si>
  <si>
    <t xml:space="preserve">2026.5.21</t>
  </si>
  <si>
    <t xml:space="preserve">2026.5.22</t>
  </si>
  <si>
    <t xml:space="preserve">06:00-09:00</t>
  </si>
  <si>
    <t xml:space="preserve">09:00-12:00</t>
  </si>
  <si>
    <t xml:space="preserve">董柯言早</t>
  </si>
  <si>
    <t xml:space="preserve">2026.5.23</t>
  </si>
  <si>
    <t xml:space="preserve">2026.5.24</t>
  </si>
  <si>
    <t xml:space="preserve">19:00-21:30</t>
  </si>
  <si>
    <t xml:space="preserve">何彩樱双</t>
  </si>
  <si>
    <t xml:space="preserve">2026.5.25</t>
  </si>
  <si>
    <t xml:space="preserve">09:00-13:00</t>
  </si>
  <si>
    <t xml:space="preserve">19:00-21:00</t>
  </si>
  <si>
    <t xml:space="preserve">2026.5.26</t>
  </si>
  <si>
    <t xml:space="preserve">2026.5.27</t>
  </si>
  <si>
    <t xml:space="preserve">06:00-10:00</t>
  </si>
  <si>
    <t xml:space="preserve">10:00-14:00</t>
  </si>
  <si>
    <t xml:space="preserve">2026.5.28</t>
  </si>
  <si>
    <t xml:space="preserve">19:00-22:00</t>
  </si>
  <si>
    <t xml:space="preserve">2026.5.29</t>
  </si>
  <si>
    <t xml:space="preserve">程思佳早</t>
  </si>
  <si>
    <t xml:space="preserve">2026.5.30</t>
  </si>
  <si>
    <t xml:space="preserve">09:00-14:00</t>
  </si>
  <si>
    <t xml:space="preserve">14:00-19:00</t>
  </si>
  <si>
    <t xml:space="preserve">2026.5.31</t>
  </si>
  <si>
    <t xml:space="preserve">日期</t>
  </si>
  <si>
    <t xml:space="preserve">主播</t>
  </si>
  <si>
    <t xml:space="preserve">直播时段</t>
  </si>
  <si>
    <t xml:space="preserve">直播时长</t>
  </si>
  <si>
    <t xml:space="preserve">保单数量</t>
  </si>
  <si>
    <t xml:space="preserve">家庭单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</si>
  <si>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</si>
  <si>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</si>
  <si>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</si>
  <si>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</si>
  <si>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</si>
  <si>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助播1</t>
  </si>
  <si>
    <t xml:space="preserve">助播时长</t>
  </si>
  <si>
    <t xml:space="preserve">2026.4.5</t>
  </si>
  <si>
    <t xml:space="preserve">冯羽馨</t>
  </si>
  <si>
    <t xml:space="preserve">8:30-11:00</t>
  </si>
  <si>
    <t xml:space="preserve">闫雪儒双</t>
  </si>
  <si>
    <t xml:space="preserve">王茜</t>
  </si>
  <si>
    <t xml:space="preserve">11:00-13:00</t>
  </si>
  <si>
    <t xml:space="preserve">2026.4.6</t>
  </si>
  <si>
    <t xml:space="preserve">8:00-11:00</t>
  </si>
  <si>
    <t xml:space="preserve">何彩樱</t>
  </si>
  <si>
    <t xml:space="preserve">2026.4.7</t>
  </si>
  <si>
    <t xml:space="preserve">周舒馨双</t>
  </si>
  <si>
    <t xml:space="preserve">2026.4.8</t>
  </si>
  <si>
    <t xml:space="preserve">06:00-09:00</t>
  </si>
  <si>
    <t xml:space="preserve">09:00-11:00</t>
  </si>
  <si>
    <t xml:space="preserve">2026.4.9</t>
  </si>
  <si>
    <t xml:space="preserve">周舒馨早</t>
  </si>
  <si>
    <t xml:space="preserve">2026.4.10</t>
  </si>
  <si>
    <t xml:space="preserve">06:00-10:00</t>
  </si>
  <si>
    <t xml:space="preserve">何彩樱早</t>
  </si>
  <si>
    <t xml:space="preserve">10:00-14:00</t>
  </si>
  <si>
    <t xml:space="preserve">何彩樱双</t>
  </si>
  <si>
    <t xml:space="preserve">2026.4.11</t>
  </si>
  <si>
    <t xml:space="preserve">2026.4.12</t>
  </si>
  <si>
    <t xml:space="preserve">2026.4.13</t>
  </si>
  <si>
    <t xml:space="preserve">2026.4.14</t>
  </si>
  <si>
    <t xml:space="preserve">2026.4.15</t>
  </si>
  <si>
    <t xml:space="preserve">2026.4.16</t>
  </si>
  <si>
    <t xml:space="preserve">2026.4.17</t>
  </si>
  <si>
    <t xml:space="preserve">2026.4.18</t>
  </si>
  <si>
    <t xml:space="preserve">李佳怡</t>
  </si>
  <si>
    <t xml:space="preserve">2026.4.19</t>
  </si>
  <si>
    <t xml:space="preserve">2026.4.20</t>
  </si>
  <si>
    <t xml:space="preserve">2026.4.21</t>
  </si>
  <si>
    <t xml:space="preserve">2026.4.22</t>
  </si>
  <si>
    <t xml:space="preserve">2026.4.23</t>
  </si>
  <si>
    <t xml:space="preserve">2026.4.24</t>
  </si>
  <si>
    <t xml:space="preserve">郭玉龙</t>
  </si>
  <si>
    <t xml:space="preserve">16:00-20:00</t>
  </si>
  <si>
    <t xml:space="preserve">20:00-24:00</t>
  </si>
  <si>
    <t xml:space="preserve">2026.4.25</t>
  </si>
  <si>
    <t xml:space="preserve">2026.4.26</t>
  </si>
  <si>
    <t xml:space="preserve">2026.4.27</t>
  </si>
  <si>
    <t xml:space="preserve">2026.4.28</t>
  </si>
  <si>
    <t xml:space="preserve">16:00-21:00</t>
  </si>
  <si>
    <t xml:space="preserve">21:00-24:00</t>
  </si>
  <si>
    <t xml:space="preserve">2026.4.29</t>
  </si>
  <si>
    <t xml:space="preserve">2026.4.30</t>
  </si>
  <si>
    <t xml:space="preserve">15:00-20:00</t>
  </si>
  <si>
    <t xml:space="preserve">王笑荣</t>
  </si>
  <si>
    <t xml:space="preserve">21:30-24:30</t>
  </si>
  <si>
    <t xml:space="preserve">时耗</t>
  </si>
  <si>
    <t xml:space="preserve">4.12-4.18</t>
  </si>
  <si>
    <t xml:space="preserve">总计</t>
  </si>
  <si>
    <t xml:space="preserve">4.19-4.25</t>
  </si>
  <si>
    <t xml:space="preserve">4.26-5.2</t>
  </si>
  <si>
    <t xml:space="preserve">5.3-5.9</t>
  </si>
  <si>
    <t xml:space="preserve">主播</t>
  </si>
  <si>
    <t xml:space="preserve">求和项:直播时长</t>
  </si>
  <si>
    <t xml:space="preserve">求和项:年化保费</t>
  </si>
  <si>
    <t xml:space="preserve">求和项:投流消耗</t>
  </si>
  <si>
    <t xml:space="preserve">求和项:保单数量</t>
  </si>
  <si>
    <t xml:space="preserve">保单成本</t>
  </si>
  <si>
    <t xml:space="preserve">roi</t>
  </si>
  <si>
    <t xml:space="preserve">日期</t>
  </si>
  <si>
    <t xml:space="preserve">直播时长</t>
  </si>
  <si>
    <t xml:space="preserve">总保单数</t>
  </si>
  <si>
    <t xml:space="preserve">总年化保费</t>
  </si>
  <si>
    <t xml:space="preserve">投放消耗</t>
  </si>
  <si>
    <t xml:space="preserve">ROI</t>
  </si>
  <si>
    <t xml:space="preserve">平均时耗</t>
  </si>
  <si>
    <t xml:space="preserve">保费件均</t>
  </si>
  <si>
    <t xml:space="preserve">冯羽馨</t>
  </si>
  <si>
    <t xml:space="preserve">6月</t>
  </si>
  <si>
    <t xml:space="preserve">郭玉龙</t>
  </si>
  <si>
    <t xml:space="preserve">7月</t>
  </si>
  <si>
    <t xml:space="preserve">何雅源</t>
  </si>
  <si>
    <t xml:space="preserve">环比</t>
  </si>
  <si>
    <t xml:space="preserve">李佳怡</t>
  </si>
  <si>
    <t xml:space="preserve">卢林琰</t>
  </si>
  <si>
    <t xml:space="preserve">宋博阳</t>
  </si>
  <si>
    <t xml:space="preserve">王笑荣</t>
  </si>
  <si>
    <t xml:space="preserve">总计</t>
  </si>
  <si>
    <t xml:space="preserve">直播时段</t>
  </si>
  <si>
    <t xml:space="preserve">保单数量</t>
  </si>
  <si>
    <t xml:space="preserve">年化保费</t>
  </si>
  <si>
    <t xml:space="preserve">投流消耗</t>
  </si>
  <si>
    <t xml:space="preserve">单均</t>
  </si>
  <si>
    <t xml:space="preserve">2026.7.3</t>
  </si>
  <si>
    <t xml:space="preserve">06:00-11:00</t>
  </si>
  <si>
    <t xml:space="preserve">2026.7.4</t>
  </si>
  <si>
    <t xml:space="preserve">20:00-24:00</t>
  </si>
  <si>
    <t xml:space="preserve">2026.7.5</t>
  </si>
  <si>
    <t xml:space="preserve">18:00-22:00</t>
  </si>
  <si>
    <t xml:space="preserve">2026.7.6</t>
  </si>
  <si>
    <t xml:space="preserve">15:00-19:00</t>
  </si>
  <si>
    <t xml:space="preserve">2026.7.7</t>
  </si>
  <si>
    <t xml:space="preserve">15:00-20:00</t>
  </si>
  <si>
    <t xml:space="preserve">2026.7.8</t>
  </si>
  <si>
    <t xml:space="preserve">16:00-20:00</t>
  </si>
  <si>
    <t xml:space="preserve">2026.7.9</t>
  </si>
  <si>
    <t xml:space="preserve">2026.7.11</t>
  </si>
  <si>
    <t xml:space="preserve">11:00-16:00</t>
  </si>
  <si>
    <t xml:space="preserve">2026.7.12</t>
  </si>
  <si>
    <t xml:space="preserve">10:00-14:00</t>
  </si>
  <si>
    <t xml:space="preserve">2026.7.13</t>
  </si>
  <si>
    <t xml:space="preserve">2026.7.14</t>
  </si>
  <si>
    <t xml:space="preserve">2026.7.15</t>
  </si>
  <si>
    <t xml:space="preserve">10:00-13:30</t>
  </si>
  <si>
    <t xml:space="preserve">2026.7.17</t>
  </si>
  <si>
    <t xml:space="preserve">06:00-10:00</t>
  </si>
  <si>
    <t xml:space="preserve">2026.7.20</t>
  </si>
  <si>
    <t xml:space="preserve">2026.7.21</t>
  </si>
  <si>
    <t xml:space="preserve">2026.7.22</t>
  </si>
  <si>
    <t xml:space="preserve">2026.7.23</t>
  </si>
  <si>
    <t xml:space="preserve">2026.7.24</t>
  </si>
  <si>
    <t xml:space="preserve">2026.7.25</t>
  </si>
  <si>
    <t xml:space="preserve">11:00-14:00</t>
  </si>
  <si>
    <t xml:space="preserve">2026.7.26</t>
  </si>
  <si>
    <t xml:space="preserve">2026.7.27</t>
  </si>
  <si>
    <t xml:space="preserve">14:00-18:00</t>
  </si>
  <si>
    <t xml:space="preserve">2026.7.28</t>
  </si>
  <si>
    <t xml:space="preserve">2026.7.30</t>
  </si>
  <si>
    <t xml:space="preserve">2026.7.31</t>
  </si>
  <si>
    <t xml:space="preserve">20:00-22:00</t>
  </si>
  <si>
    <t xml:space="preserve">19:00-21:00</t>
  </si>
  <si>
    <t xml:space="preserve">2026.7.10</t>
  </si>
  <si>
    <t xml:space="preserve">2026.7.16</t>
  </si>
  <si>
    <t xml:space="preserve">11:00-15:00</t>
  </si>
  <si>
    <t xml:space="preserve">2026.7.19</t>
  </si>
  <si>
    <t xml:space="preserve">16:00-18:00</t>
  </si>
  <si>
    <t xml:space="preserve">2026.7.29</t>
  </si>
  <si>
    <t xml:space="preserve">刘昊冉</t>
  </si>
  <si>
    <t xml:space="preserve">14:00-15:00</t>
  </si>
  <si>
    <t xml:space="preserve">14:00-16:00</t>
  </si>
  <si>
    <t xml:space="preserve">18:00-20:00</t>
  </si>
  <si>
    <t xml:space="preserve">刘梦</t>
  </si>
  <si>
    <t xml:space="preserve">19:00-22:00</t>
  </si>
  <si>
    <t xml:space="preserve">20:00-22:30</t>
  </si>
  <si>
    <t xml:space="preserve">20:00-23:00</t>
  </si>
  <si>
    <t xml:space="preserve">21:00-23:00</t>
  </si>
  <si>
    <t xml:space="preserve">2026.7.18</t>
  </si>
  <si>
    <t xml:space="preserve">2026.7.2</t>
  </si>
  <si>
    <t xml:space="preserve">14:00-14:30</t>
  </si>
  <si>
    <t xml:space="preserve">15:00-16:00</t>
  </si>
  <si>
    <t xml:space="preserve">10:00-13:00</t>
  </si>
  <si>
    <t xml:space="preserve">尹怡诺</t>
  </si>
  <si>
    <t xml:space="preserve">20:00-21:00</t>
  </si>
  <si>
    <t xml:space="preserve">16:00-19:00</t>
  </si>
  <si>
    <t xml:space="preserve">15:00-18:00</t>
  </si>
  <si>
    <t xml:space="preserve">18:00-21:00</t>
  </si>
  <si>
    <t xml:space="preserve">14:00-16:30</t>
  </si>
  <si>
    <t xml:space="preserve">直播间观看</t>
  </si>
  <si>
    <t xml:space="preserve">直播间超1分钟观看</t>
  </si>
  <si>
    <t xml:space="preserve">点击次数</t>
  </si>
  <si>
    <t xml:space="preserve">点击率</t>
  </si>
  <si>
    <t xml:space="preserve">展示数</t>
  </si>
  <si>
    <t xml:space="preserve">组件点击数</t>
  </si>
  <si>
    <t xml:space="preserve">提单数</t>
  </si>
  <si>
    <t xml:space="preserve">支付数</t>
  </si>
  <si>
    <t xml:space="preserve">总提单数</t>
  </si>
  <si>
    <t xml:space="preserve">总支付数</t>
  </si>
  <si>
    <t xml:space="preserve">点击数</t>
  </si>
  <si>
    <t xml:space="preserve">外层点击率</t>
  </si>
  <si>
    <t xml:space="preserve">6.1-6.7</t>
  </si>
  <si>
    <t xml:space="preserve">观看数</t>
  </si>
  <si>
    <t xml:space="preserve">超一分钟观看</t>
  </si>
  <si>
    <t xml:space="preserve">超一分钟观看率</t>
  </si>
  <si>
    <t xml:space="preserve">6.8-6.14</t>
  </si>
  <si>
    <t xml:space="preserve">6.15-6.21</t>
  </si>
  <si>
    <t xml:space="preserve">6.22-6.28</t>
  </si>
  <si>
    <t xml:space="preserve">6.29-7.5</t>
  </si>
  <si>
    <t xml:space="preserve">7.6-7.12</t>
  </si>
  <si>
    <t xml:space="preserve">7.13-7.19</t>
  </si>
  <si>
    <t xml:space="preserve">7.20-7.26</t>
  </si>
  <si>
    <t xml:space="preserve">7.27-7.31</t>
  </si>
  <si>
    <t xml:space="preserve">日期</t>
  </si>
  <si>
    <t xml:space="preserve">主播</t>
  </si>
  <si>
    <t xml:space="preserve">直播时段</t>
  </si>
  <si>
    <t xml:space="preserve">直播时长</t>
  </si>
  <si>
    <t xml:space="preserve">保单数量</t>
  </si>
  <si>
    <t xml:space="preserve">t0退保数量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</si>
  <si>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</si>
  <si>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</si>
  <si>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</si>
  <si>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</si>
  <si>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</si>
  <si>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T0退保率</t>
  </si>
  <si>
    <t xml:space="preserve">助播1</t>
  </si>
  <si>
    <t xml:space="preserve">助播时长</t>
  </si>
  <si>
    <t xml:space="preserve">2026.8.1</t>
  </si>
  <si>
    <t xml:space="preserve">王笑荣</t>
  </si>
  <si>
    <t xml:space="preserve">06:00-11:00</t>
  </si>
  <si>
    <t xml:space="preserve">程思佳早</t>
  </si>
  <si>
    <t xml:space="preserve">李佳怡</t>
  </si>
  <si>
    <t xml:space="preserve">11:00-15:00</t>
  </si>
  <si>
    <t xml:space="preserve">尹怡诺</t>
  </si>
  <si>
    <t xml:space="preserve">15:00-18:00</t>
  </si>
  <si>
    <t xml:space="preserve">董柯言</t>
  </si>
  <si>
    <t xml:space="preserve">刘梦</t>
  </si>
  <si>
    <t xml:space="preserve">18:00-20:00</t>
  </si>
  <si>
    <t xml:space="preserve">2026.8.2</t>
  </si>
  <si>
    <t xml:space="preserve">06:00-10:00</t>
  </si>
  <si>
    <t xml:space="preserve">郭玉龙</t>
  </si>
  <si>
    <t xml:space="preserve">10:00-13:00</t>
  </si>
  <si>
    <t xml:space="preserve">18:00-20：00</t>
  </si>
  <si>
    <t xml:space="preserve">2026.8.3</t>
  </si>
  <si>
    <t xml:space="preserve">10:00-14:00</t>
  </si>
  <si>
    <t xml:space="preserve">14:00-18:00</t>
  </si>
  <si>
    <t xml:space="preserve">18:00-21:00</t>
  </si>
  <si>
    <t xml:space="preserve">2026.8.4</t>
  </si>
  <si>
    <t xml:space="preserve">14:00-15:00</t>
  </si>
  <si>
    <t xml:space="preserve">2026.8.5</t>
  </si>
  <si>
    <t xml:space="preserve">何雅源</t>
  </si>
  <si>
    <t xml:space="preserve">2026.8.6</t>
  </si>
  <si>
    <t xml:space="preserve">2026.8.7</t>
  </si>
  <si>
    <t xml:space="preserve">李凯丽</t>
  </si>
  <si>
    <t xml:space="preserve">13:00-16:00</t>
  </si>
  <si>
    <t xml:space="preserve">张欣颖</t>
  </si>
  <si>
    <t xml:space="preserve">17:00-21:00</t>
  </si>
  <si>
    <t xml:space="preserve">何彩樱双</t>
  </si>
  <si>
    <t xml:space="preserve">2026.8.8</t>
  </si>
  <si>
    <t xml:space="preserve">曹颖慧早</t>
  </si>
  <si>
    <t xml:space="preserve">14:00-16:00</t>
  </si>
  <si>
    <t xml:space="preserve">何彩樱</t>
  </si>
  <si>
    <t xml:space="preserve">18:00-22:00</t>
  </si>
  <si>
    <t xml:space="preserve">2026.8.9</t>
  </si>
  <si>
    <t xml:space="preserve">15:00-19:00</t>
  </si>
  <si>
    <t xml:space="preserve">19:00-24:00</t>
  </si>
  <si>
    <t xml:space="preserve">程思佳</t>
  </si>
  <si>
    <t xml:space="preserve">2026.8.10</t>
  </si>
  <si>
    <t xml:space="preserve">王学伟双</t>
  </si>
  <si>
    <t xml:space="preserve">19:00-23:00</t>
  </si>
  <si>
    <t xml:space="preserve">2026.8.11</t>
  </si>
  <si>
    <t xml:space="preserve">14:00-19:00</t>
  </si>
  <si>
    <t xml:space="preserve">2026.8.12</t>
  </si>
  <si>
    <t xml:space="preserve">董柯言早</t>
  </si>
  <si>
    <t xml:space="preserve">2026.8.13</t>
  </si>
  <si>
    <t xml:space="preserve">李子健早</t>
  </si>
  <si>
    <t xml:space="preserve">2026.8.14</t>
  </si>
  <si>
    <t xml:space="preserve">2026.8.15</t>
  </si>
  <si>
    <t xml:space="preserve">2026.8.16</t>
  </si>
  <si>
    <t xml:space="preserve">2026.8.17</t>
  </si>
  <si>
    <t xml:space="preserve">李子健</t>
  </si>
  <si>
    <t xml:space="preserve">2026.8.18</t>
  </si>
  <si>
    <t xml:space="preserve">何彩樱早</t>
  </si>
  <si>
    <t xml:space="preserve">2026.8.19</t>
  </si>
  <si>
    <t xml:space="preserve">07:00-11:00</t>
  </si>
  <si>
    <t xml:space="preserve">2026.8.20</t>
  </si>
  <si>
    <t xml:space="preserve">2026.8.21</t>
  </si>
  <si>
    <t xml:space="preserve">19:00-22:00</t>
  </si>
  <si>
    <t xml:space="preserve">2026.8.22</t>
  </si>
  <si>
    <t xml:space="preserve">2026.8.23</t>
  </si>
  <si>
    <t xml:space="preserve">2026.8.24</t>
  </si>
  <si>
    <t xml:space="preserve">2026.8.25</t>
  </si>
  <si>
    <t xml:space="preserve">2026.8.26</t>
  </si>
  <si>
    <t xml:space="preserve">2026.8.27</t>
  </si>
  <si>
    <t xml:space="preserve">2026.8.28</t>
  </si>
  <si>
    <t xml:space="preserve">8.1-8.28</t>
  </si>
  <si>
    <t xml:space="preserve">时耗</t>
  </si>
  <si>
    <t xml:space="preserve">总计</t>
  </si>
  <si>
    <t xml:space="preserve">日期</t>
  </si>
  <si>
    <t xml:space="preserve">主播</t>
  </si>
  <si>
    <t xml:space="preserve">直播时段</t>
  </si>
  <si>
    <t xml:space="preserve">直播时长</t>
  </si>
  <si>
    <t xml:space="preserve">保单数量</t>
  </si>
  <si>
    <t xml:space="preserve">t0退保数量</t>
  </si>
  <si>
    <t xml:space="preserve">年化保费</t>
  </si>
  <si>
    <t xml:space="preserve">投流消耗</t>
  </si>
  <si>
    <t xml:space="preserve">ROI</t>
  </si>
  <si>
    <t xml:space="preserve">单均</t>
  </si>
  <si>
    <t xml:space="preserve">保单成本</t>
  </si>
  <si>
    <t xml:space="preserve">T0退保率</t>
  </si>
  <si>
    <t xml:space="preserve">2026.9.28</t>
  </si>
  <si>
    <t xml:space="preserve">郭玉龙</t>
  </si>
  <si>
    <t xml:space="preserve">07:00-11:00</t>
  </si>
  <si>
    <t xml:space="preserve">刘梦</t>
  </si>
  <si>
    <t xml:space="preserve">11:00-15:00</t>
  </si>
  <si>
    <t xml:space="preserve">李凯丽</t>
  </si>
  <si>
    <t xml:space="preserve">15:00-19:00</t>
  </si>
  <si>
    <t xml:space="preserve">张欣颖</t>
  </si>
  <si>
    <t xml:space="preserve">19:00-24:00</t>
  </si>
  <si>
    <t xml:space="preserve">2026.9.29</t>
  </si>
  <si>
    <t xml:space="preserve">2026.9.30</t>
  </si>
  <si>
    <t xml:space="preserve">11:00-14:00</t>
  </si>
  <si>
    <t xml:space="preserve">14:00-19:00</t>
  </si>
  <si>
    <t xml:space="preserve">19:00-22:00</t>
  </si>
  <si>
    <t xml:space="preserve">2026.10.1</t>
  </si>
  <si>
    <t xml:space="preserve">李佳怡</t>
  </si>
  <si>
    <t xml:space="preserve">16:00-20:00</t>
  </si>
  <si>
    <t xml:space="preserve">20:00-24:00</t>
  </si>
  <si>
    <t xml:space="preserve">2026.10.12</t>
  </si>
  <si>
    <t xml:space="preserve">8:00-12:00</t>
  </si>
  <si>
    <t xml:space="preserve">12:00-17:00</t>
  </si>
  <si>
    <t xml:space="preserve">17:00-20:00</t>
  </si>
  <si>
    <t xml:space="preserve">2026.10.13</t>
  </si>
  <si>
    <t xml:space="preserve">王笑荣</t>
  </si>
  <si>
    <t xml:space="preserve">2026.10.14</t>
  </si>
  <si>
    <t xml:space="preserve">11:00-16:00</t>
  </si>
  <si>
    <t xml:space="preserve">总保单数</t>
  </si>
  <si>
    <t xml:space="preserve">总年化保费</t>
  </si>
  <si>
    <t xml:space="preserve">投放消耗</t>
  </si>
  <si>
    <t xml:space="preserve">07:00-24:00</t>
  </si>
  <si>
    <t xml:space="preserve">07:00-22:00</t>
  </si>
  <si>
    <t xml:space="preserve">16:00-24:00</t>
  </si>
  <si>
    <t xml:space="preserve">8:00-20:00</t>
  </si>
  <si>
    <t xml:space="preserve">8:00-24:00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</si>
</sst>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3">
    <numFmt numFmtId="164" formatCode="0.00_);[Red](0.00)"/>
    <numFmt numFmtId="165" formatCode="General"/>
    <numFmt numFmtId="166" formatCode="#,##0.00"/>
    <numFmt numFmtId="167" formatCode="0.00%"/>
    <numFmt numFmtId="168" formatCode="0.00_);[Red](0.00)"/>
    <numFmt numFmtId="169" formatCode="General"/>
    <numFmt numFmtId="170" formatCode="#,##0.00"/>
    <numFmt numFmtId="171" formatCode="0.00%"/>
    <numFmt numFmtId="172" formatCode="0.00"/>
    <numFmt numFmtId="173" formatCode="0.00_);[Red](0.00)"/>
    <numFmt numFmtId="174" formatCode="#,##0.00"/>
    <numFmt numFmtId="175" formatCode="General"/>
    <numFmt numFmtId="176" formatCode="0.00%"/>
    <numFmt numFmtId="177" formatCode="0.00_);[Red](0.00)"/>
    <numFmt numFmtId="178" formatCode="#,##0.00"/>
    <numFmt numFmtId="179" formatCode="0.00_);[Red](0.00)"/>
    <numFmt numFmtId="180" formatCode="#,##0.00"/>
    <numFmt numFmtId="181" formatCode="0.00%"/>
    <numFmt numFmtId="182" formatCode="0.00_);[Red](0.00)"/>
    <numFmt numFmtId="183" formatCode="#,##0.00"/>
    <numFmt numFmtId="184" formatCode="#,##0"/>
    <numFmt numFmtId="185" formatCode="0.00_);[Red](0.00)"/>
    <numFmt numFmtId="186" formatCode="#,##0.00"/>
    <numFmt numFmtId="187" formatCode="0.00_);(0.00)"/>
    <numFmt numFmtId="188" formatCode="0_);(0)"/>
    <numFmt numFmtId="189" formatCode="0.00_);(0.00)"/>
    <numFmt numFmtId="190" formatCode="0.0"/>
    <numFmt numFmtId="191" formatCode="0"/>
    <numFmt numFmtId="192" formatCode="0.00"/>
    <numFmt numFmtId="193" formatCode="0%"/>
    <numFmt numFmtId="194" formatCode="0.00%"/>
    <numFmt numFmtId="195" formatCode="0.00_);[Red](0.00)"/>
    <numFmt numFmtId="196" formatCode="#,##0.00"/>
    <numFmt numFmtId="197" formatCode="General"/>
    <numFmt numFmtId="198" formatCode="0.00_);[Red](0.00)"/>
    <numFmt numFmtId="199" formatCode="#,##0.00"/>
    <numFmt numFmtId="200" formatCode="General"/>
    <numFmt numFmtId="201" formatCode="0.00%"/>
    <numFmt numFmtId="202" formatCode="0.00_);(0.00)"/>
    <numFmt numFmtId="203" formatCode="0.00_);[Red](0.00)"/>
    <numFmt numFmtId="204" formatCode="General"/>
    <numFmt numFmtId="205" formatCode="#,##0.00"/>
    <numFmt numFmtId="206" formatCode="0.00%"/>
  </numFmts>
  <fonts count="21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D83931"/>
      <name val="Calibri"/>
      <family val="2"/>
      <scheme val="minor"/>
    </font>
    <font>
      <b val="true"/>
      <sz val="10"/>
      <color rgb="FFF54A45"/>
      <name val="Calibri"/>
      <family val="2"/>
      <scheme val="minor"/>
    </font>
    <font>
      <sz val="11"/>
      <color rgb="FF8F959E"/>
      <name val="Calibri"/>
      <family val="2"/>
      <scheme val="minor"/>
    </font>
    <font>
      <sz val="10"/>
      <color rgb="FFDE3C36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b val="true"/>
      <sz val="10"/>
      <color rgb="FFDE3C36"/>
      <name val="Calibri"/>
      <family val="2"/>
      <scheme val="minor"/>
    </font>
    <font>
      <b val="true"/>
      <sz val="10"/>
      <color rgb="FF1F2329"/>
      <name val="Calibri"/>
      <family val="2"/>
      <scheme val="minor"/>
    </font>
    <font>
      <b val="true"/>
      <sz val="10"/>
      <color rgb="FFFFFFFF"/>
      <name val="Calibri"/>
      <family val="2"/>
      <scheme val="minor"/>
    </font>
    <font>
      <b val="true"/>
      <sz val="14"/>
      <color rgb="FFFFFFFF"/>
      <name val="Calibri"/>
      <family val="2"/>
      <scheme val="minor"/>
    </font>
    <font>
      <sz val="10"/>
      <color rgb="FF1F2329"/>
      <name val="Calibri"/>
      <family val="2"/>
      <scheme val="minor"/>
    </font>
    <font>
      <b val="true"/>
      <sz val="14"/>
      <color rgb="FF1F2329"/>
      <name val="Calibri"/>
      <family val="2"/>
      <scheme val="minor"/>
    </font>
    <font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 val="true"/>
      <sz val="12"/>
      <color rgb="FFFFFFFF"/>
      <name val="Calibri"/>
      <family val="2"/>
      <scheme val="minor"/>
    </font>
    <font>
      <sz val="18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1F2329"/>
      <name val="Calibri"/>
      <family val="2"/>
      <scheme val="minor"/>
    </font>
  </fonts>
  <fills count="35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DEBFF"/>
        <bgColor/>
      </patternFill>
    </fill>
    <fill>
      <patternFill patternType="solid">
        <fgColor rgb="FF8CDDFA"/>
        <bgColor/>
      </patternFill>
    </fill>
    <fill>
      <patternFill patternType="solid">
        <fgColor rgb="FFFDEBFF"/>
        <bgColor/>
      </patternFill>
    </fill>
    <fill>
      <patternFill patternType="solid">
        <fgColor rgb="FF8CDDFA"/>
        <bgColor/>
      </patternFill>
    </fill>
    <fill>
      <patternFill patternType="solid">
        <fgColor rgb="FFFDEBFF"/>
        <bgColor/>
      </patternFill>
    </fill>
    <fill>
      <patternFill patternType="solid">
        <fgColor rgb="FF8CDDFA"/>
        <bgColor/>
      </patternFill>
    </fill>
    <fill>
      <patternFill patternType="solid">
        <fgColor rgb="FFFDEBFF"/>
        <bgColor/>
      </patternFill>
    </fill>
    <fill>
      <patternFill patternType="solid">
        <fgColor rgb="FF8CDDFA"/>
        <bgColor/>
      </patternFill>
    </fill>
    <fill>
      <patternFill patternType="solid">
        <fgColor rgb="FFF5F6F7"/>
        <bgColor/>
      </patternFill>
    </fill>
    <fill>
      <patternFill patternType="solid">
        <fgColor rgb="FFFDEBFF"/>
        <bgColor/>
      </patternFill>
    </fill>
    <fill>
      <patternFill patternType="solid">
        <fgColor rgb="FF8CDDFA"/>
        <bgColor/>
      </patternFill>
    </fill>
    <fill>
      <patternFill patternType="solid">
        <fgColor rgb="FFFDEBFF"/>
        <bgColor/>
      </patternFill>
    </fill>
    <fill>
      <patternFill patternType="solid">
        <fgColor rgb="FF8CDDFA"/>
        <bgColor/>
      </patternFill>
    </fill>
    <fill>
      <patternFill patternType="solid">
        <fgColor rgb="FFFDEBFF"/>
        <bgColor/>
      </patternFill>
    </fill>
    <fill>
      <patternFill patternType="solid">
        <fgColor rgb="FF8CDDFA"/>
        <bgColor/>
      </patternFill>
    </fill>
    <fill>
      <patternFill patternType="solid">
        <fgColor rgb="FFF0F4FF"/>
        <bgColor/>
      </patternFill>
    </fill>
    <fill>
      <patternFill patternType="solid">
        <fgColor rgb="FF1C4CBA"/>
        <bgColor/>
      </patternFill>
    </fill>
    <fill>
      <patternFill patternType="solid">
        <fgColor rgb="FF00B0F0"/>
        <bgColor/>
      </patternFill>
    </fill>
    <fill>
      <patternFill patternType="solid">
        <fgColor rgb="FFF8F9FA"/>
        <bgColor/>
      </patternFill>
    </fill>
    <fill>
      <patternFill patternType="solid">
        <fgColor rgb="FFFFFFFF"/>
        <bgColor/>
      </patternFill>
    </fill>
    <fill>
      <patternFill patternType="solid">
        <fgColor rgb="FFE7E6E6"/>
        <bgColor/>
      </patternFill>
    </fill>
    <fill>
      <patternFill patternType="solid">
        <fgColor rgb="FFFDEBFF"/>
        <bgColor/>
      </patternFill>
    </fill>
    <fill>
      <patternFill patternType="solid">
        <fgColor rgb="FFFFF258"/>
        <bgColor/>
      </patternFill>
    </fill>
    <fill>
      <patternFill patternType="solid">
        <fgColor rgb="FFD9F3FD"/>
        <bgColor/>
      </patternFill>
    </fill>
    <fill>
      <patternFill patternType="solid">
        <fgColor rgb="FFFDEBFF"/>
        <bgColor/>
      </patternFill>
    </fill>
    <fill>
      <patternFill patternType="solid">
        <fgColor rgb="FF8CDDFA"/>
        <bgColor/>
      </patternFill>
    </fill>
    <fill>
      <patternFill patternType="solid">
        <fgColor rgb="FF1C4CBA"/>
        <bgColor/>
      </patternFill>
    </fill>
    <fill>
      <patternFill patternType="solid">
        <fgColor rgb="FFFDDDEF"/>
        <bgColor/>
      </patternFill>
    </fill>
    <fill>
      <patternFill patternType="solid">
        <fgColor rgb="FFF8F9FA"/>
        <bgColor/>
      </patternFill>
    </fill>
    <fill>
      <patternFill patternType="solid">
        <fgColor rgb="FF7EDAFB"/>
        <bgColor/>
      </patternFill>
    </fill>
    <fill>
      <patternFill patternType="solid">
        <fgColor rgb="FFFDEBFF"/>
        <bgColor/>
      </patternFill>
    </fill>
    <fill>
      <patternFill patternType="solid">
        <fgColor rgb="FF8CDDFA"/>
        <bgColor/>
      </patternFill>
    </fill>
    <fill>
      <patternFill patternType="solid">
        <fgColor rgb="FF00B0F0"/>
        <bgColor/>
      </patternFill>
    </fill>
  </fills>
  <borders count="41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medium">
        <color rgb="FF1F2329"/>
      </left>
      <right/>
      <top style="medium">
        <color rgb="FF1F2329"/>
      </top>
      <bottom style="medium">
        <color rgb="FF1F2329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1C4CBA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2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true" applyProtection="false" borderId="1" fillId="2" fontId="1" numFmtId="164" xfId="0">
      <alignment horizontal="center" vertical="center"/>
    </xf>
    <xf applyAlignment="true" applyBorder="false" applyFill="true" applyFont="true" applyNumberFormat="true" applyProtection="false" borderId="1" fillId="2" fontId="1" numFmtId="164" xfId="0">
      <alignment horizontal="center"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2" fillId="0" fontId="1" numFmtId="0" xfId="0">
      <alignment horizontal="center" vertical="center"/>
    </xf>
    <xf applyAlignment="true" applyBorder="false" applyFill="false" applyFont="true" applyNumberFormat="true" applyProtection="false" borderId="2" fillId="0" fontId="1" numFmtId="165" xfId="0">
      <alignment horizontal="center" vertical="center"/>
    </xf>
    <xf applyAlignment="true" applyBorder="false" applyFill="false" applyFont="true" applyNumberFormat="true" applyProtection="false" borderId="2" fillId="0" fontId="1" numFmtId="166" xfId="0">
      <alignment horizontal="center" vertical="center"/>
    </xf>
    <xf applyAlignment="true" applyBorder="false" applyFill="false" applyFont="true" applyNumberFormat="true" applyProtection="false" borderId="2" fillId="0" fontId="1" numFmtId="164" xfId="0">
      <alignment horizontal="center" vertical="center"/>
    </xf>
    <xf applyAlignment="true" applyBorder="false" applyFill="false" applyFont="true" applyNumberFormat="true" applyProtection="false" borderId="2" fillId="0" fontId="1" numFmtId="167" xfId="0">
      <alignment horizontal="center" vertical="center"/>
    </xf>
    <xf applyAlignment="true" applyBorder="false" applyFill="false" applyFont="true" applyNumberFormat="false" applyProtection="false" borderId="2" fillId="0" fontId="1" numFmtId="0" xfId="0">
      <alignment horizontal="center" vertical="bottom"/>
    </xf>
    <xf applyAlignment="true" applyBorder="false" applyFill="false" applyFont="true" applyNumberFormat="true" applyProtection="false" borderId="1" fillId="0" fontId="1" numFmtId="164" xfId="0">
      <alignment horizontal="center" vertical="center"/>
    </xf>
    <xf applyAlignment="true" applyBorder="false" applyFill="true" applyFont="true" applyNumberFormat="false" applyProtection="false" borderId="2" fillId="3" fontId="3" numFmtId="0" xfId="0">
      <alignment horizontal="center" vertical="top"/>
    </xf>
    <xf applyAlignment="true" applyBorder="false" applyFill="true" applyFont="true" applyNumberFormat="false" applyProtection="false" borderId="2" fillId="3" fontId="3" numFmtId="0" xfId="0">
      <alignment horizontal="center" vertical="center"/>
    </xf>
    <xf applyAlignment="true" applyBorder="false" applyFill="true" applyFont="true" applyNumberFormat="true" applyProtection="false" borderId="2" fillId="3" fontId="3" numFmtId="165" xfId="0">
      <alignment horizontal="center" vertical="center"/>
    </xf>
    <xf applyAlignment="true" applyBorder="false" applyFill="true" applyFont="true" applyNumberFormat="true" applyProtection="false" borderId="2" fillId="3" fontId="3" numFmtId="164" xfId="0">
      <alignment horizontal="center" vertical="center"/>
    </xf>
    <xf applyAlignment="true" applyBorder="false" applyFill="true" applyFont="true" applyNumberFormat="true" applyProtection="false" borderId="2" fillId="3" fontId="3" numFmtId="167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1" fillId="0" fontId="1" numFmtId="164" xfId="0">
      <alignment horizontal="center" vertical="center"/>
    </xf>
    <xf applyAlignment="true" applyBorder="false" applyFill="true" applyFont="true" applyNumberFormat="true" applyProtection="false" borderId="3" fillId="3" fontId="3" numFmtId="167" xfId="0">
      <alignment horizontal="center" vertical="center"/>
    </xf>
    <xf applyAlignment="true" applyBorder="false" applyFill="true" applyFont="true" applyNumberFormat="true" applyProtection="false" borderId="3" fillId="3" fontId="3" numFmtId="164" xfId="0">
      <alignment horizontal="center" vertical="center"/>
    </xf>
    <xf applyAlignment="true" applyBorder="false" applyFill="true" applyFont="true" applyNumberFormat="false" applyProtection="false" borderId="3" fillId="3" fontId="3" numFmtId="0" xfId="0">
      <alignment horizontal="center" vertical="center"/>
    </xf>
    <xf applyAlignment="true" applyBorder="false" applyFill="false" applyFont="true" applyNumberFormat="true" applyProtection="false" borderId="4" fillId="0" fontId="1" numFmtId="164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true" applyProtection="false" borderId="4" fillId="3" fontId="3" numFmtId="164" xfId="0">
      <alignment horizontal="center" vertical="center"/>
    </xf>
    <xf applyAlignment="true" applyBorder="false" applyFill="false" applyFont="true" applyNumberFormat="false" applyProtection="false" borderId="1" fillId="0" fontId="1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2" fillId="0" fontId="1" numFmtId="0" xfId="0">
      <alignment horizontal="center" vertical="center"/>
    </xf>
    <xf applyAlignment="true" applyBorder="false" applyFill="false" applyFont="true" applyNumberFormat="true" applyProtection="false" borderId="2" fillId="0" fontId="1" numFmtId="165" xfId="0">
      <alignment horizontal="center" vertical="center"/>
    </xf>
    <xf applyAlignment="true" applyBorder="false" applyFill="false" applyFont="true" applyNumberFormat="true" applyProtection="false" borderId="2" fillId="0" fontId="1" numFmtId="166" xfId="0">
      <alignment horizontal="center" vertical="center"/>
    </xf>
    <xf applyAlignment="true" applyBorder="false" applyFill="false" applyFont="true" applyNumberFormat="true" applyProtection="false" borderId="2" fillId="0" fontId="1" numFmtId="164" xfId="0">
      <alignment horizontal="center" vertical="center"/>
    </xf>
    <xf applyAlignment="true" applyBorder="false" applyFill="false" applyFont="true" applyNumberFormat="true" applyProtection="false" borderId="4" fillId="0" fontId="1" numFmtId="164" xfId="0">
      <alignment horizontal="center" vertical="center"/>
    </xf>
    <xf applyAlignment="true" applyBorder="false" applyFill="false" applyFont="true" applyNumberFormat="true" applyProtection="false" borderId="2" fillId="0" fontId="1" numFmtId="167" xfId="0">
      <alignment horizontal="center" vertical="center"/>
    </xf>
    <xf applyAlignment="true" applyBorder="false" applyFill="false" applyFont="true" applyNumberFormat="false" applyProtection="false" borderId="2" fillId="0" fontId="1" numFmtId="0" xfId="0">
      <alignment horizontal="center" vertical="bottom"/>
    </xf>
    <xf applyAlignment="true" applyBorder="false" applyFill="false" applyFont="true" applyNumberFormat="true" applyProtection="false" borderId="1" fillId="0" fontId="1" numFmtId="164" xfId="0">
      <alignment horizontal="center" vertical="center"/>
    </xf>
    <xf applyAlignment="true" applyBorder="false" applyFill="false" applyFont="true" applyNumberFormat="true" applyProtection="false" borderId="1" fillId="0" fontId="1" numFmtId="164" xfId="0">
      <alignment horizontal="center" vertical="center"/>
    </xf>
    <xf applyAlignment="true" applyBorder="false" applyFill="true" applyFont="true" applyNumberFormat="false" applyProtection="false" borderId="2" fillId="3" fontId="3" numFmtId="0" xfId="0">
      <alignment horizontal="center" vertical="top"/>
    </xf>
    <xf applyAlignment="true" applyBorder="false" applyFill="true" applyFont="true" applyNumberFormat="false" applyProtection="false" borderId="2" fillId="3" fontId="3" numFmtId="0" xfId="0">
      <alignment horizontal="center" vertical="center"/>
    </xf>
    <xf applyAlignment="true" applyBorder="false" applyFill="true" applyFont="true" applyNumberFormat="true" applyProtection="false" borderId="2" fillId="3" fontId="3" numFmtId="165" xfId="0">
      <alignment horizontal="center" vertical="center"/>
    </xf>
    <xf applyAlignment="true" applyBorder="false" applyFill="true" applyFont="true" applyNumberFormat="true" applyProtection="false" borderId="2" fillId="3" fontId="3" numFmtId="164" xfId="0">
      <alignment horizontal="center" vertical="center"/>
    </xf>
    <xf applyAlignment="true" applyBorder="false" applyFill="true" applyFont="true" applyNumberFormat="true" applyProtection="false" borderId="4" fillId="3" fontId="3" numFmtId="164" xfId="0">
      <alignment horizontal="center" vertical="center"/>
    </xf>
    <xf applyAlignment="true" applyBorder="false" applyFill="true" applyFont="true" applyNumberFormat="true" applyProtection="false" borderId="2" fillId="3" fontId="3" numFmtId="167" xfId="0">
      <alignment horizontal="center" vertical="center"/>
    </xf>
    <xf applyAlignment="true" applyBorder="false" applyFill="true" applyFont="true" applyNumberFormat="false" applyProtection="false" borderId="5" fillId="4" fontId="1" numFmtId="0" xfId="0">
      <alignment horizontal="center" vertical="center"/>
    </xf>
    <xf applyAlignment="true" applyBorder="false" applyFill="true" applyFont="true" applyNumberFormat="false" applyProtection="false" borderId="5" fillId="4" fontId="1" numFmtId="0" xfId="0">
      <alignment horizontal="center" vertical="center"/>
    </xf>
    <xf applyAlignment="true" applyBorder="false" applyFill="true" applyFont="true" applyNumberFormat="true" applyProtection="false" borderId="5" fillId="4" fontId="1" numFmtId="168" xfId="0">
      <alignment horizontal="center" vertical="center"/>
    </xf>
    <xf applyAlignment="true" applyBorder="false" applyFill="true" applyFont="true" applyNumberFormat="true" applyProtection="false" borderId="5" fillId="4" fontId="1" numFmtId="168" xfId="0">
      <alignment horizontal="center" vertical="center"/>
    </xf>
    <xf applyAlignment="true" applyBorder="false" applyFill="false" applyFont="true" applyNumberFormat="false" applyProtection="false" borderId="5" fillId="0" fontId="1" numFmtId="0" xfId="0">
      <alignment horizontal="center" vertical="center"/>
    </xf>
    <xf applyAlignment="true" applyBorder="false" applyFill="false" applyFont="true" applyNumberFormat="false" applyProtection="false" borderId="6" fillId="0" fontId="2" numFmtId="0" xfId="0">
      <alignment horizontal="center" vertical="center"/>
    </xf>
    <xf applyAlignment="true" applyBorder="false" applyFill="false" applyFont="true" applyNumberFormat="false" applyProtection="false" borderId="6" fillId="0" fontId="1" numFmtId="0" xfId="0">
      <alignment horizontal="center" vertical="center"/>
    </xf>
    <xf applyAlignment="true" applyBorder="false" applyFill="false" applyFont="true" applyNumberFormat="true" applyProtection="false" borderId="6" fillId="0" fontId="1" numFmtId="169" xfId="0">
      <alignment horizontal="center" vertical="center"/>
    </xf>
    <xf applyAlignment="true" applyBorder="false" applyFill="false" applyFont="true" applyNumberFormat="true" applyProtection="false" borderId="6" fillId="0" fontId="1" numFmtId="170" xfId="0">
      <alignment horizontal="center" vertical="center"/>
    </xf>
    <xf applyAlignment="true" applyBorder="false" applyFill="false" applyFont="true" applyNumberFormat="true" applyProtection="false" borderId="6" fillId="0" fontId="1" numFmtId="168" xfId="0">
      <alignment horizontal="center" vertical="center"/>
    </xf>
    <xf applyAlignment="true" applyBorder="false" applyFill="false" applyFont="true" applyNumberFormat="true" applyProtection="false" borderId="6" fillId="0" fontId="1" numFmtId="171" xfId="0">
      <alignment horizontal="center" vertical="center"/>
    </xf>
    <xf applyAlignment="true" applyBorder="false" applyFill="false" applyFont="true" applyNumberFormat="false" applyProtection="false" borderId="6" fillId="0" fontId="1" numFmtId="0" xfId="0">
      <alignment horizontal="center" vertical="bottom"/>
    </xf>
    <xf applyAlignment="true" applyBorder="false" applyFill="true" applyFont="true" applyNumberFormat="false" applyProtection="false" borderId="6" fillId="5" fontId="3" numFmtId="0" xfId="0">
      <alignment horizontal="center" vertical="top"/>
    </xf>
    <xf applyAlignment="true" applyBorder="false" applyFill="true" applyFont="true" applyNumberFormat="false" applyProtection="false" borderId="6" fillId="5" fontId="3" numFmtId="0" xfId="0">
      <alignment horizontal="center" vertical="center"/>
    </xf>
    <xf applyAlignment="true" applyBorder="false" applyFill="true" applyFont="true" applyNumberFormat="true" applyProtection="false" borderId="6" fillId="5" fontId="3" numFmtId="169" xfId="0">
      <alignment horizontal="center" vertical="center"/>
    </xf>
    <xf applyAlignment="true" applyBorder="false" applyFill="true" applyFont="true" applyNumberFormat="true" applyProtection="false" borderId="6" fillId="5" fontId="3" numFmtId="168" xfId="0">
      <alignment horizontal="center" vertical="center"/>
    </xf>
    <xf applyAlignment="true" applyBorder="false" applyFill="true" applyFont="true" applyNumberFormat="true" applyProtection="false" borderId="6" fillId="5" fontId="3" numFmtId="171" xfId="0">
      <alignment horizontal="center" vertical="center"/>
    </xf>
    <xf applyAlignment="true" applyBorder="false" applyFill="false" applyFont="true" applyNumberFormat="true" applyProtection="false" borderId="0" fillId="0" fontId="2" numFmtId="172" xfId="0">
      <alignment vertical="center"/>
    </xf>
    <xf applyAlignment="true" applyBorder="false" applyFill="false" applyFont="true" applyNumberFormat="false" applyProtection="false" borderId="6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0" fillId="0" fontId="2" numFmtId="172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true" applyProtection="false" borderId="0" fillId="0" fontId="2" numFmtId="172" xfId="0">
      <alignment vertical="center"/>
    </xf>
    <xf applyAlignment="true" applyBorder="false" applyFill="true" applyFont="true" applyNumberFormat="false" applyProtection="false" borderId="7" fillId="6" fontId="1" numFmtId="0" xfId="0">
      <alignment horizontal="center" vertical="center"/>
    </xf>
    <xf applyAlignment="true" applyBorder="false" applyFill="true" applyFont="true" applyNumberFormat="false" applyProtection="false" borderId="7" fillId="6" fontId="1" numFmtId="0" xfId="0">
      <alignment horizontal="center" vertical="center"/>
    </xf>
    <xf applyAlignment="true" applyBorder="false" applyFill="true" applyFont="true" applyNumberFormat="true" applyProtection="false" borderId="7" fillId="6" fontId="1" numFmtId="173" xfId="0">
      <alignment horizontal="center" vertical="center"/>
    </xf>
    <xf applyAlignment="true" applyBorder="false" applyFill="true" applyFont="true" applyNumberFormat="true" applyProtection="false" borderId="7" fillId="6" fontId="1" numFmtId="173" xfId="0">
      <alignment horizontal="center" vertical="center"/>
    </xf>
    <xf applyAlignment="true" applyBorder="false" applyFill="false" applyFont="true" applyNumberFormat="false" applyProtection="false" borderId="7" fillId="0" fontId="1" numFmtId="0" xfId="0">
      <alignment horizontal="center" vertical="center"/>
    </xf>
    <xf applyAlignment="true" applyBorder="false" applyFill="false" applyFont="true" applyNumberFormat="false" applyProtection="false" borderId="8" fillId="0" fontId="1" numFmtId="0" xfId="0">
      <alignment horizontal="center" vertical="center"/>
    </xf>
    <xf applyAlignment="true" applyBorder="false" applyFill="false" applyFont="true" applyNumberFormat="true" applyProtection="false" borderId="8" fillId="0" fontId="1" numFmtId="174" xfId="0">
      <alignment horizontal="center" vertical="center"/>
    </xf>
    <xf applyAlignment="true" applyBorder="false" applyFill="false" applyFont="true" applyNumberFormat="true" applyProtection="false" borderId="8" fillId="0" fontId="1" numFmtId="173" xfId="0">
      <alignment horizontal="center" vertical="center"/>
    </xf>
    <xf applyAlignment="true" applyBorder="false" applyFill="false" applyFont="true" applyNumberFormat="false" applyProtection="false" borderId="8" fillId="0" fontId="1" numFmtId="0" xfId="0">
      <alignment horizontal="center" vertical="bottom"/>
    </xf>
    <xf applyAlignment="true" applyBorder="false" applyFill="false" applyFont="true" applyNumberFormat="false" applyProtection="false" borderId="8" fillId="0" fontId="2" numFmtId="0" xfId="0">
      <alignment horizontal="center" vertical="center"/>
    </xf>
    <xf applyAlignment="true" applyBorder="false" applyFill="false" applyFont="true" applyNumberFormat="false" applyProtection="false" borderId="7" fillId="0" fontId="1" numFmtId="0" xfId="0">
      <alignment horizontal="center" vertical="bottom"/>
    </xf>
    <xf applyAlignment="true" applyBorder="false" applyFill="true" applyFont="true" applyNumberFormat="false" applyProtection="false" borderId="8" fillId="7" fontId="3" numFmtId="0" xfId="0">
      <alignment horizontal="center" vertical="top"/>
    </xf>
    <xf applyAlignment="true" applyBorder="false" applyFill="true" applyFont="true" applyNumberFormat="false" applyProtection="false" borderId="8" fillId="7" fontId="3" numFmtId="0" xfId="0">
      <alignment horizontal="center" vertical="center"/>
    </xf>
    <xf applyAlignment="true" applyBorder="false" applyFill="true" applyFont="true" applyNumberFormat="true" applyProtection="false" borderId="8" fillId="7" fontId="3" numFmtId="173" xfId="0">
      <alignment horizontal="center" vertical="center"/>
    </xf>
    <xf applyAlignment="true" applyBorder="false" applyFill="true" applyFont="true" applyNumberFormat="false" applyProtection="false" borderId="7" fillId="7" fontId="3" numFmtId="0" xfId="0">
      <alignment horizontal="center" vertical="center"/>
    </xf>
    <xf applyAlignment="true" applyBorder="false" applyFill="false" applyFont="true" applyNumberFormat="true" applyProtection="false" borderId="8" fillId="0" fontId="1" numFmtId="175" xfId="0">
      <alignment horizontal="center" vertical="center"/>
    </xf>
    <xf applyAlignment="true" applyBorder="false" applyFill="false" applyFont="true" applyNumberFormat="true" applyProtection="false" borderId="8" fillId="0" fontId="1" numFmtId="176" xfId="0">
      <alignment horizontal="center" vertical="center"/>
    </xf>
    <xf applyAlignment="true" applyBorder="false" applyFill="true" applyFont="true" applyNumberFormat="true" applyProtection="false" borderId="8" fillId="7" fontId="3" numFmtId="175" xfId="0">
      <alignment horizontal="center" vertical="center"/>
    </xf>
    <xf applyAlignment="true" applyBorder="false" applyFill="true" applyFont="true" applyNumberFormat="true" applyProtection="false" borderId="8" fillId="7" fontId="3" numFmtId="176" xfId="0">
      <alignment horizontal="center" vertical="center"/>
    </xf>
    <xf applyAlignment="true" applyBorder="false" applyFill="false" applyFont="true" applyNumberFormat="false" applyProtection="false" borderId="8" fillId="0" fontId="4" numFmtId="0" xfId="0">
      <alignment horizontal="center" vertical="center"/>
    </xf>
    <xf applyAlignment="true" applyBorder="false" applyFill="false" applyFont="true" applyNumberFormat="true" applyProtection="false" borderId="7" fillId="0" fontId="1" numFmtId="175" xfId="0">
      <alignment horizontal="center" vertical="center"/>
    </xf>
    <xf applyAlignment="true" applyBorder="false" applyFill="true" applyFont="true" applyNumberFormat="false" applyProtection="false" borderId="9" fillId="8" fontId="1" numFmtId="0" xfId="0">
      <alignment horizontal="center" vertical="center"/>
    </xf>
    <xf applyAlignment="true" applyBorder="false" applyFill="true" applyFont="true" applyNumberFormat="true" applyProtection="false" borderId="9" fillId="8" fontId="1" numFmtId="177" xfId="0">
      <alignment horizontal="center" vertical="center"/>
    </xf>
    <xf applyAlignment="true" applyBorder="false" applyFill="false" applyFont="true" applyNumberFormat="false" applyProtection="false" borderId="9" fillId="0" fontId="1" numFmtId="0" xfId="0">
      <alignment horizontal="center" vertical="center"/>
    </xf>
    <xf applyAlignment="true" applyBorder="false" applyFill="false" applyFont="true" applyNumberFormat="false" applyProtection="false" borderId="10" fillId="0" fontId="1" numFmtId="0" xfId="0">
      <alignment horizontal="center" vertical="center"/>
    </xf>
    <xf applyAlignment="true" applyBorder="false" applyFill="false" applyFont="true" applyNumberFormat="false" applyProtection="false" borderId="9" fillId="0" fontId="1" numFmtId="0" xfId="0">
      <alignment horizontal="center" vertical="center"/>
    </xf>
    <xf applyAlignment="true" applyBorder="false" applyFill="false" applyFont="true" applyNumberFormat="true" applyProtection="false" borderId="9" fillId="0" fontId="1" numFmtId="178" xfId="0">
      <alignment horizontal="center" vertical="center"/>
    </xf>
    <xf applyAlignment="true" applyBorder="false" applyFill="false" applyFont="true" applyNumberFormat="true" applyProtection="false" borderId="9" fillId="0" fontId="1" numFmtId="177" xfId="0">
      <alignment horizontal="center" vertical="center"/>
    </xf>
    <xf applyAlignment="true" applyBorder="false" applyFill="false" applyFont="true" applyNumberFormat="false" applyProtection="false" borderId="9" fillId="0" fontId="1" numFmtId="0" xfId="0">
      <alignment horizontal="center" vertical="bottom"/>
    </xf>
    <xf applyAlignment="true" applyBorder="false" applyFill="false" applyFont="true" applyNumberFormat="true" applyProtection="false" borderId="9" fillId="0" fontId="1" numFmtId="178" xfId="0">
      <alignment horizontal="center" vertical="center"/>
    </xf>
    <xf applyAlignment="true" applyBorder="false" applyFill="false" applyFont="true" applyNumberFormat="false" applyProtection="false" borderId="9" fillId="0" fontId="1" numFmtId="0" xfId="0">
      <alignment horizontal="center" vertical="bottom"/>
    </xf>
    <xf applyAlignment="true" applyBorder="false" applyFill="true" applyFont="true" applyNumberFormat="false" applyProtection="false" borderId="9" fillId="9" fontId="3" numFmtId="0" xfId="0">
      <alignment horizontal="center" vertical="top"/>
    </xf>
    <xf applyAlignment="true" applyBorder="false" applyFill="true" applyFont="true" applyNumberFormat="false" applyProtection="false" borderId="9" fillId="9" fontId="3" numFmtId="0" xfId="0">
      <alignment horizontal="center" vertical="center"/>
    </xf>
    <xf applyAlignment="true" applyBorder="false" applyFill="true" applyFont="true" applyNumberFormat="true" applyProtection="false" borderId="9" fillId="9" fontId="3" numFmtId="177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true" applyProtection="false" borderId="10" fillId="0" fontId="1" numFmtId="178" xfId="0">
      <alignment horizontal="center" vertical="center"/>
    </xf>
    <xf applyAlignment="true" applyBorder="false" applyFill="false" applyFont="true" applyNumberFormat="true" applyProtection="false" borderId="10" fillId="0" fontId="1" numFmtId="177" xfId="0">
      <alignment horizontal="center" vertical="center"/>
    </xf>
    <xf applyAlignment="true" applyBorder="false" applyFill="false" applyFont="true" applyNumberFormat="false" applyProtection="false" borderId="10" fillId="0" fontId="1" numFmtId="0" xfId="0">
      <alignment horizontal="center" vertical="bottom"/>
    </xf>
    <xf applyAlignment="true" applyBorder="false" applyFill="false" applyFont="true" applyNumberFormat="false" applyProtection="false" borderId="10" fillId="0" fontId="2" numFmtId="0" xfId="0">
      <alignment horizontal="center" vertical="center"/>
    </xf>
    <xf applyAlignment="true" applyBorder="false" applyFill="true" applyFont="true" applyNumberFormat="false" applyProtection="false" borderId="10" fillId="9" fontId="3" numFmtId="0" xfId="0">
      <alignment horizontal="center" vertical="top"/>
    </xf>
    <xf applyAlignment="true" applyBorder="false" applyFill="true" applyFont="true" applyNumberFormat="false" applyProtection="false" borderId="10" fillId="9" fontId="3" numFmtId="0" xfId="0">
      <alignment horizontal="center" vertical="center"/>
    </xf>
    <xf applyAlignment="true" applyBorder="false" applyFill="true" applyFont="true" applyNumberFormat="true" applyProtection="false" borderId="10" fillId="9" fontId="3" numFmtId="177" xfId="0">
      <alignment horizontal="center" vertical="center"/>
    </xf>
    <xf applyAlignment="true" applyBorder="false" applyFill="false" applyFont="true" applyNumberFormat="false" applyProtection="false" borderId="10" fillId="0" fontId="4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true" applyFont="true" applyNumberFormat="false" applyProtection="false" borderId="0" fillId="10" fontId="5" numFmtId="0" xfId="0">
      <alignment vertical="center"/>
    </xf>
    <xf applyAlignment="true" applyBorder="false" applyFill="false" applyFont="true" applyNumberFormat="true" applyProtection="false" borderId="0" fillId="0" fontId="2" numFmtId="178" xfId="0">
      <alignment vertical="center"/>
    </xf>
    <xf applyAlignment="true" applyBorder="false" applyFill="true" applyFont="true" applyNumberFormat="false" applyProtection="false" borderId="11" fillId="11" fontId="1" numFmtId="0" xfId="0">
      <alignment horizontal="center" vertical="center"/>
    </xf>
    <xf applyAlignment="true" applyBorder="false" applyFill="true" applyFont="true" applyNumberFormat="true" applyProtection="false" borderId="11" fillId="11" fontId="1" numFmtId="179" xfId="0">
      <alignment horizontal="center" vertical="center"/>
    </xf>
    <xf applyAlignment="true" applyBorder="false" applyFill="false" applyFont="true" applyNumberFormat="false" applyProtection="false" borderId="11" fillId="0" fontId="1" numFmtId="0" xfId="0">
      <alignment horizontal="center" vertical="center"/>
    </xf>
    <xf applyAlignment="true" applyBorder="false" applyFill="false" applyFont="true" applyNumberFormat="true" applyProtection="false" borderId="11" fillId="0" fontId="1" numFmtId="180" xfId="0">
      <alignment horizontal="center" vertical="center"/>
    </xf>
    <xf applyAlignment="true" applyBorder="false" applyFill="false" applyFont="true" applyNumberFormat="true" applyProtection="false" borderId="11" fillId="0" fontId="1" numFmtId="179" xfId="0">
      <alignment horizontal="center" vertical="center"/>
    </xf>
    <xf applyAlignment="true" applyBorder="false" applyFill="false" applyFont="true" applyNumberFormat="false" applyProtection="false" borderId="11" fillId="0" fontId="1" numFmtId="0" xfId="0">
      <alignment horizontal="center" vertical="bottom"/>
    </xf>
    <xf applyAlignment="true" applyBorder="false" applyFill="true" applyFont="true" applyNumberFormat="false" applyProtection="false" borderId="11" fillId="12" fontId="3" numFmtId="0" xfId="0">
      <alignment horizontal="center" vertical="top"/>
    </xf>
    <xf applyAlignment="true" applyBorder="false" applyFill="true" applyFont="true" applyNumberFormat="false" applyProtection="false" borderId="11" fillId="12" fontId="3" numFmtId="0" xfId="0">
      <alignment horizontal="center" vertical="center"/>
    </xf>
    <xf applyAlignment="true" applyBorder="false" applyFill="true" applyFont="true" applyNumberFormat="true" applyProtection="false" borderId="11" fillId="12" fontId="3" numFmtId="179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12" fillId="0" fontId="1" numFmtId="0" xfId="0">
      <alignment horizontal="center" vertical="center"/>
    </xf>
    <xf applyAlignment="true" applyBorder="false" applyFill="false" applyFont="true" applyNumberFormat="false" applyProtection="false" borderId="12" fillId="0" fontId="2" numFmtId="0" xfId="0">
      <alignment horizontal="center" vertical="center"/>
    </xf>
    <xf applyAlignment="true" applyBorder="false" applyFill="false" applyFont="true" applyNumberFormat="true" applyProtection="false" borderId="12" fillId="0" fontId="1" numFmtId="180" xfId="0">
      <alignment horizontal="center" vertical="center"/>
    </xf>
    <xf applyAlignment="true" applyBorder="false" applyFill="false" applyFont="true" applyNumberFormat="true" applyProtection="false" borderId="12" fillId="0" fontId="1" numFmtId="179" xfId="0">
      <alignment horizontal="center" vertical="center"/>
    </xf>
    <xf applyAlignment="true" applyBorder="false" applyFill="false" applyFont="true" applyNumberFormat="false" applyProtection="false" borderId="12" fillId="0" fontId="1" numFmtId="0" xfId="0">
      <alignment horizontal="center" vertical="bottom"/>
    </xf>
    <xf applyAlignment="true" applyBorder="false" applyFill="true" applyFont="true" applyNumberFormat="false" applyProtection="false" borderId="12" fillId="12" fontId="3" numFmtId="0" xfId="0">
      <alignment horizontal="center" vertical="top"/>
    </xf>
    <xf applyAlignment="true" applyBorder="false" applyFill="true" applyFont="true" applyNumberFormat="false" applyProtection="false" borderId="12" fillId="12" fontId="3" numFmtId="0" xfId="0">
      <alignment horizontal="center" vertical="center"/>
    </xf>
    <xf applyAlignment="true" applyBorder="false" applyFill="true" applyFont="true" applyNumberFormat="true" applyProtection="false" borderId="12" fillId="12" fontId="3" numFmtId="179" xfId="0">
      <alignment horizontal="center" vertical="center"/>
    </xf>
    <xf applyAlignment="true" applyBorder="false" applyFill="false" applyFont="true" applyNumberFormat="false" applyProtection="false" borderId="11" fillId="0" fontId="1" numFmtId="0" xfId="0">
      <alignment horizontal="center" vertical="center"/>
    </xf>
    <xf applyAlignment="true" applyBorder="false" applyFill="false" applyFont="true" applyNumberFormat="true" applyProtection="false" borderId="0" fillId="0" fontId="2" numFmtId="180" xfId="0">
      <alignment vertical="center"/>
    </xf>
    <xf applyAlignment="true" applyBorder="false" applyFill="false" applyFont="true" applyNumberFormat="true" applyProtection="false" borderId="0" fillId="0" fontId="2" numFmtId="181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true" applyFont="true" applyNumberFormat="false" applyProtection="false" borderId="13" fillId="13" fontId="1" numFmtId="0" xfId="0">
      <alignment horizontal="center" vertical="center"/>
    </xf>
    <xf applyAlignment="true" applyBorder="false" applyFill="true" applyFont="true" applyNumberFormat="true" applyProtection="false" borderId="13" fillId="13" fontId="1" numFmtId="182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13" fillId="0" fontId="1" numFmtId="0" xfId="0">
      <alignment horizontal="center" vertical="center"/>
    </xf>
    <xf applyAlignment="true" applyBorder="false" applyFill="false" applyFont="true" applyNumberFormat="false" applyProtection="false" borderId="13" fillId="0" fontId="2" numFmtId="0" xfId="0">
      <alignment horizontal="center" vertical="center"/>
    </xf>
    <xf applyAlignment="true" applyBorder="false" applyFill="false" applyFont="true" applyNumberFormat="true" applyProtection="false" borderId="13" fillId="0" fontId="1" numFmtId="183" xfId="0">
      <alignment horizontal="center" vertical="center"/>
    </xf>
    <xf applyAlignment="true" applyBorder="false" applyFill="false" applyFont="true" applyNumberFormat="true" applyProtection="false" borderId="13" fillId="0" fontId="1" numFmtId="182" xfId="0">
      <alignment horizontal="center" vertical="center"/>
    </xf>
    <xf applyAlignment="true" applyBorder="false" applyFill="false" applyFont="true" applyNumberFormat="false" applyProtection="false" borderId="13" fillId="0" fontId="1" numFmtId="0" xfId="0">
      <alignment horizontal="center" vertical="bottom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true" applyFont="true" applyNumberFormat="false" applyProtection="false" borderId="13" fillId="14" fontId="3" numFmtId="0" xfId="0">
      <alignment horizontal="center" vertical="top"/>
    </xf>
    <xf applyAlignment="true" applyBorder="false" applyFill="true" applyFont="true" applyNumberFormat="false" applyProtection="false" borderId="13" fillId="14" fontId="3" numFmtId="0" xfId="0">
      <alignment horizontal="center" vertical="center"/>
    </xf>
    <xf applyAlignment="true" applyBorder="false" applyFill="true" applyFont="true" applyNumberFormat="true" applyProtection="false" borderId="13" fillId="14" fontId="3" numFmtId="182" xfId="0">
      <alignment horizontal="center" vertical="center"/>
    </xf>
    <xf applyAlignment="true" applyBorder="false" applyFill="false" applyFont="true" applyNumberFormat="true" applyProtection="false" borderId="13" fillId="0" fontId="1" numFmtId="184" xfId="0">
      <alignment horizontal="center" vertical="center"/>
    </xf>
    <xf applyAlignment="true" applyBorder="false" applyFill="false" applyFont="true" applyNumberFormat="false" applyProtection="false" borderId="13" fillId="0" fontId="4" numFmtId="0" xfId="0">
      <alignment horizontal="center" vertical="center"/>
    </xf>
    <xf applyAlignment="true" applyBorder="false" applyFill="true" applyFont="true" applyNumberFormat="false" applyProtection="false" borderId="14" fillId="14" fontId="3" numFmtId="0" xfId="0">
      <alignment horizontal="center" vertical="top"/>
    </xf>
    <xf applyAlignment="true" applyBorder="false" applyFill="true" applyFont="true" applyNumberFormat="false" applyProtection="false" borderId="14" fillId="14" fontId="3" numFmtId="0" xfId="0">
      <alignment horizontal="center" vertical="center"/>
    </xf>
    <xf applyAlignment="true" applyBorder="false" applyFill="true" applyFont="true" applyNumberFormat="true" applyProtection="false" borderId="14" fillId="14" fontId="3" numFmtId="182" xfId="0">
      <alignment horizontal="center" vertical="center"/>
    </xf>
    <xf applyAlignment="true" applyBorder="false" applyFill="false" applyFont="true" applyNumberFormat="false" applyProtection="false" borderId="15" fillId="0" fontId="2" numFmtId="0" xfId="0">
      <alignment horizontal="center" vertical="center"/>
    </xf>
    <xf applyAlignment="true" applyBorder="false" applyFill="false" applyFont="true" applyNumberFormat="false" applyProtection="false" borderId="16" fillId="0" fontId="2" numFmtId="0" xfId="0">
      <alignment horizontal="center" vertical="center"/>
    </xf>
    <xf applyAlignment="true" applyBorder="false" applyFill="false" applyFont="true" applyNumberFormat="false" applyProtection="false" borderId="13" fillId="0" fontId="2" numFmtId="0" xfId="0">
      <alignment horizontal="center" vertical="center"/>
    </xf>
    <xf applyAlignment="true" applyBorder="false" applyFill="false" applyFont="true" applyNumberFormat="false" applyProtection="false" borderId="13" fillId="0" fontId="2" numFmtId="0" xfId="0">
      <alignment vertical="center"/>
    </xf>
    <xf applyAlignment="true" applyBorder="false" applyFill="false" applyFont="true" applyNumberFormat="false" applyProtection="false" borderId="14" fillId="0" fontId="1" numFmtId="0" xfId="0">
      <alignment horizontal="center" vertical="bottom"/>
    </xf>
    <xf applyAlignment="true" applyBorder="false" applyFill="false" applyFont="true" applyNumberFormat="false" applyProtection="false" borderId="14" fillId="0" fontId="1" numFmtId="0" xfId="0">
      <alignment horizontal="center" vertical="center"/>
    </xf>
    <xf applyAlignment="true" applyBorder="false" applyFill="false" applyFont="true" applyNumberFormat="false" applyProtection="false" borderId="15" fillId="0" fontId="2" numFmtId="0" xfId="0">
      <alignment horizontal="center" vertical="center"/>
    </xf>
    <xf applyAlignment="true" applyBorder="false" applyFill="false" applyFont="true" applyNumberFormat="true" applyProtection="false" borderId="16" fillId="0" fontId="1" numFmtId="182" xfId="0">
      <alignment horizontal="center" vertical="center"/>
    </xf>
    <xf applyAlignment="true" applyBorder="false" applyFill="false" applyFont="true" applyNumberFormat="false" applyProtection="false" borderId="16" fillId="0" fontId="2" numFmtId="0" xfId="0">
      <alignment horizontal="center" vertical="center"/>
    </xf>
    <xf applyAlignment="true" applyBorder="false" applyFill="false" applyFont="true" applyNumberFormat="false" applyProtection="false" borderId="17" fillId="0" fontId="1" numFmtId="0" xfId="0">
      <alignment horizontal="center" vertical="bottom"/>
    </xf>
    <xf applyAlignment="true" applyBorder="false" applyFill="false" applyFont="true" applyNumberFormat="false" applyProtection="false" borderId="17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0" fillId="0" fontId="2" numFmtId="183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true" applyProtection="false" borderId="0" fillId="0" fontId="2" numFmtId="183" xfId="0">
      <alignment vertical="center"/>
    </xf>
    <xf applyAlignment="true" applyBorder="false" applyFill="true" applyFont="true" applyNumberFormat="false" applyProtection="false" borderId="18" fillId="15" fontId="1" numFmtId="0" xfId="0">
      <alignment horizontal="center" vertical="center"/>
    </xf>
    <xf applyAlignment="true" applyBorder="false" applyFill="true" applyFont="true" applyNumberFormat="true" applyProtection="false" borderId="18" fillId="15" fontId="1" numFmtId="185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18" fillId="0" fontId="1" numFmtId="0" xfId="0">
      <alignment horizontal="center" vertical="center"/>
    </xf>
    <xf applyAlignment="true" applyBorder="false" applyFill="false" applyFont="true" applyNumberFormat="false" applyProtection="false" borderId="19" fillId="0" fontId="1" numFmtId="0" xfId="0">
      <alignment horizontal="center" vertical="center"/>
    </xf>
    <xf applyAlignment="true" applyBorder="false" applyFill="false" applyFont="true" applyNumberFormat="false" applyProtection="false" borderId="20" fillId="0" fontId="1" numFmtId="0" xfId="0">
      <alignment horizontal="center" vertical="center"/>
    </xf>
    <xf applyAlignment="true" applyBorder="false" applyFill="false" applyFont="true" applyNumberFormat="true" applyProtection="false" borderId="20" fillId="0" fontId="1" numFmtId="186" xfId="0">
      <alignment horizontal="center" vertical="center"/>
    </xf>
    <xf applyAlignment="true" applyBorder="false" applyFill="false" applyFont="true" applyNumberFormat="true" applyProtection="false" borderId="18" fillId="0" fontId="1" numFmtId="185" xfId="0">
      <alignment horizontal="center" vertical="center"/>
    </xf>
    <xf applyAlignment="true" applyBorder="false" applyFill="false" applyFont="true" applyNumberFormat="false" applyProtection="false" borderId="18" fillId="0" fontId="1" numFmtId="0" xfId="0">
      <alignment horizontal="center" vertical="bottom"/>
    </xf>
    <xf applyAlignment="true" applyBorder="false" applyFill="false" applyFont="true" applyNumberFormat="false" applyProtection="false" borderId="18" fillId="0" fontId="1" numFmtId="0" xfId="0">
      <alignment horizontal="center" vertical="center"/>
    </xf>
    <xf applyAlignment="true" applyBorder="false" applyFill="false" applyFont="true" applyNumberFormat="false" applyProtection="false" borderId="18" fillId="0" fontId="1" numFmtId="0" xfId="0">
      <alignment horizontal="center" vertical="bottom"/>
    </xf>
    <xf applyAlignment="true" applyBorder="false" applyFill="true" applyFont="true" applyNumberFormat="false" applyProtection="false" borderId="18" fillId="16" fontId="1" numFmtId="0" xfId="0">
      <alignment horizontal="center" vertical="top"/>
    </xf>
    <xf applyAlignment="true" applyBorder="false" applyFill="true" applyFont="true" applyNumberFormat="false" applyProtection="false" borderId="18" fillId="16" fontId="6" numFmtId="0" xfId="0">
      <alignment horizontal="center" vertical="center"/>
    </xf>
    <xf applyAlignment="true" applyBorder="false" applyFill="true" applyFont="true" applyNumberFormat="true" applyProtection="false" borderId="18" fillId="16" fontId="6" numFmtId="185" xfId="0">
      <alignment horizontal="center" vertical="center"/>
    </xf>
    <xf applyAlignment="true" applyBorder="false" applyFill="false" applyFont="true" applyNumberFormat="true" applyProtection="false" borderId="20" fillId="0" fontId="1" numFmtId="186" xfId="0">
      <alignment horizontal="center" vertical="center"/>
    </xf>
    <xf applyAlignment="true" applyBorder="false" applyFill="true" applyFont="true" applyNumberFormat="false" applyProtection="false" borderId="18" fillId="16" fontId="1" numFmtId="0" xfId="0">
      <alignment horizontal="center" vertical="top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21" fillId="0" fontId="2" numFmtId="0" xfId="0">
      <alignment horizontal="center" vertical="center"/>
    </xf>
    <xf applyAlignment="true" applyBorder="false" applyFill="false" applyFont="true" applyNumberFormat="false" applyProtection="false" borderId="22" fillId="0" fontId="1" numFmtId="0" xfId="0">
      <alignment horizontal="center" vertical="center"/>
    </xf>
    <xf applyAlignment="true" applyBorder="false" applyFill="true" applyFont="true" applyNumberFormat="false" applyProtection="false" borderId="20" fillId="16" fontId="6" numFmtId="0" xfId="0">
      <alignment horizontal="center" vertical="center"/>
    </xf>
    <xf applyAlignment="true" applyBorder="false" applyFill="true" applyFont="true" applyNumberFormat="false" applyProtection="false" borderId="23" fillId="16" fontId="1" numFmtId="0" xfId="0">
      <alignment horizontal="center" vertical="top"/>
    </xf>
    <xf applyAlignment="true" applyBorder="false" applyFill="true" applyFont="true" applyNumberFormat="false" applyProtection="false" borderId="24" fillId="16" fontId="6" numFmtId="0" xfId="0">
      <alignment horizontal="center" vertical="center"/>
    </xf>
    <xf applyAlignment="true" applyBorder="false" applyFill="true" applyFont="true" applyNumberFormat="false" applyProtection="false" borderId="23" fillId="16" fontId="6" numFmtId="0" xfId="0">
      <alignment horizontal="center" vertical="center"/>
    </xf>
    <xf applyAlignment="true" applyBorder="false" applyFill="true" applyFont="true" applyNumberFormat="true" applyProtection="false" borderId="23" fillId="16" fontId="6" numFmtId="185" xfId="0">
      <alignment horizontal="center" vertical="center"/>
    </xf>
    <xf applyAlignment="true" applyBorder="false" applyFill="false" applyFont="true" applyNumberFormat="false" applyProtection="false" borderId="21" fillId="0" fontId="1" numFmtId="0" xfId="0">
      <alignment horizontal="center" vertical="center"/>
    </xf>
    <xf applyAlignment="true" applyBorder="false" applyFill="false" applyFont="true" applyNumberFormat="true" applyProtection="false" borderId="21" fillId="0" fontId="1" numFmtId="186" xfId="0">
      <alignment horizontal="center" vertical="center"/>
    </xf>
    <xf applyAlignment="true" applyBorder="false" applyFill="false" applyFont="true" applyNumberFormat="true" applyProtection="false" borderId="21" fillId="0" fontId="1" numFmtId="185" xfId="0">
      <alignment horizontal="center" vertical="center"/>
    </xf>
    <xf applyAlignment="true" applyBorder="false" applyFill="false" applyFont="true" applyNumberFormat="false" applyProtection="false" borderId="21" fillId="0" fontId="1" numFmtId="0" xfId="0">
      <alignment horizontal="center" vertical="bottom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21" fillId="16" fontId="1" numFmtId="0" xfId="0">
      <alignment horizontal="center" vertical="top"/>
    </xf>
    <xf applyAlignment="true" applyBorder="false" applyFill="true" applyFont="true" applyNumberFormat="false" applyProtection="false" borderId="21" fillId="16" fontId="6" numFmtId="0" xfId="0">
      <alignment horizontal="center" vertical="center"/>
    </xf>
    <xf applyAlignment="true" applyBorder="false" applyFill="true" applyFont="true" applyNumberFormat="true" applyProtection="false" borderId="21" fillId="16" fontId="6" numFmtId="185" xfId="0">
      <alignment horizontal="center" vertical="center"/>
    </xf>
    <xf applyAlignment="true" applyBorder="false" applyFill="true" applyFont="true" applyNumberFormat="false" applyProtection="false" borderId="21" fillId="15" fontId="7" numFmtId="0" xfId="0">
      <alignment horizontal="center" vertical="center"/>
    </xf>
    <xf applyAlignment="true" applyBorder="false" applyFill="true" applyFont="true" applyNumberFormat="true" applyProtection="false" borderId="21" fillId="15" fontId="7" numFmtId="185" xfId="0">
      <alignment horizontal="center" vertical="center"/>
    </xf>
    <xf applyAlignment="true" applyBorder="false" applyFill="true" applyFont="true" applyNumberFormat="false" applyProtection="false" borderId="21" fillId="15" fontId="7" numFmtId="0" xfId="0">
      <alignment horizontal="center" vertical="center"/>
    </xf>
    <xf applyAlignment="true" applyBorder="false" applyFill="false" applyFont="true" applyNumberFormat="true" applyProtection="false" borderId="21" fillId="0" fontId="2" numFmtId="187" xfId="0">
      <alignment horizontal="center" vertical="center"/>
    </xf>
    <xf applyAlignment="true" applyBorder="false" applyFill="false" applyFont="true" applyNumberFormat="false" applyProtection="false" borderId="21" fillId="0" fontId="2" numFmtId="0" xfId="0">
      <alignment horizontal="center" vertical="center"/>
    </xf>
    <xf applyAlignment="true" applyBorder="false" applyFill="false" applyFont="true" applyNumberFormat="true" applyProtection="false" borderId="21" fillId="0" fontId="2" numFmtId="188" xfId="0">
      <alignment horizontal="center" vertical="center"/>
    </xf>
    <xf applyAlignment="true" applyBorder="false" applyFill="true" applyFont="true" applyNumberFormat="false" applyProtection="false" borderId="21" fillId="16" fontId="8" numFmtId="0" xfId="0">
      <alignment horizontal="center" vertical="center"/>
    </xf>
    <xf applyAlignment="true" applyBorder="false" applyFill="true" applyFont="true" applyNumberFormat="true" applyProtection="false" borderId="21" fillId="16" fontId="8" numFmtId="187" xfId="0">
      <alignment horizontal="center" vertical="center"/>
    </xf>
    <xf applyAlignment="true" applyBorder="false" applyFill="true" applyFont="true" applyNumberFormat="true" applyProtection="false" borderId="21" fillId="16" fontId="8" numFmtId="188" xfId="0">
      <alignment horizontal="center" vertical="center"/>
    </xf>
    <xf applyAlignment="true" applyBorder="false" applyFill="false" applyFont="true" applyNumberFormat="true" applyProtection="false" borderId="21" fillId="0" fontId="2" numFmtId="188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0" fillId="17" fontId="9" numFmtId="0" xfId="0">
      <alignment vertical="center"/>
    </xf>
    <xf applyAlignment="true" applyBorder="false" applyFill="true" applyFont="true" applyNumberFormat="false" applyProtection="false" borderId="0" fillId="18" fontId="10" numFmtId="0" xfId="0">
      <alignment vertical="center"/>
    </xf>
    <xf applyAlignment="true" applyBorder="false" applyFill="true" applyFont="true" applyNumberFormat="false" applyProtection="false" borderId="25" fillId="19" fontId="11" numFmtId="0" xfId="0">
      <alignment horizontal="center" vertical="center"/>
    </xf>
    <xf applyAlignment="true" applyBorder="false" applyFill="true" applyFont="true" applyNumberFormat="false" applyProtection="false" borderId="0" fillId="20" fontId="12" numFmtId="0" xfId="0">
      <alignment vertical="center"/>
    </xf>
    <xf applyAlignment="true" applyBorder="false" applyFill="false" applyFont="true" applyNumberFormat="true" applyProtection="false" borderId="0" fillId="0" fontId="2" numFmtId="189" xfId="0">
      <alignment vertical="center"/>
    </xf>
    <xf applyAlignment="true" applyBorder="false" applyFill="false" applyFont="true" applyNumberFormat="false" applyProtection="false" borderId="26" fillId="0" fontId="13" numFmtId="0" xfId="0">
      <alignment horizontal="center" vertical="center"/>
    </xf>
    <xf applyAlignment="true" applyBorder="false" applyFill="true" applyFont="true" applyNumberFormat="true" applyProtection="false" borderId="25" fillId="21" fontId="9" numFmtId="190" xfId="0">
      <alignment horizontal="center" vertical="center"/>
    </xf>
    <xf applyAlignment="true" applyBorder="false" applyFill="true" applyFont="true" applyNumberFormat="true" applyProtection="false" borderId="25" fillId="21" fontId="9" numFmtId="191" xfId="0">
      <alignment horizontal="center" vertical="center"/>
    </xf>
    <xf applyAlignment="true" applyBorder="false" applyFill="false" applyFont="true" applyNumberFormat="true" applyProtection="false" borderId="25" fillId="0" fontId="1" numFmtId="189" xfId="0">
      <alignment horizontal="center" vertical="center"/>
    </xf>
    <xf applyAlignment="true" applyBorder="false" applyFill="false" applyFont="true" applyNumberFormat="true" applyProtection="false" borderId="25" fillId="0" fontId="7" numFmtId="192" xfId="0">
      <alignment horizontal="center" vertical="center"/>
    </xf>
    <xf applyAlignment="true" applyBorder="false" applyFill="false" applyFont="true" applyNumberFormat="true" applyProtection="false" borderId="25" fillId="0" fontId="7" numFmtId="189" xfId="0">
      <alignment horizontal="center" vertical="center"/>
    </xf>
    <xf applyAlignment="true" applyBorder="false" applyFill="false" applyFont="true" applyNumberFormat="true" applyProtection="false" borderId="25" fillId="0" fontId="7" numFmtId="192" xfId="0">
      <alignment horizontal="center" vertical="center"/>
    </xf>
    <xf applyAlignment="true" applyBorder="false" applyFill="false" applyFont="true" applyNumberFormat="false" applyProtection="false" borderId="25" fillId="0" fontId="14" numFmtId="0" xfId="0">
      <alignment horizontal="center" vertical="center"/>
    </xf>
    <xf applyAlignment="true" applyBorder="false" applyFill="true" applyFont="true" applyNumberFormat="true" applyProtection="false" borderId="27" fillId="22" fontId="15" numFmtId="193" xfId="0">
      <alignment horizontal="center" vertical="center"/>
    </xf>
    <xf applyAlignment="true" applyBorder="false" applyFill="true" applyFont="true" applyNumberFormat="false" applyProtection="false" borderId="28" fillId="17" fontId="9" numFmtId="0" xfId="0">
      <alignment vertical="center"/>
    </xf>
    <xf applyAlignment="true" applyBorder="false" applyFill="true" applyFont="true" applyNumberFormat="false" applyProtection="false" borderId="29" fillId="23" fontId="1" numFmtId="0" xfId="0">
      <alignment horizontal="center" vertical="center"/>
    </xf>
    <xf applyAlignment="true" applyBorder="false" applyFill="true" applyFont="true" applyNumberFormat="true" applyProtection="false" borderId="29" fillId="23" fontId="1" numFmtId="195" xfId="0">
      <alignment horizontal="center" vertical="center"/>
    </xf>
    <xf applyAlignment="true" applyBorder="false" applyFill="false" applyFont="true" applyNumberFormat="false" applyProtection="false" borderId="29" fillId="0" fontId="1" numFmtId="0" xfId="0">
      <alignment horizontal="center" vertical="center"/>
    </xf>
    <xf applyAlignment="true" applyBorder="false" applyFill="false" applyFont="true" applyNumberFormat="false" applyProtection="false" borderId="30" fillId="0" fontId="1" numFmtId="0" xfId="0">
      <alignment horizontal="center" vertical="center"/>
    </xf>
    <xf applyAlignment="true" applyBorder="false" applyFill="false" applyFont="true" applyNumberFormat="true" applyProtection="false" borderId="30" fillId="0" fontId="1" numFmtId="196" xfId="0">
      <alignment horizontal="center" vertical="center"/>
    </xf>
    <xf applyAlignment="true" applyBorder="false" applyFill="false" applyFont="true" applyNumberFormat="true" applyProtection="false" borderId="30" fillId="0" fontId="1" numFmtId="195" xfId="0">
      <alignment horizontal="center" vertical="center"/>
    </xf>
    <xf applyAlignment="true" applyBorder="false" applyFill="false" applyFont="true" applyNumberFormat="false" applyProtection="false" borderId="30" fillId="0" fontId="2" numFmtId="0" xfId="0">
      <alignment horizontal="center" vertical="center"/>
    </xf>
    <xf applyAlignment="true" applyBorder="false" applyFill="false" applyFont="true" applyNumberFormat="false" applyProtection="false" borderId="29" fillId="0" fontId="1" numFmtId="0" xfId="0">
      <alignment horizontal="center" vertical="center"/>
    </xf>
    <xf applyAlignment="true" applyBorder="false" applyFill="false" applyFont="true" applyNumberFormat="true" applyProtection="false" borderId="29" fillId="0" fontId="1" numFmtId="196" xfId="0">
      <alignment horizontal="center" vertical="center"/>
    </xf>
    <xf applyAlignment="true" applyBorder="false" applyFill="false" applyFont="true" applyNumberFormat="true" applyProtection="false" borderId="29" fillId="0" fontId="1" numFmtId="195" xfId="0">
      <alignment horizontal="center" vertical="center"/>
    </xf>
    <xf applyAlignment="true" applyBorder="false" applyFill="false" applyFont="true" applyNumberFormat="true" applyProtection="false" borderId="29" fillId="0" fontId="1" numFmtId="196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true" applyProtection="false" borderId="0" fillId="0" fontId="2" numFmtId="197" xfId="0">
      <alignment horizontal="center" vertical="center"/>
    </xf>
    <xf applyAlignment="true" applyBorder="false" applyFill="false" applyFont="true" applyNumberFormat="false" applyProtection="false" borderId="25" fillId="0" fontId="7" numFmtId="0" xfId="0">
      <alignment horizontal="center" vertical="center"/>
    </xf>
    <xf applyAlignment="true" applyBorder="false" applyFill="false" applyFont="true" applyNumberFormat="false" applyProtection="false" borderId="25" fillId="0" fontId="7" numFmtId="0" xfId="0">
      <alignment horizontal="center" vertical="center" wrapText="true"/>
    </xf>
    <xf applyAlignment="true" applyBorder="false" applyFill="false" applyFont="true" applyNumberFormat="true" applyProtection="false" borderId="25" fillId="0" fontId="7" numFmtId="192" xfId="0">
      <alignment horizontal="center" vertical="center" wrapText="true"/>
    </xf>
    <xf applyAlignment="true" applyBorder="false" applyFill="false" applyFont="true" applyNumberFormat="true" applyProtection="false" borderId="25" fillId="0" fontId="7" numFmtId="197" xfId="0">
      <alignment horizontal="center" vertical="center" wrapText="true"/>
    </xf>
    <xf applyAlignment="true" applyBorder="false" applyFill="false" applyFont="true" applyNumberFormat="true" applyProtection="false" borderId="25" fillId="0" fontId="7" numFmtId="194" xfId="0">
      <alignment horizontal="center" vertical="center"/>
    </xf>
    <xf applyAlignment="true" applyBorder="false" applyFill="true" applyFont="true" applyNumberFormat="true" applyProtection="false" borderId="25" fillId="21" fontId="9" numFmtId="197" xfId="0">
      <alignment horizontal="center" vertical="center"/>
    </xf>
    <xf applyAlignment="true" applyBorder="false" applyFill="true" applyFont="true" applyNumberFormat="false" applyProtection="false" borderId="25" fillId="24" fontId="7" numFmtId="0" xfId="0">
      <alignment horizontal="center" vertical="center" wrapText="true"/>
    </xf>
    <xf applyAlignment="true" applyBorder="false" applyFill="true" applyFont="true" applyNumberFormat="true" applyProtection="false" borderId="25" fillId="24" fontId="7" numFmtId="194" xfId="0">
      <alignment horizontal="center" vertical="center" wrapText="true"/>
    </xf>
    <xf applyAlignment="true" applyBorder="false" applyFill="false" applyFont="true" applyNumberFormat="false" applyProtection="false" borderId="0" fillId="0" fontId="2" numFmtId="0" xfId="0">
      <alignment horizontal="left" vertical="center"/>
    </xf>
    <xf applyAlignment="true" applyBorder="false" applyFill="false" applyFont="true" applyNumberFormat="false" applyProtection="false" borderId="0" fillId="0" fontId="2" numFmtId="0" xfId="0">
      <alignment horizontal="left" vertical="center"/>
    </xf>
    <xf applyAlignment="true" applyBorder="false" applyFill="false" applyFont="true" applyNumberFormat="true" applyProtection="false" borderId="0" fillId="0" fontId="2" numFmtId="194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30" fillId="25" fontId="2" numFmtId="0" xfId="0">
      <alignment horizontal="center" vertical="center"/>
    </xf>
    <xf applyAlignment="true" applyBorder="false" applyFill="false" applyFont="true" applyNumberFormat="false" applyProtection="false" borderId="30" fillId="0" fontId="7" numFmtId="0" xfId="0">
      <alignment horizontal="center" vertical="center"/>
    </xf>
    <xf applyAlignment="true" applyBorder="false" applyFill="false" applyFont="true" applyNumberFormat="false" applyProtection="false" borderId="30" fillId="0" fontId="2" numFmtId="0" xfId="0">
      <alignment horizontal="center" vertical="center"/>
    </xf>
    <xf applyAlignment="true" applyBorder="false" applyFill="false" applyFont="true" applyNumberFormat="true" applyProtection="false" borderId="30" fillId="0" fontId="2" numFmtId="194" xfId="0">
      <alignment horizontal="center" vertical="center"/>
    </xf>
    <xf applyAlignment="true" applyBorder="false" applyFill="false" applyFont="true" applyNumberFormat="false" applyProtection="false" borderId="30" fillId="0" fontId="7" numFmtId="0" xfId="0">
      <alignment horizontal="center" vertical="center"/>
    </xf>
    <xf applyAlignment="true" applyBorder="false" applyFill="true" applyFont="true" applyNumberFormat="false" applyProtection="false" borderId="29" fillId="19" fontId="16" numFmtId="0" xfId="0">
      <alignment horizontal="center" vertical="center"/>
    </xf>
    <xf applyAlignment="true" applyBorder="false" applyFill="true" applyFont="true" applyNumberFormat="false" applyProtection="false" borderId="31" fillId="26" fontId="1" numFmtId="0" xfId="0">
      <alignment horizontal="center" vertical="center"/>
    </xf>
    <xf applyAlignment="true" applyBorder="false" applyFill="true" applyFont="true" applyNumberFormat="false" applyProtection="false" borderId="31" fillId="26" fontId="1" numFmtId="0" xfId="0">
      <alignment horizontal="center" vertical="center"/>
    </xf>
    <xf applyAlignment="true" applyBorder="false" applyFill="true" applyFont="true" applyNumberFormat="true" applyProtection="false" borderId="31" fillId="26" fontId="1" numFmtId="198" xfId="0">
      <alignment horizontal="center" vertical="center"/>
    </xf>
    <xf applyAlignment="true" applyBorder="false" applyFill="true" applyFont="true" applyNumberFormat="true" applyProtection="false" borderId="31" fillId="26" fontId="1" numFmtId="198" xfId="0">
      <alignment horizontal="center" vertical="center"/>
    </xf>
    <xf applyAlignment="true" applyBorder="false" applyFill="false" applyFont="true" applyNumberFormat="false" applyProtection="false" borderId="31" fillId="0" fontId="1" numFmtId="0" xfId="0">
      <alignment horizontal="center" vertical="center"/>
    </xf>
    <xf applyAlignment="true" applyBorder="false" applyFill="false" applyFont="true" applyNumberFormat="false" applyProtection="false" borderId="32" fillId="0" fontId="1" numFmtId="0" xfId="0">
      <alignment horizontal="center" vertical="center"/>
    </xf>
    <xf applyAlignment="true" applyBorder="false" applyFill="false" applyFont="true" applyNumberFormat="true" applyProtection="false" borderId="32" fillId="0" fontId="1" numFmtId="199" xfId="0">
      <alignment horizontal="center" vertical="center"/>
    </xf>
    <xf applyAlignment="true" applyBorder="false" applyFill="false" applyFont="true" applyNumberFormat="true" applyProtection="false" borderId="32" fillId="0" fontId="1" numFmtId="198" xfId="0">
      <alignment horizontal="center" vertical="center"/>
    </xf>
    <xf applyAlignment="true" applyBorder="false" applyFill="false" applyFont="true" applyNumberFormat="false" applyProtection="false" borderId="32" fillId="0" fontId="1" numFmtId="0" xfId="0">
      <alignment horizontal="center" vertical="bottom"/>
    </xf>
    <xf applyAlignment="true" applyBorder="false" applyFill="false" applyFont="true" applyNumberFormat="false" applyProtection="false" borderId="32" fillId="0" fontId="2" numFmtId="0" xfId="0">
      <alignment horizontal="center" vertical="center"/>
    </xf>
    <xf applyAlignment="true" applyBorder="false" applyFill="false" applyFont="true" applyNumberFormat="false" applyProtection="false" borderId="31" fillId="0" fontId="1" numFmtId="0" xfId="0">
      <alignment horizontal="center" vertical="bottom"/>
    </xf>
    <xf applyAlignment="true" applyBorder="false" applyFill="true" applyFont="true" applyNumberFormat="false" applyProtection="false" borderId="32" fillId="27" fontId="3" numFmtId="0" xfId="0">
      <alignment horizontal="center" vertical="top"/>
    </xf>
    <xf applyAlignment="true" applyBorder="false" applyFill="true" applyFont="true" applyNumberFormat="false" applyProtection="false" borderId="32" fillId="27" fontId="3" numFmtId="0" xfId="0">
      <alignment horizontal="center" vertical="center"/>
    </xf>
    <xf applyAlignment="true" applyBorder="false" applyFill="true" applyFont="true" applyNumberFormat="true" applyProtection="false" borderId="32" fillId="27" fontId="3" numFmtId="198" xfId="0">
      <alignment horizontal="center" vertical="center"/>
    </xf>
    <xf applyAlignment="true" applyBorder="false" applyFill="true" applyFont="true" applyNumberFormat="false" applyProtection="false" borderId="31" fillId="27" fontId="3" numFmtId="0" xfId="0">
      <alignment horizontal="center" vertical="center"/>
    </xf>
    <xf applyAlignment="true" applyBorder="false" applyFill="false" applyFont="true" applyNumberFormat="true" applyProtection="false" borderId="32" fillId="0" fontId="1" numFmtId="200" xfId="0">
      <alignment horizontal="center" vertical="center"/>
    </xf>
    <xf applyAlignment="true" applyBorder="false" applyFill="false" applyFont="true" applyNumberFormat="true" applyProtection="false" borderId="32" fillId="0" fontId="1" numFmtId="201" xfId="0">
      <alignment horizontal="center" vertical="center"/>
    </xf>
    <xf applyAlignment="true" applyBorder="false" applyFill="true" applyFont="true" applyNumberFormat="true" applyProtection="false" borderId="32" fillId="27" fontId="3" numFmtId="200" xfId="0">
      <alignment horizontal="center" vertical="center"/>
    </xf>
    <xf applyAlignment="true" applyBorder="false" applyFill="true" applyFont="true" applyNumberFormat="true" applyProtection="false" borderId="32" fillId="27" fontId="3" numFmtId="201" xfId="0">
      <alignment horizontal="center" vertical="center"/>
    </xf>
    <xf applyAlignment="true" applyBorder="false" applyFill="false" applyFont="true" applyNumberFormat="true" applyProtection="false" borderId="31" fillId="0" fontId="1" numFmtId="20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0" fillId="28" fontId="10" numFmtId="0" xfId="0">
      <alignment vertical="center"/>
    </xf>
    <xf applyAlignment="true" applyBorder="false" applyFill="false" applyFont="true" applyNumberFormat="false" applyProtection="false" borderId="32" fillId="0" fontId="17" numFmtId="0" xfId="0">
      <alignment horizontal="center" vertical="center"/>
    </xf>
    <xf applyAlignment="true" applyBorder="false" applyFill="true" applyFont="true" applyNumberFormat="true" applyProtection="false" borderId="33" fillId="26" fontId="18" numFmtId="198" xfId="0">
      <alignment horizontal="center" vertical="center"/>
    </xf>
    <xf applyAlignment="true" applyBorder="false" applyFill="true" applyFont="true" applyNumberFormat="true" applyProtection="false" borderId="32" fillId="26" fontId="18" numFmtId="198" xfId="0">
      <alignment horizontal="center" vertical="center"/>
    </xf>
    <xf applyAlignment="true" applyBorder="false" applyFill="true" applyFont="true" applyNumberFormat="true" applyProtection="false" borderId="34" fillId="26" fontId="18" numFmtId="198" xfId="0">
      <alignment horizontal="center" vertical="center"/>
    </xf>
    <xf applyAlignment="true" applyBorder="false" applyFill="true" applyFont="true" applyNumberFormat="true" applyProtection="false" borderId="32" fillId="29" fontId="19" numFmtId="202" xfId="0">
      <alignment horizontal="center" vertical="center"/>
    </xf>
    <xf applyAlignment="true" applyBorder="false" applyFill="false" applyFont="true" applyNumberFormat="false" applyProtection="false" borderId="32" fillId="0" fontId="17" numFmtId="0" xfId="0">
      <alignment horizontal="center" vertical="center"/>
    </xf>
    <xf applyAlignment="true" applyBorder="false" applyFill="true" applyFont="true" applyNumberFormat="true" applyProtection="false" borderId="33" fillId="30" fontId="12" numFmtId="198" xfId="0">
      <alignment horizontal="center" vertical="center"/>
    </xf>
    <xf applyAlignment="true" applyBorder="false" applyFill="false" applyFont="true" applyNumberFormat="true" applyProtection="false" borderId="32" fillId="0" fontId="2" numFmtId="198" xfId="0">
      <alignment horizontal="center" vertical="center"/>
    </xf>
    <xf applyAlignment="true" applyBorder="false" applyFill="false" applyFont="true" applyNumberFormat="true" applyProtection="false" borderId="32" fillId="0" fontId="1" numFmtId="198" xfId="0">
      <alignment horizontal="center" vertical="center"/>
    </xf>
    <xf applyAlignment="true" applyBorder="false" applyFill="false" applyFont="true" applyNumberFormat="true" applyProtection="false" borderId="34" fillId="0" fontId="1" numFmtId="198" xfId="0">
      <alignment horizontal="center" vertical="center"/>
    </xf>
    <xf applyAlignment="true" applyBorder="false" applyFill="false" applyFont="true" applyNumberFormat="true" applyProtection="false" borderId="32" fillId="0" fontId="2" numFmtId="202" xfId="0">
      <alignment horizontal="center" vertical="center"/>
    </xf>
    <xf applyAlignment="true" applyBorder="false" applyFill="true" applyFont="true" applyNumberFormat="true" applyProtection="false" borderId="33" fillId="31" fontId="20" numFmtId="198" xfId="0">
      <alignment horizontal="center" vertical="center"/>
    </xf>
    <xf applyAlignment="true" applyBorder="false" applyFill="true" applyFont="true" applyNumberFormat="true" applyProtection="false" borderId="32" fillId="31" fontId="19" numFmtId="198" xfId="0">
      <alignment horizontal="center" vertical="center"/>
    </xf>
    <xf applyAlignment="true" applyBorder="false" applyFill="true" applyFont="true" applyNumberFormat="true" applyProtection="false" borderId="32" fillId="31" fontId="18" numFmtId="198" xfId="0">
      <alignment horizontal="center" vertical="center"/>
    </xf>
    <xf applyAlignment="true" applyBorder="false" applyFill="true" applyFont="true" applyNumberFormat="true" applyProtection="false" borderId="34" fillId="31" fontId="18" numFmtId="198" xfId="0">
      <alignment horizontal="center" vertical="center"/>
    </xf>
    <xf applyAlignment="true" applyBorder="false" applyFill="true" applyFont="true" applyNumberFormat="true" applyProtection="false" borderId="32" fillId="31" fontId="19" numFmtId="202" xfId="0">
      <alignment horizontal="center" vertical="center"/>
    </xf>
    <xf applyAlignment="true" applyBorder="false" applyFill="true" applyFont="true" applyNumberFormat="false" applyProtection="false" borderId="35" fillId="32" fontId="1" numFmtId="0" xfId="0">
      <alignment horizontal="center" vertical="center"/>
    </xf>
    <xf applyAlignment="true" applyBorder="false" applyFill="true" applyFont="true" applyNumberFormat="false" applyProtection="false" borderId="35" fillId="32" fontId="1" numFmtId="0" xfId="0">
      <alignment horizontal="center" vertical="center"/>
    </xf>
    <xf applyAlignment="true" applyBorder="false" applyFill="true" applyFont="true" applyNumberFormat="true" applyProtection="false" borderId="35" fillId="32" fontId="1" numFmtId="203" xfId="0">
      <alignment horizontal="center" vertical="center"/>
    </xf>
    <xf applyAlignment="true" applyBorder="false" applyFill="true" applyFont="true" applyNumberFormat="true" applyProtection="false" borderId="35" fillId="32" fontId="1" numFmtId="203" xfId="0">
      <alignment horizontal="center" vertical="center"/>
    </xf>
    <xf applyAlignment="true" applyBorder="false" applyFill="false" applyFont="true" applyNumberFormat="false" applyProtection="false" borderId="35" fillId="0" fontId="1" numFmtId="0" xfId="0">
      <alignment horizontal="center" vertical="center"/>
    </xf>
    <xf applyAlignment="true" applyBorder="false" applyFill="false" applyFont="true" applyNumberFormat="false" applyProtection="false" borderId="36" fillId="0" fontId="2" numFmtId="0" xfId="0">
      <alignment horizontal="center" vertical="center"/>
    </xf>
    <xf applyAlignment="true" applyBorder="false" applyFill="false" applyFont="true" applyNumberFormat="false" applyProtection="false" borderId="36" fillId="0" fontId="1" numFmtId="0" xfId="0">
      <alignment horizontal="center" vertical="center"/>
    </xf>
    <xf applyAlignment="true" applyBorder="false" applyFill="false" applyFont="true" applyNumberFormat="true" applyProtection="false" borderId="36" fillId="0" fontId="1" numFmtId="204" xfId="0">
      <alignment horizontal="center" vertical="center"/>
    </xf>
    <xf applyAlignment="true" applyBorder="false" applyFill="false" applyFont="true" applyNumberFormat="true" applyProtection="false" borderId="36" fillId="0" fontId="1" numFmtId="205" xfId="0">
      <alignment horizontal="center" vertical="center"/>
    </xf>
    <xf applyAlignment="true" applyBorder="false" applyFill="false" applyFont="true" applyNumberFormat="true" applyProtection="false" borderId="36" fillId="0" fontId="1" numFmtId="203" xfId="0">
      <alignment horizontal="center" vertical="center"/>
    </xf>
    <xf applyAlignment="true" applyBorder="false" applyFill="false" applyFont="true" applyNumberFormat="true" applyProtection="false" borderId="36" fillId="0" fontId="1" numFmtId="206" xfId="0">
      <alignment horizontal="center" vertical="center"/>
    </xf>
    <xf applyAlignment="true" applyBorder="false" applyFill="true" applyFont="true" applyNumberFormat="false" applyProtection="false" borderId="36" fillId="33" fontId="3" numFmtId="0" xfId="0">
      <alignment horizontal="center" vertical="top"/>
    </xf>
    <xf applyAlignment="true" applyBorder="false" applyFill="true" applyFont="true" applyNumberFormat="false" applyProtection="false" borderId="36" fillId="33" fontId="3" numFmtId="0" xfId="0">
      <alignment horizontal="center" vertical="center"/>
    </xf>
    <xf applyAlignment="true" applyBorder="false" applyFill="true" applyFont="true" applyNumberFormat="true" applyProtection="false" borderId="36" fillId="33" fontId="3" numFmtId="204" xfId="0">
      <alignment horizontal="center" vertical="center"/>
    </xf>
    <xf applyAlignment="true" applyBorder="false" applyFill="true" applyFont="true" applyNumberFormat="true" applyProtection="false" borderId="36" fillId="33" fontId="3" numFmtId="203" xfId="0">
      <alignment horizontal="center" vertical="center"/>
    </xf>
    <xf applyAlignment="true" applyBorder="false" applyFill="true" applyFont="true" applyNumberFormat="true" applyProtection="false" borderId="36" fillId="33" fontId="3" numFmtId="206" xfId="0">
      <alignment horizontal="center" vertical="center"/>
    </xf>
    <xf applyAlignment="true" applyBorder="false" applyFill="false" applyFont="true" applyNumberFormat="false" applyProtection="false" borderId="36" fillId="0" fontId="4" numFmtId="0" xfId="0">
      <alignment horizontal="center" vertical="center"/>
    </xf>
    <xf applyAlignment="true" applyBorder="false" applyFill="false" applyFont="true" applyNumberFormat="true" applyProtection="false" borderId="35" fillId="0" fontId="1" numFmtId="203" xfId="0">
      <alignment horizontal="center" vertical="center"/>
    </xf>
    <xf applyAlignment="true" applyBorder="false" applyFill="false" applyFont="true" applyNumberFormat="true" applyProtection="false" borderId="35" fillId="0" fontId="1" numFmtId="203" xfId="0">
      <alignment horizontal="center" vertical="center"/>
    </xf>
    <xf applyAlignment="true" applyBorder="false" applyFill="true" applyFont="true" applyNumberFormat="true" applyProtection="false" borderId="37" fillId="33" fontId="3" numFmtId="206" xfId="0">
      <alignment horizontal="center" vertical="center"/>
    </xf>
    <xf applyAlignment="true" applyBorder="false" applyFill="false" applyFont="true" applyNumberFormat="true" applyProtection="false" borderId="38" fillId="0" fontId="1" numFmtId="203" xfId="0">
      <alignment horizontal="center" vertical="center"/>
    </xf>
    <xf applyAlignment="true" applyBorder="false" applyFill="true" applyFont="true" applyNumberFormat="true" applyProtection="false" borderId="38" fillId="33" fontId="3" numFmtId="203" xfId="0">
      <alignment horizontal="center" vertical="center"/>
    </xf>
    <xf applyAlignment="true" applyBorder="false" applyFill="true" applyFont="true" applyNumberFormat="false" applyProtection="false" borderId="39" fillId="34" fontId="11" numFmtId="0" xfId="0">
      <alignment horizontal="center" vertical="center"/>
    </xf>
    <xf applyAlignment="true" applyBorder="false" applyFill="true" applyFont="true" applyNumberFormat="false" applyProtection="false" borderId="40" fillId="34" fontId="16" numFmtId="0" xfId="0">
      <alignment horizontal="center" vertical="center"/>
    </xf>
    <xf applyAlignment="true" applyBorder="false" applyFill="true" applyFont="true" applyNumberFormat="false" applyProtection="false" borderId="35" fillId="34" fontId="11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/xl/pivotCache/pivotCacheDefinition1.xml" Type="http://schemas.openxmlformats.org/officeDocument/2006/relationships/pivotCacheDefinition"></Relationship><Relationship Id="rId8" Target="/xl/pivotCache/pivotCacheDefinition2.xml" Type="http://schemas.openxmlformats.org/officeDocument/2006/relationships/pivotCacheDefinition"></Relationship><Relationship Id="rId9" Target="worksheets/sheet4.xml" Type="http://schemas.openxmlformats.org/officeDocument/2006/relationships/worksheet"></Relationship><Relationship Id="rId10" Target="/xl/pivotCache/pivotCacheDefinition3.xml" Type="http://schemas.openxmlformats.org/officeDocument/2006/relationships/pivotCacheDefinition"></Relationship><Relationship Id="rId11" Target="worksheets/sheet5.xml" Type="http://schemas.openxmlformats.org/officeDocument/2006/relationships/worksheet"></Relationship><Relationship Id="rId12" Target="/xl/pivotCache/pivotCacheDefinition4.xml" Type="http://schemas.openxmlformats.org/officeDocument/2006/relationships/pivotCacheDefinition"></Relationship><Relationship Id="rId13" Target="worksheets/sheet6.xml" Type="http://schemas.openxmlformats.org/officeDocument/2006/relationships/worksheet"></Relationship><Relationship Id="rId14" Target="/xl/pivotCache/pivotCacheDefinition5.xml" Type="http://schemas.openxmlformats.org/officeDocument/2006/relationships/pivotCacheDefinition"></Relationship><Relationship Id="rId15" Target="worksheets/sheet7.xml" Type="http://schemas.openxmlformats.org/officeDocument/2006/relationships/worksheet"></Relationship><Relationship Id="rId16" Target="/xl/pivotCache/pivotCacheDefinition6.xml" Type="http://schemas.openxmlformats.org/officeDocument/2006/relationships/pivotCacheDefinition"></Relationship><Relationship Id="rId17" Target="worksheets/sheet8.xml" Type="http://schemas.openxmlformats.org/officeDocument/2006/relationships/worksheet"></Relationship><Relationship Id="rId18" Target="/xl/pivotCache/pivotCacheDefinition7.xml" Type="http://schemas.openxmlformats.org/officeDocument/2006/relationships/pivotCacheDefinition"></Relationship><Relationship Id="rId19" Target="worksheets/sheet9.xml" Type="http://schemas.openxmlformats.org/officeDocument/2006/relationships/worksheet"></Relationship><Relationship Id="rId20" Target="/xl/pivotCache/pivotCacheDefinition8.xml" Type="http://schemas.openxmlformats.org/officeDocument/2006/relationships/pivotCacheDefinition"></Relationship><Relationship Id="rId21" Target="worksheets/sheet10.xml" Type="http://schemas.openxmlformats.org/officeDocument/2006/relationships/worksheet"></Relationship><Relationship Id="rId22" Target="/xl/pivotCache/pivotCacheDefinition9.xml" Type="http://schemas.openxmlformats.org/officeDocument/2006/relationships/pivotCacheDefinition"></Relationship><Relationship Id="rId23" Target="worksheets/sheet11.xml" Type="http://schemas.openxmlformats.org/officeDocument/2006/relationships/worksheet"></Relationship></Relationships>
</file>

<file path=xl/charts/_rels/chartEx1.xml.rels><?xml version="1.0" encoding="UTF-8" standalone="yes"?>
<Relationships xmlns="http://schemas.openxmlformats.org/package/2006/relationships"><Relationship Id="rId1" Target="style1.xml" Type="http://schemas.microsoft.com/office/2011/relationships/chartStyle"></Relationship><Relationship Id="rId2" Target="colors1.xml" Type="http://schemas.microsoft.com/office/2011/relationships/chartColorStyle"></Relationship></Relationships>
</file>

<file path=xl/charts/_rels/chartEx2.xml.rels><?xml version="1.0" encoding="UTF-8" standalone="yes"?>
<Relationships xmlns="http://schemas.openxmlformats.org/package/2006/relationships"><Relationship Id="rId1" Target="style2.xml" Type="http://schemas.microsoft.com/office/2011/relationships/chartStyle"></Relationship><Relationship Id="rId2" Target="colors2.xml" Type="http://schemas.microsoft.com/office/2011/relationships/chartColorStyle"></Relationship></Relationships>
</file>

<file path=xl/charts/_rels/chartEx3.xml.rels><?xml version="1.0" encoding="UTF-8" standalone="yes"?>
<Relationships xmlns="http://schemas.openxmlformats.org/package/2006/relationships"><Relationship Id="rId1" Target="style3.xml" Type="http://schemas.microsoft.com/office/2011/relationships/chartStyle"></Relationship><Relationship Id="rId2" Target="colors3.xml" Type="http://schemas.microsoft.com/office/2011/relationships/chartColorStyle"></Relationship></Relationships>
</file>

<file path=xl/charts/_rels/chartEx4.xml.rels><?xml version="1.0" encoding="UTF-8" standalone="yes"?>
<Relationships xmlns="http://schemas.openxmlformats.org/package/2006/relationships"><Relationship Id="rId1" Target="style4.xml" Type="http://schemas.microsoft.com/office/2011/relationships/chartStyle"></Relationship><Relationship Id="rId2" Target="colors4.xml" Type="http://schemas.microsoft.com/office/2011/relationships/chartColorStyle"></Relationship></Relationships>
</file>

<file path=xl/charts/_rels/chartEx5.xml.rels><?xml version="1.0" encoding="UTF-8" standalone="yes"?>
<Relationships xmlns="http://schemas.openxmlformats.org/package/2006/relationships"><Relationship Id="rId1" Target="style5.xml" Type="http://schemas.microsoft.com/office/2011/relationships/chartStyle"></Relationship><Relationship Id="rId2" Target="colors5.xml" Type="http://schemas.microsoft.com/office/2011/relationships/chartColorStyle"></Relationship></Relationships>
</file>

<file path=xl/charts/_rels/chartEx6.xml.rels><?xml version="1.0" encoding="UTF-8" standalone="yes"?>
<Relationships xmlns="http://schemas.openxmlformats.org/package/2006/relationships"><Relationship Id="rId1" Target="style6.xml" Type="http://schemas.microsoft.com/office/2011/relationships/chartStyle"></Relationship><Relationship Id="rId2" Target="colors6.xml" Type="http://schemas.microsoft.com/office/2011/relationships/chartColorStyle"></Relationship></Relationships>
</file>

<file path=xl/charts/_rels/chartEx7.xml.rels><?xml version="1.0" encoding="UTF-8" standalone="yes"?>
<Relationships xmlns="http://schemas.openxmlformats.org/package/2006/relationships"><Relationship Id="rId1" Target="style7.xml" Type="http://schemas.microsoft.com/office/2011/relationships/chartStyle"></Relationship><Relationship Id="rId2" Target="colors7.xml" Type="http://schemas.microsoft.com/office/2011/relationships/chartColorStyle"></Relationship></Relationships>
</file>

<file path=xl/charts/_rels/chartEx8.xml.rels><?xml version="1.0" encoding="UTF-8" standalone="yes"?>
<Relationships xmlns="http://schemas.openxmlformats.org/package/2006/relationships"><Relationship Id="rId1" Target="style8.xml" Type="http://schemas.microsoft.com/office/2011/relationships/chartStyle"></Relationship><Relationship Id="rId2" Target="colors8.xml" Type="http://schemas.microsoft.com/office/2011/relationships/chartColorStyle"></Relationship></Relationships>
</file>

<file path=xl/charts/_rels/chartEx9.xml.rels><?xml version="1.0" encoding="UTF-8" standalone="yes"?>
<Relationships xmlns="http://schemas.openxmlformats.org/package/2006/relationships"><Relationship Id="rId1" Target="style9.xml" Type="http://schemas.microsoft.com/office/2011/relationships/chartStyle"></Relationship><Relationship Id="rId2" Target="colors9.xml" Type="http://schemas.microsoft.com/office/2011/relationships/chartColorStyle"></Relationship></Relationships>
</file>

<file path=xl/charts/_rels/chartEx10.xml.rels><?xml version="1.0" encoding="UTF-8" standalone="yes"?>
<Relationships xmlns="http://schemas.openxmlformats.org/package/2006/relationships"><Relationship Id="rId1" Target="style10.xml" Type="http://schemas.microsoft.com/office/2011/relationships/chartStyle"></Relationship><Relationship Id="rId2" Target="colors10.xml" Type="http://schemas.microsoft.com/office/2011/relationships/chartColorStyle"></Relationship></Relationships>
</file>

<file path=xl/charts/_rels/chartEx11.xml.rels><?xml version="1.0" encoding="UTF-8" standalone="yes"?>
<Relationships xmlns="http://schemas.openxmlformats.org/package/2006/relationships"><Relationship Id="rId1" Target="style11.xml" Type="http://schemas.microsoft.com/office/2011/relationships/chartStyle"></Relationship><Relationship Id="rId2" Target="colors11.xml" Type="http://schemas.microsoft.com/office/2011/relationships/chartColorStyle"></Relationship></Relationships>
</file>

<file path=xl/charts/chart1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true"/>
  <chart>
    <title>
      <tx>
        <rich>
          <a:bodyPr anchorCtr="false" rot="0" spcFirstLastPara="false"/>
          <a:p>
            <a:pPr>
              <a:defRPr b="true" baseline="0" i="false" kern="1200" spc="0" strike="noStrike" sz="14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true" baseline="0" i="false" kern="0" lang="en-US" spc="0"/>
              <a:t>6-7月趋势图</a:t>
            </a:r>
          </a:p>
        </rich>
      </tx>
      <layout>
        <manualLayout>
          <xMode val="edge"/>
          <yMode val="edge"/>
          <x val="0"/>
          <y val="0"/>
        </manualLayout>
      </layout>
      <overlay val="false"/>
      <spPr/>
      <txPr>
        <a:bodyPr anchorCtr="false" rot="0" spcFirstLastPara="false"/>
        <a:p>
          <a:pPr>
            <a:defRPr b="true" baseline="0" i="false" kern="1200" spc="0" strike="noStrike" sz="14000" u="none"/>
          </a:pPr>
          <a:endParaRPr lang="en-US"/>
        </a:p>
      </txPr>
    </title>
    <plotArea>
      <barChart>
        <barDir val="col"/>
        <grouping val="clustered"/>
        <varyColors val="false"/>
        <ser>
          <idx val="0"/>
          <order val="0"/>
          <tx>
            <strRef>
              <f>'勿删'!$F$4</f>
            </strRef>
          </tx>
          <spPr>
            <a:solidFill>
              <a:srgbClr val="5383F1"/>
            </a:solidFill>
            <a:ln>
              <a:noFill> </a:noFill>
            </a:ln>
          </spPr>
          <invertIfNegative val="false"/>
          <dLbls>
            <showVal val="false"/>
            <showCatName val="false"/>
            <showSerName val="false"/>
            <showPercent val="false"/>
            <showBubbleSize val="false"/>
          </dLbls>
          <cat>
            <strRef>
              <f>'勿删'!$A$5:$A$11</f>
            </strRef>
          </cat>
          <val>
            <numRef>
              <f>'勿删'!$F$5:$F$11</f>
            </numRef>
          </val>
          <smooth val="false"/>
        </ser>
        <dLbls>
          <showVal val="false"/>
          <showCatName val="false"/>
          <showSerName val="false"/>
          <showPercent val="false"/>
          <showBubbleSize val="false"/>
        </dLbls>
        <gapWidth val="219"/>
        <overlap val="-27"/>
        <axId val="754001152"/>
        <axId val="753999904"/>
      </barChart>
      <lineChart>
        <grouping val="standard"/>
        <varyColors val="false"/>
        <ser>
          <idx val="1"/>
          <order val="1"/>
          <tx>
            <strRef>
              <f>'勿删'!$G$4</f>
            </strRef>
          </tx>
          <spPr>
            <a:solidFill>
              <a:srgbClr val="EB6B67"/>
            </a:solidFill>
            <a:ln w="19050">
              <a:solidFill>
                <a:srgbClr val="EB6B67"/>
              </a:solidFill>
            </a:ln>
          </spPr>
          <invertIfNegative val="false"/>
          <dLbls>
            <showVal val="false"/>
            <showCatName val="false"/>
            <showSerName val="false"/>
            <showPercent val="false"/>
            <showBubbleSize val="false"/>
          </dLbls>
          <marker>
            <symbol val="none"/>
            <spPr>
              <a:solidFill>
                <a:srgbClr val="EB6B67"/>
              </a:solidFill>
              <a:ln>
                <a:noFill> </a:noFill>
              </a:ln>
            </spPr>
          </marker>
          <cat>
            <strRef>
              <f>'勿删'!$A$5:$A$11</f>
            </strRef>
          </cat>
          <val>
            <numRef>
              <f>'勿删'!$G$5:$G$11</f>
            </numRef>
          </val>
          <smooth val="false"/>
        </ser>
        <dLbls>
          <showVal val="false"/>
          <showCatName val="false"/>
          <showSerName val="false"/>
          <showPercent val="false"/>
          <showBubbleSize val="false"/>
        </dLbls>
        <smooth val="false"/>
        <axId val="754001153"/>
        <axId val="753999905"/>
      </lineChart>
      <catAx>
        <axId val="754001152"/>
        <scaling>
          <orientation val="minMax"/>
        </scaling>
        <delete val="false"/>
        <axPos val="b"/>
        <numFmt formatCode="General" sourceLinked="true"/>
        <majorTickMark val="none"/>
        <minorTickMark val="none"/>
        <tickLblPos val="nextTo"/>
        <spPr>
          <a:ln>
            <a:noFill> </a:no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min"/>
        <auto val="true"/>
        <lblAlgn val="ctr"/>
        <lblOffset val="100"/>
        <noMultiLvlLbl val="false"/>
      </catAx>
      <valAx>
        <axId val="753999904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>
            <a:noFill> </a:no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min"/>
        <crossBetween val="between"/>
      </valAx>
      <valAx>
        <axId val="753999905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>
            <a:noFill> </a:no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3"/>
        <crosses val="max"/>
        <crossBetween val="between"/>
      </valAx>
      <catAx>
        <axId val="754001153"/>
        <scaling>
          <orientation val="minMax"/>
        </scaling>
        <delete val="true"/>
        <axPos val="b"/>
        <numFmt formatCode="General" sourceLinked="true"/>
        <majorTickMark val="none"/>
        <minorTickMark val="none"/>
        <tickLblPos val="nextTo"/>
        <spPr>
          <a:ln algn="ctr" cap="flat" cmpd="sng" w="9525">
            <a:solidFill>
              <a:srgbClr val="51565D"/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5"/>
        <crosses val="autoZero"/>
        <auto val="true"/>
        <lblAlgn val="ctr"/>
        <lblOffset val="100"/>
        <noMultiLvlLbl val="false"/>
      </catAx>
      <spPr>
        <a:noFill> </a:noFill>
        <a:ln>
          <a:noFill> </a:noFill>
        </a:ln>
      </spPr>
    </plotArea>
    <legend>
      <legendPos val="b"/>
      <overlay val="false"/>
    </legend>
    <plotVisOnly val="true"/>
    <dispBlanksAs val="gap"/>
    <showDLblsOverMax val="false"/>
  </chart>
  <spPr>
    <a:solidFill>
      <a:schemeClr val="bg1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charts/chart3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true"/>
  <chart>
    <title>
      <tx>
        <rich>
          <a:bodyPr anchorCtr="false" rot="0" spcFirstLastPara="false"/>
          <a:p>
            <a:pPr>
              <a:defRPr b="true" baseline="0" i="false" kern="1200" spc="0" strike="noStrike" sz="14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true" baseline="0" i="false" kern="0" lang="en-US" spc="0"/>
              <a:t>王笑荣 7月</a:t>
            </a:r>
          </a:p>
        </rich>
      </tx>
      <layout>
        <manualLayout>
          <xMode val="edge"/>
          <yMode val="edge"/>
          <x val="0"/>
          <y val="0"/>
        </manualLayout>
      </layout>
      <overlay val="false"/>
      <spPr/>
      <txPr>
        <a:bodyPr anchorCtr="false" rot="0" spcFirstLastPara="false"/>
        <a:p>
          <a:pPr>
            <a:defRPr b="true" baseline="0" i="false" kern="1200" spc="0" strike="noStrike" sz="14000" u="none"/>
          </a:pPr>
          <a:endParaRPr lang="en-US"/>
        </a:p>
      </txPr>
    </title>
    <plotArea>
      <barChart>
        <barDir val="col"/>
        <grouping val="clustered"/>
        <varyColors val="false"/>
        <ser>
          <idx val="1"/>
          <order val="1"/>
          <tx>
            <strRef>
              <f>'勿删'!$J$155</f>
            </strRef>
          </tx>
          <spPr>
            <a:solidFill>
              <a:srgbClr val="F2870D"/>
            </a:solidFill>
            <a:ln>
              <a:noFill> </a:noFill>
            </a:ln>
          </spPr>
          <invertIfNegative val="false"/>
          <dLbls>
            <txPr>
              <a:bodyPr anchorCtr="false" rot="0" spcFirstLastPara="false"/>
              <a:p>
                <a:pPr>
                  <a:defRPr b="false" baseline="0" i="false" kern="1200" spc="0" strike="noStrike" sz="900">
                    <a:solidFill>
                      <a:srgbClr val="F2870D"/>
                    </a:solidFill>
                  </a:defRPr>
                </a:pPr>
                <a:endParaRPr lang="en-US"/>
              </a:p>
            </txPr>
            <dLblPos val="outEnd"/>
            <showLegendKey val="false"/>
            <showVal val="true"/>
            <showCatName val="false"/>
            <showSerName val="false"/>
            <showPercent val="false"/>
            <showBubbleSize val="false"/>
          </dLbls>
          <cat>
            <strRef>
              <f>'勿删'!$A$156:$A$184</f>
            </strRef>
          </cat>
          <val>
            <numRef>
              <f>'勿删'!$J$156:$J$184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</dLbls>
        <gapWidth val="219"/>
        <overlap val="-27"/>
        <axId val="754001153"/>
        <axId val="753999905"/>
      </barChart>
      <lineChart>
        <grouping val="standard"/>
        <varyColors val="false"/>
        <ser>
          <idx val="0"/>
          <order val="0"/>
          <tx>
            <strRef>
              <f>'勿删'!$H$155</f>
            </strRef>
          </tx>
          <spPr>
            <a:solidFill>
              <a:srgbClr val="3B72F2"/>
            </a:solidFill>
            <a:ln w="19050">
              <a:solidFill>
                <a:srgbClr val="3B72F2"/>
              </a:solidFill>
            </a:ln>
          </spPr>
          <invertIfNegative val="false"/>
          <dLbls>
            <txPr>
              <a:bodyPr anchorCtr="false" rot="0" spcFirstLastPara="false"/>
              <a:p>
                <a:pPr>
                  <a:defRPr b="false" baseline="0" i="false" kern="1200" spc="0" strike="noStrike" sz="900">
                    <a:solidFill>
                      <a:srgbClr val="3B72F2"/>
                    </a:solidFill>
                  </a:defRPr>
                </a:pPr>
                <a:endParaRPr lang="en-US"/>
              </a:p>
            </txPr>
            <dLblPos val="t"/>
            <showLegendKey val="false"/>
            <showVal val="true"/>
            <showCatName val="false"/>
            <showSerName val="false"/>
            <showPercent val="false"/>
            <showBubbleSize val="false"/>
          </dLbls>
          <marker>
            <symbol val="none"/>
            <spPr>
              <a:solidFill>
                <a:srgbClr val="3B72F2"/>
              </a:solidFill>
              <a:ln>
                <a:noFill> </a:noFill>
              </a:ln>
            </spPr>
          </marker>
          <cat>
            <strRef>
              <f>'勿删'!$A$156:$A$184</f>
            </strRef>
          </cat>
          <val>
            <numRef>
              <f>'勿删'!$H$156:$H$184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</dLbls>
        <smooth val="false"/>
        <axId val="754001152"/>
        <axId val="753999904"/>
      </lineChart>
      <catAx>
        <axId val="754001152"/>
        <scaling>
          <orientation val="minMax"/>
        </scaling>
        <delete val="false"/>
        <axPos val="b"/>
        <numFmt formatCode="General" sourceLinked="true"/>
        <majorTickMark val="none"/>
        <minorTickMark val="none"/>
        <tickLblPos val="nextTo"/>
        <spPr>
          <a:ln>
            <a:noFill> </a:no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min"/>
        <auto val="true"/>
        <lblAlgn val="ctr"/>
        <lblOffset val="100"/>
        <noMultiLvlLbl val="false"/>
      </catAx>
      <valAx>
        <axId val="753999904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>
            <a:noFill> </a:no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min"/>
        <crossBetween val="between"/>
      </valAx>
      <valAx>
        <axId val="753999905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>
            <a:noFill> </a:no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3"/>
        <crosses val="max"/>
        <crossBetween val="between"/>
      </valAx>
      <catAx>
        <axId val="754001153"/>
        <scaling>
          <orientation val="minMax"/>
        </scaling>
        <delete val="true"/>
        <axPos val="b"/>
        <numFmt formatCode="General" sourceLinked="true"/>
        <majorTickMark val="none"/>
        <minorTickMark val="none"/>
        <tickLblPos val="nextTo"/>
        <spPr>
          <a:ln algn="ctr" cap="flat" cmpd="sng" w="9525">
            <a:solidFill>
              <a:srgbClr val="51565D"/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5"/>
        <crosses val="autoZero"/>
        <auto val="true"/>
        <lblAlgn val="ctr"/>
        <lblOffset val="100"/>
        <noMultiLvlLbl val="false"/>
      </catAx>
      <spPr>
        <a:noFill> </a:noFill>
        <a:ln>
          <a:noFill> </a:noFill>
        </a:ln>
      </spPr>
    </plotArea>
    <legend>
      <legendPos val="b"/>
      <overlay val="false"/>
    </legend>
    <plotVisOnly val="true"/>
    <dispBlanksAs val="gap"/>
    <showDLblsOverMax val="false"/>
  </chart>
  <spPr>
    <a:solidFill>
      <a:schemeClr val="bg1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charts/chart5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true"/>
  <chart>
    <title>
      <tx>
        <rich>
          <a:bodyPr anchorCtr="false" rot="0" spcFirstLastPara="false"/>
          <a:p>
            <a:pPr>
              <a:defRPr b="true" baseline="0" i="false" kern="1200" spc="0" strike="noStrike" sz="14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true" baseline="0" i="false" kern="0" lang="en-US" spc="0"/>
              <a:t>刘昊冉 7月</a:t>
            </a:r>
          </a:p>
        </rich>
      </tx>
      <layout>
        <manualLayout>
          <xMode val="edge"/>
          <yMode val="edge"/>
          <x val="0"/>
          <y val="0"/>
        </manualLayout>
      </layout>
      <overlay val="false"/>
      <spPr/>
      <txPr>
        <a:bodyPr anchorCtr="false" rot="0" spcFirstLastPara="false"/>
        <a:p>
          <a:pPr>
            <a:defRPr b="true" baseline="0" i="false" kern="1200" spc="0" strike="noStrike" sz="14000" u="none"/>
          </a:pPr>
          <a:endParaRPr lang="en-US"/>
        </a:p>
      </txPr>
    </title>
    <plotArea>
      <barChart>
        <barDir val="col"/>
        <grouping val="clustered"/>
        <varyColors val="false"/>
        <ser>
          <idx val="1"/>
          <order val="1"/>
          <tx>
            <strRef>
              <f>'勿删'!$J$85</f>
            </strRef>
          </tx>
          <spPr>
            <a:solidFill>
              <a:srgbClr val="F2870D"/>
            </a:solidFill>
            <a:ln>
              <a:noFill> </a:noFill>
            </a:ln>
          </spPr>
          <invertIfNegative val="false"/>
          <dLbls>
            <txPr>
              <a:bodyPr anchorCtr="false" rot="0" spcFirstLastPara="false"/>
              <a:p>
                <a:pPr>
                  <a:defRPr b="false" baseline="0" i="false" kern="1200" spc="0" strike="noStrike" sz="900">
                    <a:solidFill>
                      <a:srgbClr val="F2870D"/>
                    </a:solidFill>
                  </a:defRPr>
                </a:pPr>
                <a:endParaRPr lang="en-US"/>
              </a:p>
            </txPr>
            <dLblPos val="outEnd"/>
            <showLegendKey val="false"/>
            <showVal val="true"/>
            <showCatName val="false"/>
            <showSerName val="false"/>
            <showPercent val="false"/>
            <showBubbleSize val="false"/>
          </dLbls>
          <cat>
            <strRef>
              <f>'勿删'!$A$86:$A$90</f>
            </strRef>
          </cat>
          <val>
            <numRef>
              <f>'勿删'!$J$86:$J$90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</dLbls>
        <gapWidth val="219"/>
        <overlap val="-27"/>
        <axId val="754001153"/>
        <axId val="753999905"/>
      </barChart>
      <lineChart>
        <grouping val="standard"/>
        <varyColors val="false"/>
        <ser>
          <idx val="0"/>
          <order val="0"/>
          <tx>
            <strRef>
              <f>'勿删'!$H$85</f>
            </strRef>
          </tx>
          <spPr>
            <a:solidFill>
              <a:srgbClr val="3B72F2"/>
            </a:solidFill>
            <a:ln w="19050">
              <a:solidFill>
                <a:srgbClr val="3B72F2"/>
              </a:solidFill>
            </a:ln>
          </spPr>
          <invertIfNegative val="false"/>
          <dLbls>
            <txPr>
              <a:bodyPr anchorCtr="false" rot="0" spcFirstLastPara="false"/>
              <a:p>
                <a:pPr>
                  <a:defRPr b="false" baseline="0" i="false" kern="1200" spc="0" strike="noStrike" sz="900">
                    <a:solidFill>
                      <a:srgbClr val="3B72F2"/>
                    </a:solidFill>
                  </a:defRPr>
                </a:pPr>
                <a:endParaRPr lang="en-US"/>
              </a:p>
            </txPr>
            <dLblPos val="t"/>
            <showLegendKey val="false"/>
            <showVal val="true"/>
            <showCatName val="false"/>
            <showSerName val="false"/>
            <showPercent val="false"/>
            <showBubbleSize val="false"/>
          </dLbls>
          <marker>
            <symbol val="none"/>
            <spPr>
              <a:solidFill>
                <a:srgbClr val="3B72F2"/>
              </a:solidFill>
              <a:ln>
                <a:noFill> </a:noFill>
              </a:ln>
            </spPr>
          </marker>
          <cat>
            <strRef>
              <f>'勿删'!$A$86:$A$90</f>
            </strRef>
          </cat>
          <val>
            <numRef>
              <f>'勿删'!$H$86:$H$90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</dLbls>
        <smooth val="false"/>
        <axId val="754001152"/>
        <axId val="753999904"/>
      </lineChart>
      <catAx>
        <axId val="754001152"/>
        <scaling>
          <orientation val="minMax"/>
        </scaling>
        <delete val="false"/>
        <axPos val="b"/>
        <numFmt formatCode="General" sourceLinked="true"/>
        <majorTickMark val="none"/>
        <minorTickMark val="none"/>
        <tickLblPos val="nextTo"/>
        <spPr>
          <a:ln>
            <a:noFill> </a:no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min"/>
        <auto val="true"/>
        <lblAlgn val="ctr"/>
        <lblOffset val="100"/>
        <noMultiLvlLbl val="false"/>
      </catAx>
      <valAx>
        <axId val="753999904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>
            <a:noFill> </a:no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min"/>
        <crossBetween val="between"/>
      </valAx>
      <valAx>
        <axId val="753999905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>
            <a:noFill> </a:no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3"/>
        <crosses val="max"/>
        <crossBetween val="between"/>
      </valAx>
      <catAx>
        <axId val="754001153"/>
        <scaling>
          <orientation val="minMax"/>
        </scaling>
        <delete val="true"/>
        <axPos val="b"/>
        <numFmt formatCode="General" sourceLinked="true"/>
        <majorTickMark val="none"/>
        <minorTickMark val="none"/>
        <tickLblPos val="nextTo"/>
        <spPr>
          <a:ln algn="ctr" cap="flat" cmpd="sng" w="9525">
            <a:solidFill>
              <a:srgbClr val="51565D"/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5"/>
        <crosses val="autoZero"/>
        <auto val="true"/>
        <lblAlgn val="ctr"/>
        <lblOffset val="100"/>
        <noMultiLvlLbl val="false"/>
      </catAx>
      <spPr>
        <a:noFill> </a:noFill>
        <a:ln>
          <a:noFill> </a:noFill>
        </a:ln>
      </spPr>
    </plotArea>
    <legend>
      <legendPos val="b"/>
      <overlay val="false"/>
    </legend>
    <plotVisOnly val="true"/>
    <dispBlanksAs val="gap"/>
    <showDLblsOverMax val="false"/>
  </chart>
  <spPr>
    <a:solidFill>
      <a:schemeClr val="bg1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charts/chart8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true"/>
  <chart>
    <title>
      <tx>
        <rich>
          <a:bodyPr anchorCtr="false" rot="0" spcFirstLastPara="false"/>
          <a:p>
            <a:pPr>
              <a:defRPr b="true" baseline="0" i="false" kern="1200" spc="0" strike="noStrike" sz="14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true" baseline="0" i="false" kern="0" lang="en-US" spc="0"/>
              <a:t>郭玉龙 7月</a:t>
            </a:r>
          </a:p>
        </rich>
      </tx>
      <layout>
        <manualLayout>
          <xMode val="edge"/>
          <yMode val="edge"/>
          <x val="0"/>
          <y val="0"/>
        </manualLayout>
      </layout>
      <overlay val="false"/>
      <spPr/>
      <txPr>
        <a:bodyPr anchorCtr="false" rot="0" spcFirstLastPara="false"/>
        <a:p>
          <a:pPr>
            <a:defRPr b="true" baseline="0" i="false" kern="1200" spc="0" strike="noStrike" sz="14000" u="none"/>
          </a:pPr>
          <a:endParaRPr lang="en-US"/>
        </a:p>
      </txPr>
    </title>
    <plotArea>
      <barChart>
        <barDir val="col"/>
        <grouping val="clustered"/>
        <varyColors val="false"/>
        <ser>
          <idx val="1"/>
          <order val="1"/>
          <tx>
            <strRef>
              <f>'勿删'!$J$34</f>
            </strRef>
          </tx>
          <spPr>
            <a:solidFill>
              <a:srgbClr val="F2870D"/>
            </a:solidFill>
            <a:ln>
              <a:noFill> </a:noFill>
            </a:ln>
          </spPr>
          <invertIfNegative val="false"/>
          <dLbls>
            <txPr>
              <a:bodyPr anchorCtr="false" rot="0" spcFirstLastPara="false"/>
              <a:p>
                <a:pPr>
                  <a:defRPr b="false" baseline="0" i="false" kern="1200" spc="0" strike="noStrike" sz="900">
                    <a:solidFill>
                      <a:srgbClr val="F2870D"/>
                    </a:solidFill>
                  </a:defRPr>
                </a:pPr>
                <a:endParaRPr lang="en-US"/>
              </a:p>
            </txPr>
            <dLblPos val="outEnd"/>
            <showLegendKey val="false"/>
            <showVal val="true"/>
            <showCatName val="false"/>
            <showSerName val="false"/>
            <showPercent val="false"/>
            <showBubbleSize val="false"/>
          </dLbls>
          <cat>
            <strRef>
              <f>'勿删'!$A$35:$A$58</f>
            </strRef>
          </cat>
          <val>
            <numRef>
              <f>'勿删'!$J$35:$J$58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</dLbls>
        <gapWidth val="219"/>
        <overlap val="-27"/>
        <axId val="754001153"/>
        <axId val="753999905"/>
      </barChart>
      <lineChart>
        <grouping val="standard"/>
        <varyColors val="false"/>
        <ser>
          <idx val="0"/>
          <order val="0"/>
          <tx>
            <strRef>
              <f>'勿删'!$H$34</f>
            </strRef>
          </tx>
          <spPr>
            <a:solidFill>
              <a:srgbClr val="3B72F2"/>
            </a:solidFill>
            <a:ln w="19050">
              <a:solidFill>
                <a:srgbClr val="3B72F2"/>
              </a:solidFill>
            </a:ln>
          </spPr>
          <invertIfNegative val="false"/>
          <dLbls>
            <txPr>
              <a:bodyPr anchorCtr="false" rot="0" spcFirstLastPara="false"/>
              <a:p>
                <a:pPr>
                  <a:defRPr b="false" baseline="0" i="false" kern="1200" spc="0" strike="noStrike" sz="900">
                    <a:solidFill>
                      <a:srgbClr val="3B72F2"/>
                    </a:solidFill>
                  </a:defRPr>
                </a:pPr>
                <a:endParaRPr lang="en-US"/>
              </a:p>
            </txPr>
            <dLblPos val="t"/>
            <showLegendKey val="false"/>
            <showVal val="true"/>
            <showCatName val="false"/>
            <showSerName val="false"/>
            <showPercent val="false"/>
            <showBubbleSize val="false"/>
          </dLbls>
          <marker>
            <symbol val="none"/>
            <spPr>
              <a:solidFill>
                <a:srgbClr val="3B72F2"/>
              </a:solidFill>
              <a:ln>
                <a:noFill> </a:noFill>
              </a:ln>
            </spPr>
          </marker>
          <cat>
            <strRef>
              <f>'勿删'!$A$35:$A$58</f>
            </strRef>
          </cat>
          <val>
            <numRef>
              <f>'勿删'!$H$35:$H$58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</dLbls>
        <smooth val="false"/>
        <axId val="754001152"/>
        <axId val="753999904"/>
      </lineChart>
      <catAx>
        <axId val="754001152"/>
        <scaling>
          <orientation val="minMax"/>
        </scaling>
        <delete val="false"/>
        <axPos val="b"/>
        <numFmt formatCode="General" sourceLinked="true"/>
        <majorTickMark val="none"/>
        <minorTickMark val="none"/>
        <tickLblPos val="nextTo"/>
        <spPr>
          <a:ln>
            <a:noFill> </a:no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min"/>
        <auto val="true"/>
        <lblAlgn val="ctr"/>
        <lblOffset val="100"/>
        <noMultiLvlLbl val="false"/>
      </catAx>
      <valAx>
        <axId val="753999904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>
            <a:noFill> </a:no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min"/>
        <crossBetween val="between"/>
      </valAx>
      <valAx>
        <axId val="753999905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>
            <a:noFill> </a:no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3"/>
        <crosses val="max"/>
        <crossBetween val="between"/>
      </valAx>
      <catAx>
        <axId val="754001153"/>
        <scaling>
          <orientation val="minMax"/>
        </scaling>
        <delete val="true"/>
        <axPos val="b"/>
        <numFmt formatCode="General" sourceLinked="true"/>
        <majorTickMark val="none"/>
        <minorTickMark val="none"/>
        <tickLblPos val="nextTo"/>
        <spPr>
          <a:ln algn="ctr" cap="flat" cmpd="sng" w="9525">
            <a:solidFill>
              <a:srgbClr val="51565D"/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5"/>
        <crosses val="autoZero"/>
        <auto val="true"/>
        <lblAlgn val="ctr"/>
        <lblOffset val="100"/>
        <noMultiLvlLbl val="false"/>
      </catAx>
      <spPr>
        <a:noFill> </a:noFill>
        <a:ln>
          <a:noFill> </a:noFill>
        </a:ln>
      </spPr>
    </plotArea>
    <legend>
      <legendPos val="b"/>
      <overlay val="false"/>
    </legend>
    <plotVisOnly val="true"/>
    <dispBlanksAs val="gap"/>
    <showDLblsOverMax val="false"/>
  </chart>
  <spPr>
    <a:solidFill>
      <a:schemeClr val="bg1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charts/chart12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true"/>
  <chart>
    <title>
      <tx>
        <rich>
          <a:bodyPr anchorCtr="false" rot="0" spcFirstLastPara="false"/>
          <a:p>
            <a:pPr>
              <a:defRPr b="true" baseline="0" i="false" kern="1200" spc="0" strike="noStrike" sz="14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true" baseline="0" i="false" kern="0" lang="en-US" spc="0"/>
              <a:t>刘梦 7月</a:t>
            </a:r>
          </a:p>
        </rich>
      </tx>
      <layout>
        <manualLayout>
          <xMode val="edge"/>
          <yMode val="edge"/>
          <x val="0"/>
          <y val="0"/>
        </manualLayout>
      </layout>
      <overlay val="false"/>
      <spPr/>
      <txPr>
        <a:bodyPr anchorCtr="false" rot="0" spcFirstLastPara="false"/>
        <a:p>
          <a:pPr>
            <a:defRPr b="true" baseline="0" i="false" kern="1200" spc="0" strike="noStrike" sz="14000" u="none"/>
          </a:pPr>
          <a:endParaRPr lang="en-US"/>
        </a:p>
      </txPr>
    </title>
    <plotArea>
      <barChart>
        <barDir val="col"/>
        <grouping val="clustered"/>
        <varyColors val="false"/>
        <ser>
          <idx val="1"/>
          <order val="1"/>
          <tx>
            <strRef>
              <f>'勿删'!$J$94</f>
            </strRef>
          </tx>
          <spPr>
            <a:solidFill>
              <a:srgbClr val="F2870D"/>
            </a:solidFill>
            <a:ln>
              <a:noFill> </a:noFill>
            </a:ln>
          </spPr>
          <invertIfNegative val="false"/>
          <dLbls>
            <txPr>
              <a:bodyPr anchorCtr="false" rot="0" spcFirstLastPara="false"/>
              <a:p>
                <a:pPr>
                  <a:defRPr b="false" baseline="0" i="false" kern="1200" spc="0" strike="noStrike" sz="900">
                    <a:solidFill>
                      <a:srgbClr val="F2870D"/>
                    </a:solidFill>
                  </a:defRPr>
                </a:pPr>
                <a:endParaRPr lang="en-US"/>
              </a:p>
            </txPr>
            <dLblPos val="outEnd"/>
            <showLegendKey val="false"/>
            <showVal val="true"/>
            <showCatName val="false"/>
            <showSerName val="false"/>
            <showPercent val="false"/>
            <showBubbleSize val="false"/>
          </dLbls>
          <cat>
            <strRef>
              <f>'勿删'!$A$95:$A$103</f>
            </strRef>
          </cat>
          <val>
            <numRef>
              <f>'勿删'!$J$95:$J$103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</dLbls>
        <gapWidth val="219"/>
        <overlap val="-27"/>
        <axId val="754001153"/>
        <axId val="753999905"/>
      </barChart>
      <lineChart>
        <grouping val="standard"/>
        <varyColors val="false"/>
        <ser>
          <idx val="0"/>
          <order val="0"/>
          <tx>
            <strRef>
              <f>'勿删'!$H$94</f>
            </strRef>
          </tx>
          <spPr>
            <a:solidFill>
              <a:srgbClr val="3B72F2"/>
            </a:solidFill>
            <a:ln w="19050">
              <a:solidFill>
                <a:srgbClr val="3B72F2"/>
              </a:solidFill>
            </a:ln>
          </spPr>
          <invertIfNegative val="false"/>
          <dLbls>
            <txPr>
              <a:bodyPr anchorCtr="false" rot="0" spcFirstLastPara="false"/>
              <a:p>
                <a:pPr>
                  <a:defRPr b="false" baseline="0" i="false" kern="1200" spc="0" strike="noStrike" sz="900">
                    <a:solidFill>
                      <a:srgbClr val="3B72F2"/>
                    </a:solidFill>
                  </a:defRPr>
                </a:pPr>
                <a:endParaRPr lang="en-US"/>
              </a:p>
            </txPr>
            <dLblPos val="t"/>
            <showLegendKey val="false"/>
            <showVal val="true"/>
            <showCatName val="false"/>
            <showSerName val="false"/>
            <showPercent val="false"/>
            <showBubbleSize val="false"/>
          </dLbls>
          <marker>
            <symbol val="none"/>
            <spPr>
              <a:solidFill>
                <a:srgbClr val="3B72F2"/>
              </a:solidFill>
              <a:ln>
                <a:noFill> </a:noFill>
              </a:ln>
            </spPr>
          </marker>
          <cat>
            <strRef>
              <f>'勿删'!$A$95:$A$103</f>
            </strRef>
          </cat>
          <val>
            <numRef>
              <f>'勿删'!$H$95:$H$103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</dLbls>
        <smooth val="false"/>
        <axId val="754001152"/>
        <axId val="753999904"/>
      </lineChart>
      <catAx>
        <axId val="754001152"/>
        <scaling>
          <orientation val="minMax"/>
        </scaling>
        <delete val="false"/>
        <axPos val="b"/>
        <numFmt formatCode="General" sourceLinked="true"/>
        <majorTickMark val="none"/>
        <minorTickMark val="none"/>
        <tickLblPos val="nextTo"/>
        <spPr>
          <a:ln>
            <a:noFill> </a:no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min"/>
        <auto val="true"/>
        <lblAlgn val="ctr"/>
        <lblOffset val="100"/>
        <noMultiLvlLbl val="false"/>
      </catAx>
      <valAx>
        <axId val="753999904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>
            <a:noFill> </a:no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min"/>
        <crossBetween val="between"/>
      </valAx>
      <valAx>
        <axId val="753999905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>
            <a:noFill> </a:no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3"/>
        <crosses val="max"/>
        <crossBetween val="between"/>
      </valAx>
      <catAx>
        <axId val="754001153"/>
        <scaling>
          <orientation val="minMax"/>
        </scaling>
        <delete val="true"/>
        <axPos val="b"/>
        <numFmt formatCode="General" sourceLinked="true"/>
        <majorTickMark val="none"/>
        <minorTickMark val="none"/>
        <tickLblPos val="nextTo"/>
        <spPr>
          <a:ln algn="ctr" cap="flat" cmpd="sng" w="9525">
            <a:solidFill>
              <a:srgbClr val="51565D"/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5"/>
        <crosses val="autoZero"/>
        <auto val="true"/>
        <lblAlgn val="ctr"/>
        <lblOffset val="100"/>
        <noMultiLvlLbl val="false"/>
      </catAx>
      <spPr>
        <a:noFill> </a:noFill>
        <a:ln>
          <a:noFill> </a:noFill>
        </a:ln>
      </spPr>
    </plotArea>
    <legend>
      <legendPos val="b"/>
      <overlay val="false"/>
    </legend>
    <plotVisOnly val="true"/>
    <dispBlanksAs val="gap"/>
    <showDLblsOverMax val="false"/>
  </chart>
  <spPr>
    <a:solidFill>
      <a:schemeClr val="bg1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charts/chart13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true"/>
  <chart>
    <title>
      <tx>
        <rich>
          <a:bodyPr anchorCtr="false" rot="0" spcFirstLastPara="false"/>
          <a:p>
            <a:pPr>
              <a:defRPr b="true" baseline="0" i="false" kern="1200" spc="0" strike="noStrike" sz="14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true" baseline="0" i="false" kern="0" lang="en-US" spc="0"/>
              <a:t>李佳怡 7月</a:t>
            </a:r>
          </a:p>
        </rich>
      </tx>
      <layout>
        <manualLayout>
          <xMode val="edge"/>
          <yMode val="edge"/>
          <x val="0"/>
          <y val="0"/>
        </manualLayout>
      </layout>
      <overlay val="false"/>
      <spPr/>
      <txPr>
        <a:bodyPr anchorCtr="false" rot="0" spcFirstLastPara="false"/>
        <a:p>
          <a:pPr>
            <a:defRPr b="true" baseline="0" i="false" kern="1200" spc="0" strike="noStrike" sz="14000" u="none"/>
          </a:pPr>
          <a:endParaRPr lang="en-US"/>
        </a:p>
      </txPr>
    </title>
    <plotArea>
      <barChart>
        <barDir val="col"/>
        <grouping val="clustered"/>
        <varyColors val="false"/>
        <ser>
          <idx val="1"/>
          <order val="1"/>
          <tx>
            <strRef>
              <f>'勿删'!$J$119</f>
            </strRef>
          </tx>
          <spPr>
            <a:solidFill>
              <a:srgbClr val="F2870D"/>
            </a:solidFill>
            <a:ln>
              <a:noFill> </a:noFill>
            </a:ln>
          </spPr>
          <invertIfNegative val="false"/>
          <dLbls>
            <txPr>
              <a:bodyPr anchorCtr="false" rot="0" spcFirstLastPara="false"/>
              <a:p>
                <a:pPr>
                  <a:defRPr b="false" baseline="0" i="false" kern="1200" spc="0" strike="noStrike" sz="900">
                    <a:solidFill>
                      <a:srgbClr val="F2870D"/>
                    </a:solidFill>
                  </a:defRPr>
                </a:pPr>
                <a:endParaRPr lang="en-US"/>
              </a:p>
            </txPr>
            <dLblPos val="outEnd"/>
            <showLegendKey val="false"/>
            <showVal val="true"/>
            <showCatName val="false"/>
            <showSerName val="false"/>
            <showPercent val="false"/>
            <showBubbleSize val="false"/>
          </dLbls>
          <cat>
            <strRef>
              <f>'勿删'!$A$120:$A$123</f>
            </strRef>
          </cat>
          <val>
            <numRef>
              <f>'勿删'!$J$120:$J$123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</dLbls>
        <gapWidth val="219"/>
        <overlap val="-27"/>
        <axId val="754001153"/>
        <axId val="753999905"/>
      </barChart>
      <lineChart>
        <grouping val="standard"/>
        <varyColors val="false"/>
        <ser>
          <idx val="0"/>
          <order val="0"/>
          <tx>
            <strRef>
              <f>'勿删'!$H$119</f>
            </strRef>
          </tx>
          <spPr>
            <a:solidFill>
              <a:srgbClr val="3B72F2"/>
            </a:solidFill>
            <a:ln w="19050">
              <a:solidFill>
                <a:srgbClr val="3B72F2"/>
              </a:solidFill>
            </a:ln>
          </spPr>
          <invertIfNegative val="false"/>
          <dLbls>
            <txPr>
              <a:bodyPr anchorCtr="false" rot="0" spcFirstLastPara="false"/>
              <a:p>
                <a:pPr>
                  <a:defRPr b="false" baseline="0" i="false" kern="1200" spc="0" strike="noStrike" sz="900">
                    <a:solidFill>
                      <a:srgbClr val="3B72F2"/>
                    </a:solidFill>
                  </a:defRPr>
                </a:pPr>
                <a:endParaRPr lang="en-US"/>
              </a:p>
            </txPr>
            <dLblPos val="t"/>
            <showLegendKey val="false"/>
            <showVal val="true"/>
            <showCatName val="false"/>
            <showSerName val="false"/>
            <showPercent val="false"/>
            <showBubbleSize val="false"/>
          </dLbls>
          <marker>
            <symbol val="none"/>
            <spPr>
              <a:solidFill>
                <a:srgbClr val="3B72F2"/>
              </a:solidFill>
              <a:ln>
                <a:noFill> </a:noFill>
              </a:ln>
            </spPr>
          </marker>
          <cat>
            <strRef>
              <f>'勿删'!$A$120:$A$123</f>
            </strRef>
          </cat>
          <val>
            <numRef>
              <f>'勿删'!$H$120:$H$123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</dLbls>
        <smooth val="false"/>
        <axId val="754001152"/>
        <axId val="753999904"/>
      </lineChart>
      <catAx>
        <axId val="754001152"/>
        <scaling>
          <orientation val="minMax"/>
        </scaling>
        <delete val="false"/>
        <axPos val="b"/>
        <numFmt formatCode="General" sourceLinked="true"/>
        <majorTickMark val="none"/>
        <minorTickMark val="none"/>
        <tickLblPos val="nextTo"/>
        <spPr>
          <a:ln>
            <a:noFill> </a:no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min"/>
        <auto val="true"/>
        <lblAlgn val="ctr"/>
        <lblOffset val="100"/>
        <noMultiLvlLbl val="false"/>
      </catAx>
      <valAx>
        <axId val="753999904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>
            <a:noFill> </a:no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min"/>
        <crossBetween val="between"/>
      </valAx>
      <valAx>
        <axId val="753999905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>
            <a:noFill> </a:no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3"/>
        <crosses val="max"/>
        <crossBetween val="between"/>
      </valAx>
      <catAx>
        <axId val="754001153"/>
        <scaling>
          <orientation val="minMax"/>
        </scaling>
        <delete val="true"/>
        <axPos val="b"/>
        <numFmt formatCode="General" sourceLinked="true"/>
        <majorTickMark val="none"/>
        <minorTickMark val="none"/>
        <tickLblPos val="nextTo"/>
        <spPr>
          <a:ln algn="ctr" cap="flat" cmpd="sng" w="9525">
            <a:solidFill>
              <a:srgbClr val="51565D"/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5"/>
        <crosses val="autoZero"/>
        <auto val="true"/>
        <lblAlgn val="ctr"/>
        <lblOffset val="100"/>
        <noMultiLvlLbl val="false"/>
      </catAx>
      <spPr>
        <a:noFill> </a:noFill>
        <a:ln>
          <a:noFill> </a:noFill>
        </a:ln>
      </spPr>
    </plotArea>
    <legend>
      <legendPos val="b"/>
      <overlay val="false"/>
    </legend>
    <plotVisOnly val="true"/>
    <dispBlanksAs val="gap"/>
    <showDLblsOverMax val="false"/>
  </chart>
  <spPr>
    <a:solidFill>
      <a:schemeClr val="bg1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charts/chart15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true"/>
  <chart>
    <title>
      <tx>
        <rich>
          <a:bodyPr anchorCtr="false" rot="0" spcFirstLastPara="false"/>
          <a:p>
            <a:pPr>
              <a:defRPr b="true" baseline="0" i="false" kern="1200" spc="0" strike="noStrike" sz="14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true" baseline="0" i="false" kern="0" lang="en-US" spc="0"/>
              <a:t>尹怡诺 7月</a:t>
            </a:r>
          </a:p>
        </rich>
      </tx>
      <layout>
        <manualLayout>
          <xMode val="edge"/>
          <yMode val="edge"/>
          <x val="0"/>
          <y val="0"/>
        </manualLayout>
      </layout>
      <overlay val="false"/>
      <spPr/>
      <txPr>
        <a:bodyPr anchorCtr="false" rot="0" spcFirstLastPara="false"/>
        <a:p>
          <a:pPr>
            <a:defRPr b="true" baseline="0" i="false" kern="1200" spc="0" strike="noStrike" sz="14000" u="none"/>
          </a:pPr>
          <a:endParaRPr lang="en-US"/>
        </a:p>
      </txPr>
    </title>
    <plotArea>
      <barChart>
        <barDir val="col"/>
        <grouping val="clustered"/>
        <varyColors val="false"/>
        <ser>
          <idx val="1"/>
          <order val="1"/>
          <tx>
            <strRef>
              <f>'勿删'!$J$187</f>
            </strRef>
          </tx>
          <spPr>
            <a:solidFill>
              <a:srgbClr val="F2870D"/>
            </a:solidFill>
            <a:ln>
              <a:noFill> </a:noFill>
            </a:ln>
          </spPr>
          <invertIfNegative val="false"/>
          <dLbls>
            <txPr>
              <a:bodyPr anchorCtr="false" rot="0" spcFirstLastPara="false"/>
              <a:p>
                <a:pPr>
                  <a:defRPr b="false" baseline="0" i="false" kern="1200" spc="0" strike="noStrike" sz="900">
                    <a:solidFill>
                      <a:srgbClr val="F2870D"/>
                    </a:solidFill>
                  </a:defRPr>
                </a:pPr>
                <a:endParaRPr lang="en-US"/>
              </a:p>
            </txPr>
            <dLblPos val="outEnd"/>
            <showLegendKey val="false"/>
            <showVal val="true"/>
            <showCatName val="false"/>
            <showSerName val="false"/>
            <showPercent val="false"/>
            <showBubbleSize val="false"/>
          </dLbls>
          <cat>
            <strRef>
              <f>'勿删'!$A$188:$A$199</f>
            </strRef>
          </cat>
          <val>
            <numRef>
              <f>'勿删'!$J$188:$J$199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</dLbls>
        <gapWidth val="219"/>
        <overlap val="-27"/>
        <axId val="754001153"/>
        <axId val="753999905"/>
      </barChart>
      <lineChart>
        <grouping val="standard"/>
        <varyColors val="false"/>
        <ser>
          <idx val="0"/>
          <order val="0"/>
          <tx>
            <strRef>
              <f>'勿删'!$H$187</f>
            </strRef>
          </tx>
          <spPr>
            <a:solidFill>
              <a:srgbClr val="3B72F2"/>
            </a:solidFill>
            <a:ln w="19050">
              <a:solidFill>
                <a:srgbClr val="3B72F2"/>
              </a:solidFill>
            </a:ln>
          </spPr>
          <invertIfNegative val="false"/>
          <dLbls>
            <txPr>
              <a:bodyPr anchorCtr="false" rot="0" spcFirstLastPara="false"/>
              <a:p>
                <a:pPr>
                  <a:defRPr b="false" baseline="0" i="false" kern="1200" spc="0" strike="noStrike" sz="900">
                    <a:solidFill>
                      <a:srgbClr val="3B72F2"/>
                    </a:solidFill>
                  </a:defRPr>
                </a:pPr>
                <a:endParaRPr lang="en-US"/>
              </a:p>
            </txPr>
            <dLblPos val="t"/>
            <showLegendKey val="false"/>
            <showVal val="true"/>
            <showCatName val="false"/>
            <showSerName val="false"/>
            <showPercent val="false"/>
            <showBubbleSize val="false"/>
          </dLbls>
          <marker>
            <symbol val="none"/>
            <spPr>
              <a:solidFill>
                <a:srgbClr val="3B72F2"/>
              </a:solidFill>
              <a:ln>
                <a:noFill> </a:noFill>
              </a:ln>
            </spPr>
          </marker>
          <cat>
            <strRef>
              <f>'勿删'!$A$188:$A$199</f>
            </strRef>
          </cat>
          <val>
            <numRef>
              <f>'勿删'!$H$188:$H$199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</dLbls>
        <smooth val="false"/>
        <axId val="754001152"/>
        <axId val="753999904"/>
      </lineChart>
      <catAx>
        <axId val="754001152"/>
        <scaling>
          <orientation val="minMax"/>
        </scaling>
        <delete val="false"/>
        <axPos val="b"/>
        <numFmt formatCode="General" sourceLinked="true"/>
        <majorTickMark val="none"/>
        <minorTickMark val="none"/>
        <tickLblPos val="nextTo"/>
        <spPr>
          <a:ln>
            <a:noFill> </a:no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min"/>
        <auto val="true"/>
        <lblAlgn val="ctr"/>
        <lblOffset val="100"/>
        <noMultiLvlLbl val="false"/>
      </catAx>
      <valAx>
        <axId val="753999904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>
            <a:noFill> </a:no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min"/>
        <crossBetween val="between"/>
      </valAx>
      <valAx>
        <axId val="753999905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>
            <a:noFill> </a:no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3"/>
        <crosses val="max"/>
        <crossBetween val="between"/>
      </valAx>
      <catAx>
        <axId val="754001153"/>
        <scaling>
          <orientation val="minMax"/>
        </scaling>
        <delete val="true"/>
        <axPos val="b"/>
        <numFmt formatCode="General" sourceLinked="true"/>
        <majorTickMark val="none"/>
        <minorTickMark val="none"/>
        <tickLblPos val="nextTo"/>
        <spPr>
          <a:ln algn="ctr" cap="flat" cmpd="sng" w="9525">
            <a:solidFill>
              <a:srgbClr val="51565D"/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5"/>
        <crosses val="autoZero"/>
        <auto val="true"/>
        <lblAlgn val="ctr"/>
        <lblOffset val="100"/>
        <noMultiLvlLbl val="false"/>
      </catAx>
      <spPr>
        <a:noFill> </a:noFill>
        <a:ln>
          <a:noFill> </a:noFill>
        </a:ln>
      </spPr>
    </plotArea>
    <legend>
      <legendPos val="b"/>
      <overlay val="false"/>
    </legend>
    <plotVisOnly val="true"/>
    <dispBlanksAs val="gap"/>
    <showDLblsOverMax val="false"/>
  </chart>
  <spPr>
    <a:solidFill>
      <a:schemeClr val="bg1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charts/chart17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true"/>
  <chart>
    <title>
      <tx>
        <rich>
          <a:bodyPr anchorCtr="false" rot="0" spcFirstLastPara="false"/>
          <a:p>
            <a:pPr>
              <a:defRPr b="true" baseline="0" i="false" kern="1200" spc="0" strike="noStrike" sz="14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true" baseline="0" i="false" kern="0" lang="en-US" spc="0"/>
              <a:t>何雅源 7月</a:t>
            </a:r>
          </a:p>
        </rich>
      </tx>
      <layout>
        <manualLayout>
          <xMode val="edge"/>
          <yMode val="edge"/>
          <x val="0"/>
          <y val="0"/>
        </manualLayout>
      </layout>
      <overlay val="false"/>
      <spPr/>
      <txPr>
        <a:bodyPr anchorCtr="false" rot="0" spcFirstLastPara="false"/>
        <a:p>
          <a:pPr>
            <a:defRPr b="true" baseline="0" i="false" kern="1200" spc="0" strike="noStrike" sz="14000" u="none"/>
          </a:pPr>
          <a:endParaRPr lang="en-US"/>
        </a:p>
      </txPr>
    </title>
    <plotArea>
      <barChart>
        <barDir val="col"/>
        <grouping val="clustered"/>
        <varyColors val="false"/>
        <ser>
          <idx val="1"/>
          <order val="1"/>
          <tx>
            <strRef>
              <f>'勿删'!$J$60</f>
            </strRef>
          </tx>
          <spPr>
            <a:solidFill>
              <a:srgbClr val="F2870D"/>
            </a:solidFill>
            <a:ln>
              <a:noFill> </a:noFill>
            </a:ln>
          </spPr>
          <invertIfNegative val="false"/>
          <dLbls>
            <txPr>
              <a:bodyPr anchorCtr="false" rot="0" spcFirstLastPara="false"/>
              <a:p>
                <a:pPr>
                  <a:defRPr b="false" baseline="0" i="false" kern="1200" spc="0" strike="noStrike" sz="900">
                    <a:solidFill>
                      <a:srgbClr val="F2870D"/>
                    </a:solidFill>
                  </a:defRPr>
                </a:pPr>
                <a:endParaRPr lang="en-US"/>
              </a:p>
            </txPr>
            <dLblPos val="outEnd"/>
            <showLegendKey val="false"/>
            <showVal val="true"/>
            <showCatName val="false"/>
            <showSerName val="false"/>
            <showPercent val="false"/>
            <showBubbleSize val="false"/>
          </dLbls>
          <cat>
            <strRef>
              <f>'勿删'!$A$61:$A$83</f>
            </strRef>
          </cat>
          <val>
            <numRef>
              <f>'勿删'!$J$61:$J$83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</dLbls>
        <gapWidth val="219"/>
        <overlap val="-27"/>
        <axId val="754001153"/>
        <axId val="753999905"/>
      </barChart>
      <lineChart>
        <grouping val="standard"/>
        <varyColors val="false"/>
        <ser>
          <idx val="0"/>
          <order val="0"/>
          <tx>
            <strRef>
              <f>'勿删'!$H$60</f>
            </strRef>
          </tx>
          <spPr>
            <a:solidFill>
              <a:srgbClr val="3B72F2"/>
            </a:solidFill>
            <a:ln w="19050">
              <a:solidFill>
                <a:srgbClr val="3B72F2"/>
              </a:solidFill>
            </a:ln>
          </spPr>
          <invertIfNegative val="false"/>
          <dLbls>
            <txPr>
              <a:bodyPr anchorCtr="false" rot="0" spcFirstLastPara="false"/>
              <a:p>
                <a:pPr>
                  <a:defRPr b="false" baseline="0" i="false" kern="1200" spc="0" strike="noStrike" sz="900">
                    <a:solidFill>
                      <a:srgbClr val="3B72F2"/>
                    </a:solidFill>
                  </a:defRPr>
                </a:pPr>
                <a:endParaRPr lang="en-US"/>
              </a:p>
            </txPr>
            <dLblPos val="t"/>
            <showLegendKey val="false"/>
            <showVal val="true"/>
            <showCatName val="false"/>
            <showSerName val="false"/>
            <showPercent val="false"/>
            <showBubbleSize val="false"/>
          </dLbls>
          <marker>
            <symbol val="none"/>
            <spPr>
              <a:solidFill>
                <a:srgbClr val="3B72F2"/>
              </a:solidFill>
              <a:ln>
                <a:noFill> </a:noFill>
              </a:ln>
            </spPr>
          </marker>
          <cat>
            <strRef>
              <f>'勿删'!$A$61:$A$83</f>
            </strRef>
          </cat>
          <val>
            <numRef>
              <f>'勿删'!$H$61:$H$83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</dLbls>
        <smooth val="false"/>
        <axId val="754001152"/>
        <axId val="753999904"/>
      </lineChart>
      <catAx>
        <axId val="754001152"/>
        <scaling>
          <orientation val="minMax"/>
        </scaling>
        <delete val="false"/>
        <axPos val="b"/>
        <numFmt formatCode="General" sourceLinked="true"/>
        <majorTickMark val="none"/>
        <minorTickMark val="none"/>
        <tickLblPos val="nextTo"/>
        <spPr>
          <a:ln>
            <a:noFill> </a:no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min"/>
        <auto val="true"/>
        <lblAlgn val="ctr"/>
        <lblOffset val="100"/>
        <noMultiLvlLbl val="false"/>
      </catAx>
      <valAx>
        <axId val="753999904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>
            <a:noFill> </a:no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min"/>
        <crossBetween val="between"/>
      </valAx>
      <valAx>
        <axId val="753999905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>
            <a:noFill> </a:no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3"/>
        <crosses val="max"/>
        <crossBetween val="between"/>
      </valAx>
      <catAx>
        <axId val="754001153"/>
        <scaling>
          <orientation val="minMax"/>
        </scaling>
        <delete val="true"/>
        <axPos val="b"/>
        <numFmt formatCode="General" sourceLinked="true"/>
        <majorTickMark val="none"/>
        <minorTickMark val="none"/>
        <tickLblPos val="nextTo"/>
        <spPr>
          <a:ln algn="ctr" cap="flat" cmpd="sng" w="9525">
            <a:solidFill>
              <a:srgbClr val="51565D"/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5"/>
        <crosses val="autoZero"/>
        <auto val="true"/>
        <lblAlgn val="ctr"/>
        <lblOffset val="100"/>
        <noMultiLvlLbl val="false"/>
      </catAx>
      <spPr>
        <a:noFill> </a:noFill>
        <a:ln>
          <a:noFill> </a:noFill>
        </a:ln>
      </spPr>
    </plotArea>
    <legend>
      <legendPos val="b"/>
      <overlay val="false"/>
    </legend>
    <plotVisOnly val="true"/>
    <dispBlanksAs val="gap"/>
    <showDLblsOverMax val="false"/>
  </chart>
  <spPr>
    <a:solidFill>
      <a:schemeClr val="bg1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charts/chart20.xml><?xml version="1.0" encoding="utf-8"?>
<chartSpace xmlns="http://schemas.openxmlformats.org/drawingml/2006/chart"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date1904 val="false"/>
  <lang val="en-US"/>
  <roundedCorners val="true"/>
  <chart>
    <title>
      <tx>
        <rich>
          <a:bodyPr anchorCtr="false" rot="0" spcFirstLastPara="false"/>
          <a:p>
            <a:pPr>
              <a:defRPr b="true" baseline="0" i="false" kern="1200" spc="0" strike="noStrike" sz="14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altLang="en-US" b="true" baseline="0" i="false" kern="0" lang="en-US" spc="0"/>
              <a:t>卢林琰 7月</a:t>
            </a:r>
          </a:p>
        </rich>
      </tx>
      <layout>
        <manualLayout>
          <xMode val="edge"/>
          <yMode val="edge"/>
          <x val="0"/>
          <y val="0"/>
        </manualLayout>
      </layout>
      <overlay val="false"/>
      <spPr/>
      <txPr>
        <a:bodyPr anchorCtr="false" rot="0" spcFirstLastPara="false"/>
        <a:p>
          <a:pPr>
            <a:defRPr b="true" baseline="0" i="false" kern="1200" spc="0" strike="noStrike" sz="14000" u="none"/>
          </a:pPr>
          <a:endParaRPr lang="en-US"/>
        </a:p>
      </txPr>
    </title>
    <plotArea>
      <barChart>
        <barDir val="col"/>
        <grouping val="clustered"/>
        <varyColors val="false"/>
        <ser>
          <idx val="1"/>
          <order val="1"/>
          <tx>
            <strRef>
              <f>'勿删'!$J$136</f>
            </strRef>
          </tx>
          <spPr>
            <a:solidFill>
              <a:srgbClr val="F2870D"/>
            </a:solidFill>
            <a:ln>
              <a:noFill> </a:noFill>
            </a:ln>
          </spPr>
          <invertIfNegative val="false"/>
          <dLbls>
            <txPr>
              <a:bodyPr anchorCtr="false" rot="0" spcFirstLastPara="false"/>
              <a:p>
                <a:pPr>
                  <a:defRPr b="false" baseline="0" i="false" kern="1200" spc="0" strike="noStrike" sz="900">
                    <a:solidFill>
                      <a:srgbClr val="F2870D"/>
                    </a:solidFill>
                  </a:defRPr>
                </a:pPr>
                <a:endParaRPr lang="en-US"/>
              </a:p>
            </txPr>
            <dLblPos val="outEnd"/>
            <showLegendKey val="false"/>
            <showVal val="true"/>
            <showCatName val="false"/>
            <showSerName val="false"/>
            <showPercent val="false"/>
            <showBubbleSize val="false"/>
          </dLbls>
          <cat>
            <strRef>
              <f>'勿删'!$A$137:$A$148</f>
            </strRef>
          </cat>
          <val>
            <numRef>
              <f>'勿删'!$J$137:$J$148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</dLbls>
        <gapWidth val="219"/>
        <overlap val="-27"/>
        <axId val="754001153"/>
        <axId val="753999905"/>
      </barChart>
      <lineChart>
        <grouping val="standard"/>
        <varyColors val="false"/>
        <ser>
          <idx val="0"/>
          <order val="0"/>
          <tx>
            <strRef>
              <f>'勿删'!$H$136</f>
            </strRef>
          </tx>
          <spPr>
            <a:solidFill>
              <a:srgbClr val="3B72F2"/>
            </a:solidFill>
            <a:ln w="19050">
              <a:solidFill>
                <a:srgbClr val="3B72F2"/>
              </a:solidFill>
            </a:ln>
          </spPr>
          <invertIfNegative val="false"/>
          <dLbls>
            <txPr>
              <a:bodyPr anchorCtr="false" rot="0" spcFirstLastPara="false"/>
              <a:p>
                <a:pPr>
                  <a:defRPr b="false" baseline="0" i="false" kern="1200" spc="0" strike="noStrike" sz="900">
                    <a:solidFill>
                      <a:srgbClr val="3B72F2"/>
                    </a:solidFill>
                  </a:defRPr>
                </a:pPr>
                <a:endParaRPr lang="en-US"/>
              </a:p>
            </txPr>
            <dLblPos val="t"/>
            <showLegendKey val="false"/>
            <showVal val="true"/>
            <showCatName val="false"/>
            <showSerName val="false"/>
            <showPercent val="false"/>
            <showBubbleSize val="false"/>
          </dLbls>
          <marker>
            <symbol val="none"/>
            <spPr>
              <a:solidFill>
                <a:srgbClr val="3B72F2"/>
              </a:solidFill>
              <a:ln>
                <a:noFill> </a:noFill>
              </a:ln>
            </spPr>
          </marker>
          <cat>
            <strRef>
              <f>'勿删'!$A$137:$A$148</f>
            </strRef>
          </cat>
          <val>
            <numRef>
              <f>'勿删'!$H$137:$H$148</f>
            </numRef>
          </val>
          <smooth val="false"/>
        </ser>
        <dLbls>
          <showLegendKey val="false"/>
          <showVal val="false"/>
          <showCatName val="false"/>
          <showSerName val="false"/>
          <showPercent val="false"/>
          <showBubbleSize val="false"/>
        </dLbls>
        <smooth val="false"/>
        <axId val="754001152"/>
        <axId val="753999904"/>
      </lineChart>
      <catAx>
        <axId val="754001152"/>
        <scaling>
          <orientation val="minMax"/>
        </scaling>
        <delete val="false"/>
        <axPos val="b"/>
        <numFmt formatCode="General" sourceLinked="true"/>
        <majorTickMark val="none"/>
        <minorTickMark val="none"/>
        <tickLblPos val="nextTo"/>
        <spPr>
          <a:ln>
            <a:noFill> </a:no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4"/>
        <crosses val="min"/>
        <auto val="true"/>
        <lblAlgn val="ctr"/>
        <lblOffset val="100"/>
        <noMultiLvlLbl val="false"/>
      </catAx>
      <valAx>
        <axId val="753999904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>
            <a:noFill> </a:no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2"/>
        <crosses val="min"/>
        <crossBetween val="between"/>
      </valAx>
      <valAx>
        <axId val="753999905"/>
        <scaling>
          <orientation val="minMax"/>
        </scaling>
        <delete val="false"/>
        <axPos val="l"/>
        <majorGridlines>
          <spPr>
            <a:ln algn="ctr" cap="flat" cmpd="sng" w="9525">
              <a:solidFill>
                <a:schemeClr val="tx1">
                  <a:lumMod val="15000"/>
                  <a:lumOff val="85000"/>
                </a:schemeClr>
              </a:solidFill>
            </a:ln>
          </spPr>
        </majorGridlines>
        <numFmt formatCode="General" sourceLinked="false"/>
        <majorTickMark val="none"/>
        <minorTickMark val="none"/>
        <tickLblPos val="nextTo"/>
        <spPr>
          <a:ln>
            <a:noFill> </a:no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4001153"/>
        <crosses val="max"/>
        <crossBetween val="between"/>
      </valAx>
      <catAx>
        <axId val="754001153"/>
        <scaling>
          <orientation val="minMax"/>
        </scaling>
        <delete val="true"/>
        <axPos val="b"/>
        <numFmt formatCode="General" sourceLinked="true"/>
        <majorTickMark val="none"/>
        <minorTickMark val="none"/>
        <tickLblPos val="nextTo"/>
        <spPr>
          <a:ln algn="ctr" cap="flat" cmpd="sng" w="9525">
            <a:solidFill>
              <a:srgbClr val="51565D"/>
            </a:solidFill>
          </a:ln>
        </spPr>
        <txPr>
          <a:bodyPr anchor="ctr" anchorCtr="true" rot="-60000000" spcFirstLastPara="true" vert="horz" vertOverflow="ellipsis" wrap="square"/>
          <a:p>
            <a:pPr>
              <a:defRPr b="false" baseline="0" i="false" kern="1200" spc="0" strike="noStrike" sz="90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txPr>
        <crossAx val="753999905"/>
        <crosses val="autoZero"/>
        <auto val="true"/>
        <lblAlgn val="ctr"/>
        <lblOffset val="100"/>
        <noMultiLvlLbl val="false"/>
      </catAx>
      <spPr>
        <a:noFill> </a:noFill>
        <a:ln>
          <a:noFill> </a:noFill>
        </a:ln>
      </spPr>
    </plotArea>
    <legend>
      <legendPos val="b"/>
      <overlay val="false"/>
    </legend>
    <plotVisOnly val="true"/>
    <dispBlanksAs val="gap"/>
    <showDLblsOverMax val="false"/>
  </chart>
  <spPr>
    <a:solidFill>
      <a:schemeClr val="bg1"/>
    </a:solidFill>
    <a:ln algn="ctr" cap="flat" cmpd="sng" w="9525">
      <a:solidFill>
        <a:schemeClr val="tx1">
          <a:lumMod val="15000"/>
          <a:lumOff val="85000"/>
        </a:schemeClr>
      </a:solidFill>
    </a:ln>
  </spPr>
  <printSettings>
    <pageMargins b="0.75" footer="0.3" header="0.3" l="0.7" r="0.7" t="0.7"/>
  </printSettings>
</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</cx:f>
      </cx:strDim>
      <cx:numDim type="val">
        <cx:f dir="row">_xlchart.v1.0</cx:f>
      </cx:numDim>
    </cx:data>
  </cx:chartData>
  <cx:chart>
    <cx:title pos="t" align="ctr" overlay="false">
      <cx:tx>
        <cx:rich>
          <a:bodyPr anchorCtr="false" spcFirstLastPara="false" rot="0"/>
          <a:p>
            <a:pPr>
              <a:defRPr b="true" baseline="0" i="false" kern="0" spc="0" strike="noStrike" u="none"/>
            </a:pPr>
            <a:r>
              <a:rPr b="true" baseline="0" i="false" kern="0" spc="0" strike="noStrike" u="none"/>
              <a:t>7.6-7.12</a:t>
            </a:r>
          </a:p>
        </cx:rich>
      </cx:tx>
      <cx:txPr>
        <a:bodyPr anchorCtr="false" spcFirstLastPara="false" rot="0"/>
        <a:p>
          <a:pPr>
            <a:defRPr b="true" baseline="0" i="false" kern="0" spc="0" strike="noStrike" u="none"/>
          </a:pPr>
        </a:p>
      </cx:txPr>
    </cx:title>
    <cx:plotArea>
      <cx:plotAreaRegion>
        <cx:series layoutId="funnel" uniqueId="{AD92C0BC-A639-4FCF-A26C-5C169D8082C6}" formatIdx="0">
          <cx:dataPt idx="0">
            <cx:spPr>
              <a:solidFill>
                <a:srgbClr val="5383F1"/>
              </a:solidFill>
            </cx:spPr>
          </cx:dataPt>
          <cx:dataPt idx="1">
            <cx:spPr>
              <a:solidFill>
                <a:srgbClr val="55C6EF"/>
              </a:solidFill>
            </cx:spPr>
          </cx:dataPt>
          <cx:dataPt idx="2">
            <cx:spPr>
              <a:solidFill>
                <a:srgbClr val="1FD7BF"/>
              </a:solidFill>
            </cx:spPr>
          </cx:dataPt>
          <cx:dataPt idx="3">
            <cx:spPr>
              <a:solidFill>
                <a:srgbClr val="65CA5A"/>
              </a:solidFill>
            </cx:spPr>
          </cx:dataPt>
          <cx:dataPt idx="4">
            <cx:spPr>
              <a:solidFill>
                <a:srgbClr val="BCD446"/>
              </a:solidFill>
            </cx:spPr>
          </cx:dataPt>
          <cx:dataLabels>
            <cx:visibility seriesName="false" categoryName="true" value="true"/>
          </cx:dataLabels>
          <cx:dataId val="0"/>
        </cx:series>
      </cx:plotAreaRegion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_xlchart.v1.3</cx:f>
      </cx:strDim>
      <cx:numDim type="val">
        <cx:f dir="row">_xlchart.v1.2</cx:f>
      </cx:numDim>
    </cx:data>
  </cx:chartData>
  <cx:chart>
    <cx:title pos="t" align="ctr" overlay="false">
      <cx:tx>
        <cx:rich>
          <a:bodyPr anchorCtr="false" spcFirstLastPara="false" rot="0"/>
          <a:p>
            <a:pPr>
              <a:defRPr b="true" baseline="0" i="false" kern="0" spc="0" strike="noStrike" u="none"/>
            </a:pPr>
            <a:r>
              <a:rPr b="true" baseline="0" i="false" kern="0" spc="0" strike="noStrike" u="none"/>
              <a:t>6.29-7.5</a:t>
            </a:r>
          </a:p>
        </cx:rich>
      </cx:tx>
      <cx:txPr>
        <a:bodyPr anchorCtr="false" spcFirstLastPara="false" rot="0"/>
        <a:p>
          <a:pPr>
            <a:defRPr b="true" baseline="0" i="false" kern="0" spc="0" strike="noStrike" u="none"/>
          </a:pPr>
        </a:p>
      </cx:txPr>
    </cx:title>
    <cx:plotArea>
      <cx:plotAreaRegion>
        <cx:series layoutId="funnel" uniqueId="{9404B915-A8E1-45B9-BF21-DF289896A5CA}" formatIdx="0">
          <cx:dataPt idx="0">
            <cx:spPr>
              <a:solidFill>
                <a:srgbClr val="5383F1"/>
              </a:solidFill>
            </cx:spPr>
          </cx:dataPt>
          <cx:dataPt idx="1">
            <cx:spPr>
              <a:solidFill>
                <a:srgbClr val="55C6EF"/>
              </a:solidFill>
            </cx:spPr>
          </cx:dataPt>
          <cx:dataPt idx="2">
            <cx:spPr>
              <a:solidFill>
                <a:srgbClr val="1FD7BF"/>
              </a:solidFill>
            </cx:spPr>
          </cx:dataPt>
          <cx:dataPt idx="3">
            <cx:spPr>
              <a:solidFill>
                <a:srgbClr val="65CA5A"/>
              </a:solidFill>
            </cx:spPr>
          </cx:dataPt>
          <cx:dataPt idx="4">
            <cx:spPr>
              <a:solidFill>
                <a:srgbClr val="BCD446"/>
              </a:solidFill>
            </cx:spPr>
          </cx:dataPt>
          <cx:dataLabels>
            <cx:visibility seriesName="false" categoryName="true" value="true"/>
          </cx:dataLabels>
          <cx:dataId val="0"/>
        </cx:series>
      </cx:plotAreaRegion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_xlchart.v1.5</cx:f>
      </cx:strDim>
      <cx:numDim type="val">
        <cx:f dir="row">_xlchart.v1.4</cx:f>
      </cx:numDim>
    </cx:data>
  </cx:chartData>
  <cx:chart>
    <cx:title pos="t" align="ctr" overlay="false">
      <cx:tx>
        <cx:rich>
          <a:bodyPr anchorCtr="false" spcFirstLastPara="false" rot="0"/>
          <a:p>
            <a:pPr>
              <a:defRPr b="true" baseline="0" i="false" kern="0" spc="0" strike="noStrike" u="none"/>
            </a:pPr>
            <a:r>
              <a:rPr b="true" baseline="0" i="false" kern="0" spc="0" strike="noStrike" u="none"/>
              <a:t>7月</a:t>
            </a:r>
          </a:p>
        </cx:rich>
      </cx:tx>
      <cx:txPr>
        <a:bodyPr anchorCtr="false" spcFirstLastPara="false" rot="0"/>
        <a:p>
          <a:pPr>
            <a:defRPr b="true" baseline="0" i="false" kern="0" spc="0" strike="noStrike" u="none"/>
          </a:pPr>
        </a:p>
      </cx:txPr>
    </cx:title>
    <cx:plotArea>
      <cx:plotAreaRegion>
        <cx:series layoutId="funnel" uniqueId="{2566847F-B9B9-4723-B0E1-1E5DA03DBC2F}" formatIdx="0">
          <cx:spPr/>
          <cx:dataPt idx="0">
            <cx:spPr>
              <a:solidFill>
                <a:srgbClr val="3B72F2"/>
              </a:solidFill>
            </cx:spPr>
          </cx:dataPt>
          <cx:dataPt idx="1">
            <cx:spPr>
              <a:solidFill>
                <a:srgbClr val="F2870D"/>
              </a:solidFill>
            </cx:spPr>
          </cx:dataPt>
          <cx:dataPt idx="2">
            <cx:spPr>
              <a:solidFill>
                <a:srgbClr val="1FBAF2"/>
              </a:solidFill>
            </cx:spPr>
          </cx:dataPt>
          <cx:dataPt idx="3">
            <cx:spPr>
              <a:solidFill>
                <a:srgbClr val="F2BF16"/>
              </a:solidFill>
            </cx:spPr>
          </cx:dataPt>
          <cx:dataPt idx="4">
            <cx:spPr>
              <a:solidFill>
                <a:srgbClr val="3CC02D"/>
              </a:solidFill>
            </cx:spPr>
          </cx:dataPt>
          <cx:dataLabels>
            <cx:visibility seriesName="false" categoryName="true" value="true"/>
          </cx:dataLabels>
          <cx:dataId val="0"/>
        </cx:series>
      </cx:plotAreaRegion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_xlchart.v1.7</cx:f>
      </cx:strDim>
      <cx:numDim type="val">
        <cx:f dir="row">_xlchart.v1.6</cx:f>
      </cx:numDim>
    </cx:data>
  </cx:chartData>
  <cx:chart>
    <cx:title pos="t" align="ctr" overlay="false">
      <cx:tx>
        <cx:rich>
          <a:bodyPr anchorCtr="false" spcFirstLastPara="false" rot="0"/>
          <a:p>
            <a:pPr>
              <a:defRPr b="true" baseline="0" i="false" kern="0" spc="0" strike="noStrike" u="none"/>
            </a:pPr>
            <a:r>
              <a:rPr b="true" baseline="0" i="false" kern="0" spc="0" strike="noStrike" u="none"/>
              <a:t>6.15-6.21</a:t>
            </a:r>
          </a:p>
        </cx:rich>
      </cx:tx>
      <cx:txPr>
        <a:bodyPr anchorCtr="false" spcFirstLastPara="false" rot="0"/>
        <a:p>
          <a:pPr>
            <a:defRPr b="true" baseline="0" i="false" kern="0" spc="0" strike="noStrike" u="none"/>
          </a:pPr>
        </a:p>
      </cx:txPr>
    </cx:title>
    <cx:plotArea>
      <cx:plotAreaRegion>
        <cx:series layoutId="funnel" uniqueId="{8F6E17A5-D0F2-49C6-9AA0-3D311F68C2EC}" formatIdx="0">
          <cx:dataPt idx="0">
            <cx:spPr>
              <a:solidFill>
                <a:srgbClr val="5383F1"/>
              </a:solidFill>
            </cx:spPr>
          </cx:dataPt>
          <cx:dataPt idx="1">
            <cx:spPr>
              <a:solidFill>
                <a:srgbClr val="55C6EF"/>
              </a:solidFill>
            </cx:spPr>
          </cx:dataPt>
          <cx:dataPt idx="2">
            <cx:spPr>
              <a:solidFill>
                <a:srgbClr val="1FD7BF"/>
              </a:solidFill>
            </cx:spPr>
          </cx:dataPt>
          <cx:dataPt idx="3">
            <cx:spPr>
              <a:solidFill>
                <a:srgbClr val="65CA5A"/>
              </a:solidFill>
            </cx:spPr>
          </cx:dataPt>
          <cx:dataPt idx="4">
            <cx:spPr>
              <a:solidFill>
                <a:srgbClr val="BCD446"/>
              </a:solidFill>
            </cx:spPr>
          </cx:dataPt>
          <cx:dataLabels>
            <cx:visibility seriesName="false" categoryName="true" value="true"/>
          </cx:dataLabels>
          <cx:dataId val="0"/>
        </cx:series>
      </cx:plotAreaRegion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_xlchart.v1.9</cx:f>
      </cx:strDim>
      <cx:numDim type="val">
        <cx:f dir="row">_xlchart.v1.8</cx:f>
      </cx:numDim>
    </cx:data>
  </cx:chartData>
  <cx:chart>
    <cx:title pos="t" align="ctr" overlay="false">
      <cx:tx>
        <cx:rich>
          <a:bodyPr anchorCtr="false" spcFirstLastPara="false" rot="0"/>
          <a:p>
            <a:pPr>
              <a:defRPr b="true" baseline="0" i="false" kern="0" spc="0" strike="noStrike" u="none"/>
            </a:pPr>
            <a:r>
              <a:rPr b="true" baseline="0" i="false" kern="0" spc="0" strike="noStrike" u="none"/>
              <a:t>7.27-7.31</a:t>
            </a:r>
          </a:p>
        </cx:rich>
      </cx:tx>
      <cx:txPr>
        <a:bodyPr anchorCtr="false" spcFirstLastPara="false" rot="0"/>
        <a:p>
          <a:pPr>
            <a:defRPr b="true" baseline="0" i="false" kern="0" spc="0" strike="noStrike" u="none"/>
          </a:pPr>
        </a:p>
      </cx:txPr>
    </cx:title>
    <cx:plotArea>
      <cx:plotAreaRegion>
        <cx:series layoutId="funnel" uniqueId="{D82BA5E0-BFE1-491B-8830-96FBBF720E53}" formatIdx="0">
          <cx:dataPt idx="0">
            <cx:spPr>
              <a:solidFill>
                <a:srgbClr val="5383F1"/>
              </a:solidFill>
            </cx:spPr>
          </cx:dataPt>
          <cx:dataPt idx="1">
            <cx:spPr>
              <a:solidFill>
                <a:srgbClr val="55C6EF"/>
              </a:solidFill>
            </cx:spPr>
          </cx:dataPt>
          <cx:dataPt idx="2">
            <cx:spPr>
              <a:solidFill>
                <a:srgbClr val="1FD7BF"/>
              </a:solidFill>
            </cx:spPr>
          </cx:dataPt>
          <cx:dataPt idx="3">
            <cx:spPr>
              <a:solidFill>
                <a:srgbClr val="65CA5A"/>
              </a:solidFill>
            </cx:spPr>
          </cx:dataPt>
          <cx:dataPt idx="4">
            <cx:spPr>
              <a:solidFill>
                <a:srgbClr val="BCD446"/>
              </a:solidFill>
            </cx:spPr>
          </cx:dataPt>
          <cx:dataLabels>
            <cx:visibility seriesName="false" categoryName="true" value="true"/>
          </cx:dataLabels>
          <cx:dataId val="0"/>
        </cx:series>
      </cx:plotAreaRegion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_xlchart.v1.11</cx:f>
      </cx:strDim>
      <cx:numDim type="val">
        <cx:f dir="row">_xlchart.v1.10</cx:f>
      </cx:numDim>
    </cx:data>
  </cx:chartData>
  <cx:chart>
    <cx:title pos="t" align="ctr" overlay="false">
      <cx:tx>
        <cx:rich>
          <a:bodyPr anchorCtr="false" spcFirstLastPara="false" rot="0"/>
          <a:p>
            <a:pPr>
              <a:defRPr b="true" baseline="0" i="false" kern="0" spc="0" strike="noStrike" u="none"/>
            </a:pPr>
            <a:r>
              <a:rPr b="true" baseline="0" i="false" kern="0" spc="0" strike="noStrike" u="none"/>
              <a:t>7.20-7.26</a:t>
            </a:r>
          </a:p>
        </cx:rich>
      </cx:tx>
      <cx:txPr>
        <a:bodyPr anchorCtr="false" spcFirstLastPara="false" rot="0"/>
        <a:p>
          <a:pPr>
            <a:defRPr b="true" baseline="0" i="false" kern="0" spc="0" strike="noStrike" u="none"/>
          </a:pPr>
        </a:p>
      </cx:txPr>
    </cx:title>
    <cx:plotArea>
      <cx:plotAreaRegion>
        <cx:series layoutId="funnel" uniqueId="{98015D82-42CE-4400-8D6C-652956BAD64A}" formatIdx="0">
          <cx:dataPt idx="0">
            <cx:spPr>
              <a:solidFill>
                <a:srgbClr val="5383F1"/>
              </a:solidFill>
            </cx:spPr>
          </cx:dataPt>
          <cx:dataPt idx="1">
            <cx:spPr>
              <a:solidFill>
                <a:srgbClr val="55C6EF"/>
              </a:solidFill>
            </cx:spPr>
          </cx:dataPt>
          <cx:dataPt idx="2">
            <cx:spPr>
              <a:solidFill>
                <a:srgbClr val="1FD7BF"/>
              </a:solidFill>
            </cx:spPr>
          </cx:dataPt>
          <cx:dataPt idx="3">
            <cx:spPr>
              <a:solidFill>
                <a:srgbClr val="65CA5A"/>
              </a:solidFill>
            </cx:spPr>
          </cx:dataPt>
          <cx:dataPt idx="4">
            <cx:spPr>
              <a:solidFill>
                <a:srgbClr val="BCD446"/>
              </a:solidFill>
            </cx:spPr>
          </cx:dataPt>
          <cx:dataLabels>
            <cx:visibility seriesName="false" categoryName="true" value="true"/>
          </cx:dataLabels>
          <cx:dataId val="0"/>
        </cx:series>
      </cx:plotAreaRegion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_xlchart.v1.13</cx:f>
      </cx:strDim>
      <cx:numDim type="val">
        <cx:f dir="row">_xlchart.v1.12</cx:f>
      </cx:numDim>
    </cx:data>
  </cx:chartData>
  <cx:chart>
    <cx:title pos="t" align="ctr" overlay="false">
      <cx:tx>
        <cx:rich>
          <a:bodyPr anchorCtr="false" spcFirstLastPara="false" rot="0"/>
          <a:p>
            <a:pPr>
              <a:defRPr b="true" baseline="0" i="false" kern="0" spc="0" strike="noStrike" u="none"/>
            </a:pPr>
            <a:r>
              <a:rPr b="true" baseline="0" i="false" kern="0" spc="0" strike="noStrike" u="none"/>
              <a:t>6.22-6.28</a:t>
            </a:r>
          </a:p>
        </cx:rich>
      </cx:tx>
      <cx:txPr>
        <a:bodyPr anchorCtr="false" spcFirstLastPara="false" rot="0"/>
        <a:p>
          <a:pPr>
            <a:defRPr b="true" baseline="0" i="false" kern="0" spc="0" strike="noStrike" u="none"/>
          </a:pPr>
        </a:p>
      </cx:txPr>
    </cx:title>
    <cx:plotArea>
      <cx:plotAreaRegion>
        <cx:series layoutId="funnel" uniqueId="{747F65AD-AF3A-472B-940E-5683369EF16C}" formatIdx="0">
          <cx:dataPt idx="0">
            <cx:spPr>
              <a:solidFill>
                <a:srgbClr val="5383F1"/>
              </a:solidFill>
            </cx:spPr>
          </cx:dataPt>
          <cx:dataPt idx="1">
            <cx:spPr>
              <a:solidFill>
                <a:srgbClr val="55C6EF"/>
              </a:solidFill>
            </cx:spPr>
          </cx:dataPt>
          <cx:dataPt idx="2">
            <cx:spPr>
              <a:solidFill>
                <a:srgbClr val="1FD7BF"/>
              </a:solidFill>
            </cx:spPr>
          </cx:dataPt>
          <cx:dataPt idx="3">
            <cx:spPr>
              <a:solidFill>
                <a:srgbClr val="65CA5A"/>
              </a:solidFill>
            </cx:spPr>
          </cx:dataPt>
          <cx:dataPt idx="4">
            <cx:spPr>
              <a:solidFill>
                <a:srgbClr val="BCD446"/>
              </a:solidFill>
            </cx:spPr>
          </cx:dataPt>
          <cx:dataLabels>
            <cx:visibility seriesName="false" categoryName="true" value="true"/>
          </cx:dataLabels>
          <cx:dataId val="0"/>
        </cx:series>
      </cx:plotAreaRegion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_xlchart.v1.15</cx:f>
      </cx:strDim>
      <cx:numDim type="val">
        <cx:f dir="row">_xlchart.v1.14</cx:f>
      </cx:numDim>
    </cx:data>
  </cx:chartData>
  <cx:chart>
    <cx:title pos="t" align="ctr" overlay="false">
      <cx:tx>
        <cx:rich>
          <a:bodyPr anchorCtr="false" spcFirstLastPara="false" rot="0"/>
          <a:p>
            <a:pPr>
              <a:defRPr b="true" baseline="0" i="false" kern="0" spc="0" strike="noStrike" u="none"/>
            </a:pPr>
            <a:r>
              <a:rPr b="true" baseline="0" i="false" kern="0" spc="0" strike="noStrike" u="none"/>
              <a:t>6月</a:t>
            </a:r>
          </a:p>
        </cx:rich>
      </cx:tx>
      <cx:txPr>
        <a:bodyPr anchorCtr="false" spcFirstLastPara="false" rot="0"/>
        <a:p>
          <a:pPr>
            <a:defRPr b="true" baseline="0" i="false" kern="0" spc="0" strike="noStrike" u="none"/>
          </a:pPr>
        </a:p>
      </cx:txPr>
    </cx:title>
    <cx:plotArea>
      <cx:plotAreaRegion>
        <cx:series layoutId="funnel" uniqueId="{037F5798-1CE7-44C9-BF9B-CC5ADFDCECC6}" formatIdx="0">
          <cx:spPr/>
          <cx:dataPt idx="0">
            <cx:spPr>
              <a:solidFill>
                <a:srgbClr val="3B72F2"/>
              </a:solidFill>
            </cx:spPr>
          </cx:dataPt>
          <cx:dataPt idx="1">
            <cx:spPr>
              <a:solidFill>
                <a:srgbClr val="F2870D"/>
              </a:solidFill>
            </cx:spPr>
          </cx:dataPt>
          <cx:dataPt idx="2">
            <cx:spPr>
              <a:solidFill>
                <a:srgbClr val="1FBAF2"/>
              </a:solidFill>
            </cx:spPr>
          </cx:dataPt>
          <cx:dataPt idx="3">
            <cx:spPr>
              <a:solidFill>
                <a:srgbClr val="F2BF16"/>
              </a:solidFill>
            </cx:spPr>
          </cx:dataPt>
          <cx:dataPt idx="4">
            <cx:spPr>
              <a:solidFill>
                <a:srgbClr val="3CC02D"/>
              </a:solidFill>
            </cx:spPr>
          </cx:dataPt>
          <cx:dataLabels>
            <cx:visibility seriesName="false" categoryName="true" value="true"/>
          </cx:dataLabels>
          <cx:dataId val="0"/>
        </cx:series>
      </cx:plotAreaRegion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_xlchart.v1.17</cx:f>
      </cx:strDim>
      <cx:numDim type="val">
        <cx:f dir="row">_xlchart.v1.16</cx:f>
      </cx:numDim>
    </cx:data>
  </cx:chartData>
  <cx:chart>
    <cx:title pos="t" align="ctr" overlay="false">
      <cx:tx>
        <cx:rich>
          <a:bodyPr anchorCtr="false" spcFirstLastPara="false" rot="0"/>
          <a:p>
            <a:pPr>
              <a:defRPr b="true" baseline="0" i="false" kern="0" spc="0" strike="noStrike" u="none"/>
            </a:pPr>
            <a:r>
              <a:rPr b="true" baseline="0" i="false" kern="0" spc="0" strike="noStrike" u="none"/>
              <a:t>6.1-6.7</a:t>
            </a:r>
          </a:p>
        </cx:rich>
      </cx:tx>
      <cx:txPr>
        <a:bodyPr anchorCtr="false" spcFirstLastPara="false" rot="0"/>
        <a:p>
          <a:pPr>
            <a:defRPr b="true" baseline="0" i="false" kern="0" spc="0" strike="noStrike" u="none"/>
          </a:pPr>
        </a:p>
      </cx:txPr>
    </cx:title>
    <cx:plotArea>
      <cx:plotAreaRegion>
        <cx:series layoutId="funnel" uniqueId="{7391F385-B5A0-4BA2-98EA-80E1A3D9EF45}" formatIdx="0">
          <cx:dataPt idx="0">
            <cx:spPr>
              <a:solidFill>
                <a:srgbClr val="5383F1"/>
              </a:solidFill>
            </cx:spPr>
          </cx:dataPt>
          <cx:dataPt idx="1">
            <cx:spPr>
              <a:solidFill>
                <a:srgbClr val="55C6EF"/>
              </a:solidFill>
            </cx:spPr>
          </cx:dataPt>
          <cx:dataPt idx="2">
            <cx:spPr>
              <a:solidFill>
                <a:srgbClr val="1FD7BF"/>
              </a:solidFill>
            </cx:spPr>
          </cx:dataPt>
          <cx:dataPt idx="3">
            <cx:spPr>
              <a:solidFill>
                <a:srgbClr val="65CA5A"/>
              </a:solidFill>
            </cx:spPr>
          </cx:dataPt>
          <cx:dataPt idx="4">
            <cx:spPr>
              <a:solidFill>
                <a:srgbClr val="BCD446"/>
              </a:solidFill>
            </cx:spPr>
          </cx:dataPt>
          <cx:dataLabels>
            <cx:visibility seriesName="false" categoryName="true" value="true"/>
          </cx:dataLabels>
          <cx:dataId val="0"/>
        </cx:series>
      </cx:plotAreaRegion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_xlchart.v1.19</cx:f>
      </cx:strDim>
      <cx:numDim type="val">
        <cx:f dir="row">_xlchart.v1.18</cx:f>
      </cx:numDim>
    </cx:data>
  </cx:chartData>
  <cx:chart>
    <cx:title pos="t" align="ctr" overlay="false">
      <cx:tx>
        <cx:rich>
          <a:bodyPr anchorCtr="false" spcFirstLastPara="false" rot="0"/>
          <a:p>
            <a:pPr>
              <a:defRPr b="true" baseline="0" i="false" kern="0" spc="0" strike="noStrike" u="none"/>
            </a:pPr>
            <a:r>
              <a:rPr b="true" baseline="0" i="false" kern="0" spc="0" strike="noStrike" u="none"/>
              <a:t>7.13-7.19</a:t>
            </a:r>
          </a:p>
        </cx:rich>
      </cx:tx>
      <cx:txPr>
        <a:bodyPr anchorCtr="false" spcFirstLastPara="false" rot="0"/>
        <a:p>
          <a:pPr>
            <a:defRPr b="true" baseline="0" i="false" kern="0" spc="0" strike="noStrike" u="none"/>
          </a:pPr>
        </a:p>
      </cx:txPr>
    </cx:title>
    <cx:plotArea>
      <cx:plotAreaRegion>
        <cx:series layoutId="funnel" uniqueId="{16812A3A-F3F7-4785-A6B9-CD5EE5BFF52E}" formatIdx="0">
          <cx:dataPt idx="0">
            <cx:spPr>
              <a:solidFill>
                <a:srgbClr val="5383F1"/>
              </a:solidFill>
            </cx:spPr>
          </cx:dataPt>
          <cx:dataPt idx="1">
            <cx:spPr>
              <a:solidFill>
                <a:srgbClr val="55C6EF"/>
              </a:solidFill>
            </cx:spPr>
          </cx:dataPt>
          <cx:dataPt idx="2">
            <cx:spPr>
              <a:solidFill>
                <a:srgbClr val="1FD7BF"/>
              </a:solidFill>
            </cx:spPr>
          </cx:dataPt>
          <cx:dataPt idx="3">
            <cx:spPr>
              <a:solidFill>
                <a:srgbClr val="65CA5A"/>
              </a:solidFill>
            </cx:spPr>
          </cx:dataPt>
          <cx:dataPt idx="4">
            <cx:spPr>
              <a:solidFill>
                <a:srgbClr val="BCD446"/>
              </a:solidFill>
            </cx:spPr>
          </cx:dataPt>
          <cx:dataLabels>
            <cx:visibility seriesName="false" categoryName="true" value="true"/>
          </cx:dataLabels>
          <cx:dataId val="0"/>
        </cx:series>
      </cx:plotAreaRegion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_xlchart.v1.21</cx:f>
      </cx:strDim>
      <cx:numDim type="val">
        <cx:f dir="row">_xlchart.v1.20</cx:f>
      </cx:numDim>
    </cx:data>
  </cx:chartData>
  <cx:chart>
    <cx:title pos="t" align="ctr" overlay="false">
      <cx:tx>
        <cx:rich>
          <a:bodyPr anchorCtr="false" spcFirstLastPara="false" rot="0"/>
          <a:p>
            <a:pPr>
              <a:defRPr b="true" baseline="0" i="false" kern="0" spc="0" strike="noStrike" u="none"/>
            </a:pPr>
            <a:r>
              <a:rPr b="true" baseline="0" i="false" kern="0" spc="0" strike="noStrike" u="none"/>
              <a:t>6.8-6.14</a:t>
            </a:r>
          </a:p>
        </cx:rich>
      </cx:tx>
      <cx:txPr>
        <a:bodyPr anchorCtr="false" spcFirstLastPara="false" rot="0"/>
        <a:p>
          <a:pPr>
            <a:defRPr b="true" baseline="0" i="false" kern="0" spc="0" strike="noStrike" u="none"/>
          </a:pPr>
        </a:p>
      </cx:txPr>
    </cx:title>
    <cx:plotArea>
      <cx:plotAreaRegion>
        <cx:series layoutId="funnel" uniqueId="{82756AAD-0744-4A84-9EDA-013F709A9F09}" formatIdx="0">
          <cx:dataPt idx="0">
            <cx:spPr>
              <a:solidFill>
                <a:srgbClr val="5383F1"/>
              </a:solidFill>
            </cx:spPr>
          </cx:dataPt>
          <cx:dataPt idx="1">
            <cx:spPr>
              <a:solidFill>
                <a:srgbClr val="55C6EF"/>
              </a:solidFill>
            </cx:spPr>
          </cx:dataPt>
          <cx:dataPt idx="2">
            <cx:spPr>
              <a:solidFill>
                <a:srgbClr val="1FD7BF"/>
              </a:solidFill>
            </cx:spPr>
          </cx:dataPt>
          <cx:dataPt idx="3">
            <cx:spPr>
              <a:solidFill>
                <a:srgbClr val="65CA5A"/>
              </a:solidFill>
            </cx:spPr>
          </cx:dataPt>
          <cx:dataPt idx="4">
            <cx:spPr>
              <a:solidFill>
                <a:srgbClr val="BCD446"/>
              </a:solidFill>
            </cx:spPr>
          </cx:dataPt>
          <cx:dataLabels>
            <cx:visibility seriesName="false" categoryName="true" value="true"/>
          </cx:dataLabels>
          <cx:dataId val="0"/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  <cs:defRPr sz="900" b="false" symbol="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  <cs:defRPr sz="1000" b="false" symbol="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b="false" symbol=""/>
    <cs:bodyPr anchor="ctr" anchorCtr="true" bIns="18288" horzOverflow="clip" lIns="36576" rIns="36576" spcFirstLastPara="true" tIns="18288" vert="horz" vertOverflow="clip" wrap="square" rot="0"/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cap="rnd" w="28575">
        <a:solidFill>
          <a:schemeClr val="phClr"/>
        </a:solidFill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z="5" b="false" symbol="circle"/>
  <cs:dataPointWireframe>
    <cs:lnRef idx="0">
      <cs:styleClr val="auto"/>
    </cs:lnRef>
    <cs:fillRef idx="0"/>
    <cs:effectRef idx="0"/>
    <cs:fontRef idx="minor">
      <a:schemeClr val="tx1"/>
    </cs:fontRef>
    <cs:spPr>
      <a:ln cap="rnd" w="28575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  <a:round/>
      </a:ln>
    </cs:spPr>
    <cs:defRPr sz="900" b="false" symbol="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  <cs:defRPr sz="900" b="false" symbol=""/>
  </cs:seriesAxis>
  <cs:seriesLine>
    <cs:lnRef idx="0"/>
    <cs:fillRef idx="0"/>
    <cs:effectRef idx="0"/>
    <cs:fontRef idx="minor">
      <a:schemeClr val="tx1"/>
    </cs:fontRef>
    <cs:spPr>
      <a:ln cap="flat" w="9525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symbol=""/>
  </cs:title>
  <cs:trendline>
    <cs:lnRef idx="0">
      <cs:styleClr val="auto"/>
    </cs:lnRef>
    <cs:fillRef idx="0"/>
    <cs:effectRef idx="0"/>
    <cs:fontRef idx="minor">
      <a:schemeClr val="tx1"/>
    </cs:fontRef>
    <cs:spPr>
      <a:ln cap="rnd" w="19050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  <cs:defRPr sz="900" b="false" symbol="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  <cs:defRPr sz="1000" b="false" symbol="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b="false" symbol=""/>
    <cs:bodyPr anchor="ctr" anchorCtr="true" bIns="18288" horzOverflow="clip" lIns="36576" rIns="36576" spcFirstLastPara="true" tIns="18288" vert="horz" vertOverflow="clip" wrap="square" rot="0"/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cap="rnd" w="28575">
        <a:solidFill>
          <a:schemeClr val="phClr"/>
        </a:solidFill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z="5" b="false" symbol="circle"/>
  <cs:dataPointWireframe>
    <cs:lnRef idx="0">
      <cs:styleClr val="auto"/>
    </cs:lnRef>
    <cs:fillRef idx="0"/>
    <cs:effectRef idx="0"/>
    <cs:fontRef idx="minor">
      <a:schemeClr val="tx1"/>
    </cs:fontRef>
    <cs:spPr>
      <a:ln cap="rnd" w="28575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  <a:round/>
      </a:ln>
    </cs:spPr>
    <cs:defRPr sz="900" b="false" symbol="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  <cs:defRPr sz="900" b="false" symbol=""/>
  </cs:seriesAxis>
  <cs:seriesLine>
    <cs:lnRef idx="0"/>
    <cs:fillRef idx="0"/>
    <cs:effectRef idx="0"/>
    <cs:fontRef idx="minor">
      <a:schemeClr val="tx1"/>
    </cs:fontRef>
    <cs:spPr>
      <a:ln cap="flat" w="9525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symbol=""/>
  </cs:title>
  <cs:trendline>
    <cs:lnRef idx="0">
      <cs:styleClr val="auto"/>
    </cs:lnRef>
    <cs:fillRef idx="0"/>
    <cs:effectRef idx="0"/>
    <cs:fontRef idx="minor">
      <a:schemeClr val="tx1"/>
    </cs:fontRef>
    <cs:spPr>
      <a:ln cap="rnd" w="19050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  <cs:defRPr sz="900" b="false" symbol="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  <cs:defRPr sz="1000" b="false" symbol="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b="false" symbol=""/>
    <cs:bodyPr anchor="ctr" anchorCtr="true" bIns="18288" horzOverflow="clip" lIns="36576" rIns="36576" spcFirstLastPara="true" tIns="18288" vert="horz" vertOverflow="clip" wrap="square" rot="0"/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cap="rnd" w="28575">
        <a:solidFill>
          <a:schemeClr val="phClr"/>
        </a:solidFill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z="5" b="false" symbol="circle"/>
  <cs:dataPointWireframe>
    <cs:lnRef idx="0">
      <cs:styleClr val="auto"/>
    </cs:lnRef>
    <cs:fillRef idx="0"/>
    <cs:effectRef idx="0"/>
    <cs:fontRef idx="minor">
      <a:schemeClr val="tx1"/>
    </cs:fontRef>
    <cs:spPr>
      <a:ln cap="rnd" w="28575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  <a:round/>
      </a:ln>
    </cs:spPr>
    <cs:defRPr sz="900" b="false" symbol="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  <cs:defRPr sz="900" b="false" symbol=""/>
  </cs:seriesAxis>
  <cs:seriesLine>
    <cs:lnRef idx="0"/>
    <cs:fillRef idx="0"/>
    <cs:effectRef idx="0"/>
    <cs:fontRef idx="minor">
      <a:schemeClr val="tx1"/>
    </cs:fontRef>
    <cs:spPr>
      <a:ln cap="flat" w="9525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symbol=""/>
  </cs:title>
  <cs:trendline>
    <cs:lnRef idx="0">
      <cs:styleClr val="auto"/>
    </cs:lnRef>
    <cs:fillRef idx="0"/>
    <cs:effectRef idx="0"/>
    <cs:fontRef idx="minor">
      <a:schemeClr val="tx1"/>
    </cs:fontRef>
    <cs:spPr>
      <a:ln cap="rnd" w="19050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  <cs:defRPr sz="900" b="false" symbol="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  <cs:defRPr sz="1000" b="false" symbol="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b="false" symbol=""/>
    <cs:bodyPr anchor="ctr" anchorCtr="true" bIns="18288" horzOverflow="clip" lIns="36576" rIns="36576" spcFirstLastPara="true" tIns="18288" vert="horz" vertOverflow="clip" wrap="square" rot="0"/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cap="rnd" w="28575">
        <a:solidFill>
          <a:schemeClr val="phClr"/>
        </a:solidFill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z="5" b="false" symbol="circle"/>
  <cs:dataPointWireframe>
    <cs:lnRef idx="0">
      <cs:styleClr val="auto"/>
    </cs:lnRef>
    <cs:fillRef idx="0"/>
    <cs:effectRef idx="0"/>
    <cs:fontRef idx="minor">
      <a:schemeClr val="tx1"/>
    </cs:fontRef>
    <cs:spPr>
      <a:ln cap="rnd" w="28575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  <a:round/>
      </a:ln>
    </cs:spPr>
    <cs:defRPr sz="900" b="false" symbol="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  <cs:defRPr sz="900" b="false" symbol=""/>
  </cs:seriesAxis>
  <cs:seriesLine>
    <cs:lnRef idx="0"/>
    <cs:fillRef idx="0"/>
    <cs:effectRef idx="0"/>
    <cs:fontRef idx="minor">
      <a:schemeClr val="tx1"/>
    </cs:fontRef>
    <cs:spPr>
      <a:ln cap="flat" w="9525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symbol=""/>
  </cs:title>
  <cs:trendline>
    <cs:lnRef idx="0">
      <cs:styleClr val="auto"/>
    </cs:lnRef>
    <cs:fillRef idx="0"/>
    <cs:effectRef idx="0"/>
    <cs:fontRef idx="minor">
      <a:schemeClr val="tx1"/>
    </cs:fontRef>
    <cs:spPr>
      <a:ln cap="rnd" w="19050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  <cs:defRPr sz="900" b="false" symbol="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  <cs:defRPr sz="1000" b="false" symbol="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b="false" symbol=""/>
    <cs:bodyPr anchor="ctr" anchorCtr="true" bIns="18288" horzOverflow="clip" lIns="36576" rIns="36576" spcFirstLastPara="true" tIns="18288" vert="horz" vertOverflow="clip" wrap="square" rot="0"/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cap="rnd" w="28575">
        <a:solidFill>
          <a:schemeClr val="phClr"/>
        </a:solidFill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z="5" b="false" symbol="circle"/>
  <cs:dataPointWireframe>
    <cs:lnRef idx="0">
      <cs:styleClr val="auto"/>
    </cs:lnRef>
    <cs:fillRef idx="0"/>
    <cs:effectRef idx="0"/>
    <cs:fontRef idx="minor">
      <a:schemeClr val="tx1"/>
    </cs:fontRef>
    <cs:spPr>
      <a:ln cap="rnd" w="28575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  <a:round/>
      </a:ln>
    </cs:spPr>
    <cs:defRPr sz="900" b="false" symbol="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  <cs:defRPr sz="900" b="false" symbol=""/>
  </cs:seriesAxis>
  <cs:seriesLine>
    <cs:lnRef idx="0"/>
    <cs:fillRef idx="0"/>
    <cs:effectRef idx="0"/>
    <cs:fontRef idx="minor">
      <a:schemeClr val="tx1"/>
    </cs:fontRef>
    <cs:spPr>
      <a:ln cap="flat" w="9525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symbol=""/>
  </cs:title>
  <cs:trendline>
    <cs:lnRef idx="0">
      <cs:styleClr val="auto"/>
    </cs:lnRef>
    <cs:fillRef idx="0"/>
    <cs:effectRef idx="0"/>
    <cs:fontRef idx="minor">
      <a:schemeClr val="tx1"/>
    </cs:fontRef>
    <cs:spPr>
      <a:ln cap="rnd" w="19050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  <cs:defRPr sz="900" b="false" symbol="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  <cs:defRPr sz="1000" b="false" symbol="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b="false" symbol=""/>
    <cs:bodyPr anchor="ctr" anchorCtr="true" bIns="18288" horzOverflow="clip" lIns="36576" rIns="36576" spcFirstLastPara="true" tIns="18288" vert="horz" vertOverflow="clip" wrap="square" rot="0"/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cap="rnd" w="28575">
        <a:solidFill>
          <a:schemeClr val="phClr"/>
        </a:solidFill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z="5" b="false" symbol="circle"/>
  <cs:dataPointWireframe>
    <cs:lnRef idx="0">
      <cs:styleClr val="auto"/>
    </cs:lnRef>
    <cs:fillRef idx="0"/>
    <cs:effectRef idx="0"/>
    <cs:fontRef idx="minor">
      <a:schemeClr val="tx1"/>
    </cs:fontRef>
    <cs:spPr>
      <a:ln cap="rnd" w="28575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  <a:round/>
      </a:ln>
    </cs:spPr>
    <cs:defRPr sz="900" b="false" symbol="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  <cs:defRPr sz="900" b="false" symbol=""/>
  </cs:seriesAxis>
  <cs:seriesLine>
    <cs:lnRef idx="0"/>
    <cs:fillRef idx="0"/>
    <cs:effectRef idx="0"/>
    <cs:fontRef idx="minor">
      <a:schemeClr val="tx1"/>
    </cs:fontRef>
    <cs:spPr>
      <a:ln cap="flat" w="9525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symbol=""/>
  </cs:title>
  <cs:trendline>
    <cs:lnRef idx="0">
      <cs:styleClr val="auto"/>
    </cs:lnRef>
    <cs:fillRef idx="0"/>
    <cs:effectRef idx="0"/>
    <cs:fontRef idx="minor">
      <a:schemeClr val="tx1"/>
    </cs:fontRef>
    <cs:spPr>
      <a:ln cap="rnd" w="19050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  <cs:defRPr sz="900" b="false" symbol="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  <cs:defRPr sz="1000" b="false" symbol="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b="false" symbol=""/>
    <cs:bodyPr anchor="ctr" anchorCtr="true" bIns="18288" horzOverflow="clip" lIns="36576" rIns="36576" spcFirstLastPara="true" tIns="18288" vert="horz" vertOverflow="clip" wrap="square" rot="0"/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cap="rnd" w="28575">
        <a:solidFill>
          <a:schemeClr val="phClr"/>
        </a:solidFill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z="5" b="false" symbol="circle"/>
  <cs:dataPointWireframe>
    <cs:lnRef idx="0">
      <cs:styleClr val="auto"/>
    </cs:lnRef>
    <cs:fillRef idx="0"/>
    <cs:effectRef idx="0"/>
    <cs:fontRef idx="minor">
      <a:schemeClr val="tx1"/>
    </cs:fontRef>
    <cs:spPr>
      <a:ln cap="rnd" w="28575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  <a:round/>
      </a:ln>
    </cs:spPr>
    <cs:defRPr sz="900" b="false" symbol="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  <cs:defRPr sz="900" b="false" symbol=""/>
  </cs:seriesAxis>
  <cs:seriesLine>
    <cs:lnRef idx="0"/>
    <cs:fillRef idx="0"/>
    <cs:effectRef idx="0"/>
    <cs:fontRef idx="minor">
      <a:schemeClr val="tx1"/>
    </cs:fontRef>
    <cs:spPr>
      <a:ln cap="flat" w="9525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symbol=""/>
  </cs:title>
  <cs:trendline>
    <cs:lnRef idx="0">
      <cs:styleClr val="auto"/>
    </cs:lnRef>
    <cs:fillRef idx="0"/>
    <cs:effectRef idx="0"/>
    <cs:fontRef idx="minor">
      <a:schemeClr val="tx1"/>
    </cs:fontRef>
    <cs:spPr>
      <a:ln cap="rnd" w="19050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  <cs:defRPr sz="900" b="false" symbol="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  <cs:defRPr sz="1000" b="false" symbol="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b="false" symbol=""/>
    <cs:bodyPr anchor="ctr" anchorCtr="true" bIns="18288" horzOverflow="clip" lIns="36576" rIns="36576" spcFirstLastPara="true" tIns="18288" vert="horz" vertOverflow="clip" wrap="square" rot="0"/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cap="rnd" w="28575">
        <a:solidFill>
          <a:schemeClr val="phClr"/>
        </a:solidFill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z="5" b="false" symbol="circle"/>
  <cs:dataPointWireframe>
    <cs:lnRef idx="0">
      <cs:styleClr val="auto"/>
    </cs:lnRef>
    <cs:fillRef idx="0"/>
    <cs:effectRef idx="0"/>
    <cs:fontRef idx="minor">
      <a:schemeClr val="tx1"/>
    </cs:fontRef>
    <cs:spPr>
      <a:ln cap="rnd" w="28575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  <a:round/>
      </a:ln>
    </cs:spPr>
    <cs:defRPr sz="900" b="false" symbol="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  <cs:defRPr sz="900" b="false" symbol=""/>
  </cs:seriesAxis>
  <cs:seriesLine>
    <cs:lnRef idx="0"/>
    <cs:fillRef idx="0"/>
    <cs:effectRef idx="0"/>
    <cs:fontRef idx="minor">
      <a:schemeClr val="tx1"/>
    </cs:fontRef>
    <cs:spPr>
      <a:ln cap="flat" w="9525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symbol=""/>
  </cs:title>
  <cs:trendline>
    <cs:lnRef idx="0">
      <cs:styleClr val="auto"/>
    </cs:lnRef>
    <cs:fillRef idx="0"/>
    <cs:effectRef idx="0"/>
    <cs:fontRef idx="minor">
      <a:schemeClr val="tx1"/>
    </cs:fontRef>
    <cs:spPr>
      <a:ln cap="rnd" w="19050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  <cs:defRPr sz="900" b="false" symbol="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  <cs:defRPr sz="1000" b="false" symbol="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b="false" symbol=""/>
    <cs:bodyPr anchor="ctr" anchorCtr="true" bIns="18288" horzOverflow="clip" lIns="36576" rIns="36576" spcFirstLastPara="true" tIns="18288" vert="horz" vertOverflow="clip" wrap="square" rot="0"/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cap="rnd" w="28575">
        <a:solidFill>
          <a:schemeClr val="phClr"/>
        </a:solidFill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z="5" b="false" symbol="circle"/>
  <cs:dataPointWireframe>
    <cs:lnRef idx="0">
      <cs:styleClr val="auto"/>
    </cs:lnRef>
    <cs:fillRef idx="0"/>
    <cs:effectRef idx="0"/>
    <cs:fontRef idx="minor">
      <a:schemeClr val="tx1"/>
    </cs:fontRef>
    <cs:spPr>
      <a:ln cap="rnd" w="28575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  <a:round/>
      </a:ln>
    </cs:spPr>
    <cs:defRPr sz="900" b="false" symbol="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  <cs:defRPr sz="900" b="false" symbol=""/>
  </cs:seriesAxis>
  <cs:seriesLine>
    <cs:lnRef idx="0"/>
    <cs:fillRef idx="0"/>
    <cs:effectRef idx="0"/>
    <cs:fontRef idx="minor">
      <a:schemeClr val="tx1"/>
    </cs:fontRef>
    <cs:spPr>
      <a:ln cap="flat" w="9525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symbol=""/>
  </cs:title>
  <cs:trendline>
    <cs:lnRef idx="0">
      <cs:styleClr val="auto"/>
    </cs:lnRef>
    <cs:fillRef idx="0"/>
    <cs:effectRef idx="0"/>
    <cs:fontRef idx="minor">
      <a:schemeClr val="tx1"/>
    </cs:fontRef>
    <cs:spPr>
      <a:ln cap="rnd" w="19050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  <cs:defRPr sz="900" b="false" symbol="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  <cs:defRPr sz="1000" b="false" symbol="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b="false" symbol=""/>
    <cs:bodyPr anchor="ctr" anchorCtr="true" bIns="18288" horzOverflow="clip" lIns="36576" rIns="36576" spcFirstLastPara="true" tIns="18288" vert="horz" vertOverflow="clip" wrap="square" rot="0"/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cap="rnd" w="28575">
        <a:solidFill>
          <a:schemeClr val="phClr"/>
        </a:solidFill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z="5" b="false" symbol="circle"/>
  <cs:dataPointWireframe>
    <cs:lnRef idx="0">
      <cs:styleClr val="auto"/>
    </cs:lnRef>
    <cs:fillRef idx="0"/>
    <cs:effectRef idx="0"/>
    <cs:fontRef idx="minor">
      <a:schemeClr val="tx1"/>
    </cs:fontRef>
    <cs:spPr>
      <a:ln cap="rnd" w="28575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  <a:round/>
      </a:ln>
    </cs:spPr>
    <cs:defRPr sz="900" b="false" symbol="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  <cs:defRPr sz="900" b="false" symbol=""/>
  </cs:seriesAxis>
  <cs:seriesLine>
    <cs:lnRef idx="0"/>
    <cs:fillRef idx="0"/>
    <cs:effectRef idx="0"/>
    <cs:fontRef idx="minor">
      <a:schemeClr val="tx1"/>
    </cs:fontRef>
    <cs:spPr>
      <a:ln cap="flat" w="9525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symbol=""/>
  </cs:title>
  <cs:trendline>
    <cs:lnRef idx="0">
      <cs:styleClr val="auto"/>
    </cs:lnRef>
    <cs:fillRef idx="0"/>
    <cs:effectRef idx="0"/>
    <cs:fontRef idx="minor">
      <a:schemeClr val="tx1"/>
    </cs:fontRef>
    <cs:spPr>
      <a:ln cap="rnd" w="19050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  <cs:defRPr sz="900" b="false" symbol="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  <cs:defRPr sz="1000" b="false" symbol="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b="false" symbol=""/>
    <cs:bodyPr anchor="ctr" anchorCtr="true" bIns="18288" horzOverflow="clip" lIns="36576" rIns="36576" spcFirstLastPara="true" tIns="18288" vert="horz" vertOverflow="clip" wrap="square" rot="0"/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cap="rnd" w="28575">
        <a:solidFill>
          <a:schemeClr val="phClr"/>
        </a:solidFill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z="5" b="false" symbol="circle"/>
  <cs:dataPointWireframe>
    <cs:lnRef idx="0">
      <cs:styleClr val="auto"/>
    </cs:lnRef>
    <cs:fillRef idx="0"/>
    <cs:effectRef idx="0"/>
    <cs:fontRef idx="minor">
      <a:schemeClr val="tx1"/>
    </cs:fontRef>
    <cs:spPr>
      <a:ln cap="rnd" w="28575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  <a:round/>
      </a:ln>
    </cs:spPr>
    <cs:defRPr sz="900" b="false" symbol="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algn="ctr" cap="flat" cmpd="sng" w="9525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algn="ctr" cap="flat" cmpd="sng" w="9525">
        <a:solidFill>
          <a:schemeClr val="tx1">
            <a:lumMod val="15000"/>
            <a:lumOff val="85000"/>
          </a:schemeClr>
        </a:solidFill>
        <a:round/>
      </a:ln>
    </cs:spPr>
    <cs:defRPr sz="900" b="false" symbol=""/>
  </cs:seriesAxis>
  <cs:seriesLine>
    <cs:lnRef idx="0"/>
    <cs:fillRef idx="0"/>
    <cs:effectRef idx="0"/>
    <cs:fontRef idx="minor">
      <a:schemeClr val="tx1"/>
    </cs:fontRef>
    <cs:spPr>
      <a:ln cap="flat" w="9525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symbol=""/>
  </cs:title>
  <cs:trendline>
    <cs:lnRef idx="0">
      <cs:styleClr val="auto"/>
    </cs:lnRef>
    <cs:fillRef idx="0"/>
    <cs:effectRef idx="0"/>
    <cs:fontRef idx="minor">
      <a:schemeClr val="tx1"/>
    </cs:fontRef>
    <cs:spPr>
      <a:ln cap="rnd" w="19050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false" symbol="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
<Relationships xmlns="http://schemas.openxmlformats.org/package/2006/relationships"><Relationship Id="rId1" Target="../charts/chart1.xml" Type="http://schemas.openxmlformats.org/officeDocument/2006/relationships/chart"></Relationship><Relationship Id="rId2" Target="../charts/chartEx1.xml" Type="http://schemas.microsoft.com/office/2014/relationships/chartEx"></Relationship><Relationship Id="rId3" Target="../charts/chart3.xml" Type="http://schemas.openxmlformats.org/officeDocument/2006/relationships/chart"></Relationship><Relationship Id="rId4" Target="../charts/chartEx2.xml" Type="http://schemas.microsoft.com/office/2014/relationships/chartEx"></Relationship><Relationship Id="rId5" Target="../charts/chart5.xml" Type="http://schemas.openxmlformats.org/officeDocument/2006/relationships/chart"></Relationship><Relationship Id="rId6" Target="../charts/chartEx3.xml" Type="http://schemas.microsoft.com/office/2014/relationships/chartEx"></Relationship><Relationship Id="rId7" Target="../charts/chartEx4.xml" Type="http://schemas.microsoft.com/office/2014/relationships/chartEx"></Relationship><Relationship Id="rId8" Target="../charts/chart8.xml" Type="http://schemas.openxmlformats.org/officeDocument/2006/relationships/chart"></Relationship><Relationship Id="rId9" Target="../charts/chartEx5.xml" Type="http://schemas.microsoft.com/office/2014/relationships/chartEx"></Relationship><Relationship Id="rId10" Target="../charts/chartEx6.xml" Type="http://schemas.microsoft.com/office/2014/relationships/chartEx"></Relationship><Relationship Id="rId11" Target="../charts/chartEx7.xml" Type="http://schemas.microsoft.com/office/2014/relationships/chartEx"></Relationship><Relationship Id="rId12" Target="../charts/chart12.xml" Type="http://schemas.openxmlformats.org/officeDocument/2006/relationships/chart"></Relationship><Relationship Id="rId13" Target="../charts/chart13.xml" Type="http://schemas.openxmlformats.org/officeDocument/2006/relationships/chart"></Relationship><Relationship Id="rId14" Target="../charts/chartEx8.xml" Type="http://schemas.microsoft.com/office/2014/relationships/chartEx"></Relationship><Relationship Id="rId15" Target="../charts/chart15.xml" Type="http://schemas.openxmlformats.org/officeDocument/2006/relationships/chart"></Relationship><Relationship Id="rId16" Target="../charts/chartEx9.xml" Type="http://schemas.microsoft.com/office/2014/relationships/chartEx"></Relationship><Relationship Id="rId17" Target="../charts/chart17.xml" Type="http://schemas.openxmlformats.org/officeDocument/2006/relationships/chart"></Relationship><Relationship Id="rId18" Target="../charts/chartEx10.xml" Type="http://schemas.microsoft.com/office/2014/relationships/chartEx"></Relationship><Relationship Id="rId19" Target="../charts/chartEx11.xml" Type="http://schemas.microsoft.com/office/2014/relationships/chartEx"></Relationship><Relationship Id="rId20" Target="../charts/chart20.xml" Type="http://schemas.openxmlformats.org/officeDocument/2006/relationships/chart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133350</xdr:colOff>
      <xdr:row>13</xdr:row>
      <xdr:rowOff>200025</xdr:rowOff>
    </xdr:from>
    <xdr:to>
      <xdr:col>7</xdr:col>
      <xdr:colOff>133350</xdr:colOff>
      <xdr:row>31</xdr:row>
      <xdr:rowOff>200025</xdr:rowOff>
    </xdr:to>
    <xdr:graphicFrame macro="">
      <xdr:nvGraphicFramePr>
        <xdr:cNvPr id="2" name="Chart 2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false" fPrintsWithSheet="true"/>
  </xdr:twoCellAnchor>
  <xdr:twoCellAnchor>
    <xdr:from>
      <xdr:col>11</xdr:col>
      <xdr:colOff>428625</xdr:colOff>
      <xdr:row>265</xdr:row>
      <xdr:rowOff>171450</xdr:rowOff>
    </xdr:from>
    <xdr:to>
      <xdr:col>16</xdr:col>
      <xdr:colOff>600075</xdr:colOff>
      <xdr:row>277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3" descr="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</mc:AlternateContent>
    <xdr:clientData fLocksWithSheet="false" fPrintsWithSheet="false"/>
  </xdr:twoCellAnchor>
  <xdr:twoCellAnchor>
    <xdr:from>
      <xdr:col>11</xdr:col>
      <xdr:colOff>0</xdr:colOff>
      <xdr:row>158</xdr:row>
      <xdr:rowOff>0</xdr:rowOff>
    </xdr:from>
    <xdr:to>
      <xdr:col>22</xdr:col>
      <xdr:colOff>685800</xdr:colOff>
      <xdr:row>176</xdr:row>
      <xdr:rowOff>0</xdr:rowOff>
    </xdr:to>
    <xdr:graphicFrame macro="">
      <xdr:nvGraphicFramePr>
        <xdr:cNvPr id="4" name="Chart 4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false" fPrintsWithSheet="true"/>
  </xdr:twoCellAnchor>
  <xdr:twoCellAnchor>
    <xdr:from>
      <xdr:col>6</xdr:col>
      <xdr:colOff>600075</xdr:colOff>
      <xdr:row>265</xdr:row>
      <xdr:rowOff>200025</xdr:rowOff>
    </xdr:from>
    <xdr:to>
      <xdr:col>11</xdr:col>
      <xdr:colOff>257175</xdr:colOff>
      <xdr:row>277</xdr:row>
      <xdr:rowOff>180975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5" descr="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</mc:AlternateContent>
    <xdr:clientData fLocksWithSheet="false" fPrintsWithSheet="false"/>
  </xdr:twoCellAnchor>
  <xdr:twoCellAnchor>
    <xdr:from>
      <xdr:col>11</xdr:col>
      <xdr:colOff>0</xdr:colOff>
      <xdr:row>78</xdr:row>
      <xdr:rowOff>200025</xdr:rowOff>
    </xdr:from>
    <xdr:to>
      <xdr:col>22</xdr:col>
      <xdr:colOff>714375</xdr:colOff>
      <xdr:row>96</xdr:row>
      <xdr:rowOff>228600</xdr:rowOff>
    </xdr:to>
    <xdr:graphicFrame macro="">
      <xdr:nvGraphicFramePr>
        <xdr:cNvPr id="6" name="Chart 6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false" fPrintsWithSheet="true"/>
  </xdr:twoCellAnchor>
  <xdr:twoCellAnchor>
    <xdr:from>
      <xdr:col>5</xdr:col>
      <xdr:colOff>619125</xdr:colOff>
      <xdr:row>218</xdr:row>
      <xdr:rowOff>142875</xdr:rowOff>
    </xdr:from>
    <xdr:to>
      <xdr:col>12</xdr:col>
      <xdr:colOff>171450</xdr:colOff>
      <xdr:row>231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7" descr="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</mc:AlternateContent>
    <xdr:clientData fLocksWithSheet="false" fPrintsWithSheet="false"/>
  </xdr:twoCellAnchor>
  <xdr:twoCellAnchor>
    <xdr:from>
      <xdr:col>6</xdr:col>
      <xdr:colOff>533400</xdr:colOff>
      <xdr:row>253</xdr:row>
      <xdr:rowOff>85725</xdr:rowOff>
    </xdr:from>
    <xdr:to>
      <xdr:col>11</xdr:col>
      <xdr:colOff>190500</xdr:colOff>
      <xdr:row>265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8" descr="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</mc:AlternateContent>
    <xdr:clientData fLocksWithSheet="false" fPrintsWithSheet="false"/>
  </xdr:twoCellAnchor>
  <xdr:twoCellAnchor>
    <xdr:from>
      <xdr:col>10</xdr:col>
      <xdr:colOff>47625</xdr:colOff>
      <xdr:row>35</xdr:row>
      <xdr:rowOff>38100</xdr:rowOff>
    </xdr:from>
    <xdr:to>
      <xdr:col>22</xdr:col>
      <xdr:colOff>723900</xdr:colOff>
      <xdr:row>53</xdr:row>
      <xdr:rowOff>38100</xdr:rowOff>
    </xdr:to>
    <xdr:graphicFrame macro="">
      <xdr:nvGraphicFramePr>
        <xdr:cNvPr id="9" name="Chart 9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false" fPrintsWithSheet="true"/>
  </xdr:twoCellAnchor>
  <xdr:twoCellAnchor>
    <xdr:from>
      <xdr:col>6</xdr:col>
      <xdr:colOff>647700</xdr:colOff>
      <xdr:row>290</xdr:row>
      <xdr:rowOff>47625</xdr:rowOff>
    </xdr:from>
    <xdr:to>
      <xdr:col>11</xdr:col>
      <xdr:colOff>304800</xdr:colOff>
      <xdr:row>302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10" descr="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</mc:AlternateContent>
    <xdr:clientData fLocksWithSheet="false" fPrintsWithSheet="false"/>
  </xdr:twoCellAnchor>
  <xdr:twoCellAnchor>
    <xdr:from>
      <xdr:col>11</xdr:col>
      <xdr:colOff>419100</xdr:colOff>
      <xdr:row>278</xdr:row>
      <xdr:rowOff>85725</xdr:rowOff>
    </xdr:from>
    <xdr:to>
      <xdr:col>16</xdr:col>
      <xdr:colOff>590550</xdr:colOff>
      <xdr:row>290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1" descr="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</mc:AlternateContent>
    <xdr:clientData fLocksWithSheet="false" fPrintsWithSheet="false"/>
  </xdr:twoCellAnchor>
  <xdr:twoCellAnchor>
    <xdr:from>
      <xdr:col>11</xdr:col>
      <xdr:colOff>485775</xdr:colOff>
      <xdr:row>253</xdr:row>
      <xdr:rowOff>85725</xdr:rowOff>
    </xdr:from>
    <xdr:to>
      <xdr:col>16</xdr:col>
      <xdr:colOff>657225</xdr:colOff>
      <xdr:row>265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2" descr="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</mc:AlternateContent>
    <xdr:clientData fLocksWithSheet="false" fPrintsWithSheet="false"/>
  </xdr:twoCellAnchor>
  <xdr:twoCellAnchor>
    <xdr:from>
      <xdr:col>11</xdr:col>
      <xdr:colOff>19050</xdr:colOff>
      <xdr:row>97</xdr:row>
      <xdr:rowOff>95250</xdr:rowOff>
    </xdr:from>
    <xdr:to>
      <xdr:col>22</xdr:col>
      <xdr:colOff>704850</xdr:colOff>
      <xdr:row>115</xdr:row>
      <xdr:rowOff>95250</xdr:rowOff>
    </xdr:to>
    <xdr:graphicFrame macro="">
      <xdr:nvGraphicFramePr>
        <xdr:cNvPr id="13" name="Chart 13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 fLocksWithSheet="false" fPrintsWithSheet="true"/>
  </xdr:twoCellAnchor>
  <xdr:twoCellAnchor>
    <xdr:from>
      <xdr:col>11</xdr:col>
      <xdr:colOff>0</xdr:colOff>
      <xdr:row>118</xdr:row>
      <xdr:rowOff>0</xdr:rowOff>
    </xdr:from>
    <xdr:to>
      <xdr:col>22</xdr:col>
      <xdr:colOff>685800</xdr:colOff>
      <xdr:row>136</xdr:row>
      <xdr:rowOff>0</xdr:rowOff>
    </xdr:to>
    <xdr:graphicFrame macro="">
      <xdr:nvGraphicFramePr>
        <xdr:cNvPr id="14" name="Chart 14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 fLocksWithSheet="false" fPrintsWithSheet="true"/>
  </xdr:twoCellAnchor>
  <xdr:twoCellAnchor>
    <xdr:from>
      <xdr:col>5</xdr:col>
      <xdr:colOff>628650</xdr:colOff>
      <xdr:row>205</xdr:row>
      <xdr:rowOff>133350</xdr:rowOff>
    </xdr:from>
    <xdr:to>
      <xdr:col>12</xdr:col>
      <xdr:colOff>180975</xdr:colOff>
      <xdr:row>218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Chart 15" descr="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</mc:AlternateContent>
    <xdr:clientData fLocksWithSheet="false" fPrintsWithSheet="false"/>
  </xdr:twoCellAnchor>
  <xdr:twoCellAnchor>
    <xdr:from>
      <xdr:col>10</xdr:col>
      <xdr:colOff>666750</xdr:colOff>
      <xdr:row>184</xdr:row>
      <xdr:rowOff>19050</xdr:rowOff>
    </xdr:from>
    <xdr:to>
      <xdr:col>22</xdr:col>
      <xdr:colOff>676275</xdr:colOff>
      <xdr:row>202</xdr:row>
      <xdr:rowOff>19050</xdr:rowOff>
    </xdr:to>
    <xdr:graphicFrame macro="">
      <xdr:nvGraphicFramePr>
        <xdr:cNvPr id="16" name="Chart 16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 fLocksWithSheet="false" fPrintsWithSheet="true"/>
  </xdr:twoCellAnchor>
  <xdr:twoCellAnchor>
    <xdr:from>
      <xdr:col>6</xdr:col>
      <xdr:colOff>523875</xdr:colOff>
      <xdr:row>240</xdr:row>
      <xdr:rowOff>209550</xdr:rowOff>
    </xdr:from>
    <xdr:to>
      <xdr:col>11</xdr:col>
      <xdr:colOff>161925</xdr:colOff>
      <xdr:row>252</xdr:row>
      <xdr:rowOff>161925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7" name="Chart 17" descr="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6"/>
            </a:graphicData>
          </a:graphic>
        </xdr:graphicFrame>
      </mc:Choice>
    </mc:AlternateContent>
    <xdr:clientData fLocksWithSheet="false" fPrintsWithSheet="false"/>
  </xdr:twoCellAnchor>
  <xdr:twoCellAnchor>
    <xdr:from>
      <xdr:col>10</xdr:col>
      <xdr:colOff>666750</xdr:colOff>
      <xdr:row>59</xdr:row>
      <xdr:rowOff>0</xdr:rowOff>
    </xdr:from>
    <xdr:to>
      <xdr:col>22</xdr:col>
      <xdr:colOff>714375</xdr:colOff>
      <xdr:row>77</xdr:row>
      <xdr:rowOff>0</xdr:rowOff>
    </xdr:to>
    <xdr:graphicFrame macro="">
      <xdr:nvGraphicFramePr>
        <xdr:cNvPr id="18" name="Chart 18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 fLocksWithSheet="false" fPrintsWithSheet="true"/>
  </xdr:twoCellAnchor>
  <xdr:twoCellAnchor>
    <xdr:from>
      <xdr:col>6</xdr:col>
      <xdr:colOff>628650</xdr:colOff>
      <xdr:row>278</xdr:row>
      <xdr:rowOff>152400</xdr:rowOff>
    </xdr:from>
    <xdr:to>
      <xdr:col>11</xdr:col>
      <xdr:colOff>285750</xdr:colOff>
      <xdr:row>290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9" name="Chart 19" descr="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8"/>
            </a:graphicData>
          </a:graphic>
        </xdr:graphicFrame>
      </mc:Choice>
    </mc:AlternateContent>
    <xdr:clientData fLocksWithSheet="false" fPrintsWithSheet="false"/>
  </xdr:twoCellAnchor>
  <xdr:twoCellAnchor>
    <xdr:from>
      <xdr:col>11</xdr:col>
      <xdr:colOff>438150</xdr:colOff>
      <xdr:row>240</xdr:row>
      <xdr:rowOff>209550</xdr:rowOff>
    </xdr:from>
    <xdr:to>
      <xdr:col>16</xdr:col>
      <xdr:colOff>609600</xdr:colOff>
      <xdr:row>252</xdr:row>
      <xdr:rowOff>190500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0" name="Chart 20" descr="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9"/>
            </a:graphicData>
          </a:graphic>
        </xdr:graphicFrame>
      </mc:Choice>
    </mc:AlternateContent>
    <xdr:clientData fLocksWithSheet="false" fPrintsWithSheet="false"/>
  </xdr:twoCellAnchor>
  <xdr:twoCellAnchor>
    <xdr:from>
      <xdr:col>11</xdr:col>
      <xdr:colOff>0</xdr:colOff>
      <xdr:row>138</xdr:row>
      <xdr:rowOff>0</xdr:rowOff>
    </xdr:from>
    <xdr:to>
      <xdr:col>22</xdr:col>
      <xdr:colOff>685800</xdr:colOff>
      <xdr:row>156</xdr:row>
      <xdr:rowOff>0</xdr:rowOff>
    </xdr:to>
    <xdr:graphicFrame macro="">
      <xdr:nvGraphicFramePr>
        <xdr:cNvPr id="21" name="Chart 21" descr="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 fLocksWithSheet="false" fPrintsWithSheet="true"/>
  </xdr:twoCellAnchor>
</xdr:wsDr>
</file>

<file path=xl/pivotCache/pivotCacheDefinition1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N$99" sheet="2026.9"/>
  </cacheSource>
  <cacheFields count="14">
    <cacheField name="日期" numFmtId="0">
      <sharedItems count="0"/>
    </cacheField>
    <cacheField name="主播" numFmtId="0">
      <sharedItems containsBlank="true" count="8">
        <s v="李凯丽"/>
        <s v="王笑荣"/>
        <s v="郭玉龙"/>
        <s v="张欣颖"/>
        <m/>
        <s v="李佳怡"/>
        <s v="孟璐瑶"/>
        <s v="刘梦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2" maxValue="17" count="14">
        <n v="4"/>
        <n v="5"/>
        <n v="17"/>
        <n v="16"/>
        <n v="3.5"/>
        <n v="15.5"/>
        <n v="2"/>
        <n v="12"/>
        <n v="2.5"/>
        <n v="6.5"/>
        <n v="15"/>
        <n v="14"/>
        <n v="3"/>
        <n v="4.5"/>
      </sharedItems>
    </cacheField>
    <cacheField name="保单数量" numFmtId="0">
      <sharedItems containsSemiMixedTypes="false" containsString="false" containsNumber="true" containsInteger="true" minValue="17" maxValue="873" count="73">
        <n v="32"/>
        <n v="37"/>
        <n v="113"/>
        <n v="214"/>
        <n v="54"/>
        <n v="55"/>
        <n v="115"/>
        <n v="256"/>
        <n v="59"/>
        <n v="42"/>
        <n v="191"/>
        <n v="351"/>
        <n v="46"/>
        <n v="51"/>
        <n v="43"/>
        <n v="202"/>
        <n v="342"/>
        <n v="65"/>
        <n v="98"/>
        <n v="289"/>
        <n v="421"/>
        <n v="873"/>
        <n v="29"/>
        <n v="53"/>
        <n v="64"/>
        <n v="197"/>
        <n v="66"/>
        <n v="199"/>
        <n v="30"/>
        <n v="39"/>
        <n v="61"/>
        <n v="106"/>
        <n v="236"/>
        <n v="73"/>
        <n v="33"/>
        <n v="92"/>
        <n v="253"/>
        <n v="45"/>
        <n v="159"/>
        <n v="70"/>
        <n v="19"/>
        <n v="89"/>
        <n v="56"/>
        <n v="44"/>
        <n v="76"/>
        <n v="34"/>
        <n v="210"/>
        <n v="68"/>
        <n v="17"/>
        <n v="212"/>
        <n v="23"/>
        <n v="71"/>
        <n v="95"/>
        <n v="219"/>
        <n v="21"/>
        <n v="88"/>
        <n v="223"/>
        <n v="78"/>
        <n v="22"/>
        <n v="144"/>
        <n v="299"/>
        <n v="49"/>
        <n v="40"/>
        <n v="114"/>
        <n v="268"/>
        <n v="62"/>
        <n v="110"/>
        <n v="261"/>
        <n v="80"/>
        <n v="136"/>
        <n v="363"/>
        <n v="48"/>
        <n v="246"/>
      </sharedItems>
    </cacheField>
    <cacheField name="t0退保数量" numFmtId="0">
      <sharedItems containsSemiMixedTypes="false" containsString="false" containsNumber="true" containsInteger="true" minValue="1" maxValue="145" count="0"/>
    </cacheField>
    <cacheField name="年化保费" numFmtId="0">
      <sharedItems containsSemiMixedTypes="false" containsString="false" containsNumber="true" minValue="6236.68" maxValue="524317.09" count="98">
        <n v="19485.51"/>
        <n v="14956.98"/>
        <n v="16117.84"/>
        <n v="65120.35"/>
        <n v="115680.68"/>
        <n v="25587.43"/>
        <n v="10009.16"/>
        <n v="22547.16"/>
        <n v="48153.36"/>
        <n v="106297.11"/>
        <n v="27662.09"/>
        <n v="18686.220000000005"/>
        <n v="26535.21"/>
        <n v="101918.41"/>
        <n v="174801.93"/>
        <n v="18888.3"/>
        <n v="28200.899999999998"/>
        <n v="18687.34"/>
        <n v="94441.91"/>
        <n v="160218.45"/>
        <n v="32545.19"/>
        <n v="54721.880000000005"/>
        <n v="195652.69"/>
        <n v="241397.33"/>
        <n v="524317.09"/>
        <n v="31461.28"/>
        <n v="12560.14"/>
        <n v="34412.02"/>
        <n v="26816.88"/>
        <n v="105250.32"/>
        <n v="14974.94"/>
        <n v="25042.869999999995"/>
        <n v="23155.14"/>
        <n v="29362.98"/>
        <n v="92535.93"/>
        <n v="17457.3"/>
        <n v="14699.130000000001"/>
        <n v="25520.159999999996"/>
        <n v="71305.6"/>
        <n v="128982.19"/>
        <n v="36161.61"/>
        <n v="28042.089999999997"/>
        <n v="11989.279999999999"/>
        <n v="54874.18000000001"/>
        <n v="131067.16"/>
        <n v="22615.26"/>
        <n v="15054.400000000005"/>
        <n v="12697.759999999995"/>
        <n v="7647.520000000004"/>
        <n v="58014.94"/>
        <n v="22803.42"/>
        <n v="6888.720000000001"/>
        <n v="29692.14"/>
        <n v="19666.46"/>
        <n v="14908.480000000003"/>
        <n v="34091"/>
        <n v="9008.44"/>
        <n v="77674.38"/>
        <n v="28873.2"/>
        <n v="21842.210000000003"/>
        <n v="28504"/>
        <n v="6867.04"/>
        <n v="86086.45"/>
        <n v="8843.63"/>
        <n v="9433.860000000002"/>
        <n v="27833.24"/>
        <n v="35139.04"/>
        <n v="81249.77"/>
        <n v="11777.88"/>
        <n v="20199.110000000004"/>
        <n v="22569.04"/>
        <n v="47518.64"/>
        <n v="102064.67000000001"/>
        <n v="24511.46"/>
        <n v="41103.46"/>
        <n v="9629.34"/>
        <n v="80394.73"/>
        <n v="155638.99"/>
        <n v="29175.81"/>
        <n v="26267.78"/>
        <n v="16309.94"/>
        <n v="59694.61"/>
        <n v="131448.14"/>
        <n v="24705.23"/>
        <n v="39508.92"/>
        <n v="6236.68"/>
        <n v="56551.27"/>
        <n v="127002.09999999998"/>
        <n v="43450.14"/>
        <n v="41746.42"/>
        <n v="24477.11"/>
        <n v="70340.45"/>
        <n v="180014.12"/>
        <n v="20559.61"/>
        <n v="18065.989999999998"/>
        <n v="26452.79"/>
        <n v="62571.6"/>
        <n v="127649.98999999999"/>
      </sharedItems>
    </cacheField>
    <cacheField name="投流消耗" numFmtId="0">
      <sharedItems containsSemiMixedTypes="false" containsString="false" containsNumber="true" minValue="6152.85" maxValue="241616.87" count="98">
        <n v="11361.08"/>
        <n v="11098.54"/>
        <n v="11784.33"/>
        <n v="29767.030000000002"/>
        <n v="64010.98000000001"/>
        <n v="17591.34"/>
        <n v="11044.85"/>
        <n v="16029.13"/>
        <n v="29959.949999999997"/>
        <n v="74625.26999999999"/>
        <n v="14585.93"/>
        <n v="13147.44"/>
        <n v="16491.88"/>
        <n v="49168.340000000004"/>
        <n v="93393.59"/>
        <n v="12064.490000000002"/>
        <n v="14897.439999999999"/>
        <n v="13641.83"/>
        <n v="52519.560000000005"/>
        <n v="93123.32"/>
        <n v="16416.54"/>
        <n v="20162.38"/>
        <n v="71619.59"/>
        <n v="133418.36000000002"/>
        <n v="241616.87"/>
        <n v="18218.23"/>
        <n v="9808.12"/>
        <n v="9804.5"/>
        <n v="16270.660000000002"/>
        <n v="54101.51"/>
        <n v="8726.1"/>
        <n v="14631.33"/>
        <n v="14552.92"/>
        <n v="20760.88"/>
        <n v="58671.229999999996"/>
        <n v="10675.52"/>
        <n v="9833.970000000001"/>
        <n v="16565.75"/>
        <n v="24212.02"/>
        <n v="61287.26000000001"/>
        <n v="17431.38"/>
        <n v="13874.55"/>
        <n v="9913.259999999998"/>
        <n v="23138.13"/>
        <n v="64357.32000000001"/>
        <n v="15802.780000000002"/>
        <n v="14931.750000000004"/>
        <n v="12301.38"/>
        <n v="11799.34"/>
        <n v="54835.25"/>
        <n v="18485.68"/>
        <n v="8005.74"/>
        <n v="26491.42"/>
        <n v="13610.66"/>
        <n v="12650.53"/>
        <n v="20352.22"/>
        <n v="8821.95"/>
        <n v="55435.36"/>
        <n v="14196"/>
        <n v="13758.400000000001"/>
        <n v="18833.78"/>
        <n v="6204.93"/>
        <n v="52993.11"/>
        <n v="6152.85"/>
        <n v="8648.07"/>
        <n v="19627.36"/>
        <n v="25878.47"/>
        <n v="60306.75"/>
        <n v="7352.49"/>
        <n v="14522.49"/>
        <n v="19879.39"/>
        <n v="22062.94"/>
        <n v="63817.31"/>
        <n v="14391.81"/>
        <n v="17793.25"/>
        <n v="9571.65"/>
        <n v="36207.450000000004"/>
        <n v="77964.16"/>
        <n v="15875.150000000001"/>
        <n v="14555.02"/>
        <n v="10549.59"/>
        <n v="25403.539999999994"/>
        <n v="66383.29999999999"/>
        <n v="16250.339999999998"/>
        <n v="20943.07"/>
        <n v="6357.7"/>
        <n v="28151.420000000002"/>
        <n v="71702.53"/>
        <n v="23727.83"/>
        <n v="19805.92"/>
        <n v="13422.16"/>
        <n v="27803.42"/>
        <n v="84759.33"/>
        <n v="10663.7"/>
        <n v="13046.580000000004"/>
        <n v="13441.52"/>
        <n v="23454.02"/>
        <n v="60605.82000000001"/>
      </sharedItems>
    </cacheField>
    <cacheField name="ROI" numFmtId="0">
      <sharedItems containsSemiMixedTypes="false" containsString="false" containsNumber="true" minValue="0.6481311666584745" maxValue="3.5098189606813195" count="0"/>
    </cacheField>
    <cacheField name="单均" numFmtId="0">
      <sharedItems containsSemiMixedTypes="false" containsString="false" containsNumber="true" minValue="254.91733333333346" maxValue="676.9989273356401" count="0"/>
    </cacheField>
    <cacheField name="保单成本" numFmtId="0">
      <sharedItems containsSemiMixedTypes="false" containsString="false" containsNumber="true" minValue="184.99056603773585" maxValue="435.075" count="0"/>
    </cacheField>
    <cacheField name="T0退保率" numFmtId="0">
      <sharedItems containsSemiMixedTypes="false" containsString="false" containsNumber="true" minValue="0.058823529411764705" maxValue="0.38181818181818183" count="0"/>
    </cacheField>
    <cacheField name="助播1" numFmtId="0">
      <sharedItems containsBlank="true" count="0"/>
    </cacheField>
    <cacheField name="助播时长" numFmtId="0">
      <sharedItems containsString="false" containsBlank="true" containsNumber="true" minValue="1" maxValue="17" count="0"/>
    </cacheField>
  </cacheFields>
</pivotCacheDefinition>
</file>

<file path=xl/pivotCache/pivotCacheDefinition2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N$142" sheet="2026.9"/>
  </cacheSource>
  <cacheFields count="14">
    <cacheField name="日期" numFmtId="0">
      <sharedItems count="0"/>
    </cacheField>
    <cacheField name="主播" numFmtId="0">
      <sharedItems containsBlank="true" count="8">
        <s v="李凯丽"/>
        <s v="王笑荣"/>
        <s v="郭玉龙"/>
        <s v="张欣颖"/>
        <m/>
        <s v="李佳怡"/>
        <s v="孟璐瑶"/>
        <s v="刘梦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1" maxValue="17" count="19">
        <n v="4"/>
        <n v="5"/>
        <n v="17"/>
        <n v="16"/>
        <n v="3.5"/>
        <n v="15.5"/>
        <n v="2"/>
        <n v="12"/>
        <n v="2.5"/>
        <n v="6.5"/>
        <n v="15"/>
        <n v="14"/>
        <n v="3"/>
        <n v="4.5"/>
        <n v="1"/>
        <n v="12.5"/>
        <n v="8"/>
        <n v="4.75"/>
        <n v="14.75"/>
      </sharedItems>
    </cacheField>
    <cacheField name="保单数量" numFmtId="0">
      <sharedItems containsSemiMixedTypes="false" containsString="false" containsNumber="true" containsInteger="true" minValue="12" maxValue="873" count="0"/>
    </cacheField>
    <cacheField name="t0退保数量" numFmtId="0">
      <sharedItems containsSemiMixedTypes="false" containsString="false" containsNumber="true" containsInteger="true" minValue="1" maxValue="145" count="0"/>
    </cacheField>
    <cacheField name="年化保费" numFmtId="0">
      <sharedItems containsSemiMixedTypes="false" containsString="false" containsNumber="true" minValue="4718" maxValue="524317.09" count="141">
        <n v="19485.51"/>
        <n v="14956.98"/>
        <n v="16117.84"/>
        <n v="65120.35"/>
        <n v="115680.68"/>
        <n v="25587.43"/>
        <n v="10009.16"/>
        <n v="22547.16"/>
        <n v="48153.36"/>
        <n v="106297.11"/>
        <n v="27662.09"/>
        <n v="18686.220000000005"/>
        <n v="26535.21"/>
        <n v="101918.41"/>
        <n v="174801.93"/>
        <n v="18888.3"/>
        <n v="28200.899999999998"/>
        <n v="18687.34"/>
        <n v="94441.91"/>
        <n v="160218.45"/>
        <n v="32545.19"/>
        <n v="54721.880000000005"/>
        <n v="195652.69"/>
        <n v="241397.33"/>
        <n v="524317.09"/>
        <n v="31461.28"/>
        <n v="12560.14"/>
        <n v="34412.02"/>
        <n v="26816.88"/>
        <n v="105250.32"/>
        <n v="14974.94"/>
        <n v="25042.869999999995"/>
        <n v="23155.14"/>
        <n v="29362.98"/>
        <n v="92535.93"/>
        <n v="17457.3"/>
        <n v="14699.130000000001"/>
        <n v="25520.159999999996"/>
        <n v="71305.6"/>
        <n v="128982.19"/>
        <n v="36161.61"/>
        <n v="28042.089999999997"/>
        <n v="11989.279999999999"/>
        <n v="54874.18000000001"/>
        <n v="131067.16"/>
        <n v="22615.26"/>
        <n v="15054.400000000005"/>
        <n v="12697.759999999995"/>
        <n v="7647.520000000004"/>
        <n v="58014.94"/>
        <n v="22803.42"/>
        <n v="6888.720000000001"/>
        <n v="29692.14"/>
        <n v="19666.46"/>
        <n v="14908.480000000003"/>
        <n v="34091"/>
        <n v="9008.44"/>
        <n v="77674.38"/>
        <n v="28873.2"/>
        <n v="21842.210000000003"/>
        <n v="28504"/>
        <n v="6867.04"/>
        <n v="86086.45"/>
        <n v="8843.63"/>
        <n v="9433.860000000002"/>
        <n v="27833.24"/>
        <n v="35139.04"/>
        <n v="81249.77"/>
        <n v="11777.88"/>
        <n v="20199.110000000004"/>
        <n v="22569.04"/>
        <n v="47518.64"/>
        <n v="102064.67000000001"/>
        <n v="24511.46"/>
        <n v="41103.46"/>
        <n v="9629.34"/>
        <n v="80394.73"/>
        <n v="155638.99"/>
        <n v="29175.81"/>
        <n v="26267.78"/>
        <n v="16309.94"/>
        <n v="59694.61"/>
        <n v="131448.14"/>
        <n v="24705.23"/>
        <n v="39508.92"/>
        <n v="6236.68"/>
        <n v="56551.27"/>
        <n v="127002.09999999998"/>
        <n v="43450.14"/>
        <n v="41746.42"/>
        <n v="24477.11"/>
        <n v="70340.45"/>
        <n v="180014.12"/>
        <n v="20559.61"/>
        <n v="18065.989999999998"/>
        <n v="26452.79"/>
        <n v="62571.6"/>
        <n v="127649.98999999999"/>
        <n v="12984.86"/>
        <n v="23845.82"/>
        <n v="68345.64"/>
        <n v="105176.32"/>
        <n v="27010.239999999998"/>
        <n v="23070.54"/>
        <n v="4718"/>
        <n v="33527.15"/>
        <n v="88325.93"/>
        <n v="35506.36"/>
        <n v="46159.38"/>
        <n v="28035.5"/>
        <n v="33132.42"/>
        <n v="142833.65999999997"/>
        <n v="9376.22"/>
        <n v="12487.730000000001"/>
        <n v="19084.28"/>
        <n v="9097.2"/>
        <n v="50045.42999999999"/>
        <n v="23436.31"/>
        <n v="109986.07"/>
        <n v="133422.38"/>
        <n v="28134.59"/>
        <n v="67885.68"/>
        <n v="96020.26999999999"/>
        <n v="61742.18"/>
        <n v="74452.16"/>
        <n v="136194.34"/>
        <n v="63164.4"/>
        <n v="30825.159999999996"/>
        <n v="44472.44"/>
        <n v="65397.45"/>
        <n v="203859.45"/>
        <n v="47080.83"/>
        <n v="62363.66"/>
        <n v="83992.78"/>
        <n v="58194.61"/>
        <n v="251631.88"/>
        <n v="131265.21"/>
        <n v="58047.72"/>
        <n v="54329.53"/>
        <n v="91718.7"/>
        <n v="335361.16"/>
      </sharedItems>
    </cacheField>
    <cacheField name="投流消耗" numFmtId="0">
      <sharedItems containsSemiMixedTypes="false" containsString="false" containsNumber="true" minValue="4696.75" maxValue="241616.87" count="141">
        <n v="11361.08"/>
        <n v="11098.54"/>
        <n v="11784.33"/>
        <n v="29767.030000000002"/>
        <n v="64010.98000000001"/>
        <n v="17591.34"/>
        <n v="11044.85"/>
        <n v="16029.13"/>
        <n v="29959.949999999997"/>
        <n v="74625.26999999999"/>
        <n v="14585.93"/>
        <n v="13147.44"/>
        <n v="16491.88"/>
        <n v="49168.340000000004"/>
        <n v="93393.59"/>
        <n v="12064.490000000002"/>
        <n v="14897.439999999999"/>
        <n v="13641.83"/>
        <n v="52519.560000000005"/>
        <n v="93123.32"/>
        <n v="16416.54"/>
        <n v="20162.38"/>
        <n v="71619.59"/>
        <n v="133418.36000000002"/>
        <n v="241616.87"/>
        <n v="18218.23"/>
        <n v="9808.12"/>
        <n v="9804.5"/>
        <n v="16270.660000000002"/>
        <n v="54101.51"/>
        <n v="8726.1"/>
        <n v="14631.33"/>
        <n v="14552.92"/>
        <n v="20760.88"/>
        <n v="58671.229999999996"/>
        <n v="10675.52"/>
        <n v="9833.970000000001"/>
        <n v="16565.75"/>
        <n v="24212.02"/>
        <n v="61287.26000000001"/>
        <n v="17431.38"/>
        <n v="13874.55"/>
        <n v="9913.259999999998"/>
        <n v="23138.13"/>
        <n v="64357.32000000001"/>
        <n v="15802.780000000002"/>
        <n v="14931.750000000004"/>
        <n v="12301.38"/>
        <n v="11799.34"/>
        <n v="54835.25"/>
        <n v="18485.68"/>
        <n v="8005.74"/>
        <n v="26491.42"/>
        <n v="13610.66"/>
        <n v="12650.53"/>
        <n v="20352.22"/>
        <n v="8821.95"/>
        <n v="55435.36"/>
        <n v="14196"/>
        <n v="13758.400000000001"/>
        <n v="18833.78"/>
        <n v="6204.93"/>
        <n v="52993.11"/>
        <n v="6152.85"/>
        <n v="8648.07"/>
        <n v="19627.36"/>
        <n v="25878.47"/>
        <n v="60306.75"/>
        <n v="7352.49"/>
        <n v="14522.49"/>
        <n v="19879.39"/>
        <n v="22062.94"/>
        <n v="63817.31"/>
        <n v="14391.81"/>
        <n v="17793.25"/>
        <n v="9571.65"/>
        <n v="36207.450000000004"/>
        <n v="77964.16"/>
        <n v="15875.150000000001"/>
        <n v="14555.02"/>
        <n v="10549.59"/>
        <n v="25403.539999999994"/>
        <n v="66383.29999999999"/>
        <n v="16250.339999999998"/>
        <n v="20943.07"/>
        <n v="6357.7"/>
        <n v="28151.420000000002"/>
        <n v="71702.53"/>
        <n v="23727.83"/>
        <n v="19805.92"/>
        <n v="13422.16"/>
        <n v="27803.42"/>
        <n v="84759.33"/>
        <n v="10663.7"/>
        <n v="13046.580000000004"/>
        <n v="13441.52"/>
        <n v="23454.02"/>
        <n v="60605.82000000001"/>
        <n v="12411.429999999997"/>
        <n v="13412.93"/>
        <n v="29571.32"/>
        <n v="55395.67999999999"/>
        <n v="13412.069999999998"/>
        <n v="18021.21"/>
        <n v="4696.75"/>
        <n v="15460.639999999998"/>
        <n v="51590.67"/>
        <n v="14329.75"/>
        <n v="22934.22"/>
        <n v="19861.77"/>
        <n v="18818.89"/>
        <n v="75944.63"/>
        <n v="7400.200000000001"/>
        <n v="11375.990000000002"/>
        <n v="9808.42"/>
        <n v="7513.72"/>
        <n v="36098.33"/>
        <n v="12111.36"/>
        <n v="56295.75"/>
        <n v="68407.11"/>
        <n v="12253.73"/>
        <n v="32533.9"/>
        <n v="44787.630000000005"/>
        <n v="27488.2"/>
        <n v="31896.94"/>
        <n v="59385.14"/>
        <n v="26068.25"/>
        <n v="22588.12999999999"/>
        <n v="20951.989999999998"/>
        <n v="31944.799999999996"/>
        <n v="101553.16999999998"/>
        <n v="22461.79"/>
        <n v="22177.28"/>
        <n v="39832.91"/>
        <n v="29588.520000000004"/>
        <n v="114060.50000000001"/>
        <n v="66971.68"/>
        <n v="22761.699999999997"/>
        <n v="20791.71"/>
        <n v="33719.18"/>
        <n v="144244.27"/>
      </sharedItems>
    </cacheField>
    <cacheField name="ROI" numFmtId="0">
      <sharedItems containsSemiMixedTypes="false" containsString="false" containsNumber="true" minValue="0.6481311666584745" maxValue="3.5098189606813195" count="0"/>
    </cacheField>
    <cacheField name="单均" numFmtId="0">
      <sharedItems containsSemiMixedTypes="false" containsString="false" containsNumber="true" minValue="254.91733333333346" maxValue="733.6901176470589" count="0"/>
    </cacheField>
    <cacheField name="保单成本" numFmtId="0">
      <sharedItems containsSemiMixedTypes="false" containsString="false" containsNumber="true" minValue="183.25641304347826" maxValue="435.075" count="0"/>
    </cacheField>
    <cacheField name="T0退保率" numFmtId="0">
      <sharedItems containsSemiMixedTypes="false" containsString="false" containsNumber="true" minValue="0.051094890510948905" maxValue="0.38181818181818183" count="0"/>
    </cacheField>
    <cacheField name="助播1" numFmtId="0">
      <sharedItems containsBlank="true" count="0"/>
    </cacheField>
    <cacheField name="助播时长" numFmtId="0">
      <sharedItems containsString="false" containsBlank="true" containsNumber="true" minValue="1" maxValue="17" count="0"/>
    </cacheField>
  </cacheFields>
</pivotCacheDefinition>
</file>

<file path=xl/pivotCache/pivotCacheDefinition3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N$150" sheet="2026.8"/>
  </cacheSource>
  <cacheFields count="14">
    <cacheField name="日期" numFmtId="0">
      <sharedItems count="0"/>
    </cacheField>
    <cacheField name="主播" numFmtId="0">
      <sharedItems containsBlank="true" count="9">
        <s v="王笑荣"/>
        <s v="李佳怡"/>
        <s v="尹怡诺"/>
        <s v="刘梦"/>
        <m/>
        <s v="郭玉龙"/>
        <s v="何雅源"/>
        <s v="李凯丽"/>
        <s v="张欣颖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1" maxValue="18" count="16">
        <n v="5"/>
        <n v="4"/>
        <n v="3"/>
        <n v="2"/>
        <n v="14"/>
        <n v="9"/>
        <n v="15"/>
        <n v="1"/>
        <n v="8"/>
        <n v="18"/>
        <n v="17"/>
        <n v="16"/>
        <n v="3.75"/>
        <n v="15.75"/>
        <n v="12"/>
        <n v="16.5"/>
      </sharedItems>
    </cacheField>
    <cacheField name="保单数量" numFmtId="0">
      <sharedItems containsSemiMixedTypes="false" containsString="false" containsNumber="true" containsInteger="true" minValue="3" maxValue="745" count="0"/>
    </cacheField>
    <cacheField name="t0退保数量" numFmtId="0">
      <sharedItems containsString="false" containsBlank="true" containsNumber="true" containsInteger="true" minValue="0" maxValue="155" count="0"/>
    </cacheField>
    <cacheField name="年化保费" numFmtId="0">
      <sharedItems containsSemiMixedTypes="false" containsString="false" containsNumber="true" minValue="1537.92" maxValue="432514.33999999997" count="0"/>
    </cacheField>
    <cacheField name="投流消耗" numFmtId="0">
      <sharedItems containsSemiMixedTypes="false" containsString="false" containsNumber="true" minValue="1732.9" maxValue="195021.68" count="0"/>
    </cacheField>
    <cacheField name="ROI" numFmtId="0">
      <sharedItems containsSemiMixedTypes="false" containsString="false" containsNumber="true" minValue="0.6357574830620939" maxValue="2.923201555770813" count="0"/>
    </cacheField>
    <cacheField name="单均" numFmtId="0">
      <sharedItems containsSemiMixedTypes="false" containsString="false" containsNumber="true" minValue="307.584" maxValue="849.841714285714" count="0"/>
    </cacheField>
    <cacheField name="保单成本" numFmtId="0">
      <sharedItems containsSemiMixedTypes="false" containsString="false" containsNumber="true" minValue="203.00042857142856" maxValue="604.7825" count="0"/>
    </cacheField>
    <cacheField name="T0退保率" numFmtId="0">
      <sharedItems containsString="false" containsBlank="true" containsNumber="true" minValue="0" maxValue="0.42857142857142855" count="0"/>
    </cacheField>
    <cacheField name="助播1" numFmtId="0">
      <sharedItems containsBlank="true" count="0"/>
    </cacheField>
    <cacheField name="助播时长" numFmtId="0">
      <sharedItems containsString="false" containsBlank="true" containsNumber="true" containsInteger="true" minValue="1" maxValue="18" count="0"/>
    </cacheField>
  </cacheFields>
</pivotCacheDefinition>
</file>

<file path=xl/pivotCache/pivotCacheDefinition4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L$149" sheet="2026.7"/>
  </cacheSource>
  <cacheFields count="12">
    <cacheField name="日期" numFmtId="0">
      <sharedItems count="0"/>
    </cacheField>
    <cacheField name="主播" numFmtId="0">
      <sharedItems containsBlank="true" count="9">
        <s v="卢林琰"/>
        <s v="王笑荣"/>
        <m/>
        <s v="郭玉龙"/>
        <s v="何雅源"/>
        <s v="李佳怡"/>
        <s v="尹怡诺"/>
        <s v="刘昊冉"/>
        <s v="刘梦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0.5" maxValue="18" count="23">
        <n v="4"/>
        <n v="8"/>
        <n v="5"/>
        <n v="2"/>
        <n v="16"/>
        <n v="18"/>
        <n v="15"/>
        <n v="3"/>
        <n v="17"/>
        <n v="0.5"/>
        <n v="8.5"/>
        <n v="4.5"/>
        <n v="17.5"/>
        <n v="1"/>
        <n v="3.5"/>
        <n v="14.5"/>
        <n v="10"/>
        <n v="12"/>
        <n v="2.5"/>
        <n v="16.5"/>
        <n v="11"/>
        <n v="3.75"/>
        <n v="9"/>
      </sharedItems>
    </cacheField>
    <cacheField name="保单数量" numFmtId="0">
      <sharedItems containsSemiMixedTypes="false" containsString="false" containsNumber="true" containsInteger="true" minValue="2" maxValue="658" count="0"/>
    </cacheField>
    <cacheField name="年化保费" numFmtId="0">
      <sharedItems containsSemiMixedTypes="false" containsString="false" containsNumber="true" minValue="892.8000000000029" maxValue="437359.45999999996" count="148">
        <n v="128346.90999999999"/>
        <n v="101930.79"/>
        <n v="230277.69999999998"/>
        <n v="89823.91"/>
        <n v="46083.100000000006"/>
        <n v="90586.40999999997"/>
        <n v="14756.320000000007"/>
        <n v="241249.74"/>
        <n v="149257.78000000003"/>
        <n v="119148.77999999997"/>
        <n v="76129.93"/>
        <n v="92822.96999999997"/>
        <n v="437359.45999999996"/>
        <n v="198904.58000000002"/>
        <n v="78050.40999999997"/>
        <n v="52196.70000000001"/>
        <n v="43983.580000000016"/>
        <n v="373135.27"/>
        <n v="70229.89"/>
        <n v="14502.86"/>
        <n v="15746.89"/>
        <n v="2430.720000000001"/>
        <n v="102910.36"/>
        <n v="78457.52"/>
        <n v="65038.999999999985"/>
        <n v="36842.20000000001"/>
        <n v="25143.95000000001"/>
        <n v="205482.67"/>
        <n v="61464.03"/>
        <n v="38333.79000000001"/>
        <n v="10120.14"/>
        <n v="26805.439999999988"/>
        <n v="27728.23000000001"/>
        <n v="164451.63"/>
        <n v="51990.659999999996"/>
        <n v="56299.86000000001"/>
        <n v="13066.099999999991"/>
        <n v="18972.00999999998"/>
        <n v="36735.21000000002"/>
        <n v="177063.84"/>
        <n v="64320.36"/>
        <n v="30792.90999999999"/>
        <n v="6906.270000000019"/>
        <n v="16689.29999999999"/>
        <n v="118708.84"/>
        <n v="63753.99"/>
        <n v="59834.63999999999"/>
        <n v="29319.90000000001"/>
        <n v="37646.619999999995"/>
        <n v="190555.15"/>
        <n v="37656.31"/>
        <n v="69011.52"/>
        <n v="3801.2399999999907"/>
        <n v="110469.06999999999"/>
        <n v="67056.23"/>
        <n v="9914.809999999998"/>
        <n v="19177.42"/>
        <n v="27907.420000000013"/>
        <n v="124055.88"/>
        <n v="52215.82"/>
        <n v="46621.62"/>
        <n v="8693.26000000001"/>
        <n v="13432.589999999997"/>
        <n v="42989.69"/>
        <n v="84830.29000000001"/>
        <n v="248783.27000000002"/>
        <n v="94989.4"/>
        <n v="35352.54000000001"/>
        <n v="7098.619999999995"/>
        <n v="24195.820000000007"/>
        <n v="3480.970000000001"/>
        <n v="165117.35"/>
        <n v="87807.28"/>
        <n v="14364.660000000003"/>
        <n v="2445.720000000001"/>
        <n v="104617.66"/>
        <n v="18526.81"/>
        <n v="24764.389999999996"/>
        <n v="12575.970000000001"/>
        <n v="16081.900000000009"/>
        <n v="18670.51999999999"/>
        <n v="90619.59"/>
        <n v="30249.199999999997"/>
        <n v="13481.730000000003"/>
        <n v="6742.32"/>
        <n v="50473.25"/>
        <n v="23284.61"/>
        <n v="45107.87999999999"/>
        <n v="32277.76000000001"/>
        <n v="14422.36"/>
        <n v="115092.61"/>
        <n v="29994.96"/>
        <n v="18123.839999999997"/>
        <n v="27520.730000000003"/>
        <n v="14855.670000000013"/>
        <n v="15380.449999999997"/>
        <n v="105875.65000000001"/>
        <n v="14890"/>
        <n v="28238.200000000004"/>
        <n v="20796.619999999995"/>
        <n v="63924.82"/>
        <n v="54346.87"/>
        <n v="58223.469999999994"/>
        <n v="35961.54999999999"/>
        <n v="4224.640000000014"/>
        <n v="21042.72999999998"/>
        <n v="173799.25999999998"/>
        <n v="43386.02"/>
        <n v="16867.770000000004"/>
        <n v="5104.459999999999"/>
        <n v="65358.25"/>
        <n v="12422.800000000001"/>
        <n v="11402.449999999999"/>
        <n v="15919.220000000001"/>
        <n v="39744.47"/>
        <n v="28929.710000000003"/>
        <n v="8374.639999999996"/>
        <n v="5490.139999999999"/>
        <n v="20790.019999999997"/>
        <n v="63584.509999999995"/>
        <n v="21074.64"/>
        <n v="8680.34"/>
        <n v="9127.240000000002"/>
        <n v="38882.22"/>
        <n v="13691.4"/>
        <n v="33875.89"/>
        <n v="14612.36"/>
        <n v="8543.099999999999"/>
        <n v="7549.610000000001"/>
        <n v="78272.36"/>
        <n v="11299.32"/>
        <n v="33666.340000000004"/>
        <n v="2825.279999999999"/>
        <n v="14036.279999999999"/>
        <n v="61827.22"/>
        <n v="20038.9"/>
        <n v="9364.799999999996"/>
        <n v="17211.960000000006"/>
        <n v="46615.66"/>
        <n v="8239.1"/>
        <n v="19978.340000000004"/>
        <n v="24312.399999999994"/>
        <n v="23914.4"/>
        <n v="76444.23999999999"/>
        <n v="29992.59"/>
        <n v="15024.759999999998"/>
        <n v="892.8000000000029"/>
        <n v="45910.15"/>
      </sharedItems>
    </cacheField>
    <cacheField name="投流消耗" numFmtId="0">
      <sharedItems containsSemiMixedTypes="false" containsString="false" containsNumber="true" minValue="1603.36" maxValue="188137.76" count="148">
        <n v="51623.16"/>
        <n v="50515.47"/>
        <n v="102138.63"/>
        <n v="50725.9"/>
        <n v="26157.47"/>
        <n v="45878.13"/>
        <n v="9868.52"/>
        <n v="132630.02"/>
        <n v="64154.13"/>
        <n v="50957.48"/>
        <n v="29349.34"/>
        <n v="43676.81"/>
        <n v="188137.76"/>
        <n v="79211.09"/>
        <n v="36523.35"/>
        <n v="21035.7"/>
        <n v="29508.96"/>
        <n v="166279.1"/>
        <n v="33576.64"/>
        <n v="10346.17"/>
        <n v="10776.75"/>
        <n v="4183.22"/>
        <n v="58882.78"/>
        <n v="31611.29"/>
        <n v="31193.42"/>
        <n v="25468.27"/>
        <n v="13340.14"/>
        <n v="101613.12"/>
        <n v="31486.59"/>
        <n v="24337.47"/>
        <n v="9611.13"/>
        <n v="18894.48"/>
        <n v="15045.88"/>
        <n v="99375.55"/>
        <n v="22240.23"/>
        <n v="28838.43"/>
        <n v="8627.73"/>
        <n v="13405.75"/>
        <n v="15365.84"/>
        <n v="88477.98"/>
        <n v="29217.61"/>
        <n v="18778.13"/>
        <n v="4807.54"/>
        <n v="6444.56"/>
        <n v="59247.84"/>
        <n v="32330.93"/>
        <n v="31304.77"/>
        <n v="9684.86"/>
        <n v="18102.95"/>
        <n v="91423.51"/>
        <n v="15915.98"/>
        <n v="38783.58"/>
        <n v="1603.36"/>
        <n v="56302.92"/>
        <n v="30290.73"/>
        <n v="9619.44"/>
        <n v="17034.94"/>
        <n v="17303.29"/>
        <n v="74248.4"/>
        <n v="26200.62"/>
        <n v="21725.38"/>
        <n v="7328.65"/>
        <n v="6039.88"/>
        <n v="20301.76"/>
        <n v="35476.18"/>
        <n v="117072.47"/>
        <n v="47420.94"/>
        <n v="24157.95"/>
        <n v="6868.35"/>
        <n v="17240.75"/>
        <n v="2497.96"/>
        <n v="98185.95"/>
        <n v="44177.81"/>
        <n v="11669.4"/>
        <n v="2414.3"/>
        <n v="58261.51"/>
        <n v="13645.37"/>
        <n v="11810.54"/>
        <n v="5705.19"/>
        <n v="11390.85"/>
        <n v="13293.06"/>
        <n v="55845.01"/>
        <n v="14844.26"/>
        <n v="9874.85"/>
        <n v="6530.28"/>
        <n v="31249.39"/>
        <n v="14225.34"/>
        <n v="20253.77"/>
        <n v="17219.67"/>
        <n v="10467.83"/>
        <n v="62166.61"/>
        <n v="11743.14"/>
        <n v="10847.53"/>
        <n v="12961.12"/>
        <n v="8470.65"/>
        <n v="9570.73"/>
        <n v="53593.17"/>
        <n v="11869.65"/>
        <n v="13492.34"/>
        <n v="10228.93"/>
        <n v="35590.92"/>
        <n v="25624.39"/>
        <n v="29819.14"/>
        <n v="16903.17"/>
        <n v="5675.31"/>
        <n v="12939.17"/>
        <n v="90961.18"/>
        <n v="24619.55"/>
        <n v="14929.29"/>
        <n v="3162.83"/>
        <n v="42711.67"/>
        <n v="7680.33"/>
        <n v="10877.89"/>
        <n v="12341.19"/>
        <n v="30899.41"/>
        <n v="20258.02"/>
        <n v="6048.42"/>
        <n v="5028"/>
        <n v="11574.2"/>
        <n v="42908.64"/>
        <n v="14203.1"/>
        <n v="5404.45"/>
        <n v="5482.09"/>
        <n v="25089.64"/>
        <n v="6614.68"/>
        <n v="16002.949999999999"/>
        <n v="13099.58"/>
        <n v="8117.72"/>
        <n v="5335.37"/>
        <n v="49170.3"/>
        <n v="9780.990000000002"/>
        <n v="15830.65"/>
        <n v="5460.57"/>
        <n v="9199.279999999999"/>
        <n v="40271.49"/>
        <n v="11330.69"/>
        <n v="5292.570000000001"/>
        <n v="5610.3"/>
        <n v="22233.56"/>
        <n v="5963.7300000000005"/>
        <n v="12607.3"/>
        <n v="14387.760000000002"/>
        <n v="17515.73"/>
        <n v="50474.520000000004"/>
        <n v="16935.190000000002"/>
        <n v="15971.23"/>
        <n v="2654.58"/>
        <n v="35561"/>
      </sharedItems>
    </cacheField>
    <cacheField name="ROI" numFmtId="0">
      <sharedItems containsSemiMixedTypes="false" containsString="false" containsNumber="true" minValue="0.33632439029903144" maxValue="3.067921501523984" count="0"/>
    </cacheField>
    <cacheField name="单均" numFmtId="0">
      <sharedItems containsSemiMixedTypes="false" containsString="false" containsNumber="true" minValue="219.60559999999998" maxValue="1317.165" count="0"/>
    </cacheField>
    <cacheField name="保单成本" numFmtId="0">
      <sharedItems containsSemiMixedTypes="false" containsString="false" containsNumber="true" minValue="178.1511111111111" maxValue="1327.29" count="0"/>
    </cacheField>
    <cacheField name="助播1" numFmtId="0">
      <sharedItems containsBlank="true" count="0"/>
    </cacheField>
    <cacheField name="助播时长" numFmtId="0">
      <sharedItems containsString="false" containsBlank="true" containsNumber="true" minValue="1" maxValue="18" count="0"/>
    </cacheField>
  </cacheFields>
</pivotCacheDefinition>
</file>

<file path=xl/pivotCache/pivotCacheDefinition5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M$126" sheet="2026.6"/>
  </cacheSource>
  <cacheFields count="13">
    <cacheField name="日期" numFmtId="0">
      <sharedItems count="0"/>
    </cacheField>
    <cacheField name="主播" numFmtId="0">
      <sharedItems containsBlank="true" count="8">
        <s v="郭玉龙"/>
        <s v="王笑荣"/>
        <s v="宋博阳"/>
        <m/>
        <s v="冯羽馨"/>
        <s v="李佳怡"/>
        <s v="何雅源"/>
        <s v="卢林琰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1" maxValue="19.5" count="16">
        <n v="4"/>
        <n v="3"/>
        <n v="11"/>
        <n v="2"/>
        <n v="10"/>
        <n v="5"/>
        <n v="12"/>
        <n v="9"/>
        <n v="13"/>
        <n v="15"/>
        <n v="16"/>
        <n v="18"/>
        <n v="1.5"/>
        <n v="19.5"/>
        <n v="17"/>
        <n v="1"/>
      </sharedItems>
    </cacheField>
    <cacheField name="保单数量" numFmtId="0">
      <sharedItems containsSemiMixedTypes="false" containsString="false" containsNumber="true" containsInteger="true" minValue="8" maxValue="3068" count="94">
        <n v="62"/>
        <n v="68"/>
        <n v="18"/>
        <n v="148"/>
        <n v="32"/>
        <n v="40"/>
        <n v="11"/>
        <n v="83"/>
        <n v="100"/>
        <n v="99"/>
        <n v="20"/>
        <n v="219"/>
        <n v="76"/>
        <n v="56"/>
        <n v="132"/>
        <n v="51"/>
        <n v="95"/>
        <n v="42"/>
        <n v="8"/>
        <n v="145"/>
        <n v="48"/>
        <n v="53"/>
        <n v="101"/>
        <n v="82"/>
        <n v="38"/>
        <n v="120"/>
        <n v="78"/>
        <n v="22"/>
        <n v="140"/>
        <n v="26"/>
        <n v="39"/>
        <n v="28"/>
        <n v="93"/>
        <n v="65"/>
        <n v="124"/>
        <n v="125"/>
        <n v="55"/>
        <n v="10"/>
        <n v="133"/>
        <n v="31"/>
        <n v="81"/>
        <n v="30"/>
        <n v="19"/>
        <n v="67"/>
        <n v="49"/>
        <n v="45"/>
        <n v="43"/>
        <n v="104"/>
        <n v="23"/>
        <n v="33"/>
        <n v="25"/>
        <n v="114"/>
        <n v="17"/>
        <n v="245"/>
        <n v="273"/>
        <n v="197"/>
        <n v="61"/>
        <n v="531"/>
        <n v="80"/>
        <n v="52"/>
        <n v="174"/>
        <n v="66"/>
        <n v="137"/>
        <n v="34"/>
        <n v="41"/>
        <n v="15"/>
        <n v="123"/>
        <n v="21"/>
        <n v="27"/>
        <n v="37"/>
        <n v="63"/>
        <n v="220"/>
        <n v="243"/>
        <n v="525"/>
        <n v="989"/>
        <n v="448"/>
        <n v="2205"/>
        <n v="916"/>
        <n v="1223"/>
        <n v="341"/>
        <n v="490"/>
        <n v="98"/>
        <n v="3068"/>
        <n v="286"/>
        <n v="349"/>
        <n v="176"/>
        <n v="128"/>
        <n v="939"/>
        <n v="241"/>
        <n v="203"/>
        <n v="69"/>
        <n v="44"/>
        <n v="195"/>
        <n v="752"/>
      </sharedItems>
    </cacheField>
    <cacheField name="家庭单" numFmtId="0">
      <sharedItems containsString="false" containsBlank="true" containsNumber="true" containsInteger="true" minValue="0" maxValue="19" count="0"/>
    </cacheField>
    <cacheField name="年化保费" numFmtId="0">
      <sharedItems containsSemiMixedTypes="false" containsString="false" containsNumber="true" minValue="3069.3600000000006" maxValue="2.00040172e+06" count="125">
        <n v="28437.36"/>
        <n v="37646.02"/>
        <n v="8395.36"/>
        <n v="74478.74"/>
        <n v="18660.920000000002"/>
        <n v="22957.359999999997"/>
        <n v="7537.92"/>
        <n v="49156.2"/>
        <n v="54922.75"/>
        <n v="43575.92"/>
        <n v="11154.24"/>
        <n v="109652.91"/>
        <n v="51459.49"/>
        <n v="23744.950000000004"/>
        <n v="75204.44"/>
        <n v="13865.31"/>
        <n v="25787.78"/>
        <n v="39653.09"/>
        <n v="50862.229999999996"/>
        <n v="18790.809999999998"/>
        <n v="3069.3600000000006"/>
        <n v="72722.4"/>
        <n v="18893.28"/>
        <n v="29743.920000000006"/>
        <n v="48637.200000000004"/>
        <n v="44192.340000000004"/>
        <n v="13155.979999999996"/>
        <n v="57348.32"/>
        <n v="44204.86"/>
        <n v="18993.92"/>
        <n v="12864.23999999999"/>
        <n v="76063.01999999999"/>
        <n v="12444.48"/>
        <n v="18385.28"/>
        <n v="14239.960000000003"/>
        <n v="45069.72"/>
        <n v="39978.79"/>
        <n v="12930.660000000003"/>
        <n v="12064.68"/>
        <n v="64974.130000000005"/>
        <n v="30751.56"/>
        <n v="14495.749999999996"/>
        <n v="22554.87000000001"/>
        <n v="67802.18000000001"/>
        <n v="34350.97"/>
        <n v="25686.71"/>
        <n v="4769.8399999999965"/>
        <n v="64807.52"/>
        <n v="15715.52"/>
        <n v="17090.999999999996"/>
        <n v="8360.900000000001"/>
        <n v="41167.42"/>
        <n v="13590.35"/>
        <n v="6517.490000000002"/>
        <n v="9976.199999999997"/>
        <n v="30084.04"/>
        <n v="28092"/>
        <n v="16061.300000000003"/>
        <n v="22384.17"/>
        <n v="66537.47"/>
        <n v="19106.42"/>
        <n v="12760.380000000001"/>
        <n v="15257.260000000006"/>
        <n v="47124.060000000005"/>
        <n v="13529.58"/>
        <n v="17218.6"/>
        <n v="16969.770000000004"/>
        <n v="47717.950000000004"/>
        <n v="60137.79"/>
        <n v="65373.840000000004"/>
        <n v="10023.639999999985"/>
        <n v="135535.27"/>
        <n v="153472.49"/>
        <n v="130217.69"/>
        <n v="41891.69"/>
        <n v="325581.87"/>
        <n v="29561.68"/>
        <n v="46814.469999999994"/>
        <n v="41982.58"/>
        <n v="118358.73"/>
        <n v="39572.119999999995"/>
        <n v="18924.68"/>
        <n v="19447.590000000004"/>
        <n v="77944.39"/>
        <n v="21515.42"/>
        <n v="19809.03"/>
        <n v="15865.940000000002"/>
        <n v="57190.39"/>
        <n v="20842.32"/>
        <n v="30686.800000000003"/>
        <n v="20624.9"/>
        <n v="9118.939999999988"/>
        <n v="81272.95999999999"/>
        <n v="20694.38"/>
        <n v="7741.720000000001"/>
        <n v="12225.599999999995"/>
        <n v="28720.460000000006"/>
        <n v="69382.16"/>
        <n v="51607.31"/>
        <n v="20549.699999999997"/>
        <n v="21244.22"/>
        <n v="27438.040000000008"/>
        <n v="120839.27"/>
        <n v="141974.23"/>
        <n v="293103.49"/>
        <n v="618623.56"/>
        <n v="295274.6499999999"/>
        <n v="1.34897593e+06"/>
        <n v="527979.85"/>
        <n v="849928.66"/>
        <n v="230477.86999999988"/>
        <n v="323766.2700000002"/>
        <n v="68249.06999999983"/>
        <n v="2.00040172e+06"/>
        <n v="167307.91999999998"/>
        <n v="229165.33000000002"/>
        <n v="123719.45999999999"/>
        <n v="82863.59999999998"/>
        <n v="603056.3099999999"/>
        <n v="152211.99"/>
        <n v="141170.22999999998"/>
        <n v="38220"/>
        <n v="34975.55"/>
        <n v="108038.89000000001"/>
        <n v="474616.66"/>
      </sharedItems>
    </cacheField>
    <cacheField name="投流消耗" numFmtId="0">
      <sharedItems containsSemiMixedTypes="false" containsString="false" containsNumber="true" minValue="4023.3300000000004" maxValue="922533.9000000001" count="125">
        <n v="17329.32"/>
        <n v="22358.46"/>
        <n v="9096.08"/>
        <n v="48783.86"/>
        <n v="13021.850000000002"/>
        <n v="13626.16"/>
        <n v="4909.05"/>
        <n v="31557.06"/>
        <n v="28874.43"/>
        <n v="26740.100000000002"/>
        <n v="11092.64"/>
        <n v="66707.17"/>
        <n v="24750.78"/>
        <n v="17566.7"/>
        <n v="42317.479999999996"/>
        <n v="12471.48"/>
        <n v="13327.14"/>
        <n v="25798.62"/>
        <n v="21787.36"/>
        <n v="12957.380000000001"/>
        <n v="4023.3300000000004"/>
        <n v="38768.07000000001"/>
        <n v="14808.880000000001"/>
        <n v="16404.090000000004"/>
        <n v="31212.970000000005"/>
        <n v="22091.91"/>
        <n v="14319.990000000002"/>
        <n v="36411.9"/>
        <n v="20127.55"/>
        <n v="13009.85"/>
        <n v="7180.1900000000005"/>
        <n v="40317.590000000004"/>
        <n v="8762.5"/>
        <n v="11748.89"/>
        <n v="8588.970000000001"/>
        <n v="29100.36"/>
        <n v="15567.289999999999"/>
        <n v="13534.46"/>
        <n v="8507.720000000001"/>
        <n v="37609.47"/>
        <n v="14596.73"/>
        <n v="11609.5"/>
        <n v="13033.02"/>
        <n v="39239.25"/>
        <n v="17436.58"/>
        <n v="14805.12"/>
        <n v="6805.38"/>
        <n v="39047.08"/>
        <n v="9302.6"/>
        <n v="9096.5"/>
        <n v="8483.990000000002"/>
        <n v="26883.09"/>
        <n v="10181.82"/>
        <n v="7545.18"/>
        <n v="5189.46"/>
        <n v="22916.46"/>
        <n v="12415.619999999999"/>
        <n v="10358.279999999999"/>
        <n v="10221.66"/>
        <n v="32995.56"/>
        <n v="13077.23"/>
        <n v="11054.87"/>
        <n v="8714.04"/>
        <n v="32846.14"/>
        <n v="6254.48"/>
        <n v="11441.490000000002"/>
        <n v="8802.949999999999"/>
        <n v="26498.92"/>
        <n v="32005.2"/>
        <n v="28163.96"/>
        <n v="9427.230000000001"/>
        <n v="69596.39"/>
        <n v="70861.89"/>
        <n v="62488.25000000001"/>
        <n v="22861.36"/>
        <n v="156211.5"/>
        <n v="13101.84"/>
        <n v="20855.5"/>
        <n v="14376.45"/>
        <n v="48333.78999999999"/>
        <n v="18155.170000000002"/>
        <n v="12039.93"/>
        <n v="8142.15"/>
        <n v="38337.25"/>
        <n v="10230.68"/>
        <n v="15188.939999999999"/>
        <n v="7599.2"/>
        <n v="33018.82"/>
        <n v="9810.86"/>
        <n v="12013.75"/>
        <n v="8644.470000000001"/>
        <n v="6146.23"/>
        <n v="36615.31"/>
        <n v="9243.5"/>
        <n v="5886.74"/>
        <n v="7651.66"/>
        <n v="10703.92"/>
        <n v="33485.82"/>
        <n v="25231.57"/>
        <n v="13391.34"/>
        <n v="11270.669999999998"/>
        <n v="17339.79"/>
        <n v="67233.37"/>
        <n v="61798.88"/>
        <n v="149943.06"/>
        <n v="263713.94"/>
        <n v="133963.53"/>
        <n v="609419.41"/>
        <n v="256555.59000000003"/>
        <n v="368558.56000000006"/>
        <n v="93465.37"/>
        <n v="183283.22999999998"/>
        <n v="20671.15"/>
        <n v="922533.9000000001"/>
        <n v="95283.37000000001"/>
        <n v="87555.57"/>
        <n v="60037.810000000005"/>
        <n v="43510.39"/>
        <n v="286387.14"/>
        <n v="61917.61"/>
        <n v="61506.93"/>
        <n v="24825.980000000003"/>
        <n v="7255.0599999999995"/>
        <n v="57118.329999999994"/>
        <n v="212623.91"/>
      </sharedItems>
    </cacheField>
    <cacheField name="ROI" numFmtId="0">
      <sharedItems containsSemiMixedTypes="false" containsString="false" containsNumber="true" minValue="0.7008925291460575" maxValue="4.820849172853154" count="0"/>
    </cacheField>
    <cacheField name="单均" numFmtId="0">
      <sharedItems containsSemiMixedTypes="false" containsString="false" containsNumber="true" minValue="331.5553846153847" maxValue="1063.720740740741" count="0"/>
    </cacheField>
    <cacheField name="保单成本" numFmtId="0">
      <sharedItems containsSemiMixedTypes="false" containsString="false" containsNumber="true" minValue="164.88772727272726" maxValue="680.538" count="125">
        <n v="279.5051612903226"/>
        <n v="328.8008823529412"/>
        <n v="505.3377777777778"/>
        <n v="329.62067567567567"/>
        <n v="406.93281250000007"/>
        <n v="340.654"/>
        <n v="446.27727272727276"/>
        <n v="380.2055421686747"/>
        <n v="288.7443"/>
        <n v="270.10202020202024"/>
        <n v="554.632"/>
        <n v="304.5989497716895"/>
        <n v="325.66815789473685"/>
        <n v="313.69107142857143"/>
        <n v="320.5869696969697"/>
        <n v="389.73375"/>
        <n v="261.3164705882353"/>
        <n v="310.8267469879518"/>
        <n v="229.34063157894738"/>
        <n v="308.50904761904764"/>
        <n v="502.91625000000005"/>
        <n v="267.36600000000004"/>
        <n v="308.5183333333334"/>
        <n v="309.5111320754718"/>
        <n v="309.0393069306931"/>
        <n v="269.4135365853659"/>
        <n v="376.8418421052632"/>
        <n v="303.4325"/>
        <n v="258.0455128205128"/>
        <n v="325.24625000000003"/>
        <n v="326.37227272727273"/>
        <n v="287.98278571428574"/>
        <n v="337.0192307692308"/>
        <n v="301.2535897435897"/>
        <n v="306.7489285714286"/>
        <n v="312.9070967741936"/>
        <n v="239.49676923076922"/>
        <n v="347.0374358974359"/>
        <n v="425.3860000000001"/>
        <n v="303.30217741935485"/>
        <n v="275.40999999999997"/>
        <n v="362.796875"/>
        <n v="325.82550000000003"/>
        <n v="313.914"/>
        <n v="256.4202941176471"/>
        <n v="269.184"/>
        <n v="680.538"/>
        <n v="293.58706766917294"/>
        <n v="300.083870967742"/>
        <n v="284.265625"/>
        <n v="471.3327777777779"/>
        <n v="331.89"/>
        <n v="339.394"/>
        <n v="419.1766666666667"/>
        <n v="273.12947368421055"/>
        <n v="342.03671641791044"/>
        <n v="253.37999999999997"/>
        <n v="345.27599999999995"/>
        <n v="227.148"/>
        <n v="266.0932258064516"/>
        <n v="304.12162790697676"/>
        <n v="368.4956666666667"/>
        <n v="281.09806451612906"/>
        <n v="315.82826923076925"/>
        <n v="271.93391304347824"/>
        <n v="346.7118181818182"/>
        <n v="352.11799999999994"/>
        <n v="327.14716049382713"/>
        <n v="280.7473684210526"/>
        <n v="247.05228070175437"/>
        <n v="554.5429411764707"/>
        <n v="284.0668979591837"/>
        <n v="259.56736263736263"/>
        <n v="317.19923857868025"/>
        <n v="374.776393442623"/>
        <n v="294.183615819209"/>
        <n v="311.9485714285714"/>
        <n v="260.69375"/>
        <n v="276.47019230769234"/>
        <n v="277.78040229885056"/>
        <n v="275.0783333333334"/>
        <n v="308.7161538461539"/>
        <n v="254.4421875"/>
        <n v="279.8339416058394"/>
        <n v="300.9023529411765"/>
        <n v="361.64142857142855"/>
        <n v="330.4"/>
        <n v="333.52343434343436"/>
        <n v="297.2987878787879"/>
        <n v="293.0182926829268"/>
        <n v="254.24911764705885"/>
        <n v="409.7486666666666"/>
        <n v="297.68544715447155"/>
        <n v="308.1166666666667"/>
        <n v="346.27882352941174"/>
        <n v="364.3647619047619"/>
        <n v="396.4414814814815"/>
        <n v="352.48231578947366"/>
        <n v="303.99481927710843"/>
        <n v="361.9281081081081"/>
        <n v="304.6127027027027"/>
        <n v="275.2347619047619"/>
        <n v="305.60622727272727"/>
        <n v="254.31637860082304"/>
        <n v="285.60582857142856"/>
        <n v="266.6470576339737"/>
        <n v="299.02573660714285"/>
        <n v="276.3806848072563"/>
        <n v="280.08252183406114"/>
        <n v="301.356140637776"/>
        <n v="274.09199413489733"/>
        <n v="374.0474081632653"/>
        <n v="210.93010204081634"/>
        <n v="300.6955345501956"/>
        <n v="333.1586363636364"/>
        <n v="250.87555873925504"/>
        <n v="341.1239204545455"/>
        <n v="339.924921875"/>
        <n v="304.9916293929713"/>
        <n v="256.91954356846475"/>
        <n v="302.989802955665"/>
        <n v="359.79681159420295"/>
        <n v="164.88772727272726"/>
        <n v="292.9145128205128"/>
        <n v="282.74456117021276"/>
      </sharedItems>
    </cacheField>
    <cacheField name="助播1" numFmtId="0">
      <sharedItems containsBlank="true" count="0"/>
    </cacheField>
    <cacheField name="助播时长" numFmtId="0">
      <sharedItems containsString="false" containsBlank="true" containsNumber="true" minValue="1" maxValue="19.5" count="0"/>
    </cacheField>
  </cacheFields>
</pivotCacheDefinition>
</file>

<file path=xl/pivotCache/pivotCacheDefinition6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M$130" sheet="2026.5"/>
  </cacheSource>
  <cacheFields count="13">
    <cacheField name="日期" numFmtId="0">
      <sharedItems count="0"/>
    </cacheField>
    <cacheField name="主播" numFmtId="0">
      <sharedItems containsBlank="true" count="7">
        <s v="郭玉龙"/>
        <s v="李佳怡"/>
        <s v="冯羽馨"/>
        <s v="王笑荣"/>
        <m/>
        <s v="王茜"/>
        <s v="宋博阳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2" maxValue="16" count="16">
        <n v="5"/>
        <n v="3"/>
        <n v="16"/>
        <n v="4"/>
        <n v="14"/>
        <n v="8"/>
        <n v="7"/>
        <n v="11"/>
        <n v="12"/>
        <n v="2"/>
        <n v="10"/>
        <n v="9"/>
        <n v="2.5"/>
        <n v="11.5"/>
        <n v="15"/>
        <n v="3.5"/>
      </sharedItems>
    </cacheField>
    <cacheField name="保单数量" numFmtId="0">
      <sharedItems containsSemiMixedTypes="false" containsString="false" containsNumber="true" containsInteger="true" minValue="4" maxValue="396" count="0"/>
    </cacheField>
    <cacheField name="家庭单" numFmtId="0">
      <sharedItems containsSemiMixedTypes="false" containsString="false" containsNumber="true" containsInteger="true" minValue="0" maxValue="31" count="0"/>
    </cacheField>
    <cacheField name="年化保费" numFmtId="0">
      <sharedItems containsSemiMixedTypes="false" containsString="false" containsNumber="true" minValue="1456.58" maxValue="208223.29" count="129">
        <n v="122316.03000000001"/>
        <n v="40152.29999999999"/>
        <n v="26551.74999999997"/>
        <n v="19203.21000000002"/>
        <n v="208223.29"/>
        <n v="18522.9"/>
        <n v="55950.299999999996"/>
        <n v="46490.270000000004"/>
        <n v="120963.47"/>
        <n v="56323.27"/>
        <n v="50299.79"/>
        <n v="31932.66"/>
        <n v="16685.9"/>
        <n v="155241.62"/>
        <n v="19207.22"/>
        <n v="21594.02"/>
        <n v="15399.3"/>
        <n v="22804.15"/>
        <n v="79004.69"/>
        <n v="13121.96"/>
        <n v="12191.740000000002"/>
        <n v="18981.83"/>
        <n v="28605.46"/>
        <n v="72900.98999999999"/>
        <n v="8892.74"/>
        <n v="9742.36"/>
        <n v="16265.2"/>
        <n v="7630.059999999998"/>
        <n v="42530.36"/>
        <n v="3003.88"/>
        <n v="3102"/>
        <n v="6105.88"/>
        <n v="4433.2"/>
        <n v="7533.36"/>
        <n v="11966.56"/>
        <n v="92618.95"/>
        <n v="50787.05999999998"/>
        <n v="44683.119999999995"/>
        <n v="188089.12999999998"/>
        <n v="15253.34"/>
        <n v="31991.19"/>
        <n v="25398.9"/>
        <n v="72643.43"/>
        <n v="8575.74"/>
        <n v="130317.11000000002"/>
        <n v="53416.69999999998"/>
        <n v="192309.55"/>
        <n v="7494.24"/>
        <n v="15863.01"/>
        <n v="7550.18"/>
        <n v="30907.43"/>
        <n v="20086.28"/>
        <n v="27578.2"/>
        <n v="35440.83999999999"/>
        <n v="83105.31999999998"/>
        <n v="21433.86"/>
        <n v="30866.1"/>
        <n v="40308.560000000005"/>
        <n v="92608.52"/>
        <n v="4753.76"/>
        <n v="9877.92"/>
        <n v="2230.6800000000003"/>
        <n v="16862.36"/>
        <n v="12447.12"/>
        <n v="14230.25"/>
        <n v="13685.06"/>
        <n v="40362.43"/>
        <n v="18493.86"/>
        <n v="4852.12"/>
        <n v="23345.98"/>
        <n v="6412.36"/>
        <n v="8466.21"/>
        <n v="7333.32"/>
        <n v="22211.89"/>
        <n v="8811.17"/>
        <n v="4941.719999999999"/>
        <n v="1456.58"/>
        <n v="15209.47"/>
        <n v="11422.7"/>
        <n v="8575.939999999999"/>
        <n v="5313.02"/>
        <n v="25311.66"/>
        <n v="7522.02"/>
        <n v="1785.6000000000004"/>
        <n v="9307.62"/>
        <n v="8603.92"/>
        <n v="14590.72"/>
        <n v="4398.720000000001"/>
        <n v="27593.36"/>
        <n v="12155.28"/>
        <n v="18750.75"/>
        <n v="19657.14"/>
        <n v="50563.17"/>
        <n v="10555.68"/>
        <n v="26103.96"/>
        <n v="3533.9000000000015"/>
        <n v="39441.69"/>
        <n v="79635.23000000001"/>
        <n v="3371.16"/>
        <n v="24465.65"/>
        <n v="16873.82"/>
        <n v="3812.4"/>
        <n v="48523.030000000006"/>
        <n v="6593.88"/>
        <n v="2358.7599999999993"/>
        <n v="22541.34"/>
        <n v="31493.98"/>
        <n v="63129.22"/>
        <n v="32971.399999999994"/>
        <n v="3303.8600000000006"/>
        <n v="99404.48"/>
        <n v="71326.12000000001"/>
        <n v="65671.76"/>
        <n v="9342.48"/>
        <n v="146340.36000000002"/>
        <n v="47829.9"/>
        <n v="19607.54"/>
        <n v="7200.56"/>
        <n v="74638"/>
        <n v="31767.01"/>
        <n v="33022.59"/>
        <n v="26359.2"/>
        <n v="6969.25"/>
        <n v="98118.04999999999"/>
        <n v="24193.82"/>
        <n v="9316.14"/>
        <n v="34707.71"/>
        <n v="13300.47"/>
        <n v="81518.14"/>
      </sharedItems>
    </cacheField>
    <cacheField name="投流消耗" numFmtId="0">
      <sharedItems containsSemiMixedTypes="false" containsString="false" containsNumber="true" minValue="2361.52" maxValue="136324.81" count="129">
        <n v="62475.219999999994"/>
        <n v="22256.93"/>
        <n v="11005.93"/>
        <n v="13623.890000000001"/>
        <n v="109361.96999999999"/>
        <n v="10198.98"/>
        <n v="21134.789999999997"/>
        <n v="27952.66"/>
        <n v="59286.42999999999"/>
        <n v="27297.71"/>
        <n v="24917.92"/>
        <n v="18896.41"/>
        <n v="8915.23"/>
        <n v="80027.26999999999"/>
        <n v="14402.929999999998"/>
        <n v="12533.79"/>
        <n v="8873.08"/>
        <n v="8365.380000000001"/>
        <n v="44175.18000000001"/>
        <n v="8492.73"/>
        <n v="6684.14"/>
        <n v="13210.099999999999"/>
        <n v="9008.28"/>
        <n v="37395.25"/>
        <n v="7838.889999999999"/>
        <n v="9557.16"/>
        <n v="8466.84"/>
        <n v="4196.22"/>
        <n v="30059.11"/>
        <n v="6837.99"/>
        <n v="3336.96"/>
        <n v="10174.95"/>
        <n v="2569.0599999999995"/>
        <n v="6623.509999999999"/>
        <n v="9192.57"/>
        <n v="54080.66"/>
        <n v="38733.09"/>
        <n v="41870.32000000001"/>
        <n v="134684.07"/>
        <n v="12321.71"/>
        <n v="18812.73"/>
        <n v="18246.28"/>
        <n v="49380.72"/>
        <n v="15207.150000000001"/>
        <n v="79086.22"/>
        <n v="42031.44"/>
        <n v="136324.81"/>
        <n v="9397.94"/>
        <n v="10056.72"/>
        <n v="7271.009999999999"/>
        <n v="26725.67"/>
        <n v="15217.68"/>
        <n v="12819.82"/>
        <n v="20333.440000000002"/>
        <n v="48370.94"/>
        <n v="19880.64"/>
        <n v="23213.14"/>
        <n v="22544.299999999996"/>
        <n v="65638.07999999999"/>
        <n v="7012.380000000001"/>
        <n v="4400.62"/>
        <n v="3721.58"/>
        <n v="15134.58"/>
        <n v="10096.64"/>
        <n v="11138.440000000002"/>
        <n v="13908.220000000001"/>
        <n v="35143.3"/>
        <n v="13942.34"/>
        <n v="6310.549999999999"/>
        <n v="20252.89"/>
        <n v="5423.87"/>
        <n v="7607.3099999999995"/>
        <n v="5028.88"/>
        <n v="18060.06"/>
        <n v="7839.66"/>
        <n v="5070.620000000001"/>
        <n v="3019.62"/>
        <n v="15929.900000000001"/>
        <n v="8622.91"/>
        <n v="8334.150000000001"/>
        <n v="5045.389999999999"/>
        <n v="22002.45"/>
        <n v="6522.620000000001"/>
        <n v="2361.52"/>
        <n v="8884.140000000001"/>
        <n v="3668.1000000000004"/>
        <n v="11111.45"/>
        <n v="7156.790000000001"/>
        <n v="21936.340000000004"/>
        <n v="9098.5"/>
        <n v="14615.259999999998"/>
        <n v="17423.44"/>
        <n v="41137.2"/>
        <n v="7842.4800000000005"/>
        <n v="14904.989999999998"/>
        <n v="5870.2"/>
        <n v="48109.96"/>
        <n v="76727.63"/>
        <n v="4296.360000000001"/>
        <n v="13152.220000000001"/>
        <n v="17798.829999999998"/>
        <n v="2736.57"/>
        <n v="37983.98"/>
        <n v="7666.24"/>
        <n v="5262.6"/>
        <n v="12386.77"/>
        <n v="25315.61"/>
        <n v="30956.809999999998"/>
        <n v="25746.469999999998"/>
        <n v="6470.86"/>
        <n v="63174.14"/>
        <n v="32682.55"/>
        <n v="33134.240000000005"/>
        <n v="10814.76"/>
        <n v="76631.55"/>
        <n v="25297.16"/>
        <n v="14815.970000000001"/>
        <n v="9920.31"/>
        <n v="50033.44"/>
        <n v="15181.460000000001"/>
        <n v="18894.719999999998"/>
        <n v="17141.98"/>
        <n v="6267.76"/>
        <n v="57485.920000000006"/>
        <n v="12298.01"/>
        <n v="8749.369999999999"/>
        <n v="14033.36"/>
        <n v="9171.810000000001"/>
        <n v="44252.55"/>
      </sharedItems>
    </cacheField>
    <cacheField name="ROI" numFmtId="0">
      <sharedItems containsSemiMixedTypes="false" containsString="false" containsNumber="true" minValue="0.4392928331278636" maxValue="3.175463018467454" count="0"/>
    </cacheField>
    <cacheField name="单均" numFmtId="0">
      <sharedItems containsSemiMixedTypes="false" containsString="false" containsNumber="true" minValue="182.0725" maxValue="1728.1299999999999" count="0"/>
    </cacheField>
    <cacheField name="保单成本" numFmtId="0">
      <sharedItems containsSemiMixedTypes="false" containsString="false" containsNumber="true" minValue="187.6725" maxValue="878.4292857142857" count="0"/>
    </cacheField>
    <cacheField name="助播1" numFmtId="0">
      <sharedItems containsBlank="true" count="0"/>
    </cacheField>
    <cacheField name="助播时长" numFmtId="0">
      <sharedItems containsString="false" containsBlank="true" containsNumber="true" minValue="1" maxValue="16" count="0"/>
    </cacheField>
  </cacheFields>
</pivotCacheDefinition>
</file>

<file path=xl/pivotCache/pivotCacheDefinition7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M$78" sheet="2026.4"/>
  </cacheSource>
  <cacheFields count="13">
    <cacheField name="日期" numFmtId="0">
      <sharedItems count="0"/>
    </cacheField>
    <cacheField name="主播" numFmtId="0">
      <sharedItems containsBlank="true" count="6">
        <s v="冯羽馨"/>
        <s v="王茜"/>
        <m/>
        <s v="李佳怡"/>
        <s v="郭玉龙"/>
        <s v="王笑荣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2.5" maxValue="8" count="7">
        <n v="2.5"/>
        <n v="3"/>
        <n v="5.5"/>
        <n v="6"/>
        <n v="4"/>
        <n v="8"/>
        <n v="5"/>
      </sharedItems>
    </cacheField>
    <cacheField name="保单数量" numFmtId="0">
      <sharedItems containsSemiMixedTypes="false" containsString="false" containsNumber="true" containsInteger="true" minValue="5" maxValue="1073" count="58">
        <n v="15"/>
        <n v="30"/>
        <n v="7"/>
        <n v="14"/>
        <n v="21"/>
        <n v="28"/>
        <n v="5"/>
        <n v="33"/>
        <n v="24"/>
        <n v="13"/>
        <n v="37"/>
        <n v="31"/>
        <n v="35"/>
        <n v="66"/>
        <n v="74"/>
        <n v="34"/>
        <n v="108"/>
        <n v="76"/>
        <n v="32"/>
        <n v="80"/>
        <n v="114"/>
        <n v="16"/>
        <n v="39"/>
        <n v="55"/>
        <n v="42"/>
        <n v="12"/>
        <n v="54"/>
        <n v="86"/>
        <n v="43"/>
        <n v="129"/>
        <n v="52"/>
        <n v="38"/>
        <n v="70"/>
        <n v="79"/>
        <n v="75"/>
        <n v="154"/>
        <n v="40"/>
        <n v="68"/>
        <n v="6"/>
        <n v="18"/>
        <n v="19"/>
        <n v="61"/>
        <n v="17"/>
        <n v="20"/>
        <n v="96"/>
        <n v="116"/>
        <n v="110"/>
        <n v="180"/>
        <n v="147"/>
        <n v="199"/>
        <n v="242"/>
        <n v="285"/>
        <n v="50"/>
        <n v="49"/>
        <n v="99"/>
        <n v="972"/>
        <n v="101"/>
        <n v="1073"/>
      </sharedItems>
    </cacheField>
    <cacheField name="家庭单" numFmtId="0">
      <sharedItems containsSemiMixedTypes="false" containsString="false" containsNumber="true" containsInteger="true" minValue="0" maxValue="71" count="0"/>
    </cacheField>
    <cacheField name="年化保费" numFmtId="0">
      <sharedItems containsSemiMixedTypes="false" containsString="false" containsNumber="true" minValue="2854.32" maxValue="553372.82" count="76">
        <n v="9862.91"/>
        <n v="9725.220000000001"/>
        <n v="19588.13"/>
        <n v="2854.32"/>
        <n v="6186.16"/>
        <n v="9040.48"/>
        <n v="11948.72"/>
        <n v="4236"/>
        <n v="16184.72"/>
        <n v="7353.9"/>
        <n v="6289.49"/>
        <n v="13643.39"/>
        <n v="11210.34"/>
        <n v="15753.62"/>
        <n v="26963.96"/>
        <n v="37529.11"/>
        <n v="15423.21"/>
        <n v="52952.32"/>
        <n v="36881.76"/>
        <n v="14066.44"/>
        <n v="50948.200000000004"/>
        <n v="42203.32"/>
        <n v="16404.5"/>
        <n v="58607.82"/>
        <n v="6620.9"/>
        <n v="15486.39"/>
        <n v="22107.29"/>
        <n v="16564.81"/>
        <n v="5721.62"/>
        <n v="22286.43"/>
        <n v="13121.14"/>
        <n v="43439.43"/>
        <n v="24935.07"/>
        <n v="68374.5"/>
        <n v="25732.86"/>
        <n v="14720.78"/>
        <n v="40453.64"/>
        <n v="21127.33"/>
        <n v="19997.34"/>
        <n v="41124.67"/>
        <n v="37243.08"/>
        <n v="43274.23"/>
        <n v="80517.31"/>
        <n v="11040.04"/>
        <n v="15806.22"/>
        <n v="26846.260000000002"/>
        <n v="19992.46"/>
        <n v="19045.66"/>
        <n v="39038.119999999995"/>
        <n v="3102"/>
        <n v="7528.7"/>
        <n v="10630.7"/>
        <n v="23560.02"/>
        <n v="8105.46"/>
        <n v="31665.48"/>
        <n v="6596.42"/>
        <n v="5346.58"/>
        <n v="11943"/>
        <n v="10512.94"/>
        <n v="47832.47"/>
        <n v="58345.41"/>
        <n v="62933.96"/>
        <n v="37434.5"/>
        <n v="100368.45999999999"/>
        <n v="78394.25"/>
        <n v="21720.2"/>
        <n v="100114.45"/>
        <n v="132400.63"/>
        <n v="21948.5"/>
        <n v="154349.13"/>
        <n v="24778.3"/>
        <n v="28869.96"/>
        <n v="53648.259999999995"/>
        <n v="502326.56"/>
        <n v="51046.26"/>
        <n v="553372.82"/>
      </sharedItems>
    </cacheField>
    <cacheField name="投流消耗" numFmtId="0">
      <sharedItems containsSemiMixedTypes="false" containsString="false" containsNumber="true" minValue="2320.16" maxValue="277850.5" count="76">
        <n v="4287.03"/>
        <n v="5175.66"/>
        <n v="9462.689999999999"/>
        <n v="2705.73"/>
        <n v="4232.64"/>
        <n v="6938.370000000001"/>
        <n v="7586.3"/>
        <n v="2320.16"/>
        <n v="9906.46"/>
        <n v="11791.33"/>
        <n v="4701.24"/>
        <n v="16492.57"/>
        <n v="11415.52"/>
        <n v="8403.02"/>
        <n v="19818.54"/>
        <n v="25582.93"/>
        <n v="11186.84"/>
        <n v="36769.770000000004"/>
        <n v="23867.29"/>
        <n v="12539.4"/>
        <n v="36406.69"/>
        <n v="25494.46"/>
        <n v="14278.95"/>
        <n v="39773.41"/>
        <n v="7475.49"/>
        <n v="11236.39"/>
        <n v="18711.879999999997"/>
        <n v="16246.3"/>
        <n v="6560"/>
        <n v="22806.3"/>
        <n v="9390.41"/>
        <n v="25128.83"/>
        <n v="12239.09"/>
        <n v="37367.92"/>
        <n v="20852.01"/>
        <n v="9677.28"/>
        <n v="30529.29"/>
        <n v="13944.35"/>
        <n v="10097.26"/>
        <n v="24041.61"/>
        <n v="26935.39"/>
        <n v="23601.22"/>
        <n v="50536.61"/>
        <n v="10883.78"/>
        <n v="11664.76"/>
        <n v="22548.54"/>
        <n v="16837.22"/>
        <n v="9858.08"/>
        <n v="26695.300000000003"/>
        <n v="4684.04"/>
        <n v="4737.77"/>
        <n v="9421.810000000001"/>
        <n v="13846.93"/>
        <n v="5212.91"/>
        <n v="19059.84"/>
        <n v="2811.69"/>
        <n v="7233.83"/>
        <n v="10045.52"/>
        <n v="5023.02"/>
        <n v="26125.51"/>
        <n v="31148.53"/>
        <n v="29033.26"/>
        <n v="26196.62"/>
        <n v="55229.88"/>
        <n v="34657.03"/>
        <n v="20802.27"/>
        <n v="55459.3"/>
        <n v="61143.54"/>
        <n v="7623.46"/>
        <n v="68767"/>
        <n v="16386.54"/>
        <n v="11882.24"/>
        <n v="28268.78"/>
        <n v="238258.44"/>
        <n v="39592.06"/>
        <n v="277850.5"/>
      </sharedItems>
    </cacheField>
    <cacheField name="ROI" numFmtId="0">
      <sharedItems containsSemiMixedTypes="false" containsString="false" containsNumber="true" minValue="0.6236701033725627" maxValue="2.8790732816857436" count="0"/>
    </cacheField>
    <cacheField name="单均" numFmtId="0">
      <sharedItems containsSemiMixedTypes="false" containsString="false" containsNumber="true" minValue="306.41249999999997" maxValue="942.3457142857143" count="0"/>
    </cacheField>
    <cacheField name="保单成本" numFmtId="0">
      <sharedItems containsSemiMixedTypes="false" containsString="false" containsNumber="true" minValue="177.28976744186048" maxValue="780.6733333333333" count="0"/>
    </cacheField>
    <cacheField name="助播1" numFmtId="0">
      <sharedItems containsBlank="true" count="0"/>
    </cacheField>
    <cacheField name="助播时长" numFmtId="0">
      <sharedItems containsString="false" containsBlank="true" containsNumber="true" minValue="2" maxValue="8" count="0"/>
    </cacheField>
  </cacheFields>
</pivotCacheDefinition>
</file>

<file path=xl/pivotCache/pivotCacheDefinition8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L$149" sheet="2026.7"/>
  </cacheSource>
  <cacheFields count="12">
    <cacheField name="日期" numFmtId="0">
      <sharedItems count="0"/>
    </cacheField>
    <cacheField name="主播" numFmtId="0">
      <sharedItems containsBlank="true" count="9">
        <s v="卢林琰"/>
        <s v="王笑荣"/>
        <m/>
        <s v="郭玉龙"/>
        <s v="何雅源"/>
        <s v="李佳怡"/>
        <s v="尹怡诺"/>
        <s v="刘昊冉"/>
        <s v="刘梦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minValue="0.5" maxValue="18" count="23">
        <n v="4"/>
        <n v="8"/>
        <n v="5"/>
        <n v="2"/>
        <n v="16"/>
        <n v="18"/>
        <n v="15"/>
        <n v="3"/>
        <n v="17"/>
        <n v="0.5"/>
        <n v="8.5"/>
        <n v="4.5"/>
        <n v="17.5"/>
        <n v="1"/>
        <n v="3.5"/>
        <n v="14.5"/>
        <n v="10"/>
        <n v="12"/>
        <n v="2.5"/>
        <n v="16.5"/>
        <n v="11"/>
        <n v="3.75"/>
        <n v="9"/>
      </sharedItems>
    </cacheField>
    <cacheField name="保单数量" numFmtId="0">
      <sharedItems containsSemiMixedTypes="false" containsString="false" containsNumber="true" containsInteger="true" minValue="2" maxValue="658" count="105">
        <n v="184"/>
        <n v="161"/>
        <n v="345"/>
        <n v="177"/>
        <n v="70"/>
        <n v="168"/>
        <n v="27"/>
        <n v="442"/>
        <n v="215"/>
        <n v="160"/>
        <n v="109"/>
        <n v="174"/>
        <n v="658"/>
        <n v="304"/>
        <n v="131"/>
        <n v="91"/>
        <n v="84"/>
        <n v="610"/>
        <n v="104"/>
        <n v="21"/>
        <n v="7"/>
        <n v="159"/>
        <n v="120"/>
        <n v="95"/>
        <n v="40"/>
        <n v="339"/>
        <n v="111"/>
        <n v="83"/>
        <n v="26"/>
        <n v="51"/>
        <n v="47"/>
        <n v="318"/>
        <n v="92"/>
        <n v="25"/>
        <n v="34"/>
        <n v="56"/>
        <n v="291"/>
        <n v="103"/>
        <n v="53"/>
        <n v="9"/>
        <n v="191"/>
        <n v="117"/>
        <n v="94"/>
        <n v="43"/>
        <n v="57"/>
        <n v="311"/>
        <n v="60"/>
        <n v="124"/>
        <n v="193"/>
        <n v="110"/>
        <n v="55"/>
        <n v="50"/>
        <n v="236"/>
        <n v="87"/>
        <n v="15"/>
        <n v="22"/>
        <n v="71"/>
        <n v="143"/>
        <n v="441"/>
        <n v="72"/>
        <n v="16"/>
        <n v="45"/>
        <n v="8"/>
        <n v="300"/>
        <n v="133"/>
        <n v="29"/>
        <n v="169"/>
        <n v="31"/>
        <n v="42"/>
        <n v="38"/>
        <n v="163"/>
        <n v="48"/>
        <n v="14"/>
        <n v="89"/>
        <n v="39"/>
        <n v="74"/>
        <n v="63"/>
        <n v="207"/>
        <n v="30"/>
        <n v="52"/>
        <n v="33"/>
        <n v="49"/>
        <n v="112"/>
        <n v="58"/>
        <n v="37"/>
        <n v="294"/>
        <n v="81"/>
        <n v="13"/>
        <n v="125"/>
        <n v="24"/>
        <n v="88"/>
        <n v="59"/>
        <n v="35"/>
        <n v="19"/>
        <n v="54"/>
        <n v="156"/>
        <n v="5"/>
        <n v="23"/>
        <n v="119"/>
        <n v="12"/>
        <n v="73"/>
        <n v="17"/>
        <n v="153"/>
        <n v="2"/>
        <n v="98"/>
      </sharedItems>
    </cacheField>
    <cacheField name="年化保费" numFmtId="0">
      <sharedItems containsSemiMixedTypes="false" containsString="false" containsNumber="true" minValue="892.8000000000029" maxValue="437359.45999999996" count="148">
        <n v="128346.90999999999"/>
        <n v="101930.79"/>
        <n v="230277.69999999998"/>
        <n v="89823.91"/>
        <n v="46083.100000000006"/>
        <n v="90586.40999999997"/>
        <n v="14756.320000000007"/>
        <n v="241249.74"/>
        <n v="149257.78000000003"/>
        <n v="119148.77999999997"/>
        <n v="76129.93"/>
        <n v="92822.96999999997"/>
        <n v="437359.45999999996"/>
        <n v="198904.58000000002"/>
        <n v="78050.40999999997"/>
        <n v="52196.70000000001"/>
        <n v="43983.580000000016"/>
        <n v="373135.27"/>
        <n v="70229.89"/>
        <n v="14502.86"/>
        <n v="15746.89"/>
        <n v="2430.720000000001"/>
        <n v="102910.36"/>
        <n v="78457.52"/>
        <n v="65038.999999999985"/>
        <n v="36842.20000000001"/>
        <n v="25143.95000000001"/>
        <n v="205482.67"/>
        <n v="61464.03"/>
        <n v="38333.79000000001"/>
        <n v="10120.14"/>
        <n v="26805.439999999988"/>
        <n v="27728.23000000001"/>
        <n v="164451.63"/>
        <n v="51990.659999999996"/>
        <n v="56299.86000000001"/>
        <n v="13066.099999999991"/>
        <n v="18972.00999999998"/>
        <n v="36735.21000000002"/>
        <n v="177063.84"/>
        <n v="64320.36"/>
        <n v="30792.90999999999"/>
        <n v="6906.270000000019"/>
        <n v="16689.29999999999"/>
        <n v="118708.84"/>
        <n v="63753.99"/>
        <n v="59834.63999999999"/>
        <n v="29319.90000000001"/>
        <n v="37646.619999999995"/>
        <n v="190555.15"/>
        <n v="37656.31"/>
        <n v="69011.52"/>
        <n v="3801.2399999999907"/>
        <n v="110469.06999999999"/>
        <n v="67056.23"/>
        <n v="9914.809999999998"/>
        <n v="19177.42"/>
        <n v="27907.420000000013"/>
        <n v="124055.88"/>
        <n v="52215.82"/>
        <n v="46621.62"/>
        <n v="8693.26000000001"/>
        <n v="13432.589999999997"/>
        <n v="42989.69"/>
        <n v="84830.29000000001"/>
        <n v="248783.27000000002"/>
        <n v="94989.4"/>
        <n v="35352.54000000001"/>
        <n v="7098.619999999995"/>
        <n v="24195.820000000007"/>
        <n v="3480.970000000001"/>
        <n v="165117.35"/>
        <n v="87807.28"/>
        <n v="14364.660000000003"/>
        <n v="2445.720000000001"/>
        <n v="104617.66"/>
        <n v="18526.81"/>
        <n v="24764.389999999996"/>
        <n v="12575.970000000001"/>
        <n v="16081.900000000009"/>
        <n v="18670.51999999999"/>
        <n v="90619.59"/>
        <n v="30249.199999999997"/>
        <n v="13481.730000000003"/>
        <n v="6742.32"/>
        <n v="50473.25"/>
        <n v="23284.61"/>
        <n v="45107.87999999999"/>
        <n v="32277.76000000001"/>
        <n v="14422.36"/>
        <n v="115092.61"/>
        <n v="29994.96"/>
        <n v="18123.839999999997"/>
        <n v="27520.730000000003"/>
        <n v="14855.670000000013"/>
        <n v="15380.449999999997"/>
        <n v="105875.65000000001"/>
        <n v="14890"/>
        <n v="28238.200000000004"/>
        <n v="20796.619999999995"/>
        <n v="63924.82"/>
        <n v="54346.87"/>
        <n v="58223.469999999994"/>
        <n v="35961.54999999999"/>
        <n v="4224.640000000014"/>
        <n v="21042.72999999998"/>
        <n v="173799.25999999998"/>
        <n v="43386.02"/>
        <n v="16867.770000000004"/>
        <n v="5104.459999999999"/>
        <n v="65358.25"/>
        <n v="12422.800000000001"/>
        <n v="11402.449999999999"/>
        <n v="15919.220000000001"/>
        <n v="39744.47"/>
        <n v="28929.710000000003"/>
        <n v="8374.639999999996"/>
        <n v="5490.139999999999"/>
        <n v="20790.019999999997"/>
        <n v="63584.509999999995"/>
        <n v="21074.64"/>
        <n v="8680.34"/>
        <n v="9127.240000000002"/>
        <n v="38882.22"/>
        <n v="13691.4"/>
        <n v="33875.89"/>
        <n v="14612.36"/>
        <n v="8543.099999999999"/>
        <n v="7549.610000000001"/>
        <n v="78272.36"/>
        <n v="11299.32"/>
        <n v="33666.340000000004"/>
        <n v="2825.279999999999"/>
        <n v="14036.279999999999"/>
        <n v="61827.22"/>
        <n v="20038.9"/>
        <n v="9364.799999999996"/>
        <n v="17211.960000000006"/>
        <n v="46615.66"/>
        <n v="8239.1"/>
        <n v="19978.340000000004"/>
        <n v="24312.399999999994"/>
        <n v="23914.4"/>
        <n v="76444.23999999999"/>
        <n v="29992.59"/>
        <n v="15024.759999999998"/>
        <n v="892.8000000000029"/>
        <n v="45910.15"/>
      </sharedItems>
    </cacheField>
    <cacheField name="投流消耗" numFmtId="0">
      <sharedItems containsSemiMixedTypes="false" containsString="false" containsNumber="true" minValue="1603.36" maxValue="188137.76" count="148">
        <n v="51623.16"/>
        <n v="50515.47"/>
        <n v="102138.63"/>
        <n v="50725.9"/>
        <n v="26157.47"/>
        <n v="45878.13"/>
        <n v="9868.52"/>
        <n v="132630.02"/>
        <n v="64154.13"/>
        <n v="50957.48"/>
        <n v="29349.34"/>
        <n v="43676.81"/>
        <n v="188137.76"/>
        <n v="79211.09"/>
        <n v="36523.35"/>
        <n v="21035.7"/>
        <n v="29508.96"/>
        <n v="166279.1"/>
        <n v="33576.64"/>
        <n v="10346.17"/>
        <n v="10776.75"/>
        <n v="4183.22"/>
        <n v="58882.78"/>
        <n v="31611.29"/>
        <n v="31193.42"/>
        <n v="25468.27"/>
        <n v="13340.14"/>
        <n v="101613.12"/>
        <n v="31486.59"/>
        <n v="24337.47"/>
        <n v="9611.13"/>
        <n v="18894.48"/>
        <n v="15045.88"/>
        <n v="99375.55"/>
        <n v="22240.23"/>
        <n v="28838.43"/>
        <n v="8627.73"/>
        <n v="13405.75"/>
        <n v="15365.84"/>
        <n v="88477.98"/>
        <n v="29217.61"/>
        <n v="18778.13"/>
        <n v="4807.54"/>
        <n v="6444.56"/>
        <n v="59247.84"/>
        <n v="32330.93"/>
        <n v="31304.77"/>
        <n v="9684.86"/>
        <n v="18102.95"/>
        <n v="91423.51"/>
        <n v="15915.98"/>
        <n v="38783.58"/>
        <n v="1603.36"/>
        <n v="56302.92"/>
        <n v="30290.73"/>
        <n v="9619.44"/>
        <n v="17034.94"/>
        <n v="17303.29"/>
        <n v="74248.4"/>
        <n v="26200.62"/>
        <n v="21725.38"/>
        <n v="7328.65"/>
        <n v="6039.88"/>
        <n v="20301.76"/>
        <n v="35476.18"/>
        <n v="117072.47"/>
        <n v="47420.94"/>
        <n v="24157.95"/>
        <n v="6868.35"/>
        <n v="17240.75"/>
        <n v="2497.96"/>
        <n v="98185.95"/>
        <n v="44177.81"/>
        <n v="11669.4"/>
        <n v="2414.3"/>
        <n v="58261.51"/>
        <n v="13645.37"/>
        <n v="11810.54"/>
        <n v="5705.19"/>
        <n v="11390.85"/>
        <n v="13293.06"/>
        <n v="55845.01"/>
        <n v="14844.26"/>
        <n v="9874.85"/>
        <n v="6530.28"/>
        <n v="31249.39"/>
        <n v="14225.34"/>
        <n v="20253.77"/>
        <n v="17219.67"/>
        <n v="10467.83"/>
        <n v="62166.61"/>
        <n v="11743.14"/>
        <n v="10847.53"/>
        <n v="12961.12"/>
        <n v="8470.65"/>
        <n v="9570.73"/>
        <n v="53593.17"/>
        <n v="11869.65"/>
        <n v="13492.34"/>
        <n v="10228.93"/>
        <n v="35590.92"/>
        <n v="25624.39"/>
        <n v="29819.14"/>
        <n v="16903.17"/>
        <n v="5675.31"/>
        <n v="12939.17"/>
        <n v="90961.18"/>
        <n v="24619.55"/>
        <n v="14929.29"/>
        <n v="3162.83"/>
        <n v="42711.67"/>
        <n v="7680.33"/>
        <n v="10877.89"/>
        <n v="12341.19"/>
        <n v="30899.41"/>
        <n v="20258.02"/>
        <n v="6048.42"/>
        <n v="5028"/>
        <n v="11574.2"/>
        <n v="42908.64"/>
        <n v="14203.1"/>
        <n v="5404.45"/>
        <n v="5482.09"/>
        <n v="25089.64"/>
        <n v="6614.68"/>
        <n v="16002.949999999999"/>
        <n v="13099.58"/>
        <n v="8117.72"/>
        <n v="5335.37"/>
        <n v="49170.3"/>
        <n v="9780.990000000002"/>
        <n v="15830.65"/>
        <n v="5460.57"/>
        <n v="9199.279999999999"/>
        <n v="40271.49"/>
        <n v="11330.69"/>
        <n v="5292.570000000001"/>
        <n v="5610.3"/>
        <n v="22233.56"/>
        <n v="5963.7300000000005"/>
        <n v="12607.3"/>
        <n v="14387.760000000002"/>
        <n v="17515.73"/>
        <n v="50474.520000000004"/>
        <n v="16935.190000000002"/>
        <n v="15971.23"/>
        <n v="2654.58"/>
        <n v="35561"/>
      </sharedItems>
    </cacheField>
    <cacheField name="ROI" numFmtId="0">
      <sharedItems containsSemiMixedTypes="false" containsString="false" containsNumber="true" minValue="0.33632439029903144" maxValue="3.067921501523984" count="0"/>
    </cacheField>
    <cacheField name="单均" numFmtId="0">
      <sharedItems containsSemiMixedTypes="false" containsString="false" containsNumber="true" minValue="219.60559999999998" maxValue="1317.165" count="0"/>
    </cacheField>
    <cacheField name="保单成本" numFmtId="0">
      <sharedItems containsSemiMixedTypes="false" containsString="false" containsNumber="true" minValue="178.1511111111111" maxValue="1327.29" count="0"/>
    </cacheField>
    <cacheField name="助播1" numFmtId="0">
      <sharedItems containsBlank="true" count="0"/>
    </cacheField>
    <cacheField name="助播时长" numFmtId="0">
      <sharedItems containsString="false" containsBlank="true" containsNumber="true" minValue="1" maxValue="18" count="0"/>
    </cacheField>
  </cacheFields>
</pivotCacheDefinition>
</file>

<file path=xl/pivotCache/pivotCacheDefinition9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N$136" sheet="Sheet10"/>
  </cacheSource>
  <cacheFields count="14">
    <cacheField name="日期" numFmtId="0">
      <sharedItems count="0"/>
    </cacheField>
    <cacheField name="主播" numFmtId="0">
      <sharedItems containsBlank="true" count="9">
        <s v="王笑荣"/>
        <s v="李佳怡"/>
        <s v="尹怡诺"/>
        <s v="刘梦"/>
        <m/>
        <s v="郭玉龙"/>
        <s v="何雅源"/>
        <s v="李凯丽"/>
        <s v="张欣颖"/>
      </sharedItems>
    </cacheField>
    <cacheField name="直播时段" numFmtId="0">
      <sharedItems containsBlank="true" count="0"/>
    </cacheField>
    <cacheField name="直播时长" numFmtId="0">
      <sharedItems containsSemiMixedTypes="false" containsString="false" containsNumber="true" containsInteger="true" minValue="1" maxValue="18" count="12">
        <n v="5"/>
        <n v="4"/>
        <n v="3"/>
        <n v="2"/>
        <n v="14"/>
        <n v="9"/>
        <n v="15"/>
        <n v="1"/>
        <n v="8"/>
        <n v="18"/>
        <n v="17"/>
        <n v="16"/>
      </sharedItems>
    </cacheField>
    <cacheField name="保单数量" numFmtId="0">
      <sharedItems containsSemiMixedTypes="false" containsString="false" containsNumber="true" containsInteger="true" minValue="3" maxValue="745" count="104">
        <n v="31"/>
        <n v="69"/>
        <n v="44"/>
        <n v="12"/>
        <n v="156"/>
        <n v="19"/>
        <n v="8"/>
        <n v="5"/>
        <n v="32"/>
        <n v="18"/>
        <n v="27"/>
        <n v="26"/>
        <n v="103"/>
        <n v="25"/>
        <n v="13"/>
        <n v="3"/>
        <n v="41"/>
        <n v="14"/>
        <n v="96"/>
        <n v="82"/>
        <n v="9"/>
        <n v="187"/>
        <n v="39"/>
        <n v="50"/>
        <n v="149"/>
        <n v="269"/>
        <n v="113"/>
        <n v="63"/>
        <n v="20"/>
        <n v="120"/>
        <n v="316"/>
        <n v="153"/>
        <n v="59"/>
        <n v="55"/>
        <n v="100"/>
        <n v="367"/>
        <n v="163"/>
        <n v="81"/>
        <n v="72"/>
        <n v="78"/>
        <n v="394"/>
        <n v="29"/>
        <n v="135"/>
        <n v="65"/>
        <n v="255"/>
        <n v="127"/>
        <n v="93"/>
        <n v="105"/>
        <n v="116"/>
        <n v="441"/>
        <n v="219"/>
        <n v="119"/>
        <n v="88"/>
        <n v="526"/>
        <n v="134"/>
        <n v="114"/>
        <n v="71"/>
        <n v="73"/>
        <n v="392"/>
        <n v="295"/>
        <n v="94"/>
        <n v="142"/>
        <n v="214"/>
        <n v="745"/>
        <n v="64"/>
        <n v="62"/>
        <n v="30"/>
        <n v="229"/>
        <n v="42"/>
        <n v="252"/>
        <n v="121"/>
        <n v="51"/>
        <n v="35"/>
        <n v="321"/>
        <n v="85"/>
        <n v="16"/>
        <n v="37"/>
        <n v="197"/>
        <n v="23"/>
        <n v="182"/>
        <n v="66"/>
        <n v="298"/>
        <n v="46"/>
        <n v="36"/>
        <n v="99"/>
        <n v="302"/>
        <n v="80"/>
        <n v="49"/>
        <n v="243"/>
        <n v="60"/>
        <n v="177"/>
        <n v="70"/>
        <n v="61"/>
        <n v="244"/>
        <n v="74"/>
        <n v="77"/>
        <n v="58"/>
        <n v="258"/>
        <n v="24"/>
        <n v="97"/>
        <n v="217"/>
        <n v="202"/>
        <n v="57"/>
        <n v="440"/>
      </sharedItems>
    </cacheField>
    <cacheField name="t0退保数量" numFmtId="0">
      <sharedItems containsString="false" containsBlank="true" containsNumber="true" containsInteger="true" minValue="0" maxValue="155" count="0"/>
    </cacheField>
    <cacheField name="年化保费" numFmtId="0">
      <sharedItems containsSemiMixedTypes="false" containsString="false" containsNumber="true" minValue="1537.92" maxValue="432514.33999999997" count="135">
        <n v="17401.89"/>
        <n v="39177.76"/>
        <n v="29046.980000000003"/>
        <n v="5775.739999999991"/>
        <n v="91402.37"/>
        <n v="9560.16"/>
        <n v="4950.24"/>
        <n v="1537.92"/>
        <n v="16048.32"/>
        <n v="12882.84"/>
        <n v="13117.380000000001"/>
        <n v="13404.379999999997"/>
        <n v="16550.16000000001"/>
        <n v="55954.76000000001"/>
        <n v="13416.47"/>
        <n v="6950.879999999999"/>
        <n v="1994.1599999999999"/>
        <n v="22361.51"/>
        <n v="8908.56"/>
        <n v="5721.620000000001"/>
        <n v="14630.18"/>
        <n v="48569.18"/>
        <n v="55821.409999999996"/>
        <n v="4187.279999999999"/>
        <n v="108577.87"/>
        <n v="15207.88"/>
        <n v="23814.770000000004"/>
        <n v="18934.620000000003"/>
        <n v="74683.56999999998"/>
        <n v="132640.83999999997"/>
        <n v="56683.26"/>
        <n v="25717.139999999992"/>
        <n v="10280.660000000003"/>
        <n v="62974.48000000001"/>
        <n v="155655.54"/>
        <n v="90938.65"/>
        <n v="27322.960000000006"/>
        <n v="30858.199999999997"/>
        <n v="57124.619999999995"/>
        <n v="206244.43"/>
        <n v="100573.79"/>
        <n v="42809.96000000001"/>
        <n v="40667.29999999999"/>
        <n v="34358.24000000002"/>
        <n v="218409.29"/>
        <n v="17764.86"/>
        <n v="12350.839999999997"/>
        <n v="73581.04000000001"/>
        <n v="28528.309999999983"/>
        <n v="132225.05"/>
        <n v="70579.73"/>
        <n v="47679.240000000005"/>
        <n v="42887.06"/>
        <n v="59032.97"/>
        <n v="220179"/>
        <n v="120073.65"/>
        <n v="59228.020000000004"/>
        <n v="42115.75999999998"/>
        <n v="39398.73000000001"/>
        <n v="260816.15999999997"/>
        <n v="81048.69"/>
        <n v="79095.9"/>
        <n v="37896.17999999999"/>
        <n v="44095.19"/>
        <n v="242135.96"/>
        <n v="197594.41999999998"/>
        <n v="48231.02000000002"/>
        <n v="80199.43"/>
        <n v="106489.46999999997"/>
        <n v="432514.33999999997"/>
        <n v="42156.380000000005"/>
        <n v="32408.729999999996"/>
        <n v="25194.940000000002"/>
        <n v="10866.289999999994"/>
        <n v="110626.34"/>
        <n v="61885.07"/>
        <n v="20103.92"/>
        <n v="12833.2"/>
        <n v="33042.21"/>
        <n v="127864.4"/>
        <n v="56419.22"/>
        <n v="55785.42"/>
        <n v="23841.520000000004"/>
        <n v="29744.459999999992"/>
        <n v="165790.62"/>
        <n v="35325.43"/>
        <n v="7538.32"/>
        <n v="21912.440000000002"/>
        <n v="32218.199999999997"/>
        <n v="96994.39"/>
        <n v="18913.72"/>
        <n v="10080.260000000002"/>
        <n v="13012.18"/>
        <n v="49044.889999999985"/>
        <n v="91051.04999999999"/>
        <n v="38847.49"/>
        <n v="47875.27"/>
        <n v="34220"/>
        <n v="22717.90000000001"/>
        <n v="143660.66"/>
        <n v="66260.48"/>
        <n v="27655.600000000006"/>
        <n v="17283.259999999995"/>
        <n v="59744.40000000002"/>
        <n v="170943.74000000002"/>
        <n v="43044.13"/>
        <n v="23252.58000000001"/>
        <n v="22632.249999999985"/>
        <n v="38443.529999999984"/>
        <n v="127372.48999999998"/>
        <n v="37644.27"/>
        <n v="29838.629999999997"/>
        <n v="14238.5"/>
        <n v="16584.14"/>
        <n v="98305.54"/>
        <n v="38798.94"/>
        <n v="52659.84"/>
        <n v="24276.08"/>
        <n v="3075.9600000000064"/>
        <n v="118810.82"/>
        <n v="39418.36"/>
        <n v="28685.190000000002"/>
        <n v="38617"/>
        <n v="31070.279999999984"/>
        <n v="137790.83"/>
        <n v="10386.26"/>
        <n v="10575.000000000002"/>
        <n v="37669.67999999999"/>
        <n v="45869.930000000015"/>
        <n v="104500.87000000001"/>
        <n v="37178.8"/>
        <n v="56916.42999999999"/>
        <n v="97964.59000000001"/>
        <n v="24400.350000000006"/>
        <n v="216460.17"/>
      </sharedItems>
    </cacheField>
    <cacheField name="投流消耗" numFmtId="0">
      <sharedItems containsSemiMixedTypes="false" containsString="false" containsNumber="true" minValue="1732.9" maxValue="195021.68" count="135">
        <n v="8659.51"/>
        <n v="20312.210000000003"/>
        <n v="15551.89"/>
        <n v="4711.59"/>
        <n v="49235.2"/>
        <n v="6522.25"/>
        <n v="2792.71"/>
        <n v="1732.9"/>
        <n v="11047.859999999999"/>
        <n v="5657.7699999999995"/>
        <n v="8235.939999999999"/>
        <n v="9071.95"/>
        <n v="10815.43"/>
        <n v="33781.09"/>
        <n v="9925.3"/>
        <n v="4805.799999999999"/>
        <n v="1757.26"/>
        <n v="16488.36"/>
        <n v="4690.530000000001"/>
        <n v="2715.6099999999997"/>
        <n v="7406.14"/>
        <n v="29498.429999999997"/>
        <n v="28323.799999999996"/>
        <n v="3470.69"/>
        <n v="61292.92"/>
        <n v="13593.71"/>
        <n v="10814.7"/>
        <n v="17759.25"/>
        <n v="36495.98"/>
        <n v="78663.64000000001"/>
        <n v="40120.13"/>
        <n v="21179.829999999998"/>
        <n v="6520.499999999999"/>
        <n v="33074.23"/>
        <n v="100894.69"/>
        <n v="38811.08"/>
        <n v="17074.910000000003"/>
        <n v="17522.79"/>
        <n v="22877.22"/>
        <n v="96286"/>
        <n v="43386.88"/>
        <n v="22517.85"/>
        <n v="20368.980000000003"/>
        <n v="23141.309999999998"/>
        <n v="109415.01999999999"/>
        <n v="11884.86"/>
        <n v="10179.76"/>
        <n v="33765.21"/>
        <n v="19193.440000000002"/>
        <n v="75023.27"/>
        <n v="35197.33"/>
        <n v="32542.39"/>
        <n v="23197.33"/>
        <n v="30664.659999999996"/>
        <n v="121601.70999999999"/>
        <n v="56664.07"/>
        <n v="33983.12"/>
        <n v="26012.089999999997"/>
        <n v="27257.29"/>
        <n v="143916.57"/>
        <n v="36519.380000000005"/>
        <n v="27057.97"/>
        <n v="20562.75"/>
        <n v="20315.54"/>
        <n v="104455.64000000001"/>
        <n v="78932.05"/>
        <n v="30766.789999999997"/>
        <n v="36287.119999999995"/>
        <n v="49035.72"/>
        <n v="195021.68"/>
        <n v="24323.54"/>
        <n v="21382"/>
        <n v="19828.190000000002"/>
        <n v="6686.62"/>
        <n v="72220.35"/>
        <n v="34816.380000000005"/>
        <n v="14795.2"/>
        <n v="8760.64"/>
        <n v="13856.19"/>
        <n v="72228.41"/>
        <n v="34780.12"/>
        <n v="30583.36"/>
        <n v="18434.33"/>
        <n v="17661.29"/>
        <n v="101459.1"/>
        <n v="22925.57"/>
        <n v="7271.530000000001"/>
        <n v="8023.1"/>
        <n v="16513.37"/>
        <n v="54733.56999999999"/>
        <n v="10889.84"/>
        <n v="7109.110000000001"/>
        <n v="7896.380000000001"/>
        <n v="25250.510000000002"/>
        <n v="51145.840000000004"/>
        <n v="21055.75"/>
        <n v="23200.13"/>
        <n v="24335.27"/>
        <n v="11321.64"/>
        <n v="79912.79000000001"/>
        <n v="31676.949999999997"/>
        <n v="19769.07"/>
        <n v="11929.22"/>
        <n v="21581.61"/>
        <n v="84956.85"/>
        <n v="18417.72"/>
        <n v="13625.5"/>
        <n v="12369.42"/>
        <n v="20842.27"/>
        <n v="65254.91"/>
        <n v="17897.07"/>
        <n v="13967.490000000002"/>
        <n v="10706.14"/>
        <n v="11067.21"/>
        <n v="53637.909999999996"/>
        <n v="14210.029999999999"/>
        <n v="24707.55"/>
        <n v="22713.9"/>
        <n v="4838.26"/>
        <n v="66469.74"/>
        <n v="21126.96"/>
        <n v="13055.259999999998"/>
        <n v="22419.45"/>
        <n v="16317.280000000002"/>
        <n v="72918.95"/>
        <n v="8920.73"/>
        <n v="7295.849999999999"/>
        <n v="15842.16"/>
        <n v="24870.16"/>
        <n v="56928.899999999994"/>
        <n v="22416.71"/>
        <n v="26697.719999999998"/>
        <n v="49330.43"/>
        <n v="27881.6"/>
        <n v="126326.45999999999"/>
      </sharedItems>
    </cacheField>
    <cacheField name="ROI" numFmtId="0">
      <sharedItems containsSemiMixedTypes="false" containsString="false" containsNumber="true" minValue="0.6357574830620939" maxValue="2.923201555770813" count="0"/>
    </cacheField>
    <cacheField name="单均" numFmtId="0">
      <sharedItems containsSemiMixedTypes="false" containsString="false" containsNumber="true" minValue="307.584" maxValue="849.841714285714" count="0"/>
    </cacheField>
    <cacheField name="保单成本" numFmtId="0">
      <sharedItems containsSemiMixedTypes="false" containsString="false" containsNumber="true" minValue="203.00042857142856" maxValue="604.7825" count="0"/>
    </cacheField>
    <cacheField name="T0退保率" numFmtId="0">
      <sharedItems containsString="false" containsBlank="true" containsNumber="true" minValue="0" maxValue="0.42857142857142855" count="0"/>
    </cacheField>
    <cacheField name="助播1" numFmtId="0">
      <sharedItems containsBlank="true" count="0"/>
    </cacheField>
    <cacheField name="助播时长" numFmtId="0">
      <sharedItems containsString="false" containsBlank="true" containsNumber="true" containsInteger="true" minValue="1" maxValue="18" count="0"/>
    </cacheField>
  </cacheFields>
</pivotCacheDefinition>
</file>

<file path=xl/pivotTables/_rels/pivotTable1.xml.rels><?xml version="1.0" encoding="UTF-8" standalone="yes"?>
<Relationships xmlns="http://schemas.openxmlformats.org/package/2006/relationships"><Relationship Id="rId1" Target="../pivotCache/pivotCacheDefinition1.xml" Type="http://schemas.openxmlformats.org/officeDocument/2006/relationships/pivotCacheDefinition"></Relationship></Relationships>
</file>

<file path=xl/pivotTables/_rels/pivotTable2.xml.rels><?xml version="1.0" encoding="UTF-8" standalone="yes"?>
<Relationships xmlns="http://schemas.openxmlformats.org/package/2006/relationships"><Relationship Id="rId1" Target="../pivotCache/pivotCacheDefinition2.xml" Type="http://schemas.openxmlformats.org/officeDocument/2006/relationships/pivotCacheDefinition"></Relationship></Relationships>
</file>

<file path=xl/pivotTables/_rels/pivotTable3.xml.rels><?xml version="1.0" encoding="UTF-8" standalone="yes"?>
<Relationships xmlns="http://schemas.openxmlformats.org/package/2006/relationships"><Relationship Id="rId1" Target="../pivotCache/pivotCacheDefinition3.xml" Type="http://schemas.openxmlformats.org/officeDocument/2006/relationships/pivotCacheDefinition"></Relationship></Relationships>
</file>

<file path=xl/pivotTables/_rels/pivotTable4.xml.rels><?xml version="1.0" encoding="UTF-8" standalone="yes"?>
<Relationships xmlns="http://schemas.openxmlformats.org/package/2006/relationships"><Relationship Id="rId1" Target="../pivotCache/pivotCacheDefinition4.xml" Type="http://schemas.openxmlformats.org/officeDocument/2006/relationships/pivotCacheDefinition"></Relationship></Relationships>
</file>

<file path=xl/pivotTables/_rels/pivotTable5.xml.rels><?xml version="1.0" encoding="UTF-8" standalone="yes"?>
<Relationships xmlns="http://schemas.openxmlformats.org/package/2006/relationships"><Relationship Id="rId1" Target="../pivotCache/pivotCacheDefinition5.xml" Type="http://schemas.openxmlformats.org/officeDocument/2006/relationships/pivotCacheDefinition"></Relationship></Relationships>
</file>

<file path=xl/pivotTables/_rels/pivotTable6.xml.rels><?xml version="1.0" encoding="UTF-8" standalone="yes"?>
<Relationships xmlns="http://schemas.openxmlformats.org/package/2006/relationships"><Relationship Id="rId1" Target="../pivotCache/pivotCacheDefinition6.xml" Type="http://schemas.openxmlformats.org/officeDocument/2006/relationships/pivotCacheDefinition"></Relationship></Relationships>
</file>

<file path=xl/pivotTables/_rels/pivotTable7.xml.rels><?xml version="1.0" encoding="UTF-8" standalone="yes"?>
<Relationships xmlns="http://schemas.openxmlformats.org/package/2006/relationships"><Relationship Id="rId1" Target="../pivotCache/pivotCacheDefinition7.xml" Type="http://schemas.openxmlformats.org/officeDocument/2006/relationships/pivotCacheDefinition"></Relationship></Relationships>
</file>

<file path=xl/pivotTables/_rels/pivotTable8.xml.rels><?xml version="1.0" encoding="UTF-8" standalone="yes"?>
<Relationships xmlns="http://schemas.openxmlformats.org/package/2006/relationships"><Relationship Id="rId1" Target="../pivotCache/pivotCacheDefinition8.xml" Type="http://schemas.openxmlformats.org/officeDocument/2006/relationships/pivotCacheDefinition"></Relationship></Relationships>
</file>

<file path=xl/pivotTables/_rels/pivotTable9.xml.rels><?xml version="1.0" encoding="UTF-8" standalone="yes"?>
<Relationships xmlns="http://schemas.openxmlformats.org/package/2006/relationships"><Relationship Id="rId1" Target="../pivotCache/pivotCacheDefinition9.xml" Type="http://schemas.openxmlformats.org/officeDocument/2006/relationships/pivotCacheDefinition"></Relationship></Relationships>
</file>

<file path=xl/pivotTables/pivotTable1.xml><?xml version="1.0" encoding="utf-8"?>
<pivotTableDefinition xmlns="http://schemas.openxmlformats.org/spreadsheetml/2006/main" name="Pivot Table1" cacheId="1" dataCaption="值" updatedVersion="3" minRefreshableVersion="3" useAutoFormatting="true" createdVersion="3" compact="false" compactData="false">
  <location ref="$E$183:$I$191" firstHeaderRow="1" firstDataRow="1" firstDataCol="1"/>
  <pivotFields count="14">
    <pivotField compact="false" outline="false" showAll="false"/>
    <pivotField axis="axisRow" compact="false" outline="false" showAll="false">
      <items count="9">
        <item x="0"/>
        <item x="1"/>
        <item x="2"/>
        <item x="3"/>
        <item h="true" x="4"/>
        <item x="5"/>
        <item x="6"/>
        <item x="7"/>
        <item t="default"/>
      </items>
    </pivotField>
    <pivotField compact="false" outline="false" showAll="false"/>
    <pivotField dataField="true" compact="false" outline="false" showAll="false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true" compact="false" outline="false" showAll="false">
      <items count="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compact="false" outline="false" showAll="false"/>
    <pivotField dataField="true" compact="false" outline="false" showAll="false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dataField="true" compact="false" outline="false" showAll="false">
      <items count="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4">
    <dataField name="求和项:直播时长" fld="3" subtotal="sum"/>
    <dataField name="求和项:年化保费" fld="6" subtotal="sum"/>
    <dataField name="求和项:投流消耗" fld="7" subtotal="sum"/>
    <dataField name="求和项:保单数量" fld="4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 Table2" cacheId="2" dataCaption="值" updatedVersion="3" minRefreshableVersion="3" useAutoFormatting="true" createdVersion="3" compact="false" compactData="false">
  <location ref="$C$148:$F$156" firstHeaderRow="1" firstDataRow="1" firstDataCol="1"/>
  <pivotFields count="14">
    <pivotField compact="false" outline="false" showAll="false"/>
    <pivotField axis="axisRow" compact="false" outline="false" showAll="false">
      <items count="9">
        <item x="0"/>
        <item x="1"/>
        <item x="2"/>
        <item x="3"/>
        <item h="true" x="4"/>
        <item x="5"/>
        <item x="6"/>
        <item x="7"/>
        <item t="default"/>
      </items>
    </pivotField>
    <pivotField compact="false" outline="false" showAll="false"/>
    <pivotField dataField="true" compact="false" outline="false" showAll="false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compact="false" outline="false" showAll="false"/>
    <pivotField compact="false" outline="false" showAll="false"/>
    <pivotField dataField="true" compact="false" outline="false" showAll="false">
      <items count="1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dataField="true" compact="false" outline="false" showAll="false">
      <items count="14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直播时长" fld="3" subtotal="sum"/>
    <dataField name="求和项:年化保费" fld="6" subtotal="sum"/>
    <dataField name="求和项:投流消耗" fld="7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 Table3" cacheId="3" dataCaption="值" updatedVersion="3" minRefreshableVersion="3" useAutoFormatting="true" createdVersion="3" compact="false" compactData="false">
  <location ref="$C$155:$D$164" firstHeaderRow="1" firstDataRow="1" firstDataCol="1"/>
  <pivotFields count="14">
    <pivotField compact="false" outline="false" showAll="false"/>
    <pivotField axis="axisRow" compact="false" outline="false" showAll="false">
      <items count="10">
        <item x="0"/>
        <item x="1"/>
        <item x="2"/>
        <item x="3"/>
        <item h="true" x="4"/>
        <item x="5"/>
        <item x="6"/>
        <item x="7"/>
        <item x="8"/>
        <item t="default"/>
      </items>
    </pivotField>
    <pivotField compact="false" outline="false" showAll="false"/>
    <pivotField dataField="true" compact="false" outline="false" showAll="false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dataFields count="1">
    <dataField name="求和项:直播时长" fld="3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Pivot Table4" cacheId="4" dataCaption="值" updatedVersion="3" minRefreshableVersion="3" useAutoFormatting="true" createdVersion="3" compact="false" compactData="false">
  <location ref="$B$153:$E$162" firstHeaderRow="1" firstDataRow="1" firstDataCol="1"/>
  <pivotFields count="12">
    <pivotField compact="false" outline="false" showAll="false"/>
    <pivotField axis="axisRow" compact="false" outline="false" showAll="false">
      <items count="10">
        <item x="0"/>
        <item x="1"/>
        <item h="true" x="2"/>
        <item x="3"/>
        <item x="4"/>
        <item x="5"/>
        <item x="6"/>
        <item x="7"/>
        <item x="8"/>
        <item t="default"/>
      </items>
    </pivotField>
    <pivotField compact="false" outline="false" showAll="false"/>
    <pivotField dataField="true" compact="false" outline="false" showAll="false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compact="false" outline="false" showAll="false"/>
    <pivotField dataField="true" compact="false" outline="false" showAll="false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dataField="true" compact="false" outline="false" showAll="false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直播时长" fld="3" subtotal="sum"/>
    <dataField name="求和项:年化保费" fld="5" subtotal="sum"/>
    <dataField name="求和项:投流消耗" fld="6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name="Pivot Table5" cacheId="5" dataCaption="值" updatedVersion="3" minRefreshableVersion="3" useAutoFormatting="true" createdVersion="3" compact="false" compactData="false">
  <location ref="$D$129:$I$137" firstHeaderRow="1" firstDataRow="1" firstDataCol="1"/>
  <pivotFields count="13">
    <pivotField compact="false" outline="false" showAll="false"/>
    <pivotField axis="axisRow" compact="false" outline="false" showAll="false">
      <items count="9">
        <item x="0"/>
        <item x="1"/>
        <item x="2"/>
        <item h="true" x="3"/>
        <item x="4"/>
        <item x="5"/>
        <item x="6"/>
        <item x="7"/>
        <item t="default"/>
      </items>
    </pivotField>
    <pivotField compact="false" outline="false" showAll="false"/>
    <pivotField dataField="true" compact="false" outline="false" showAll="false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dataField="true" compact="false" outline="false" showAll="false">
      <items count="9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compact="false" outline="false" showAll="false"/>
    <pivotField dataField="true" compact="false" outline="false" showAll="false">
      <items count="1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dataField="true" compact="false" outline="false" showAll="false">
      <items count="1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compact="false" outline="false" showAll="false"/>
    <pivotField compact="false" outline="false" showAll="false"/>
    <pivotField dataField="true" compact="false" outline="false" showAll="false">
      <items count="1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t="default"/>
      </items>
    </pivotField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5">
    <dataField name="求和项:直播时长" fld="3" subtotal="sum"/>
    <dataField name="求和项:年化保费" fld="6" subtotal="sum"/>
    <dataField name="求和项:投流消耗" fld="7" subtotal="sum"/>
    <dataField name="求和项:保单数量" fld="4" subtotal="sum"/>
    <dataField name="求和项:保单成本" fld="10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name="Pivot Table6" cacheId="6" dataCaption="值" updatedVersion="3" minRefreshableVersion="3" useAutoFormatting="true" createdVersion="3" compact="false" compactData="false">
  <location ref="$C$135:$F$142" firstHeaderRow="1" firstDataRow="1" firstDataCol="1"/>
  <pivotFields count="13">
    <pivotField compact="false" outline="false" showAll="false"/>
    <pivotField axis="axisRow" compact="false" outline="false" showAll="false">
      <items count="8">
        <item x="0"/>
        <item x="1"/>
        <item x="2"/>
        <item x="3"/>
        <item h="true" x="4"/>
        <item x="5"/>
        <item x="6"/>
        <item t="default"/>
      </items>
    </pivotField>
    <pivotField compact="false" outline="false" showAll="false"/>
    <pivotField dataField="true" compact="false" outline="false" showAll="false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compact="false" outline="false" showAll="false"/>
    <pivotField compact="false" outline="false" showAll="false"/>
    <pivotField dataField="true" compact="false" outline="false" showAll="false">
      <items count="1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dataField="true" compact="false" outline="false" showAll="false">
      <items count="1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直播时长" fld="3" subtotal="sum"/>
    <dataField name="求和项:年化保费" fld="6" subtotal="sum"/>
    <dataField name="求和项:投流消耗" fld="7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name="Pivot Table7" cacheId="7" dataCaption="值" updatedVersion="3" minRefreshableVersion="3" useAutoFormatting="true" createdVersion="3" compact="false" compactData="false">
  <location ref="$D$88:$H$94" firstHeaderRow="1" firstDataRow="1" firstDataCol="1"/>
  <pivotFields count="13">
    <pivotField compact="false" outline="false" showAll="false"/>
    <pivotField axis="axisRow" compact="false" outline="false" showAll="false">
      <items count="7">
        <item x="0"/>
        <item x="1"/>
        <item h="true" x="2"/>
        <item x="3"/>
        <item x="4"/>
        <item x="5"/>
        <item t="default"/>
      </items>
    </pivotField>
    <pivotField compact="false" outline="false" showAll="false"/>
    <pivotField dataField="true" compact="false" outline="false" showAll="false">
      <items count="8">
        <item x="0"/>
        <item x="1"/>
        <item x="2"/>
        <item x="3"/>
        <item x="4"/>
        <item x="5"/>
        <item x="6"/>
        <item t="default"/>
      </items>
    </pivotField>
    <pivotField dataField="true" compact="false" outline="false" showAll="false">
      <items count="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t="default"/>
      </items>
    </pivotField>
    <pivotField compact="false" outline="false" showAll="false"/>
    <pivotField dataField="true" compact="false" outline="false" showAll="false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dataField="true" compact="false" outline="false" showAll="false">
      <items count="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4">
    <dataField name="求和项:直播时长" fld="3" subtotal="sum"/>
    <dataField name="求和项:年化保费" fld="6" subtotal="sum"/>
    <dataField name="求和项:投流消耗" fld="7" subtotal="sum"/>
    <dataField name="求和项:保单数量" fld="4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name="Pivot Table8" cacheId="8" dataCaption="值" updatedVersion="3" minRefreshableVersion="3" useAutoFormatting="true" createdVersion="3" compact="false" compactData="false">
  <location ref="$I$4:$M$13" firstHeaderRow="1" firstDataRow="1" firstDataCol="1"/>
  <pivotFields count="12">
    <pivotField compact="false" outline="false" showAll="false"/>
    <pivotField axis="axisRow" compact="false" outline="false" showAll="false">
      <items count="10">
        <item x="0"/>
        <item x="1"/>
        <item h="true" x="2"/>
        <item x="3"/>
        <item x="4"/>
        <item x="5"/>
        <item x="6"/>
        <item x="7"/>
        <item x="8"/>
        <item t="default"/>
      </items>
    </pivotField>
    <pivotField compact="false" outline="false" showAll="false"/>
    <pivotField dataField="true" compact="false" outline="false" showAll="false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dataField="true" compact="false" outline="false" showAll="false">
      <items count="10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t="default"/>
      </items>
    </pivotField>
    <pivotField dataField="true" compact="false" outline="false" showAll="false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dataField="true" compact="false" outline="false" showAll="false">
      <items count="1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4">
    <dataField name="求和项:直播时长" fld="3" subtotal="sum"/>
    <dataField name="求和项:保单数量" fld="4" subtotal="sum"/>
    <dataField name="求和项:年化保费" fld="5" subtotal="sum"/>
    <dataField name="求和项:投流消耗" fld="6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name="Pivot Table9" cacheId="9" dataCaption="值" updatedVersion="3" minRefreshableVersion="3" useAutoFormatting="true" createdVersion="3" compact="false" compactData="false">
  <location ref="$D$144:$H$154" firstHeaderRow="1" firstDataRow="1" firstDataCol="1"/>
  <pivotFields count="14">
    <pivotField compact="false" outline="false" showAll="false"/>
    <pivotField axis="axisRow" compact="false" outline="false" showAll="false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false" outline="false" showAll="false"/>
    <pivotField dataField="true" compact="false" outline="false" showAll="false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true" compact="false" outline="false" showAll="false">
      <items count="1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compact="false" outline="false" showAll="false"/>
    <pivotField dataField="true" compact="false" outline="false" showAll="false">
      <items count="1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  <pivotField dataField="true" compact="false" outline="false" showAll="false">
      <items count="1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4">
    <dataField name="求和项:直播时长" fld="3" subtotal="sum"/>
    <dataField name="求和项:保单数量" fld="4" subtotal="sum"/>
    <dataField name="求和项:年化保费" fld="6" subtotal="sum"/>
    <dataField name="求和项:投流消耗" fld="7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arget="../pivotTables/pivotTable1.xml" Type="http://schemas.openxmlformats.org/officeDocument/2006/relationships/pivotTable"></Relationship><Relationship Id="rId2" Target="../pivotTables/pivotTable2.xml" Type="http://schemas.openxmlformats.org/officeDocument/2006/relationships/pivotTable"></Relationship></Relationships>
</file>

<file path=xl/worksheets/_rels/sheet4.xml.rels><?xml version="1.0" encoding="UTF-8" standalone="yes"?>
<Relationships xmlns="http://schemas.openxmlformats.org/package/2006/relationships"><Relationship Id="rId1" Target="../pivotTables/pivotTable3.xml" Type="http://schemas.openxmlformats.org/officeDocument/2006/relationships/pivotTable"></Relationship></Relationships>
</file>

<file path=xl/worksheets/_rels/sheet5.xml.rels><?xml version="1.0" encoding="UTF-8" standalone="yes"?>
<Relationships xmlns="http://schemas.openxmlformats.org/package/2006/relationships"><Relationship Id="rId1" Target="../pivotTables/pivotTable4.xml" Type="http://schemas.openxmlformats.org/officeDocument/2006/relationships/pivotTable"></Relationship></Relationships>
</file>

<file path=xl/worksheets/_rels/sheet6.xml.rels><?xml version="1.0" encoding="UTF-8" standalone="yes"?>
<Relationships xmlns="http://schemas.openxmlformats.org/package/2006/relationships"><Relationship Id="rId1" Target="../pivotTables/pivotTable5.xml" Type="http://schemas.openxmlformats.org/officeDocument/2006/relationships/pivotTable"></Relationship></Relationships>
</file>

<file path=xl/worksheets/_rels/sheet7.xml.rels><?xml version="1.0" encoding="UTF-8" standalone="yes"?>
<Relationships xmlns="http://schemas.openxmlformats.org/package/2006/relationships"><Relationship Id="rId1" Target="../pivotTables/pivotTable6.xml" Type="http://schemas.openxmlformats.org/officeDocument/2006/relationships/pivotTable"></Relationship></Relationships>
</file>

<file path=xl/worksheets/_rels/sheet8.xml.rels><?xml version="1.0" encoding="UTF-8" standalone="yes"?>
<Relationships xmlns="http://schemas.openxmlformats.org/package/2006/relationships"><Relationship Id="rId1" Target="../pivotTables/pivotTable7.xml" Type="http://schemas.openxmlformats.org/officeDocument/2006/relationships/pivotTable"></Relationship></Relationships>
</file>

<file path=xl/worksheets/_rels/sheet9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pivotTables/pivotTable8.xml" Type="http://schemas.openxmlformats.org/officeDocument/2006/relationships/pivotTable"></Relationship></Relationships>
</file>

<file path=xl/worksheets/_rels/sheet10.xml.rels><?xml version="1.0" encoding="UTF-8" standalone="yes"?>
<Relationships xmlns="http://schemas.openxmlformats.org/package/2006/relationships"><Relationship Id="rId1" Target="../pivotTables/pivotTable9.xml" Type="http://schemas.openxmlformats.org/officeDocument/2006/relationships/pivotTabl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RowHeight="16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2" t="s">
        <v>6</v>
      </c>
      <c r="G1" s="1" t="s">
        <v>7</v>
      </c>
      <c r="H1" s="1" t="s">
        <v>8</v>
      </c>
      <c r="I1" s="3" t="s">
        <v>9</v>
      </c>
      <c r="J1" s="3" t="s">
        <v>10</v>
      </c>
      <c r="K1" s="3" t="s">
        <v>11</v>
      </c>
      <c r="L1" s="4" t="s">
        <v>12</v>
      </c>
      <c r="M1" s="3" t="s">
        <v>13</v>
      </c>
      <c r="N1" s="1" t="s">
        <v>14</v>
      </c>
    </row>
    <row r="2">
      <c r="A2" s="5" t="s">
        <v>15</v>
      </c>
      <c r="B2" s="6" t="s">
        <v>16</v>
      </c>
      <c r="C2" s="7" t="s">
        <v>17</v>
      </c>
      <c r="D2" s="7">
        <v>4</v>
      </c>
      <c r="E2" s="7">
        <v>81</v>
      </c>
      <c r="F2" s="8">
        <v>17</v>
      </c>
      <c r="G2" s="9">
        <v>50279.48</v>
      </c>
      <c r="H2" s="9">
        <v>15016.47</v>
      </c>
      <c r="I2" s="10">
        <f t="shared" ref="I2:I43" si="2">G2/H2</f>
      </c>
      <c r="J2" s="10">
        <f t="shared" ref="J2:J43" si="3">G2/E2</f>
      </c>
      <c r="K2" s="10">
        <f t="shared" ref="K2:K43" si="0">H2/E2</f>
      </c>
      <c r="L2" s="11">
        <f t="shared" ref="L2:L43" si="1">F2/E2</f>
      </c>
      <c r="M2" s="12"/>
      <c r="N2" s="7"/>
    </row>
    <row r="3">
      <c r="A3" s="5" t="s">
        <v>15</v>
      </c>
      <c r="B3" s="13" t="s">
        <v>18</v>
      </c>
      <c r="C3" s="7" t="s">
        <v>19</v>
      </c>
      <c r="D3" s="7">
        <v>4</v>
      </c>
      <c r="E3" s="7">
        <v>141</v>
      </c>
      <c r="F3" s="8">
        <v>12</v>
      </c>
      <c r="G3" s="9">
        <v>82514.17</v>
      </c>
      <c r="H3" s="9">
        <v>34748.68</v>
      </c>
      <c r="I3" s="10">
        <f t="shared" si="2"/>
      </c>
      <c r="J3" s="10">
        <f t="shared" si="3"/>
      </c>
      <c r="K3" s="10">
        <f t="shared" si="0"/>
      </c>
      <c r="L3" s="11">
        <f t="shared" si="1"/>
      </c>
      <c r="M3" s="12" t="s">
        <v>20</v>
      </c>
      <c r="N3" s="7">
        <v>8</v>
      </c>
    </row>
    <row r="4">
      <c r="A4" s="14" t="s">
        <v>15</v>
      </c>
      <c r="B4" s="15"/>
      <c r="C4" s="15"/>
      <c r="D4" s="15">
        <f>SUM(D2:D3)</f>
      </c>
      <c r="E4" s="15">
        <f>SUM(E2:E3)</f>
      </c>
      <c r="F4" s="16">
        <f>SUM(F2:F3)</f>
      </c>
      <c r="G4" s="15">
        <f>SUM(G2:G3)</f>
      </c>
      <c r="H4" s="15">
        <f>SUM(H2:H3)</f>
      </c>
      <c r="I4" s="17">
        <f t="shared" si="2"/>
      </c>
      <c r="J4" s="17">
        <f t="shared" si="3"/>
      </c>
      <c r="K4" s="17">
        <f t="shared" si="0"/>
      </c>
      <c r="L4" s="18">
        <f t="shared" si="1"/>
      </c>
      <c r="M4" s="17"/>
      <c r="N4" s="15">
        <f>SUM(N2:N3)</f>
      </c>
    </row>
    <row r="5">
      <c r="A5" s="5" t="s">
        <v>21</v>
      </c>
      <c r="B5" s="6" t="s">
        <v>18</v>
      </c>
      <c r="C5" s="7" t="s">
        <v>22</v>
      </c>
      <c r="D5" s="7">
        <v>4</v>
      </c>
      <c r="E5" s="7">
        <v>21</v>
      </c>
      <c r="F5" s="8">
        <v>4</v>
      </c>
      <c r="G5" s="9">
        <v>13107.26</v>
      </c>
      <c r="H5" s="9">
        <v>8382.77</v>
      </c>
      <c r="I5" s="10">
        <f t="shared" si="2"/>
      </c>
      <c r="J5" s="10">
        <f t="shared" si="3"/>
      </c>
      <c r="K5" s="10">
        <f t="shared" si="0"/>
      </c>
      <c r="L5" s="11">
        <f t="shared" si="1"/>
      </c>
      <c r="M5" s="12" t="s">
        <v>23</v>
      </c>
      <c r="N5" s="7">
        <v>8</v>
      </c>
    </row>
    <row customHeight="true" ht="16.071428571428573" r="6">
      <c r="A6" s="5" t="s">
        <v>21</v>
      </c>
      <c r="B6" s="6" t="s">
        <v>24</v>
      </c>
      <c r="C6" s="7" t="s">
        <v>25</v>
      </c>
      <c r="D6" s="7">
        <v>5</v>
      </c>
      <c r="E6" s="7">
        <v>41</v>
      </c>
      <c r="F6" s="8">
        <v>6</v>
      </c>
      <c r="G6" s="9">
        <v>20968.25</v>
      </c>
      <c r="H6" s="9">
        <v>12303.67</v>
      </c>
      <c r="I6" s="10">
        <f t="shared" si="2"/>
      </c>
      <c r="J6" s="10">
        <f t="shared" si="3"/>
      </c>
      <c r="K6" s="10">
        <f t="shared" si="0"/>
      </c>
      <c r="L6" s="11">
        <f t="shared" si="1"/>
      </c>
      <c r="M6" s="12"/>
      <c r="N6" s="7"/>
    </row>
    <row r="7">
      <c r="A7" s="5" t="s">
        <v>21</v>
      </c>
      <c r="B7" s="13" t="s">
        <v>18</v>
      </c>
      <c r="C7" s="7" t="s">
        <v>26</v>
      </c>
      <c r="D7" s="7">
        <v>3</v>
      </c>
      <c r="E7" s="7">
        <v>21</v>
      </c>
      <c r="F7" s="8">
        <v>3</v>
      </c>
      <c r="G7" s="9">
        <v>13162.68</v>
      </c>
      <c r="H7" s="9">
        <v>9150.009999999998</v>
      </c>
      <c r="I7" s="10">
        <f t="shared" si="2"/>
      </c>
      <c r="J7" s="10">
        <f t="shared" si="3"/>
      </c>
      <c r="K7" s="10">
        <f t="shared" si="0"/>
      </c>
      <c r="L7" s="11">
        <f t="shared" si="1"/>
      </c>
      <c r="M7" s="19" t="s">
        <v>27</v>
      </c>
      <c r="N7" s="19">
        <v>4</v>
      </c>
    </row>
    <row r="8">
      <c r="A8" s="14" t="s">
        <v>21</v>
      </c>
      <c r="B8" s="15"/>
      <c r="C8" s="15"/>
      <c r="D8" s="15">
        <f>SUM(D5:D7)</f>
      </c>
      <c r="E8" s="15">
        <f>SUM(E5:E7)</f>
      </c>
      <c r="F8" s="16">
        <f>SUM(F5:F7)</f>
      </c>
      <c r="G8" s="15">
        <f>SUM(G5:G7)</f>
      </c>
      <c r="H8" s="15">
        <f>SUM(H5:H7)</f>
      </c>
      <c r="I8" s="17">
        <f t="shared" si="2"/>
      </c>
      <c r="J8" s="17">
        <f t="shared" si="3"/>
      </c>
      <c r="K8" s="17">
        <f t="shared" si="0"/>
      </c>
      <c r="L8" s="18">
        <f t="shared" si="1"/>
      </c>
      <c r="M8" s="17"/>
      <c r="N8" s="15">
        <f>SUM(N5:N7)</f>
      </c>
    </row>
    <row r="9">
      <c r="A9" s="5" t="s">
        <v>28</v>
      </c>
      <c r="B9" s="6" t="s">
        <v>18</v>
      </c>
      <c r="C9" s="7" t="s">
        <v>22</v>
      </c>
      <c r="D9" s="7">
        <v>4</v>
      </c>
      <c r="E9" s="7">
        <v>19</v>
      </c>
      <c r="F9" s="8">
        <v>3</v>
      </c>
      <c r="G9" s="9">
        <v>5858.2</v>
      </c>
      <c r="H9" s="9">
        <v>9053.65</v>
      </c>
      <c r="I9" s="10">
        <f t="shared" si="2"/>
      </c>
      <c r="J9" s="10">
        <f t="shared" si="3"/>
      </c>
      <c r="K9" s="10">
        <f t="shared" si="0"/>
      </c>
      <c r="L9" s="11">
        <f t="shared" si="1"/>
      </c>
      <c r="M9" s="12" t="s">
        <v>29</v>
      </c>
      <c r="N9" s="7">
        <v>8</v>
      </c>
    </row>
    <row r="10">
      <c r="A10" s="5" t="s">
        <v>28</v>
      </c>
      <c r="B10" s="6" t="s">
        <v>30</v>
      </c>
      <c r="C10" s="7" t="s">
        <v>25</v>
      </c>
      <c r="D10" s="7">
        <v>5</v>
      </c>
      <c r="E10" s="7">
        <v>24</v>
      </c>
      <c r="F10" s="8">
        <v>6</v>
      </c>
      <c r="G10" s="9">
        <v>11593.380000000001</v>
      </c>
      <c r="H10" s="9">
        <v>9835.120000000003</v>
      </c>
      <c r="I10" s="10">
        <f t="shared" si="2"/>
      </c>
      <c r="J10" s="10">
        <f t="shared" si="3"/>
      </c>
      <c r="K10" s="10">
        <f t="shared" si="0"/>
      </c>
      <c r="L10" s="11">
        <f t="shared" si="1"/>
      </c>
      <c r="M10" s="12"/>
      <c r="N10" s="7"/>
    </row>
    <row customHeight="true" ht="16.071428571428573" r="11">
      <c r="A11" s="5" t="s">
        <v>28</v>
      </c>
      <c r="B11" s="13" t="s">
        <v>18</v>
      </c>
      <c r="C11" s="7" t="s">
        <v>26</v>
      </c>
      <c r="D11" s="7">
        <v>3</v>
      </c>
      <c r="E11" s="7">
        <v>34</v>
      </c>
      <c r="F11" s="8">
        <v>4</v>
      </c>
      <c r="G11" s="9">
        <v>19119</v>
      </c>
      <c r="H11" s="9">
        <v>9587.699999999997</v>
      </c>
      <c r="I11" s="10">
        <f t="shared" si="2"/>
      </c>
      <c r="J11" s="10">
        <f t="shared" si="3"/>
      </c>
      <c r="K11" s="10">
        <f t="shared" si="0"/>
      </c>
      <c r="L11" s="11">
        <f t="shared" si="1"/>
      </c>
      <c r="M11" s="19" t="s">
        <v>31</v>
      </c>
      <c r="N11" s="19">
        <v>8</v>
      </c>
    </row>
    <row r="12">
      <c r="A12" s="5" t="s">
        <v>28</v>
      </c>
      <c r="B12" s="20" t="s">
        <v>24</v>
      </c>
      <c r="C12" s="7" t="s">
        <v>19</v>
      </c>
      <c r="D12" s="7">
        <v>4</v>
      </c>
      <c r="E12" s="7">
        <v>83</v>
      </c>
      <c r="F12" s="8">
        <v>7</v>
      </c>
      <c r="G12" s="9">
        <v>46195.08000000001</v>
      </c>
      <c r="H12" s="9">
        <v>20364.550000000003</v>
      </c>
      <c r="I12" s="10">
        <f t="shared" si="2"/>
      </c>
      <c r="J12" s="10">
        <f t="shared" si="3"/>
      </c>
      <c r="K12" s="10">
        <f t="shared" si="0"/>
      </c>
      <c r="L12" s="11">
        <f t="shared" si="1"/>
      </c>
      <c r="M12" s="19"/>
      <c r="N12" s="19"/>
    </row>
    <row r="13">
      <c r="A13" s="14" t="s">
        <v>28</v>
      </c>
      <c r="B13" s="15"/>
      <c r="C13" s="15"/>
      <c r="D13" s="15">
        <f>SUM(D9:D12)</f>
      </c>
      <c r="E13" s="15">
        <f>SUM(E9:E12)</f>
      </c>
      <c r="F13" s="16">
        <f>SUM(F9:F12)</f>
      </c>
      <c r="G13" s="15">
        <f>SUM(G9:G12)</f>
      </c>
      <c r="H13" s="15">
        <f>SUM(H9:H12)</f>
      </c>
      <c r="I13" s="17">
        <f t="shared" si="2"/>
      </c>
      <c r="J13" s="17">
        <f t="shared" si="3"/>
      </c>
      <c r="K13" s="17">
        <f t="shared" si="0"/>
      </c>
      <c r="L13" s="21">
        <f t="shared" si="1"/>
      </c>
      <c r="M13" s="22"/>
      <c r="N13" s="23">
        <f>SUM(N9:N12)</f>
      </c>
    </row>
    <row r="14">
      <c r="A14" s="5" t="s">
        <v>32</v>
      </c>
      <c r="B14" s="6" t="s">
        <v>33</v>
      </c>
      <c r="C14" s="7" t="s">
        <v>34</v>
      </c>
      <c r="D14" s="7">
        <v>4</v>
      </c>
      <c r="E14" s="7">
        <v>68</v>
      </c>
      <c r="F14" s="8">
        <v>23</v>
      </c>
      <c r="G14" s="9">
        <v>38501.16</v>
      </c>
      <c r="H14" s="9">
        <v>20258.88</v>
      </c>
      <c r="I14" s="10">
        <f t="shared" si="2"/>
      </c>
      <c r="J14" s="10">
        <f t="shared" si="3"/>
      </c>
      <c r="K14" s="24">
        <f t="shared" si="0"/>
      </c>
      <c r="L14" s="11">
        <f t="shared" si="1"/>
      </c>
      <c r="M14" s="12" t="s">
        <v>35</v>
      </c>
      <c r="N14" s="7">
        <v>8</v>
      </c>
      <c r="O14" s="25"/>
    </row>
    <row r="15">
      <c r="A15" s="5" t="s">
        <v>32</v>
      </c>
      <c r="B15" s="6" t="s">
        <v>30</v>
      </c>
      <c r="C15" s="7" t="s">
        <v>36</v>
      </c>
      <c r="D15" s="7">
        <v>5</v>
      </c>
      <c r="E15" s="7">
        <v>52</v>
      </c>
      <c r="F15" s="8">
        <v>10</v>
      </c>
      <c r="G15" s="9">
        <v>32212.009999999995</v>
      </c>
      <c r="H15" s="9">
        <v>17535.089999999997</v>
      </c>
      <c r="I15" s="10">
        <f t="shared" si="2"/>
      </c>
      <c r="J15" s="10">
        <f t="shared" si="3"/>
      </c>
      <c r="K15" s="24">
        <f t="shared" si="0"/>
      </c>
      <c r="L15" s="11">
        <f t="shared" si="1"/>
      </c>
      <c r="M15" s="12" t="s">
        <v>37</v>
      </c>
      <c r="N15" s="7">
        <v>1</v>
      </c>
      <c r="O15" s="25"/>
    </row>
    <row r="16">
      <c r="A16" s="5" t="s">
        <v>32</v>
      </c>
      <c r="B16" s="13" t="s">
        <v>18</v>
      </c>
      <c r="C16" s="7" t="s">
        <v>17</v>
      </c>
      <c r="D16" s="7">
        <v>4</v>
      </c>
      <c r="E16" s="7">
        <v>57</v>
      </c>
      <c r="F16" s="8">
        <v>18</v>
      </c>
      <c r="G16" s="9">
        <v>32698.03</v>
      </c>
      <c r="H16" s="9">
        <v>17064.78</v>
      </c>
      <c r="I16" s="10">
        <f t="shared" si="2"/>
      </c>
      <c r="J16" s="10">
        <f t="shared" si="3"/>
      </c>
      <c r="K16" s="24">
        <f t="shared" si="0"/>
      </c>
      <c r="L16" s="11">
        <f t="shared" si="1"/>
      </c>
      <c r="M16" s="6" t="s">
        <v>38</v>
      </c>
      <c r="N16" s="6">
        <v>8</v>
      </c>
      <c r="O16" s="25"/>
    </row>
    <row r="17">
      <c r="A17" s="5" t="s">
        <v>32</v>
      </c>
      <c r="B17" s="20" t="s">
        <v>24</v>
      </c>
      <c r="C17" s="7" t="s">
        <v>19</v>
      </c>
      <c r="D17" s="7">
        <v>4</v>
      </c>
      <c r="E17" s="7">
        <v>101</v>
      </c>
      <c r="F17" s="8">
        <v>14</v>
      </c>
      <c r="G17" s="9">
        <v>53866.69000000002</v>
      </c>
      <c r="H17" s="9">
        <v>26644.18</v>
      </c>
      <c r="I17" s="10">
        <f t="shared" si="2"/>
      </c>
      <c r="J17" s="10">
        <f t="shared" si="3"/>
      </c>
      <c r="K17" s="24">
        <f t="shared" si="0"/>
      </c>
      <c r="L17" s="11">
        <f t="shared" si="1"/>
      </c>
      <c r="M17" s="6"/>
      <c r="N17" s="6"/>
      <c r="O17" s="25"/>
    </row>
    <row r="18">
      <c r="A18" s="14" t="s">
        <v>32</v>
      </c>
      <c r="B18" s="15"/>
      <c r="C18" s="15"/>
      <c r="D18" s="15">
        <f>SUM(D14:D17)</f>
      </c>
      <c r="E18" s="15">
        <f>SUM(E14:E17)</f>
      </c>
      <c r="F18" s="16">
        <f>SUM(F14:F17)</f>
      </c>
      <c r="G18" s="15">
        <f>SUM(G14:G17)</f>
      </c>
      <c r="H18" s="15">
        <f>SUM(H14:H17)</f>
      </c>
      <c r="I18" s="17">
        <f t="shared" si="2"/>
      </c>
      <c r="J18" s="17">
        <f t="shared" si="3"/>
      </c>
      <c r="K18" s="26">
        <f t="shared" si="0"/>
      </c>
      <c r="L18" s="18">
        <f t="shared" si="1"/>
      </c>
      <c r="M18" s="17"/>
      <c r="N18" s="15">
        <f>SUM(N14:N17)</f>
      </c>
      <c r="O18" s="25"/>
    </row>
    <row r="19">
      <c r="A19" s="5" t="s">
        <v>39</v>
      </c>
      <c r="B19" s="6" t="s">
        <v>33</v>
      </c>
      <c r="C19" s="7" t="s">
        <v>34</v>
      </c>
      <c r="D19" s="7">
        <v>4</v>
      </c>
      <c r="E19" s="7">
        <v>107</v>
      </c>
      <c r="F19" s="8">
        <v>22</v>
      </c>
      <c r="G19" s="9">
        <v>59395.84</v>
      </c>
      <c r="H19" s="9">
        <v>23510.31</v>
      </c>
      <c r="I19" s="10">
        <f t="shared" si="2"/>
      </c>
      <c r="J19" s="10">
        <f t="shared" si="3"/>
      </c>
      <c r="K19" s="24">
        <f t="shared" si="0"/>
      </c>
      <c r="L19" s="11">
        <f t="shared" si="1"/>
      </c>
      <c r="M19" s="12" t="s">
        <v>40</v>
      </c>
      <c r="N19" s="7">
        <v>9</v>
      </c>
    </row>
    <row r="20">
      <c r="A20" s="5" t="s">
        <v>39</v>
      </c>
      <c r="B20" s="6" t="s">
        <v>30</v>
      </c>
      <c r="C20" s="7" t="s">
        <v>36</v>
      </c>
      <c r="D20" s="7">
        <v>5</v>
      </c>
      <c r="E20" s="7">
        <v>151</v>
      </c>
      <c r="F20" s="8">
        <v>30</v>
      </c>
      <c r="G20" s="9">
        <v>80461.12</v>
      </c>
      <c r="H20" s="9">
        <v>41532.94</v>
      </c>
      <c r="I20" s="10">
        <f t="shared" si="2"/>
      </c>
      <c r="J20" s="10">
        <f t="shared" si="3"/>
      </c>
      <c r="K20" s="24">
        <f t="shared" si="0"/>
      </c>
      <c r="L20" s="11">
        <f t="shared" si="1"/>
      </c>
      <c r="M20" s="12"/>
      <c r="N20" s="7"/>
    </row>
    <row r="21">
      <c r="A21" s="5" t="s">
        <v>39</v>
      </c>
      <c r="B21" s="13" t="s">
        <v>18</v>
      </c>
      <c r="C21" s="7" t="s">
        <v>41</v>
      </c>
      <c r="D21" s="7">
        <v>5</v>
      </c>
      <c r="E21" s="7">
        <v>301</v>
      </c>
      <c r="F21" s="8">
        <v>54</v>
      </c>
      <c r="G21" s="9">
        <v>149674.37000000002</v>
      </c>
      <c r="H21" s="9">
        <v>76015.75</v>
      </c>
      <c r="I21" s="10">
        <f t="shared" si="2"/>
      </c>
      <c r="J21" s="10">
        <f t="shared" si="3"/>
      </c>
      <c r="K21" s="24">
        <f t="shared" si="0"/>
      </c>
      <c r="L21" s="11">
        <f t="shared" si="1"/>
      </c>
      <c r="M21" s="6" t="s">
        <v>38</v>
      </c>
      <c r="N21" s="6">
        <v>8</v>
      </c>
    </row>
    <row r="22">
      <c r="A22" s="5" t="s">
        <v>39</v>
      </c>
      <c r="B22" s="20" t="s">
        <v>24</v>
      </c>
      <c r="C22" s="7" t="s">
        <v>42</v>
      </c>
      <c r="D22" s="7">
        <v>3</v>
      </c>
      <c r="E22" s="7">
        <v>263</v>
      </c>
      <c r="F22" s="8">
        <v>38</v>
      </c>
      <c r="G22" s="9">
        <v>117262.66999999998</v>
      </c>
      <c r="H22" s="9">
        <v>81078.58</v>
      </c>
      <c r="I22" s="10">
        <f t="shared" si="2"/>
      </c>
      <c r="J22" s="10">
        <f t="shared" si="3"/>
      </c>
      <c r="K22" s="24">
        <f t="shared" si="0"/>
      </c>
      <c r="L22" s="11">
        <f t="shared" si="1"/>
      </c>
      <c r="M22" s="6"/>
      <c r="N22" s="6"/>
    </row>
    <row r="23">
      <c r="A23" s="14" t="s">
        <v>39</v>
      </c>
      <c r="B23" s="15"/>
      <c r="C23" s="15"/>
      <c r="D23" s="15">
        <f>SUM(D19:D22)</f>
      </c>
      <c r="E23" s="15">
        <f>SUM(E19:E22)</f>
      </c>
      <c r="F23" s="16">
        <f>SUM(F19:F22)</f>
      </c>
      <c r="G23" s="15">
        <f>SUM(G19:G22)</f>
      </c>
      <c r="H23" s="15">
        <f>SUM(H19:H22)</f>
      </c>
      <c r="I23" s="17">
        <f t="shared" si="2"/>
      </c>
      <c r="J23" s="17">
        <f t="shared" si="3"/>
      </c>
      <c r="K23" s="26">
        <f t="shared" si="0"/>
      </c>
      <c r="L23" s="18">
        <f t="shared" si="1"/>
      </c>
      <c r="M23" s="17"/>
      <c r="N23" s="15">
        <f>SUM(N19:N22)</f>
      </c>
    </row>
    <row r="24">
      <c r="A24" s="5" t="s">
        <v>43</v>
      </c>
      <c r="B24" s="6" t="s">
        <v>18</v>
      </c>
      <c r="C24" s="7" t="s">
        <v>34</v>
      </c>
      <c r="D24" s="7">
        <v>4</v>
      </c>
      <c r="E24" s="7">
        <v>77</v>
      </c>
      <c r="F24" s="8">
        <v>23</v>
      </c>
      <c r="G24" s="9">
        <v>33232.85</v>
      </c>
      <c r="H24" s="9">
        <v>19228.15</v>
      </c>
      <c r="I24" s="10">
        <f t="shared" si="2"/>
      </c>
      <c r="J24" s="10">
        <f t="shared" si="3"/>
      </c>
      <c r="K24" s="24">
        <f t="shared" si="0"/>
      </c>
      <c r="L24" s="11">
        <f t="shared" si="1"/>
      </c>
      <c r="M24" s="12" t="s">
        <v>44</v>
      </c>
      <c r="N24" s="7">
        <v>9</v>
      </c>
    </row>
    <row r="25">
      <c r="A25" s="5" t="s">
        <v>43</v>
      </c>
      <c r="B25" s="6" t="s">
        <v>33</v>
      </c>
      <c r="C25" s="7" t="s">
        <v>36</v>
      </c>
      <c r="D25" s="7">
        <v>5</v>
      </c>
      <c r="E25" s="7">
        <v>104</v>
      </c>
      <c r="F25" s="8">
        <v>29</v>
      </c>
      <c r="G25" s="9">
        <v>60324.14000000001</v>
      </c>
      <c r="H25" s="9">
        <v>28632.09</v>
      </c>
      <c r="I25" s="10">
        <f t="shared" si="2"/>
      </c>
      <c r="J25" s="10">
        <f t="shared" si="3"/>
      </c>
      <c r="K25" s="24">
        <f t="shared" si="0"/>
      </c>
      <c r="L25" s="11">
        <f t="shared" si="1"/>
      </c>
      <c r="M25" s="12"/>
      <c r="N25" s="7"/>
    </row>
    <row r="26">
      <c r="A26" s="5" t="s">
        <v>43</v>
      </c>
      <c r="B26" s="13" t="s">
        <v>30</v>
      </c>
      <c r="C26" s="7" t="s">
        <v>17</v>
      </c>
      <c r="D26" s="7">
        <v>4</v>
      </c>
      <c r="E26" s="7">
        <v>119</v>
      </c>
      <c r="F26" s="8">
        <v>18</v>
      </c>
      <c r="G26" s="9">
        <v>65706.99999999999</v>
      </c>
      <c r="H26" s="9">
        <v>30254.839999999997</v>
      </c>
      <c r="I26" s="10">
        <f t="shared" si="2"/>
      </c>
      <c r="J26" s="10">
        <f t="shared" si="3"/>
      </c>
      <c r="K26" s="24">
        <f t="shared" si="0"/>
      </c>
      <c r="L26" s="11">
        <f t="shared" si="1"/>
      </c>
      <c r="M26" s="6" t="s">
        <v>38</v>
      </c>
      <c r="N26" s="6">
        <v>9</v>
      </c>
    </row>
    <row r="27">
      <c r="A27" s="5" t="s">
        <v>43</v>
      </c>
      <c r="B27" s="20" t="s">
        <v>24</v>
      </c>
      <c r="C27" s="7" t="s">
        <v>45</v>
      </c>
      <c r="D27" s="7">
        <v>5</v>
      </c>
      <c r="E27" s="7">
        <v>178</v>
      </c>
      <c r="F27" s="8">
        <v>14</v>
      </c>
      <c r="G27" s="9">
        <v>88691.33000000002</v>
      </c>
      <c r="H27" s="9">
        <v>47062.659999999996</v>
      </c>
      <c r="I27" s="10">
        <f t="shared" si="2"/>
      </c>
      <c r="J27" s="10">
        <f t="shared" si="3"/>
      </c>
      <c r="K27" s="24">
        <f t="shared" si="0"/>
      </c>
      <c r="L27" s="11">
        <f t="shared" si="1"/>
      </c>
      <c r="M27" s="6"/>
      <c r="N27" s="6"/>
    </row>
    <row r="28">
      <c r="A28" s="14" t="s">
        <v>43</v>
      </c>
      <c r="B28" s="15"/>
      <c r="C28" s="15"/>
      <c r="D28" s="15">
        <f>SUM(D24:D27)</f>
      </c>
      <c r="E28" s="15">
        <f>SUM(E24:E27)</f>
      </c>
      <c r="F28" s="16">
        <f>SUM(F24:F27)</f>
      </c>
      <c r="G28" s="15">
        <f>SUM(G24:G27)</f>
      </c>
      <c r="H28" s="15">
        <f>SUM(H24:H27)</f>
      </c>
      <c r="I28" s="17">
        <f t="shared" si="2"/>
      </c>
      <c r="J28" s="17">
        <f t="shared" si="3"/>
      </c>
      <c r="K28" s="26">
        <f t="shared" si="0"/>
      </c>
      <c r="L28" s="18">
        <f t="shared" si="1"/>
      </c>
      <c r="M28" s="17"/>
      <c r="N28" s="15">
        <f>SUM(N24:N27)</f>
      </c>
    </row>
    <row r="29">
      <c r="A29" s="5" t="s">
        <v>46</v>
      </c>
      <c r="B29" s="6" t="s">
        <v>18</v>
      </c>
      <c r="C29" s="7" t="s">
        <v>34</v>
      </c>
      <c r="D29" s="7">
        <v>4</v>
      </c>
      <c r="E29" s="7">
        <v>126</v>
      </c>
      <c r="F29" s="8">
        <v>36</v>
      </c>
      <c r="G29" s="9">
        <v>57490.34</v>
      </c>
      <c r="H29" s="9">
        <v>35994.29</v>
      </c>
      <c r="I29" s="10">
        <f t="shared" si="2"/>
      </c>
      <c r="J29" s="10">
        <f t="shared" si="3"/>
      </c>
      <c r="K29" s="24">
        <f t="shared" si="0"/>
      </c>
      <c r="L29" s="11">
        <f t="shared" si="1"/>
      </c>
      <c r="M29" s="12" t="s">
        <v>44</v>
      </c>
      <c r="N29" s="7">
        <v>9</v>
      </c>
    </row>
    <row r="30">
      <c r="A30" s="5" t="s">
        <v>46</v>
      </c>
      <c r="B30" s="6" t="s">
        <v>30</v>
      </c>
      <c r="C30" s="7" t="s">
        <v>36</v>
      </c>
      <c r="D30" s="7">
        <v>5</v>
      </c>
      <c r="E30" s="7">
        <v>97</v>
      </c>
      <c r="F30" s="8">
        <v>14</v>
      </c>
      <c r="G30" s="9">
        <v>49481.880000000005</v>
      </c>
      <c r="H30" s="9">
        <v>24992.510000000006</v>
      </c>
      <c r="I30" s="10">
        <f t="shared" si="2"/>
      </c>
      <c r="J30" s="10">
        <f t="shared" si="3"/>
      </c>
      <c r="K30" s="24">
        <f t="shared" si="0"/>
      </c>
      <c r="L30" s="11">
        <f t="shared" si="1"/>
      </c>
      <c r="M30" s="12"/>
      <c r="N30" s="7"/>
    </row>
    <row r="31">
      <c r="A31" s="5" t="s">
        <v>46</v>
      </c>
      <c r="B31" s="13" t="s">
        <v>24</v>
      </c>
      <c r="C31" s="7" t="s">
        <v>17</v>
      </c>
      <c r="D31" s="7">
        <v>4</v>
      </c>
      <c r="E31" s="7">
        <v>81</v>
      </c>
      <c r="F31" s="8">
        <v>14</v>
      </c>
      <c r="G31" s="9">
        <v>38576.32000000001</v>
      </c>
      <c r="H31" s="9">
        <v>18166.540000000005</v>
      </c>
      <c r="I31" s="10">
        <f t="shared" si="2"/>
      </c>
      <c r="J31" s="10">
        <f t="shared" si="3"/>
      </c>
      <c r="K31" s="24">
        <f t="shared" si="0"/>
      </c>
      <c r="L31" s="11">
        <f t="shared" si="1"/>
      </c>
      <c r="M31" s="6" t="s">
        <v>38</v>
      </c>
      <c r="N31" s="6">
        <v>8</v>
      </c>
    </row>
    <row r="32">
      <c r="A32" s="5" t="s">
        <v>46</v>
      </c>
      <c r="B32" s="20" t="s">
        <v>33</v>
      </c>
      <c r="C32" s="7" t="s">
        <v>19</v>
      </c>
      <c r="D32" s="7">
        <v>4</v>
      </c>
      <c r="E32" s="7">
        <v>166</v>
      </c>
      <c r="F32" s="8">
        <v>18</v>
      </c>
      <c r="G32" s="9">
        <v>103845.11000000002</v>
      </c>
      <c r="H32" s="9">
        <v>40800.80999999998</v>
      </c>
      <c r="I32" s="10">
        <f t="shared" si="2"/>
      </c>
      <c r="J32" s="10">
        <f t="shared" si="3"/>
      </c>
      <c r="K32" s="24">
        <f t="shared" si="0"/>
      </c>
      <c r="L32" s="11">
        <f t="shared" si="1"/>
      </c>
      <c r="M32" s="6"/>
      <c r="N32" s="6"/>
    </row>
    <row r="33">
      <c r="A33" s="14" t="s">
        <v>46</v>
      </c>
      <c r="B33" s="15"/>
      <c r="C33" s="15"/>
      <c r="D33" s="15">
        <f>SUM(D29:D32)</f>
      </c>
      <c r="E33" s="15">
        <f>SUM(E29:E32)</f>
      </c>
      <c r="F33" s="16">
        <f>SUM(F29:F32)</f>
      </c>
      <c r="G33" s="15">
        <f>SUM(G29:G32)</f>
      </c>
      <c r="H33" s="15">
        <f>SUM(H29:H32)</f>
      </c>
      <c r="I33" s="17">
        <f t="shared" si="2"/>
      </c>
      <c r="J33" s="17">
        <f t="shared" si="3"/>
      </c>
      <c r="K33" s="26">
        <f t="shared" si="0"/>
      </c>
      <c r="L33" s="18">
        <f t="shared" si="1"/>
      </c>
      <c r="M33" s="17"/>
      <c r="N33" s="15">
        <f>SUM(N29:N32)</f>
      </c>
    </row>
    <row r="34">
      <c r="A34" s="5" t="s">
        <v>47</v>
      </c>
      <c r="B34" s="6" t="s">
        <v>30</v>
      </c>
      <c r="C34" s="7" t="s">
        <v>34</v>
      </c>
      <c r="D34" s="7">
        <v>4</v>
      </c>
      <c r="E34" s="7">
        <v>82</v>
      </c>
      <c r="F34" s="8">
        <v>24</v>
      </c>
      <c r="G34" s="9">
        <v>46799.78</v>
      </c>
      <c r="H34" s="9">
        <v>20203.95</v>
      </c>
      <c r="I34" s="10">
        <f t="shared" si="2"/>
      </c>
      <c r="J34" s="10">
        <f t="shared" si="3"/>
      </c>
      <c r="K34" s="24">
        <f t="shared" si="0"/>
      </c>
      <c r="L34" s="11">
        <f t="shared" si="1"/>
      </c>
      <c r="M34" s="12" t="s">
        <v>44</v>
      </c>
      <c r="N34" s="7">
        <v>9</v>
      </c>
    </row>
    <row r="35">
      <c r="A35" s="5" t="s">
        <v>47</v>
      </c>
      <c r="B35" s="6" t="s">
        <v>18</v>
      </c>
      <c r="C35" s="7" t="s">
        <v>36</v>
      </c>
      <c r="D35" s="7">
        <v>5</v>
      </c>
      <c r="E35" s="7">
        <v>90</v>
      </c>
      <c r="F35" s="8">
        <v>21</v>
      </c>
      <c r="G35" s="9">
        <v>45732.649999999994</v>
      </c>
      <c r="H35" s="9">
        <v>25858.91</v>
      </c>
      <c r="I35" s="10">
        <f t="shared" si="2"/>
      </c>
      <c r="J35" s="10">
        <f t="shared" si="3"/>
      </c>
      <c r="K35" s="24">
        <f t="shared" si="0"/>
      </c>
      <c r="L35" s="11">
        <f t="shared" si="1"/>
      </c>
      <c r="M35" s="12"/>
      <c r="N35" s="7"/>
    </row>
    <row r="36">
      <c r="A36" s="5" t="s">
        <v>47</v>
      </c>
      <c r="B36" s="13" t="s">
        <v>24</v>
      </c>
      <c r="C36" s="7" t="s">
        <v>17</v>
      </c>
      <c r="D36" s="7">
        <v>4</v>
      </c>
      <c r="E36" s="7">
        <v>82</v>
      </c>
      <c r="F36" s="8">
        <v>21</v>
      </c>
      <c r="G36" s="9">
        <v>42095.84</v>
      </c>
      <c r="H36" s="9">
        <v>25579.230000000003</v>
      </c>
      <c r="I36" s="10">
        <f t="shared" si="2"/>
      </c>
      <c r="J36" s="10">
        <f t="shared" si="3"/>
      </c>
      <c r="K36" s="24">
        <f t="shared" si="0"/>
      </c>
      <c r="L36" s="11">
        <f t="shared" si="1"/>
      </c>
      <c r="M36" s="6" t="s">
        <v>38</v>
      </c>
      <c r="N36" s="6">
        <v>9</v>
      </c>
    </row>
    <row r="37">
      <c r="A37" s="5" t="s">
        <v>47</v>
      </c>
      <c r="B37" s="20" t="s">
        <v>33</v>
      </c>
      <c r="C37" s="7" t="s">
        <v>45</v>
      </c>
      <c r="D37" s="7">
        <v>5</v>
      </c>
      <c r="E37" s="7">
        <v>298</v>
      </c>
      <c r="F37" s="8">
        <v>30</v>
      </c>
      <c r="G37" s="9">
        <v>199406.29</v>
      </c>
      <c r="H37" s="9">
        <v>65135.51999999999</v>
      </c>
      <c r="I37" s="10">
        <f t="shared" si="2"/>
      </c>
      <c r="J37" s="10">
        <f t="shared" si="3"/>
      </c>
      <c r="K37" s="24">
        <f t="shared" si="0"/>
      </c>
      <c r="L37" s="11">
        <f t="shared" si="1"/>
      </c>
      <c r="M37" s="6"/>
      <c r="N37" s="6"/>
    </row>
    <row r="38">
      <c r="A38" s="14" t="s">
        <v>47</v>
      </c>
      <c r="B38" s="15"/>
      <c r="C38" s="15"/>
      <c r="D38" s="15">
        <f>SUM(D34:D37)</f>
      </c>
      <c r="E38" s="15">
        <f>SUM(E34:E37)</f>
      </c>
      <c r="F38" s="16">
        <f>SUM(F34:F37)</f>
      </c>
      <c r="G38" s="15">
        <f>SUM(G34:G37)</f>
      </c>
      <c r="H38" s="15">
        <f>SUM(H34:H37)</f>
      </c>
      <c r="I38" s="17">
        <f t="shared" si="2"/>
      </c>
      <c r="J38" s="17">
        <f t="shared" si="3"/>
      </c>
      <c r="K38" s="26">
        <f t="shared" si="0"/>
      </c>
      <c r="L38" s="18">
        <f t="shared" si="1"/>
      </c>
      <c r="M38" s="17"/>
      <c r="N38" s="15">
        <f>SUM(N34:N37)</f>
      </c>
    </row>
    <row r="39">
      <c r="A39" s="27" t="s">
        <v>48</v>
      </c>
      <c r="B39" s="28" t="s">
        <v>30</v>
      </c>
      <c r="C39" s="29" t="s">
        <v>34</v>
      </c>
      <c r="D39" s="29">
        <v>4</v>
      </c>
      <c r="E39" s="29"/>
      <c r="F39" s="30"/>
      <c r="G39" s="31"/>
      <c r="H39" s="31"/>
      <c r="I39" s="32">
        <f t="shared" si="2"/>
      </c>
      <c r="J39" s="32">
        <f t="shared" si="3"/>
      </c>
      <c r="K39" s="33">
        <f t="shared" si="0"/>
      </c>
      <c r="L39" s="34">
        <f t="shared" si="1"/>
      </c>
      <c r="M39" s="35" t="s">
        <v>44</v>
      </c>
      <c r="N39" s="29">
        <v>9</v>
      </c>
    </row>
    <row r="40">
      <c r="A40" s="27" t="s">
        <v>48</v>
      </c>
      <c r="B40" s="28" t="s">
        <v>18</v>
      </c>
      <c r="C40" s="29" t="s">
        <v>49</v>
      </c>
      <c r="D40" s="29">
        <v>4</v>
      </c>
      <c r="E40" s="29"/>
      <c r="F40" s="30"/>
      <c r="G40" s="31"/>
      <c r="H40" s="31"/>
      <c r="I40" s="32">
        <f t="shared" si="2"/>
      </c>
      <c r="J40" s="32">
        <f t="shared" si="3"/>
      </c>
      <c r="K40" s="33">
        <f t="shared" si="0"/>
      </c>
      <c r="L40" s="34">
        <f t="shared" si="1"/>
      </c>
      <c r="M40" s="35"/>
      <c r="N40" s="29"/>
    </row>
    <row r="41">
      <c r="A41" s="27" t="s">
        <v>48</v>
      </c>
      <c r="B41" s="36" t="s">
        <v>24</v>
      </c>
      <c r="C41" s="29" t="s">
        <v>50</v>
      </c>
      <c r="D41" s="29">
        <v>4</v>
      </c>
      <c r="E41" s="29"/>
      <c r="F41" s="30"/>
      <c r="G41" s="31"/>
      <c r="H41" s="31"/>
      <c r="I41" s="32">
        <f t="shared" si="2"/>
      </c>
      <c r="J41" s="32">
        <f t="shared" si="3"/>
      </c>
      <c r="K41" s="33">
        <f t="shared" si="0"/>
      </c>
      <c r="L41" s="34">
        <f t="shared" si="1"/>
      </c>
      <c r="M41" s="28" t="s">
        <v>38</v>
      </c>
      <c r="N41" s="28">
        <v>9</v>
      </c>
    </row>
    <row r="42">
      <c r="A42" s="27" t="s">
        <v>48</v>
      </c>
      <c r="B42" s="37" t="s">
        <v>33</v>
      </c>
      <c r="C42" s="29" t="s">
        <v>51</v>
      </c>
      <c r="D42" s="29">
        <v>5</v>
      </c>
      <c r="E42" s="29"/>
      <c r="F42" s="30"/>
      <c r="G42" s="31"/>
      <c r="H42" s="31"/>
      <c r="I42" s="32">
        <f t="shared" si="2"/>
      </c>
      <c r="J42" s="32">
        <f t="shared" si="3"/>
      </c>
      <c r="K42" s="33">
        <f t="shared" si="0"/>
      </c>
      <c r="L42" s="34">
        <f t="shared" si="1"/>
      </c>
      <c r="M42" s="28"/>
      <c r="N42" s="28"/>
    </row>
    <row r="43">
      <c r="A43" s="38" t="s">
        <v>48</v>
      </c>
      <c r="B43" s="39"/>
      <c r="C43" s="39"/>
      <c r="D43" s="39">
        <f>SUM(D39:D42)</f>
      </c>
      <c r="E43" s="39">
        <f>SUM(E39:E42)</f>
      </c>
      <c r="F43" s="40">
        <f>SUM(F39:F42)</f>
      </c>
      <c r="G43" s="39">
        <f>SUM(G39:G42)</f>
      </c>
      <c r="H43" s="39">
        <f>SUM(H39:H42)</f>
      </c>
      <c r="I43" s="41">
        <f t="shared" si="2"/>
      </c>
      <c r="J43" s="41">
        <f t="shared" si="3"/>
      </c>
      <c r="K43" s="42">
        <f t="shared" si="0"/>
      </c>
      <c r="L43" s="43">
        <f t="shared" si="1"/>
      </c>
      <c r="M43" s="41"/>
      <c r="N43" s="39">
        <f>SUM(N39:N42)</f>
      </c>
    </row>
  </sheetData>
  <autoFilter ref="A1:N43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4" min="4" style="0" width="11.211267605633802"/>
    <col collapsed="false" customWidth="true" hidden="false" max="6" min="6" style="0" width="11.211267605633802"/>
    <col collapsed="false" customWidth="true" hidden="false" max="8" min="8" style="0" width="11.211267605633802"/>
    <col collapsed="false" customWidth="true" hidden="false" max="10" min="10" style="0" width="11.211267605633802"/>
    <col collapsed="false" customWidth="true" hidden="false" max="12" min="12" style="0" width="11.211267605633802"/>
    <col collapsed="false" customWidth="true" hidden="false" max="13" min="13" style="0" width="11.211267605633802"/>
    <col collapsed="false" customWidth="true" hidden="false" max="3" min="3" style="0" width="11.211267605633802"/>
    <col collapsed="false" customWidth="true" hidden="false" max="5" min="5" style="0" width="11.211267605633802"/>
    <col collapsed="false" customWidth="true" hidden="false" max="7" min="7" style="0" width="11.211267605633802"/>
    <col collapsed="false" customWidth="true" hidden="false" max="9" min="9" style="0" width="11.211267605633802"/>
    <col collapsed="false" customWidth="true" hidden="false" max="11" min="11" style="0" width="11.211267605633802"/>
    <col collapsed="false" customWidth="true" hidden="false" max="14" min="14" style="0" width="11.211267605633802"/>
  </cols>
  <sheetData>
    <row r="1">
      <c r="A1" s="44" t="s">
        <v>52</v>
      </c>
      <c r="B1" s="44" t="s">
        <v>53</v>
      </c>
      <c r="C1" s="44" t="s">
        <v>54</v>
      </c>
      <c r="D1" s="44" t="s">
        <v>55</v>
      </c>
      <c r="E1" s="44" t="s">
        <v>56</v>
      </c>
      <c r="F1" s="45" t="s">
        <v>57</v>
      </c>
      <c r="G1" s="44" t="s">
        <v>58</v>
      </c>
      <c r="H1" s="44" t="s">
        <v>59</v>
      </c>
      <c r="I1" s="46" t="s">
        <v>60</v>
      </c>
      <c r="J1" s="46" t="s">
        <v>61</v>
      </c>
      <c r="K1" s="46" t="s">
        <v>62</v>
      </c>
      <c r="L1" s="47" t="s">
        <v>63</v>
      </c>
      <c r="M1" s="46" t="s">
        <v>64</v>
      </c>
      <c r="N1" s="44" t="s">
        <v>65</v>
      </c>
    </row>
    <row r="2">
      <c r="A2" s="48" t="s">
        <v>66</v>
      </c>
      <c r="B2" s="49" t="s">
        <v>67</v>
      </c>
      <c r="C2" s="50" t="s">
        <v>68</v>
      </c>
      <c r="D2" s="50">
        <v>4</v>
      </c>
      <c r="E2" s="50">
        <v>32</v>
      </c>
      <c r="F2" s="51">
        <v>3</v>
      </c>
      <c r="G2" s="52">
        <v>19485.51</v>
      </c>
      <c r="H2" s="52">
        <v>11361.08</v>
      </c>
      <c r="I2" s="53">
        <f t="shared" ref="I2:I142" si="4">G2/H2</f>
      </c>
      <c r="J2" s="53">
        <f t="shared" ref="J2:J142" si="1">G2/E2</f>
      </c>
      <c r="K2" s="53">
        <f t="shared" ref="K2:K142" si="5">H2/E2</f>
      </c>
      <c r="L2" s="54">
        <f t="shared" ref="L2:L142" si="3">F2/E2</f>
      </c>
      <c r="M2" s="55" t="s">
        <v>69</v>
      </c>
      <c r="N2" s="50">
        <v>9</v>
      </c>
    </row>
    <row r="3">
      <c r="A3" s="48" t="s">
        <v>66</v>
      </c>
      <c r="B3" s="49" t="s">
        <v>70</v>
      </c>
      <c r="C3" s="50" t="s">
        <v>71</v>
      </c>
      <c r="D3" s="50">
        <v>4</v>
      </c>
      <c r="E3" s="50">
        <v>32</v>
      </c>
      <c r="F3" s="51">
        <v>8</v>
      </c>
      <c r="G3" s="52">
        <v>14956.98</v>
      </c>
      <c r="H3" s="52">
        <v>11098.54</v>
      </c>
      <c r="I3" s="53">
        <f t="shared" si="4"/>
      </c>
      <c r="J3" s="53">
        <f t="shared" si="1"/>
      </c>
      <c r="K3" s="53">
        <f t="shared" si="5"/>
      </c>
      <c r="L3" s="54">
        <f t="shared" si="3"/>
      </c>
      <c r="M3" s="55"/>
      <c r="N3" s="50"/>
    </row>
    <row r="4">
      <c r="A4" s="48" t="s">
        <v>66</v>
      </c>
      <c r="B4" s="49" t="s">
        <v>72</v>
      </c>
      <c r="C4" s="50" t="s">
        <v>73</v>
      </c>
      <c r="D4" s="50">
        <v>4</v>
      </c>
      <c r="E4" s="50">
        <v>37</v>
      </c>
      <c r="F4" s="51">
        <v>9</v>
      </c>
      <c r="G4" s="52">
        <v>16117.84</v>
      </c>
      <c r="H4" s="52">
        <v>11784.33</v>
      </c>
      <c r="I4" s="53">
        <f t="shared" si="4"/>
      </c>
      <c r="J4" s="53">
        <f t="shared" si="1"/>
      </c>
      <c r="K4" s="53">
        <f t="shared" si="5"/>
      </c>
      <c r="L4" s="54">
        <f t="shared" si="3"/>
      </c>
      <c r="M4" s="55"/>
      <c r="N4" s="50"/>
    </row>
    <row r="5">
      <c r="A5" s="48" t="s">
        <v>66</v>
      </c>
      <c r="B5" s="49" t="s">
        <v>74</v>
      </c>
      <c r="C5" s="50" t="s">
        <v>75</v>
      </c>
      <c r="D5" s="50">
        <v>5</v>
      </c>
      <c r="E5" s="50">
        <v>113</v>
      </c>
      <c r="F5" s="51">
        <v>13</v>
      </c>
      <c r="G5" s="52">
        <v>65120.35</v>
      </c>
      <c r="H5" s="52">
        <v>29767.030000000002</v>
      </c>
      <c r="I5" s="53">
        <f t="shared" si="4"/>
      </c>
      <c r="J5" s="53">
        <f t="shared" si="1"/>
      </c>
      <c r="K5" s="53">
        <f t="shared" si="5"/>
      </c>
      <c r="L5" s="54">
        <f t="shared" si="3"/>
      </c>
      <c r="M5" s="55" t="s">
        <v>76</v>
      </c>
      <c r="N5" s="50">
        <v>8</v>
      </c>
    </row>
    <row r="6">
      <c r="A6" s="56" t="s">
        <v>66</v>
      </c>
      <c r="B6" s="57"/>
      <c r="C6" s="57"/>
      <c r="D6" s="57">
        <f>SUM(D2:D5)</f>
      </c>
      <c r="E6" s="57">
        <f>SUM(E2:E5)</f>
      </c>
      <c r="F6" s="58">
        <f>SUM(F2:F5)</f>
      </c>
      <c r="G6" s="57">
        <f>SUM(G2:G5)</f>
      </c>
      <c r="H6" s="57">
        <f>SUM(H2:H5)</f>
      </c>
      <c r="I6" s="59">
        <f t="shared" si="4"/>
      </c>
      <c r="J6" s="59">
        <f t="shared" si="1"/>
      </c>
      <c r="K6" s="59">
        <f t="shared" si="5"/>
      </c>
      <c r="L6" s="60">
        <f t="shared" si="3"/>
      </c>
      <c r="M6" s="59"/>
      <c r="N6" s="57">
        <f>SUM(N2:N5)</f>
      </c>
    </row>
    <row r="7">
      <c r="A7" s="48" t="s">
        <v>77</v>
      </c>
      <c r="B7" s="49" t="s">
        <v>70</v>
      </c>
      <c r="C7" s="50" t="s">
        <v>68</v>
      </c>
      <c r="D7" s="50">
        <v>4</v>
      </c>
      <c r="E7" s="50">
        <v>54</v>
      </c>
      <c r="F7" s="51">
        <v>12</v>
      </c>
      <c r="G7" s="52">
        <v>25587.43</v>
      </c>
      <c r="H7" s="52">
        <v>17591.34</v>
      </c>
      <c r="I7" s="53">
        <f t="shared" si="4"/>
      </c>
      <c r="J7" s="53">
        <f t="shared" si="1"/>
      </c>
      <c r="K7" s="53">
        <f t="shared" si="5"/>
      </c>
      <c r="L7" s="54">
        <f t="shared" si="3"/>
      </c>
      <c r="M7" s="55" t="s">
        <v>69</v>
      </c>
      <c r="N7" s="50">
        <v>9</v>
      </c>
    </row>
    <row r="8">
      <c r="A8" s="48" t="s">
        <v>77</v>
      </c>
      <c r="B8" s="49" t="s">
        <v>67</v>
      </c>
      <c r="C8" s="50" t="s">
        <v>71</v>
      </c>
      <c r="D8" s="50">
        <v>4</v>
      </c>
      <c r="E8" s="50">
        <v>32</v>
      </c>
      <c r="F8" s="51">
        <v>7</v>
      </c>
      <c r="G8" s="52">
        <v>10009.16</v>
      </c>
      <c r="H8" s="52">
        <v>11044.85</v>
      </c>
      <c r="I8" s="53">
        <f t="shared" si="4"/>
      </c>
      <c r="J8" s="53">
        <f t="shared" si="1"/>
      </c>
      <c r="K8" s="53">
        <f t="shared" si="5"/>
      </c>
      <c r="L8" s="54">
        <f t="shared" si="3"/>
      </c>
      <c r="M8" s="55"/>
      <c r="N8" s="50"/>
    </row>
    <row r="9">
      <c r="A9" s="48" t="s">
        <v>77</v>
      </c>
      <c r="B9" s="49" t="s">
        <v>72</v>
      </c>
      <c r="C9" s="50" t="s">
        <v>73</v>
      </c>
      <c r="D9" s="50">
        <v>4</v>
      </c>
      <c r="E9" s="50">
        <v>55</v>
      </c>
      <c r="F9" s="51">
        <v>8</v>
      </c>
      <c r="G9" s="52">
        <v>22547.16</v>
      </c>
      <c r="H9" s="52">
        <v>16029.13</v>
      </c>
      <c r="I9" s="53">
        <f t="shared" si="4"/>
      </c>
      <c r="J9" s="53">
        <f t="shared" si="1"/>
      </c>
      <c r="K9" s="53">
        <f t="shared" si="5"/>
      </c>
      <c r="L9" s="54">
        <f t="shared" si="3"/>
      </c>
      <c r="M9" s="55"/>
      <c r="N9" s="50"/>
    </row>
    <row r="10">
      <c r="A10" s="48" t="s">
        <v>77</v>
      </c>
      <c r="B10" s="49" t="s">
        <v>74</v>
      </c>
      <c r="C10" s="50" t="s">
        <v>78</v>
      </c>
      <c r="D10" s="50">
        <v>4</v>
      </c>
      <c r="E10" s="50">
        <v>115</v>
      </c>
      <c r="F10" s="51">
        <v>13</v>
      </c>
      <c r="G10" s="52">
        <v>48153.36</v>
      </c>
      <c r="H10" s="52">
        <v>29959.949999999997</v>
      </c>
      <c r="I10" s="53">
        <f t="shared" si="4"/>
      </c>
      <c r="J10" s="53">
        <f t="shared" si="1"/>
      </c>
      <c r="K10" s="53">
        <f t="shared" si="5"/>
      </c>
      <c r="L10" s="54">
        <f t="shared" si="3"/>
      </c>
      <c r="M10" s="55" t="s">
        <v>76</v>
      </c>
      <c r="N10" s="50">
        <v>7</v>
      </c>
    </row>
    <row r="11">
      <c r="A11" s="56" t="s">
        <v>77</v>
      </c>
      <c r="B11" s="57"/>
      <c r="C11" s="57"/>
      <c r="D11" s="57">
        <f>SUM(D7:D10)</f>
      </c>
      <c r="E11" s="57">
        <f>SUM(E7:E10)</f>
      </c>
      <c r="F11" s="58">
        <f>SUM(F7:F10)</f>
      </c>
      <c r="G11" s="57">
        <f>SUM(G7:G10)</f>
      </c>
      <c r="H11" s="57">
        <f>SUM(H7:H10)</f>
      </c>
      <c r="I11" s="59">
        <f t="shared" si="4"/>
      </c>
      <c r="J11" s="59">
        <f t="shared" si="1"/>
      </c>
      <c r="K11" s="59">
        <f t="shared" si="5"/>
      </c>
      <c r="L11" s="60">
        <f t="shared" si="3"/>
      </c>
      <c r="M11" s="59"/>
      <c r="N11" s="57">
        <f>SUM(N7:N10)</f>
      </c>
    </row>
    <row r="12">
      <c r="A12" s="48" t="s">
        <v>79</v>
      </c>
      <c r="B12" s="49" t="s">
        <v>70</v>
      </c>
      <c r="C12" s="50" t="s">
        <v>68</v>
      </c>
      <c r="D12" s="50">
        <v>4</v>
      </c>
      <c r="E12" s="50">
        <v>59</v>
      </c>
      <c r="F12" s="51">
        <v>15</v>
      </c>
      <c r="G12" s="52">
        <v>27662.09</v>
      </c>
      <c r="H12" s="52">
        <v>14585.93</v>
      </c>
      <c r="I12" s="53">
        <f t="shared" si="4"/>
      </c>
      <c r="J12" s="53">
        <f t="shared" si="1"/>
      </c>
      <c r="K12" s="53">
        <f t="shared" si="5"/>
      </c>
      <c r="L12" s="54">
        <f t="shared" si="3"/>
      </c>
      <c r="M12" s="55" t="s">
        <v>80</v>
      </c>
      <c r="N12" s="50">
        <v>9</v>
      </c>
    </row>
    <row r="13">
      <c r="A13" s="48" t="s">
        <v>79</v>
      </c>
      <c r="B13" s="49" t="s">
        <v>67</v>
      </c>
      <c r="C13" s="50" t="s">
        <v>71</v>
      </c>
      <c r="D13" s="50">
        <v>4</v>
      </c>
      <c r="E13" s="50">
        <v>42</v>
      </c>
      <c r="F13" s="51">
        <v>5</v>
      </c>
      <c r="G13" s="52">
        <v>18686.220000000005</v>
      </c>
      <c r="H13" s="52">
        <v>13147.44</v>
      </c>
      <c r="I13" s="53">
        <f t="shared" si="4"/>
      </c>
      <c r="J13" s="53">
        <f t="shared" si="1"/>
      </c>
      <c r="K13" s="53">
        <f t="shared" si="5"/>
      </c>
      <c r="L13" s="54">
        <f t="shared" si="3"/>
      </c>
      <c r="M13" s="55"/>
      <c r="N13" s="50"/>
    </row>
    <row r="14">
      <c r="A14" s="48" t="s">
        <v>79</v>
      </c>
      <c r="B14" s="49" t="s">
        <v>72</v>
      </c>
      <c r="C14" s="50" t="s">
        <v>73</v>
      </c>
      <c r="D14" s="50">
        <v>4</v>
      </c>
      <c r="E14" s="50">
        <v>59</v>
      </c>
      <c r="F14" s="51">
        <v>12</v>
      </c>
      <c r="G14" s="52">
        <v>26535.21</v>
      </c>
      <c r="H14" s="52">
        <v>16491.88</v>
      </c>
      <c r="I14" s="53">
        <f t="shared" si="4"/>
      </c>
      <c r="J14" s="53">
        <f t="shared" si="1"/>
      </c>
      <c r="K14" s="53">
        <f t="shared" si="5"/>
      </c>
      <c r="L14" s="54">
        <f t="shared" si="3"/>
      </c>
      <c r="M14" s="55"/>
      <c r="N14" s="50"/>
    </row>
    <row r="15">
      <c r="A15" s="48" t="s">
        <v>79</v>
      </c>
      <c r="B15" s="49" t="s">
        <v>74</v>
      </c>
      <c r="C15" s="50" t="s">
        <v>75</v>
      </c>
      <c r="D15" s="50">
        <v>5</v>
      </c>
      <c r="E15" s="50">
        <v>191</v>
      </c>
      <c r="F15" s="51">
        <v>24</v>
      </c>
      <c r="G15" s="52">
        <v>101918.41</v>
      </c>
      <c r="H15" s="52">
        <v>49168.340000000004</v>
      </c>
      <c r="I15" s="53">
        <f t="shared" si="4"/>
      </c>
      <c r="J15" s="53">
        <f t="shared" si="1"/>
      </c>
      <c r="K15" s="53">
        <f t="shared" si="5"/>
      </c>
      <c r="L15" s="54">
        <f t="shared" si="3"/>
      </c>
      <c r="M15" s="55" t="s">
        <v>76</v>
      </c>
      <c r="N15" s="50">
        <v>8</v>
      </c>
    </row>
    <row r="16">
      <c r="A16" s="56" t="s">
        <v>79</v>
      </c>
      <c r="B16" s="57"/>
      <c r="C16" s="57"/>
      <c r="D16" s="57">
        <f>SUM(D12:D15)</f>
      </c>
      <c r="E16" s="57">
        <f>SUM(E12:E15)</f>
      </c>
      <c r="F16" s="58">
        <f>SUM(F12:F15)</f>
      </c>
      <c r="G16" s="57">
        <f>SUM(G12:G15)</f>
      </c>
      <c r="H16" s="57">
        <f>SUM(H12:H15)</f>
      </c>
      <c r="I16" s="59">
        <f t="shared" si="4"/>
      </c>
      <c r="J16" s="59">
        <f t="shared" si="1"/>
      </c>
      <c r="K16" s="59">
        <f t="shared" si="5"/>
      </c>
      <c r="L16" s="60">
        <f t="shared" si="3"/>
      </c>
      <c r="M16" s="59"/>
      <c r="N16" s="57">
        <f>SUM(N12:N15)</f>
      </c>
    </row>
    <row r="17">
      <c r="A17" s="48" t="s">
        <v>81</v>
      </c>
      <c r="B17" s="49" t="s">
        <v>67</v>
      </c>
      <c r="C17" s="50" t="s">
        <v>68</v>
      </c>
      <c r="D17" s="50">
        <v>4</v>
      </c>
      <c r="E17" s="50">
        <v>46</v>
      </c>
      <c r="F17" s="51">
        <v>17</v>
      </c>
      <c r="G17" s="52">
        <v>18888.3</v>
      </c>
      <c r="H17" s="52">
        <v>12064.490000000002</v>
      </c>
      <c r="I17" s="53">
        <f t="shared" si="4"/>
      </c>
      <c r="J17" s="53">
        <f t="shared" si="1"/>
      </c>
      <c r="K17" s="53">
        <f t="shared" si="5"/>
      </c>
      <c r="L17" s="54">
        <f t="shared" si="3"/>
      </c>
      <c r="M17" s="55" t="s">
        <v>82</v>
      </c>
      <c r="N17" s="50">
        <v>9</v>
      </c>
    </row>
    <row r="18">
      <c r="A18" s="48" t="s">
        <v>81</v>
      </c>
      <c r="B18" s="49" t="s">
        <v>70</v>
      </c>
      <c r="C18" s="50" t="s">
        <v>71</v>
      </c>
      <c r="D18" s="50">
        <v>4</v>
      </c>
      <c r="E18" s="50">
        <v>51</v>
      </c>
      <c r="F18" s="51">
        <v>16</v>
      </c>
      <c r="G18" s="52">
        <v>28200.899999999998</v>
      </c>
      <c r="H18" s="52">
        <v>14897.439999999999</v>
      </c>
      <c r="I18" s="53">
        <f t="shared" si="4"/>
      </c>
      <c r="J18" s="53">
        <f t="shared" si="1"/>
      </c>
      <c r="K18" s="53">
        <f t="shared" si="5"/>
      </c>
      <c r="L18" s="54">
        <f t="shared" si="3"/>
      </c>
      <c r="M18" s="55"/>
      <c r="N18" s="50"/>
    </row>
    <row r="19">
      <c r="A19" s="48" t="s">
        <v>81</v>
      </c>
      <c r="B19" s="49" t="s">
        <v>72</v>
      </c>
      <c r="C19" s="50" t="s">
        <v>73</v>
      </c>
      <c r="D19" s="50">
        <v>4</v>
      </c>
      <c r="E19" s="50">
        <v>43</v>
      </c>
      <c r="F19" s="51">
        <v>10</v>
      </c>
      <c r="G19" s="52">
        <v>18687.34</v>
      </c>
      <c r="H19" s="52">
        <v>13641.83</v>
      </c>
      <c r="I19" s="53">
        <f t="shared" si="4"/>
      </c>
      <c r="J19" s="53">
        <f t="shared" si="1"/>
      </c>
      <c r="K19" s="53">
        <f t="shared" si="5"/>
      </c>
      <c r="L19" s="54">
        <f t="shared" si="3"/>
      </c>
      <c r="M19" s="55"/>
      <c r="N19" s="50"/>
    </row>
    <row r="20">
      <c r="A20" s="48" t="s">
        <v>81</v>
      </c>
      <c r="B20" s="49" t="s">
        <v>74</v>
      </c>
      <c r="C20" s="50" t="s">
        <v>75</v>
      </c>
      <c r="D20" s="50">
        <v>5</v>
      </c>
      <c r="E20" s="50">
        <v>202</v>
      </c>
      <c r="F20" s="51">
        <v>33</v>
      </c>
      <c r="G20" s="52">
        <v>94441.91</v>
      </c>
      <c r="H20" s="52">
        <v>52519.560000000005</v>
      </c>
      <c r="I20" s="53">
        <f t="shared" si="4"/>
      </c>
      <c r="J20" s="53">
        <f t="shared" si="1"/>
      </c>
      <c r="K20" s="53">
        <f t="shared" si="5"/>
      </c>
      <c r="L20" s="54">
        <f t="shared" si="3"/>
      </c>
      <c r="M20" s="55" t="s">
        <v>76</v>
      </c>
      <c r="N20" s="50">
        <v>8</v>
      </c>
    </row>
    <row r="21">
      <c r="A21" s="56" t="s">
        <v>81</v>
      </c>
      <c r="B21" s="57"/>
      <c r="C21" s="57"/>
      <c r="D21" s="57">
        <f>SUM(D17:D20)</f>
      </c>
      <c r="E21" s="57">
        <f>SUM(E17:E20)</f>
      </c>
      <c r="F21" s="58">
        <f>SUM(F17:F20)</f>
      </c>
      <c r="G21" s="57">
        <f>SUM(G17:G20)</f>
      </c>
      <c r="H21" s="57">
        <f>SUM(H17:H20)</f>
      </c>
      <c r="I21" s="59">
        <f t="shared" si="4"/>
      </c>
      <c r="J21" s="59">
        <f t="shared" si="1"/>
      </c>
      <c r="K21" s="59">
        <f t="shared" si="5"/>
      </c>
      <c r="L21" s="60">
        <f t="shared" si="3"/>
      </c>
      <c r="M21" s="59"/>
      <c r="N21" s="57">
        <f>SUM(N17:N20)</f>
      </c>
    </row>
    <row r="22">
      <c r="A22" s="48" t="s">
        <v>83</v>
      </c>
      <c r="B22" s="49" t="s">
        <v>70</v>
      </c>
      <c r="C22" s="50" t="s">
        <v>68</v>
      </c>
      <c r="D22" s="50">
        <v>4</v>
      </c>
      <c r="E22" s="50">
        <v>65</v>
      </c>
      <c r="F22" s="51">
        <v>14</v>
      </c>
      <c r="G22" s="52">
        <v>32545.19</v>
      </c>
      <c r="H22" s="52">
        <v>16416.54</v>
      </c>
      <c r="I22" s="53">
        <f t="shared" si="4"/>
      </c>
      <c r="J22" s="53">
        <f t="shared" si="1"/>
      </c>
      <c r="K22" s="53">
        <f t="shared" si="5"/>
      </c>
      <c r="L22" s="54">
        <f t="shared" si="3"/>
      </c>
      <c r="M22" s="55" t="s">
        <v>80</v>
      </c>
      <c r="N22" s="50">
        <v>9</v>
      </c>
    </row>
    <row r="23">
      <c r="A23" s="48" t="s">
        <v>83</v>
      </c>
      <c r="B23" s="49" t="s">
        <v>84</v>
      </c>
      <c r="C23" s="50" t="s">
        <v>71</v>
      </c>
      <c r="D23" s="50">
        <v>4</v>
      </c>
      <c r="E23" s="50">
        <v>98</v>
      </c>
      <c r="F23" s="51">
        <v>23</v>
      </c>
      <c r="G23" s="52">
        <v>54721.880000000005</v>
      </c>
      <c r="H23" s="52">
        <v>20162.38</v>
      </c>
      <c r="I23" s="53">
        <f t="shared" si="4"/>
      </c>
      <c r="J23" s="53">
        <f t="shared" si="1"/>
      </c>
      <c r="K23" s="53">
        <f t="shared" si="5"/>
      </c>
      <c r="L23" s="54">
        <f t="shared" si="3"/>
      </c>
      <c r="M23" s="55"/>
      <c r="N23" s="50"/>
    </row>
    <row r="24">
      <c r="A24" s="48" t="s">
        <v>83</v>
      </c>
      <c r="B24" s="49" t="s">
        <v>74</v>
      </c>
      <c r="C24" s="50" t="s">
        <v>85</v>
      </c>
      <c r="D24" s="50">
        <v>5</v>
      </c>
      <c r="E24" s="50">
        <v>289</v>
      </c>
      <c r="F24" s="51">
        <v>50</v>
      </c>
      <c r="G24" s="52">
        <v>195652.69</v>
      </c>
      <c r="H24" s="52">
        <v>71619.59</v>
      </c>
      <c r="I24" s="53">
        <f t="shared" si="4"/>
      </c>
      <c r="J24" s="53">
        <f t="shared" si="1"/>
      </c>
      <c r="K24" s="53">
        <f t="shared" si="5"/>
      </c>
      <c r="L24" s="54">
        <f t="shared" si="3"/>
      </c>
      <c r="M24" s="55"/>
      <c r="N24" s="50"/>
    </row>
    <row r="25">
      <c r="A25" s="48" t="s">
        <v>83</v>
      </c>
      <c r="B25" s="49" t="s">
        <v>72</v>
      </c>
      <c r="C25" s="50" t="s">
        <v>86</v>
      </c>
      <c r="D25" s="50">
        <v>4</v>
      </c>
      <c r="E25" s="50">
        <v>421</v>
      </c>
      <c r="F25" s="51">
        <v>58</v>
      </c>
      <c r="G25" s="52">
        <v>241397.33</v>
      </c>
      <c r="H25" s="52">
        <v>133418.36000000002</v>
      </c>
      <c r="I25" s="53">
        <f t="shared" si="4"/>
      </c>
      <c r="J25" s="53">
        <f t="shared" si="1"/>
      </c>
      <c r="K25" s="53">
        <f t="shared" si="5"/>
      </c>
      <c r="L25" s="54">
        <f t="shared" si="3"/>
      </c>
      <c r="M25" s="55" t="s">
        <v>76</v>
      </c>
      <c r="N25" s="50">
        <v>8</v>
      </c>
    </row>
    <row r="26">
      <c r="A26" s="56" t="s">
        <v>83</v>
      </c>
      <c r="B26" s="57"/>
      <c r="C26" s="57"/>
      <c r="D26" s="57">
        <f>SUM(D22:D25)</f>
      </c>
      <c r="E26" s="57">
        <f>SUM(E22:E25)</f>
      </c>
      <c r="F26" s="58">
        <f>SUM(F22:F25)</f>
      </c>
      <c r="G26" s="57">
        <f>SUM(G22:G25)</f>
      </c>
      <c r="H26" s="57">
        <f>SUM(H22:H25)</f>
      </c>
      <c r="I26" s="59">
        <f t="shared" si="4"/>
      </c>
      <c r="J26" s="59">
        <f t="shared" si="1"/>
      </c>
      <c r="K26" s="59">
        <f t="shared" si="5"/>
      </c>
      <c r="L26" s="60">
        <f t="shared" si="3"/>
      </c>
      <c r="M26" s="59"/>
      <c r="N26" s="57">
        <f>SUM(N22:N25)</f>
      </c>
    </row>
    <row r="27">
      <c r="A27" s="48" t="s">
        <v>87</v>
      </c>
      <c r="B27" s="49" t="s">
        <v>70</v>
      </c>
      <c r="C27" s="50" t="s">
        <v>68</v>
      </c>
      <c r="D27" s="50">
        <v>4</v>
      </c>
      <c r="E27" s="50">
        <v>51</v>
      </c>
      <c r="F27" s="51">
        <v>18</v>
      </c>
      <c r="G27" s="51">
        <v>31461.28</v>
      </c>
      <c r="H27" s="52">
        <v>18218.23</v>
      </c>
      <c r="I27" s="53">
        <f t="shared" si="4"/>
      </c>
      <c r="J27" s="53">
        <f t="shared" si="1"/>
      </c>
      <c r="K27" s="53">
        <f t="shared" si="5"/>
      </c>
      <c r="L27" s="54">
        <f t="shared" si="3"/>
      </c>
      <c r="M27" s="55" t="s">
        <v>82</v>
      </c>
      <c r="N27" s="50">
        <v>9</v>
      </c>
    </row>
    <row r="28">
      <c r="A28" s="48" t="s">
        <v>87</v>
      </c>
      <c r="B28" s="49" t="s">
        <v>84</v>
      </c>
      <c r="C28" s="50" t="s">
        <v>71</v>
      </c>
      <c r="D28" s="50">
        <v>4</v>
      </c>
      <c r="E28" s="50">
        <v>29</v>
      </c>
      <c r="F28" s="51">
        <v>7</v>
      </c>
      <c r="G28" s="51">
        <v>12560.14</v>
      </c>
      <c r="H28" s="52">
        <v>9808.12</v>
      </c>
      <c r="I28" s="53">
        <f t="shared" si="4"/>
      </c>
      <c r="J28" s="53">
        <f t="shared" si="1"/>
      </c>
      <c r="K28" s="53">
        <f t="shared" si="5"/>
      </c>
      <c r="L28" s="54">
        <f t="shared" si="3"/>
      </c>
      <c r="M28" s="55"/>
      <c r="N28" s="50"/>
    </row>
    <row r="29">
      <c r="A29" s="48" t="s">
        <v>87</v>
      </c>
      <c r="B29" s="49" t="s">
        <v>74</v>
      </c>
      <c r="C29" s="50" t="s">
        <v>73</v>
      </c>
      <c r="D29" s="50">
        <v>4</v>
      </c>
      <c r="E29" s="50">
        <v>53</v>
      </c>
      <c r="F29" s="51">
        <v>6</v>
      </c>
      <c r="G29" s="52">
        <v>34412.02</v>
      </c>
      <c r="H29" s="52">
        <v>9804.5</v>
      </c>
      <c r="I29" s="53">
        <f t="shared" si="4"/>
      </c>
      <c r="J29" s="53">
        <f t="shared" si="1"/>
      </c>
      <c r="K29" s="53">
        <f t="shared" si="5"/>
      </c>
      <c r="L29" s="54">
        <f t="shared" si="3"/>
      </c>
      <c r="M29" s="55"/>
      <c r="N29" s="50"/>
    </row>
    <row r="30">
      <c r="A30" s="48" t="s">
        <v>87</v>
      </c>
      <c r="B30" s="49" t="s">
        <v>72</v>
      </c>
      <c r="C30" s="50" t="s">
        <v>75</v>
      </c>
      <c r="D30" s="50">
        <v>5</v>
      </c>
      <c r="E30" s="50">
        <v>64</v>
      </c>
      <c r="F30" s="51">
        <v>7</v>
      </c>
      <c r="G30" s="52">
        <v>26816.88</v>
      </c>
      <c r="H30" s="52">
        <v>16270.660000000002</v>
      </c>
      <c r="I30" s="53">
        <f t="shared" si="4"/>
      </c>
      <c r="J30" s="53">
        <f t="shared" si="1"/>
      </c>
      <c r="K30" s="53">
        <f t="shared" si="5"/>
      </c>
      <c r="L30" s="54">
        <f t="shared" si="3"/>
      </c>
      <c r="M30" s="55" t="s">
        <v>76</v>
      </c>
      <c r="N30" s="50">
        <v>8</v>
      </c>
    </row>
    <row r="31">
      <c r="A31" s="56" t="s">
        <v>87</v>
      </c>
      <c r="B31" s="57"/>
      <c r="C31" s="57"/>
      <c r="D31" s="57">
        <f>SUM(D27:D30)</f>
      </c>
      <c r="E31" s="57">
        <f>SUM(E27:E30)</f>
      </c>
      <c r="F31" s="58">
        <f>SUM(F27:F30)</f>
      </c>
      <c r="G31" s="57">
        <f>SUM(G27:G30)</f>
      </c>
      <c r="H31" s="57">
        <f>SUM(H27:H30)</f>
      </c>
      <c r="I31" s="59">
        <f t="shared" si="4"/>
      </c>
      <c r="J31" s="59">
        <f t="shared" si="1"/>
      </c>
      <c r="K31" s="59">
        <f t="shared" si="5"/>
      </c>
      <c r="L31" s="60">
        <f t="shared" si="3"/>
      </c>
      <c r="M31" s="59"/>
      <c r="N31" s="57">
        <f>SUM(N27:N30)</f>
      </c>
    </row>
    <row r="32">
      <c r="A32" s="48" t="s">
        <v>88</v>
      </c>
      <c r="B32" s="49" t="s">
        <v>70</v>
      </c>
      <c r="C32" s="50" t="s">
        <v>68</v>
      </c>
      <c r="D32" s="50">
        <v>4</v>
      </c>
      <c r="E32" s="50">
        <v>29</v>
      </c>
      <c r="F32" s="51">
        <v>8</v>
      </c>
      <c r="G32" s="51">
        <v>14974.94</v>
      </c>
      <c r="H32" s="52">
        <v>8726.1</v>
      </c>
      <c r="I32" s="53">
        <f t="shared" si="4"/>
      </c>
      <c r="J32" s="53">
        <f t="shared" si="1"/>
      </c>
      <c r="K32" s="53">
        <f t="shared" si="5"/>
      </c>
      <c r="L32" s="54">
        <f t="shared" si="3"/>
      </c>
      <c r="M32" s="55" t="s">
        <v>82</v>
      </c>
      <c r="N32" s="50">
        <v>9</v>
      </c>
    </row>
    <row r="33">
      <c r="A33" s="48" t="s">
        <v>88</v>
      </c>
      <c r="B33" s="49" t="s">
        <v>72</v>
      </c>
      <c r="C33" s="50" t="s">
        <v>71</v>
      </c>
      <c r="D33" s="50">
        <v>4</v>
      </c>
      <c r="E33" s="50">
        <v>53</v>
      </c>
      <c r="F33" s="51">
        <v>9</v>
      </c>
      <c r="G33" s="51">
        <v>25042.869999999995</v>
      </c>
      <c r="H33" s="52">
        <v>14631.33</v>
      </c>
      <c r="I33" s="53">
        <f t="shared" si="4"/>
      </c>
      <c r="J33" s="53">
        <f t="shared" si="1"/>
      </c>
      <c r="K33" s="53">
        <f t="shared" si="5"/>
      </c>
      <c r="L33" s="54">
        <f t="shared" si="3"/>
      </c>
      <c r="M33" s="55"/>
      <c r="N33" s="50"/>
    </row>
    <row r="34">
      <c r="A34" s="48" t="s">
        <v>88</v>
      </c>
      <c r="B34" s="49" t="s">
        <v>74</v>
      </c>
      <c r="C34" s="50" t="s">
        <v>73</v>
      </c>
      <c r="D34" s="50">
        <v>4</v>
      </c>
      <c r="E34" s="50">
        <v>51</v>
      </c>
      <c r="F34" s="51">
        <v>6</v>
      </c>
      <c r="G34" s="52">
        <v>23155.14</v>
      </c>
      <c r="H34" s="52">
        <v>14552.92</v>
      </c>
      <c r="I34" s="53">
        <f t="shared" si="4"/>
      </c>
      <c r="J34" s="53">
        <f t="shared" si="1"/>
      </c>
      <c r="K34" s="53">
        <f t="shared" si="5"/>
      </c>
      <c r="L34" s="54">
        <f t="shared" si="3"/>
      </c>
      <c r="M34" s="55"/>
      <c r="N34" s="50"/>
    </row>
    <row r="35">
      <c r="A35" s="48" t="s">
        <v>88</v>
      </c>
      <c r="B35" s="49" t="s">
        <v>67</v>
      </c>
      <c r="C35" s="50" t="s">
        <v>75</v>
      </c>
      <c r="D35" s="50">
        <v>5</v>
      </c>
      <c r="E35" s="50">
        <v>66</v>
      </c>
      <c r="F35" s="51">
        <v>7</v>
      </c>
      <c r="G35" s="52">
        <v>29362.98</v>
      </c>
      <c r="H35" s="52">
        <v>20760.88</v>
      </c>
      <c r="I35" s="53">
        <f t="shared" si="4"/>
      </c>
      <c r="J35" s="53">
        <f t="shared" si="1"/>
      </c>
      <c r="K35" s="53">
        <f t="shared" si="5"/>
      </c>
      <c r="L35" s="54">
        <f t="shared" si="3"/>
      </c>
      <c r="M35" s="55" t="s">
        <v>76</v>
      </c>
      <c r="N35" s="50">
        <v>8</v>
      </c>
    </row>
    <row r="36">
      <c r="A36" s="56" t="s">
        <v>88</v>
      </c>
      <c r="B36" s="57"/>
      <c r="C36" s="57"/>
      <c r="D36" s="57">
        <f>SUM(D32:D35)</f>
      </c>
      <c r="E36" s="57">
        <f>SUM(E32:E35)</f>
      </c>
      <c r="F36" s="58">
        <f>SUM(F32:F35)</f>
      </c>
      <c r="G36" s="57">
        <f>SUM(G32:G35)</f>
      </c>
      <c r="H36" s="57">
        <f>SUM(H32:H35)</f>
      </c>
      <c r="I36" s="59">
        <f t="shared" si="4"/>
      </c>
      <c r="J36" s="59">
        <f t="shared" si="1"/>
      </c>
      <c r="K36" s="59">
        <f t="shared" si="5"/>
      </c>
      <c r="L36" s="60">
        <f t="shared" si="3"/>
      </c>
      <c r="M36" s="59"/>
      <c r="N36" s="57">
        <f>SUM(N32:N35)</f>
      </c>
    </row>
    <row r="37">
      <c r="A37" s="48" t="s">
        <v>89</v>
      </c>
      <c r="B37" s="49" t="s">
        <v>70</v>
      </c>
      <c r="C37" s="50" t="s">
        <v>90</v>
      </c>
      <c r="D37" s="50">
        <v>5</v>
      </c>
      <c r="E37" s="50">
        <v>30</v>
      </c>
      <c r="F37" s="51">
        <v>9</v>
      </c>
      <c r="G37" s="51">
        <v>17457.3</v>
      </c>
      <c r="H37" s="52">
        <v>10675.52</v>
      </c>
      <c r="I37" s="53">
        <f t="shared" si="4"/>
      </c>
      <c r="J37" s="53">
        <f t="shared" si="1"/>
      </c>
      <c r="K37" s="53">
        <f t="shared" si="5"/>
      </c>
      <c r="L37" s="54">
        <f t="shared" si="3"/>
      </c>
      <c r="M37" s="55" t="s">
        <v>82</v>
      </c>
      <c r="N37" s="50">
        <v>8</v>
      </c>
    </row>
    <row r="38">
      <c r="A38" s="48" t="s">
        <v>89</v>
      </c>
      <c r="B38" s="49" t="s">
        <v>67</v>
      </c>
      <c r="C38" s="50" t="s">
        <v>91</v>
      </c>
      <c r="D38" s="50">
        <v>4</v>
      </c>
      <c r="E38" s="50">
        <v>39</v>
      </c>
      <c r="F38" s="51">
        <v>7</v>
      </c>
      <c r="G38" s="51">
        <v>14699.130000000001</v>
      </c>
      <c r="H38" s="52">
        <v>9833.970000000001</v>
      </c>
      <c r="I38" s="53">
        <f t="shared" si="4"/>
      </c>
      <c r="J38" s="53">
        <f t="shared" si="1"/>
      </c>
      <c r="K38" s="53">
        <f t="shared" si="5"/>
      </c>
      <c r="L38" s="54">
        <f t="shared" si="3"/>
      </c>
      <c r="M38" s="55"/>
      <c r="N38" s="50"/>
    </row>
    <row r="39">
      <c r="A39" s="48" t="s">
        <v>89</v>
      </c>
      <c r="B39" s="49" t="s">
        <v>72</v>
      </c>
      <c r="C39" s="50" t="s">
        <v>92</v>
      </c>
      <c r="D39" s="50">
        <v>4</v>
      </c>
      <c r="E39" s="50">
        <v>61</v>
      </c>
      <c r="F39" s="51">
        <v>7</v>
      </c>
      <c r="G39" s="52">
        <v>25520.159999999996</v>
      </c>
      <c r="H39" s="52">
        <v>16565.75</v>
      </c>
      <c r="I39" s="53">
        <f t="shared" si="4"/>
      </c>
      <c r="J39" s="53">
        <f t="shared" si="1"/>
      </c>
      <c r="K39" s="53">
        <f t="shared" si="5"/>
      </c>
      <c r="L39" s="54">
        <f t="shared" si="3"/>
      </c>
      <c r="M39" s="55"/>
      <c r="N39" s="50"/>
    </row>
    <row r="40">
      <c r="A40" s="48" t="s">
        <v>89</v>
      </c>
      <c r="B40" s="49" t="s">
        <v>74</v>
      </c>
      <c r="C40" s="50" t="s">
        <v>93</v>
      </c>
      <c r="D40" s="50">
        <v>4</v>
      </c>
      <c r="E40" s="50">
        <v>106</v>
      </c>
      <c r="F40" s="51">
        <v>7</v>
      </c>
      <c r="G40" s="52">
        <v>71305.6</v>
      </c>
      <c r="H40" s="52">
        <v>24212.02</v>
      </c>
      <c r="I40" s="53">
        <f t="shared" si="4"/>
      </c>
      <c r="J40" s="53">
        <f t="shared" si="1"/>
      </c>
      <c r="K40" s="53">
        <f t="shared" si="5"/>
      </c>
      <c r="L40" s="54">
        <f t="shared" si="3"/>
      </c>
      <c r="M40" s="55" t="s">
        <v>94</v>
      </c>
      <c r="N40" s="50">
        <v>9</v>
      </c>
    </row>
    <row r="41">
      <c r="A41" s="56" t="s">
        <v>89</v>
      </c>
      <c r="B41" s="57"/>
      <c r="C41" s="57"/>
      <c r="D41" s="57">
        <f>SUM(D37:D40)</f>
      </c>
      <c r="E41" s="57">
        <f>SUM(E37:E40)</f>
      </c>
      <c r="F41" s="58">
        <f>SUM(F37:F40)</f>
      </c>
      <c r="G41" s="57">
        <f>SUM(G37:G40)</f>
      </c>
      <c r="H41" s="57">
        <f>SUM(H37:H40)</f>
      </c>
      <c r="I41" s="59">
        <f t="shared" si="4"/>
      </c>
      <c r="J41" s="59">
        <f t="shared" si="1"/>
      </c>
      <c r="K41" s="59">
        <f t="shared" si="5"/>
      </c>
      <c r="L41" s="60">
        <f t="shared" si="3"/>
      </c>
      <c r="M41" s="59"/>
      <c r="N41" s="57">
        <f>SUM(N37:N40)</f>
      </c>
    </row>
    <row r="42">
      <c r="A42" s="48" t="s">
        <v>95</v>
      </c>
      <c r="B42" s="49" t="s">
        <v>70</v>
      </c>
      <c r="C42" s="50" t="s">
        <v>68</v>
      </c>
      <c r="D42" s="50">
        <v>4</v>
      </c>
      <c r="E42" s="50">
        <v>73</v>
      </c>
      <c r="F42" s="51">
        <v>14</v>
      </c>
      <c r="G42" s="51">
        <v>36161.61</v>
      </c>
      <c r="H42" s="52">
        <v>17431.38</v>
      </c>
      <c r="I42" s="53">
        <f t="shared" si="4"/>
      </c>
      <c r="J42" s="53">
        <f t="shared" si="1"/>
      </c>
      <c r="K42" s="53">
        <f t="shared" si="5"/>
      </c>
      <c r="L42" s="54">
        <f t="shared" si="3"/>
      </c>
      <c r="M42" s="55" t="s">
        <v>80</v>
      </c>
      <c r="N42" s="50">
        <v>9</v>
      </c>
    </row>
    <row r="43">
      <c r="A43" s="48" t="s">
        <v>95</v>
      </c>
      <c r="B43" s="49" t="s">
        <v>67</v>
      </c>
      <c r="C43" s="50" t="s">
        <v>71</v>
      </c>
      <c r="D43" s="50">
        <v>4</v>
      </c>
      <c r="E43" s="50">
        <v>55</v>
      </c>
      <c r="F43" s="51">
        <v>21</v>
      </c>
      <c r="G43" s="51">
        <v>28042.089999999997</v>
      </c>
      <c r="H43" s="52">
        <v>13874.55</v>
      </c>
      <c r="I43" s="53">
        <f t="shared" si="4"/>
      </c>
      <c r="J43" s="53">
        <f t="shared" si="1"/>
      </c>
      <c r="K43" s="53">
        <f t="shared" si="5"/>
      </c>
      <c r="L43" s="54">
        <f t="shared" si="3"/>
      </c>
      <c r="M43" s="55"/>
      <c r="N43" s="50"/>
    </row>
    <row r="44">
      <c r="A44" s="48" t="s">
        <v>95</v>
      </c>
      <c r="B44" s="49" t="s">
        <v>72</v>
      </c>
      <c r="C44" s="50" t="s">
        <v>96</v>
      </c>
      <c r="D44" s="50">
        <v>3.5</v>
      </c>
      <c r="E44" s="50">
        <v>33</v>
      </c>
      <c r="F44" s="51">
        <v>6</v>
      </c>
      <c r="G44" s="52">
        <v>11989.279999999999</v>
      </c>
      <c r="H44" s="52">
        <v>9913.259999999998</v>
      </c>
      <c r="I44" s="53">
        <f t="shared" si="4"/>
      </c>
      <c r="J44" s="53">
        <f t="shared" si="1"/>
      </c>
      <c r="K44" s="53">
        <f t="shared" si="5"/>
      </c>
      <c r="L44" s="54">
        <f t="shared" si="3"/>
      </c>
      <c r="M44" s="55"/>
      <c r="N44" s="50"/>
    </row>
    <row r="45">
      <c r="A45" s="48" t="s">
        <v>95</v>
      </c>
      <c r="B45" s="49" t="s">
        <v>74</v>
      </c>
      <c r="C45" s="50" t="s">
        <v>86</v>
      </c>
      <c r="D45" s="50">
        <v>4</v>
      </c>
      <c r="E45" s="50">
        <v>92</v>
      </c>
      <c r="F45" s="51">
        <v>11</v>
      </c>
      <c r="G45" s="52">
        <v>54874.18000000001</v>
      </c>
      <c r="H45" s="52">
        <v>23138.13</v>
      </c>
      <c r="I45" s="53">
        <f t="shared" si="4"/>
      </c>
      <c r="J45" s="53">
        <f t="shared" si="1"/>
      </c>
      <c r="K45" s="53">
        <f t="shared" si="5"/>
      </c>
      <c r="L45" s="54">
        <f t="shared" si="3"/>
      </c>
      <c r="M45" s="55" t="s">
        <v>94</v>
      </c>
      <c r="N45" s="50">
        <v>6.5</v>
      </c>
    </row>
    <row r="46">
      <c r="A46" s="56" t="s">
        <v>95</v>
      </c>
      <c r="B46" s="57"/>
      <c r="C46" s="57"/>
      <c r="D46" s="57">
        <f>SUM(D42:D45)</f>
      </c>
      <c r="E46" s="57">
        <f>SUM(E42:E45)</f>
      </c>
      <c r="F46" s="58">
        <f>SUM(F42:F45)</f>
      </c>
      <c r="G46" s="57">
        <f>SUM(G42:G45)</f>
      </c>
      <c r="H46" s="57">
        <f>SUM(H42:H45)</f>
      </c>
      <c r="I46" s="59">
        <f t="shared" si="4"/>
      </c>
      <c r="J46" s="59">
        <f t="shared" si="1"/>
      </c>
      <c r="K46" s="59">
        <f t="shared" si="5"/>
      </c>
      <c r="L46" s="60">
        <f t="shared" si="3"/>
      </c>
      <c r="M46" s="59"/>
      <c r="N46" s="57">
        <f>SUM(N42:N45)</f>
      </c>
    </row>
    <row r="47">
      <c r="A47" s="48" t="s">
        <v>97</v>
      </c>
      <c r="B47" s="49" t="s">
        <v>67</v>
      </c>
      <c r="C47" s="50" t="s">
        <v>68</v>
      </c>
      <c r="D47" s="50">
        <v>4</v>
      </c>
      <c r="E47" s="50">
        <v>55</v>
      </c>
      <c r="F47" s="51">
        <v>10</v>
      </c>
      <c r="G47" s="51">
        <v>22615.26</v>
      </c>
      <c r="H47" s="52">
        <v>15802.780000000002</v>
      </c>
      <c r="I47" s="53">
        <f t="shared" si="4"/>
      </c>
      <c r="J47" s="53">
        <f t="shared" si="1"/>
      </c>
      <c r="K47" s="53">
        <f t="shared" si="5"/>
      </c>
      <c r="L47" s="54">
        <f t="shared" si="3"/>
      </c>
      <c r="M47" s="55" t="s">
        <v>80</v>
      </c>
      <c r="N47" s="50">
        <v>9</v>
      </c>
    </row>
    <row r="48">
      <c r="A48" s="48" t="s">
        <v>97</v>
      </c>
      <c r="B48" s="49" t="s">
        <v>70</v>
      </c>
      <c r="C48" s="50" t="s">
        <v>71</v>
      </c>
      <c r="D48" s="50">
        <v>4</v>
      </c>
      <c r="E48" s="50">
        <v>45</v>
      </c>
      <c r="F48" s="51">
        <v>9</v>
      </c>
      <c r="G48" s="51">
        <v>15054.400000000005</v>
      </c>
      <c r="H48" s="52">
        <v>14931.750000000004</v>
      </c>
      <c r="I48" s="53">
        <f t="shared" si="4"/>
      </c>
      <c r="J48" s="53">
        <f t="shared" si="1"/>
      </c>
      <c r="K48" s="53">
        <f t="shared" si="5"/>
      </c>
      <c r="L48" s="54">
        <f t="shared" si="3"/>
      </c>
      <c r="M48" s="55"/>
      <c r="N48" s="50"/>
    </row>
    <row r="49">
      <c r="A49" s="48" t="s">
        <v>97</v>
      </c>
      <c r="B49" s="49" t="s">
        <v>72</v>
      </c>
      <c r="C49" s="50" t="s">
        <v>98</v>
      </c>
      <c r="D49" s="50">
        <v>2</v>
      </c>
      <c r="E49" s="50">
        <v>29</v>
      </c>
      <c r="F49" s="51">
        <v>6</v>
      </c>
      <c r="G49" s="52">
        <v>12697.759999999995</v>
      </c>
      <c r="H49" s="52">
        <v>12301.38</v>
      </c>
      <c r="I49" s="53">
        <f t="shared" si="4"/>
      </c>
      <c r="J49" s="53">
        <f t="shared" si="1"/>
      </c>
      <c r="K49" s="53">
        <f t="shared" si="5"/>
      </c>
      <c r="L49" s="54">
        <f t="shared" si="3"/>
      </c>
      <c r="M49" s="55"/>
      <c r="N49" s="50"/>
    </row>
    <row r="50">
      <c r="A50" s="48" t="s">
        <v>97</v>
      </c>
      <c r="B50" s="49" t="s">
        <v>74</v>
      </c>
      <c r="C50" s="50" t="s">
        <v>99</v>
      </c>
      <c r="D50" s="50">
        <v>2</v>
      </c>
      <c r="E50" s="50">
        <v>30</v>
      </c>
      <c r="F50" s="51">
        <v>4</v>
      </c>
      <c r="G50" s="52">
        <v>7647.520000000004</v>
      </c>
      <c r="H50" s="52">
        <v>11799.34</v>
      </c>
      <c r="I50" s="53">
        <f t="shared" si="4"/>
      </c>
      <c r="J50" s="53">
        <f t="shared" si="1"/>
      </c>
      <c r="K50" s="53">
        <f t="shared" si="5"/>
      </c>
      <c r="L50" s="54">
        <f t="shared" si="3"/>
      </c>
      <c r="M50" s="55" t="s">
        <v>100</v>
      </c>
      <c r="N50" s="50">
        <v>3</v>
      </c>
    </row>
    <row r="51">
      <c r="A51" s="56" t="s">
        <v>97</v>
      </c>
      <c r="B51" s="57"/>
      <c r="C51" s="57"/>
      <c r="D51" s="57">
        <f>SUM(D47:D50)</f>
      </c>
      <c r="E51" s="57">
        <f>SUM(E47:E50)</f>
      </c>
      <c r="F51" s="58">
        <f>SUM(F47:F50)</f>
      </c>
      <c r="G51" s="57">
        <f>SUM(G47:G50)</f>
      </c>
      <c r="H51" s="57">
        <f>SUM(H47:H50)</f>
      </c>
      <c r="I51" s="59">
        <f t="shared" si="4"/>
      </c>
      <c r="J51" s="59">
        <f t="shared" si="1"/>
      </c>
      <c r="K51" s="59">
        <f t="shared" si="5"/>
      </c>
      <c r="L51" s="60">
        <f t="shared" si="3"/>
      </c>
      <c r="M51" s="59"/>
      <c r="N51" s="57">
        <f>SUM(N47:N50)</f>
      </c>
    </row>
    <row r="52">
      <c r="A52" s="48" t="s">
        <v>101</v>
      </c>
      <c r="B52" s="49" t="s">
        <v>70</v>
      </c>
      <c r="C52" s="50" t="s">
        <v>68</v>
      </c>
      <c r="D52" s="50">
        <v>4</v>
      </c>
      <c r="E52" s="50">
        <v>70</v>
      </c>
      <c r="F52" s="51">
        <v>23</v>
      </c>
      <c r="G52" s="51">
        <v>22803.42</v>
      </c>
      <c r="H52" s="52">
        <v>18485.68</v>
      </c>
      <c r="I52" s="53">
        <f t="shared" si="4"/>
      </c>
      <c r="J52" s="53">
        <f t="shared" si="1"/>
      </c>
      <c r="K52" s="53">
        <f t="shared" si="5"/>
      </c>
      <c r="L52" s="54">
        <f t="shared" si="3"/>
      </c>
      <c r="M52" s="55" t="s">
        <v>80</v>
      </c>
      <c r="N52" s="50">
        <v>6.5</v>
      </c>
    </row>
    <row r="53">
      <c r="A53" s="48" t="s">
        <v>101</v>
      </c>
      <c r="B53" s="49" t="s">
        <v>74</v>
      </c>
      <c r="C53" s="50" t="s">
        <v>102</v>
      </c>
      <c r="D53" s="50">
        <v>2.5</v>
      </c>
      <c r="E53" s="50">
        <v>19</v>
      </c>
      <c r="F53" s="51">
        <v>3</v>
      </c>
      <c r="G53" s="51">
        <v>6888.720000000001</v>
      </c>
      <c r="H53" s="52">
        <v>8005.74</v>
      </c>
      <c r="I53" s="53">
        <f t="shared" si="4"/>
      </c>
      <c r="J53" s="53">
        <f t="shared" si="1"/>
      </c>
      <c r="K53" s="53">
        <f t="shared" si="5"/>
      </c>
      <c r="L53" s="54">
        <f t="shared" si="3"/>
      </c>
      <c r="M53" s="55"/>
      <c r="N53" s="50"/>
    </row>
    <row r="54">
      <c r="A54" s="56" t="s">
        <v>101</v>
      </c>
      <c r="B54" s="57"/>
      <c r="C54" s="57"/>
      <c r="D54" s="57">
        <f>SUM(D52:D53)</f>
      </c>
      <c r="E54" s="57">
        <f>SUM(E52:E53)</f>
      </c>
      <c r="F54" s="58">
        <f>SUM(F52:F53)</f>
      </c>
      <c r="G54" s="57">
        <f>SUM(G52:G53)</f>
      </c>
      <c r="H54" s="57">
        <f>SUM(H52:H53)</f>
      </c>
      <c r="I54" s="59">
        <f t="shared" si="4"/>
      </c>
      <c r="J54" s="59">
        <f t="shared" si="1"/>
      </c>
      <c r="K54" s="59">
        <f t="shared" si="5"/>
      </c>
      <c r="L54" s="60">
        <f t="shared" si="3"/>
      </c>
      <c r="M54" s="59"/>
      <c r="N54" s="57">
        <f>SUM(N52:N53)</f>
      </c>
    </row>
    <row r="55">
      <c r="A55" s="48" t="s">
        <v>103</v>
      </c>
      <c r="B55" s="49" t="s">
        <v>74</v>
      </c>
      <c r="C55" s="50" t="s">
        <v>68</v>
      </c>
      <c r="D55" s="50">
        <v>4</v>
      </c>
      <c r="E55" s="50">
        <v>56</v>
      </c>
      <c r="F55" s="51">
        <v>17</v>
      </c>
      <c r="G55" s="52">
        <v>19666.46</v>
      </c>
      <c r="H55" s="52">
        <v>13610.66</v>
      </c>
      <c r="I55" s="53">
        <f t="shared" si="4"/>
      </c>
      <c r="J55" s="53">
        <f t="shared" si="1"/>
      </c>
      <c r="K55" s="53">
        <f t="shared" si="5"/>
      </c>
      <c r="L55" s="54">
        <f t="shared" si="3"/>
      </c>
      <c r="M55" s="55" t="s">
        <v>80</v>
      </c>
      <c r="N55" s="50">
        <v>9</v>
      </c>
    </row>
    <row r="56">
      <c r="A56" s="48" t="s">
        <v>103</v>
      </c>
      <c r="B56" s="49" t="s">
        <v>84</v>
      </c>
      <c r="C56" s="50" t="s">
        <v>71</v>
      </c>
      <c r="D56" s="50">
        <v>4</v>
      </c>
      <c r="E56" s="50">
        <v>44</v>
      </c>
      <c r="F56" s="51">
        <v>9</v>
      </c>
      <c r="G56" s="52">
        <v>14908.480000000003</v>
      </c>
      <c r="H56" s="52">
        <v>12650.53</v>
      </c>
      <c r="I56" s="53">
        <f t="shared" si="4"/>
      </c>
      <c r="J56" s="53">
        <f t="shared" si="1"/>
      </c>
      <c r="K56" s="53">
        <f t="shared" si="5"/>
      </c>
      <c r="L56" s="54">
        <f t="shared" si="3"/>
      </c>
      <c r="M56" s="55"/>
      <c r="N56" s="50"/>
    </row>
    <row r="57">
      <c r="A57" s="48" t="s">
        <v>103</v>
      </c>
      <c r="B57" s="49" t="s">
        <v>67</v>
      </c>
      <c r="C57" s="50" t="s">
        <v>85</v>
      </c>
      <c r="D57" s="50">
        <v>5</v>
      </c>
      <c r="E57" s="50">
        <v>76</v>
      </c>
      <c r="F57" s="51">
        <v>16</v>
      </c>
      <c r="G57" s="52">
        <v>34091</v>
      </c>
      <c r="H57" s="52">
        <v>20352.22</v>
      </c>
      <c r="I57" s="53">
        <f t="shared" si="4"/>
      </c>
      <c r="J57" s="53">
        <f t="shared" si="1"/>
      </c>
      <c r="K57" s="53">
        <f t="shared" si="5"/>
      </c>
      <c r="L57" s="54">
        <f t="shared" si="3"/>
      </c>
      <c r="M57" s="55"/>
      <c r="N57" s="50"/>
    </row>
    <row r="58">
      <c r="A58" s="48" t="s">
        <v>103</v>
      </c>
      <c r="B58" s="49" t="s">
        <v>72</v>
      </c>
      <c r="C58" s="50" t="s">
        <v>99</v>
      </c>
      <c r="D58" s="50">
        <v>2</v>
      </c>
      <c r="E58" s="50">
        <v>34</v>
      </c>
      <c r="F58" s="51">
        <v>3</v>
      </c>
      <c r="G58" s="52">
        <v>9008.44</v>
      </c>
      <c r="H58" s="52">
        <v>8821.95</v>
      </c>
      <c r="I58" s="53">
        <f t="shared" si="4"/>
      </c>
      <c r="J58" s="53">
        <f t="shared" si="1"/>
      </c>
      <c r="K58" s="53">
        <f t="shared" si="5"/>
      </c>
      <c r="L58" s="54">
        <f t="shared" si="3"/>
      </c>
      <c r="M58" s="55" t="s">
        <v>76</v>
      </c>
      <c r="N58" s="50">
        <v>6</v>
      </c>
    </row>
    <row r="59">
      <c r="A59" s="56" t="s">
        <v>103</v>
      </c>
      <c r="B59" s="57"/>
      <c r="C59" s="57"/>
      <c r="D59" s="57">
        <f>SUM(D55:D58)</f>
      </c>
      <c r="E59" s="57">
        <f>SUM(E55:E58)</f>
      </c>
      <c r="F59" s="58">
        <f>SUM(F55:F58)</f>
      </c>
      <c r="G59" s="57">
        <f>SUM(G55:G58)</f>
      </c>
      <c r="H59" s="57">
        <f>SUM(H55:H58)</f>
      </c>
      <c r="I59" s="59">
        <f t="shared" si="4"/>
      </c>
      <c r="J59" s="59">
        <f t="shared" si="1"/>
      </c>
      <c r="K59" s="59">
        <f t="shared" si="5"/>
      </c>
      <c r="L59" s="60">
        <f t="shared" si="3"/>
      </c>
      <c r="M59" s="59"/>
      <c r="N59" s="57">
        <f>SUM(N55:N58)</f>
      </c>
    </row>
    <row r="60">
      <c r="A60" s="48" t="s">
        <v>104</v>
      </c>
      <c r="B60" s="49" t="s">
        <v>74</v>
      </c>
      <c r="C60" s="50" t="s">
        <v>68</v>
      </c>
      <c r="D60" s="50">
        <v>4</v>
      </c>
      <c r="E60" s="50">
        <v>73</v>
      </c>
      <c r="F60" s="51">
        <v>23</v>
      </c>
      <c r="G60" s="51">
        <v>28873.2</v>
      </c>
      <c r="H60" s="52">
        <v>14196</v>
      </c>
      <c r="I60" s="53">
        <f t="shared" si="4"/>
      </c>
      <c r="J60" s="53">
        <f t="shared" si="1"/>
      </c>
      <c r="K60" s="53">
        <f t="shared" si="5"/>
      </c>
      <c r="L60" s="54">
        <f t="shared" si="3"/>
      </c>
      <c r="M60" s="55" t="s">
        <v>80</v>
      </c>
      <c r="N60" s="50">
        <v>9</v>
      </c>
    </row>
    <row r="61">
      <c r="A61" s="48" t="s">
        <v>104</v>
      </c>
      <c r="B61" s="49" t="s">
        <v>84</v>
      </c>
      <c r="C61" s="50" t="s">
        <v>71</v>
      </c>
      <c r="D61" s="50">
        <v>4</v>
      </c>
      <c r="E61" s="50">
        <v>54</v>
      </c>
      <c r="F61" s="51">
        <v>10</v>
      </c>
      <c r="G61" s="51">
        <v>21842.210000000003</v>
      </c>
      <c r="H61" s="52">
        <v>13758.400000000001</v>
      </c>
      <c r="I61" s="53">
        <f t="shared" si="4"/>
      </c>
      <c r="J61" s="53">
        <f t="shared" si="1"/>
      </c>
      <c r="K61" s="53">
        <f t="shared" si="5"/>
      </c>
      <c r="L61" s="54">
        <f t="shared" si="3"/>
      </c>
      <c r="M61" s="55"/>
      <c r="N61" s="50"/>
    </row>
    <row r="62">
      <c r="A62" s="48" t="s">
        <v>104</v>
      </c>
      <c r="B62" s="49" t="s">
        <v>70</v>
      </c>
      <c r="C62" s="50" t="s">
        <v>73</v>
      </c>
      <c r="D62" s="50">
        <v>4</v>
      </c>
      <c r="E62" s="50">
        <v>68</v>
      </c>
      <c r="F62" s="51">
        <v>14</v>
      </c>
      <c r="G62" s="52">
        <v>28504</v>
      </c>
      <c r="H62" s="52">
        <v>18833.78</v>
      </c>
      <c r="I62" s="53">
        <f t="shared" si="4"/>
      </c>
      <c r="J62" s="53">
        <f t="shared" si="1"/>
      </c>
      <c r="K62" s="53">
        <f t="shared" si="5"/>
      </c>
      <c r="L62" s="54">
        <f t="shared" si="3"/>
      </c>
      <c r="M62" s="55"/>
      <c r="N62" s="50"/>
    </row>
    <row r="63">
      <c r="A63" s="48" t="s">
        <v>104</v>
      </c>
      <c r="B63" s="49" t="s">
        <v>67</v>
      </c>
      <c r="C63" s="50" t="s">
        <v>105</v>
      </c>
      <c r="D63" s="50">
        <v>2</v>
      </c>
      <c r="E63" s="50">
        <v>17</v>
      </c>
      <c r="F63" s="51">
        <v>1</v>
      </c>
      <c r="G63" s="52">
        <v>6867.04</v>
      </c>
      <c r="H63" s="52">
        <v>6204.93</v>
      </c>
      <c r="I63" s="53">
        <f t="shared" si="4"/>
      </c>
      <c r="J63" s="53">
        <f t="shared" si="1"/>
      </c>
      <c r="K63" s="53">
        <f t="shared" si="5"/>
      </c>
      <c r="L63" s="54">
        <f t="shared" si="3"/>
      </c>
      <c r="M63" s="55" t="s">
        <v>76</v>
      </c>
      <c r="N63" s="50">
        <v>5</v>
      </c>
    </row>
    <row r="64">
      <c r="A64" s="56" t="s">
        <v>104</v>
      </c>
      <c r="B64" s="57"/>
      <c r="C64" s="57"/>
      <c r="D64" s="57">
        <f>SUM(D60:D63)</f>
      </c>
      <c r="E64" s="57">
        <f>SUM(E60:E63)</f>
      </c>
      <c r="F64" s="58">
        <f>SUM(F60:F63)</f>
      </c>
      <c r="G64" s="57">
        <f>SUM(G60:G63)</f>
      </c>
      <c r="H64" s="57">
        <f>SUM(H60:H63)</f>
      </c>
      <c r="I64" s="59">
        <f t="shared" si="4"/>
      </c>
      <c r="J64" s="59">
        <f t="shared" si="1"/>
      </c>
      <c r="K64" s="59">
        <f t="shared" si="5"/>
      </c>
      <c r="L64" s="60">
        <f t="shared" si="3"/>
      </c>
      <c r="M64" s="59"/>
      <c r="N64" s="57">
        <f>SUM(N60:N63)</f>
      </c>
    </row>
    <row r="65">
      <c r="A65" s="48" t="s">
        <v>106</v>
      </c>
      <c r="B65" s="49" t="s">
        <v>74</v>
      </c>
      <c r="C65" s="50" t="s">
        <v>68</v>
      </c>
      <c r="D65" s="50">
        <v>4</v>
      </c>
      <c r="E65" s="50">
        <v>23</v>
      </c>
      <c r="F65" s="51">
        <v>8</v>
      </c>
      <c r="G65" s="51">
        <v>8843.63</v>
      </c>
      <c r="H65" s="52">
        <v>6152.85</v>
      </c>
      <c r="I65" s="53">
        <f t="shared" si="4"/>
      </c>
      <c r="J65" s="53">
        <f t="shared" si="1"/>
      </c>
      <c r="K65" s="53">
        <f t="shared" si="5"/>
      </c>
      <c r="L65" s="54">
        <f t="shared" si="3"/>
      </c>
      <c r="M65" s="55" t="s">
        <v>82</v>
      </c>
      <c r="N65" s="50">
        <v>9</v>
      </c>
    </row>
    <row r="66">
      <c r="A66" s="48" t="s">
        <v>106</v>
      </c>
      <c r="B66" s="49" t="s">
        <v>72</v>
      </c>
      <c r="C66" s="50" t="s">
        <v>71</v>
      </c>
      <c r="D66" s="50">
        <v>4</v>
      </c>
      <c r="E66" s="51">
        <v>30</v>
      </c>
      <c r="F66" s="51">
        <v>8</v>
      </c>
      <c r="G66" s="51">
        <v>9433.860000000002</v>
      </c>
      <c r="H66" s="52">
        <v>8648.07</v>
      </c>
      <c r="I66" s="53">
        <f t="shared" si="4"/>
      </c>
      <c r="J66" s="53">
        <f t="shared" si="1"/>
      </c>
      <c r="K66" s="53">
        <f t="shared" si="5"/>
      </c>
      <c r="L66" s="54">
        <f t="shared" si="3"/>
      </c>
      <c r="M66" s="55"/>
      <c r="N66" s="50"/>
    </row>
    <row r="67">
      <c r="A67" s="48" t="s">
        <v>106</v>
      </c>
      <c r="B67" s="49" t="s">
        <v>70</v>
      </c>
      <c r="C67" s="50" t="s">
        <v>85</v>
      </c>
      <c r="D67" s="50">
        <v>5</v>
      </c>
      <c r="E67" s="50">
        <v>71</v>
      </c>
      <c r="F67" s="51">
        <v>9</v>
      </c>
      <c r="G67" s="52">
        <v>27833.24</v>
      </c>
      <c r="H67" s="52">
        <v>19627.36</v>
      </c>
      <c r="I67" s="53">
        <f t="shared" si="4"/>
      </c>
      <c r="J67" s="53">
        <f t="shared" si="1"/>
      </c>
      <c r="K67" s="53">
        <f t="shared" si="5"/>
      </c>
      <c r="L67" s="54">
        <f t="shared" si="3"/>
      </c>
      <c r="M67" s="55"/>
      <c r="N67" s="50"/>
    </row>
    <row r="68">
      <c r="A68" s="48" t="s">
        <v>106</v>
      </c>
      <c r="B68" s="49" t="s">
        <v>67</v>
      </c>
      <c r="C68" s="50" t="s">
        <v>86</v>
      </c>
      <c r="D68" s="50">
        <v>4</v>
      </c>
      <c r="E68" s="50">
        <v>95</v>
      </c>
      <c r="F68" s="51">
        <v>21</v>
      </c>
      <c r="G68" s="52">
        <v>35139.04</v>
      </c>
      <c r="H68" s="52">
        <v>25878.47</v>
      </c>
      <c r="I68" s="53">
        <f t="shared" si="4"/>
      </c>
      <c r="J68" s="53">
        <f t="shared" si="1"/>
      </c>
      <c r="K68" s="53">
        <f t="shared" si="5"/>
      </c>
      <c r="L68" s="54">
        <f t="shared" si="3"/>
      </c>
      <c r="M68" s="55" t="s">
        <v>76</v>
      </c>
      <c r="N68" s="50">
        <v>8</v>
      </c>
    </row>
    <row r="69">
      <c r="A69" s="56" t="s">
        <v>106</v>
      </c>
      <c r="B69" s="57"/>
      <c r="C69" s="57"/>
      <c r="D69" s="57">
        <f>SUM(D65:D68)</f>
      </c>
      <c r="E69" s="57">
        <f>SUM(E65:E68)</f>
      </c>
      <c r="F69" s="58">
        <f>SUM(F65:F68)</f>
      </c>
      <c r="G69" s="57">
        <f>SUM(G65:G68)</f>
      </c>
      <c r="H69" s="57">
        <f>SUM(H65:H68)</f>
      </c>
      <c r="I69" s="59">
        <f t="shared" si="4"/>
      </c>
      <c r="J69" s="59">
        <f t="shared" si="1"/>
      </c>
      <c r="K69" s="59">
        <f t="shared" si="5"/>
      </c>
      <c r="L69" s="60">
        <f t="shared" si="3"/>
      </c>
      <c r="M69" s="59"/>
      <c r="N69" s="57">
        <f>SUM(N65:N68)</f>
      </c>
    </row>
    <row r="70">
      <c r="A70" s="48" t="s">
        <v>107</v>
      </c>
      <c r="B70" s="49" t="s">
        <v>72</v>
      </c>
      <c r="C70" s="50" t="s">
        <v>68</v>
      </c>
      <c r="D70" s="50">
        <v>4</v>
      </c>
      <c r="E70" s="50">
        <v>21</v>
      </c>
      <c r="F70" s="51">
        <v>4</v>
      </c>
      <c r="G70" s="51">
        <v>11777.88</v>
      </c>
      <c r="H70" s="52">
        <v>7352.49</v>
      </c>
      <c r="I70" s="53">
        <f t="shared" si="4"/>
      </c>
      <c r="J70" s="53">
        <f t="shared" si="1"/>
      </c>
      <c r="K70" s="53">
        <f t="shared" si="5"/>
      </c>
      <c r="L70" s="54">
        <f t="shared" si="3"/>
      </c>
      <c r="M70" s="55" t="s">
        <v>82</v>
      </c>
      <c r="N70" s="50">
        <v>9</v>
      </c>
    </row>
    <row r="71">
      <c r="A71" s="48" t="s">
        <v>107</v>
      </c>
      <c r="B71" s="49" t="s">
        <v>67</v>
      </c>
      <c r="C71" s="50" t="s">
        <v>71</v>
      </c>
      <c r="D71" s="50">
        <v>4</v>
      </c>
      <c r="E71" s="51">
        <v>59</v>
      </c>
      <c r="F71" s="51">
        <v>13</v>
      </c>
      <c r="G71" s="51">
        <v>20199.110000000004</v>
      </c>
      <c r="H71" s="52">
        <v>14522.49</v>
      </c>
      <c r="I71" s="53">
        <f t="shared" si="4"/>
      </c>
      <c r="J71" s="53">
        <f t="shared" si="1"/>
      </c>
      <c r="K71" s="53">
        <f t="shared" si="5"/>
      </c>
      <c r="L71" s="54">
        <f t="shared" si="3"/>
      </c>
      <c r="M71" s="55"/>
      <c r="N71" s="50"/>
    </row>
    <row r="72">
      <c r="A72" s="48" t="s">
        <v>107</v>
      </c>
      <c r="B72" s="49" t="s">
        <v>70</v>
      </c>
      <c r="C72" s="50" t="s">
        <v>85</v>
      </c>
      <c r="D72" s="50">
        <v>5</v>
      </c>
      <c r="E72" s="50">
        <v>55</v>
      </c>
      <c r="F72" s="51">
        <v>19</v>
      </c>
      <c r="G72" s="52">
        <v>22569.04</v>
      </c>
      <c r="H72" s="52">
        <v>19879.39</v>
      </c>
      <c r="I72" s="53">
        <f t="shared" si="4"/>
      </c>
      <c r="J72" s="53">
        <f t="shared" si="1"/>
      </c>
      <c r="K72" s="53">
        <f t="shared" si="5"/>
      </c>
      <c r="L72" s="54">
        <f t="shared" si="3"/>
      </c>
      <c r="M72" s="55"/>
      <c r="N72" s="50"/>
    </row>
    <row r="73">
      <c r="A73" s="48" t="s">
        <v>107</v>
      </c>
      <c r="B73" s="49" t="s">
        <v>74</v>
      </c>
      <c r="C73" s="50" t="s">
        <v>86</v>
      </c>
      <c r="D73" s="50">
        <v>4</v>
      </c>
      <c r="E73" s="50">
        <v>88</v>
      </c>
      <c r="F73" s="51">
        <v>10</v>
      </c>
      <c r="G73" s="52">
        <v>47518.64</v>
      </c>
      <c r="H73" s="52">
        <v>22062.94</v>
      </c>
      <c r="I73" s="53">
        <f t="shared" si="4"/>
      </c>
      <c r="J73" s="53">
        <f t="shared" si="1"/>
      </c>
      <c r="K73" s="53">
        <f t="shared" si="5"/>
      </c>
      <c r="L73" s="54">
        <f t="shared" si="3"/>
      </c>
      <c r="M73" s="55" t="s">
        <v>76</v>
      </c>
      <c r="N73" s="50">
        <v>8</v>
      </c>
    </row>
    <row r="74">
      <c r="A74" s="56" t="s">
        <v>107</v>
      </c>
      <c r="B74" s="57"/>
      <c r="C74" s="57"/>
      <c r="D74" s="57">
        <f>SUM(D70:D73)</f>
      </c>
      <c r="E74" s="57">
        <f>SUM(E70:E73)</f>
      </c>
      <c r="F74" s="58">
        <f>SUM(F70:F73)</f>
      </c>
      <c r="G74" s="57">
        <f>SUM(G70:G73)</f>
      </c>
      <c r="H74" s="57">
        <f>SUM(H70:H73)</f>
      </c>
      <c r="I74" s="59">
        <f t="shared" si="4"/>
      </c>
      <c r="J74" s="59">
        <f t="shared" si="1"/>
      </c>
      <c r="K74" s="59">
        <f t="shared" si="5"/>
      </c>
      <c r="L74" s="60">
        <f t="shared" si="3"/>
      </c>
      <c r="M74" s="59"/>
      <c r="N74" s="57">
        <f>SUM(N70:N73)</f>
      </c>
    </row>
    <row r="75">
      <c r="A75" s="48" t="s">
        <v>108</v>
      </c>
      <c r="B75" s="49" t="s">
        <v>72</v>
      </c>
      <c r="C75" s="50" t="s">
        <v>68</v>
      </c>
      <c r="D75" s="50">
        <v>4</v>
      </c>
      <c r="E75" s="50">
        <v>55</v>
      </c>
      <c r="F75" s="51">
        <v>19</v>
      </c>
      <c r="G75" s="51">
        <v>24511.46</v>
      </c>
      <c r="H75" s="52">
        <v>14391.81</v>
      </c>
      <c r="I75" s="53">
        <f t="shared" si="4"/>
      </c>
      <c r="J75" s="53">
        <f t="shared" si="1"/>
      </c>
      <c r="K75" s="53">
        <f t="shared" si="5"/>
      </c>
      <c r="L75" s="54">
        <f t="shared" si="3"/>
      </c>
      <c r="M75" s="55" t="s">
        <v>82</v>
      </c>
      <c r="N75" s="50">
        <v>8</v>
      </c>
    </row>
    <row r="76">
      <c r="A76" s="48" t="s">
        <v>108</v>
      </c>
      <c r="B76" s="49" t="s">
        <v>70</v>
      </c>
      <c r="C76" s="50" t="s">
        <v>109</v>
      </c>
      <c r="D76" s="50">
        <v>5</v>
      </c>
      <c r="E76" s="51">
        <v>78</v>
      </c>
      <c r="F76" s="51">
        <v>17</v>
      </c>
      <c r="G76" s="51">
        <v>41103.46</v>
      </c>
      <c r="H76" s="52">
        <v>17793.25</v>
      </c>
      <c r="I76" s="53">
        <f t="shared" si="4"/>
      </c>
      <c r="J76" s="53">
        <f t="shared" si="1"/>
      </c>
      <c r="K76" s="53">
        <f t="shared" si="5"/>
      </c>
      <c r="L76" s="54">
        <f t="shared" si="3"/>
      </c>
      <c r="M76" s="55" t="s">
        <v>80</v>
      </c>
      <c r="N76" s="50">
        <v>1</v>
      </c>
    </row>
    <row r="77">
      <c r="A77" s="48" t="s">
        <v>108</v>
      </c>
      <c r="B77" s="49" t="s">
        <v>110</v>
      </c>
      <c r="C77" s="50" t="s">
        <v>111</v>
      </c>
      <c r="D77" s="50">
        <v>3</v>
      </c>
      <c r="E77" s="50">
        <v>22</v>
      </c>
      <c r="F77" s="51">
        <v>7</v>
      </c>
      <c r="G77" s="52">
        <v>9629.34</v>
      </c>
      <c r="H77" s="52">
        <v>9571.65</v>
      </c>
      <c r="I77" s="53">
        <f t="shared" si="4"/>
      </c>
      <c r="J77" s="53">
        <f t="shared" si="1"/>
      </c>
      <c r="K77" s="53">
        <f t="shared" si="5"/>
      </c>
      <c r="L77" s="54">
        <f t="shared" si="3"/>
      </c>
      <c r="M77" s="55"/>
      <c r="N77" s="50"/>
    </row>
    <row r="78">
      <c r="A78" s="48" t="s">
        <v>108</v>
      </c>
      <c r="B78" s="49" t="s">
        <v>74</v>
      </c>
      <c r="C78" s="50" t="s">
        <v>75</v>
      </c>
      <c r="D78" s="50">
        <v>5</v>
      </c>
      <c r="E78" s="50">
        <v>144</v>
      </c>
      <c r="F78" s="51">
        <v>10</v>
      </c>
      <c r="G78" s="52">
        <v>80394.73</v>
      </c>
      <c r="H78" s="52">
        <v>36207.450000000004</v>
      </c>
      <c r="I78" s="53">
        <f t="shared" si="4"/>
      </c>
      <c r="J78" s="53">
        <f t="shared" si="1"/>
      </c>
      <c r="K78" s="53">
        <f t="shared" si="5"/>
      </c>
      <c r="L78" s="54">
        <f t="shared" si="3"/>
      </c>
      <c r="M78" s="55" t="s">
        <v>76</v>
      </c>
      <c r="N78" s="50">
        <v>8</v>
      </c>
    </row>
    <row r="79">
      <c r="A79" s="56" t="s">
        <v>108</v>
      </c>
      <c r="B79" s="57"/>
      <c r="C79" s="57"/>
      <c r="D79" s="57">
        <f>SUM(D75:D78)</f>
      </c>
      <c r="E79" s="57">
        <f>SUM(E75:E78)</f>
      </c>
      <c r="F79" s="58">
        <f>SUM(F75:F78)</f>
      </c>
      <c r="G79" s="57">
        <f>SUM(G75:G78)</f>
      </c>
      <c r="H79" s="57">
        <f>SUM(H75:H78)</f>
      </c>
      <c r="I79" s="59">
        <f t="shared" si="4"/>
      </c>
      <c r="J79" s="59">
        <f t="shared" si="1"/>
      </c>
      <c r="K79" s="59">
        <f t="shared" si="5"/>
      </c>
      <c r="L79" s="60">
        <f t="shared" si="3"/>
      </c>
      <c r="M79" s="59"/>
      <c r="N79" s="57">
        <f>SUM(N75:N78)</f>
      </c>
    </row>
    <row r="80">
      <c r="A80" s="48" t="s">
        <v>112</v>
      </c>
      <c r="B80" s="49" t="s">
        <v>72</v>
      </c>
      <c r="C80" s="50" t="s">
        <v>68</v>
      </c>
      <c r="D80" s="50">
        <v>4</v>
      </c>
      <c r="E80" s="50">
        <v>65</v>
      </c>
      <c r="F80" s="51">
        <v>15</v>
      </c>
      <c r="G80" s="51">
        <v>29175.81</v>
      </c>
      <c r="H80" s="52">
        <v>15875.150000000001</v>
      </c>
      <c r="I80" s="53">
        <f t="shared" si="4"/>
      </c>
      <c r="J80" s="53">
        <f t="shared" si="1"/>
      </c>
      <c r="K80" s="53">
        <f t="shared" si="5"/>
      </c>
      <c r="L80" s="54">
        <f t="shared" si="3"/>
      </c>
      <c r="M80" s="55" t="s">
        <v>69</v>
      </c>
      <c r="N80" s="50">
        <v>9</v>
      </c>
    </row>
    <row r="81">
      <c r="A81" s="48" t="s">
        <v>112</v>
      </c>
      <c r="B81" s="49" t="s">
        <v>70</v>
      </c>
      <c r="C81" s="50" t="s">
        <v>109</v>
      </c>
      <c r="D81" s="50">
        <v>5</v>
      </c>
      <c r="E81" s="51">
        <v>49</v>
      </c>
      <c r="F81" s="51">
        <v>9</v>
      </c>
      <c r="G81" s="51">
        <v>26267.78</v>
      </c>
      <c r="H81" s="52">
        <v>14555.02</v>
      </c>
      <c r="I81" s="53">
        <f t="shared" si="4"/>
      </c>
      <c r="J81" s="53">
        <f t="shared" si="1"/>
      </c>
      <c r="K81" s="53">
        <f t="shared" si="5"/>
      </c>
      <c r="L81" s="54">
        <f t="shared" si="3"/>
      </c>
      <c r="M81" s="55"/>
      <c r="N81" s="50"/>
    </row>
    <row r="82">
      <c r="A82" s="48" t="s">
        <v>112</v>
      </c>
      <c r="B82" s="49" t="s">
        <v>110</v>
      </c>
      <c r="C82" s="50" t="s">
        <v>111</v>
      </c>
      <c r="D82" s="50">
        <v>3</v>
      </c>
      <c r="E82" s="50">
        <v>40</v>
      </c>
      <c r="F82" s="51">
        <v>10</v>
      </c>
      <c r="G82" s="52">
        <v>16309.94</v>
      </c>
      <c r="H82" s="52">
        <v>10549.59</v>
      </c>
      <c r="I82" s="53">
        <f t="shared" si="4"/>
      </c>
      <c r="J82" s="53">
        <f t="shared" si="1"/>
      </c>
      <c r="K82" s="53">
        <f t="shared" si="5"/>
      </c>
      <c r="L82" s="54">
        <f t="shared" si="3"/>
      </c>
      <c r="M82" s="55"/>
      <c r="N82" s="50"/>
    </row>
    <row r="83">
      <c r="A83" s="48" t="s">
        <v>112</v>
      </c>
      <c r="B83" s="49" t="s">
        <v>74</v>
      </c>
      <c r="C83" s="50" t="s">
        <v>75</v>
      </c>
      <c r="D83" s="50">
        <v>5</v>
      </c>
      <c r="E83" s="50">
        <v>114</v>
      </c>
      <c r="F83" s="51">
        <v>27</v>
      </c>
      <c r="G83" s="52">
        <v>59694.61</v>
      </c>
      <c r="H83" s="52">
        <v>25403.539999999994</v>
      </c>
      <c r="I83" s="53">
        <f t="shared" si="4"/>
      </c>
      <c r="J83" s="53">
        <f t="shared" si="1"/>
      </c>
      <c r="K83" s="53">
        <f t="shared" si="5"/>
      </c>
      <c r="L83" s="54">
        <f t="shared" si="3"/>
      </c>
      <c r="M83" s="55" t="s">
        <v>76</v>
      </c>
      <c r="N83" s="50">
        <v>8</v>
      </c>
    </row>
    <row r="84">
      <c r="A84" s="56" t="s">
        <v>112</v>
      </c>
      <c r="B84" s="57"/>
      <c r="C84" s="57"/>
      <c r="D84" s="57">
        <f>SUM(D80:D83)</f>
      </c>
      <c r="E84" s="57">
        <f>SUM(E80:E83)</f>
      </c>
      <c r="F84" s="58">
        <f>SUM(F80:F83)</f>
      </c>
      <c r="G84" s="57">
        <f>SUM(G80:G83)</f>
      </c>
      <c r="H84" s="57">
        <f>SUM(H80:H83)</f>
      </c>
      <c r="I84" s="59">
        <f t="shared" si="4"/>
      </c>
      <c r="J84" s="59">
        <f t="shared" si="1"/>
      </c>
      <c r="K84" s="59">
        <f t="shared" si="5"/>
      </c>
      <c r="L84" s="60">
        <f t="shared" si="3"/>
      </c>
      <c r="M84" s="59"/>
      <c r="N84" s="57">
        <f>SUM(N80:N83)</f>
      </c>
    </row>
    <row r="85">
      <c r="A85" s="48" t="s">
        <v>113</v>
      </c>
      <c r="B85" s="49" t="s">
        <v>72</v>
      </c>
      <c r="C85" s="50" t="s">
        <v>68</v>
      </c>
      <c r="D85" s="50">
        <v>4</v>
      </c>
      <c r="E85" s="50">
        <v>62</v>
      </c>
      <c r="F85" s="51">
        <v>14</v>
      </c>
      <c r="G85" s="51">
        <v>24705.23</v>
      </c>
      <c r="H85" s="52">
        <v>16250.339999999998</v>
      </c>
      <c r="I85" s="53">
        <f t="shared" si="4"/>
      </c>
      <c r="J85" s="53">
        <f t="shared" si="1"/>
      </c>
      <c r="K85" s="53">
        <f t="shared" si="5"/>
      </c>
      <c r="L85" s="54">
        <f t="shared" si="3"/>
      </c>
      <c r="M85" s="55" t="s">
        <v>69</v>
      </c>
      <c r="N85" s="50">
        <v>9</v>
      </c>
    </row>
    <row r="86">
      <c r="A86" s="48" t="s">
        <v>113</v>
      </c>
      <c r="B86" s="49" t="s">
        <v>70</v>
      </c>
      <c r="C86" s="50" t="s">
        <v>109</v>
      </c>
      <c r="D86" s="50">
        <v>5</v>
      </c>
      <c r="E86" s="51">
        <v>70</v>
      </c>
      <c r="F86" s="51">
        <v>15</v>
      </c>
      <c r="G86" s="51">
        <v>39508.92</v>
      </c>
      <c r="H86" s="52">
        <v>20943.07</v>
      </c>
      <c r="I86" s="53">
        <f t="shared" si="4"/>
      </c>
      <c r="J86" s="53">
        <f t="shared" si="1"/>
      </c>
      <c r="K86" s="53">
        <f t="shared" si="5"/>
      </c>
      <c r="L86" s="54">
        <f t="shared" si="3"/>
      </c>
      <c r="M86" s="55"/>
      <c r="N86" s="50"/>
    </row>
    <row r="87">
      <c r="A87" s="48" t="s">
        <v>113</v>
      </c>
      <c r="B87" s="49" t="s">
        <v>110</v>
      </c>
      <c r="C87" s="50" t="s">
        <v>111</v>
      </c>
      <c r="D87" s="50">
        <v>3</v>
      </c>
      <c r="E87" s="50">
        <v>19</v>
      </c>
      <c r="F87" s="51">
        <v>2</v>
      </c>
      <c r="G87" s="52">
        <v>6236.68</v>
      </c>
      <c r="H87" s="52">
        <v>6357.7</v>
      </c>
      <c r="I87" s="53">
        <f t="shared" si="4"/>
      </c>
      <c r="J87" s="53">
        <f t="shared" si="1"/>
      </c>
      <c r="K87" s="53">
        <f t="shared" si="5"/>
      </c>
      <c r="L87" s="54">
        <f t="shared" si="3"/>
      </c>
      <c r="M87" s="55"/>
      <c r="N87" s="50"/>
    </row>
    <row r="88">
      <c r="A88" s="48" t="s">
        <v>113</v>
      </c>
      <c r="B88" s="49" t="s">
        <v>74</v>
      </c>
      <c r="C88" s="50" t="s">
        <v>75</v>
      </c>
      <c r="D88" s="50">
        <v>5</v>
      </c>
      <c r="E88" s="50">
        <v>110</v>
      </c>
      <c r="F88" s="51">
        <v>12</v>
      </c>
      <c r="G88" s="52">
        <v>56551.27</v>
      </c>
      <c r="H88" s="52">
        <v>28151.420000000002</v>
      </c>
      <c r="I88" s="53">
        <f t="shared" si="4"/>
      </c>
      <c r="J88" s="53">
        <f t="shared" si="1"/>
      </c>
      <c r="K88" s="53">
        <f t="shared" si="5"/>
      </c>
      <c r="L88" s="54">
        <f t="shared" si="3"/>
      </c>
      <c r="M88" s="55" t="s">
        <v>76</v>
      </c>
      <c r="N88" s="50">
        <v>8</v>
      </c>
    </row>
    <row r="89">
      <c r="A89" s="56" t="s">
        <v>113</v>
      </c>
      <c r="B89" s="57"/>
      <c r="C89" s="57"/>
      <c r="D89" s="57">
        <f>SUM(D85:D88)</f>
      </c>
      <c r="E89" s="57">
        <f>SUM(E85:E88)</f>
      </c>
      <c r="F89" s="58">
        <f>SUM(F85:F88)</f>
      </c>
      <c r="G89" s="57">
        <f>SUM(G85:G88)</f>
      </c>
      <c r="H89" s="57">
        <f>SUM(H85:H88)</f>
      </c>
      <c r="I89" s="59">
        <f t="shared" si="4"/>
      </c>
      <c r="J89" s="59">
        <f t="shared" si="1"/>
      </c>
      <c r="K89" s="59">
        <f t="shared" si="5"/>
      </c>
      <c r="L89" s="60">
        <f t="shared" si="3"/>
      </c>
      <c r="M89" s="59"/>
      <c r="N89" s="57">
        <f>SUM(N85:N88)</f>
      </c>
    </row>
    <row r="90">
      <c r="A90" s="48" t="s">
        <v>114</v>
      </c>
      <c r="B90" s="49" t="s">
        <v>72</v>
      </c>
      <c r="C90" s="50" t="s">
        <v>68</v>
      </c>
      <c r="D90" s="50">
        <v>4</v>
      </c>
      <c r="E90" s="50">
        <v>98</v>
      </c>
      <c r="F90" s="51">
        <v>27</v>
      </c>
      <c r="G90" s="51">
        <v>43450.14</v>
      </c>
      <c r="H90" s="52">
        <v>23727.83</v>
      </c>
      <c r="I90" s="53">
        <f t="shared" si="4"/>
      </c>
      <c r="J90" s="53">
        <f t="shared" si="1"/>
      </c>
      <c r="K90" s="53">
        <f t="shared" si="5"/>
      </c>
      <c r="L90" s="54">
        <f t="shared" si="3"/>
      </c>
      <c r="M90" s="55" t="s">
        <v>115</v>
      </c>
      <c r="N90" s="50">
        <v>9</v>
      </c>
    </row>
    <row r="91">
      <c r="A91" s="48" t="s">
        <v>114</v>
      </c>
      <c r="B91" s="49" t="s">
        <v>70</v>
      </c>
      <c r="C91" s="50" t="s">
        <v>116</v>
      </c>
      <c r="D91" s="50">
        <v>4.5</v>
      </c>
      <c r="E91" s="51">
        <v>80</v>
      </c>
      <c r="F91" s="51">
        <v>29</v>
      </c>
      <c r="G91" s="51">
        <v>41746.42</v>
      </c>
      <c r="H91" s="52">
        <v>19805.92</v>
      </c>
      <c r="I91" s="53">
        <f t="shared" si="4"/>
      </c>
      <c r="J91" s="53">
        <f t="shared" si="1"/>
      </c>
      <c r="K91" s="53">
        <f t="shared" si="5"/>
      </c>
      <c r="L91" s="54">
        <f t="shared" si="3"/>
      </c>
      <c r="M91" s="55"/>
      <c r="N91" s="50"/>
    </row>
    <row r="92">
      <c r="A92" s="48" t="s">
        <v>114</v>
      </c>
      <c r="B92" s="49" t="s">
        <v>117</v>
      </c>
      <c r="C92" s="50" t="s">
        <v>118</v>
      </c>
      <c r="D92" s="50">
        <v>3.5</v>
      </c>
      <c r="E92" s="50">
        <v>49</v>
      </c>
      <c r="F92" s="51">
        <v>14</v>
      </c>
      <c r="G92" s="52">
        <v>24477.11</v>
      </c>
      <c r="H92" s="52">
        <v>13422.16</v>
      </c>
      <c r="I92" s="53">
        <f t="shared" si="4"/>
      </c>
      <c r="J92" s="53">
        <f t="shared" si="1"/>
      </c>
      <c r="K92" s="53">
        <f t="shared" si="5"/>
      </c>
      <c r="L92" s="54">
        <f t="shared" si="3"/>
      </c>
      <c r="M92" s="55"/>
      <c r="N92" s="50"/>
    </row>
    <row r="93">
      <c r="A93" s="48" t="s">
        <v>114</v>
      </c>
      <c r="B93" s="49" t="s">
        <v>74</v>
      </c>
      <c r="C93" s="50" t="s">
        <v>75</v>
      </c>
      <c r="D93" s="50">
        <v>5</v>
      </c>
      <c r="E93" s="50">
        <v>136</v>
      </c>
      <c r="F93" s="51">
        <v>21</v>
      </c>
      <c r="G93" s="52">
        <v>70340.45</v>
      </c>
      <c r="H93" s="52">
        <v>27803.42</v>
      </c>
      <c r="I93" s="53">
        <f t="shared" si="4"/>
      </c>
      <c r="J93" s="53">
        <f t="shared" si="1"/>
      </c>
      <c r="K93" s="53">
        <f t="shared" si="5"/>
      </c>
      <c r="L93" s="54">
        <f t="shared" si="3"/>
      </c>
      <c r="M93" s="55" t="s">
        <v>76</v>
      </c>
      <c r="N93" s="50">
        <v>8</v>
      </c>
    </row>
    <row r="94">
      <c r="A94" s="56" t="s">
        <v>114</v>
      </c>
      <c r="B94" s="57"/>
      <c r="C94" s="57"/>
      <c r="D94" s="57">
        <f>SUM(D90:D93)</f>
      </c>
      <c r="E94" s="57">
        <f>SUM(E90:E93)</f>
      </c>
      <c r="F94" s="58">
        <f>SUM(F90:F93)</f>
      </c>
      <c r="G94" s="57">
        <f>SUM(G90:G93)</f>
      </c>
      <c r="H94" s="57">
        <f>SUM(H90:H93)</f>
      </c>
      <c r="I94" s="59">
        <f t="shared" si="4"/>
      </c>
      <c r="J94" s="59">
        <f t="shared" si="1"/>
      </c>
      <c r="K94" s="59">
        <f t="shared" si="5"/>
      </c>
      <c r="L94" s="60">
        <f t="shared" si="3"/>
      </c>
      <c r="M94" s="59"/>
      <c r="N94" s="57">
        <f>SUM(N90:N93)</f>
      </c>
    </row>
    <row r="95">
      <c r="A95" s="48" t="s">
        <v>119</v>
      </c>
      <c r="B95" s="49" t="s">
        <v>70</v>
      </c>
      <c r="C95" s="50" t="s">
        <v>68</v>
      </c>
      <c r="D95" s="50">
        <v>4</v>
      </c>
      <c r="E95" s="50">
        <v>44</v>
      </c>
      <c r="F95" s="51">
        <v>11</v>
      </c>
      <c r="G95" s="51">
        <v>20559.61</v>
      </c>
      <c r="H95" s="52">
        <v>10663.7</v>
      </c>
      <c r="I95" s="53">
        <f t="shared" si="4"/>
      </c>
      <c r="J95" s="53">
        <f t="shared" si="1"/>
      </c>
      <c r="K95" s="53">
        <f t="shared" si="5"/>
      </c>
      <c r="L95" s="54">
        <f t="shared" si="3"/>
      </c>
      <c r="M95" s="55" t="s">
        <v>115</v>
      </c>
      <c r="N95" s="50">
        <v>9</v>
      </c>
    </row>
    <row r="96">
      <c r="A96" s="48" t="s">
        <v>119</v>
      </c>
      <c r="B96" s="49" t="s">
        <v>72</v>
      </c>
      <c r="C96" s="50" t="s">
        <v>71</v>
      </c>
      <c r="D96" s="50">
        <v>4</v>
      </c>
      <c r="E96" s="51">
        <v>40</v>
      </c>
      <c r="F96" s="51">
        <v>12</v>
      </c>
      <c r="G96" s="51">
        <v>18065.989999999998</v>
      </c>
      <c r="H96" s="52">
        <v>13046.580000000004</v>
      </c>
      <c r="I96" s="53">
        <f t="shared" si="4"/>
      </c>
      <c r="J96" s="53">
        <f t="shared" si="1"/>
      </c>
      <c r="K96" s="53">
        <f t="shared" si="5"/>
      </c>
      <c r="L96" s="54">
        <f t="shared" si="3"/>
      </c>
      <c r="M96" s="55"/>
      <c r="N96" s="50"/>
    </row>
    <row r="97">
      <c r="A97" s="48" t="s">
        <v>119</v>
      </c>
      <c r="B97" s="49" t="s">
        <v>117</v>
      </c>
      <c r="C97" s="50" t="s">
        <v>73</v>
      </c>
      <c r="D97" s="50">
        <v>4</v>
      </c>
      <c r="E97" s="50">
        <v>48</v>
      </c>
      <c r="F97" s="51">
        <v>12</v>
      </c>
      <c r="G97" s="52">
        <v>26452.79</v>
      </c>
      <c r="H97" s="52">
        <v>13441.52</v>
      </c>
      <c r="I97" s="53">
        <f t="shared" si="4"/>
      </c>
      <c r="J97" s="53">
        <f t="shared" si="1"/>
      </c>
      <c r="K97" s="53">
        <f t="shared" si="5"/>
      </c>
      <c r="L97" s="54">
        <f t="shared" si="3"/>
      </c>
      <c r="M97" s="55"/>
      <c r="N97" s="50"/>
    </row>
    <row r="98">
      <c r="A98" s="48" t="s">
        <v>119</v>
      </c>
      <c r="B98" s="49" t="s">
        <v>74</v>
      </c>
      <c r="C98" s="50" t="s">
        <v>75</v>
      </c>
      <c r="D98" s="50">
        <v>5</v>
      </c>
      <c r="E98" s="50">
        <v>114</v>
      </c>
      <c r="F98" s="51">
        <v>22</v>
      </c>
      <c r="G98" s="52">
        <v>62571.6</v>
      </c>
      <c r="H98" s="52">
        <v>23454.02</v>
      </c>
      <c r="I98" s="53">
        <f t="shared" si="4"/>
      </c>
      <c r="J98" s="53">
        <f t="shared" si="1"/>
      </c>
      <c r="K98" s="53">
        <f t="shared" si="5"/>
      </c>
      <c r="L98" s="54">
        <f t="shared" si="3"/>
      </c>
      <c r="M98" s="55" t="s">
        <v>76</v>
      </c>
      <c r="N98" s="50">
        <v>8</v>
      </c>
    </row>
    <row r="99">
      <c r="A99" s="56" t="s">
        <v>119</v>
      </c>
      <c r="B99" s="57"/>
      <c r="C99" s="57"/>
      <c r="D99" s="57">
        <f>SUM(D95:D98)</f>
      </c>
      <c r="E99" s="57">
        <f>SUM(E95:E98)</f>
      </c>
      <c r="F99" s="58">
        <f>SUM(F95:F98)</f>
      </c>
      <c r="G99" s="57">
        <f>SUM(G95:G98)</f>
      </c>
      <c r="H99" s="57">
        <f>SUM(H95:H98)</f>
      </c>
      <c r="I99" s="59">
        <f t="shared" si="4"/>
      </c>
      <c r="J99" s="59">
        <f t="shared" si="1"/>
      </c>
      <c r="K99" s="59">
        <f t="shared" si="5"/>
      </c>
      <c r="L99" s="60">
        <f t="shared" si="3"/>
      </c>
      <c r="M99" s="59"/>
      <c r="N99" s="57">
        <f>SUM(N95:N98)</f>
      </c>
    </row>
    <row r="100">
      <c r="A100" s="48" t="s">
        <v>120</v>
      </c>
      <c r="B100" s="49" t="s">
        <v>70</v>
      </c>
      <c r="C100" s="50" t="s">
        <v>68</v>
      </c>
      <c r="D100" s="50">
        <v>4</v>
      </c>
      <c r="E100" s="50">
        <v>42</v>
      </c>
      <c r="F100" s="51">
        <v>13</v>
      </c>
      <c r="G100" s="51">
        <v>12984.86</v>
      </c>
      <c r="H100" s="52">
        <v>12411.429999999997</v>
      </c>
      <c r="I100" s="53">
        <f t="shared" si="4"/>
      </c>
      <c r="J100" s="53">
        <f t="shared" si="1"/>
      </c>
      <c r="K100" s="53">
        <f t="shared" si="5"/>
      </c>
      <c r="L100" s="54">
        <f t="shared" si="3"/>
      </c>
      <c r="M100" s="55" t="s">
        <v>80</v>
      </c>
      <c r="N100" s="50">
        <v>9</v>
      </c>
    </row>
    <row r="101">
      <c r="A101" s="48" t="s">
        <v>120</v>
      </c>
      <c r="B101" s="49" t="s">
        <v>72</v>
      </c>
      <c r="C101" s="50" t="s">
        <v>71</v>
      </c>
      <c r="D101" s="50">
        <v>4</v>
      </c>
      <c r="E101" s="51">
        <v>60</v>
      </c>
      <c r="F101" s="51">
        <v>9</v>
      </c>
      <c r="G101" s="51">
        <v>23845.82</v>
      </c>
      <c r="H101" s="52">
        <v>13412.93</v>
      </c>
      <c r="I101" s="53">
        <f t="shared" si="4"/>
      </c>
      <c r="J101" s="53">
        <f t="shared" si="1"/>
      </c>
      <c r="K101" s="53">
        <f t="shared" si="5"/>
      </c>
      <c r="L101" s="54">
        <f t="shared" si="3"/>
      </c>
      <c r="M101" s="55"/>
      <c r="N101" s="50"/>
    </row>
    <row r="102">
      <c r="A102" s="48" t="s">
        <v>120</v>
      </c>
      <c r="B102" s="49" t="s">
        <v>74</v>
      </c>
      <c r="C102" s="50" t="s">
        <v>73</v>
      </c>
      <c r="D102" s="50">
        <v>4</v>
      </c>
      <c r="E102" s="50">
        <v>118</v>
      </c>
      <c r="F102" s="51">
        <v>14</v>
      </c>
      <c r="G102" s="52">
        <v>68345.64</v>
      </c>
      <c r="H102" s="52">
        <v>29571.32</v>
      </c>
      <c r="I102" s="53">
        <f t="shared" si="4"/>
      </c>
      <c r="J102" s="53">
        <f t="shared" si="1"/>
      </c>
      <c r="K102" s="53">
        <f t="shared" si="5"/>
      </c>
      <c r="L102" s="54">
        <f t="shared" si="3"/>
      </c>
      <c r="M102" s="55" t="s">
        <v>76</v>
      </c>
      <c r="N102" s="50">
        <v>3</v>
      </c>
    </row>
    <row r="103">
      <c r="A103" s="56" t="s">
        <v>120</v>
      </c>
      <c r="B103" s="57"/>
      <c r="C103" s="57"/>
      <c r="D103" s="57">
        <f>SUM(D100:D102)</f>
      </c>
      <c r="E103" s="57">
        <f>SUM(E100:E102)</f>
      </c>
      <c r="F103" s="58">
        <f>SUM(F100:F102)</f>
      </c>
      <c r="G103" s="57">
        <f>SUM(G100:G102)</f>
      </c>
      <c r="H103" s="57">
        <f>SUM(H100:H102)</f>
      </c>
      <c r="I103" s="59">
        <f t="shared" si="4"/>
      </c>
      <c r="J103" s="59">
        <f t="shared" si="1"/>
      </c>
      <c r="K103" s="59">
        <f t="shared" si="5"/>
      </c>
      <c r="L103" s="60">
        <f t="shared" si="3"/>
      </c>
      <c r="M103" s="59"/>
      <c r="N103" s="57">
        <f>SUM(N100:N102)</f>
      </c>
    </row>
    <row r="104">
      <c r="A104" s="48" t="s">
        <v>121</v>
      </c>
      <c r="B104" s="49" t="s">
        <v>72</v>
      </c>
      <c r="C104" s="50" t="s">
        <v>68</v>
      </c>
      <c r="D104" s="50">
        <v>4</v>
      </c>
      <c r="E104" s="50">
        <v>51</v>
      </c>
      <c r="F104" s="51">
        <v>7</v>
      </c>
      <c r="G104" s="51">
        <v>27010.239999999998</v>
      </c>
      <c r="H104" s="52">
        <v>13412.069999999998</v>
      </c>
      <c r="I104" s="53">
        <f t="shared" si="4"/>
      </c>
      <c r="J104" s="53">
        <f t="shared" si="1"/>
      </c>
      <c r="K104" s="53">
        <f t="shared" si="5"/>
      </c>
      <c r="L104" s="54">
        <f t="shared" si="3"/>
      </c>
      <c r="M104" s="55" t="s">
        <v>80</v>
      </c>
      <c r="N104" s="50">
        <v>9</v>
      </c>
    </row>
    <row r="105">
      <c r="A105" s="48" t="s">
        <v>121</v>
      </c>
      <c r="B105" s="49" t="s">
        <v>70</v>
      </c>
      <c r="C105" s="50" t="s">
        <v>109</v>
      </c>
      <c r="D105" s="50">
        <v>5</v>
      </c>
      <c r="E105" s="51">
        <v>57</v>
      </c>
      <c r="F105" s="51">
        <v>11</v>
      </c>
      <c r="G105" s="51">
        <v>23070.54</v>
      </c>
      <c r="H105" s="52">
        <v>18021.21</v>
      </c>
      <c r="I105" s="53">
        <f t="shared" si="4"/>
      </c>
      <c r="J105" s="53">
        <f t="shared" si="1"/>
      </c>
      <c r="K105" s="53">
        <f t="shared" si="5"/>
      </c>
      <c r="L105" s="54">
        <f t="shared" si="3"/>
      </c>
      <c r="M105" s="55"/>
      <c r="N105" s="50"/>
      <c r="T105" s="61"/>
      <c r="U105" s="61"/>
    </row>
    <row r="106">
      <c r="A106" s="48" t="s">
        <v>121</v>
      </c>
      <c r="B106" s="49" t="s">
        <v>117</v>
      </c>
      <c r="C106" s="50" t="s">
        <v>122</v>
      </c>
      <c r="D106" s="50">
        <v>1</v>
      </c>
      <c r="E106" s="50">
        <v>12</v>
      </c>
      <c r="F106" s="51">
        <v>1</v>
      </c>
      <c r="G106" s="52">
        <v>4718</v>
      </c>
      <c r="H106" s="52">
        <v>4696.75</v>
      </c>
      <c r="I106" s="53">
        <f t="shared" si="4"/>
      </c>
      <c r="J106" s="53">
        <f t="shared" si="1"/>
      </c>
      <c r="K106" s="53">
        <f t="shared" si="5"/>
      </c>
      <c r="L106" s="54">
        <f t="shared" si="3"/>
      </c>
      <c r="M106" s="55"/>
      <c r="N106" s="50"/>
    </row>
    <row r="107">
      <c r="A107" s="48" t="s">
        <v>121</v>
      </c>
      <c r="B107" s="49" t="s">
        <v>74</v>
      </c>
      <c r="C107" s="50" t="s">
        <v>123</v>
      </c>
      <c r="D107" s="50">
        <v>2.5</v>
      </c>
      <c r="E107" s="50">
        <v>68</v>
      </c>
      <c r="F107" s="51">
        <v>10</v>
      </c>
      <c r="G107" s="52">
        <v>33527.15</v>
      </c>
      <c r="H107" s="52">
        <v>15460.639999999998</v>
      </c>
      <c r="I107" s="53">
        <f t="shared" si="4"/>
      </c>
      <c r="J107" s="53">
        <f t="shared" si="1"/>
      </c>
      <c r="K107" s="53">
        <f t="shared" si="5"/>
      </c>
      <c r="L107" s="54">
        <f t="shared" si="3"/>
      </c>
      <c r="M107" s="55" t="s">
        <v>76</v>
      </c>
      <c r="N107" s="50">
        <v>3.5</v>
      </c>
    </row>
    <row r="108">
      <c r="A108" s="56" t="s">
        <v>121</v>
      </c>
      <c r="B108" s="57"/>
      <c r="C108" s="57"/>
      <c r="D108" s="57">
        <f>SUM(D104:D107)</f>
      </c>
      <c r="E108" s="57">
        <f>SUM(E104:E107)</f>
      </c>
      <c r="F108" s="58">
        <f>SUM(F104:F107)</f>
      </c>
      <c r="G108" s="57">
        <f>SUM(G104:G107)</f>
      </c>
      <c r="H108" s="57">
        <f>SUM(H104:H107)</f>
      </c>
      <c r="I108" s="59">
        <f t="shared" si="4"/>
      </c>
      <c r="J108" s="59">
        <f t="shared" si="1"/>
      </c>
      <c r="K108" s="59">
        <f t="shared" si="5"/>
      </c>
      <c r="L108" s="60">
        <f t="shared" si="3"/>
      </c>
      <c r="M108" s="59"/>
      <c r="N108" s="57">
        <f>SUM(N104:N107)</f>
      </c>
    </row>
    <row r="109">
      <c r="A109" s="48" t="s">
        <v>124</v>
      </c>
      <c r="B109" s="49" t="s">
        <v>70</v>
      </c>
      <c r="C109" s="50" t="s">
        <v>68</v>
      </c>
      <c r="D109" s="50">
        <v>4</v>
      </c>
      <c r="E109" s="50">
        <v>62</v>
      </c>
      <c r="F109" s="51">
        <v>18</v>
      </c>
      <c r="G109" s="51">
        <v>35506.36</v>
      </c>
      <c r="H109" s="52">
        <v>14329.75</v>
      </c>
      <c r="I109" s="53">
        <f t="shared" si="4"/>
      </c>
      <c r="J109" s="53">
        <f t="shared" si="1"/>
      </c>
      <c r="K109" s="53">
        <f t="shared" si="5"/>
      </c>
      <c r="L109" s="54">
        <f t="shared" si="3"/>
      </c>
      <c r="M109" s="55" t="s">
        <v>80</v>
      </c>
      <c r="N109" s="50">
        <v>9</v>
      </c>
    </row>
    <row r="110">
      <c r="A110" s="48" t="s">
        <v>124</v>
      </c>
      <c r="B110" s="49" t="s">
        <v>74</v>
      </c>
      <c r="C110" s="50" t="s">
        <v>109</v>
      </c>
      <c r="D110" s="50">
        <v>5</v>
      </c>
      <c r="E110" s="51">
        <v>94</v>
      </c>
      <c r="F110" s="51">
        <v>15</v>
      </c>
      <c r="G110" s="51">
        <v>46159.38</v>
      </c>
      <c r="H110" s="52">
        <v>22934.22</v>
      </c>
      <c r="I110" s="53">
        <f t="shared" si="4"/>
      </c>
      <c r="J110" s="53">
        <f t="shared" si="1"/>
      </c>
      <c r="K110" s="53">
        <f t="shared" si="5"/>
      </c>
      <c r="L110" s="54">
        <f t="shared" si="3"/>
      </c>
      <c r="M110" s="55"/>
      <c r="N110" s="50"/>
    </row>
    <row r="111">
      <c r="A111" s="48" t="s">
        <v>124</v>
      </c>
      <c r="B111" s="49" t="s">
        <v>117</v>
      </c>
      <c r="C111" s="50" t="s">
        <v>125</v>
      </c>
      <c r="D111" s="50">
        <v>4</v>
      </c>
      <c r="E111" s="50">
        <v>65</v>
      </c>
      <c r="F111" s="51">
        <v>10</v>
      </c>
      <c r="G111" s="52">
        <v>28035.5</v>
      </c>
      <c r="H111" s="52">
        <v>19861.77</v>
      </c>
      <c r="I111" s="53">
        <f t="shared" si="4"/>
      </c>
      <c r="J111" s="53">
        <f t="shared" si="1"/>
      </c>
      <c r="K111" s="53">
        <f t="shared" si="5"/>
      </c>
      <c r="L111" s="54">
        <f t="shared" si="3"/>
      </c>
      <c r="M111" s="55"/>
      <c r="N111" s="50"/>
    </row>
    <row r="112">
      <c r="A112" s="48" t="s">
        <v>124</v>
      </c>
      <c r="B112" s="49" t="s">
        <v>72</v>
      </c>
      <c r="C112" s="50" t="s">
        <v>86</v>
      </c>
      <c r="D112" s="50">
        <v>4</v>
      </c>
      <c r="E112" s="50">
        <v>73</v>
      </c>
      <c r="F112" s="51">
        <v>6</v>
      </c>
      <c r="G112" s="52">
        <v>33132.42</v>
      </c>
      <c r="H112" s="52">
        <v>18818.89</v>
      </c>
      <c r="I112" s="53">
        <f t="shared" si="4"/>
      </c>
      <c r="J112" s="53">
        <f t="shared" si="1"/>
      </c>
      <c r="K112" s="53">
        <f t="shared" si="5"/>
      </c>
      <c r="L112" s="54">
        <f t="shared" si="3"/>
      </c>
      <c r="M112" s="55" t="s">
        <v>76</v>
      </c>
      <c r="N112" s="50">
        <v>8</v>
      </c>
    </row>
    <row r="113">
      <c r="A113" s="56" t="s">
        <v>124</v>
      </c>
      <c r="B113" s="57"/>
      <c r="C113" s="57"/>
      <c r="D113" s="57">
        <f>SUM(D109:D112)</f>
      </c>
      <c r="E113" s="57">
        <f>SUM(E109:E112)</f>
      </c>
      <c r="F113" s="58">
        <f>SUM(F109:F112)</f>
      </c>
      <c r="G113" s="57">
        <f>SUM(G109:G112)</f>
      </c>
      <c r="H113" s="57">
        <f>SUM(H109:H112)</f>
      </c>
      <c r="I113" s="59">
        <f t="shared" si="4"/>
      </c>
      <c r="J113" s="59">
        <f t="shared" si="1"/>
      </c>
      <c r="K113" s="59">
        <f t="shared" si="5"/>
      </c>
      <c r="L113" s="60">
        <f t="shared" si="3"/>
      </c>
      <c r="M113" s="59"/>
      <c r="N113" s="57">
        <f>SUM(N109:N112)</f>
      </c>
    </row>
    <row r="114">
      <c r="A114" s="48" t="s">
        <v>126</v>
      </c>
      <c r="B114" s="49" t="s">
        <v>70</v>
      </c>
      <c r="C114" s="50" t="s">
        <v>68</v>
      </c>
      <c r="D114" s="62">
        <f>4-1</f>
      </c>
      <c r="E114" s="50">
        <v>18</v>
      </c>
      <c r="F114" s="51">
        <v>4</v>
      </c>
      <c r="G114" s="51">
        <v>9376.22</v>
      </c>
      <c r="H114" s="52">
        <v>7400.200000000001</v>
      </c>
      <c r="I114" s="53">
        <f t="shared" si="4"/>
      </c>
      <c r="J114" s="53">
        <f t="shared" si="1"/>
      </c>
      <c r="K114" s="53">
        <f t="shared" si="5"/>
      </c>
      <c r="L114" s="54">
        <f t="shared" si="3"/>
      </c>
      <c r="M114" s="55" t="s">
        <v>80</v>
      </c>
      <c r="N114" s="50">
        <v>9</v>
      </c>
    </row>
    <row r="115">
      <c r="A115" s="48" t="s">
        <v>126</v>
      </c>
      <c r="B115" s="49" t="s">
        <v>72</v>
      </c>
      <c r="C115" s="50" t="s">
        <v>71</v>
      </c>
      <c r="D115" s="50">
        <v>4</v>
      </c>
      <c r="E115" s="51">
        <v>38</v>
      </c>
      <c r="F115" s="51">
        <v>13</v>
      </c>
      <c r="G115" s="51">
        <v>12487.730000000001</v>
      </c>
      <c r="H115" s="52">
        <v>11375.990000000002</v>
      </c>
      <c r="I115" s="53">
        <f t="shared" si="4"/>
      </c>
      <c r="J115" s="53">
        <f t="shared" si="1"/>
      </c>
      <c r="K115" s="53">
        <f t="shared" si="5"/>
      </c>
      <c r="L115" s="54">
        <f t="shared" si="3"/>
      </c>
      <c r="M115" s="55"/>
      <c r="N115" s="50"/>
    </row>
    <row r="116">
      <c r="A116" s="48" t="s">
        <v>126</v>
      </c>
      <c r="B116" s="49" t="s">
        <v>74</v>
      </c>
      <c r="C116" s="50" t="s">
        <v>85</v>
      </c>
      <c r="D116" s="50">
        <v>5</v>
      </c>
      <c r="E116" s="50">
        <v>29</v>
      </c>
      <c r="F116" s="51">
        <v>4</v>
      </c>
      <c r="G116" s="52">
        <v>19084.28</v>
      </c>
      <c r="H116" s="52">
        <v>9808.42</v>
      </c>
      <c r="I116" s="53">
        <f t="shared" si="4"/>
      </c>
      <c r="J116" s="53">
        <f t="shared" si="1"/>
      </c>
      <c r="K116" s="53">
        <f t="shared" si="5"/>
      </c>
      <c r="L116" s="54">
        <f t="shared" si="3"/>
      </c>
      <c r="M116" s="55"/>
      <c r="N116" s="50"/>
    </row>
    <row r="117">
      <c r="A117" s="48" t="s">
        <v>126</v>
      </c>
      <c r="B117" s="49" t="s">
        <v>67</v>
      </c>
      <c r="C117" s="50" t="s">
        <v>99</v>
      </c>
      <c r="D117" s="50">
        <v>2</v>
      </c>
      <c r="E117" s="50">
        <v>21</v>
      </c>
      <c r="F117" s="51">
        <v>3</v>
      </c>
      <c r="G117" s="52">
        <v>9097.2</v>
      </c>
      <c r="H117" s="52">
        <v>7513.72</v>
      </c>
      <c r="I117" s="53">
        <f t="shared" si="4"/>
      </c>
      <c r="J117" s="53">
        <f t="shared" si="1"/>
      </c>
      <c r="K117" s="53">
        <f t="shared" si="5"/>
      </c>
      <c r="L117" s="54">
        <f t="shared" si="3"/>
      </c>
      <c r="M117" s="55" t="s">
        <v>76</v>
      </c>
      <c r="N117" s="50">
        <v>6</v>
      </c>
    </row>
    <row r="118">
      <c r="A118" s="56" t="s">
        <v>126</v>
      </c>
      <c r="B118" s="57"/>
      <c r="C118" s="57"/>
      <c r="D118" s="57">
        <f>SUM(D114:D117)</f>
      </c>
      <c r="E118" s="57">
        <f>SUM(E114:E117)</f>
      </c>
      <c r="F118" s="58">
        <f>SUM(F114:F117)</f>
      </c>
      <c r="G118" s="57">
        <f>SUM(G114:G117)</f>
      </c>
      <c r="H118" s="57">
        <f>SUM(H114:H117)</f>
      </c>
      <c r="I118" s="59">
        <f t="shared" si="4"/>
      </c>
      <c r="J118" s="59">
        <f t="shared" si="1"/>
      </c>
      <c r="K118" s="59">
        <f t="shared" si="5"/>
      </c>
      <c r="L118" s="60">
        <f t="shared" si="3"/>
      </c>
      <c r="M118" s="59"/>
      <c r="N118" s="57">
        <f>SUM(N114:N117)</f>
      </c>
    </row>
    <row r="119">
      <c r="A119" s="48" t="s">
        <v>127</v>
      </c>
      <c r="B119" s="49" t="s">
        <v>84</v>
      </c>
      <c r="C119" s="50" t="s">
        <v>125</v>
      </c>
      <c r="D119" s="50">
        <v>4</v>
      </c>
      <c r="E119" s="50">
        <v>46</v>
      </c>
      <c r="F119" s="51">
        <v>8</v>
      </c>
      <c r="G119" s="52">
        <v>23436.31</v>
      </c>
      <c r="H119" s="52">
        <v>12111.36</v>
      </c>
      <c r="I119" s="53">
        <f t="shared" si="4"/>
      </c>
      <c r="J119" s="53">
        <f t="shared" si="1"/>
      </c>
      <c r="K119" s="53">
        <f t="shared" si="5"/>
      </c>
      <c r="L119" s="54">
        <f t="shared" si="3"/>
      </c>
      <c r="M119" s="55"/>
      <c r="N119" s="50"/>
    </row>
    <row r="120">
      <c r="A120" s="48" t="s">
        <v>127</v>
      </c>
      <c r="B120" s="49" t="s">
        <v>72</v>
      </c>
      <c r="C120" s="50" t="s">
        <v>86</v>
      </c>
      <c r="D120" s="50">
        <v>4</v>
      </c>
      <c r="E120" s="50">
        <v>210</v>
      </c>
      <c r="F120" s="51">
        <v>22</v>
      </c>
      <c r="G120" s="52">
        <v>109986.07</v>
      </c>
      <c r="H120" s="52">
        <v>56295.75</v>
      </c>
      <c r="I120" s="53">
        <f t="shared" si="4"/>
      </c>
      <c r="J120" s="53">
        <f t="shared" si="1"/>
      </c>
      <c r="K120" s="53">
        <f t="shared" si="5"/>
      </c>
      <c r="L120" s="54">
        <f t="shared" si="3"/>
      </c>
      <c r="M120" s="55" t="s">
        <v>128</v>
      </c>
      <c r="N120" s="50">
        <v>8</v>
      </c>
    </row>
    <row r="121">
      <c r="A121" s="56" t="s">
        <v>127</v>
      </c>
      <c r="B121" s="57"/>
      <c r="C121" s="57"/>
      <c r="D121" s="57">
        <f>SUM(D119:D120)</f>
      </c>
      <c r="E121" s="57">
        <f>SUM(E119:E120)</f>
      </c>
      <c r="F121" s="58">
        <f>SUM(F119:F120)</f>
      </c>
      <c r="G121" s="57">
        <f>SUM(G119:G120)</f>
      </c>
      <c r="H121" s="57">
        <f>SUM(H119:H120)</f>
      </c>
      <c r="I121" s="59">
        <f t="shared" si="4"/>
      </c>
      <c r="J121" s="59">
        <f t="shared" si="1"/>
      </c>
      <c r="K121" s="59">
        <f t="shared" si="5"/>
      </c>
      <c r="L121" s="60">
        <f t="shared" si="3"/>
      </c>
      <c r="M121" s="59"/>
      <c r="N121" s="57">
        <f>SUM(N119:N120)</f>
      </c>
    </row>
    <row r="122">
      <c r="A122" s="48" t="s">
        <v>129</v>
      </c>
      <c r="B122" s="49" t="s">
        <v>84</v>
      </c>
      <c r="C122" s="50" t="s">
        <v>130</v>
      </c>
      <c r="D122" s="50">
        <v>3</v>
      </c>
      <c r="E122" s="50">
        <v>49</v>
      </c>
      <c r="F122" s="51">
        <v>7</v>
      </c>
      <c r="G122" s="52">
        <v>28134.59</v>
      </c>
      <c r="H122" s="52">
        <v>12253.73</v>
      </c>
      <c r="I122" s="53">
        <f t="shared" si="4"/>
      </c>
      <c r="J122" s="53">
        <f t="shared" si="1"/>
      </c>
      <c r="K122" s="53">
        <f t="shared" si="5"/>
      </c>
      <c r="L122" s="54">
        <f t="shared" si="3"/>
      </c>
      <c r="M122" s="55"/>
      <c r="N122" s="50"/>
    </row>
    <row r="123">
      <c r="A123" s="48" t="s">
        <v>129</v>
      </c>
      <c r="B123" s="49" t="s">
        <v>67</v>
      </c>
      <c r="C123" s="50" t="s">
        <v>131</v>
      </c>
      <c r="D123" s="50">
        <v>5</v>
      </c>
      <c r="E123" s="50">
        <v>137</v>
      </c>
      <c r="F123" s="51">
        <v>7</v>
      </c>
      <c r="G123" s="52">
        <v>67885.68</v>
      </c>
      <c r="H123" s="52">
        <v>32533.9</v>
      </c>
      <c r="I123" s="53">
        <f t="shared" si="4"/>
      </c>
      <c r="J123" s="53">
        <f t="shared" si="1"/>
      </c>
      <c r="K123" s="53">
        <f t="shared" si="5"/>
      </c>
      <c r="L123" s="54">
        <f t="shared" si="3"/>
      </c>
      <c r="M123" s="55" t="s">
        <v>128</v>
      </c>
      <c r="N123" s="50">
        <v>8</v>
      </c>
    </row>
    <row r="124">
      <c r="A124" s="56" t="s">
        <v>129</v>
      </c>
      <c r="B124" s="57"/>
      <c r="C124" s="57"/>
      <c r="D124" s="57">
        <f>SUM(D122:D123)</f>
      </c>
      <c r="E124" s="57">
        <f>SUM(E122:E123)</f>
      </c>
      <c r="F124" s="58">
        <f>SUM(F122:F123)</f>
      </c>
      <c r="G124" s="57">
        <f>SUM(G122:G123)</f>
      </c>
      <c r="H124" s="57">
        <f>SUM(H122:H123)</f>
      </c>
      <c r="I124" s="59">
        <f t="shared" si="4"/>
      </c>
      <c r="J124" s="59">
        <f t="shared" si="1"/>
      </c>
      <c r="K124" s="59">
        <f t="shared" si="5"/>
      </c>
      <c r="L124" s="60">
        <f t="shared" si="3"/>
      </c>
      <c r="M124" s="59"/>
      <c r="N124" s="57">
        <f>SUM(N122:N123)</f>
      </c>
    </row>
    <row r="125">
      <c r="A125" s="48" t="s">
        <v>132</v>
      </c>
      <c r="B125" s="49" t="s">
        <v>74</v>
      </c>
      <c r="C125" s="50" t="s">
        <v>125</v>
      </c>
      <c r="D125" s="50">
        <v>4</v>
      </c>
      <c r="E125" s="50">
        <v>113</v>
      </c>
      <c r="F125" s="51">
        <v>19</v>
      </c>
      <c r="G125" s="52">
        <v>61742.18</v>
      </c>
      <c r="H125" s="52">
        <v>27488.2</v>
      </c>
      <c r="I125" s="53">
        <f t="shared" si="4"/>
      </c>
      <c r="J125" s="53">
        <f t="shared" si="1"/>
      </c>
      <c r="K125" s="53">
        <f t="shared" si="5"/>
      </c>
      <c r="L125" s="54">
        <f t="shared" si="3"/>
      </c>
      <c r="M125" s="55"/>
      <c r="N125" s="50"/>
      <c r="Q125" s="63"/>
      <c r="R125" s="63"/>
      <c r="S125" s="63"/>
      <c r="T125" s="63"/>
      <c r="U125" s="63"/>
      <c r="V125" s="63"/>
    </row>
    <row r="126">
      <c r="A126" s="48" t="s">
        <v>132</v>
      </c>
      <c r="B126" s="49" t="s">
        <v>67</v>
      </c>
      <c r="C126" s="50" t="s">
        <v>86</v>
      </c>
      <c r="D126" s="50">
        <v>4</v>
      </c>
      <c r="E126" s="50">
        <v>131</v>
      </c>
      <c r="F126" s="51">
        <v>21</v>
      </c>
      <c r="G126" s="52">
        <v>74452.16</v>
      </c>
      <c r="H126" s="52">
        <v>31896.94</v>
      </c>
      <c r="I126" s="53">
        <f t="shared" si="4"/>
      </c>
      <c r="J126" s="53">
        <f t="shared" si="1"/>
      </c>
      <c r="K126" s="53">
        <f t="shared" si="5"/>
      </c>
      <c r="L126" s="54">
        <f t="shared" si="3"/>
      </c>
      <c r="M126" s="55" t="s">
        <v>128</v>
      </c>
      <c r="N126" s="50">
        <v>8</v>
      </c>
    </row>
    <row r="127">
      <c r="A127" s="56" t="s">
        <v>132</v>
      </c>
      <c r="B127" s="57"/>
      <c r="C127" s="57"/>
      <c r="D127" s="57">
        <f>SUM(D125:D126)</f>
      </c>
      <c r="E127" s="57">
        <f>SUM(E125:E126)</f>
      </c>
      <c r="F127" s="58">
        <f>SUM(F125:F126)</f>
      </c>
      <c r="G127" s="57">
        <f>SUM(G125:G126)</f>
      </c>
      <c r="H127" s="57">
        <f>SUM(H125:H126)</f>
      </c>
      <c r="I127" s="59">
        <f t="shared" si="4"/>
      </c>
      <c r="J127" s="59">
        <f t="shared" si="1"/>
      </c>
      <c r="K127" s="59">
        <f t="shared" si="5"/>
      </c>
      <c r="L127" s="60">
        <f t="shared" si="3"/>
      </c>
      <c r="M127" s="59"/>
      <c r="N127" s="57">
        <f>SUM(N125:N126)</f>
      </c>
    </row>
    <row r="128">
      <c r="A128" s="48" t="s">
        <v>133</v>
      </c>
      <c r="B128" s="49" t="s">
        <v>72</v>
      </c>
      <c r="C128" s="50" t="s">
        <v>68</v>
      </c>
      <c r="D128" s="50">
        <v>4</v>
      </c>
      <c r="E128" s="50">
        <v>115</v>
      </c>
      <c r="F128" s="51">
        <v>23</v>
      </c>
      <c r="G128" s="51">
        <v>63164.4</v>
      </c>
      <c r="H128" s="52">
        <v>26068.25</v>
      </c>
      <c r="I128" s="53">
        <f t="shared" si="4"/>
      </c>
      <c r="J128" s="53">
        <f t="shared" si="1"/>
      </c>
      <c r="K128" s="53">
        <f t="shared" si="5"/>
      </c>
      <c r="L128" s="54">
        <f t="shared" si="3"/>
      </c>
      <c r="M128" s="55" t="s">
        <v>82</v>
      </c>
      <c r="N128" s="50">
        <v>8</v>
      </c>
    </row>
    <row r="129">
      <c r="A129" s="48" t="s">
        <v>133</v>
      </c>
      <c r="B129" s="49" t="s">
        <v>117</v>
      </c>
      <c r="C129" s="50" t="s">
        <v>71</v>
      </c>
      <c r="D129" s="50">
        <v>4</v>
      </c>
      <c r="E129" s="51">
        <v>56</v>
      </c>
      <c r="F129" s="51">
        <v>9</v>
      </c>
      <c r="G129" s="51">
        <v>30825.159999999996</v>
      </c>
      <c r="H129" s="52">
        <v>22588.12999999999</v>
      </c>
      <c r="I129" s="53">
        <f t="shared" si="4"/>
      </c>
      <c r="J129" s="53">
        <f t="shared" si="1"/>
      </c>
      <c r="K129" s="53">
        <f t="shared" si="5"/>
      </c>
      <c r="L129" s="54">
        <f t="shared" si="3"/>
      </c>
      <c r="M129" s="55" t="s">
        <v>80</v>
      </c>
      <c r="N129" s="50">
        <v>1</v>
      </c>
    </row>
    <row r="130">
      <c r="A130" s="48" t="s">
        <v>133</v>
      </c>
      <c r="B130" s="49" t="s">
        <v>67</v>
      </c>
      <c r="C130" s="50" t="s">
        <v>73</v>
      </c>
      <c r="D130" s="50">
        <v>4</v>
      </c>
      <c r="E130" s="50">
        <v>89</v>
      </c>
      <c r="F130" s="51">
        <v>19</v>
      </c>
      <c r="G130" s="52">
        <v>44472.44</v>
      </c>
      <c r="H130" s="52">
        <v>20951.989999999998</v>
      </c>
      <c r="I130" s="53">
        <f t="shared" si="4"/>
      </c>
      <c r="J130" s="53">
        <f t="shared" si="1"/>
      </c>
      <c r="K130" s="53">
        <f t="shared" si="5"/>
      </c>
      <c r="L130" s="54">
        <f t="shared" si="3"/>
      </c>
      <c r="M130" s="55"/>
      <c r="N130" s="50"/>
      <c r="P130" s="63"/>
      <c r="Q130" s="63"/>
      <c r="R130" s="63"/>
      <c r="S130" s="63"/>
      <c r="T130" s="63"/>
      <c r="U130" s="63"/>
      <c r="V130" s="63"/>
    </row>
    <row r="131">
      <c r="A131" s="48" t="s">
        <v>133</v>
      </c>
      <c r="B131" s="49" t="s">
        <v>74</v>
      </c>
      <c r="C131" s="50" t="s">
        <v>75</v>
      </c>
      <c r="D131" s="50">
        <v>5</v>
      </c>
      <c r="E131" s="50">
        <v>112</v>
      </c>
      <c r="F131" s="51">
        <v>18</v>
      </c>
      <c r="G131" s="52">
        <v>65397.45</v>
      </c>
      <c r="H131" s="52">
        <v>31944.799999999996</v>
      </c>
      <c r="I131" s="53">
        <f t="shared" si="4"/>
      </c>
      <c r="J131" s="53">
        <f t="shared" si="1"/>
      </c>
      <c r="K131" s="53">
        <f t="shared" si="5"/>
      </c>
      <c r="L131" s="54">
        <f t="shared" si="3"/>
      </c>
      <c r="M131" s="55" t="s">
        <v>128</v>
      </c>
      <c r="N131" s="50">
        <v>8</v>
      </c>
      <c r="R131" s="64"/>
      <c r="S131" s="64"/>
      <c r="T131" s="64"/>
      <c r="U131" s="65"/>
      <c r="V131" s="65"/>
    </row>
    <row r="132">
      <c r="A132" s="56" t="s">
        <v>133</v>
      </c>
      <c r="B132" s="57"/>
      <c r="C132" s="57"/>
      <c r="D132" s="57">
        <f>SUM(D128:D131)</f>
      </c>
      <c r="E132" s="57">
        <f>SUM(E128:E131)</f>
      </c>
      <c r="F132" s="58">
        <f>SUM(F128:F131)</f>
      </c>
      <c r="G132" s="57">
        <f>SUM(G128:G131)</f>
      </c>
      <c r="H132" s="57">
        <f>SUM(H128:H131)</f>
      </c>
      <c r="I132" s="59">
        <f t="shared" si="4"/>
      </c>
      <c r="J132" s="59">
        <f t="shared" si="1"/>
      </c>
      <c r="K132" s="59">
        <f t="shared" si="5"/>
      </c>
      <c r="L132" s="60">
        <f t="shared" si="3"/>
      </c>
      <c r="M132" s="59"/>
      <c r="N132" s="57">
        <f>SUM(N128:N131)</f>
      </c>
    </row>
    <row r="133">
      <c r="A133" s="48" t="s">
        <v>134</v>
      </c>
      <c r="B133" s="49" t="s">
        <v>72</v>
      </c>
      <c r="C133" s="50" t="s">
        <v>68</v>
      </c>
      <c r="D133" s="50">
        <v>4</v>
      </c>
      <c r="E133" s="50">
        <v>95</v>
      </c>
      <c r="F133" s="51">
        <v>25</v>
      </c>
      <c r="G133" s="51">
        <v>47080.83</v>
      </c>
      <c r="H133" s="52">
        <v>22461.79</v>
      </c>
      <c r="I133" s="53">
        <f t="shared" si="4"/>
      </c>
      <c r="J133" s="53">
        <f t="shared" si="1"/>
      </c>
      <c r="K133" s="53">
        <f t="shared" si="5"/>
      </c>
      <c r="L133" s="54">
        <f t="shared" si="3"/>
      </c>
      <c r="M133" s="55" t="s">
        <v>82</v>
      </c>
      <c r="N133" s="50">
        <v>7</v>
      </c>
    </row>
    <row r="134">
      <c r="A134" s="48" t="s">
        <v>134</v>
      </c>
      <c r="B134" s="49" t="s">
        <v>74</v>
      </c>
      <c r="C134" s="50" t="s">
        <v>71</v>
      </c>
      <c r="D134" s="50">
        <v>4</v>
      </c>
      <c r="E134" s="51">
        <v>85</v>
      </c>
      <c r="F134" s="51">
        <v>19</v>
      </c>
      <c r="G134" s="51">
        <v>62363.66</v>
      </c>
      <c r="H134" s="52">
        <v>22177.28</v>
      </c>
      <c r="I134" s="53">
        <f t="shared" si="4"/>
      </c>
      <c r="J134" s="53">
        <f t="shared" si="1"/>
      </c>
      <c r="K134" s="53">
        <f t="shared" si="5"/>
      </c>
      <c r="L134" s="54">
        <f t="shared" si="3"/>
      </c>
      <c r="M134" s="55" t="s">
        <v>80</v>
      </c>
      <c r="N134" s="50">
        <v>2</v>
      </c>
    </row>
    <row r="135">
      <c r="A135" s="48" t="s">
        <v>134</v>
      </c>
      <c r="B135" s="49" t="s">
        <v>67</v>
      </c>
      <c r="C135" s="50" t="s">
        <v>73</v>
      </c>
      <c r="D135" s="50">
        <v>4</v>
      </c>
      <c r="E135" s="50">
        <v>119</v>
      </c>
      <c r="F135" s="51">
        <v>30</v>
      </c>
      <c r="G135" s="52">
        <v>83992.78</v>
      </c>
      <c r="H135" s="52">
        <v>39832.91</v>
      </c>
      <c r="I135" s="53">
        <f t="shared" si="4"/>
      </c>
      <c r="J135" s="53">
        <f t="shared" si="1"/>
      </c>
      <c r="K135" s="53">
        <f t="shared" si="5"/>
      </c>
      <c r="L135" s="54">
        <f t="shared" si="3"/>
      </c>
      <c r="M135" s="55"/>
      <c r="N135" s="50"/>
      <c r="P135" s="64"/>
      <c r="Q135" s="64"/>
      <c r="R135" s="64"/>
      <c r="S135" s="64"/>
      <c r="T135" s="64"/>
      <c r="U135" s="64"/>
      <c r="V135" s="64"/>
    </row>
    <row r="136">
      <c r="A136" s="48" t="s">
        <v>134</v>
      </c>
      <c r="B136" s="49" t="s">
        <v>117</v>
      </c>
      <c r="C136" s="50" t="s">
        <v>75</v>
      </c>
      <c r="D136" s="50">
        <v>5</v>
      </c>
      <c r="E136" s="50">
        <v>103</v>
      </c>
      <c r="F136" s="51">
        <v>19</v>
      </c>
      <c r="G136" s="52">
        <v>58194.61</v>
      </c>
      <c r="H136" s="52">
        <v>29588.520000000004</v>
      </c>
      <c r="I136" s="53">
        <f t="shared" si="4"/>
      </c>
      <c r="J136" s="53">
        <f t="shared" si="1"/>
      </c>
      <c r="K136" s="53">
        <f t="shared" si="5"/>
      </c>
      <c r="L136" s="54">
        <f t="shared" si="3"/>
      </c>
      <c r="M136" s="55" t="s">
        <v>76</v>
      </c>
      <c r="N136" s="50">
        <v>8</v>
      </c>
    </row>
    <row r="137">
      <c r="A137" s="56" t="s">
        <v>134</v>
      </c>
      <c r="B137" s="57"/>
      <c r="C137" s="57"/>
      <c r="D137" s="57">
        <f>SUM(D133:D136)</f>
      </c>
      <c r="E137" s="57">
        <f>SUM(E133:E136)</f>
      </c>
      <c r="F137" s="58">
        <f>SUM(F133:F136)</f>
      </c>
      <c r="G137" s="57">
        <f>SUM(G133:G136)</f>
      </c>
      <c r="H137" s="57">
        <f>SUM(H133:H136)</f>
      </c>
      <c r="I137" s="59">
        <f t="shared" si="4"/>
      </c>
      <c r="J137" s="59">
        <f t="shared" si="1"/>
      </c>
      <c r="K137" s="59">
        <f t="shared" si="5"/>
      </c>
      <c r="L137" s="60">
        <f t="shared" si="3"/>
      </c>
      <c r="M137" s="59"/>
      <c r="N137" s="57">
        <f>SUM(N133:N136)</f>
      </c>
    </row>
    <row r="138">
      <c r="A138" s="48" t="s">
        <v>135</v>
      </c>
      <c r="B138" s="49" t="s">
        <v>72</v>
      </c>
      <c r="C138" s="50" t="s">
        <v>68</v>
      </c>
      <c r="D138" s="50">
        <v>4</v>
      </c>
      <c r="E138" s="50">
        <v>290</v>
      </c>
      <c r="F138" s="51">
        <v>65</v>
      </c>
      <c r="G138" s="51">
        <v>131265.21</v>
      </c>
      <c r="H138" s="52">
        <v>66971.68</v>
      </c>
      <c r="I138" s="53">
        <f t="shared" si="4"/>
      </c>
      <c r="J138" s="53">
        <f t="shared" si="1"/>
      </c>
      <c r="K138" s="53">
        <f t="shared" si="5"/>
      </c>
      <c r="L138" s="54">
        <f t="shared" si="3"/>
      </c>
      <c r="M138" s="55" t="s">
        <v>82</v>
      </c>
      <c r="N138" s="50">
        <v>7</v>
      </c>
    </row>
    <row r="139">
      <c r="A139" s="48" t="s">
        <v>135</v>
      </c>
      <c r="B139" s="49" t="s">
        <v>67</v>
      </c>
      <c r="C139" s="50" t="s">
        <v>136</v>
      </c>
      <c r="D139" s="50">
        <v>3</v>
      </c>
      <c r="E139" s="51">
        <v>112</v>
      </c>
      <c r="F139" s="51">
        <v>25</v>
      </c>
      <c r="G139" s="51">
        <v>58047.72</v>
      </c>
      <c r="H139" s="52">
        <v>22761.699999999997</v>
      </c>
      <c r="I139" s="53">
        <f t="shared" si="4"/>
      </c>
      <c r="J139" s="53">
        <f t="shared" si="1"/>
      </c>
      <c r="K139" s="53">
        <f t="shared" si="5"/>
      </c>
      <c r="L139" s="54">
        <f t="shared" si="3"/>
      </c>
      <c r="M139" s="55" t="s">
        <v>80</v>
      </c>
      <c r="N139" s="50">
        <v>2</v>
      </c>
    </row>
    <row r="140">
      <c r="A140" s="48" t="s">
        <v>135</v>
      </c>
      <c r="B140" s="49" t="s">
        <v>74</v>
      </c>
      <c r="C140" s="50" t="s">
        <v>137</v>
      </c>
      <c r="D140" s="62">
        <f>5-0.25</f>
      </c>
      <c r="E140" s="50">
        <v>83</v>
      </c>
      <c r="F140" s="51">
        <v>17</v>
      </c>
      <c r="G140" s="52">
        <v>54329.53</v>
      </c>
      <c r="H140" s="52">
        <v>20791.71</v>
      </c>
      <c r="I140" s="53">
        <f t="shared" si="4"/>
      </c>
      <c r="J140" s="53">
        <f t="shared" si="1"/>
      </c>
      <c r="K140" s="53">
        <f t="shared" si="5"/>
      </c>
      <c r="L140" s="54">
        <f t="shared" si="3"/>
      </c>
      <c r="M140" s="55"/>
      <c r="N140" s="50"/>
    </row>
    <row r="141">
      <c r="A141" s="48" t="s">
        <v>135</v>
      </c>
      <c r="B141" s="49" t="s">
        <v>117</v>
      </c>
      <c r="C141" s="50" t="s">
        <v>138</v>
      </c>
      <c r="D141" s="50">
        <v>3</v>
      </c>
      <c r="E141" s="50">
        <v>184</v>
      </c>
      <c r="F141" s="51">
        <v>14</v>
      </c>
      <c r="G141" s="52">
        <v>91718.7</v>
      </c>
      <c r="H141" s="52">
        <v>33719.18</v>
      </c>
      <c r="I141" s="53">
        <f t="shared" si="4"/>
      </c>
      <c r="J141" s="53">
        <f t="shared" si="1"/>
      </c>
      <c r="K141" s="53">
        <f t="shared" si="5"/>
      </c>
      <c r="L141" s="54">
        <f t="shared" si="3"/>
      </c>
      <c r="M141" s="55" t="s">
        <v>76</v>
      </c>
      <c r="N141" s="50">
        <v>6</v>
      </c>
    </row>
    <row r="142">
      <c r="A142" s="56" t="s">
        <v>135</v>
      </c>
      <c r="B142" s="57"/>
      <c r="C142" s="57"/>
      <c r="D142" s="57">
        <f>SUM(D138:D141)</f>
      </c>
      <c r="E142" s="57">
        <f>SUM(E138:E141)</f>
      </c>
      <c r="F142" s="58">
        <f>SUM(F138:F141)</f>
      </c>
      <c r="G142" s="57">
        <f>SUM(G138:G141)</f>
      </c>
      <c r="H142" s="57">
        <f>SUM(H138:H141)</f>
      </c>
      <c r="I142" s="59">
        <f t="shared" si="4"/>
      </c>
      <c r="J142" s="59">
        <f t="shared" si="1"/>
      </c>
      <c r="K142" s="59">
        <f t="shared" si="5"/>
      </c>
      <c r="L142" s="60">
        <f t="shared" si="3"/>
      </c>
      <c r="M142" s="59"/>
      <c r="N142" s="57">
        <f>SUM(N138:N141)</f>
      </c>
    </row>
    <row r="143">
      <c r="B143" s="66"/>
    </row>
    <row r="144">
      <c r="B144" s="66"/>
    </row>
    <row r="145">
      <c r="B145" s="66"/>
    </row>
    <row r="146">
      <c r="B146" s="66"/>
    </row>
    <row r="147">
      <c r="J147" s="61"/>
      <c r="K147" s="61"/>
    </row>
    <row r="148">
      <c r="J148" s="61" t="s">
        <v>64</v>
      </c>
      <c r="K148" s="61" t="s">
        <v>139</v>
      </c>
    </row>
    <row r="149">
      <c r="J149" s="61" t="s">
        <v>100</v>
      </c>
      <c r="K149" s="61">
        <v>3</v>
      </c>
    </row>
    <row r="150">
      <c r="J150" s="61" t="s">
        <v>94</v>
      </c>
      <c r="K150" s="61">
        <v>15.5</v>
      </c>
    </row>
    <row r="151">
      <c r="J151" s="61" t="s">
        <v>80</v>
      </c>
      <c r="K151" s="61">
        <v>102.5</v>
      </c>
    </row>
    <row r="152">
      <c r="J152" s="61" t="s">
        <v>82</v>
      </c>
      <c r="K152" s="61">
        <v>83</v>
      </c>
    </row>
    <row r="153">
      <c r="J153" s="61" t="s">
        <v>76</v>
      </c>
      <c r="K153" s="61">
        <v>156.5</v>
      </c>
    </row>
    <row r="154">
      <c r="J154" s="61" t="s">
        <v>128</v>
      </c>
      <c r="K154" s="61">
        <v>32</v>
      </c>
    </row>
    <row r="155">
      <c r="J155" s="61" t="s">
        <v>69</v>
      </c>
      <c r="K155" s="61">
        <v>36</v>
      </c>
    </row>
    <row r="156">
      <c r="J156" t="s">
        <v>115</v>
      </c>
      <c r="K156">
        <v>18</v>
      </c>
    </row>
    <row r="157">
      <c r="J157" t="s">
        <v>140</v>
      </c>
      <c r="K157">
        <v>446.5</v>
      </c>
    </row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>
      <c r="J182" s="61"/>
      <c r="K182" s="61"/>
    </row>
    <row r="183">
      <c r="J183" s="67" t="s">
        <v>141</v>
      </c>
      <c r="K183" s="67" t="s">
        <v>142</v>
      </c>
    </row>
    <row r="184">
      <c r="J184" s="61">
        <f t="shared" ref="J184:J192" si="0">G184/H184</f>
      </c>
      <c r="K184" s="61">
        <f t="shared" ref="K184:K192" si="2">H184/F184</f>
      </c>
    </row>
    <row r="185">
      <c r="J185" s="61">
        <f t="shared" si="0"/>
      </c>
      <c r="K185" s="61">
        <f t="shared" si="2"/>
      </c>
    </row>
    <row r="186">
      <c r="J186" s="61">
        <f t="shared" si="0"/>
      </c>
      <c r="K186" s="61">
        <f t="shared" si="2"/>
      </c>
    </row>
    <row r="187">
      <c r="J187" s="61">
        <f t="shared" si="0"/>
      </c>
      <c r="K187" s="61">
        <f t="shared" si="2"/>
      </c>
    </row>
    <row r="188">
      <c r="J188" s="61">
        <f t="shared" si="0"/>
      </c>
      <c r="K188" s="61">
        <f t="shared" si="2"/>
      </c>
    </row>
    <row r="189">
      <c r="J189" s="61">
        <f t="shared" si="0"/>
      </c>
      <c r="K189" s="61">
        <f t="shared" si="2"/>
      </c>
    </row>
    <row r="190">
      <c r="J190" s="61">
        <f t="shared" si="0"/>
      </c>
      <c r="K190" s="61">
        <f t="shared" si="2"/>
      </c>
    </row>
    <row r="191">
      <c r="J191" s="61">
        <f t="shared" si="0"/>
      </c>
      <c r="K191" s="61">
        <f t="shared" si="2"/>
      </c>
    </row>
    <row r="192">
      <c r="J192" s="61">
        <f t="shared" si="0"/>
      </c>
      <c r="K192" s="61">
        <f t="shared" si="2"/>
      </c>
    </row>
  </sheetData>
  <autoFilter ref="A1:V195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1" min="1" style="0" width="11.211267605633802"/>
    <col collapsed="false" customWidth="true" hidden="false" max="3" min="3" style="0" width="11.211267605633802"/>
    <col collapsed="false" customWidth="true" hidden="false" max="5" min="5" style="0" width="11.211267605633802"/>
    <col collapsed="false" customWidth="true" hidden="false" max="7" min="7" style="0" width="11.211267605633802"/>
    <col collapsed="false" customWidth="true" hidden="false" max="9" min="9" style="0" width="11.211267605633802"/>
    <col collapsed="false" customWidth="true" hidden="false" max="4" min="4" style="0" width="11.211267605633802"/>
    <col collapsed="false" customWidth="true" hidden="false" max="6" min="6" style="0" width="11.211267605633802"/>
    <col collapsed="false" customWidth="true" hidden="false" max="8" min="8" style="0" width="11.211267605633802"/>
    <col collapsed="false" customWidth="true" hidden="false" max="10" min="10" style="0" width="11.211267605633802"/>
    <col collapsed="false" customWidth="true" hidden="false" max="12" min="12" style="0" width="11.211267605633802"/>
  </cols>
  <sheetData>
    <row r="1">
      <c r="A1" s="68" t="s">
        <v>143</v>
      </c>
      <c r="B1" s="68" t="s">
        <v>144</v>
      </c>
      <c r="C1" s="68" t="s">
        <v>145</v>
      </c>
      <c r="D1" s="68" t="s">
        <v>146</v>
      </c>
      <c r="E1" s="68" t="s">
        <v>147</v>
      </c>
      <c r="F1" s="69" t="s">
        <v>148</v>
      </c>
      <c r="G1" s="68" t="s">
        <v>149</v>
      </c>
      <c r="H1" s="68" t="s">
        <v>150</v>
      </c>
      <c r="I1" s="70" t="s">
        <v>151</v>
      </c>
      <c r="J1" s="70" t="s">
        <v>152</v>
      </c>
      <c r="K1" s="70" t="s">
        <v>153</v>
      </c>
      <c r="L1" s="71" t="s">
        <v>154</v>
      </c>
      <c r="M1" s="70" t="s">
        <v>155</v>
      </c>
      <c r="N1" s="68" t="s">
        <v>156</v>
      </c>
    </row>
    <row r="2">
      <c r="A2" s="72" t="s">
        <v>157</v>
      </c>
      <c r="B2" s="72" t="s">
        <v>158</v>
      </c>
      <c r="C2" s="73" t="s">
        <v>159</v>
      </c>
      <c r="D2" s="73">
        <v>5</v>
      </c>
      <c r="E2" s="73">
        <v>31</v>
      </c>
      <c r="F2" s="74"/>
      <c r="G2" s="74">
        <v>17401.89</v>
      </c>
      <c r="H2" s="74">
        <v>8659.51</v>
      </c>
      <c r="I2" s="75">
        <f t="shared" ref="I2:I150" si="1">G2/H2</f>
      </c>
      <c r="J2" s="75">
        <f t="shared" ref="J2:J150" si="3">G2/E2</f>
      </c>
      <c r="K2" s="75">
        <f t="shared" ref="K2:K150" si="2">H2/E2</f>
      </c>
      <c r="L2" s="75"/>
      <c r="M2" s="76" t="s">
        <v>160</v>
      </c>
      <c r="N2" s="73">
        <v>9</v>
      </c>
    </row>
    <row r="3">
      <c r="A3" s="72" t="s">
        <v>157</v>
      </c>
      <c r="B3" s="77" t="s">
        <v>161</v>
      </c>
      <c r="C3" s="73" t="s">
        <v>162</v>
      </c>
      <c r="D3" s="73">
        <v>4</v>
      </c>
      <c r="E3" s="73">
        <v>69</v>
      </c>
      <c r="F3" s="74"/>
      <c r="G3" s="74">
        <v>39177.76</v>
      </c>
      <c r="H3" s="74">
        <v>20312.210000000003</v>
      </c>
      <c r="I3" s="75">
        <f t="shared" si="1"/>
      </c>
      <c r="J3" s="75">
        <f t="shared" si="3"/>
      </c>
      <c r="K3" s="75">
        <f t="shared" si="2"/>
      </c>
      <c r="L3" s="75"/>
      <c r="M3" s="76"/>
      <c r="N3" s="73"/>
    </row>
    <row r="4">
      <c r="A4" s="72" t="s">
        <v>157</v>
      </c>
      <c r="B4" s="72" t="s">
        <v>163</v>
      </c>
      <c r="C4" s="73" t="s">
        <v>164</v>
      </c>
      <c r="D4" s="73">
        <v>3</v>
      </c>
      <c r="E4" s="73">
        <v>44</v>
      </c>
      <c r="F4" s="74"/>
      <c r="G4" s="74">
        <v>29046.980000000003</v>
      </c>
      <c r="H4" s="74">
        <v>15551.89</v>
      </c>
      <c r="I4" s="75">
        <f t="shared" si="1"/>
      </c>
      <c r="J4" s="75">
        <f t="shared" si="3"/>
      </c>
      <c r="K4" s="75">
        <f t="shared" si="2"/>
      </c>
      <c r="L4" s="75"/>
      <c r="M4" s="76" t="s">
        <v>165</v>
      </c>
      <c r="N4" s="73">
        <v>5</v>
      </c>
    </row>
    <row r="5">
      <c r="A5" s="72" t="s">
        <v>157</v>
      </c>
      <c r="B5" s="77" t="s">
        <v>166</v>
      </c>
      <c r="C5" s="73" t="s">
        <v>167</v>
      </c>
      <c r="D5" s="73">
        <v>2</v>
      </c>
      <c r="E5" s="73">
        <v>12</v>
      </c>
      <c r="F5" s="74"/>
      <c r="G5" s="74">
        <v>5775.739999999991</v>
      </c>
      <c r="H5" s="74">
        <v>4711.59</v>
      </c>
      <c r="I5" s="75">
        <f t="shared" si="1"/>
      </c>
      <c r="J5" s="75">
        <f t="shared" si="3"/>
      </c>
      <c r="K5" s="75">
        <f t="shared" si="2"/>
      </c>
      <c r="L5" s="75"/>
      <c r="M5" s="78"/>
      <c r="N5" s="73"/>
    </row>
    <row r="6">
      <c r="A6" s="79" t="s">
        <v>157</v>
      </c>
      <c r="B6" s="80"/>
      <c r="C6" s="80"/>
      <c r="D6" s="80">
        <f>SUM(D2:D5)</f>
      </c>
      <c r="E6" s="80">
        <f>SUM(E2:E5)</f>
      </c>
      <c r="F6" s="80"/>
      <c r="G6" s="80">
        <f>SUM(G2:G5)</f>
      </c>
      <c r="H6" s="80">
        <f>SUM(H2:H5)</f>
      </c>
      <c r="I6" s="81">
        <f t="shared" si="1"/>
      </c>
      <c r="J6" s="81">
        <f t="shared" si="3"/>
      </c>
      <c r="K6" s="81">
        <f t="shared" si="2"/>
      </c>
      <c r="L6" s="81"/>
      <c r="M6" s="81"/>
      <c r="N6" s="80">
        <f>SUM(N2:N5)</f>
      </c>
    </row>
    <row r="7">
      <c r="A7" s="72" t="s">
        <v>168</v>
      </c>
      <c r="B7" s="72" t="s">
        <v>161</v>
      </c>
      <c r="C7" s="73" t="s">
        <v>169</v>
      </c>
      <c r="D7" s="73">
        <v>4</v>
      </c>
      <c r="E7" s="73">
        <v>19</v>
      </c>
      <c r="F7" s="74"/>
      <c r="G7" s="74">
        <v>9560.16</v>
      </c>
      <c r="H7" s="74">
        <v>6522.25</v>
      </c>
      <c r="I7" s="75">
        <f t="shared" si="1"/>
      </c>
      <c r="J7" s="75">
        <f t="shared" si="3"/>
      </c>
      <c r="K7" s="75">
        <f t="shared" si="2"/>
      </c>
      <c r="L7" s="75"/>
      <c r="M7" s="76" t="s">
        <v>160</v>
      </c>
      <c r="N7" s="73">
        <v>7</v>
      </c>
    </row>
    <row r="8">
      <c r="A8" s="72" t="s">
        <v>168</v>
      </c>
      <c r="B8" s="77" t="s">
        <v>170</v>
      </c>
      <c r="C8" s="73" t="s">
        <v>171</v>
      </c>
      <c r="D8" s="73">
        <v>3</v>
      </c>
      <c r="E8" s="73">
        <v>8</v>
      </c>
      <c r="F8" s="74"/>
      <c r="G8" s="74">
        <v>4950.24</v>
      </c>
      <c r="H8" s="74">
        <v>2792.71</v>
      </c>
      <c r="I8" s="75">
        <f t="shared" si="1"/>
      </c>
      <c r="J8" s="75">
        <f t="shared" si="3"/>
      </c>
      <c r="K8" s="75">
        <f t="shared" si="2"/>
      </c>
      <c r="L8" s="75"/>
      <c r="M8" s="76"/>
      <c r="N8" s="73"/>
    </row>
    <row r="9">
      <c r="A9" s="72" t="s">
        <v>168</v>
      </c>
      <c r="B9" s="77" t="s">
        <v>166</v>
      </c>
      <c r="C9" s="73" t="s">
        <v>172</v>
      </c>
      <c r="D9" s="73">
        <v>2</v>
      </c>
      <c r="E9" s="73">
        <v>5</v>
      </c>
      <c r="F9" s="74"/>
      <c r="G9" s="74">
        <v>1537.92</v>
      </c>
      <c r="H9" s="74">
        <v>1732.9</v>
      </c>
      <c r="I9" s="75">
        <f t="shared" si="1"/>
      </c>
      <c r="J9" s="75">
        <f t="shared" si="3"/>
      </c>
      <c r="K9" s="75">
        <f t="shared" si="2"/>
      </c>
      <c r="L9" s="75"/>
      <c r="M9" s="76" t="s">
        <v>165</v>
      </c>
      <c r="N9" s="73">
        <v>2</v>
      </c>
    </row>
    <row r="10">
      <c r="A10" s="79" t="s">
        <v>168</v>
      </c>
      <c r="B10" s="80"/>
      <c r="C10" s="80"/>
      <c r="D10" s="80">
        <f>SUM(D7:D9)</f>
      </c>
      <c r="E10" s="80">
        <f>SUM(E7:E9)</f>
      </c>
      <c r="F10" s="80"/>
      <c r="G10" s="80">
        <f>SUM(G7:G9)</f>
      </c>
      <c r="H10" s="80">
        <f>SUM(H7:H9)</f>
      </c>
      <c r="I10" s="81">
        <f t="shared" si="1"/>
      </c>
      <c r="J10" s="81">
        <f t="shared" si="3"/>
      </c>
      <c r="K10" s="81">
        <f t="shared" si="2"/>
      </c>
      <c r="L10" s="81"/>
      <c r="M10" s="81"/>
      <c r="N10" s="80">
        <f>SUM(N7:N9)</f>
      </c>
    </row>
    <row r="11">
      <c r="A11" s="72" t="s">
        <v>173</v>
      </c>
      <c r="B11" s="72" t="s">
        <v>158</v>
      </c>
      <c r="C11" s="73" t="s">
        <v>169</v>
      </c>
      <c r="D11" s="73">
        <v>4</v>
      </c>
      <c r="E11" s="73">
        <v>18</v>
      </c>
      <c r="F11" s="74"/>
      <c r="G11" s="74">
        <v>12882.84</v>
      </c>
      <c r="H11" s="74">
        <v>5657.7699999999995</v>
      </c>
      <c r="I11" s="75">
        <f t="shared" si="1"/>
      </c>
      <c r="J11" s="75">
        <f t="shared" si="3"/>
      </c>
      <c r="K11" s="75">
        <f t="shared" si="2"/>
      </c>
      <c r="L11" s="75"/>
      <c r="M11" s="76" t="s">
        <v>160</v>
      </c>
      <c r="N11" s="73">
        <v>9</v>
      </c>
    </row>
    <row r="12">
      <c r="A12" s="72" t="s">
        <v>173</v>
      </c>
      <c r="B12" s="77" t="s">
        <v>170</v>
      </c>
      <c r="C12" s="73" t="s">
        <v>174</v>
      </c>
      <c r="D12" s="73">
        <v>4</v>
      </c>
      <c r="E12" s="73">
        <v>27</v>
      </c>
      <c r="F12" s="74"/>
      <c r="G12" s="74">
        <v>13117.380000000001</v>
      </c>
      <c r="H12" s="74">
        <v>8235.939999999999</v>
      </c>
      <c r="I12" s="75">
        <f t="shared" si="1"/>
      </c>
      <c r="J12" s="75">
        <f t="shared" si="3"/>
      </c>
      <c r="K12" s="75">
        <f t="shared" si="2"/>
      </c>
      <c r="L12" s="75"/>
      <c r="M12" s="76"/>
      <c r="N12" s="73"/>
    </row>
    <row customHeight="true" ht="16.071428571428573" r="13">
      <c r="A13" s="72" t="s">
        <v>173</v>
      </c>
      <c r="B13" s="77" t="s">
        <v>163</v>
      </c>
      <c r="C13" s="73" t="s">
        <v>175</v>
      </c>
      <c r="D13" s="73">
        <v>4</v>
      </c>
      <c r="E13" s="73">
        <v>26</v>
      </c>
      <c r="F13" s="74"/>
      <c r="G13" s="74">
        <v>13404.379999999997</v>
      </c>
      <c r="H13" s="74">
        <v>9071.95</v>
      </c>
      <c r="I13" s="75">
        <f t="shared" si="1"/>
      </c>
      <c r="J13" s="75">
        <f t="shared" si="3"/>
      </c>
      <c r="K13" s="75">
        <f t="shared" si="2"/>
      </c>
      <c r="L13" s="75"/>
      <c r="M13" s="76"/>
      <c r="N13" s="73"/>
    </row>
    <row r="14">
      <c r="A14" s="72" t="s">
        <v>173</v>
      </c>
      <c r="B14" s="77" t="s">
        <v>166</v>
      </c>
      <c r="C14" s="73" t="s">
        <v>176</v>
      </c>
      <c r="D14" s="73">
        <v>3</v>
      </c>
      <c r="E14" s="73">
        <v>32</v>
      </c>
      <c r="F14" s="74"/>
      <c r="G14" s="74">
        <v>16550.16000000001</v>
      </c>
      <c r="H14" s="74">
        <v>10815.43</v>
      </c>
      <c r="I14" s="75">
        <f t="shared" si="1"/>
      </c>
      <c r="J14" s="75">
        <f t="shared" si="3"/>
      </c>
      <c r="K14" s="75">
        <f t="shared" si="2"/>
      </c>
      <c r="L14" s="75"/>
      <c r="M14" s="76" t="s">
        <v>165</v>
      </c>
      <c r="N14" s="73">
        <v>6</v>
      </c>
    </row>
    <row r="15">
      <c r="A15" s="79" t="s">
        <v>173</v>
      </c>
      <c r="B15" s="80"/>
      <c r="C15" s="80"/>
      <c r="D15" s="80">
        <f>SUM(D11:D14)</f>
      </c>
      <c r="E15" s="80">
        <f>SUM(E11:E14)</f>
      </c>
      <c r="F15" s="80"/>
      <c r="G15" s="80">
        <f>SUM(G11:G14)</f>
      </c>
      <c r="H15" s="80">
        <f>SUM(H11:H14)</f>
      </c>
      <c r="I15" s="81">
        <f t="shared" si="1"/>
      </c>
      <c r="J15" s="81">
        <f t="shared" si="3"/>
      </c>
      <c r="K15" s="81">
        <f t="shared" si="2"/>
      </c>
      <c r="L15" s="81"/>
      <c r="M15" s="81"/>
      <c r="N15" s="80">
        <f>SUM(N11:N14)</f>
      </c>
    </row>
    <row r="16">
      <c r="A16" s="72" t="s">
        <v>177</v>
      </c>
      <c r="B16" s="72" t="s">
        <v>170</v>
      </c>
      <c r="C16" s="73" t="s">
        <v>169</v>
      </c>
      <c r="D16" s="73">
        <v>4</v>
      </c>
      <c r="E16" s="73">
        <v>25</v>
      </c>
      <c r="F16" s="74"/>
      <c r="G16" s="74">
        <v>13416.47</v>
      </c>
      <c r="H16" s="74">
        <v>9925.3</v>
      </c>
      <c r="I16" s="75">
        <f t="shared" si="1"/>
      </c>
      <c r="J16" s="75">
        <f t="shared" si="3"/>
      </c>
      <c r="K16" s="75">
        <f t="shared" si="2"/>
      </c>
      <c r="L16" s="75"/>
      <c r="M16" s="76" t="s">
        <v>160</v>
      </c>
      <c r="N16" s="73">
        <v>9</v>
      </c>
    </row>
    <row r="17">
      <c r="A17" s="72" t="s">
        <v>177</v>
      </c>
      <c r="B17" s="77" t="s">
        <v>158</v>
      </c>
      <c r="C17" s="73" t="s">
        <v>174</v>
      </c>
      <c r="D17" s="73">
        <v>4</v>
      </c>
      <c r="E17" s="73">
        <v>13</v>
      </c>
      <c r="F17" s="74"/>
      <c r="G17" s="74">
        <v>6950.879999999999</v>
      </c>
      <c r="H17" s="74">
        <v>4805.799999999999</v>
      </c>
      <c r="I17" s="75">
        <f t="shared" si="1"/>
      </c>
      <c r="J17" s="75">
        <f t="shared" si="3"/>
      </c>
      <c r="K17" s="75">
        <f t="shared" si="2"/>
      </c>
      <c r="L17" s="75"/>
      <c r="M17" s="76"/>
      <c r="N17" s="73"/>
    </row>
    <row r="18">
      <c r="A18" s="72" t="s">
        <v>177</v>
      </c>
      <c r="B18" s="77" t="s">
        <v>163</v>
      </c>
      <c r="C18" s="73" t="s">
        <v>178</v>
      </c>
      <c r="D18" s="73">
        <v>1</v>
      </c>
      <c r="E18" s="73">
        <v>3</v>
      </c>
      <c r="F18" s="74"/>
      <c r="G18" s="74">
        <v>1994.1599999999999</v>
      </c>
      <c r="H18" s="74">
        <v>1757.26</v>
      </c>
      <c r="I18" s="75">
        <f t="shared" si="1"/>
      </c>
      <c r="J18" s="75">
        <f t="shared" si="3"/>
      </c>
      <c r="K18" s="75">
        <f t="shared" si="2"/>
      </c>
      <c r="L18" s="75"/>
      <c r="M18" s="76"/>
      <c r="N18" s="73"/>
    </row>
    <row r="19">
      <c r="A19" s="79" t="s">
        <v>177</v>
      </c>
      <c r="B19" s="80"/>
      <c r="C19" s="80"/>
      <c r="D19" s="82">
        <f>D18+D17+D16</f>
      </c>
      <c r="E19" s="82">
        <f>E18+E17+E16</f>
      </c>
      <c r="F19" s="80"/>
      <c r="G19" s="80">
        <f>G18+G17+G16</f>
      </c>
      <c r="H19" s="80">
        <f>H18+H17+H16</f>
      </c>
      <c r="I19" s="81">
        <f t="shared" si="1"/>
      </c>
      <c r="J19" s="81">
        <f t="shared" si="3"/>
      </c>
      <c r="K19" s="81">
        <f t="shared" si="2"/>
      </c>
      <c r="L19" s="81"/>
      <c r="M19" s="81"/>
      <c r="N19" s="80">
        <f>SUM(N16:N17)</f>
      </c>
    </row>
    <row r="20">
      <c r="A20" s="72" t="s">
        <v>179</v>
      </c>
      <c r="B20" s="72" t="s">
        <v>158</v>
      </c>
      <c r="C20" s="73" t="s">
        <v>169</v>
      </c>
      <c r="D20" s="73">
        <v>4</v>
      </c>
      <c r="E20" s="73">
        <v>14</v>
      </c>
      <c r="F20" s="74"/>
      <c r="G20" s="74">
        <v>8908.56</v>
      </c>
      <c r="H20" s="74">
        <v>4690.530000000001</v>
      </c>
      <c r="I20" s="75">
        <f t="shared" si="1"/>
      </c>
      <c r="J20" s="75">
        <f t="shared" si="3"/>
      </c>
      <c r="K20" s="75">
        <f t="shared" si="2"/>
      </c>
      <c r="L20" s="75"/>
      <c r="M20" s="76" t="s">
        <v>160</v>
      </c>
      <c r="N20" s="73">
        <v>8</v>
      </c>
    </row>
    <row r="21">
      <c r="A21" s="72" t="s">
        <v>179</v>
      </c>
      <c r="B21" s="77" t="s">
        <v>180</v>
      </c>
      <c r="C21" s="73" t="s">
        <v>174</v>
      </c>
      <c r="D21" s="73">
        <v>4</v>
      </c>
      <c r="E21" s="73">
        <v>12</v>
      </c>
      <c r="F21" s="74"/>
      <c r="G21" s="74">
        <v>5721.620000000001</v>
      </c>
      <c r="H21" s="74">
        <v>2715.6099999999997</v>
      </c>
      <c r="I21" s="75">
        <f t="shared" si="1"/>
      </c>
      <c r="J21" s="75">
        <f t="shared" si="3"/>
      </c>
      <c r="K21" s="75">
        <f t="shared" si="2"/>
      </c>
      <c r="L21" s="75"/>
      <c r="M21" s="76"/>
      <c r="N21" s="73"/>
    </row>
    <row r="22">
      <c r="A22" s="79" t="s">
        <v>179</v>
      </c>
      <c r="B22" s="80"/>
      <c r="C22" s="80"/>
      <c r="D22" s="80">
        <f>SUM(D20:D21)</f>
      </c>
      <c r="E22" s="80">
        <f>SUM(E20:E21)</f>
      </c>
      <c r="F22" s="80"/>
      <c r="G22" s="80">
        <f>SUM(G20:G21)</f>
      </c>
      <c r="H22" s="80">
        <f>SUM(H20:H21)</f>
      </c>
      <c r="I22" s="81">
        <f t="shared" si="1"/>
      </c>
      <c r="J22" s="81">
        <f t="shared" si="3"/>
      </c>
      <c r="K22" s="81">
        <f t="shared" si="2"/>
      </c>
      <c r="L22" s="81"/>
      <c r="M22" s="81"/>
      <c r="N22" s="80">
        <f>SUM(N20:N21)</f>
      </c>
    </row>
    <row r="23">
      <c r="A23" s="72" t="s">
        <v>181</v>
      </c>
      <c r="B23" s="72" t="s">
        <v>158</v>
      </c>
      <c r="C23" s="73" t="s">
        <v>169</v>
      </c>
      <c r="D23" s="73">
        <v>4</v>
      </c>
      <c r="E23" s="73">
        <v>96</v>
      </c>
      <c r="F23" s="74"/>
      <c r="G23" s="74">
        <v>48569.18</v>
      </c>
      <c r="H23" s="74">
        <v>29498.429999999997</v>
      </c>
      <c r="I23" s="75">
        <f t="shared" si="1"/>
      </c>
      <c r="J23" s="75">
        <f t="shared" si="3"/>
      </c>
      <c r="K23" s="75">
        <f t="shared" si="2"/>
      </c>
      <c r="L23" s="75"/>
      <c r="M23" s="76" t="s">
        <v>160</v>
      </c>
      <c r="N23" s="73">
        <v>9</v>
      </c>
    </row>
    <row r="24">
      <c r="A24" s="72" t="s">
        <v>181</v>
      </c>
      <c r="B24" s="77" t="s">
        <v>180</v>
      </c>
      <c r="C24" s="73" t="s">
        <v>174</v>
      </c>
      <c r="D24" s="73">
        <v>4</v>
      </c>
      <c r="E24" s="73">
        <v>82</v>
      </c>
      <c r="F24" s="74"/>
      <c r="G24" s="74">
        <v>55821.409999999996</v>
      </c>
      <c r="H24" s="74">
        <v>28323.799999999996</v>
      </c>
      <c r="I24" s="75">
        <f t="shared" si="1"/>
      </c>
      <c r="J24" s="75">
        <f t="shared" si="3"/>
      </c>
      <c r="K24" s="75">
        <f t="shared" si="2"/>
      </c>
      <c r="L24" s="75"/>
      <c r="M24" s="76"/>
      <c r="N24" s="73"/>
    </row>
    <row r="25">
      <c r="A25" s="72" t="s">
        <v>181</v>
      </c>
      <c r="B25" s="77" t="s">
        <v>170</v>
      </c>
      <c r="C25" s="73" t="s">
        <v>178</v>
      </c>
      <c r="D25" s="73">
        <v>1</v>
      </c>
      <c r="E25" s="73">
        <v>9</v>
      </c>
      <c r="F25" s="74"/>
      <c r="G25" s="74">
        <v>4187.279999999999</v>
      </c>
      <c r="H25" s="74">
        <v>3470.69</v>
      </c>
      <c r="I25" s="75">
        <f t="shared" si="1"/>
      </c>
      <c r="J25" s="75">
        <f t="shared" si="3"/>
      </c>
      <c r="K25" s="75">
        <f t="shared" si="2"/>
      </c>
      <c r="L25" s="75"/>
      <c r="M25" s="76"/>
      <c r="N25" s="73"/>
    </row>
    <row r="26">
      <c r="A26" s="79" t="s">
        <v>181</v>
      </c>
      <c r="B26" s="80"/>
      <c r="C26" s="80"/>
      <c r="D26" s="80">
        <f>SUM(D23:D25)</f>
      </c>
      <c r="E26" s="80">
        <f>SUM(E23:E25)</f>
      </c>
      <c r="F26" s="80"/>
      <c r="G26" s="80">
        <f>SUM(G23:G25)</f>
      </c>
      <c r="H26" s="80">
        <f>SUM(H23:H25)</f>
      </c>
      <c r="I26" s="81">
        <f t="shared" si="1"/>
      </c>
      <c r="J26" s="81">
        <f t="shared" si="3"/>
      </c>
      <c r="K26" s="81">
        <f t="shared" si="2"/>
      </c>
      <c r="L26" s="81"/>
      <c r="M26" s="81"/>
      <c r="N26" s="80">
        <f>SUM(N23:N25)</f>
      </c>
    </row>
    <row r="27">
      <c r="A27" s="72" t="s">
        <v>182</v>
      </c>
      <c r="B27" s="72" t="s">
        <v>170</v>
      </c>
      <c r="C27" s="73" t="s">
        <v>169</v>
      </c>
      <c r="D27" s="73">
        <v>4</v>
      </c>
      <c r="E27" s="73">
        <v>31</v>
      </c>
      <c r="F27" s="74"/>
      <c r="G27" s="74">
        <v>15207.88</v>
      </c>
      <c r="H27" s="74">
        <v>13593.71</v>
      </c>
      <c r="I27" s="75">
        <f t="shared" si="1"/>
      </c>
      <c r="J27" s="75">
        <f t="shared" si="3"/>
      </c>
      <c r="K27" s="75">
        <f t="shared" si="2"/>
      </c>
      <c r="L27" s="75"/>
      <c r="M27" s="76" t="s">
        <v>160</v>
      </c>
      <c r="N27" s="73">
        <v>9</v>
      </c>
    </row>
    <row r="28">
      <c r="A28" s="72" t="s">
        <v>182</v>
      </c>
      <c r="B28" s="77" t="s">
        <v>180</v>
      </c>
      <c r="C28" s="73" t="s">
        <v>171</v>
      </c>
      <c r="D28" s="73">
        <v>3</v>
      </c>
      <c r="E28" s="73">
        <v>39</v>
      </c>
      <c r="F28" s="74"/>
      <c r="G28" s="74">
        <v>23814.770000000004</v>
      </c>
      <c r="H28" s="74">
        <v>10814.7</v>
      </c>
      <c r="I28" s="75">
        <f t="shared" si="1"/>
      </c>
      <c r="J28" s="75">
        <f t="shared" si="3"/>
      </c>
      <c r="K28" s="75">
        <f t="shared" si="2"/>
      </c>
      <c r="L28" s="75"/>
      <c r="M28" s="76"/>
      <c r="N28" s="73"/>
    </row>
    <row r="29">
      <c r="A29" s="72" t="s">
        <v>182</v>
      </c>
      <c r="B29" s="77" t="s">
        <v>183</v>
      </c>
      <c r="C29" s="73" t="s">
        <v>184</v>
      </c>
      <c r="D29" s="73">
        <v>3</v>
      </c>
      <c r="E29" s="73">
        <v>50</v>
      </c>
      <c r="F29" s="74"/>
      <c r="G29" s="74">
        <v>18934.620000000003</v>
      </c>
      <c r="H29" s="74">
        <v>17759.25</v>
      </c>
      <c r="I29" s="75">
        <f t="shared" si="1"/>
      </c>
      <c r="J29" s="75">
        <f t="shared" si="3"/>
      </c>
      <c r="K29" s="75">
        <f t="shared" si="2"/>
      </c>
      <c r="L29" s="75"/>
      <c r="M29" s="76" t="s">
        <v>165</v>
      </c>
      <c r="N29" s="73">
        <v>1</v>
      </c>
    </row>
    <row r="30">
      <c r="A30" s="72" t="s">
        <v>182</v>
      </c>
      <c r="B30" s="77" t="s">
        <v>185</v>
      </c>
      <c r="C30" s="73" t="s">
        <v>186</v>
      </c>
      <c r="D30" s="73">
        <v>4</v>
      </c>
      <c r="E30" s="73">
        <v>149</v>
      </c>
      <c r="F30" s="74"/>
      <c r="G30" s="74">
        <v>74683.56999999998</v>
      </c>
      <c r="H30" s="74">
        <v>36495.98</v>
      </c>
      <c r="I30" s="75">
        <f t="shared" si="1"/>
      </c>
      <c r="J30" s="75">
        <f t="shared" si="3"/>
      </c>
      <c r="K30" s="75">
        <f t="shared" si="2"/>
      </c>
      <c r="L30" s="75"/>
      <c r="M30" s="76" t="s">
        <v>187</v>
      </c>
      <c r="N30" s="73">
        <v>4</v>
      </c>
    </row>
    <row r="31">
      <c r="A31" s="79" t="s">
        <v>182</v>
      </c>
      <c r="B31" s="80"/>
      <c r="C31" s="80"/>
      <c r="D31" s="80">
        <f>SUM(D27:D30)</f>
      </c>
      <c r="E31" s="80">
        <f>SUM(E27:E30)</f>
      </c>
      <c r="F31" s="80"/>
      <c r="G31" s="80">
        <f>SUM(G27:G30)</f>
      </c>
      <c r="H31" s="80">
        <f>SUM(H27:H30)</f>
      </c>
      <c r="I31" s="81">
        <f t="shared" si="1"/>
      </c>
      <c r="J31" s="81">
        <f t="shared" si="3"/>
      </c>
      <c r="K31" s="81">
        <f t="shared" si="2"/>
      </c>
      <c r="L31" s="81"/>
      <c r="M31" s="81"/>
      <c r="N31" s="80">
        <f>SUM(N27:N30)</f>
      </c>
    </row>
    <row r="32">
      <c r="A32" s="72" t="s">
        <v>188</v>
      </c>
      <c r="B32" s="77" t="s">
        <v>185</v>
      </c>
      <c r="C32" s="73" t="s">
        <v>169</v>
      </c>
      <c r="D32" s="73">
        <v>4</v>
      </c>
      <c r="E32" s="73">
        <v>113</v>
      </c>
      <c r="F32" s="74"/>
      <c r="G32" s="74">
        <v>56683.26</v>
      </c>
      <c r="H32" s="74">
        <v>40120.13</v>
      </c>
      <c r="I32" s="75">
        <f t="shared" si="1"/>
      </c>
      <c r="J32" s="75">
        <f t="shared" si="3"/>
      </c>
      <c r="K32" s="75">
        <f t="shared" si="2"/>
      </c>
      <c r="L32" s="75"/>
      <c r="M32" s="76" t="s">
        <v>189</v>
      </c>
      <c r="N32" s="73">
        <v>9</v>
      </c>
    </row>
    <row r="33">
      <c r="A33" s="72" t="s">
        <v>188</v>
      </c>
      <c r="B33" s="77" t="s">
        <v>161</v>
      </c>
      <c r="C33" s="73" t="s">
        <v>174</v>
      </c>
      <c r="D33" s="73">
        <v>4</v>
      </c>
      <c r="E33" s="73">
        <v>63</v>
      </c>
      <c r="F33" s="74"/>
      <c r="G33" s="74">
        <v>25717.139999999992</v>
      </c>
      <c r="H33" s="74">
        <v>21179.829999999998</v>
      </c>
      <c r="I33" s="75">
        <f t="shared" si="1"/>
      </c>
      <c r="J33" s="75">
        <f t="shared" si="3"/>
      </c>
      <c r="K33" s="75">
        <f t="shared" si="2"/>
      </c>
      <c r="L33" s="75"/>
      <c r="M33" s="76"/>
      <c r="N33" s="73"/>
    </row>
    <row r="34">
      <c r="A34" s="72" t="s">
        <v>188</v>
      </c>
      <c r="B34" s="77" t="s">
        <v>180</v>
      </c>
      <c r="C34" s="73" t="s">
        <v>190</v>
      </c>
      <c r="D34" s="73">
        <v>2</v>
      </c>
      <c r="E34" s="73">
        <v>20</v>
      </c>
      <c r="F34" s="74"/>
      <c r="G34" s="74">
        <v>10280.660000000003</v>
      </c>
      <c r="H34" s="74">
        <v>6520.499999999999</v>
      </c>
      <c r="I34" s="75">
        <f t="shared" si="1"/>
      </c>
      <c r="J34" s="75">
        <f t="shared" si="3"/>
      </c>
      <c r="K34" s="75">
        <f t="shared" si="2"/>
      </c>
      <c r="L34" s="75"/>
      <c r="M34" s="76" t="s">
        <v>191</v>
      </c>
      <c r="N34" s="73">
        <v>1</v>
      </c>
    </row>
    <row r="35">
      <c r="A35" s="72" t="s">
        <v>188</v>
      </c>
      <c r="B35" s="77" t="s">
        <v>183</v>
      </c>
      <c r="C35" s="73" t="s">
        <v>192</v>
      </c>
      <c r="D35" s="73">
        <v>4</v>
      </c>
      <c r="E35" s="73">
        <v>120</v>
      </c>
      <c r="F35" s="74"/>
      <c r="G35" s="74">
        <v>62974.48000000001</v>
      </c>
      <c r="H35" s="74">
        <v>33074.23</v>
      </c>
      <c r="I35" s="75">
        <f t="shared" si="1"/>
      </c>
      <c r="J35" s="75">
        <f t="shared" si="3"/>
      </c>
      <c r="K35" s="75">
        <f t="shared" si="2"/>
      </c>
      <c r="L35" s="75"/>
      <c r="M35" s="76" t="s">
        <v>187</v>
      </c>
      <c r="N35" s="73">
        <v>4</v>
      </c>
    </row>
    <row r="36">
      <c r="A36" s="79" t="s">
        <v>188</v>
      </c>
      <c r="B36" s="80"/>
      <c r="C36" s="80"/>
      <c r="D36" s="80">
        <f>SUM(D32:D35)</f>
      </c>
      <c r="E36" s="80">
        <f>SUM(E32:E35)</f>
      </c>
      <c r="F36" s="80"/>
      <c r="G36" s="80">
        <f>SUM(G32:G35)</f>
      </c>
      <c r="H36" s="80">
        <f>SUM(H32:H35)</f>
      </c>
      <c r="I36" s="81">
        <f t="shared" si="1"/>
      </c>
      <c r="J36" s="81">
        <f t="shared" si="3"/>
      </c>
      <c r="K36" s="81">
        <f t="shared" si="2"/>
      </c>
      <c r="L36" s="81"/>
      <c r="M36" s="81"/>
      <c r="N36" s="80">
        <f>SUM(N32:N35)</f>
      </c>
    </row>
    <row r="37">
      <c r="A37" s="72" t="s">
        <v>193</v>
      </c>
      <c r="B37" s="77" t="s">
        <v>185</v>
      </c>
      <c r="C37" s="73" t="s">
        <v>159</v>
      </c>
      <c r="D37" s="73">
        <v>5</v>
      </c>
      <c r="E37" s="73">
        <v>153</v>
      </c>
      <c r="F37" s="74"/>
      <c r="G37" s="74">
        <v>90938.65</v>
      </c>
      <c r="H37" s="74">
        <v>38811.08</v>
      </c>
      <c r="I37" s="75">
        <f t="shared" si="1"/>
      </c>
      <c r="J37" s="75">
        <f t="shared" si="3"/>
      </c>
      <c r="K37" s="75">
        <f t="shared" si="2"/>
      </c>
      <c r="L37" s="75"/>
      <c r="M37" s="76" t="s">
        <v>189</v>
      </c>
      <c r="N37" s="73">
        <v>9</v>
      </c>
    </row>
    <row r="38">
      <c r="A38" s="72" t="s">
        <v>193</v>
      </c>
      <c r="B38" s="77" t="s">
        <v>161</v>
      </c>
      <c r="C38" s="73" t="s">
        <v>162</v>
      </c>
      <c r="D38" s="73">
        <v>4</v>
      </c>
      <c r="E38" s="73">
        <v>59</v>
      </c>
      <c r="F38" s="74"/>
      <c r="G38" s="74">
        <v>27322.960000000006</v>
      </c>
      <c r="H38" s="74">
        <v>17074.910000000003</v>
      </c>
      <c r="I38" s="75">
        <f t="shared" si="1"/>
      </c>
      <c r="J38" s="75">
        <f t="shared" si="3"/>
      </c>
      <c r="K38" s="75">
        <f t="shared" si="2"/>
      </c>
      <c r="L38" s="75"/>
      <c r="M38" s="76"/>
      <c r="N38" s="73"/>
    </row>
    <row r="39">
      <c r="A39" s="72" t="s">
        <v>193</v>
      </c>
      <c r="B39" s="77" t="s">
        <v>180</v>
      </c>
      <c r="C39" s="73" t="s">
        <v>194</v>
      </c>
      <c r="D39" s="73">
        <v>4</v>
      </c>
      <c r="E39" s="73">
        <v>55</v>
      </c>
      <c r="F39" s="74"/>
      <c r="G39" s="74">
        <v>30858.199999999997</v>
      </c>
      <c r="H39" s="74">
        <v>17522.79</v>
      </c>
      <c r="I39" s="75">
        <f t="shared" si="1"/>
      </c>
      <c r="J39" s="75">
        <f t="shared" si="3"/>
      </c>
      <c r="K39" s="75">
        <f t="shared" si="2"/>
      </c>
      <c r="L39" s="75"/>
      <c r="M39" s="76"/>
      <c r="N39" s="73"/>
    </row>
    <row r="40">
      <c r="A40" s="72" t="s">
        <v>193</v>
      </c>
      <c r="B40" s="77" t="s">
        <v>183</v>
      </c>
      <c r="C40" s="73" t="s">
        <v>195</v>
      </c>
      <c r="D40" s="73">
        <v>5</v>
      </c>
      <c r="E40" s="73">
        <v>100</v>
      </c>
      <c r="F40" s="74"/>
      <c r="G40" s="74">
        <v>57124.619999999995</v>
      </c>
      <c r="H40" s="74">
        <v>22877.22</v>
      </c>
      <c r="I40" s="75">
        <f t="shared" si="1"/>
      </c>
      <c r="J40" s="75">
        <f t="shared" si="3"/>
      </c>
      <c r="K40" s="75">
        <f t="shared" si="2"/>
      </c>
      <c r="L40" s="75"/>
      <c r="M40" s="76" t="s">
        <v>196</v>
      </c>
      <c r="N40" s="73">
        <v>9</v>
      </c>
    </row>
    <row r="41">
      <c r="A41" s="79" t="s">
        <v>193</v>
      </c>
      <c r="B41" s="80"/>
      <c r="C41" s="80"/>
      <c r="D41" s="80">
        <f>SUM(D37:D40)</f>
      </c>
      <c r="E41" s="80">
        <f>SUM(E37:E40)</f>
      </c>
      <c r="F41" s="80"/>
      <c r="G41" s="80">
        <f>SUM(G37:G40)</f>
      </c>
      <c r="H41" s="80">
        <f>SUM(H37:H40)</f>
      </c>
      <c r="I41" s="81">
        <f t="shared" si="1"/>
      </c>
      <c r="J41" s="81">
        <f t="shared" si="3"/>
      </c>
      <c r="K41" s="81">
        <f t="shared" si="2"/>
      </c>
      <c r="L41" s="81"/>
      <c r="M41" s="81"/>
      <c r="N41" s="80">
        <f>SUM(N37:N40)</f>
      </c>
    </row>
    <row r="42">
      <c r="A42" s="72" t="s">
        <v>197</v>
      </c>
      <c r="B42" s="77" t="s">
        <v>185</v>
      </c>
      <c r="C42" s="73" t="s">
        <v>159</v>
      </c>
      <c r="D42" s="73">
        <v>5</v>
      </c>
      <c r="E42" s="73">
        <v>163</v>
      </c>
      <c r="F42" s="74"/>
      <c r="G42" s="74">
        <v>100573.79</v>
      </c>
      <c r="H42" s="74">
        <v>43386.88</v>
      </c>
      <c r="I42" s="75">
        <f t="shared" si="1"/>
      </c>
      <c r="J42" s="75">
        <f t="shared" si="3"/>
      </c>
      <c r="K42" s="75">
        <f t="shared" si="2"/>
      </c>
      <c r="L42" s="75"/>
      <c r="M42" s="76" t="s">
        <v>198</v>
      </c>
      <c r="N42" s="73">
        <v>6</v>
      </c>
    </row>
    <row r="43">
      <c r="A43" s="72" t="s">
        <v>197</v>
      </c>
      <c r="B43" s="77" t="s">
        <v>183</v>
      </c>
      <c r="C43" s="73" t="s">
        <v>162</v>
      </c>
      <c r="D43" s="73">
        <v>4</v>
      </c>
      <c r="E43" s="73">
        <v>81</v>
      </c>
      <c r="F43" s="74"/>
      <c r="G43" s="74">
        <v>42809.96000000001</v>
      </c>
      <c r="H43" s="74">
        <v>22517.85</v>
      </c>
      <c r="I43" s="75">
        <f t="shared" si="1"/>
      </c>
      <c r="J43" s="75">
        <f t="shared" si="3"/>
      </c>
      <c r="K43" s="75">
        <f t="shared" si="2"/>
      </c>
      <c r="L43" s="75"/>
      <c r="M43" s="76"/>
      <c r="N43" s="73"/>
    </row>
    <row r="44">
      <c r="A44" s="72" t="s">
        <v>197</v>
      </c>
      <c r="B44" s="77" t="s">
        <v>180</v>
      </c>
      <c r="C44" s="73" t="s">
        <v>194</v>
      </c>
      <c r="D44" s="73">
        <v>4</v>
      </c>
      <c r="E44" s="73">
        <v>72</v>
      </c>
      <c r="F44" s="74"/>
      <c r="G44" s="74">
        <v>40667.29999999999</v>
      </c>
      <c r="H44" s="74">
        <v>20368.980000000003</v>
      </c>
      <c r="I44" s="75">
        <f t="shared" si="1"/>
      </c>
      <c r="J44" s="75">
        <f t="shared" si="3"/>
      </c>
      <c r="K44" s="75">
        <f t="shared" si="2"/>
      </c>
      <c r="L44" s="75"/>
      <c r="M44" s="76"/>
      <c r="N44" s="73"/>
    </row>
    <row r="45">
      <c r="A45" s="72" t="s">
        <v>197</v>
      </c>
      <c r="B45" s="77" t="s">
        <v>170</v>
      </c>
      <c r="C45" s="73" t="s">
        <v>199</v>
      </c>
      <c r="D45" s="73">
        <v>4</v>
      </c>
      <c r="E45" s="73">
        <v>78</v>
      </c>
      <c r="F45" s="74"/>
      <c r="G45" s="74">
        <v>34358.24000000002</v>
      </c>
      <c r="H45" s="74">
        <v>23141.309999999998</v>
      </c>
      <c r="I45" s="75">
        <f t="shared" si="1"/>
      </c>
      <c r="J45" s="75">
        <f t="shared" si="3"/>
      </c>
      <c r="K45" s="75">
        <f t="shared" si="2"/>
      </c>
      <c r="L45" s="75"/>
      <c r="M45" s="76" t="s">
        <v>196</v>
      </c>
      <c r="N45" s="73">
        <v>11</v>
      </c>
    </row>
    <row r="46">
      <c r="A46" s="79" t="s">
        <v>197</v>
      </c>
      <c r="B46" s="80"/>
      <c r="C46" s="80"/>
      <c r="D46" s="80">
        <f>SUM(D42:D45)</f>
      </c>
      <c r="E46" s="80">
        <f>SUM(E42:E45)</f>
      </c>
      <c r="F46" s="80"/>
      <c r="G46" s="80">
        <f>SUM(G42:G45)</f>
      </c>
      <c r="H46" s="80">
        <f>SUM(H42:H45)</f>
      </c>
      <c r="I46" s="81">
        <f t="shared" si="1"/>
      </c>
      <c r="J46" s="81">
        <f t="shared" si="3"/>
      </c>
      <c r="K46" s="81">
        <f t="shared" si="2"/>
      </c>
      <c r="L46" s="81"/>
      <c r="M46" s="81"/>
      <c r="N46" s="80">
        <f>SUM(N42:N45)</f>
      </c>
    </row>
    <row r="47">
      <c r="A47" s="72" t="s">
        <v>200</v>
      </c>
      <c r="B47" s="77" t="s">
        <v>185</v>
      </c>
      <c r="C47" s="73" t="s">
        <v>169</v>
      </c>
      <c r="D47" s="73">
        <v>4</v>
      </c>
      <c r="E47" s="73">
        <v>29</v>
      </c>
      <c r="F47" s="74"/>
      <c r="G47" s="74">
        <v>17764.86</v>
      </c>
      <c r="H47" s="74">
        <v>11884.86</v>
      </c>
      <c r="I47" s="75">
        <f t="shared" si="1"/>
      </c>
      <c r="J47" s="75">
        <f t="shared" si="3"/>
      </c>
      <c r="K47" s="75">
        <f t="shared" si="2"/>
      </c>
      <c r="L47" s="75"/>
      <c r="M47" s="76" t="s">
        <v>189</v>
      </c>
      <c r="N47" s="73">
        <v>9</v>
      </c>
    </row>
    <row r="48">
      <c r="A48" s="72" t="s">
        <v>200</v>
      </c>
      <c r="B48" s="77" t="s">
        <v>183</v>
      </c>
      <c r="C48" s="73" t="s">
        <v>174</v>
      </c>
      <c r="D48" s="73">
        <v>4</v>
      </c>
      <c r="E48" s="73">
        <v>26</v>
      </c>
      <c r="F48" s="74"/>
      <c r="G48" s="74">
        <v>12350.839999999997</v>
      </c>
      <c r="H48" s="74">
        <v>10179.76</v>
      </c>
      <c r="I48" s="75">
        <f t="shared" si="1"/>
      </c>
      <c r="J48" s="75">
        <f t="shared" si="3"/>
      </c>
      <c r="K48" s="75">
        <f t="shared" si="2"/>
      </c>
      <c r="L48" s="75"/>
      <c r="M48" s="76"/>
      <c r="N48" s="73"/>
    </row>
    <row r="49">
      <c r="A49" s="72" t="s">
        <v>200</v>
      </c>
      <c r="B49" s="77" t="s">
        <v>180</v>
      </c>
      <c r="C49" s="73" t="s">
        <v>201</v>
      </c>
      <c r="D49" s="73">
        <v>5</v>
      </c>
      <c r="E49" s="73">
        <v>135</v>
      </c>
      <c r="F49" s="74"/>
      <c r="G49" s="74">
        <v>73581.04000000001</v>
      </c>
      <c r="H49" s="74">
        <v>33765.21</v>
      </c>
      <c r="I49" s="75">
        <f t="shared" si="1"/>
      </c>
      <c r="J49" s="75">
        <f t="shared" si="3"/>
      </c>
      <c r="K49" s="75">
        <f t="shared" si="2"/>
      </c>
      <c r="L49" s="75"/>
      <c r="M49" s="76"/>
      <c r="N49" s="73"/>
    </row>
    <row r="50">
      <c r="A50" s="72" t="s">
        <v>200</v>
      </c>
      <c r="B50" s="77" t="s">
        <v>170</v>
      </c>
      <c r="C50" s="73" t="s">
        <v>199</v>
      </c>
      <c r="D50" s="73">
        <v>4</v>
      </c>
      <c r="E50" s="73">
        <v>65</v>
      </c>
      <c r="F50" s="74"/>
      <c r="G50" s="74">
        <v>28528.309999999983</v>
      </c>
      <c r="H50" s="74">
        <v>19193.440000000002</v>
      </c>
      <c r="I50" s="75">
        <f t="shared" si="1"/>
      </c>
      <c r="J50" s="75">
        <f t="shared" si="3"/>
      </c>
      <c r="K50" s="75">
        <f t="shared" si="2"/>
      </c>
      <c r="L50" s="75"/>
      <c r="M50" s="76" t="s">
        <v>196</v>
      </c>
      <c r="N50" s="73">
        <v>8</v>
      </c>
    </row>
    <row r="51">
      <c r="A51" s="79" t="s">
        <v>200</v>
      </c>
      <c r="B51" s="80"/>
      <c r="C51" s="80"/>
      <c r="D51" s="80">
        <f>SUM(D47:D50)</f>
      </c>
      <c r="E51" s="80">
        <f>SUM(E47:E50)</f>
      </c>
      <c r="F51" s="80"/>
      <c r="G51" s="80">
        <f>SUM(G47:G50)</f>
      </c>
      <c r="H51" s="80">
        <f>SUM(H47:H50)</f>
      </c>
      <c r="I51" s="81">
        <f t="shared" si="1"/>
      </c>
      <c r="J51" s="81">
        <f t="shared" si="3"/>
      </c>
      <c r="K51" s="81">
        <f t="shared" si="2"/>
      </c>
      <c r="L51" s="81"/>
      <c r="M51" s="81"/>
      <c r="N51" s="80">
        <f>SUM(N47:N50)</f>
      </c>
    </row>
    <row r="52">
      <c r="A52" s="72" t="s">
        <v>202</v>
      </c>
      <c r="B52" s="77" t="s">
        <v>185</v>
      </c>
      <c r="C52" s="73" t="s">
        <v>169</v>
      </c>
      <c r="D52" s="73">
        <v>4</v>
      </c>
      <c r="E52" s="73">
        <v>127</v>
      </c>
      <c r="F52" s="83">
        <v>48</v>
      </c>
      <c r="G52" s="74">
        <v>70579.73</v>
      </c>
      <c r="H52" s="74">
        <v>35197.33</v>
      </c>
      <c r="I52" s="75">
        <f t="shared" si="1"/>
      </c>
      <c r="J52" s="75">
        <f t="shared" si="3"/>
      </c>
      <c r="K52" s="75">
        <f t="shared" si="2"/>
      </c>
      <c r="L52" s="84">
        <f t="shared" ref="L52:L150" si="0">F52/E52</f>
      </c>
      <c r="M52" s="76" t="s">
        <v>203</v>
      </c>
      <c r="N52" s="73">
        <v>9</v>
      </c>
    </row>
    <row r="53">
      <c r="A53" s="72" t="s">
        <v>202</v>
      </c>
      <c r="B53" s="77" t="s">
        <v>180</v>
      </c>
      <c r="C53" s="73" t="s">
        <v>174</v>
      </c>
      <c r="D53" s="73">
        <v>4</v>
      </c>
      <c r="E53" s="73">
        <v>93</v>
      </c>
      <c r="F53" s="83">
        <v>35</v>
      </c>
      <c r="G53" s="74">
        <v>47679.240000000005</v>
      </c>
      <c r="H53" s="74">
        <v>32542.39</v>
      </c>
      <c r="I53" s="75">
        <f t="shared" si="1"/>
      </c>
      <c r="J53" s="75">
        <f t="shared" si="3"/>
      </c>
      <c r="K53" s="75">
        <f t="shared" si="2"/>
      </c>
      <c r="L53" s="84">
        <f t="shared" si="0"/>
      </c>
      <c r="M53" s="76"/>
      <c r="N53" s="73"/>
    </row>
    <row r="54">
      <c r="A54" s="72" t="s">
        <v>202</v>
      </c>
      <c r="B54" s="77" t="s">
        <v>183</v>
      </c>
      <c r="C54" s="73" t="s">
        <v>175</v>
      </c>
      <c r="D54" s="73">
        <v>4</v>
      </c>
      <c r="E54" s="73">
        <v>105</v>
      </c>
      <c r="F54" s="83">
        <v>37</v>
      </c>
      <c r="G54" s="74">
        <v>42887.06</v>
      </c>
      <c r="H54" s="74">
        <v>23197.33</v>
      </c>
      <c r="I54" s="75">
        <f t="shared" si="1"/>
      </c>
      <c r="J54" s="75">
        <f t="shared" si="3"/>
      </c>
      <c r="K54" s="75">
        <f t="shared" si="2"/>
      </c>
      <c r="L54" s="84">
        <f t="shared" si="0"/>
      </c>
      <c r="M54" s="76"/>
      <c r="N54" s="73"/>
    </row>
    <row r="55">
      <c r="A55" s="72" t="s">
        <v>202</v>
      </c>
      <c r="B55" s="77" t="s">
        <v>170</v>
      </c>
      <c r="C55" s="73" t="s">
        <v>192</v>
      </c>
      <c r="D55" s="73">
        <v>4</v>
      </c>
      <c r="E55" s="73">
        <v>116</v>
      </c>
      <c r="F55" s="83">
        <v>35</v>
      </c>
      <c r="G55" s="74">
        <v>59032.97</v>
      </c>
      <c r="H55" s="74">
        <v>30664.659999999996</v>
      </c>
      <c r="I55" s="75">
        <f t="shared" si="1"/>
      </c>
      <c r="J55" s="75">
        <f t="shared" si="3"/>
      </c>
      <c r="K55" s="75">
        <f t="shared" si="2"/>
      </c>
      <c r="L55" s="84">
        <f t="shared" si="0"/>
      </c>
      <c r="M55" s="76" t="s">
        <v>196</v>
      </c>
      <c r="N55" s="73">
        <v>7</v>
      </c>
    </row>
    <row r="56">
      <c r="A56" s="79" t="s">
        <v>202</v>
      </c>
      <c r="B56" s="80"/>
      <c r="C56" s="80"/>
      <c r="D56" s="80">
        <f>SUM(D52:D55)</f>
      </c>
      <c r="E56" s="80">
        <f>SUM(E52:E55)</f>
      </c>
      <c r="F56" s="85">
        <f>SUM(F52:F55)</f>
      </c>
      <c r="G56" s="80">
        <f>SUM(G52:G55)</f>
      </c>
      <c r="H56" s="80">
        <f>SUM(H52:H55)</f>
      </c>
      <c r="I56" s="81">
        <f t="shared" si="1"/>
      </c>
      <c r="J56" s="81">
        <f t="shared" si="3"/>
      </c>
      <c r="K56" s="81">
        <f t="shared" si="2"/>
      </c>
      <c r="L56" s="86">
        <f t="shared" si="0"/>
      </c>
      <c r="M56" s="81"/>
      <c r="N56" s="80">
        <f>SUM(N52:N55)</f>
      </c>
    </row>
    <row r="57">
      <c r="A57" s="72" t="s">
        <v>204</v>
      </c>
      <c r="B57" s="77" t="s">
        <v>185</v>
      </c>
      <c r="C57" s="73" t="s">
        <v>159</v>
      </c>
      <c r="D57" s="73">
        <v>5</v>
      </c>
      <c r="E57" s="73">
        <v>219</v>
      </c>
      <c r="F57" s="83">
        <v>66</v>
      </c>
      <c r="G57" s="74">
        <v>120073.65</v>
      </c>
      <c r="H57" s="74">
        <v>56664.07</v>
      </c>
      <c r="I57" s="75">
        <f t="shared" si="1"/>
      </c>
      <c r="J57" s="75">
        <f t="shared" si="3"/>
      </c>
      <c r="K57" s="75">
        <f t="shared" si="2"/>
      </c>
      <c r="L57" s="84">
        <f t="shared" si="0"/>
      </c>
      <c r="M57" s="76" t="s">
        <v>205</v>
      </c>
      <c r="N57" s="73">
        <v>9</v>
      </c>
    </row>
    <row r="58">
      <c r="A58" s="72" t="s">
        <v>204</v>
      </c>
      <c r="B58" s="77" t="s">
        <v>183</v>
      </c>
      <c r="C58" s="73" t="s">
        <v>162</v>
      </c>
      <c r="D58" s="73">
        <v>4</v>
      </c>
      <c r="E58" s="73">
        <v>119</v>
      </c>
      <c r="F58" s="83">
        <v>31</v>
      </c>
      <c r="G58" s="74">
        <v>59228.020000000004</v>
      </c>
      <c r="H58" s="74">
        <v>33983.12</v>
      </c>
      <c r="I58" s="75">
        <f t="shared" si="1"/>
      </c>
      <c r="J58" s="75">
        <f t="shared" si="3"/>
      </c>
      <c r="K58" s="75">
        <f t="shared" si="2"/>
      </c>
      <c r="L58" s="84">
        <f t="shared" si="0"/>
      </c>
      <c r="M58" s="76"/>
      <c r="N58" s="73"/>
    </row>
    <row r="59">
      <c r="A59" s="72" t="s">
        <v>204</v>
      </c>
      <c r="B59" s="77" t="s">
        <v>180</v>
      </c>
      <c r="C59" s="73" t="s">
        <v>194</v>
      </c>
      <c r="D59" s="73">
        <v>4</v>
      </c>
      <c r="E59" s="73">
        <v>100</v>
      </c>
      <c r="F59" s="83">
        <v>22</v>
      </c>
      <c r="G59" s="74">
        <v>42115.75999999998</v>
      </c>
      <c r="H59" s="74">
        <v>26012.089999999997</v>
      </c>
      <c r="I59" s="75">
        <f t="shared" si="1"/>
      </c>
      <c r="J59" s="75">
        <f t="shared" si="3"/>
      </c>
      <c r="K59" s="75">
        <f t="shared" si="2"/>
      </c>
      <c r="L59" s="84">
        <f t="shared" si="0"/>
      </c>
      <c r="M59" s="76"/>
      <c r="N59" s="73"/>
    </row>
    <row r="60">
      <c r="A60" s="72" t="s">
        <v>204</v>
      </c>
      <c r="B60" s="77" t="s">
        <v>170</v>
      </c>
      <c r="C60" s="73" t="s">
        <v>199</v>
      </c>
      <c r="D60" s="73">
        <v>4</v>
      </c>
      <c r="E60" s="73">
        <v>88</v>
      </c>
      <c r="F60" s="83">
        <v>14</v>
      </c>
      <c r="G60" s="74">
        <v>39398.73000000001</v>
      </c>
      <c r="H60" s="74">
        <v>27257.29</v>
      </c>
      <c r="I60" s="75">
        <f t="shared" si="1"/>
      </c>
      <c r="J60" s="75">
        <f t="shared" si="3"/>
      </c>
      <c r="K60" s="75">
        <f t="shared" si="2"/>
      </c>
      <c r="L60" s="84">
        <f t="shared" si="0"/>
      </c>
      <c r="M60" s="76" t="s">
        <v>196</v>
      </c>
      <c r="N60" s="73">
        <v>8</v>
      </c>
    </row>
    <row r="61">
      <c r="A61" s="79" t="s">
        <v>204</v>
      </c>
      <c r="B61" s="80"/>
      <c r="C61" s="80"/>
      <c r="D61" s="80">
        <f>SUM(D57:D60)</f>
      </c>
      <c r="E61" s="80">
        <f>SUM(E57:E60)</f>
      </c>
      <c r="F61" s="85">
        <f>SUM(F57:F60)</f>
      </c>
      <c r="G61" s="80">
        <f>SUM(G57:G60)</f>
      </c>
      <c r="H61" s="80">
        <f>SUM(H57:H60)</f>
      </c>
      <c r="I61" s="81">
        <f t="shared" si="1"/>
      </c>
      <c r="J61" s="81">
        <f t="shared" si="3"/>
      </c>
      <c r="K61" s="81">
        <f t="shared" si="2"/>
      </c>
      <c r="L61" s="86">
        <f t="shared" si="0"/>
      </c>
      <c r="M61" s="81"/>
      <c r="N61" s="80">
        <f>SUM(N57:N60)</f>
      </c>
    </row>
    <row r="62">
      <c r="A62" s="72" t="s">
        <v>206</v>
      </c>
      <c r="B62" s="77" t="s">
        <v>185</v>
      </c>
      <c r="C62" s="73" t="s">
        <v>159</v>
      </c>
      <c r="D62" s="73">
        <v>5</v>
      </c>
      <c r="E62" s="73">
        <v>134</v>
      </c>
      <c r="F62" s="83">
        <v>36</v>
      </c>
      <c r="G62" s="74">
        <v>81048.69</v>
      </c>
      <c r="H62" s="74">
        <v>36519.380000000005</v>
      </c>
      <c r="I62" s="75">
        <f t="shared" si="1"/>
      </c>
      <c r="J62" s="75">
        <f t="shared" si="3"/>
      </c>
      <c r="K62" s="75">
        <f t="shared" si="2"/>
      </c>
      <c r="L62" s="84">
        <f t="shared" si="0"/>
      </c>
      <c r="M62" s="76" t="s">
        <v>187</v>
      </c>
      <c r="N62" s="73">
        <v>9</v>
      </c>
    </row>
    <row r="63">
      <c r="A63" s="72" t="s">
        <v>206</v>
      </c>
      <c r="B63" s="77" t="s">
        <v>158</v>
      </c>
      <c r="C63" s="73" t="s">
        <v>162</v>
      </c>
      <c r="D63" s="73">
        <v>4</v>
      </c>
      <c r="E63" s="73">
        <v>114</v>
      </c>
      <c r="F63" s="83">
        <v>24</v>
      </c>
      <c r="G63" s="74">
        <v>79095.9</v>
      </c>
      <c r="H63" s="74">
        <v>27057.97</v>
      </c>
      <c r="I63" s="75">
        <f t="shared" si="1"/>
      </c>
      <c r="J63" s="75">
        <f t="shared" si="3"/>
      </c>
      <c r="K63" s="75">
        <f t="shared" si="2"/>
      </c>
      <c r="L63" s="84">
        <f t="shared" si="0"/>
      </c>
      <c r="M63" s="76"/>
      <c r="N63" s="73"/>
    </row>
    <row r="64">
      <c r="A64" s="72" t="s">
        <v>206</v>
      </c>
      <c r="B64" s="77" t="s">
        <v>170</v>
      </c>
      <c r="C64" s="73" t="s">
        <v>194</v>
      </c>
      <c r="D64" s="73">
        <v>4</v>
      </c>
      <c r="E64" s="73">
        <v>71</v>
      </c>
      <c r="F64" s="83">
        <v>19</v>
      </c>
      <c r="G64" s="74">
        <v>37896.17999999999</v>
      </c>
      <c r="H64" s="74">
        <v>20562.75</v>
      </c>
      <c r="I64" s="75">
        <f t="shared" si="1"/>
      </c>
      <c r="J64" s="75">
        <f t="shared" si="3"/>
      </c>
      <c r="K64" s="75">
        <f t="shared" si="2"/>
      </c>
      <c r="L64" s="84">
        <f t="shared" si="0"/>
      </c>
      <c r="M64" s="76"/>
      <c r="N64" s="73"/>
    </row>
    <row r="65">
      <c r="A65" s="72" t="s">
        <v>206</v>
      </c>
      <c r="B65" s="77" t="s">
        <v>183</v>
      </c>
      <c r="C65" s="73" t="s">
        <v>199</v>
      </c>
      <c r="D65" s="73">
        <v>4</v>
      </c>
      <c r="E65" s="73">
        <v>73</v>
      </c>
      <c r="F65" s="83">
        <v>17</v>
      </c>
      <c r="G65" s="74">
        <v>44095.19</v>
      </c>
      <c r="H65" s="74">
        <v>20315.54</v>
      </c>
      <c r="I65" s="75">
        <f t="shared" si="1"/>
      </c>
      <c r="J65" s="75">
        <f t="shared" si="3"/>
      </c>
      <c r="K65" s="75">
        <f t="shared" si="2"/>
      </c>
      <c r="L65" s="84">
        <f t="shared" si="0"/>
      </c>
      <c r="M65" s="76" t="s">
        <v>196</v>
      </c>
      <c r="N65" s="73">
        <v>8</v>
      </c>
    </row>
    <row r="66">
      <c r="A66" s="79" t="s">
        <v>206</v>
      </c>
      <c r="B66" s="80"/>
      <c r="C66" s="80"/>
      <c r="D66" s="80">
        <f>SUM(D62:D65)</f>
      </c>
      <c r="E66" s="80">
        <f>SUM(E62:E65)</f>
      </c>
      <c r="F66" s="85">
        <f>SUM(F62:F65)</f>
      </c>
      <c r="G66" s="80">
        <f>SUM(G62:G65)</f>
      </c>
      <c r="H66" s="80">
        <f>SUM(H62:H65)</f>
      </c>
      <c r="I66" s="81">
        <f t="shared" si="1"/>
      </c>
      <c r="J66" s="81">
        <f t="shared" si="3"/>
      </c>
      <c r="K66" s="81">
        <f t="shared" si="2"/>
      </c>
      <c r="L66" s="86">
        <f t="shared" si="0"/>
      </c>
      <c r="M66" s="81"/>
      <c r="N66" s="80">
        <f>SUM(N62:N65)</f>
      </c>
    </row>
    <row r="67">
      <c r="A67" s="72" t="s">
        <v>207</v>
      </c>
      <c r="B67" s="77" t="s">
        <v>185</v>
      </c>
      <c r="C67" s="73" t="s">
        <v>159</v>
      </c>
      <c r="D67" s="73">
        <v>5</v>
      </c>
      <c r="E67" s="73">
        <v>295</v>
      </c>
      <c r="F67" s="83">
        <v>73</v>
      </c>
      <c r="G67" s="74">
        <v>197594.41999999998</v>
      </c>
      <c r="H67" s="74">
        <v>78932.05</v>
      </c>
      <c r="I67" s="75">
        <f t="shared" si="1"/>
      </c>
      <c r="J67" s="75">
        <f t="shared" si="3"/>
      </c>
      <c r="K67" s="75">
        <f t="shared" si="2"/>
      </c>
      <c r="L67" s="84">
        <f t="shared" si="0"/>
      </c>
      <c r="M67" s="76" t="s">
        <v>187</v>
      </c>
      <c r="N67" s="73">
        <v>9</v>
      </c>
    </row>
    <row r="68">
      <c r="A68" s="72" t="s">
        <v>207</v>
      </c>
      <c r="B68" s="77" t="s">
        <v>158</v>
      </c>
      <c r="C68" s="73" t="s">
        <v>162</v>
      </c>
      <c r="D68" s="73">
        <v>4</v>
      </c>
      <c r="E68" s="73">
        <v>94</v>
      </c>
      <c r="F68" s="83">
        <v>22</v>
      </c>
      <c r="G68" s="74">
        <v>48231.02000000002</v>
      </c>
      <c r="H68" s="74">
        <v>30766.789999999997</v>
      </c>
      <c r="I68" s="75">
        <f t="shared" si="1"/>
      </c>
      <c r="J68" s="75">
        <f t="shared" si="3"/>
      </c>
      <c r="K68" s="75">
        <f t="shared" si="2"/>
      </c>
      <c r="L68" s="84">
        <f t="shared" si="0"/>
      </c>
      <c r="M68" s="76"/>
      <c r="N68" s="73"/>
    </row>
    <row r="69">
      <c r="A69" s="72" t="s">
        <v>207</v>
      </c>
      <c r="B69" s="77" t="s">
        <v>183</v>
      </c>
      <c r="C69" s="73" t="s">
        <v>194</v>
      </c>
      <c r="D69" s="73">
        <v>4</v>
      </c>
      <c r="E69" s="73">
        <v>142</v>
      </c>
      <c r="F69" s="83">
        <v>31</v>
      </c>
      <c r="G69" s="74">
        <v>80199.43</v>
      </c>
      <c r="H69" s="74">
        <v>36287.119999999995</v>
      </c>
      <c r="I69" s="75">
        <f t="shared" si="1"/>
      </c>
      <c r="J69" s="75">
        <f t="shared" si="3"/>
      </c>
      <c r="K69" s="75">
        <f t="shared" si="2"/>
      </c>
      <c r="L69" s="84">
        <f t="shared" si="0"/>
      </c>
      <c r="M69" s="76"/>
      <c r="N69" s="73"/>
    </row>
    <row r="70">
      <c r="A70" s="72" t="s">
        <v>207</v>
      </c>
      <c r="B70" s="77" t="s">
        <v>170</v>
      </c>
      <c r="C70" s="73" t="s">
        <v>195</v>
      </c>
      <c r="D70" s="73">
        <v>5</v>
      </c>
      <c r="E70" s="73">
        <v>214</v>
      </c>
      <c r="F70" s="83">
        <v>22</v>
      </c>
      <c r="G70" s="74">
        <v>106489.46999999997</v>
      </c>
      <c r="H70" s="74">
        <v>49035.72</v>
      </c>
      <c r="I70" s="75">
        <f t="shared" si="1"/>
      </c>
      <c r="J70" s="75">
        <f t="shared" si="3"/>
      </c>
      <c r="K70" s="75">
        <f t="shared" si="2"/>
      </c>
      <c r="L70" s="84">
        <f t="shared" si="0"/>
      </c>
      <c r="M70" s="76" t="s">
        <v>196</v>
      </c>
      <c r="N70" s="73">
        <v>9</v>
      </c>
    </row>
    <row r="71">
      <c r="A71" s="79" t="s">
        <v>207</v>
      </c>
      <c r="B71" s="80"/>
      <c r="C71" s="80"/>
      <c r="D71" s="80">
        <f>SUM(D67:D70)</f>
      </c>
      <c r="E71" s="80">
        <f>SUM(E67:E70)</f>
      </c>
      <c r="F71" s="85">
        <f>SUM(F67:F70)</f>
      </c>
      <c r="G71" s="80">
        <f>SUM(G67:G70)</f>
      </c>
      <c r="H71" s="80">
        <f>SUM(H67:H70)</f>
      </c>
      <c r="I71" s="81">
        <f t="shared" si="1"/>
      </c>
      <c r="J71" s="81">
        <f t="shared" si="3"/>
      </c>
      <c r="K71" s="81">
        <f t="shared" si="2"/>
      </c>
      <c r="L71" s="86">
        <f t="shared" si="0"/>
      </c>
      <c r="M71" s="81"/>
      <c r="N71" s="80">
        <f>SUM(N67:N70)</f>
      </c>
    </row>
    <row r="72">
      <c r="A72" s="72" t="s">
        <v>208</v>
      </c>
      <c r="B72" s="77" t="s">
        <v>158</v>
      </c>
      <c r="C72" s="73" t="s">
        <v>169</v>
      </c>
      <c r="D72" s="73">
        <v>4</v>
      </c>
      <c r="E72" s="73">
        <v>73</v>
      </c>
      <c r="F72" s="83">
        <v>17</v>
      </c>
      <c r="G72" s="74">
        <v>42156.380000000005</v>
      </c>
      <c r="H72" s="74">
        <v>24323.54</v>
      </c>
      <c r="I72" s="75">
        <f t="shared" si="1"/>
      </c>
      <c r="J72" s="75">
        <f t="shared" si="3"/>
      </c>
      <c r="K72" s="75">
        <f t="shared" si="2"/>
      </c>
      <c r="L72" s="84">
        <f t="shared" si="0"/>
      </c>
      <c r="M72" s="76" t="s">
        <v>187</v>
      </c>
      <c r="N72" s="73">
        <v>9</v>
      </c>
    </row>
    <row r="73">
      <c r="A73" s="72" t="s">
        <v>208</v>
      </c>
      <c r="B73" s="77" t="s">
        <v>185</v>
      </c>
      <c r="C73" s="73" t="s">
        <v>174</v>
      </c>
      <c r="D73" s="73">
        <v>4</v>
      </c>
      <c r="E73" s="73">
        <v>64</v>
      </c>
      <c r="F73" s="83">
        <v>15</v>
      </c>
      <c r="G73" s="74">
        <v>32408.729999999996</v>
      </c>
      <c r="H73" s="74">
        <v>21382</v>
      </c>
      <c r="I73" s="75">
        <f t="shared" si="1"/>
      </c>
      <c r="J73" s="75">
        <f t="shared" si="3"/>
      </c>
      <c r="K73" s="75">
        <f t="shared" si="2"/>
      </c>
      <c r="L73" s="84">
        <f t="shared" si="0"/>
      </c>
      <c r="M73" s="76"/>
      <c r="N73" s="73"/>
    </row>
    <row r="74">
      <c r="A74" s="72" t="s">
        <v>208</v>
      </c>
      <c r="B74" s="77" t="s">
        <v>183</v>
      </c>
      <c r="C74" s="73" t="s">
        <v>175</v>
      </c>
      <c r="D74" s="73">
        <v>4</v>
      </c>
      <c r="E74" s="73">
        <v>62</v>
      </c>
      <c r="F74" s="83">
        <v>12</v>
      </c>
      <c r="G74" s="74">
        <v>25194.940000000002</v>
      </c>
      <c r="H74" s="74">
        <v>19828.190000000002</v>
      </c>
      <c r="I74" s="75">
        <f t="shared" si="1"/>
      </c>
      <c r="J74" s="75">
        <f t="shared" si="3"/>
      </c>
      <c r="K74" s="75">
        <f t="shared" si="2"/>
      </c>
      <c r="L74" s="84">
        <f t="shared" si="0"/>
      </c>
      <c r="M74" s="76"/>
      <c r="N74" s="73"/>
    </row>
    <row r="75">
      <c r="A75" s="72" t="s">
        <v>208</v>
      </c>
      <c r="B75" s="77" t="s">
        <v>170</v>
      </c>
      <c r="C75" s="73" t="s">
        <v>167</v>
      </c>
      <c r="D75" s="73">
        <v>2</v>
      </c>
      <c r="E75" s="73">
        <v>30</v>
      </c>
      <c r="F75" s="83">
        <v>0</v>
      </c>
      <c r="G75" s="74">
        <v>10866.289999999994</v>
      </c>
      <c r="H75" s="74">
        <v>6686.62</v>
      </c>
      <c r="I75" s="75">
        <f t="shared" si="1"/>
      </c>
      <c r="J75" s="75">
        <f t="shared" si="3"/>
      </c>
      <c r="K75" s="75">
        <f t="shared" si="2"/>
      </c>
      <c r="L75" s="84">
        <f t="shared" si="0"/>
      </c>
      <c r="M75" s="76" t="s">
        <v>196</v>
      </c>
      <c r="N75" s="73">
        <v>5</v>
      </c>
    </row>
    <row r="76">
      <c r="A76" s="79" t="s">
        <v>208</v>
      </c>
      <c r="B76" s="80"/>
      <c r="C76" s="80"/>
      <c r="D76" s="80">
        <f>SUM(D72:D75)</f>
      </c>
      <c r="E76" s="80">
        <f>SUM(E72:E75)</f>
      </c>
      <c r="F76" s="85">
        <f>SUM(F72:F75)</f>
      </c>
      <c r="G76" s="80">
        <f>SUM(G72:G75)</f>
      </c>
      <c r="H76" s="80">
        <f>SUM(H72:H75)</f>
      </c>
      <c r="I76" s="81">
        <f t="shared" si="1"/>
      </c>
      <c r="J76" s="81">
        <f t="shared" si="3"/>
      </c>
      <c r="K76" s="81">
        <f t="shared" si="2"/>
      </c>
      <c r="L76" s="86">
        <f t="shared" si="0"/>
      </c>
      <c r="M76" s="81"/>
      <c r="N76" s="80">
        <f>SUM(N72:N75)</f>
      </c>
    </row>
    <row r="77">
      <c r="A77" s="72" t="s">
        <v>209</v>
      </c>
      <c r="B77" s="77" t="s">
        <v>185</v>
      </c>
      <c r="C77" s="73" t="s">
        <v>159</v>
      </c>
      <c r="D77" s="73">
        <v>5</v>
      </c>
      <c r="E77" s="73">
        <v>119</v>
      </c>
      <c r="F77" s="83">
        <v>24</v>
      </c>
      <c r="G77" s="74">
        <v>61885.07</v>
      </c>
      <c r="H77" s="74">
        <v>34816.380000000005</v>
      </c>
      <c r="I77" s="75">
        <f t="shared" si="1"/>
      </c>
      <c r="J77" s="75">
        <f t="shared" si="3"/>
      </c>
      <c r="K77" s="75">
        <f t="shared" si="2"/>
      </c>
      <c r="L77" s="84">
        <f t="shared" si="0"/>
      </c>
      <c r="M77" s="76" t="s">
        <v>187</v>
      </c>
      <c r="N77" s="73">
        <v>9</v>
      </c>
    </row>
    <row r="78">
      <c r="A78" s="72" t="s">
        <v>209</v>
      </c>
      <c r="B78" s="77" t="s">
        <v>158</v>
      </c>
      <c r="C78" s="73" t="s">
        <v>162</v>
      </c>
      <c r="D78" s="73">
        <v>4</v>
      </c>
      <c r="E78" s="73">
        <v>42</v>
      </c>
      <c r="F78" s="83">
        <v>13</v>
      </c>
      <c r="G78" s="74">
        <v>20103.92</v>
      </c>
      <c r="H78" s="74">
        <v>14795.2</v>
      </c>
      <c r="I78" s="75">
        <f t="shared" si="1"/>
      </c>
      <c r="J78" s="75">
        <f t="shared" si="3"/>
      </c>
      <c r="K78" s="75">
        <f t="shared" si="2"/>
      </c>
      <c r="L78" s="84">
        <f t="shared" si="0"/>
      </c>
      <c r="M78" s="76"/>
      <c r="N78" s="73"/>
    </row>
    <row r="79">
      <c r="A79" s="72" t="s">
        <v>209</v>
      </c>
      <c r="B79" s="77" t="s">
        <v>170</v>
      </c>
      <c r="C79" s="73" t="s">
        <v>194</v>
      </c>
      <c r="D79" s="73">
        <v>4</v>
      </c>
      <c r="E79" s="73">
        <v>32</v>
      </c>
      <c r="F79" s="83">
        <v>2</v>
      </c>
      <c r="G79" s="74">
        <v>12833.2</v>
      </c>
      <c r="H79" s="74">
        <v>8760.64</v>
      </c>
      <c r="I79" s="75">
        <f t="shared" si="1"/>
      </c>
      <c r="J79" s="75">
        <f t="shared" si="3"/>
      </c>
      <c r="K79" s="75">
        <f t="shared" si="2"/>
      </c>
      <c r="L79" s="84">
        <f t="shared" si="0"/>
      </c>
      <c r="M79" s="76"/>
      <c r="N79" s="73"/>
    </row>
    <row r="80">
      <c r="A80" s="72" t="s">
        <v>209</v>
      </c>
      <c r="B80" s="77" t="s">
        <v>183</v>
      </c>
      <c r="C80" s="73" t="s">
        <v>199</v>
      </c>
      <c r="D80" s="73">
        <v>4</v>
      </c>
      <c r="E80" s="73">
        <v>59</v>
      </c>
      <c r="F80" s="83">
        <v>10</v>
      </c>
      <c r="G80" s="74">
        <v>33042.21</v>
      </c>
      <c r="H80" s="74">
        <v>13856.19</v>
      </c>
      <c r="I80" s="75">
        <f t="shared" si="1"/>
      </c>
      <c r="J80" s="75">
        <f t="shared" si="3"/>
      </c>
      <c r="K80" s="75">
        <f t="shared" si="2"/>
      </c>
      <c r="L80" s="84">
        <f t="shared" si="0"/>
      </c>
      <c r="M80" s="76" t="s">
        <v>210</v>
      </c>
      <c r="N80" s="73">
        <v>8</v>
      </c>
    </row>
    <row r="81">
      <c r="A81" s="79" t="s">
        <v>209</v>
      </c>
      <c r="B81" s="80"/>
      <c r="C81" s="80"/>
      <c r="D81" s="80">
        <f>SUM(D77:D80)</f>
      </c>
      <c r="E81" s="80">
        <f>SUM(E77:E80)</f>
      </c>
      <c r="F81" s="85">
        <f>SUM(F77:F80)</f>
      </c>
      <c r="G81" s="80">
        <f>SUM(G77:G80)</f>
      </c>
      <c r="H81" s="80">
        <f>SUM(H77:H80)</f>
      </c>
      <c r="I81" s="81">
        <f t="shared" si="1"/>
      </c>
      <c r="J81" s="81">
        <f t="shared" si="3"/>
      </c>
      <c r="K81" s="81">
        <f t="shared" si="2"/>
      </c>
      <c r="L81" s="86">
        <f t="shared" si="0"/>
      </c>
      <c r="M81" s="81"/>
      <c r="N81" s="80">
        <f>SUM(N77:N80)</f>
      </c>
    </row>
    <row r="82">
      <c r="A82" s="72" t="s">
        <v>211</v>
      </c>
      <c r="B82" s="77" t="s">
        <v>185</v>
      </c>
      <c r="C82" s="73" t="s">
        <v>169</v>
      </c>
      <c r="D82" s="73">
        <v>4</v>
      </c>
      <c r="E82" s="73">
        <v>121</v>
      </c>
      <c r="F82" s="83">
        <v>28</v>
      </c>
      <c r="G82" s="74">
        <v>56419.22</v>
      </c>
      <c r="H82" s="74">
        <v>34780.12</v>
      </c>
      <c r="I82" s="75">
        <f t="shared" si="1"/>
      </c>
      <c r="J82" s="75">
        <f t="shared" si="3"/>
      </c>
      <c r="K82" s="75">
        <f t="shared" si="2"/>
      </c>
      <c r="L82" s="84">
        <f t="shared" si="0"/>
      </c>
      <c r="M82" s="76" t="s">
        <v>212</v>
      </c>
      <c r="N82" s="73">
        <v>9</v>
      </c>
    </row>
    <row r="83">
      <c r="A83" s="72" t="s">
        <v>211</v>
      </c>
      <c r="B83" s="77" t="s">
        <v>183</v>
      </c>
      <c r="C83" s="73" t="s">
        <v>174</v>
      </c>
      <c r="D83" s="73">
        <v>4</v>
      </c>
      <c r="E83" s="73">
        <v>114</v>
      </c>
      <c r="F83" s="83">
        <v>22</v>
      </c>
      <c r="G83" s="74">
        <v>55785.42</v>
      </c>
      <c r="H83" s="74">
        <v>30583.36</v>
      </c>
      <c r="I83" s="75">
        <f t="shared" si="1"/>
      </c>
      <c r="J83" s="75">
        <f t="shared" si="3"/>
      </c>
      <c r="K83" s="75">
        <f t="shared" si="2"/>
      </c>
      <c r="L83" s="84">
        <f t="shared" si="0"/>
      </c>
      <c r="M83" s="76"/>
      <c r="N83" s="73"/>
    </row>
    <row r="84">
      <c r="A84" s="72" t="s">
        <v>211</v>
      </c>
      <c r="B84" s="77" t="s">
        <v>180</v>
      </c>
      <c r="C84" s="73" t="s">
        <v>175</v>
      </c>
      <c r="D84" s="87">
        <f>4-0.25</f>
      </c>
      <c r="E84" s="73">
        <v>51</v>
      </c>
      <c r="F84" s="83">
        <v>3</v>
      </c>
      <c r="G84" s="74">
        <v>23841.520000000004</v>
      </c>
      <c r="H84" s="74">
        <v>18434.33</v>
      </c>
      <c r="I84" s="75">
        <f t="shared" si="1"/>
      </c>
      <c r="J84" s="75">
        <f t="shared" si="3"/>
      </c>
      <c r="K84" s="75">
        <f t="shared" si="2"/>
      </c>
      <c r="L84" s="84">
        <f t="shared" si="0"/>
      </c>
      <c r="M84" s="76"/>
      <c r="N84" s="73"/>
    </row>
    <row r="85">
      <c r="A85" s="72" t="s">
        <v>211</v>
      </c>
      <c r="B85" s="77" t="s">
        <v>170</v>
      </c>
      <c r="C85" s="73" t="s">
        <v>192</v>
      </c>
      <c r="D85" s="73">
        <v>4</v>
      </c>
      <c r="E85" s="73">
        <v>35</v>
      </c>
      <c r="F85" s="83">
        <v>9</v>
      </c>
      <c r="G85" s="74">
        <v>29744.459999999992</v>
      </c>
      <c r="H85" s="74">
        <v>17661.29</v>
      </c>
      <c r="I85" s="75">
        <f t="shared" si="1"/>
      </c>
      <c r="J85" s="75">
        <f t="shared" si="3"/>
      </c>
      <c r="K85" s="75">
        <f t="shared" si="2"/>
      </c>
      <c r="L85" s="84">
        <f t="shared" si="0"/>
      </c>
      <c r="M85" s="76" t="s">
        <v>196</v>
      </c>
      <c r="N85" s="73">
        <v>7</v>
      </c>
    </row>
    <row r="86">
      <c r="A86" s="79" t="s">
        <v>211</v>
      </c>
      <c r="B86" s="80"/>
      <c r="C86" s="80"/>
      <c r="D86" s="80">
        <f>SUM(D82:D85)</f>
      </c>
      <c r="E86" s="80">
        <f>SUM(E82:E85)</f>
      </c>
      <c r="F86" s="85">
        <f>SUM(F82:F85)</f>
      </c>
      <c r="G86" s="80">
        <f>SUM(G82:G85)</f>
      </c>
      <c r="H86" s="80">
        <f>SUM(H82:H85)</f>
      </c>
      <c r="I86" s="81">
        <f t="shared" si="1"/>
      </c>
      <c r="J86" s="81">
        <f t="shared" si="3"/>
      </c>
      <c r="K86" s="81">
        <f t="shared" si="2"/>
      </c>
      <c r="L86" s="86">
        <f t="shared" si="0"/>
      </c>
      <c r="M86" s="81"/>
      <c r="N86" s="80">
        <f>SUM(N82:N85)</f>
      </c>
    </row>
    <row r="87">
      <c r="A87" s="72" t="s">
        <v>213</v>
      </c>
      <c r="B87" s="77" t="s">
        <v>158</v>
      </c>
      <c r="C87" s="73" t="s">
        <v>214</v>
      </c>
      <c r="D87" s="73">
        <v>4</v>
      </c>
      <c r="E87" s="73">
        <v>85</v>
      </c>
      <c r="F87" s="83">
        <v>14</v>
      </c>
      <c r="G87" s="74">
        <v>35325.43</v>
      </c>
      <c r="H87" s="74">
        <v>22925.57</v>
      </c>
      <c r="I87" s="75">
        <f t="shared" si="1"/>
      </c>
      <c r="J87" s="75">
        <f t="shared" si="3"/>
      </c>
      <c r="K87" s="75">
        <f t="shared" si="2"/>
      </c>
      <c r="L87" s="84">
        <f t="shared" si="0"/>
      </c>
      <c r="M87" s="76" t="s">
        <v>191</v>
      </c>
      <c r="N87" s="73">
        <v>9</v>
      </c>
    </row>
    <row r="88">
      <c r="A88" s="72" t="s">
        <v>213</v>
      </c>
      <c r="B88" s="77" t="s">
        <v>170</v>
      </c>
      <c r="C88" s="73" t="s">
        <v>162</v>
      </c>
      <c r="D88" s="73">
        <v>4</v>
      </c>
      <c r="E88" s="73">
        <v>16</v>
      </c>
      <c r="F88" s="83">
        <v>2</v>
      </c>
      <c r="G88" s="74">
        <v>7538.32</v>
      </c>
      <c r="H88" s="74">
        <v>7271.530000000001</v>
      </c>
      <c r="I88" s="75">
        <f t="shared" si="1"/>
      </c>
      <c r="J88" s="75">
        <f t="shared" si="3"/>
      </c>
      <c r="K88" s="75">
        <f t="shared" si="2"/>
      </c>
      <c r="L88" s="84">
        <f t="shared" si="0"/>
      </c>
      <c r="M88" s="76"/>
      <c r="N88" s="73"/>
    </row>
    <row r="89">
      <c r="A89" s="72" t="s">
        <v>213</v>
      </c>
      <c r="B89" s="77" t="s">
        <v>183</v>
      </c>
      <c r="C89" s="73" t="s">
        <v>194</v>
      </c>
      <c r="D89" s="73">
        <v>4</v>
      </c>
      <c r="E89" s="73">
        <v>37</v>
      </c>
      <c r="F89" s="83">
        <v>6</v>
      </c>
      <c r="G89" s="74">
        <v>21912.440000000002</v>
      </c>
      <c r="H89" s="74">
        <v>8023.1</v>
      </c>
      <c r="I89" s="75">
        <f t="shared" si="1"/>
      </c>
      <c r="J89" s="75">
        <f t="shared" si="3"/>
      </c>
      <c r="K89" s="75">
        <f t="shared" si="2"/>
      </c>
      <c r="L89" s="84">
        <f t="shared" si="0"/>
      </c>
      <c r="M89" s="76"/>
      <c r="N89" s="73"/>
    </row>
    <row r="90">
      <c r="A90" s="72" t="s">
        <v>213</v>
      </c>
      <c r="B90" s="77" t="s">
        <v>185</v>
      </c>
      <c r="C90" s="73" t="s">
        <v>195</v>
      </c>
      <c r="D90" s="73">
        <v>5</v>
      </c>
      <c r="E90" s="73">
        <v>59</v>
      </c>
      <c r="F90" s="83">
        <v>6</v>
      </c>
      <c r="G90" s="74">
        <v>32218.199999999997</v>
      </c>
      <c r="H90" s="74">
        <v>16513.37</v>
      </c>
      <c r="I90" s="75">
        <f t="shared" si="1"/>
      </c>
      <c r="J90" s="75">
        <f t="shared" si="3"/>
      </c>
      <c r="K90" s="75">
        <f t="shared" si="2"/>
      </c>
      <c r="L90" s="84">
        <f t="shared" si="0"/>
      </c>
      <c r="M90" s="76" t="s">
        <v>196</v>
      </c>
      <c r="N90" s="73">
        <v>8</v>
      </c>
    </row>
    <row r="91">
      <c r="A91" s="79" t="s">
        <v>213</v>
      </c>
      <c r="B91" s="80"/>
      <c r="C91" s="80"/>
      <c r="D91" s="80">
        <f>SUM(D87:D90)</f>
      </c>
      <c r="E91" s="80">
        <f>SUM(E87:E90)</f>
      </c>
      <c r="F91" s="85">
        <f>SUM(F87:F90)</f>
      </c>
      <c r="G91" s="80">
        <f>SUM(G87:G90)</f>
      </c>
      <c r="H91" s="80">
        <f>SUM(H87:H90)</f>
      </c>
      <c r="I91" s="81">
        <f t="shared" si="1"/>
      </c>
      <c r="J91" s="81">
        <f t="shared" si="3"/>
      </c>
      <c r="K91" s="81">
        <f t="shared" si="2"/>
      </c>
      <c r="L91" s="86">
        <f t="shared" si="0"/>
      </c>
      <c r="M91" s="81"/>
      <c r="N91" s="80">
        <f>SUM(N87:N90)</f>
      </c>
    </row>
    <row r="92">
      <c r="A92" s="72" t="s">
        <v>215</v>
      </c>
      <c r="B92" s="77" t="s">
        <v>158</v>
      </c>
      <c r="C92" s="73" t="s">
        <v>214</v>
      </c>
      <c r="D92" s="73">
        <v>4</v>
      </c>
      <c r="E92" s="73">
        <v>39</v>
      </c>
      <c r="F92" s="83">
        <v>3</v>
      </c>
      <c r="G92" s="74">
        <v>18913.72</v>
      </c>
      <c r="H92" s="74">
        <v>10889.84</v>
      </c>
      <c r="I92" s="75">
        <f t="shared" si="1"/>
      </c>
      <c r="J92" s="75">
        <f t="shared" si="3"/>
      </c>
      <c r="K92" s="75">
        <f t="shared" si="2"/>
      </c>
      <c r="L92" s="84">
        <f t="shared" si="0"/>
      </c>
      <c r="M92" s="76" t="s">
        <v>191</v>
      </c>
      <c r="N92" s="73">
        <v>8</v>
      </c>
    </row>
    <row r="93">
      <c r="A93" s="72" t="s">
        <v>215</v>
      </c>
      <c r="B93" s="77" t="s">
        <v>170</v>
      </c>
      <c r="C93" s="73" t="s">
        <v>162</v>
      </c>
      <c r="D93" s="73">
        <v>4</v>
      </c>
      <c r="E93" s="73">
        <v>26</v>
      </c>
      <c r="F93" s="83">
        <v>6</v>
      </c>
      <c r="G93" s="74">
        <v>10080.260000000002</v>
      </c>
      <c r="H93" s="74">
        <v>7109.110000000001</v>
      </c>
      <c r="I93" s="75">
        <f t="shared" si="1"/>
      </c>
      <c r="J93" s="75">
        <f t="shared" si="3"/>
      </c>
      <c r="K93" s="75">
        <f t="shared" si="2"/>
      </c>
      <c r="L93" s="84">
        <f t="shared" si="0"/>
      </c>
      <c r="M93" s="76"/>
      <c r="N93" s="73"/>
    </row>
    <row r="94">
      <c r="A94" s="72" t="s">
        <v>215</v>
      </c>
      <c r="B94" s="77" t="s">
        <v>183</v>
      </c>
      <c r="C94" s="73" t="s">
        <v>194</v>
      </c>
      <c r="D94" s="73">
        <v>4</v>
      </c>
      <c r="E94" s="73">
        <v>23</v>
      </c>
      <c r="F94" s="83">
        <v>4</v>
      </c>
      <c r="G94" s="74">
        <v>13012.18</v>
      </c>
      <c r="H94" s="74">
        <v>7896.380000000001</v>
      </c>
      <c r="I94" s="75">
        <f t="shared" si="1"/>
      </c>
      <c r="J94" s="75">
        <f t="shared" si="3"/>
      </c>
      <c r="K94" s="75">
        <f t="shared" si="2"/>
      </c>
      <c r="L94" s="84">
        <f t="shared" si="0"/>
      </c>
      <c r="M94" s="76"/>
      <c r="N94" s="73"/>
    </row>
    <row r="95">
      <c r="A95" s="72" t="s">
        <v>215</v>
      </c>
      <c r="B95" s="77" t="s">
        <v>185</v>
      </c>
      <c r="C95" s="73" t="s">
        <v>195</v>
      </c>
      <c r="D95" s="73">
        <v>5</v>
      </c>
      <c r="E95" s="73">
        <v>94</v>
      </c>
      <c r="F95" s="83">
        <v>12</v>
      </c>
      <c r="G95" s="74">
        <v>49044.889999999985</v>
      </c>
      <c r="H95" s="74">
        <v>25250.510000000002</v>
      </c>
      <c r="I95" s="75">
        <f t="shared" si="1"/>
      </c>
      <c r="J95" s="75">
        <f t="shared" si="3"/>
      </c>
      <c r="K95" s="75">
        <f t="shared" si="2"/>
      </c>
      <c r="L95" s="84">
        <f t="shared" si="0"/>
      </c>
      <c r="M95" s="76" t="s">
        <v>196</v>
      </c>
      <c r="N95" s="73">
        <v>9</v>
      </c>
    </row>
    <row r="96">
      <c r="A96" s="79" t="s">
        <v>215</v>
      </c>
      <c r="B96" s="80"/>
      <c r="C96" s="80"/>
      <c r="D96" s="80">
        <f>SUM(D92:D95)</f>
      </c>
      <c r="E96" s="80">
        <f>SUM(E92:E95)</f>
      </c>
      <c r="F96" s="85">
        <f>SUM(F92:F95)</f>
      </c>
      <c r="G96" s="80">
        <f>SUM(G92:G95)</f>
      </c>
      <c r="H96" s="80">
        <f>SUM(H92:H95)</f>
      </c>
      <c r="I96" s="81">
        <f t="shared" si="1"/>
      </c>
      <c r="J96" s="81">
        <f t="shared" si="3"/>
      </c>
      <c r="K96" s="81">
        <f t="shared" si="2"/>
      </c>
      <c r="L96" s="86">
        <f t="shared" si="0"/>
      </c>
      <c r="M96" s="81"/>
      <c r="N96" s="80">
        <f>SUM(N92:N95)</f>
      </c>
    </row>
    <row r="97">
      <c r="A97" s="72" t="s">
        <v>216</v>
      </c>
      <c r="B97" s="77" t="s">
        <v>158</v>
      </c>
      <c r="C97" s="73" t="s">
        <v>214</v>
      </c>
      <c r="D97" s="73">
        <v>4</v>
      </c>
      <c r="E97" s="73">
        <v>81</v>
      </c>
      <c r="F97" s="83">
        <v>19</v>
      </c>
      <c r="G97" s="74">
        <v>38847.49</v>
      </c>
      <c r="H97" s="74">
        <v>21055.75</v>
      </c>
      <c r="I97" s="75">
        <f t="shared" si="1"/>
      </c>
      <c r="J97" s="75">
        <f t="shared" si="3"/>
      </c>
      <c r="K97" s="75">
        <f t="shared" si="2"/>
      </c>
      <c r="L97" s="84">
        <f t="shared" si="0"/>
      </c>
      <c r="M97" s="76" t="s">
        <v>191</v>
      </c>
      <c r="N97" s="73">
        <v>9</v>
      </c>
    </row>
    <row r="98">
      <c r="A98" s="72" t="s">
        <v>216</v>
      </c>
      <c r="B98" s="77" t="s">
        <v>183</v>
      </c>
      <c r="C98" s="73" t="s">
        <v>162</v>
      </c>
      <c r="D98" s="73">
        <v>4</v>
      </c>
      <c r="E98" s="73">
        <v>100</v>
      </c>
      <c r="F98" s="83">
        <v>16</v>
      </c>
      <c r="G98" s="88">
        <v>47875.27</v>
      </c>
      <c r="H98" s="74">
        <v>23200.13</v>
      </c>
      <c r="I98" s="75">
        <f t="shared" si="1"/>
      </c>
      <c r="J98" s="75">
        <f t="shared" si="3"/>
      </c>
      <c r="K98" s="75">
        <f t="shared" si="2"/>
      </c>
      <c r="L98" s="84">
        <f t="shared" si="0"/>
      </c>
      <c r="M98" s="76"/>
      <c r="N98" s="73"/>
    </row>
    <row r="99">
      <c r="A99" s="72" t="s">
        <v>216</v>
      </c>
      <c r="B99" s="77" t="s">
        <v>185</v>
      </c>
      <c r="C99" s="73" t="s">
        <v>194</v>
      </c>
      <c r="D99" s="73">
        <v>4</v>
      </c>
      <c r="E99" s="73">
        <v>66</v>
      </c>
      <c r="F99" s="83">
        <v>15</v>
      </c>
      <c r="G99" s="74">
        <v>34220</v>
      </c>
      <c r="H99" s="74">
        <v>24335.27</v>
      </c>
      <c r="I99" s="75">
        <f t="shared" si="1"/>
      </c>
      <c r="J99" s="75">
        <f t="shared" si="3"/>
      </c>
      <c r="K99" s="75">
        <f t="shared" si="2"/>
      </c>
      <c r="L99" s="84">
        <f t="shared" si="0"/>
      </c>
      <c r="M99" s="76"/>
      <c r="N99" s="73"/>
    </row>
    <row r="100">
      <c r="A100" s="72" t="s">
        <v>216</v>
      </c>
      <c r="B100" s="77" t="s">
        <v>170</v>
      </c>
      <c r="C100" s="73" t="s">
        <v>217</v>
      </c>
      <c r="D100" s="73">
        <v>3</v>
      </c>
      <c r="E100" s="73">
        <v>51</v>
      </c>
      <c r="F100" s="83">
        <v>9</v>
      </c>
      <c r="G100" s="74">
        <v>22717.90000000001</v>
      </c>
      <c r="H100" s="74">
        <v>11321.64</v>
      </c>
      <c r="I100" s="75">
        <f t="shared" si="1"/>
      </c>
      <c r="J100" s="75">
        <f t="shared" si="3"/>
      </c>
      <c r="K100" s="75">
        <f t="shared" si="2"/>
      </c>
      <c r="L100" s="84">
        <f t="shared" si="0"/>
      </c>
      <c r="M100" s="76" t="s">
        <v>196</v>
      </c>
      <c r="N100" s="73">
        <v>6</v>
      </c>
    </row>
    <row r="101">
      <c r="A101" s="79" t="s">
        <v>216</v>
      </c>
      <c r="B101" s="80"/>
      <c r="C101" s="80"/>
      <c r="D101" s="80">
        <f>SUM(D97:D100)</f>
      </c>
      <c r="E101" s="80">
        <f>SUM(E97:E100)</f>
      </c>
      <c r="F101" s="85">
        <f>SUM(F97:F100)</f>
      </c>
      <c r="G101" s="80">
        <f>SUM(G97:G100)</f>
      </c>
      <c r="H101" s="80">
        <f>SUM(H97:H100)</f>
      </c>
      <c r="I101" s="81">
        <f t="shared" si="1"/>
      </c>
      <c r="J101" s="81">
        <f t="shared" si="3"/>
      </c>
      <c r="K101" s="81">
        <f t="shared" si="2"/>
      </c>
      <c r="L101" s="86">
        <f t="shared" si="0"/>
      </c>
      <c r="M101" s="81"/>
      <c r="N101" s="80">
        <f>SUM(N97:N100)</f>
      </c>
    </row>
    <row r="102">
      <c r="A102" s="72" t="s">
        <v>218</v>
      </c>
      <c r="B102" s="77" t="s">
        <v>185</v>
      </c>
      <c r="C102" s="73" t="s">
        <v>214</v>
      </c>
      <c r="D102" s="73">
        <v>4</v>
      </c>
      <c r="E102" s="73">
        <v>121</v>
      </c>
      <c r="F102" s="83">
        <v>29</v>
      </c>
      <c r="G102" s="74">
        <v>66260.48</v>
      </c>
      <c r="H102" s="74">
        <v>31676.949999999997</v>
      </c>
      <c r="I102" s="75">
        <f t="shared" si="1"/>
      </c>
      <c r="J102" s="75">
        <f t="shared" si="3"/>
      </c>
      <c r="K102" s="75">
        <f t="shared" si="2"/>
      </c>
      <c r="L102" s="84">
        <f t="shared" si="0"/>
      </c>
      <c r="M102" s="76" t="s">
        <v>191</v>
      </c>
      <c r="N102" s="73">
        <v>9</v>
      </c>
    </row>
    <row r="103">
      <c r="A103" s="72" t="s">
        <v>218</v>
      </c>
      <c r="B103" s="77" t="s">
        <v>158</v>
      </c>
      <c r="C103" s="73" t="s">
        <v>162</v>
      </c>
      <c r="D103" s="73">
        <v>4</v>
      </c>
      <c r="E103" s="73">
        <v>46</v>
      </c>
      <c r="F103" s="83">
        <v>6</v>
      </c>
      <c r="G103" s="88">
        <v>27655.600000000006</v>
      </c>
      <c r="H103" s="74">
        <v>19769.07</v>
      </c>
      <c r="I103" s="75">
        <f t="shared" si="1"/>
      </c>
      <c r="J103" s="75">
        <f t="shared" si="3"/>
      </c>
      <c r="K103" s="75">
        <f t="shared" si="2"/>
      </c>
      <c r="L103" s="84">
        <f t="shared" si="0"/>
      </c>
      <c r="M103" s="76"/>
      <c r="N103" s="73"/>
    </row>
    <row r="104">
      <c r="A104" s="72" t="s">
        <v>218</v>
      </c>
      <c r="B104" s="77" t="s">
        <v>170</v>
      </c>
      <c r="C104" s="73" t="s">
        <v>194</v>
      </c>
      <c r="D104" s="73">
        <v>4</v>
      </c>
      <c r="E104" s="73">
        <v>36</v>
      </c>
      <c r="F104" s="83">
        <v>7</v>
      </c>
      <c r="G104" s="74">
        <v>17283.259999999995</v>
      </c>
      <c r="H104" s="74">
        <v>11929.22</v>
      </c>
      <c r="I104" s="75">
        <f t="shared" si="1"/>
      </c>
      <c r="J104" s="75">
        <f t="shared" si="3"/>
      </c>
      <c r="K104" s="75">
        <f t="shared" si="2"/>
      </c>
      <c r="L104" s="84">
        <f t="shared" si="0"/>
      </c>
      <c r="M104" s="76"/>
      <c r="N104" s="73"/>
    </row>
    <row r="105">
      <c r="A105" s="72" t="s">
        <v>218</v>
      </c>
      <c r="B105" s="77" t="s">
        <v>183</v>
      </c>
      <c r="C105" s="73" t="s">
        <v>195</v>
      </c>
      <c r="D105" s="73">
        <v>5</v>
      </c>
      <c r="E105" s="73">
        <v>99</v>
      </c>
      <c r="F105" s="83">
        <v>18</v>
      </c>
      <c r="G105" s="74">
        <v>59744.40000000002</v>
      </c>
      <c r="H105" s="74">
        <v>21581.61</v>
      </c>
      <c r="I105" s="75">
        <f t="shared" si="1"/>
      </c>
      <c r="J105" s="75">
        <f t="shared" si="3"/>
      </c>
      <c r="K105" s="75">
        <f t="shared" si="2"/>
      </c>
      <c r="L105" s="84">
        <f t="shared" si="0"/>
      </c>
      <c r="M105" s="76" t="s">
        <v>196</v>
      </c>
      <c r="N105" s="73">
        <v>8</v>
      </c>
    </row>
    <row r="106">
      <c r="A106" s="79" t="s">
        <v>218</v>
      </c>
      <c r="B106" s="80"/>
      <c r="C106" s="80"/>
      <c r="D106" s="80">
        <f>SUM(D102:D105)</f>
      </c>
      <c r="E106" s="80">
        <f>SUM(E102:E105)</f>
      </c>
      <c r="F106" s="85">
        <f>SUM(F102:F105)</f>
      </c>
      <c r="G106" s="80">
        <f>SUM(G102:G105)</f>
      </c>
      <c r="H106" s="80">
        <f>SUM(H102:H105)</f>
      </c>
      <c r="I106" s="81">
        <f t="shared" si="1"/>
      </c>
      <c r="J106" s="81">
        <f t="shared" si="3"/>
      </c>
      <c r="K106" s="81">
        <f t="shared" si="2"/>
      </c>
      <c r="L106" s="86">
        <f t="shared" si="0"/>
      </c>
      <c r="M106" s="81"/>
      <c r="N106" s="80">
        <f>SUM(N102:N105)</f>
      </c>
    </row>
    <row r="107">
      <c r="A107" s="72" t="s">
        <v>219</v>
      </c>
      <c r="B107" s="77" t="s">
        <v>185</v>
      </c>
      <c r="C107" s="73" t="s">
        <v>214</v>
      </c>
      <c r="D107" s="73">
        <v>4</v>
      </c>
      <c r="E107" s="73">
        <v>80</v>
      </c>
      <c r="F107" s="83">
        <v>14</v>
      </c>
      <c r="G107" s="74">
        <v>43044.13</v>
      </c>
      <c r="H107" s="74">
        <v>18417.72</v>
      </c>
      <c r="I107" s="75">
        <f t="shared" si="1"/>
      </c>
      <c r="J107" s="75">
        <f t="shared" si="3"/>
      </c>
      <c r="K107" s="75">
        <f t="shared" si="2"/>
      </c>
      <c r="L107" s="84">
        <f t="shared" si="0"/>
      </c>
      <c r="M107" s="76" t="s">
        <v>191</v>
      </c>
      <c r="N107" s="73">
        <v>9</v>
      </c>
    </row>
    <row r="108">
      <c r="A108" s="72" t="s">
        <v>219</v>
      </c>
      <c r="B108" s="77" t="s">
        <v>161</v>
      </c>
      <c r="C108" s="73" t="s">
        <v>162</v>
      </c>
      <c r="D108" s="73">
        <v>4</v>
      </c>
      <c r="E108" s="73">
        <v>41</v>
      </c>
      <c r="F108" s="83">
        <v>10</v>
      </c>
      <c r="G108" s="88">
        <v>23252.58000000001</v>
      </c>
      <c r="H108" s="74">
        <v>13625.5</v>
      </c>
      <c r="I108" s="75">
        <f t="shared" si="1"/>
      </c>
      <c r="J108" s="75">
        <f t="shared" si="3"/>
      </c>
      <c r="K108" s="75">
        <f t="shared" si="2"/>
      </c>
      <c r="L108" s="84">
        <f t="shared" si="0"/>
      </c>
      <c r="M108" s="76"/>
      <c r="N108" s="73"/>
    </row>
    <row r="109">
      <c r="A109" s="72" t="s">
        <v>219</v>
      </c>
      <c r="B109" s="77" t="s">
        <v>183</v>
      </c>
      <c r="C109" s="73" t="s">
        <v>194</v>
      </c>
      <c r="D109" s="73">
        <v>4</v>
      </c>
      <c r="E109" s="73">
        <v>49</v>
      </c>
      <c r="F109" s="83">
        <v>6</v>
      </c>
      <c r="G109" s="74">
        <v>22632.249999999985</v>
      </c>
      <c r="H109" s="74">
        <v>12369.42</v>
      </c>
      <c r="I109" s="75">
        <f t="shared" si="1"/>
      </c>
      <c r="J109" s="75">
        <f t="shared" si="3"/>
      </c>
      <c r="K109" s="75">
        <f t="shared" si="2"/>
      </c>
      <c r="L109" s="84">
        <f t="shared" si="0"/>
      </c>
      <c r="M109" s="76"/>
      <c r="N109" s="73"/>
    </row>
    <row r="110">
      <c r="A110" s="72" t="s">
        <v>219</v>
      </c>
      <c r="B110" s="77" t="s">
        <v>170</v>
      </c>
      <c r="C110" s="73" t="s">
        <v>199</v>
      </c>
      <c r="D110" s="73">
        <v>4</v>
      </c>
      <c r="E110" s="73">
        <v>73</v>
      </c>
      <c r="F110" s="83">
        <v>7</v>
      </c>
      <c r="G110" s="74">
        <v>38443.529999999984</v>
      </c>
      <c r="H110" s="74">
        <v>20842.27</v>
      </c>
      <c r="I110" s="75">
        <f t="shared" si="1"/>
      </c>
      <c r="J110" s="75">
        <f t="shared" si="3"/>
      </c>
      <c r="K110" s="75">
        <f t="shared" si="2"/>
      </c>
      <c r="L110" s="84">
        <f t="shared" si="0"/>
      </c>
      <c r="M110" s="76" t="s">
        <v>196</v>
      </c>
      <c r="N110" s="73">
        <v>7</v>
      </c>
    </row>
    <row r="111">
      <c r="A111" s="79" t="s">
        <v>219</v>
      </c>
      <c r="B111" s="80"/>
      <c r="C111" s="80"/>
      <c r="D111" s="80">
        <f>SUM(D107:D110)</f>
      </c>
      <c r="E111" s="80">
        <f>SUM(E107:E110)</f>
      </c>
      <c r="F111" s="85">
        <f>SUM(F107:F110)</f>
      </c>
      <c r="G111" s="80">
        <f>SUM(G107:G110)</f>
      </c>
      <c r="H111" s="80">
        <f>SUM(H107:H110)</f>
      </c>
      <c r="I111" s="81">
        <f t="shared" si="1"/>
      </c>
      <c r="J111" s="81">
        <f t="shared" si="3"/>
      </c>
      <c r="K111" s="81">
        <f t="shared" si="2"/>
      </c>
      <c r="L111" s="86">
        <f t="shared" si="0"/>
      </c>
      <c r="M111" s="81"/>
      <c r="N111" s="80">
        <f>SUM(N107:N110)</f>
      </c>
    </row>
    <row r="112">
      <c r="A112" s="72" t="s">
        <v>220</v>
      </c>
      <c r="B112" s="77" t="s">
        <v>185</v>
      </c>
      <c r="C112" s="73" t="s">
        <v>159</v>
      </c>
      <c r="D112" s="73">
        <v>5</v>
      </c>
      <c r="E112" s="73">
        <v>60</v>
      </c>
      <c r="F112" s="83">
        <v>23</v>
      </c>
      <c r="G112" s="74">
        <v>37644.27</v>
      </c>
      <c r="H112" s="74">
        <v>17897.07</v>
      </c>
      <c r="I112" s="75">
        <f t="shared" si="1"/>
      </c>
      <c r="J112" s="75">
        <f t="shared" si="3"/>
      </c>
      <c r="K112" s="75">
        <f t="shared" si="2"/>
      </c>
      <c r="L112" s="84">
        <f t="shared" si="0"/>
      </c>
      <c r="M112" s="76" t="s">
        <v>203</v>
      </c>
      <c r="N112" s="73">
        <v>10</v>
      </c>
    </row>
    <row r="113">
      <c r="A113" s="72" t="s">
        <v>220</v>
      </c>
      <c r="B113" s="77" t="s">
        <v>158</v>
      </c>
      <c r="C113" s="73" t="s">
        <v>162</v>
      </c>
      <c r="D113" s="73">
        <v>4</v>
      </c>
      <c r="E113" s="73">
        <v>46</v>
      </c>
      <c r="F113" s="83">
        <v>15</v>
      </c>
      <c r="G113" s="74">
        <v>29838.629999999997</v>
      </c>
      <c r="H113" s="74">
        <v>13967.490000000002</v>
      </c>
      <c r="I113" s="75">
        <f t="shared" si="1"/>
      </c>
      <c r="J113" s="75">
        <f t="shared" si="3"/>
      </c>
      <c r="K113" s="75">
        <f t="shared" si="2"/>
      </c>
      <c r="L113" s="84">
        <f t="shared" si="0"/>
      </c>
      <c r="M113" s="76"/>
      <c r="N113" s="73"/>
    </row>
    <row r="114">
      <c r="A114" s="72" t="s">
        <v>220</v>
      </c>
      <c r="B114" s="77" t="s">
        <v>183</v>
      </c>
      <c r="C114" s="73" t="s">
        <v>194</v>
      </c>
      <c r="D114" s="73">
        <v>4</v>
      </c>
      <c r="E114" s="73">
        <v>32</v>
      </c>
      <c r="F114" s="83">
        <v>7</v>
      </c>
      <c r="G114" s="74">
        <v>14238.5</v>
      </c>
      <c r="H114" s="74">
        <v>10706.14</v>
      </c>
      <c r="I114" s="75">
        <f t="shared" si="1"/>
      </c>
      <c r="J114" s="75">
        <f t="shared" si="3"/>
      </c>
      <c r="K114" s="75">
        <f t="shared" si="2"/>
      </c>
      <c r="L114" s="84">
        <f t="shared" si="0"/>
      </c>
      <c r="M114" s="76"/>
      <c r="N114" s="73"/>
    </row>
    <row r="115">
      <c r="A115" s="72" t="s">
        <v>220</v>
      </c>
      <c r="B115" s="77" t="s">
        <v>170</v>
      </c>
      <c r="C115" s="73" t="s">
        <v>199</v>
      </c>
      <c r="D115" s="73">
        <v>4</v>
      </c>
      <c r="E115" s="73">
        <v>39</v>
      </c>
      <c r="F115" s="83">
        <v>4</v>
      </c>
      <c r="G115" s="74">
        <v>16584.14</v>
      </c>
      <c r="H115" s="74">
        <v>11067.21</v>
      </c>
      <c r="I115" s="75">
        <f t="shared" si="1"/>
      </c>
      <c r="J115" s="75">
        <f t="shared" si="3"/>
      </c>
      <c r="K115" s="75">
        <f t="shared" si="2"/>
      </c>
      <c r="L115" s="84">
        <f t="shared" si="0"/>
      </c>
      <c r="M115" s="76" t="s">
        <v>196</v>
      </c>
      <c r="N115" s="73">
        <v>7</v>
      </c>
    </row>
    <row r="116">
      <c r="A116" s="79" t="s">
        <v>220</v>
      </c>
      <c r="B116" s="80"/>
      <c r="C116" s="80"/>
      <c r="D116" s="80">
        <f>SUM(D112:D115)</f>
      </c>
      <c r="E116" s="80">
        <f>SUM(E112:E115)</f>
      </c>
      <c r="F116" s="85">
        <f>SUM(F112:F115)</f>
      </c>
      <c r="G116" s="80">
        <f>SUM(G112:G115)</f>
      </c>
      <c r="H116" s="80">
        <f>SUM(H112:H115)</f>
      </c>
      <c r="I116" s="81">
        <f t="shared" si="1"/>
      </c>
      <c r="J116" s="81">
        <f t="shared" si="3"/>
      </c>
      <c r="K116" s="81">
        <f t="shared" si="2"/>
      </c>
      <c r="L116" s="86">
        <f t="shared" si="0"/>
      </c>
      <c r="M116" s="81"/>
      <c r="N116" s="80">
        <f>SUM(N112:N115)</f>
      </c>
    </row>
    <row r="117">
      <c r="A117" s="72" t="s">
        <v>221</v>
      </c>
      <c r="B117" s="77" t="s">
        <v>185</v>
      </c>
      <c r="C117" s="73" t="s">
        <v>214</v>
      </c>
      <c r="D117" s="73">
        <v>4</v>
      </c>
      <c r="E117" s="73">
        <v>70</v>
      </c>
      <c r="F117" s="83">
        <v>15</v>
      </c>
      <c r="G117" s="74">
        <v>38798.94</v>
      </c>
      <c r="H117" s="74">
        <v>14210.029999999999</v>
      </c>
      <c r="I117" s="75">
        <f t="shared" si="1"/>
      </c>
      <c r="J117" s="75">
        <f t="shared" si="3"/>
      </c>
      <c r="K117" s="75">
        <f t="shared" si="2"/>
      </c>
      <c r="L117" s="84">
        <f t="shared" si="0"/>
      </c>
      <c r="M117" s="76" t="s">
        <v>165</v>
      </c>
      <c r="N117" s="73">
        <v>9</v>
      </c>
    </row>
    <row r="118">
      <c r="A118" s="72" t="s">
        <v>221</v>
      </c>
      <c r="B118" s="77" t="s">
        <v>158</v>
      </c>
      <c r="C118" s="73" t="s">
        <v>162</v>
      </c>
      <c r="D118" s="73">
        <v>4</v>
      </c>
      <c r="E118" s="73">
        <v>105</v>
      </c>
      <c r="F118" s="83">
        <v>24</v>
      </c>
      <c r="G118" s="74">
        <v>52659.84</v>
      </c>
      <c r="H118" s="74">
        <v>24707.55</v>
      </c>
      <c r="I118" s="75">
        <f t="shared" si="1"/>
      </c>
      <c r="J118" s="75">
        <f t="shared" si="3"/>
      </c>
      <c r="K118" s="75">
        <f t="shared" si="2"/>
      </c>
      <c r="L118" s="84">
        <f t="shared" si="0"/>
      </c>
      <c r="M118" s="76"/>
      <c r="N118" s="73"/>
    </row>
    <row r="119">
      <c r="A119" s="72" t="s">
        <v>221</v>
      </c>
      <c r="B119" s="77" t="s">
        <v>170</v>
      </c>
      <c r="C119" s="73" t="s">
        <v>194</v>
      </c>
      <c r="D119" s="73">
        <v>4</v>
      </c>
      <c r="E119" s="73">
        <v>61</v>
      </c>
      <c r="F119" s="83">
        <v>15</v>
      </c>
      <c r="G119" s="74">
        <v>24276.08</v>
      </c>
      <c r="H119" s="74">
        <v>22713.9</v>
      </c>
      <c r="I119" s="75">
        <f t="shared" si="1"/>
      </c>
      <c r="J119" s="75">
        <f t="shared" si="3"/>
      </c>
      <c r="K119" s="75">
        <f t="shared" si="2"/>
      </c>
      <c r="L119" s="84">
        <f t="shared" si="0"/>
      </c>
      <c r="M119" s="76"/>
      <c r="N119" s="73"/>
    </row>
    <row r="120">
      <c r="A120" s="72" t="s">
        <v>221</v>
      </c>
      <c r="B120" s="77" t="s">
        <v>183</v>
      </c>
      <c r="C120" s="73" t="s">
        <v>217</v>
      </c>
      <c r="D120" s="73">
        <v>3</v>
      </c>
      <c r="E120" s="73">
        <v>8</v>
      </c>
      <c r="F120" s="83">
        <v>0</v>
      </c>
      <c r="G120" s="74">
        <v>3075.9600000000064</v>
      </c>
      <c r="H120" s="74">
        <v>4838.26</v>
      </c>
      <c r="I120" s="75">
        <f t="shared" si="1"/>
      </c>
      <c r="J120" s="75">
        <f t="shared" si="3"/>
      </c>
      <c r="K120" s="75">
        <f t="shared" si="2"/>
      </c>
      <c r="L120" s="84">
        <f t="shared" si="0"/>
      </c>
      <c r="M120" s="76" t="s">
        <v>196</v>
      </c>
      <c r="N120" s="73">
        <v>6</v>
      </c>
    </row>
    <row r="121">
      <c r="A121" s="79" t="s">
        <v>221</v>
      </c>
      <c r="B121" s="80"/>
      <c r="C121" s="80"/>
      <c r="D121" s="80">
        <f>SUM(D117:D120)</f>
      </c>
      <c r="E121" s="80">
        <f>SUM(E117:E120)</f>
      </c>
      <c r="F121" s="85">
        <f>SUM(F117:F120)</f>
      </c>
      <c r="G121" s="80">
        <f>SUM(G117:G120)</f>
      </c>
      <c r="H121" s="80">
        <f>SUM(H117:H120)</f>
      </c>
      <c r="I121" s="81">
        <f t="shared" si="1"/>
      </c>
      <c r="J121" s="81">
        <f t="shared" si="3"/>
      </c>
      <c r="K121" s="81">
        <f t="shared" si="2"/>
      </c>
      <c r="L121" s="86">
        <f t="shared" si="0"/>
      </c>
      <c r="M121" s="81"/>
      <c r="N121" s="80">
        <f>SUM(N117:N120)</f>
      </c>
    </row>
    <row r="122">
      <c r="A122" s="72" t="s">
        <v>222</v>
      </c>
      <c r="B122" s="77" t="s">
        <v>158</v>
      </c>
      <c r="C122" s="73" t="s">
        <v>214</v>
      </c>
      <c r="D122" s="73">
        <v>4</v>
      </c>
      <c r="E122" s="73">
        <v>74</v>
      </c>
      <c r="F122" s="83">
        <v>13</v>
      </c>
      <c r="G122" s="74">
        <v>39418.36</v>
      </c>
      <c r="H122" s="74">
        <v>21126.96</v>
      </c>
      <c r="I122" s="75">
        <f t="shared" si="1"/>
      </c>
      <c r="J122" s="75">
        <f t="shared" si="3"/>
      </c>
      <c r="K122" s="75">
        <f t="shared" si="2"/>
      </c>
      <c r="L122" s="84">
        <f t="shared" si="0"/>
      </c>
      <c r="M122" s="76" t="s">
        <v>187</v>
      </c>
      <c r="N122" s="73">
        <v>9</v>
      </c>
    </row>
    <row r="123">
      <c r="A123" s="72" t="s">
        <v>222</v>
      </c>
      <c r="B123" s="77" t="s">
        <v>185</v>
      </c>
      <c r="C123" s="73" t="s">
        <v>162</v>
      </c>
      <c r="D123" s="73">
        <v>4</v>
      </c>
      <c r="E123" s="73">
        <v>49</v>
      </c>
      <c r="F123" s="83">
        <v>21</v>
      </c>
      <c r="G123" s="74">
        <v>28685.190000000002</v>
      </c>
      <c r="H123" s="74">
        <v>13055.259999999998</v>
      </c>
      <c r="I123" s="75">
        <f t="shared" si="1"/>
      </c>
      <c r="J123" s="75">
        <f t="shared" si="3"/>
      </c>
      <c r="K123" s="75">
        <f t="shared" si="2"/>
      </c>
      <c r="L123" s="84">
        <f t="shared" si="0"/>
      </c>
      <c r="M123" s="76"/>
      <c r="N123" s="73"/>
    </row>
    <row r="124">
      <c r="A124" s="72" t="s">
        <v>222</v>
      </c>
      <c r="B124" s="77" t="s">
        <v>183</v>
      </c>
      <c r="C124" s="73" t="s">
        <v>194</v>
      </c>
      <c r="D124" s="73">
        <v>4</v>
      </c>
      <c r="E124" s="73">
        <v>77</v>
      </c>
      <c r="F124" s="83">
        <v>14</v>
      </c>
      <c r="G124" s="74">
        <v>38617</v>
      </c>
      <c r="H124" s="74">
        <v>22419.45</v>
      </c>
      <c r="I124" s="75">
        <f t="shared" si="1"/>
      </c>
      <c r="J124" s="75">
        <f t="shared" si="3"/>
      </c>
      <c r="K124" s="75">
        <f t="shared" si="2"/>
      </c>
      <c r="L124" s="84">
        <f t="shared" si="0"/>
      </c>
      <c r="M124" s="76"/>
      <c r="N124" s="73"/>
    </row>
    <row r="125">
      <c r="A125" s="72" t="s">
        <v>222</v>
      </c>
      <c r="B125" s="77" t="s">
        <v>170</v>
      </c>
      <c r="C125" s="73" t="s">
        <v>195</v>
      </c>
      <c r="D125" s="73">
        <v>5</v>
      </c>
      <c r="E125" s="73">
        <v>58</v>
      </c>
      <c r="F125" s="83">
        <v>10</v>
      </c>
      <c r="G125" s="74">
        <v>31070.279999999984</v>
      </c>
      <c r="H125" s="74">
        <v>16317.280000000002</v>
      </c>
      <c r="I125" s="75">
        <f t="shared" si="1"/>
      </c>
      <c r="J125" s="75">
        <f t="shared" si="3"/>
      </c>
      <c r="K125" s="75">
        <f t="shared" si="2"/>
      </c>
      <c r="L125" s="84">
        <f t="shared" si="0"/>
      </c>
      <c r="M125" s="76" t="s">
        <v>196</v>
      </c>
      <c r="N125" s="73">
        <v>8</v>
      </c>
    </row>
    <row r="126">
      <c r="A126" s="79" t="s">
        <v>222</v>
      </c>
      <c r="B126" s="80"/>
      <c r="C126" s="80"/>
      <c r="D126" s="80">
        <f>SUM(D122:D125)</f>
      </c>
      <c r="E126" s="80">
        <f>SUM(E122:E125)</f>
      </c>
      <c r="F126" s="85">
        <f>SUM(F122:F125)</f>
      </c>
      <c r="G126" s="80">
        <f>SUM(G122:G125)</f>
      </c>
      <c r="H126" s="80">
        <f>SUM(H122:H125)</f>
      </c>
      <c r="I126" s="81">
        <f t="shared" si="1"/>
      </c>
      <c r="J126" s="81">
        <f t="shared" si="3"/>
      </c>
      <c r="K126" s="81">
        <f t="shared" si="2"/>
      </c>
      <c r="L126" s="86">
        <f t="shared" si="0"/>
      </c>
      <c r="M126" s="81"/>
      <c r="N126" s="80">
        <f>SUM(N122:N125)</f>
      </c>
    </row>
    <row r="127">
      <c r="A127" s="72" t="s">
        <v>223</v>
      </c>
      <c r="B127" s="77" t="s">
        <v>158</v>
      </c>
      <c r="C127" s="73" t="s">
        <v>214</v>
      </c>
      <c r="D127" s="73">
        <v>4</v>
      </c>
      <c r="E127" s="73">
        <v>25</v>
      </c>
      <c r="F127" s="83">
        <v>9</v>
      </c>
      <c r="G127" s="74">
        <v>10386.26</v>
      </c>
      <c r="H127" s="74">
        <v>8920.73</v>
      </c>
      <c r="I127" s="75">
        <f t="shared" si="1"/>
      </c>
      <c r="J127" s="75">
        <f t="shared" si="3"/>
      </c>
      <c r="K127" s="75">
        <f t="shared" si="2"/>
      </c>
      <c r="L127" s="84">
        <f t="shared" si="0"/>
      </c>
      <c r="M127" s="76" t="s">
        <v>187</v>
      </c>
      <c r="N127" s="73">
        <v>9</v>
      </c>
    </row>
    <row r="128">
      <c r="A128" s="72" t="s">
        <v>223</v>
      </c>
      <c r="B128" s="77" t="s">
        <v>183</v>
      </c>
      <c r="C128" s="73" t="s">
        <v>162</v>
      </c>
      <c r="D128" s="73">
        <v>4</v>
      </c>
      <c r="E128" s="73">
        <v>24</v>
      </c>
      <c r="F128" s="83">
        <v>7</v>
      </c>
      <c r="G128" s="74">
        <v>10575.000000000002</v>
      </c>
      <c r="H128" s="74">
        <v>7295.849999999999</v>
      </c>
      <c r="I128" s="75">
        <f t="shared" si="1"/>
      </c>
      <c r="J128" s="75">
        <f t="shared" si="3"/>
      </c>
      <c r="K128" s="75">
        <f t="shared" si="2"/>
      </c>
      <c r="L128" s="84">
        <f t="shared" si="0"/>
      </c>
      <c r="M128" s="76"/>
      <c r="N128" s="73"/>
    </row>
    <row r="129">
      <c r="A129" s="72" t="s">
        <v>223</v>
      </c>
      <c r="B129" s="77" t="s">
        <v>185</v>
      </c>
      <c r="C129" s="73" t="s">
        <v>194</v>
      </c>
      <c r="D129" s="73">
        <v>4</v>
      </c>
      <c r="E129" s="73">
        <v>71</v>
      </c>
      <c r="F129" s="83">
        <v>23</v>
      </c>
      <c r="G129" s="74">
        <v>37669.67999999999</v>
      </c>
      <c r="H129" s="74">
        <v>15842.16</v>
      </c>
      <c r="I129" s="75">
        <f t="shared" si="1"/>
      </c>
      <c r="J129" s="75">
        <f t="shared" si="3"/>
      </c>
      <c r="K129" s="75">
        <f t="shared" si="2"/>
      </c>
      <c r="L129" s="84">
        <f t="shared" si="0"/>
      </c>
      <c r="M129" s="76"/>
      <c r="N129" s="73"/>
    </row>
    <row r="130">
      <c r="A130" s="72" t="s">
        <v>223</v>
      </c>
      <c r="B130" s="77" t="s">
        <v>170</v>
      </c>
      <c r="C130" s="73" t="s">
        <v>195</v>
      </c>
      <c r="D130" s="73">
        <v>5</v>
      </c>
      <c r="E130" s="73">
        <v>97</v>
      </c>
      <c r="F130" s="83">
        <v>12</v>
      </c>
      <c r="G130" s="74">
        <v>45869.930000000015</v>
      </c>
      <c r="H130" s="74">
        <v>24870.16</v>
      </c>
      <c r="I130" s="75">
        <f t="shared" si="1"/>
      </c>
      <c r="J130" s="75">
        <f t="shared" si="3"/>
      </c>
      <c r="K130" s="75">
        <f t="shared" si="2"/>
      </c>
      <c r="L130" s="84">
        <f t="shared" si="0"/>
      </c>
      <c r="M130" s="76" t="s">
        <v>196</v>
      </c>
      <c r="N130" s="73">
        <v>8</v>
      </c>
    </row>
    <row r="131">
      <c r="A131" s="79" t="s">
        <v>223</v>
      </c>
      <c r="B131" s="80"/>
      <c r="C131" s="80"/>
      <c r="D131" s="80">
        <f>SUM(D127:D130)</f>
      </c>
      <c r="E131" s="80">
        <f>SUM(E127:E130)</f>
      </c>
      <c r="F131" s="85">
        <f>SUM(F127:F130)</f>
      </c>
      <c r="G131" s="80">
        <f>SUM(G127:G130)</f>
      </c>
      <c r="H131" s="80">
        <f>SUM(H127:H130)</f>
      </c>
      <c r="I131" s="81">
        <f t="shared" si="1"/>
      </c>
      <c r="J131" s="81">
        <f t="shared" si="3"/>
      </c>
      <c r="K131" s="81">
        <f t="shared" si="2"/>
      </c>
      <c r="L131" s="86">
        <f t="shared" si="0"/>
      </c>
      <c r="M131" s="81"/>
      <c r="N131" s="80">
        <f>SUM(N127:N130)</f>
      </c>
    </row>
    <row r="132">
      <c r="A132" s="72" t="s">
        <v>224</v>
      </c>
      <c r="B132" s="77" t="s">
        <v>158</v>
      </c>
      <c r="C132" s="73" t="s">
        <v>214</v>
      </c>
      <c r="D132" s="73">
        <v>4</v>
      </c>
      <c r="E132" s="73">
        <v>78</v>
      </c>
      <c r="F132" s="83">
        <v>19</v>
      </c>
      <c r="G132" s="74">
        <v>37178.8</v>
      </c>
      <c r="H132" s="74">
        <v>22416.71</v>
      </c>
      <c r="I132" s="75">
        <f t="shared" si="1"/>
      </c>
      <c r="J132" s="75">
        <f t="shared" si="3"/>
      </c>
      <c r="K132" s="75">
        <f t="shared" si="2"/>
      </c>
      <c r="L132" s="84">
        <f t="shared" si="0"/>
      </c>
      <c r="M132" s="76" t="s">
        <v>187</v>
      </c>
      <c r="N132" s="73">
        <v>9</v>
      </c>
    </row>
    <row r="133">
      <c r="A133" s="72" t="s">
        <v>224</v>
      </c>
      <c r="B133" s="77" t="s">
        <v>183</v>
      </c>
      <c r="C133" s="73" t="s">
        <v>162</v>
      </c>
      <c r="D133" s="73">
        <v>4</v>
      </c>
      <c r="E133" s="73">
        <v>103</v>
      </c>
      <c r="F133" s="83">
        <v>22</v>
      </c>
      <c r="G133" s="74">
        <v>56916.42999999999</v>
      </c>
      <c r="H133" s="74">
        <v>26697.719999999998</v>
      </c>
      <c r="I133" s="75">
        <f t="shared" si="1"/>
      </c>
      <c r="J133" s="75">
        <f t="shared" si="3"/>
      </c>
      <c r="K133" s="75">
        <f t="shared" si="2"/>
      </c>
      <c r="L133" s="84">
        <f t="shared" si="0"/>
      </c>
      <c r="M133" s="76"/>
      <c r="N133" s="73"/>
    </row>
    <row r="134">
      <c r="A134" s="72" t="s">
        <v>224</v>
      </c>
      <c r="B134" s="77" t="s">
        <v>185</v>
      </c>
      <c r="C134" s="73" t="s">
        <v>194</v>
      </c>
      <c r="D134" s="73">
        <v>4</v>
      </c>
      <c r="E134" s="73">
        <v>202</v>
      </c>
      <c r="F134" s="83">
        <v>33</v>
      </c>
      <c r="G134" s="74">
        <v>97964.59000000001</v>
      </c>
      <c r="H134" s="74">
        <v>49330.43</v>
      </c>
      <c r="I134" s="75">
        <f t="shared" si="1"/>
      </c>
      <c r="J134" s="75">
        <f t="shared" si="3"/>
      </c>
      <c r="K134" s="75">
        <f t="shared" si="2"/>
      </c>
      <c r="L134" s="84">
        <f t="shared" si="0"/>
      </c>
      <c r="M134" s="76"/>
      <c r="N134" s="73"/>
    </row>
    <row r="135">
      <c r="A135" s="72" t="s">
        <v>224</v>
      </c>
      <c r="B135" s="77" t="s">
        <v>170</v>
      </c>
      <c r="C135" s="73" t="s">
        <v>199</v>
      </c>
      <c r="D135" s="73">
        <v>4</v>
      </c>
      <c r="E135" s="73">
        <v>57</v>
      </c>
      <c r="F135" s="83">
        <v>9</v>
      </c>
      <c r="G135" s="74">
        <v>24400.350000000006</v>
      </c>
      <c r="H135" s="74">
        <v>27881.6</v>
      </c>
      <c r="I135" s="75">
        <f t="shared" si="1"/>
      </c>
      <c r="J135" s="75">
        <f t="shared" si="3"/>
      </c>
      <c r="K135" s="75">
        <f t="shared" si="2"/>
      </c>
      <c r="L135" s="84">
        <f t="shared" si="0"/>
      </c>
      <c r="M135" s="76" t="s">
        <v>196</v>
      </c>
      <c r="N135" s="73">
        <v>7</v>
      </c>
    </row>
    <row r="136">
      <c r="A136" s="79" t="s">
        <v>224</v>
      </c>
      <c r="B136" s="80"/>
      <c r="C136" s="80"/>
      <c r="D136" s="80">
        <f>SUM(D132:D135)</f>
      </c>
      <c r="E136" s="80">
        <f>SUM(E132:E135)</f>
      </c>
      <c r="F136" s="85">
        <f>SUM(F132:F135)</f>
      </c>
      <c r="G136" s="80">
        <f>SUM(G132:G135)</f>
      </c>
      <c r="H136" s="80">
        <f>SUM(H132:H135)</f>
      </c>
      <c r="I136" s="81">
        <f t="shared" si="1"/>
      </c>
      <c r="J136" s="81">
        <f t="shared" si="3"/>
      </c>
      <c r="K136" s="81">
        <f t="shared" si="2"/>
      </c>
      <c r="L136" s="86">
        <f t="shared" si="0"/>
      </c>
      <c r="M136" s="81"/>
      <c r="N136" s="80">
        <f>SUM(N132:N135)</f>
      </c>
    </row>
    <row r="137">
      <c r="A137" s="72" t="s">
        <v>225</v>
      </c>
      <c r="B137" s="77" t="s">
        <v>158</v>
      </c>
      <c r="C137" s="73" t="s">
        <v>214</v>
      </c>
      <c r="D137" s="73">
        <v>4</v>
      </c>
      <c r="E137" s="73">
        <v>96</v>
      </c>
      <c r="F137" s="83">
        <v>16</v>
      </c>
      <c r="G137" s="74">
        <v>53274.6</v>
      </c>
      <c r="H137" s="74">
        <v>27704.77</v>
      </c>
      <c r="I137" s="75">
        <f t="shared" si="1"/>
      </c>
      <c r="J137" s="75">
        <f t="shared" si="3"/>
      </c>
      <c r="K137" s="75">
        <f t="shared" si="2"/>
      </c>
      <c r="L137" s="84">
        <f t="shared" si="0"/>
      </c>
      <c r="M137" s="76" t="s">
        <v>187</v>
      </c>
      <c r="N137" s="73">
        <v>9</v>
      </c>
    </row>
    <row r="138">
      <c r="A138" s="72" t="s">
        <v>225</v>
      </c>
      <c r="B138" s="77" t="s">
        <v>183</v>
      </c>
      <c r="C138" s="73" t="s">
        <v>162</v>
      </c>
      <c r="D138" s="73">
        <v>4</v>
      </c>
      <c r="E138" s="73">
        <v>61</v>
      </c>
      <c r="F138" s="83">
        <v>13</v>
      </c>
      <c r="G138" s="74">
        <v>30484.730000000003</v>
      </c>
      <c r="H138" s="74">
        <v>21563.8</v>
      </c>
      <c r="I138" s="75">
        <f t="shared" si="1"/>
      </c>
      <c r="J138" s="75">
        <f t="shared" si="3"/>
      </c>
      <c r="K138" s="75">
        <f t="shared" si="2"/>
      </c>
      <c r="L138" s="84">
        <f t="shared" si="0"/>
      </c>
      <c r="M138" s="76"/>
      <c r="N138" s="73"/>
    </row>
    <row r="139">
      <c r="A139" s="72" t="s">
        <v>225</v>
      </c>
      <c r="B139" s="77" t="s">
        <v>185</v>
      </c>
      <c r="C139" s="73" t="s">
        <v>194</v>
      </c>
      <c r="D139" s="73">
        <v>4</v>
      </c>
      <c r="E139" s="73">
        <v>18</v>
      </c>
      <c r="F139" s="83">
        <v>5</v>
      </c>
      <c r="G139" s="74">
        <v>6903.970000000001</v>
      </c>
      <c r="H139" s="74">
        <v>7347.460000000001</v>
      </c>
      <c r="I139" s="75">
        <f t="shared" si="1"/>
      </c>
      <c r="J139" s="75">
        <f t="shared" si="3"/>
      </c>
      <c r="K139" s="75">
        <f t="shared" si="2"/>
      </c>
      <c r="L139" s="84">
        <f t="shared" si="0"/>
      </c>
      <c r="M139" s="76" t="s">
        <v>196</v>
      </c>
      <c r="N139" s="73">
        <v>3</v>
      </c>
    </row>
    <row r="140">
      <c r="A140" s="79" t="s">
        <v>225</v>
      </c>
      <c r="B140" s="80"/>
      <c r="C140" s="80"/>
      <c r="D140" s="80">
        <f>SUM(D137:D139)</f>
      </c>
      <c r="E140" s="80">
        <f>SUM(E137:E139)</f>
      </c>
      <c r="F140" s="85">
        <f>SUM(F137:F139)</f>
      </c>
      <c r="G140" s="80">
        <f>SUM(G137:G139)</f>
      </c>
      <c r="H140" s="80">
        <f>SUM(H137:H139)</f>
      </c>
      <c r="I140" s="81">
        <f t="shared" si="1"/>
      </c>
      <c r="J140" s="81">
        <f t="shared" si="3"/>
      </c>
      <c r="K140" s="81">
        <f t="shared" si="2"/>
      </c>
      <c r="L140" s="86">
        <f t="shared" si="0"/>
      </c>
      <c r="M140" s="81"/>
      <c r="N140" s="80">
        <f>SUM(N137:N139)</f>
      </c>
    </row>
    <row r="141">
      <c r="A141" s="72" t="s">
        <v>226</v>
      </c>
      <c r="B141" s="77" t="s">
        <v>183</v>
      </c>
      <c r="C141" s="73" t="s">
        <v>214</v>
      </c>
      <c r="D141" s="73">
        <v>4</v>
      </c>
      <c r="E141" s="73">
        <v>52</v>
      </c>
      <c r="F141" s="83">
        <v>10</v>
      </c>
      <c r="G141" s="74">
        <v>22097.58</v>
      </c>
      <c r="H141" s="74">
        <v>14811.449999999999</v>
      </c>
      <c r="I141" s="75">
        <f t="shared" si="1"/>
      </c>
      <c r="J141" s="75">
        <f t="shared" si="3"/>
      </c>
      <c r="K141" s="75">
        <f t="shared" si="2"/>
      </c>
      <c r="L141" s="84">
        <f t="shared" si="0"/>
      </c>
      <c r="M141" s="76" t="s">
        <v>187</v>
      </c>
      <c r="N141" s="73">
        <v>7</v>
      </c>
    </row>
    <row r="142">
      <c r="A142" s="72" t="s">
        <v>226</v>
      </c>
      <c r="B142" s="77" t="s">
        <v>161</v>
      </c>
      <c r="C142" s="73" t="s">
        <v>162</v>
      </c>
      <c r="D142" s="73">
        <v>4</v>
      </c>
      <c r="E142" s="73">
        <v>64</v>
      </c>
      <c r="F142" s="83">
        <v>13</v>
      </c>
      <c r="G142" s="74">
        <v>32528.769999999997</v>
      </c>
      <c r="H142" s="74">
        <v>18177.059999999998</v>
      </c>
      <c r="I142" s="75">
        <f t="shared" si="1"/>
      </c>
      <c r="J142" s="75">
        <f t="shared" si="3"/>
      </c>
      <c r="K142" s="75">
        <f t="shared" si="2"/>
      </c>
      <c r="L142" s="84">
        <f t="shared" si="0"/>
      </c>
      <c r="M142" s="76"/>
      <c r="N142" s="73"/>
    </row>
    <row r="143">
      <c r="A143" s="72" t="s">
        <v>226</v>
      </c>
      <c r="B143" s="77" t="s">
        <v>185</v>
      </c>
      <c r="C143" s="73" t="s">
        <v>194</v>
      </c>
      <c r="D143" s="73">
        <v>4</v>
      </c>
      <c r="E143" s="73">
        <v>40</v>
      </c>
      <c r="F143" s="83">
        <v>14</v>
      </c>
      <c r="G143" s="74">
        <v>19751.610000000008</v>
      </c>
      <c r="H143" s="74">
        <v>9256.78</v>
      </c>
      <c r="I143" s="75">
        <f t="shared" si="1"/>
      </c>
      <c r="J143" s="75">
        <f t="shared" si="3"/>
      </c>
      <c r="K143" s="75">
        <f t="shared" si="2"/>
      </c>
      <c r="L143" s="84">
        <f t="shared" si="0"/>
      </c>
      <c r="M143" s="76"/>
      <c r="N143" s="73"/>
    </row>
    <row r="144">
      <c r="A144" s="72" t="s">
        <v>226</v>
      </c>
      <c r="B144" s="77" t="s">
        <v>170</v>
      </c>
      <c r="C144" s="73" t="s">
        <v>195</v>
      </c>
      <c r="D144" s="73">
        <v>5</v>
      </c>
      <c r="E144" s="73">
        <v>49</v>
      </c>
      <c r="F144" s="83">
        <v>3</v>
      </c>
      <c r="G144" s="74">
        <v>24090.48</v>
      </c>
      <c r="H144" s="74">
        <v>13532.32</v>
      </c>
      <c r="I144" s="75">
        <f t="shared" si="1"/>
      </c>
      <c r="J144" s="75">
        <f t="shared" si="3"/>
      </c>
      <c r="K144" s="75">
        <f t="shared" si="2"/>
      </c>
      <c r="L144" s="84">
        <f t="shared" si="0"/>
      </c>
      <c r="M144" s="76" t="s">
        <v>196</v>
      </c>
      <c r="N144" s="73">
        <v>10</v>
      </c>
    </row>
    <row r="145">
      <c r="A145" s="79" t="s">
        <v>226</v>
      </c>
      <c r="B145" s="80"/>
      <c r="C145" s="80"/>
      <c r="D145" s="80">
        <f>SUM(D141:D144)</f>
      </c>
      <c r="E145" s="80">
        <f>SUM(E141:E144)</f>
      </c>
      <c r="F145" s="85">
        <f>SUM(F141:F144)</f>
      </c>
      <c r="G145" s="80">
        <f>SUM(G141:G144)</f>
      </c>
      <c r="H145" s="80">
        <f>SUM(H141:H144)</f>
      </c>
      <c r="I145" s="81">
        <f t="shared" si="1"/>
      </c>
      <c r="J145" s="81">
        <f t="shared" si="3"/>
      </c>
      <c r="K145" s="81">
        <f t="shared" si="2"/>
      </c>
      <c r="L145" s="86">
        <f t="shared" si="0"/>
      </c>
      <c r="M145" s="81"/>
      <c r="N145" s="80">
        <f>SUM(N141:N144)</f>
      </c>
    </row>
    <row r="146">
      <c r="A146" s="72" t="s">
        <v>227</v>
      </c>
      <c r="B146" s="77" t="s">
        <v>158</v>
      </c>
      <c r="C146" s="73" t="s">
        <v>214</v>
      </c>
      <c r="D146" s="87">
        <f>4-0.25</f>
      </c>
      <c r="E146" s="73">
        <v>23</v>
      </c>
      <c r="F146" s="83">
        <v>3</v>
      </c>
      <c r="G146" s="74">
        <v>10870.82</v>
      </c>
      <c r="H146" s="74">
        <v>5810.639999999999</v>
      </c>
      <c r="I146" s="75">
        <f t="shared" si="1"/>
      </c>
      <c r="J146" s="75">
        <f t="shared" si="3"/>
      </c>
      <c r="K146" s="75">
        <f t="shared" si="2"/>
      </c>
      <c r="L146" s="84">
        <f t="shared" si="0"/>
      </c>
      <c r="M146" s="76" t="s">
        <v>187</v>
      </c>
      <c r="N146" s="73">
        <v>9</v>
      </c>
    </row>
    <row r="147">
      <c r="A147" s="72" t="s">
        <v>227</v>
      </c>
      <c r="B147" s="77" t="s">
        <v>185</v>
      </c>
      <c r="C147" s="73" t="s">
        <v>162</v>
      </c>
      <c r="D147" s="73">
        <v>4</v>
      </c>
      <c r="E147" s="73">
        <v>33</v>
      </c>
      <c r="F147" s="83">
        <v>9</v>
      </c>
      <c r="G147" s="74">
        <v>16151.36</v>
      </c>
      <c r="H147" s="74">
        <v>11382.92</v>
      </c>
      <c r="I147" s="75">
        <f t="shared" si="1"/>
      </c>
      <c r="J147" s="75">
        <f t="shared" si="3"/>
      </c>
      <c r="K147" s="75">
        <f t="shared" si="2"/>
      </c>
      <c r="L147" s="84">
        <f t="shared" si="0"/>
      </c>
      <c r="M147" s="76"/>
      <c r="N147" s="73"/>
    </row>
    <row r="148">
      <c r="A148" s="72" t="s">
        <v>227</v>
      </c>
      <c r="B148" s="77" t="s">
        <v>183</v>
      </c>
      <c r="C148" s="73" t="s">
        <v>194</v>
      </c>
      <c r="D148" s="87">
        <f>4-0.25</f>
      </c>
      <c r="E148" s="73">
        <v>52</v>
      </c>
      <c r="F148" s="83">
        <v>9</v>
      </c>
      <c r="G148" s="74">
        <v>19306.52</v>
      </c>
      <c r="H148" s="74">
        <v>14534.11</v>
      </c>
      <c r="I148" s="75">
        <f t="shared" si="1"/>
      </c>
      <c r="J148" s="75">
        <f t="shared" si="3"/>
      </c>
      <c r="K148" s="75">
        <f t="shared" si="2"/>
      </c>
      <c r="L148" s="84">
        <f t="shared" si="0"/>
      </c>
      <c r="M148" s="76"/>
      <c r="N148" s="73"/>
    </row>
    <row r="149">
      <c r="A149" s="72" t="s">
        <v>227</v>
      </c>
      <c r="B149" s="77" t="s">
        <v>170</v>
      </c>
      <c r="C149" s="73" t="s">
        <v>195</v>
      </c>
      <c r="D149" s="73">
        <v>5</v>
      </c>
      <c r="E149" s="73">
        <v>75</v>
      </c>
      <c r="F149" s="83">
        <v>18</v>
      </c>
      <c r="G149" s="74">
        <v>32873.86</v>
      </c>
      <c r="H149" s="74">
        <v>24933.7</v>
      </c>
      <c r="I149" s="75">
        <f t="shared" si="1"/>
      </c>
      <c r="J149" s="75">
        <f t="shared" si="3"/>
      </c>
      <c r="K149" s="75">
        <f t="shared" si="2"/>
      </c>
      <c r="L149" s="84">
        <f t="shared" si="0"/>
      </c>
      <c r="M149" s="76" t="s">
        <v>228</v>
      </c>
      <c r="N149" s="73">
        <v>8</v>
      </c>
    </row>
    <row r="150">
      <c r="A150" s="79" t="s">
        <v>227</v>
      </c>
      <c r="B150" s="80"/>
      <c r="C150" s="80"/>
      <c r="D150" s="80">
        <f>SUM(D146:D149)</f>
      </c>
      <c r="E150" s="80">
        <f>SUM(E146:E149)</f>
      </c>
      <c r="F150" s="85">
        <f>SUM(F146:F149)</f>
      </c>
      <c r="G150" s="80">
        <f>SUM(G146:G149)</f>
      </c>
      <c r="H150" s="80">
        <f>SUM(H146:H149)</f>
      </c>
      <c r="I150" s="81">
        <f t="shared" si="1"/>
      </c>
      <c r="J150" s="81">
        <f t="shared" si="3"/>
      </c>
      <c r="K150" s="81">
        <f t="shared" si="2"/>
      </c>
      <c r="L150" s="86">
        <f t="shared" si="0"/>
      </c>
      <c r="M150" s="81"/>
      <c r="N150" s="80">
        <f>SUM(N146:N149)</f>
      </c>
    </row>
  </sheetData>
  <autoFilter ref="A1:N152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16" min="16" style="0" width="11.211267605633802"/>
    <col collapsed="false" customWidth="true" hidden="false" max="20" min="20" style="0" width="11.211267605633802"/>
    <col collapsed="false" customWidth="true" hidden="false" max="24" min="24" style="0" width="11.211267605633802"/>
    <col collapsed="false" customWidth="true" hidden="false" max="4" min="4" style="0" width="11.211267605633802"/>
    <col collapsed="false" customWidth="true" hidden="false" max="8" min="8" style="0" width="11.211267605633802"/>
    <col collapsed="false" customWidth="true" hidden="false" max="12" min="12" style="0" width="11.211267605633802"/>
    <col collapsed="false" customWidth="true" hidden="false" max="15" min="15" style="0" width="11.211267605633802"/>
    <col collapsed="false" customWidth="true" hidden="false" max="19" min="19" style="0" width="11.211267605633802"/>
    <col collapsed="false" customWidth="true" hidden="false" max="23" min="23" style="0" width="11.211267605633802"/>
    <col collapsed="false" customWidth="true" hidden="false" max="3" min="3" style="0" width="11.211267605633802"/>
    <col collapsed="false" customWidth="true" hidden="false" max="7" min="7" style="0" width="11.211267605633802"/>
    <col collapsed="false" customWidth="true" hidden="false" max="11" min="11" style="0" width="11.211267605633802"/>
    <col collapsed="false" customWidth="true" hidden="false" max="14" min="14" style="0" width="11.211267605633802"/>
    <col collapsed="false" customWidth="true" hidden="false" max="18" min="18" style="0" width="11.211267605633802"/>
    <col collapsed="false" customWidth="true" hidden="false" max="22" min="22" style="0" width="11.211267605633802"/>
    <col collapsed="false" customWidth="true" hidden="false" max="26" min="26" style="0" width="11.211267605633802"/>
    <col collapsed="false" customWidth="true" hidden="false" max="2" min="2" style="0" width="11.211267605633802"/>
    <col collapsed="false" customWidth="true" hidden="false" max="6" min="6" style="0" width="11.211267605633802"/>
    <col collapsed="false" customWidth="true" hidden="false" max="10" min="10" style="0" width="11.211267605633802"/>
    <col collapsed="false" customWidth="true" hidden="false" max="17" min="17" style="0" width="11.211267605633802"/>
    <col collapsed="false" customWidth="true" hidden="false" max="21" min="21" style="0" width="11.211267605633802"/>
    <col collapsed="false" customWidth="true" hidden="false" max="25" min="25" style="0" width="11.211267605633802"/>
    <col collapsed="false" customWidth="true" hidden="false" max="5" min="5" style="0" width="11.211267605633802"/>
    <col collapsed="false" customWidth="true" hidden="false" max="9" min="9" style="0" width="11.211267605633802"/>
    <col collapsed="false" customWidth="true" hidden="false" max="13" min="13" style="0" width="11.211267605633802"/>
  </cols>
  <sheetData>
    <row r="1">
      <c r="A1" s="89" t="s">
        <v>229</v>
      </c>
      <c r="B1" s="89" t="s">
        <v>230</v>
      </c>
      <c r="C1" s="89" t="s">
        <v>231</v>
      </c>
      <c r="D1" s="89" t="s">
        <v>232</v>
      </c>
      <c r="E1" s="89" t="s">
        <v>233</v>
      </c>
      <c r="F1" s="89" t="s">
        <v>234</v>
      </c>
      <c r="G1" s="89" t="s">
        <v>235</v>
      </c>
      <c r="H1" s="90" t="s">
        <v>236</v>
      </c>
      <c r="I1" s="90" t="s">
        <v>237</v>
      </c>
      <c r="J1" s="90" t="s">
        <v>238</v>
      </c>
      <c r="K1" s="90" t="s">
        <v>239</v>
      </c>
      <c r="L1" s="89" t="s">
        <v>240</v>
      </c>
    </row>
    <row r="2">
      <c r="A2" s="91" t="s">
        <v>241</v>
      </c>
      <c r="B2" s="91" t="s">
        <v>242</v>
      </c>
      <c r="C2" s="92" t="s">
        <v>243</v>
      </c>
      <c r="D2" s="93">
        <v>4</v>
      </c>
      <c r="E2" s="91">
        <v>184</v>
      </c>
      <c r="F2" s="94">
        <v>128346.90999999999</v>
      </c>
      <c r="G2" s="94">
        <v>51623.16</v>
      </c>
      <c r="H2" s="95">
        <f t="shared" ref="H2:H125" si="2">F2/G2</f>
      </c>
      <c r="I2" s="95">
        <f t="shared" ref="I2:I125" si="0">F2/E2</f>
      </c>
      <c r="J2" s="95">
        <f t="shared" ref="J2:J125" si="1">G2/E2</f>
      </c>
      <c r="K2" s="96" t="s">
        <v>244</v>
      </c>
      <c r="L2" s="91">
        <v>8</v>
      </c>
    </row>
    <row r="3">
      <c r="A3" s="91" t="s">
        <v>241</v>
      </c>
      <c r="B3" s="93" t="s">
        <v>245</v>
      </c>
      <c r="C3" s="92" t="s">
        <v>246</v>
      </c>
      <c r="D3" s="93">
        <v>4</v>
      </c>
      <c r="E3" s="93">
        <v>161</v>
      </c>
      <c r="F3" s="94">
        <v>101930.79</v>
      </c>
      <c r="G3" s="97">
        <v>50515.47</v>
      </c>
      <c r="H3" s="95">
        <f t="shared" si="2"/>
      </c>
      <c r="I3" s="95">
        <f t="shared" si="0"/>
      </c>
      <c r="J3" s="95">
        <f t="shared" si="1"/>
      </c>
      <c r="K3" s="98"/>
      <c r="L3" s="93"/>
    </row>
    <row r="4">
      <c r="A4" s="99" t="s">
        <v>241</v>
      </c>
      <c r="B4" s="100"/>
      <c r="C4" s="100"/>
      <c r="D4" s="100">
        <f>SUM(D2:D3)</f>
      </c>
      <c r="E4" s="100">
        <f>SUM(E2:E3)</f>
      </c>
      <c r="F4" s="100">
        <f>SUM(F2:F3)</f>
      </c>
      <c r="G4" s="100">
        <v>102138.63</v>
      </c>
      <c r="H4" s="101">
        <f t="shared" si="2"/>
      </c>
      <c r="I4" s="101">
        <f t="shared" si="0"/>
      </c>
      <c r="J4" s="101">
        <f t="shared" si="1"/>
      </c>
      <c r="K4" s="101"/>
      <c r="L4" s="100">
        <f>SUM(L2:L3)</f>
      </c>
      <c r="O4" s="102"/>
      <c r="P4" s="102"/>
    </row>
    <row r="5">
      <c r="A5" s="91" t="s">
        <v>247</v>
      </c>
      <c r="B5" s="91" t="s">
        <v>248</v>
      </c>
      <c r="C5" s="92" t="s">
        <v>249</v>
      </c>
      <c r="D5" s="92">
        <v>5</v>
      </c>
      <c r="E5" s="92">
        <v>177</v>
      </c>
      <c r="F5" s="103">
        <v>89823.91</v>
      </c>
      <c r="G5" s="103">
        <v>50725.9</v>
      </c>
      <c r="H5" s="104">
        <f t="shared" si="2"/>
      </c>
      <c r="I5" s="104">
        <f t="shared" si="0"/>
      </c>
      <c r="J5" s="104">
        <f t="shared" si="1"/>
      </c>
      <c r="K5" s="105" t="s">
        <v>250</v>
      </c>
      <c r="L5" s="92">
        <v>1</v>
      </c>
    </row>
    <row r="6">
      <c r="A6" s="92" t="s">
        <v>247</v>
      </c>
      <c r="B6" s="106" t="s">
        <v>242</v>
      </c>
      <c r="C6" s="92" t="s">
        <v>251</v>
      </c>
      <c r="D6" s="92">
        <v>4</v>
      </c>
      <c r="E6" s="92">
        <v>70</v>
      </c>
      <c r="F6" s="103">
        <v>46083.100000000006</v>
      </c>
      <c r="G6" s="103">
        <v>26157.47</v>
      </c>
      <c r="H6" s="104">
        <f t="shared" si="2"/>
      </c>
      <c r="I6" s="104">
        <f t="shared" si="0"/>
      </c>
      <c r="J6" s="104">
        <f t="shared" si="1"/>
      </c>
      <c r="K6" s="105" t="s">
        <v>252</v>
      </c>
      <c r="L6" s="92">
        <v>1</v>
      </c>
    </row>
    <row r="7">
      <c r="A7" s="93" t="s">
        <v>247</v>
      </c>
      <c r="B7" s="93" t="s">
        <v>245</v>
      </c>
      <c r="C7" s="92" t="s">
        <v>253</v>
      </c>
      <c r="D7" s="92">
        <v>5</v>
      </c>
      <c r="E7" s="92">
        <v>168</v>
      </c>
      <c r="F7" s="103">
        <v>90586.40999999997</v>
      </c>
      <c r="G7" s="103">
        <v>45878.13</v>
      </c>
      <c r="H7" s="104">
        <f t="shared" si="2"/>
      </c>
      <c r="I7" s="104">
        <f t="shared" si="0"/>
      </c>
      <c r="J7" s="104">
        <f t="shared" si="1"/>
      </c>
      <c r="K7" s="105" t="s">
        <v>254</v>
      </c>
      <c r="L7" s="92">
        <v>8</v>
      </c>
    </row>
    <row r="8">
      <c r="A8" s="93" t="s">
        <v>247</v>
      </c>
      <c r="B8" s="106" t="s">
        <v>255</v>
      </c>
      <c r="C8" s="92" t="s">
        <v>256</v>
      </c>
      <c r="D8" s="92">
        <v>2</v>
      </c>
      <c r="E8" s="92">
        <v>27</v>
      </c>
      <c r="F8" s="103">
        <v>14756.320000000007</v>
      </c>
      <c r="G8" s="103">
        <v>9868.52</v>
      </c>
      <c r="H8" s="104">
        <f t="shared" si="2"/>
      </c>
      <c r="I8" s="104">
        <f t="shared" si="0"/>
      </c>
      <c r="J8" s="104">
        <f t="shared" si="1"/>
      </c>
      <c r="K8" s="96" t="s">
        <v>244</v>
      </c>
      <c r="L8" s="92">
        <v>6</v>
      </c>
    </row>
    <row r="9">
      <c r="A9" s="107" t="s">
        <v>247</v>
      </c>
      <c r="B9" s="108"/>
      <c r="C9" s="108"/>
      <c r="D9" s="108">
        <f>SUM(D5:D8)</f>
      </c>
      <c r="E9" s="108">
        <f>SUM(E5:E8)</f>
      </c>
      <c r="F9" s="108">
        <f>SUM(F5:F8)</f>
      </c>
      <c r="G9" s="108">
        <v>132630.02</v>
      </c>
      <c r="H9" s="109">
        <f t="shared" si="2"/>
      </c>
      <c r="I9" s="109">
        <f t="shared" si="0"/>
      </c>
      <c r="J9" s="109">
        <f t="shared" si="1"/>
      </c>
      <c r="K9" s="109"/>
      <c r="L9" s="108">
        <f>SUM(L5:L8)</f>
      </c>
    </row>
    <row r="10">
      <c r="A10" s="91" t="s">
        <v>257</v>
      </c>
      <c r="B10" s="91" t="s">
        <v>242</v>
      </c>
      <c r="C10" s="92" t="s">
        <v>249</v>
      </c>
      <c r="D10" s="92">
        <v>5</v>
      </c>
      <c r="E10" s="92">
        <v>215</v>
      </c>
      <c r="F10" s="103">
        <v>149257.78000000003</v>
      </c>
      <c r="G10" s="103">
        <v>64154.13</v>
      </c>
      <c r="H10" s="104">
        <f t="shared" si="2"/>
      </c>
      <c r="I10" s="104">
        <f t="shared" si="0"/>
      </c>
      <c r="J10" s="104">
        <f t="shared" si="1"/>
      </c>
      <c r="K10" s="105" t="s">
        <v>258</v>
      </c>
      <c r="L10" s="92">
        <v>10</v>
      </c>
    </row>
    <row r="11">
      <c r="A11" s="91" t="s">
        <v>257</v>
      </c>
      <c r="B11" s="106" t="s">
        <v>245</v>
      </c>
      <c r="C11" s="92" t="s">
        <v>259</v>
      </c>
      <c r="D11" s="92">
        <v>5</v>
      </c>
      <c r="E11" s="92">
        <v>160</v>
      </c>
      <c r="F11" s="103">
        <v>119148.77999999997</v>
      </c>
      <c r="G11" s="103">
        <v>50957.48</v>
      </c>
      <c r="H11" s="104">
        <f t="shared" si="2"/>
      </c>
      <c r="I11" s="104">
        <f t="shared" si="0"/>
      </c>
      <c r="J11" s="104">
        <f t="shared" si="1"/>
      </c>
      <c r="K11" s="105"/>
      <c r="L11" s="92"/>
    </row>
    <row r="12">
      <c r="A12" s="91" t="s">
        <v>257</v>
      </c>
      <c r="B12" s="91" t="s">
        <v>260</v>
      </c>
      <c r="C12" s="92" t="s">
        <v>243</v>
      </c>
      <c r="D12" s="92">
        <v>4</v>
      </c>
      <c r="E12" s="92">
        <v>109</v>
      </c>
      <c r="F12" s="103">
        <v>76129.93</v>
      </c>
      <c r="G12" s="103">
        <v>29349.34</v>
      </c>
      <c r="H12" s="104">
        <f t="shared" si="2"/>
      </c>
      <c r="I12" s="104">
        <f t="shared" si="0"/>
      </c>
      <c r="J12" s="104">
        <f t="shared" si="1"/>
      </c>
      <c r="K12" s="105"/>
      <c r="L12" s="92"/>
    </row>
    <row r="13">
      <c r="A13" s="91" t="s">
        <v>257</v>
      </c>
      <c r="B13" s="106" t="s">
        <v>248</v>
      </c>
      <c r="C13" s="92" t="s">
        <v>246</v>
      </c>
      <c r="D13" s="92">
        <v>4</v>
      </c>
      <c r="E13" s="92">
        <v>174</v>
      </c>
      <c r="F13" s="103">
        <v>92822.96999999997</v>
      </c>
      <c r="G13" s="103">
        <v>43676.81</v>
      </c>
      <c r="H13" s="104">
        <f t="shared" si="2"/>
      </c>
      <c r="I13" s="104">
        <f t="shared" si="0"/>
      </c>
      <c r="J13" s="104">
        <f t="shared" si="1"/>
      </c>
      <c r="K13" s="96" t="s">
        <v>244</v>
      </c>
      <c r="L13" s="92">
        <v>8</v>
      </c>
    </row>
    <row r="14">
      <c r="A14" s="107" t="s">
        <v>257</v>
      </c>
      <c r="B14" s="108"/>
      <c r="C14" s="108"/>
      <c r="D14" s="108">
        <f>SUM(D10:D13)</f>
      </c>
      <c r="E14" s="108">
        <f>SUM(E10:E13)</f>
      </c>
      <c r="F14" s="108">
        <f>SUM(F10:F13)</f>
      </c>
      <c r="G14" s="108">
        <v>188137.76</v>
      </c>
      <c r="H14" s="109">
        <f t="shared" si="2"/>
      </c>
      <c r="I14" s="109">
        <f t="shared" si="0"/>
      </c>
      <c r="J14" s="109">
        <f t="shared" si="1"/>
      </c>
      <c r="K14" s="109"/>
      <c r="L14" s="108">
        <f>SUM(L10:L13)</f>
      </c>
    </row>
    <row r="15">
      <c r="A15" s="91" t="s">
        <v>261</v>
      </c>
      <c r="B15" s="91" t="s">
        <v>242</v>
      </c>
      <c r="C15" s="92" t="s">
        <v>262</v>
      </c>
      <c r="D15" s="92">
        <v>4</v>
      </c>
      <c r="E15" s="92">
        <v>304</v>
      </c>
      <c r="F15" s="103">
        <v>198904.58000000002</v>
      </c>
      <c r="G15" s="103">
        <v>79211.09</v>
      </c>
      <c r="H15" s="104">
        <f t="shared" si="2"/>
      </c>
      <c r="I15" s="104">
        <f t="shared" si="0"/>
      </c>
      <c r="J15" s="104">
        <f t="shared" si="1"/>
      </c>
      <c r="K15" s="105" t="s">
        <v>258</v>
      </c>
      <c r="L15" s="92">
        <v>10</v>
      </c>
    </row>
    <row r="16">
      <c r="A16" s="91" t="s">
        <v>261</v>
      </c>
      <c r="B16" s="106" t="s">
        <v>245</v>
      </c>
      <c r="C16" s="92" t="s">
        <v>263</v>
      </c>
      <c r="D16" s="92">
        <v>4</v>
      </c>
      <c r="E16" s="92">
        <v>131</v>
      </c>
      <c r="F16" s="103">
        <v>78050.40999999997</v>
      </c>
      <c r="G16" s="103">
        <v>36523.35</v>
      </c>
      <c r="H16" s="104">
        <f t="shared" si="2"/>
      </c>
      <c r="I16" s="104">
        <f t="shared" si="0"/>
      </c>
      <c r="J16" s="104">
        <f t="shared" si="1"/>
      </c>
      <c r="K16" s="105"/>
      <c r="L16" s="92"/>
    </row>
    <row r="17">
      <c r="A17" s="91" t="s">
        <v>261</v>
      </c>
      <c r="B17" s="91" t="s">
        <v>260</v>
      </c>
      <c r="C17" s="92" t="s">
        <v>264</v>
      </c>
      <c r="D17" s="92">
        <v>4</v>
      </c>
      <c r="E17" s="92">
        <v>91</v>
      </c>
      <c r="F17" s="103">
        <v>52196.70000000001</v>
      </c>
      <c r="G17" s="103">
        <v>21035.7</v>
      </c>
      <c r="H17" s="104">
        <f t="shared" si="2"/>
      </c>
      <c r="I17" s="104">
        <f t="shared" si="0"/>
      </c>
      <c r="J17" s="104">
        <f t="shared" si="1"/>
      </c>
      <c r="K17" s="105"/>
      <c r="L17" s="92"/>
    </row>
    <row r="18">
      <c r="A18" s="91" t="s">
        <v>261</v>
      </c>
      <c r="B18" s="106" t="s">
        <v>248</v>
      </c>
      <c r="C18" s="92" t="s">
        <v>265</v>
      </c>
      <c r="D18" s="92">
        <v>4</v>
      </c>
      <c r="E18" s="92">
        <v>84</v>
      </c>
      <c r="F18" s="103">
        <v>43983.580000000016</v>
      </c>
      <c r="G18" s="103">
        <v>29508.96</v>
      </c>
      <c r="H18" s="104">
        <f t="shared" si="2"/>
      </c>
      <c r="I18" s="104">
        <f t="shared" si="0"/>
      </c>
      <c r="J18" s="104">
        <f t="shared" si="1"/>
      </c>
      <c r="K18" s="96" t="s">
        <v>244</v>
      </c>
      <c r="L18" s="92">
        <v>6</v>
      </c>
    </row>
    <row r="19">
      <c r="A19" s="107" t="s">
        <v>261</v>
      </c>
      <c r="B19" s="108"/>
      <c r="C19" s="108"/>
      <c r="D19" s="108">
        <f>SUM(D15:D18)</f>
      </c>
      <c r="E19" s="108">
        <f>SUM(E15:E18)</f>
      </c>
      <c r="F19" s="108">
        <f>SUM(F15:F18)</f>
      </c>
      <c r="G19" s="108">
        <v>166279.1</v>
      </c>
      <c r="H19" s="109">
        <f t="shared" si="2"/>
      </c>
      <c r="I19" s="109">
        <f t="shared" si="0"/>
      </c>
      <c r="J19" s="109">
        <f t="shared" si="1"/>
      </c>
      <c r="K19" s="109"/>
      <c r="L19" s="108">
        <f>SUM(L15:L18)</f>
      </c>
    </row>
    <row r="20">
      <c r="A20" s="91" t="s">
        <v>266</v>
      </c>
      <c r="B20" s="91" t="s">
        <v>245</v>
      </c>
      <c r="C20" s="92" t="s">
        <v>249</v>
      </c>
      <c r="D20" s="92">
        <v>5</v>
      </c>
      <c r="E20" s="92">
        <v>104</v>
      </c>
      <c r="F20" s="103">
        <v>70229.89</v>
      </c>
      <c r="G20" s="103">
        <v>33576.64</v>
      </c>
      <c r="H20" s="104">
        <f t="shared" si="2"/>
      </c>
      <c r="I20" s="104">
        <f t="shared" si="0"/>
      </c>
      <c r="J20" s="104">
        <f t="shared" si="1"/>
      </c>
      <c r="K20" s="105" t="s">
        <v>258</v>
      </c>
      <c r="L20" s="92">
        <v>10</v>
      </c>
    </row>
    <row r="21">
      <c r="A21" s="91" t="s">
        <v>266</v>
      </c>
      <c r="B21" s="106" t="s">
        <v>242</v>
      </c>
      <c r="C21" s="92" t="s">
        <v>251</v>
      </c>
      <c r="D21" s="92">
        <v>4</v>
      </c>
      <c r="E21" s="92">
        <v>21</v>
      </c>
      <c r="F21" s="103">
        <v>14502.86</v>
      </c>
      <c r="G21" s="103">
        <v>10346.17</v>
      </c>
      <c r="H21" s="104">
        <f t="shared" si="2"/>
      </c>
      <c r="I21" s="104">
        <f t="shared" si="0"/>
      </c>
      <c r="J21" s="104">
        <f t="shared" si="1"/>
      </c>
      <c r="K21" s="105"/>
      <c r="L21" s="92"/>
    </row>
    <row r="22">
      <c r="A22" s="91" t="s">
        <v>266</v>
      </c>
      <c r="B22" s="91" t="s">
        <v>248</v>
      </c>
      <c r="C22" s="92" t="s">
        <v>267</v>
      </c>
      <c r="D22" s="92">
        <v>4</v>
      </c>
      <c r="E22" s="92">
        <v>27</v>
      </c>
      <c r="F22" s="103">
        <v>15746.89</v>
      </c>
      <c r="G22" s="103">
        <v>10776.75</v>
      </c>
      <c r="H22" s="104">
        <f t="shared" si="2"/>
      </c>
      <c r="I22" s="104">
        <f t="shared" si="0"/>
      </c>
      <c r="J22" s="104">
        <f t="shared" si="1"/>
      </c>
      <c r="K22" s="105"/>
      <c r="L22" s="92"/>
    </row>
    <row r="23">
      <c r="A23" s="91" t="s">
        <v>266</v>
      </c>
      <c r="B23" s="106" t="s">
        <v>255</v>
      </c>
      <c r="C23" s="92" t="s">
        <v>268</v>
      </c>
      <c r="D23" s="92">
        <v>2</v>
      </c>
      <c r="E23" s="92">
        <v>7</v>
      </c>
      <c r="F23" s="103">
        <v>2430.720000000001</v>
      </c>
      <c r="G23" s="103">
        <v>4183.22</v>
      </c>
      <c r="H23" s="104">
        <f t="shared" si="2"/>
      </c>
      <c r="I23" s="104">
        <f t="shared" si="0"/>
      </c>
      <c r="J23" s="104">
        <f t="shared" si="1"/>
      </c>
      <c r="K23" s="96" t="s">
        <v>269</v>
      </c>
      <c r="L23" s="92">
        <v>5</v>
      </c>
    </row>
    <row r="24">
      <c r="A24" s="107" t="s">
        <v>266</v>
      </c>
      <c r="B24" s="108"/>
      <c r="C24" s="108"/>
      <c r="D24" s="108">
        <f>SUM(D20:D23)</f>
      </c>
      <c r="E24" s="108">
        <f>SUM(E20:E23)</f>
      </c>
      <c r="F24" s="108">
        <f>SUM(F20:F23)</f>
      </c>
      <c r="G24" s="108">
        <v>58882.78</v>
      </c>
      <c r="H24" s="109">
        <f t="shared" si="2"/>
      </c>
      <c r="I24" s="109">
        <f t="shared" si="0"/>
      </c>
      <c r="J24" s="109">
        <f t="shared" si="1"/>
      </c>
      <c r="K24" s="109"/>
      <c r="L24" s="108">
        <f>SUM(L20:L23)</f>
      </c>
    </row>
    <row r="25">
      <c r="A25" s="91" t="s">
        <v>270</v>
      </c>
      <c r="B25" s="91" t="s">
        <v>245</v>
      </c>
      <c r="C25" s="92" t="s">
        <v>249</v>
      </c>
      <c r="D25" s="92">
        <v>5</v>
      </c>
      <c r="E25" s="92">
        <v>120</v>
      </c>
      <c r="F25" s="103">
        <v>78457.52</v>
      </c>
      <c r="G25" s="103">
        <v>31611.29</v>
      </c>
      <c r="H25" s="104">
        <f t="shared" si="2"/>
      </c>
      <c r="I25" s="104">
        <f t="shared" si="0"/>
      </c>
      <c r="J25" s="104">
        <f t="shared" si="1"/>
      </c>
      <c r="K25" s="105" t="s">
        <v>258</v>
      </c>
      <c r="L25" s="92">
        <v>10</v>
      </c>
    </row>
    <row r="26">
      <c r="A26" s="91" t="s">
        <v>270</v>
      </c>
      <c r="B26" s="106" t="s">
        <v>242</v>
      </c>
      <c r="C26" s="92" t="s">
        <v>251</v>
      </c>
      <c r="D26" s="92">
        <v>4</v>
      </c>
      <c r="E26" s="92">
        <v>95</v>
      </c>
      <c r="F26" s="103">
        <v>65038.999999999985</v>
      </c>
      <c r="G26" s="103">
        <v>31193.42</v>
      </c>
      <c r="H26" s="104">
        <f t="shared" si="2"/>
      </c>
      <c r="I26" s="104">
        <f t="shared" si="0"/>
      </c>
      <c r="J26" s="104">
        <f t="shared" si="1"/>
      </c>
      <c r="K26" s="105"/>
      <c r="L26" s="92"/>
    </row>
    <row r="27">
      <c r="A27" s="91" t="s">
        <v>270</v>
      </c>
      <c r="B27" s="91" t="s">
        <v>248</v>
      </c>
      <c r="C27" s="92" t="s">
        <v>253</v>
      </c>
      <c r="D27" s="92">
        <v>5</v>
      </c>
      <c r="E27" s="92">
        <v>84</v>
      </c>
      <c r="F27" s="103">
        <v>36842.20000000001</v>
      </c>
      <c r="G27" s="103">
        <v>25468.27</v>
      </c>
      <c r="H27" s="104">
        <f t="shared" si="2"/>
      </c>
      <c r="I27" s="104">
        <f t="shared" si="0"/>
      </c>
      <c r="J27" s="104">
        <f t="shared" si="1"/>
      </c>
      <c r="K27" s="105"/>
      <c r="L27" s="92"/>
    </row>
    <row r="28">
      <c r="A28" s="91" t="s">
        <v>270</v>
      </c>
      <c r="B28" s="106" t="s">
        <v>255</v>
      </c>
      <c r="C28" s="92" t="s">
        <v>246</v>
      </c>
      <c r="D28" s="92">
        <v>4</v>
      </c>
      <c r="E28" s="92">
        <v>40</v>
      </c>
      <c r="F28" s="103">
        <v>25143.95000000001</v>
      </c>
      <c r="G28" s="103">
        <v>13340.14</v>
      </c>
      <c r="H28" s="104">
        <f t="shared" si="2"/>
      </c>
      <c r="I28" s="104">
        <f t="shared" si="0"/>
      </c>
      <c r="J28" s="104">
        <f t="shared" si="1"/>
      </c>
      <c r="K28" s="96" t="s">
        <v>271</v>
      </c>
      <c r="L28" s="92">
        <v>8</v>
      </c>
    </row>
    <row r="29">
      <c r="A29" s="107" t="s">
        <v>270</v>
      </c>
      <c r="B29" s="108"/>
      <c r="C29" s="108"/>
      <c r="D29" s="108">
        <f>SUM(D25:D28)</f>
      </c>
      <c r="E29" s="108">
        <f>SUM(E25:E28)</f>
      </c>
      <c r="F29" s="108">
        <f>SUM(F25:F28)</f>
      </c>
      <c r="G29" s="108">
        <v>101613.12</v>
      </c>
      <c r="H29" s="109">
        <f t="shared" si="2"/>
      </c>
      <c r="I29" s="109">
        <f t="shared" si="0"/>
      </c>
      <c r="J29" s="109">
        <f t="shared" si="1"/>
      </c>
      <c r="K29" s="109"/>
      <c r="L29" s="108">
        <f>SUM(L25:L28)</f>
      </c>
    </row>
    <row r="30">
      <c r="A30" s="91" t="s">
        <v>272</v>
      </c>
      <c r="B30" s="91" t="s">
        <v>242</v>
      </c>
      <c r="C30" s="92" t="s">
        <v>262</v>
      </c>
      <c r="D30" s="92">
        <v>4</v>
      </c>
      <c r="E30" s="92">
        <v>111</v>
      </c>
      <c r="F30" s="103">
        <v>61464.03</v>
      </c>
      <c r="G30" s="103">
        <v>31486.59</v>
      </c>
      <c r="H30" s="104">
        <f t="shared" si="2"/>
      </c>
      <c r="I30" s="104">
        <f t="shared" si="0"/>
      </c>
      <c r="J30" s="104">
        <f t="shared" si="1"/>
      </c>
      <c r="K30" s="105" t="s">
        <v>258</v>
      </c>
      <c r="L30" s="92">
        <v>10</v>
      </c>
    </row>
    <row r="31">
      <c r="A31" s="91" t="s">
        <v>272</v>
      </c>
      <c r="B31" s="106" t="s">
        <v>245</v>
      </c>
      <c r="C31" s="92" t="s">
        <v>263</v>
      </c>
      <c r="D31" s="92">
        <v>4</v>
      </c>
      <c r="E31" s="92">
        <v>83</v>
      </c>
      <c r="F31" s="103">
        <v>38333.79000000001</v>
      </c>
      <c r="G31" s="103">
        <v>24337.47</v>
      </c>
      <c r="H31" s="104">
        <f t="shared" si="2"/>
      </c>
      <c r="I31" s="104">
        <f t="shared" si="0"/>
      </c>
      <c r="J31" s="104">
        <f t="shared" si="1"/>
      </c>
      <c r="K31" s="105"/>
      <c r="L31" s="92"/>
    </row>
    <row customHeight="true" ht="16.071428571428573" r="32">
      <c r="A32" s="91" t="s">
        <v>272</v>
      </c>
      <c r="B32" s="106" t="s">
        <v>273</v>
      </c>
      <c r="C32" s="92" t="s">
        <v>274</v>
      </c>
      <c r="D32" s="92">
        <v>2</v>
      </c>
      <c r="E32" s="92">
        <v>26</v>
      </c>
      <c r="F32" s="103">
        <v>10120.14</v>
      </c>
      <c r="G32" s="103">
        <v>9611.13</v>
      </c>
      <c r="H32" s="104">
        <f t="shared" si="2"/>
      </c>
      <c r="I32" s="104">
        <f t="shared" si="0"/>
      </c>
      <c r="J32" s="104">
        <f t="shared" si="1"/>
      </c>
      <c r="K32" s="105"/>
      <c r="L32" s="92"/>
    </row>
    <row r="33">
      <c r="A33" s="91" t="s">
        <v>272</v>
      </c>
      <c r="B33" s="91" t="s">
        <v>248</v>
      </c>
      <c r="C33" s="92" t="s">
        <v>243</v>
      </c>
      <c r="D33" s="92">
        <v>4</v>
      </c>
      <c r="E33" s="92">
        <v>51</v>
      </c>
      <c r="F33" s="103">
        <v>26805.439999999988</v>
      </c>
      <c r="G33" s="103">
        <v>18894.48</v>
      </c>
      <c r="H33" s="104">
        <f t="shared" si="2"/>
      </c>
      <c r="I33" s="104">
        <f t="shared" si="0"/>
      </c>
      <c r="J33" s="104">
        <f t="shared" si="1"/>
      </c>
      <c r="K33" s="105"/>
      <c r="L33" s="92"/>
    </row>
    <row r="34">
      <c r="A34" s="91" t="s">
        <v>272</v>
      </c>
      <c r="B34" s="106" t="s">
        <v>255</v>
      </c>
      <c r="C34" s="92" t="s">
        <v>256</v>
      </c>
      <c r="D34" s="92">
        <v>2</v>
      </c>
      <c r="E34" s="92">
        <v>47</v>
      </c>
      <c r="F34" s="103">
        <v>27728.23000000001</v>
      </c>
      <c r="G34" s="103">
        <v>15045.88</v>
      </c>
      <c r="H34" s="104">
        <f t="shared" si="2"/>
      </c>
      <c r="I34" s="104">
        <f t="shared" si="0"/>
      </c>
      <c r="J34" s="104">
        <f t="shared" si="1"/>
      </c>
      <c r="K34" s="96" t="s">
        <v>271</v>
      </c>
      <c r="L34" s="92">
        <v>6</v>
      </c>
    </row>
    <row r="35">
      <c r="A35" s="107" t="s">
        <v>272</v>
      </c>
      <c r="B35" s="108"/>
      <c r="C35" s="108"/>
      <c r="D35" s="108">
        <f>SUM(D30:D34)</f>
      </c>
      <c r="E35" s="108">
        <f>SUM(E30:E34)</f>
      </c>
      <c r="F35" s="108">
        <f>SUM(F30:F34)</f>
      </c>
      <c r="G35" s="108">
        <v>99375.55</v>
      </c>
      <c r="H35" s="109">
        <f t="shared" si="2"/>
      </c>
      <c r="I35" s="109">
        <f t="shared" si="0"/>
      </c>
      <c r="J35" s="109">
        <f t="shared" si="1"/>
      </c>
      <c r="K35" s="109"/>
      <c r="L35" s="108">
        <f>SUM(L30:L34)</f>
      </c>
    </row>
    <row r="36">
      <c r="A36" s="91" t="s">
        <v>275</v>
      </c>
      <c r="B36" s="91" t="s">
        <v>242</v>
      </c>
      <c r="C36" s="92" t="s">
        <v>262</v>
      </c>
      <c r="D36" s="92">
        <v>4</v>
      </c>
      <c r="E36" s="92">
        <v>84</v>
      </c>
      <c r="F36" s="103">
        <v>51990.659999999996</v>
      </c>
      <c r="G36" s="103">
        <v>22240.23</v>
      </c>
      <c r="H36" s="104">
        <f t="shared" si="2"/>
      </c>
      <c r="I36" s="104">
        <f t="shared" si="0"/>
      </c>
      <c r="J36" s="104">
        <f t="shared" si="1"/>
      </c>
      <c r="K36" s="105" t="s">
        <v>258</v>
      </c>
      <c r="L36" s="92">
        <v>10</v>
      </c>
    </row>
    <row r="37">
      <c r="A37" s="91" t="s">
        <v>275</v>
      </c>
      <c r="B37" s="106" t="s">
        <v>245</v>
      </c>
      <c r="C37" s="92" t="s">
        <v>263</v>
      </c>
      <c r="D37" s="92">
        <v>4</v>
      </c>
      <c r="E37" s="92">
        <v>92</v>
      </c>
      <c r="F37" s="103">
        <v>56299.86000000001</v>
      </c>
      <c r="G37" s="103">
        <v>28838.43</v>
      </c>
      <c r="H37" s="104">
        <f t="shared" si="2"/>
      </c>
      <c r="I37" s="104">
        <f t="shared" si="0"/>
      </c>
      <c r="J37" s="104">
        <f t="shared" si="1"/>
      </c>
      <c r="K37" s="105"/>
      <c r="L37" s="92"/>
    </row>
    <row r="38">
      <c r="A38" s="91" t="s">
        <v>275</v>
      </c>
      <c r="B38" s="106" t="s">
        <v>273</v>
      </c>
      <c r="C38" s="92" t="s">
        <v>274</v>
      </c>
      <c r="D38" s="92">
        <v>2</v>
      </c>
      <c r="E38" s="92">
        <v>25</v>
      </c>
      <c r="F38" s="103">
        <v>13066.099999999991</v>
      </c>
      <c r="G38" s="103">
        <v>8627.73</v>
      </c>
      <c r="H38" s="104">
        <f t="shared" si="2"/>
      </c>
      <c r="I38" s="104">
        <f t="shared" si="0"/>
      </c>
      <c r="J38" s="104">
        <f t="shared" si="1"/>
      </c>
      <c r="K38" s="105"/>
      <c r="L38" s="92"/>
    </row>
    <row r="39">
      <c r="A39" s="91" t="s">
        <v>275</v>
      </c>
      <c r="B39" s="91" t="s">
        <v>248</v>
      </c>
      <c r="C39" s="92" t="s">
        <v>243</v>
      </c>
      <c r="D39" s="92">
        <v>4</v>
      </c>
      <c r="E39" s="92">
        <v>34</v>
      </c>
      <c r="F39" s="103">
        <v>18972.00999999998</v>
      </c>
      <c r="G39" s="103">
        <v>13405.75</v>
      </c>
      <c r="H39" s="104">
        <f t="shared" si="2"/>
      </c>
      <c r="I39" s="104">
        <f t="shared" si="0"/>
      </c>
      <c r="J39" s="104">
        <f t="shared" si="1"/>
      </c>
      <c r="K39" s="105"/>
      <c r="L39" s="92"/>
    </row>
    <row r="40">
      <c r="A40" s="91" t="s">
        <v>275</v>
      </c>
      <c r="B40" s="106" t="s">
        <v>255</v>
      </c>
      <c r="C40" s="92" t="s">
        <v>246</v>
      </c>
      <c r="D40" s="92">
        <v>4</v>
      </c>
      <c r="E40" s="92">
        <v>56</v>
      </c>
      <c r="F40" s="103">
        <v>36735.21000000002</v>
      </c>
      <c r="G40" s="103">
        <v>15365.84</v>
      </c>
      <c r="H40" s="104">
        <f t="shared" si="2"/>
      </c>
      <c r="I40" s="104">
        <f t="shared" si="0"/>
      </c>
      <c r="J40" s="104">
        <f t="shared" si="1"/>
      </c>
      <c r="K40" s="96" t="s">
        <v>271</v>
      </c>
      <c r="L40" s="92">
        <v>8</v>
      </c>
    </row>
    <row r="41">
      <c r="A41" s="107" t="s">
        <v>275</v>
      </c>
      <c r="B41" s="108"/>
      <c r="C41" s="108"/>
      <c r="D41" s="108">
        <f>SUM(D36:D40)</f>
      </c>
      <c r="E41" s="108">
        <f>SUM(E36:E40)</f>
      </c>
      <c r="F41" s="108">
        <f>SUM(F36:F40)</f>
      </c>
      <c r="G41" s="108">
        <v>88477.98</v>
      </c>
      <c r="H41" s="109">
        <f t="shared" si="2"/>
      </c>
      <c r="I41" s="109">
        <f t="shared" si="0"/>
      </c>
      <c r="J41" s="109">
        <f t="shared" si="1"/>
      </c>
      <c r="K41" s="109"/>
      <c r="L41" s="108">
        <f>SUM(L36:L40)</f>
      </c>
    </row>
    <row r="42">
      <c r="A42" s="91" t="s">
        <v>276</v>
      </c>
      <c r="B42" s="106" t="s">
        <v>245</v>
      </c>
      <c r="C42" s="92" t="s">
        <v>249</v>
      </c>
      <c r="D42" s="92">
        <v>5</v>
      </c>
      <c r="E42" s="92">
        <v>103</v>
      </c>
      <c r="F42" s="103">
        <v>64320.36</v>
      </c>
      <c r="G42" s="103">
        <v>29217.61</v>
      </c>
      <c r="H42" s="104">
        <f t="shared" si="2"/>
      </c>
      <c r="I42" s="104">
        <f t="shared" si="0"/>
      </c>
      <c r="J42" s="104">
        <f t="shared" si="1"/>
      </c>
      <c r="K42" s="105" t="s">
        <v>277</v>
      </c>
      <c r="L42" s="92">
        <v>10</v>
      </c>
    </row>
    <row r="43">
      <c r="A43" s="91" t="s">
        <v>276</v>
      </c>
      <c r="B43" s="91" t="s">
        <v>242</v>
      </c>
      <c r="C43" s="92" t="s">
        <v>259</v>
      </c>
      <c r="D43" s="92">
        <v>5</v>
      </c>
      <c r="E43" s="92">
        <v>53</v>
      </c>
      <c r="F43" s="103">
        <v>30792.90999999999</v>
      </c>
      <c r="G43" s="103">
        <v>18778.13</v>
      </c>
      <c r="H43" s="104">
        <f t="shared" si="2"/>
      </c>
      <c r="I43" s="104">
        <f t="shared" si="0"/>
      </c>
      <c r="J43" s="104">
        <f t="shared" si="1"/>
      </c>
      <c r="K43" s="105"/>
      <c r="L43" s="92"/>
    </row>
    <row r="44">
      <c r="A44" s="91" t="s">
        <v>276</v>
      </c>
      <c r="B44" s="106" t="s">
        <v>273</v>
      </c>
      <c r="C44" s="92" t="s">
        <v>278</v>
      </c>
      <c r="D44" s="92">
        <v>2</v>
      </c>
      <c r="E44" s="92">
        <v>9</v>
      </c>
      <c r="F44" s="103">
        <v>6906.270000000019</v>
      </c>
      <c r="G44" s="103">
        <v>4807.54</v>
      </c>
      <c r="H44" s="104">
        <f t="shared" si="2"/>
      </c>
      <c r="I44" s="104">
        <f t="shared" si="0"/>
      </c>
      <c r="J44" s="104">
        <f t="shared" si="1"/>
      </c>
      <c r="K44" s="105"/>
      <c r="L44" s="92"/>
    </row>
    <row r="45">
      <c r="A45" s="91" t="s">
        <v>276</v>
      </c>
      <c r="B45" s="106" t="s">
        <v>255</v>
      </c>
      <c r="C45" s="92" t="s">
        <v>265</v>
      </c>
      <c r="D45" s="92">
        <v>4</v>
      </c>
      <c r="E45" s="92">
        <v>26</v>
      </c>
      <c r="F45" s="103">
        <v>16689.29999999999</v>
      </c>
      <c r="G45" s="103">
        <v>6444.56</v>
      </c>
      <c r="H45" s="104">
        <f t="shared" si="2"/>
      </c>
      <c r="I45" s="104">
        <f t="shared" si="0"/>
      </c>
      <c r="J45" s="104">
        <f t="shared" si="1"/>
      </c>
      <c r="K45" s="96" t="s">
        <v>271</v>
      </c>
      <c r="L45" s="92">
        <v>6</v>
      </c>
    </row>
    <row r="46">
      <c r="A46" s="107" t="s">
        <v>276</v>
      </c>
      <c r="B46" s="108"/>
      <c r="C46" s="108"/>
      <c r="D46" s="108">
        <f>SUM(D42:D45)</f>
      </c>
      <c r="E46" s="108">
        <f>SUM(E42:E45)</f>
      </c>
      <c r="F46" s="108">
        <f>SUM(F42:F45)</f>
      </c>
      <c r="G46" s="108">
        <v>59247.84</v>
      </c>
      <c r="H46" s="109">
        <f t="shared" si="2"/>
      </c>
      <c r="I46" s="109">
        <f t="shared" si="0"/>
      </c>
      <c r="J46" s="109">
        <f t="shared" si="1"/>
      </c>
      <c r="K46" s="109"/>
      <c r="L46" s="108">
        <f>SUM(L42:L45)</f>
      </c>
    </row>
    <row r="47">
      <c r="A47" s="91" t="s">
        <v>279</v>
      </c>
      <c r="B47" s="106" t="s">
        <v>242</v>
      </c>
      <c r="C47" s="92" t="s">
        <v>249</v>
      </c>
      <c r="D47" s="92">
        <v>5</v>
      </c>
      <c r="E47" s="92">
        <v>117</v>
      </c>
      <c r="F47" s="103">
        <v>63753.99</v>
      </c>
      <c r="G47" s="103">
        <v>32330.93</v>
      </c>
      <c r="H47" s="104">
        <f t="shared" si="2"/>
      </c>
      <c r="I47" s="104">
        <f t="shared" si="0"/>
      </c>
      <c r="J47" s="104">
        <f t="shared" si="1"/>
      </c>
      <c r="K47" s="105" t="s">
        <v>258</v>
      </c>
      <c r="L47" s="92">
        <v>10</v>
      </c>
    </row>
    <row r="48">
      <c r="A48" s="91" t="s">
        <v>279</v>
      </c>
      <c r="B48" s="91" t="s">
        <v>248</v>
      </c>
      <c r="C48" s="92" t="s">
        <v>259</v>
      </c>
      <c r="D48" s="92">
        <v>5</v>
      </c>
      <c r="E48" s="92">
        <v>94</v>
      </c>
      <c r="F48" s="103">
        <v>59834.63999999999</v>
      </c>
      <c r="G48" s="103">
        <v>31304.77</v>
      </c>
      <c r="H48" s="104">
        <f t="shared" si="2"/>
      </c>
      <c r="I48" s="104">
        <f t="shared" si="0"/>
      </c>
      <c r="J48" s="104">
        <f t="shared" si="1"/>
      </c>
      <c r="K48" s="105"/>
      <c r="L48" s="92"/>
    </row>
    <row r="49">
      <c r="A49" s="91" t="s">
        <v>279</v>
      </c>
      <c r="B49" s="106" t="s">
        <v>255</v>
      </c>
      <c r="C49" s="92" t="s">
        <v>243</v>
      </c>
      <c r="D49" s="92">
        <v>4</v>
      </c>
      <c r="E49" s="92">
        <v>43</v>
      </c>
      <c r="F49" s="103">
        <v>29319.90000000001</v>
      </c>
      <c r="G49" s="103">
        <v>9684.86</v>
      </c>
      <c r="H49" s="104">
        <f t="shared" si="2"/>
      </c>
      <c r="I49" s="104">
        <f t="shared" si="0"/>
      </c>
      <c r="J49" s="104">
        <f t="shared" si="1"/>
      </c>
      <c r="K49" s="105"/>
      <c r="L49" s="92"/>
    </row>
    <row r="50">
      <c r="A50" s="91" t="s">
        <v>279</v>
      </c>
      <c r="B50" s="106" t="s">
        <v>273</v>
      </c>
      <c r="C50" s="92" t="s">
        <v>280</v>
      </c>
      <c r="D50" s="92">
        <v>3</v>
      </c>
      <c r="E50" s="92">
        <v>57</v>
      </c>
      <c r="F50" s="103">
        <v>37646.619999999995</v>
      </c>
      <c r="G50" s="103">
        <v>18102.95</v>
      </c>
      <c r="H50" s="104">
        <f t="shared" si="2"/>
      </c>
      <c r="I50" s="104">
        <f t="shared" si="0"/>
      </c>
      <c r="J50" s="104">
        <f t="shared" si="1"/>
      </c>
      <c r="K50" s="96" t="s">
        <v>281</v>
      </c>
      <c r="L50" s="92">
        <v>7</v>
      </c>
    </row>
    <row r="51">
      <c r="A51" s="107" t="s">
        <v>279</v>
      </c>
      <c r="B51" s="108"/>
      <c r="C51" s="108"/>
      <c r="D51" s="108">
        <f>SUM(D47:D50)</f>
      </c>
      <c r="E51" s="108">
        <f>SUM(E47:E50)</f>
      </c>
      <c r="F51" s="108">
        <f>SUM(F47:F50)</f>
      </c>
      <c r="G51" s="108">
        <v>91423.51</v>
      </c>
      <c r="H51" s="109">
        <f t="shared" si="2"/>
      </c>
      <c r="I51" s="109">
        <f t="shared" si="0"/>
      </c>
      <c r="J51" s="109">
        <f t="shared" si="1"/>
      </c>
      <c r="K51" s="109"/>
      <c r="L51" s="108">
        <f>SUM(L47:L50)</f>
      </c>
    </row>
    <row r="52">
      <c r="A52" s="91" t="s">
        <v>282</v>
      </c>
      <c r="B52" s="106" t="s">
        <v>242</v>
      </c>
      <c r="C52" s="92" t="s">
        <v>262</v>
      </c>
      <c r="D52" s="92">
        <v>4</v>
      </c>
      <c r="E52" s="92">
        <v>60</v>
      </c>
      <c r="F52" s="103">
        <v>37656.31</v>
      </c>
      <c r="G52" s="103">
        <v>15915.98</v>
      </c>
      <c r="H52" s="104">
        <f t="shared" si="2"/>
      </c>
      <c r="I52" s="104">
        <f t="shared" si="0"/>
      </c>
      <c r="J52" s="104">
        <f t="shared" si="1"/>
      </c>
      <c r="K52" s="105" t="s">
        <v>258</v>
      </c>
      <c r="L52" s="92">
        <v>8.5</v>
      </c>
    </row>
    <row r="53">
      <c r="A53" s="91" t="s">
        <v>282</v>
      </c>
      <c r="B53" s="91" t="s">
        <v>248</v>
      </c>
      <c r="C53" s="92" t="s">
        <v>263</v>
      </c>
      <c r="D53" s="92">
        <v>4</v>
      </c>
      <c r="E53" s="92">
        <v>124</v>
      </c>
      <c r="F53" s="103">
        <v>69011.52</v>
      </c>
      <c r="G53" s="103">
        <v>38783.58</v>
      </c>
      <c r="H53" s="104">
        <f t="shared" si="2"/>
      </c>
      <c r="I53" s="104">
        <f t="shared" si="0"/>
      </c>
      <c r="J53" s="104">
        <f t="shared" si="1"/>
      </c>
      <c r="K53" s="105"/>
      <c r="L53" s="92"/>
    </row>
    <row r="54">
      <c r="A54" s="91" t="s">
        <v>282</v>
      </c>
      <c r="B54" s="106" t="s">
        <v>245</v>
      </c>
      <c r="C54" s="92" t="s">
        <v>283</v>
      </c>
      <c r="D54" s="92">
        <v>0.5</v>
      </c>
      <c r="E54" s="92">
        <v>9</v>
      </c>
      <c r="F54" s="103">
        <v>3801.2399999999907</v>
      </c>
      <c r="G54" s="103">
        <v>1603.36</v>
      </c>
      <c r="H54" s="104">
        <f t="shared" si="2"/>
      </c>
      <c r="I54" s="104">
        <f t="shared" si="0"/>
      </c>
      <c r="J54" s="104">
        <f t="shared" si="1"/>
      </c>
      <c r="K54" s="105"/>
      <c r="L54" s="92"/>
    </row>
    <row r="55">
      <c r="A55" s="107" t="s">
        <v>282</v>
      </c>
      <c r="B55" s="108"/>
      <c r="C55" s="108"/>
      <c r="D55" s="108">
        <f>SUM(D52:D54)</f>
      </c>
      <c r="E55" s="108">
        <f>SUM(E52:E54)</f>
      </c>
      <c r="F55" s="108">
        <f>SUM(F52:F54)</f>
      </c>
      <c r="G55" s="108">
        <v>56302.92</v>
      </c>
      <c r="H55" s="109">
        <f t="shared" si="2"/>
      </c>
      <c r="I55" s="109">
        <f t="shared" si="0"/>
      </c>
      <c r="J55" s="109">
        <f t="shared" si="1"/>
      </c>
      <c r="K55" s="109"/>
      <c r="L55" s="108">
        <f>SUM(L52:L54)</f>
      </c>
    </row>
    <row r="56">
      <c r="A56" s="91" t="s">
        <v>284</v>
      </c>
      <c r="B56" s="106" t="s">
        <v>245</v>
      </c>
      <c r="C56" s="92" t="s">
        <v>249</v>
      </c>
      <c r="D56" s="92">
        <v>5</v>
      </c>
      <c r="E56" s="92">
        <v>110</v>
      </c>
      <c r="F56" s="103">
        <v>67056.23</v>
      </c>
      <c r="G56" s="103">
        <v>30290.73</v>
      </c>
      <c r="H56" s="104">
        <f t="shared" si="2"/>
      </c>
      <c r="I56" s="104">
        <f t="shared" si="0"/>
      </c>
      <c r="J56" s="104">
        <f t="shared" si="1"/>
      </c>
      <c r="K56" s="105" t="s">
        <v>258</v>
      </c>
      <c r="L56" s="92">
        <v>9</v>
      </c>
    </row>
    <row r="57">
      <c r="A57" s="91" t="s">
        <v>284</v>
      </c>
      <c r="B57" s="91" t="s">
        <v>242</v>
      </c>
      <c r="C57" s="92" t="s">
        <v>259</v>
      </c>
      <c r="D57" s="110">
        <f>5-0.5</f>
      </c>
      <c r="E57" s="92">
        <v>21</v>
      </c>
      <c r="F57" s="103">
        <v>9914.809999999998</v>
      </c>
      <c r="G57" s="103">
        <v>9619.44</v>
      </c>
      <c r="H57" s="104">
        <f t="shared" si="2"/>
      </c>
      <c r="I57" s="104">
        <f t="shared" si="0"/>
      </c>
      <c r="J57" s="104">
        <f t="shared" si="1"/>
      </c>
      <c r="K57" s="105"/>
      <c r="L57" s="92"/>
    </row>
    <row r="58">
      <c r="A58" s="91" t="s">
        <v>284</v>
      </c>
      <c r="B58" s="106" t="s">
        <v>248</v>
      </c>
      <c r="C58" s="92" t="s">
        <v>243</v>
      </c>
      <c r="D58" s="92">
        <v>4</v>
      </c>
      <c r="E58" s="92">
        <v>55</v>
      </c>
      <c r="F58" s="103">
        <v>19177.42</v>
      </c>
      <c r="G58" s="103">
        <v>17034.94</v>
      </c>
      <c r="H58" s="104">
        <f t="shared" si="2"/>
      </c>
      <c r="I58" s="104">
        <f t="shared" si="0"/>
      </c>
      <c r="J58" s="104">
        <f t="shared" si="1"/>
      </c>
      <c r="K58" s="105"/>
      <c r="L58" s="92"/>
    </row>
    <row r="59">
      <c r="A59" s="91" t="s">
        <v>284</v>
      </c>
      <c r="B59" s="106" t="s">
        <v>255</v>
      </c>
      <c r="C59" s="92" t="s">
        <v>246</v>
      </c>
      <c r="D59" s="92">
        <v>4</v>
      </c>
      <c r="E59" s="92">
        <v>50</v>
      </c>
      <c r="F59" s="103">
        <v>27907.420000000013</v>
      </c>
      <c r="G59" s="103">
        <v>17303.29</v>
      </c>
      <c r="H59" s="104">
        <f t="shared" si="2"/>
      </c>
      <c r="I59" s="104">
        <f t="shared" si="0"/>
      </c>
      <c r="J59" s="104">
        <f t="shared" si="1"/>
      </c>
      <c r="K59" s="96" t="s">
        <v>281</v>
      </c>
      <c r="L59" s="92">
        <v>9</v>
      </c>
    </row>
    <row r="60">
      <c r="A60" s="107" t="s">
        <v>284</v>
      </c>
      <c r="B60" s="108"/>
      <c r="C60" s="108"/>
      <c r="D60" s="108">
        <f>SUM(D56:D59)</f>
      </c>
      <c r="E60" s="108">
        <f>SUM(E56:E59)</f>
      </c>
      <c r="F60" s="108">
        <f>SUM(F56:F59)</f>
      </c>
      <c r="G60" s="108">
        <v>74248.4</v>
      </c>
      <c r="H60" s="109">
        <f t="shared" si="2"/>
      </c>
      <c r="I60" s="109">
        <f t="shared" si="0"/>
      </c>
      <c r="J60" s="109">
        <f t="shared" si="1"/>
      </c>
      <c r="K60" s="109"/>
      <c r="L60" s="108">
        <f>SUM(L56:L59)</f>
      </c>
    </row>
    <row r="61">
      <c r="A61" s="91" t="s">
        <v>285</v>
      </c>
      <c r="B61" s="106" t="s">
        <v>245</v>
      </c>
      <c r="C61" s="92" t="s">
        <v>262</v>
      </c>
      <c r="D61" s="92">
        <v>4</v>
      </c>
      <c r="E61" s="92">
        <v>103</v>
      </c>
      <c r="F61" s="103">
        <v>52215.82</v>
      </c>
      <c r="G61" s="103">
        <v>26200.62</v>
      </c>
      <c r="H61" s="104">
        <f t="shared" si="2"/>
      </c>
      <c r="I61" s="104">
        <f t="shared" si="0"/>
      </c>
      <c r="J61" s="104">
        <f t="shared" si="1"/>
      </c>
      <c r="K61" s="105" t="s">
        <v>258</v>
      </c>
      <c r="L61" s="92">
        <v>9</v>
      </c>
    </row>
    <row r="62">
      <c r="A62" s="91" t="s">
        <v>285</v>
      </c>
      <c r="B62" s="91" t="s">
        <v>248</v>
      </c>
      <c r="C62" s="92" t="s">
        <v>263</v>
      </c>
      <c r="D62" s="92">
        <v>4</v>
      </c>
      <c r="E62" s="92">
        <v>87</v>
      </c>
      <c r="F62" s="103">
        <v>46621.62</v>
      </c>
      <c r="G62" s="103">
        <v>21725.38</v>
      </c>
      <c r="H62" s="104">
        <f t="shared" si="2"/>
      </c>
      <c r="I62" s="104">
        <f t="shared" si="0"/>
      </c>
      <c r="J62" s="104">
        <f t="shared" si="1"/>
      </c>
      <c r="K62" s="105"/>
      <c r="L62" s="92"/>
    </row>
    <row r="63">
      <c r="A63" s="91" t="s">
        <v>285</v>
      </c>
      <c r="B63" s="106" t="s">
        <v>286</v>
      </c>
      <c r="C63" s="92" t="s">
        <v>287</v>
      </c>
      <c r="D63" s="92">
        <v>1</v>
      </c>
      <c r="E63" s="92">
        <v>15</v>
      </c>
      <c r="F63" s="103">
        <v>8693.26000000001</v>
      </c>
      <c r="G63" s="103">
        <v>7328.65</v>
      </c>
      <c r="H63" s="104">
        <f t="shared" si="2"/>
      </c>
      <c r="I63" s="104">
        <f t="shared" si="0"/>
      </c>
      <c r="J63" s="104">
        <f t="shared" si="1"/>
      </c>
      <c r="K63" s="105"/>
      <c r="L63" s="92"/>
    </row>
    <row customHeight="true" ht="16.071428571428573" r="64">
      <c r="A64" s="91" t="s">
        <v>285</v>
      </c>
      <c r="B64" s="106" t="s">
        <v>245</v>
      </c>
      <c r="C64" s="92" t="s">
        <v>288</v>
      </c>
      <c r="D64" s="92">
        <v>1</v>
      </c>
      <c r="E64" s="92">
        <v>22</v>
      </c>
      <c r="F64" s="103">
        <v>13432.589999999997</v>
      </c>
      <c r="G64" s="103">
        <v>6039.88</v>
      </c>
      <c r="H64" s="104">
        <f t="shared" si="2"/>
      </c>
      <c r="I64" s="104">
        <f t="shared" si="0"/>
      </c>
      <c r="J64" s="104">
        <f t="shared" si="1"/>
      </c>
      <c r="K64" s="105"/>
      <c r="L64" s="92"/>
    </row>
    <row customHeight="true" ht="16.071428571428573" r="65">
      <c r="A65" s="91" t="s">
        <v>285</v>
      </c>
      <c r="B65" s="106" t="s">
        <v>255</v>
      </c>
      <c r="C65" s="92" t="s">
        <v>243</v>
      </c>
      <c r="D65" s="92">
        <v>4</v>
      </c>
      <c r="E65" s="92">
        <v>71</v>
      </c>
      <c r="F65" s="103">
        <v>42989.69</v>
      </c>
      <c r="G65" s="103">
        <v>20301.76</v>
      </c>
      <c r="H65" s="104">
        <f t="shared" si="2"/>
      </c>
      <c r="I65" s="104">
        <f t="shared" si="0"/>
      </c>
      <c r="J65" s="104">
        <f t="shared" si="1"/>
      </c>
      <c r="K65" s="105"/>
      <c r="L65" s="92"/>
    </row>
    <row r="66">
      <c r="A66" s="91" t="s">
        <v>285</v>
      </c>
      <c r="B66" s="106" t="s">
        <v>273</v>
      </c>
      <c r="C66" s="92" t="s">
        <v>246</v>
      </c>
      <c r="D66" s="92">
        <v>4</v>
      </c>
      <c r="E66" s="92">
        <v>143</v>
      </c>
      <c r="F66" s="103">
        <v>84830.29000000001</v>
      </c>
      <c r="G66" s="103">
        <v>35476.18</v>
      </c>
      <c r="H66" s="104">
        <f t="shared" si="2"/>
      </c>
      <c r="I66" s="104">
        <f t="shared" si="0"/>
      </c>
      <c r="J66" s="104">
        <f t="shared" si="1"/>
      </c>
      <c r="K66" s="96" t="s">
        <v>281</v>
      </c>
      <c r="L66" s="92">
        <v>9</v>
      </c>
    </row>
    <row r="67">
      <c r="A67" s="107" t="s">
        <v>285</v>
      </c>
      <c r="B67" s="108"/>
      <c r="C67" s="108"/>
      <c r="D67" s="108">
        <f>SUM(D61:D66)</f>
      </c>
      <c r="E67" s="108">
        <f>SUM(E61:E66)</f>
      </c>
      <c r="F67" s="108">
        <f>SUM(F61:F66)</f>
      </c>
      <c r="G67" s="108">
        <v>117072.47</v>
      </c>
      <c r="H67" s="109">
        <f t="shared" si="2"/>
      </c>
      <c r="I67" s="109">
        <f t="shared" si="0"/>
      </c>
      <c r="J67" s="109">
        <f t="shared" si="1"/>
      </c>
      <c r="K67" s="109"/>
      <c r="L67" s="108">
        <f>SUM(L61:L66)</f>
      </c>
    </row>
    <row r="68">
      <c r="A68" s="91" t="s">
        <v>289</v>
      </c>
      <c r="B68" s="93" t="s">
        <v>245</v>
      </c>
      <c r="C68" s="93" t="s">
        <v>262</v>
      </c>
      <c r="D68" s="93">
        <v>4</v>
      </c>
      <c r="E68" s="93">
        <v>159</v>
      </c>
      <c r="F68" s="94">
        <v>94989.4</v>
      </c>
      <c r="G68" s="94">
        <v>47420.94</v>
      </c>
      <c r="H68" s="95">
        <f t="shared" si="2"/>
      </c>
      <c r="I68" s="95">
        <f t="shared" si="0"/>
      </c>
      <c r="J68" s="95">
        <f t="shared" si="1"/>
      </c>
      <c r="K68" s="98" t="s">
        <v>258</v>
      </c>
      <c r="L68" s="91">
        <v>8.5</v>
      </c>
    </row>
    <row r="69">
      <c r="A69" s="93" t="s">
        <v>289</v>
      </c>
      <c r="B69" s="93" t="s">
        <v>248</v>
      </c>
      <c r="C69" s="91" t="s">
        <v>290</v>
      </c>
      <c r="D69" s="91">
        <v>3.5</v>
      </c>
      <c r="E69" s="93">
        <v>72</v>
      </c>
      <c r="F69" s="94">
        <v>35352.54000000001</v>
      </c>
      <c r="G69" s="94">
        <v>24157.95</v>
      </c>
      <c r="H69" s="95">
        <f t="shared" si="2"/>
      </c>
      <c r="I69" s="95">
        <f t="shared" si="0"/>
      </c>
      <c r="J69" s="95">
        <f t="shared" si="1"/>
      </c>
      <c r="K69" s="98"/>
      <c r="L69" s="93"/>
    </row>
    <row r="70">
      <c r="A70" s="93" t="s">
        <v>289</v>
      </c>
      <c r="B70" s="106" t="s">
        <v>286</v>
      </c>
      <c r="C70" s="93" t="s">
        <v>274</v>
      </c>
      <c r="D70" s="93">
        <v>2</v>
      </c>
      <c r="E70" s="91">
        <v>16</v>
      </c>
      <c r="F70" s="94">
        <v>7098.619999999995</v>
      </c>
      <c r="G70" s="94">
        <v>6868.35</v>
      </c>
      <c r="H70" s="95">
        <f t="shared" si="2"/>
      </c>
      <c r="I70" s="95">
        <f t="shared" si="0"/>
      </c>
      <c r="J70" s="95">
        <f t="shared" si="1"/>
      </c>
      <c r="K70" s="98"/>
      <c r="L70" s="93"/>
    </row>
    <row r="71">
      <c r="A71" s="93" t="s">
        <v>289</v>
      </c>
      <c r="B71" s="93" t="s">
        <v>255</v>
      </c>
      <c r="C71" s="93" t="s">
        <v>243</v>
      </c>
      <c r="D71" s="93">
        <v>4</v>
      </c>
      <c r="E71" s="91">
        <v>45</v>
      </c>
      <c r="F71" s="94">
        <v>24195.820000000007</v>
      </c>
      <c r="G71" s="94">
        <v>17240.75</v>
      </c>
      <c r="H71" s="95">
        <f t="shared" si="2"/>
      </c>
      <c r="I71" s="95">
        <f t="shared" si="0"/>
      </c>
      <c r="J71" s="95">
        <f t="shared" si="1"/>
      </c>
      <c r="K71" s="98"/>
      <c r="L71" s="93"/>
    </row>
    <row r="72">
      <c r="A72" s="93" t="s">
        <v>289</v>
      </c>
      <c r="B72" s="93" t="s">
        <v>273</v>
      </c>
      <c r="C72" s="91" t="s">
        <v>291</v>
      </c>
      <c r="D72" s="91">
        <v>1</v>
      </c>
      <c r="E72" s="91">
        <v>8</v>
      </c>
      <c r="F72" s="94">
        <v>3480.970000000001</v>
      </c>
      <c r="G72" s="94">
        <v>2497.96</v>
      </c>
      <c r="H72" s="95">
        <f t="shared" si="2"/>
      </c>
      <c r="I72" s="95">
        <f t="shared" si="0"/>
      </c>
      <c r="J72" s="95">
        <f t="shared" si="1"/>
      </c>
      <c r="K72" s="98" t="s">
        <v>281</v>
      </c>
      <c r="L72" s="91">
        <v>6</v>
      </c>
    </row>
    <row r="73">
      <c r="A73" s="99" t="s">
        <v>289</v>
      </c>
      <c r="B73" s="100"/>
      <c r="C73" s="100"/>
      <c r="D73" s="100">
        <f>SUM(D68:D72)</f>
      </c>
      <c r="E73" s="100">
        <f>SUM(E68:E72)</f>
      </c>
      <c r="F73" s="100">
        <f>SUM(F68:F72)</f>
      </c>
      <c r="G73" s="100">
        <v>98185.95</v>
      </c>
      <c r="H73" s="101">
        <f t="shared" si="2"/>
      </c>
      <c r="I73" s="101">
        <f t="shared" si="0"/>
      </c>
      <c r="J73" s="101">
        <f t="shared" si="1"/>
      </c>
      <c r="K73" s="101"/>
      <c r="L73" s="100">
        <f>SUM(L68:L72)</f>
      </c>
    </row>
    <row r="74">
      <c r="A74" s="91" t="s">
        <v>292</v>
      </c>
      <c r="B74" s="93" t="s">
        <v>245</v>
      </c>
      <c r="C74" s="91" t="s">
        <v>249</v>
      </c>
      <c r="D74" s="91">
        <v>5</v>
      </c>
      <c r="E74" s="93">
        <v>133</v>
      </c>
      <c r="F74" s="94">
        <v>87807.28</v>
      </c>
      <c r="G74" s="94">
        <v>44177.81</v>
      </c>
      <c r="H74" s="95">
        <f t="shared" si="2"/>
      </c>
      <c r="I74" s="95">
        <f t="shared" si="0"/>
      </c>
      <c r="J74" s="95">
        <f t="shared" si="1"/>
      </c>
      <c r="K74" s="98" t="s">
        <v>258</v>
      </c>
      <c r="L74" s="91">
        <v>10</v>
      </c>
    </row>
    <row r="75">
      <c r="A75" s="91" t="s">
        <v>292</v>
      </c>
      <c r="B75" s="93" t="s">
        <v>255</v>
      </c>
      <c r="C75" s="91" t="s">
        <v>251</v>
      </c>
      <c r="D75" s="91">
        <v>4</v>
      </c>
      <c r="E75" s="93">
        <v>29</v>
      </c>
      <c r="F75" s="94">
        <v>14364.660000000003</v>
      </c>
      <c r="G75" s="94">
        <v>11669.4</v>
      </c>
      <c r="H75" s="95">
        <f t="shared" si="2"/>
      </c>
      <c r="I75" s="95">
        <f t="shared" si="0"/>
      </c>
      <c r="J75" s="95">
        <f t="shared" si="1"/>
      </c>
      <c r="K75" s="98"/>
      <c r="L75" s="93"/>
    </row>
    <row r="76">
      <c r="A76" s="91" t="s">
        <v>292</v>
      </c>
      <c r="B76" s="93" t="s">
        <v>273</v>
      </c>
      <c r="C76" s="91" t="s">
        <v>288</v>
      </c>
      <c r="D76" s="91">
        <v>1</v>
      </c>
      <c r="E76" s="91">
        <v>7</v>
      </c>
      <c r="F76" s="94">
        <v>2445.720000000001</v>
      </c>
      <c r="G76" s="94">
        <v>2414.3</v>
      </c>
      <c r="H76" s="95">
        <f t="shared" si="2"/>
      </c>
      <c r="I76" s="95">
        <f t="shared" si="0"/>
      </c>
      <c r="J76" s="95">
        <f t="shared" si="1"/>
      </c>
      <c r="K76" s="98"/>
      <c r="L76" s="93"/>
    </row>
    <row r="77">
      <c r="A77" s="99" t="s">
        <v>292</v>
      </c>
      <c r="B77" s="100"/>
      <c r="C77" s="100"/>
      <c r="D77" s="100">
        <f>SUM(D74:D76)</f>
      </c>
      <c r="E77" s="100">
        <f>SUM(E74:E76)</f>
      </c>
      <c r="F77" s="100">
        <f>SUM(F74:F76)</f>
      </c>
      <c r="G77" s="100">
        <v>58261.51</v>
      </c>
      <c r="H77" s="101">
        <f t="shared" si="2"/>
      </c>
      <c r="I77" s="101">
        <f t="shared" si="0"/>
      </c>
      <c r="J77" s="101">
        <f t="shared" si="1"/>
      </c>
      <c r="K77" s="101"/>
      <c r="L77" s="100">
        <f>SUM(L74:L76)</f>
      </c>
    </row>
    <row r="78">
      <c r="A78" s="91" t="s">
        <v>293</v>
      </c>
      <c r="B78" s="106" t="s">
        <v>248</v>
      </c>
      <c r="C78" s="92" t="s">
        <v>262</v>
      </c>
      <c r="D78" s="92">
        <v>4</v>
      </c>
      <c r="E78" s="92">
        <v>31</v>
      </c>
      <c r="F78" s="103">
        <v>18526.81</v>
      </c>
      <c r="G78" s="103">
        <v>13645.37</v>
      </c>
      <c r="H78" s="104">
        <f t="shared" si="2"/>
      </c>
      <c r="I78" s="104">
        <f t="shared" si="0"/>
      </c>
      <c r="J78" s="104">
        <f t="shared" si="1"/>
      </c>
      <c r="K78" s="105" t="s">
        <v>258</v>
      </c>
      <c r="L78" s="92">
        <v>8</v>
      </c>
    </row>
    <row r="79">
      <c r="A79" s="91" t="s">
        <v>293</v>
      </c>
      <c r="B79" s="91" t="s">
        <v>245</v>
      </c>
      <c r="C79" s="92" t="s">
        <v>263</v>
      </c>
      <c r="D79" s="92">
        <v>4</v>
      </c>
      <c r="E79" s="92">
        <v>42</v>
      </c>
      <c r="F79" s="103">
        <v>24764.389999999996</v>
      </c>
      <c r="G79" s="103">
        <v>11810.54</v>
      </c>
      <c r="H79" s="104">
        <f t="shared" si="2"/>
      </c>
      <c r="I79" s="104">
        <f t="shared" si="0"/>
      </c>
      <c r="J79" s="104">
        <f t="shared" si="1"/>
      </c>
      <c r="K79" s="105"/>
      <c r="L79" s="92"/>
    </row>
    <row r="80">
      <c r="A80" s="91" t="s">
        <v>293</v>
      </c>
      <c r="B80" s="106" t="s">
        <v>286</v>
      </c>
      <c r="C80" s="92" t="s">
        <v>274</v>
      </c>
      <c r="D80" s="92">
        <v>2</v>
      </c>
      <c r="E80" s="92">
        <v>21</v>
      </c>
      <c r="F80" s="103">
        <v>12575.970000000001</v>
      </c>
      <c r="G80" s="103">
        <v>5705.19</v>
      </c>
      <c r="H80" s="104">
        <f t="shared" si="2"/>
      </c>
      <c r="I80" s="104">
        <f t="shared" si="0"/>
      </c>
      <c r="J80" s="104">
        <f t="shared" si="1"/>
      </c>
      <c r="K80" s="105"/>
      <c r="L80" s="92"/>
    </row>
    <row r="81">
      <c r="A81" s="91" t="s">
        <v>293</v>
      </c>
      <c r="B81" s="106" t="s">
        <v>273</v>
      </c>
      <c r="C81" s="92" t="s">
        <v>294</v>
      </c>
      <c r="D81" s="92">
        <v>3</v>
      </c>
      <c r="E81" s="92">
        <v>31</v>
      </c>
      <c r="F81" s="103">
        <v>16081.900000000009</v>
      </c>
      <c r="G81" s="103">
        <v>11390.85</v>
      </c>
      <c r="H81" s="104">
        <f t="shared" si="2"/>
      </c>
      <c r="I81" s="104">
        <f t="shared" si="0"/>
      </c>
      <c r="J81" s="104">
        <f t="shared" si="1"/>
      </c>
      <c r="K81" s="105"/>
      <c r="L81" s="92"/>
    </row>
    <row r="82">
      <c r="A82" s="91" t="s">
        <v>293</v>
      </c>
      <c r="B82" s="106" t="s">
        <v>295</v>
      </c>
      <c r="C82" s="92" t="s">
        <v>296</v>
      </c>
      <c r="D82" s="92">
        <v>3</v>
      </c>
      <c r="E82" s="92">
        <v>38</v>
      </c>
      <c r="F82" s="103">
        <v>18670.51999999999</v>
      </c>
      <c r="G82" s="103">
        <v>13293.06</v>
      </c>
      <c r="H82" s="104">
        <f t="shared" si="2"/>
      </c>
      <c r="I82" s="104">
        <f t="shared" si="0"/>
      </c>
      <c r="J82" s="104">
        <f t="shared" si="1"/>
      </c>
      <c r="K82" s="105" t="s">
        <v>281</v>
      </c>
      <c r="L82" s="92">
        <v>8</v>
      </c>
    </row>
    <row r="83">
      <c r="A83" s="107" t="s">
        <v>293</v>
      </c>
      <c r="B83" s="108"/>
      <c r="C83" s="108"/>
      <c r="D83" s="108">
        <f>SUM(D78:D82)</f>
      </c>
      <c r="E83" s="108">
        <f>SUM(E78:E82)</f>
      </c>
      <c r="F83" s="108">
        <f>SUM(F78:F82)</f>
      </c>
      <c r="G83" s="108">
        <v>55845.01</v>
      </c>
      <c r="H83" s="109">
        <f t="shared" si="2"/>
      </c>
      <c r="I83" s="109">
        <f t="shared" si="0"/>
      </c>
      <c r="J83" s="109">
        <f t="shared" si="1"/>
      </c>
      <c r="K83" s="109"/>
      <c r="L83" s="108">
        <f>SUM(L78:L82)</f>
      </c>
    </row>
    <row r="84">
      <c r="A84" s="91" t="s">
        <v>297</v>
      </c>
      <c r="B84" s="106" t="s">
        <v>245</v>
      </c>
      <c r="C84" s="92" t="s">
        <v>249</v>
      </c>
      <c r="D84" s="92">
        <v>5</v>
      </c>
      <c r="E84" s="92">
        <v>48</v>
      </c>
      <c r="F84" s="103">
        <v>30249.199999999997</v>
      </c>
      <c r="G84" s="103">
        <v>14844.26</v>
      </c>
      <c r="H84" s="104">
        <f t="shared" si="2"/>
      </c>
      <c r="I84" s="104">
        <f t="shared" si="0"/>
      </c>
      <c r="J84" s="104">
        <f t="shared" si="1"/>
      </c>
      <c r="K84" s="105" t="s">
        <v>258</v>
      </c>
      <c r="L84" s="92">
        <v>9</v>
      </c>
    </row>
    <row r="85">
      <c r="A85" s="91" t="s">
        <v>297</v>
      </c>
      <c r="B85" s="91" t="s">
        <v>260</v>
      </c>
      <c r="C85" s="92" t="s">
        <v>251</v>
      </c>
      <c r="D85" s="92">
        <v>4</v>
      </c>
      <c r="E85" s="92">
        <v>27</v>
      </c>
      <c r="F85" s="103">
        <v>13481.730000000003</v>
      </c>
      <c r="G85" s="103">
        <v>9874.85</v>
      </c>
      <c r="H85" s="104">
        <f t="shared" si="2"/>
      </c>
      <c r="I85" s="104">
        <f t="shared" si="0"/>
      </c>
      <c r="J85" s="104">
        <f t="shared" si="1"/>
      </c>
      <c r="K85" s="105"/>
      <c r="L85" s="92"/>
    </row>
    <row r="86">
      <c r="A86" s="91" t="s">
        <v>297</v>
      </c>
      <c r="B86" s="106" t="s">
        <v>273</v>
      </c>
      <c r="C86" s="92" t="s">
        <v>298</v>
      </c>
      <c r="D86" s="92">
        <v>3</v>
      </c>
      <c r="E86" s="92">
        <v>14</v>
      </c>
      <c r="F86" s="103">
        <v>6742.32</v>
      </c>
      <c r="G86" s="103">
        <v>6530.28</v>
      </c>
      <c r="H86" s="104">
        <f t="shared" si="2"/>
      </c>
      <c r="I86" s="104">
        <f t="shared" si="0"/>
      </c>
      <c r="J86" s="104">
        <f t="shared" si="1"/>
      </c>
      <c r="K86" s="105" t="s">
        <v>281</v>
      </c>
      <c r="L86" s="92">
        <v>3</v>
      </c>
    </row>
    <row r="87">
      <c r="A87" s="107" t="s">
        <v>297</v>
      </c>
      <c r="B87" s="108"/>
      <c r="C87" s="108"/>
      <c r="D87" s="108">
        <f>SUM(D84:D86)</f>
      </c>
      <c r="E87" s="108">
        <f>SUM(E84:E86)</f>
      </c>
      <c r="F87" s="108">
        <f>SUM(F84:F86)</f>
      </c>
      <c r="G87" s="108">
        <v>31249.39</v>
      </c>
      <c r="H87" s="109">
        <f t="shared" si="2"/>
      </c>
      <c r="I87" s="109">
        <f t="shared" si="0"/>
      </c>
      <c r="J87" s="109">
        <f t="shared" si="1"/>
      </c>
      <c r="K87" s="109"/>
      <c r="L87" s="108">
        <f>SUM(L84:L86)</f>
      </c>
    </row>
    <row r="88">
      <c r="A88" s="91" t="s">
        <v>299</v>
      </c>
      <c r="B88" s="106" t="s">
        <v>245</v>
      </c>
      <c r="C88" s="92" t="s">
        <v>249</v>
      </c>
      <c r="D88" s="92">
        <v>5</v>
      </c>
      <c r="E88" s="92">
        <v>39</v>
      </c>
      <c r="F88" s="103">
        <v>23284.61</v>
      </c>
      <c r="G88" s="103">
        <v>14225.34</v>
      </c>
      <c r="H88" s="104">
        <f t="shared" si="2"/>
      </c>
      <c r="I88" s="104">
        <f t="shared" si="0"/>
      </c>
      <c r="J88" s="104">
        <f t="shared" si="1"/>
      </c>
      <c r="K88" s="105" t="s">
        <v>258</v>
      </c>
      <c r="L88" s="92">
        <v>9</v>
      </c>
    </row>
    <row r="89">
      <c r="A89" s="91" t="s">
        <v>299</v>
      </c>
      <c r="B89" s="91" t="s">
        <v>260</v>
      </c>
      <c r="C89" s="92" t="s">
        <v>251</v>
      </c>
      <c r="D89" s="92">
        <v>4</v>
      </c>
      <c r="E89" s="92">
        <v>74</v>
      </c>
      <c r="F89" s="103">
        <v>45107.87999999999</v>
      </c>
      <c r="G89" s="103">
        <v>20253.77</v>
      </c>
      <c r="H89" s="104">
        <f t="shared" si="2"/>
      </c>
      <c r="I89" s="104">
        <f t="shared" si="0"/>
      </c>
      <c r="J89" s="104">
        <f t="shared" si="1"/>
      </c>
      <c r="K89" s="105"/>
      <c r="L89" s="92"/>
    </row>
    <row r="90">
      <c r="A90" s="91" t="s">
        <v>299</v>
      </c>
      <c r="B90" s="106" t="s">
        <v>255</v>
      </c>
      <c r="C90" s="92" t="s">
        <v>267</v>
      </c>
      <c r="D90" s="92">
        <v>4</v>
      </c>
      <c r="E90" s="92">
        <v>63</v>
      </c>
      <c r="F90" s="103">
        <v>32277.76000000001</v>
      </c>
      <c r="G90" s="103">
        <v>17219.67</v>
      </c>
      <c r="H90" s="104">
        <f t="shared" si="2"/>
      </c>
      <c r="I90" s="104">
        <f t="shared" si="0"/>
      </c>
      <c r="J90" s="104">
        <f t="shared" si="1"/>
      </c>
      <c r="K90" s="105"/>
      <c r="L90" s="92"/>
    </row>
    <row r="91">
      <c r="A91" s="91" t="s">
        <v>299</v>
      </c>
      <c r="B91" s="106" t="s">
        <v>295</v>
      </c>
      <c r="C91" s="92" t="s">
        <v>296</v>
      </c>
      <c r="D91" s="92">
        <v>3</v>
      </c>
      <c r="E91" s="92">
        <v>31</v>
      </c>
      <c r="F91" s="103">
        <v>14422.36</v>
      </c>
      <c r="G91" s="103">
        <v>10467.83</v>
      </c>
      <c r="H91" s="104">
        <f t="shared" si="2"/>
      </c>
      <c r="I91" s="104">
        <f t="shared" si="0"/>
      </c>
      <c r="J91" s="104">
        <f t="shared" si="1"/>
      </c>
      <c r="K91" s="105" t="s">
        <v>281</v>
      </c>
      <c r="L91" s="92">
        <v>7</v>
      </c>
    </row>
    <row r="92">
      <c r="A92" s="107" t="s">
        <v>299</v>
      </c>
      <c r="B92" s="108"/>
      <c r="C92" s="108"/>
      <c r="D92" s="108">
        <f>SUM(D88:D91)</f>
      </c>
      <c r="E92" s="108">
        <f>SUM(E88:E91)</f>
      </c>
      <c r="F92" s="108">
        <f>SUM(F88:F91)</f>
      </c>
      <c r="G92" s="108">
        <v>62166.61</v>
      </c>
      <c r="H92" s="109">
        <f t="shared" si="2"/>
      </c>
      <c r="I92" s="109">
        <f t="shared" si="0"/>
      </c>
      <c r="J92" s="109">
        <f t="shared" si="1"/>
      </c>
      <c r="K92" s="109"/>
      <c r="L92" s="108">
        <f>SUM(L88:L91)</f>
      </c>
    </row>
    <row r="93">
      <c r="A93" s="91" t="s">
        <v>300</v>
      </c>
      <c r="B93" s="106" t="s">
        <v>245</v>
      </c>
      <c r="C93" s="92" t="s">
        <v>262</v>
      </c>
      <c r="D93" s="92">
        <v>4</v>
      </c>
      <c r="E93" s="92">
        <v>43</v>
      </c>
      <c r="F93" s="103">
        <v>29994.96</v>
      </c>
      <c r="G93" s="103">
        <v>11743.14</v>
      </c>
      <c r="H93" s="104">
        <f t="shared" si="2"/>
      </c>
      <c r="I93" s="104">
        <f t="shared" si="0"/>
      </c>
      <c r="J93" s="104">
        <f t="shared" si="1"/>
      </c>
      <c r="K93" s="105" t="s">
        <v>301</v>
      </c>
      <c r="L93" s="92">
        <v>9</v>
      </c>
    </row>
    <row r="94">
      <c r="A94" s="91" t="s">
        <v>300</v>
      </c>
      <c r="B94" s="91" t="s">
        <v>248</v>
      </c>
      <c r="C94" s="92" t="s">
        <v>263</v>
      </c>
      <c r="D94" s="92">
        <v>4</v>
      </c>
      <c r="E94" s="92">
        <v>30</v>
      </c>
      <c r="F94" s="103">
        <v>18123.839999999997</v>
      </c>
      <c r="G94" s="103">
        <v>10847.53</v>
      </c>
      <c r="H94" s="104">
        <f t="shared" si="2"/>
      </c>
      <c r="I94" s="104">
        <f t="shared" si="0"/>
      </c>
      <c r="J94" s="104">
        <f t="shared" si="1"/>
      </c>
      <c r="K94" s="105"/>
      <c r="L94" s="92"/>
    </row>
    <row r="95">
      <c r="A95" s="91" t="s">
        <v>300</v>
      </c>
      <c r="B95" s="106" t="s">
        <v>255</v>
      </c>
      <c r="C95" s="92" t="s">
        <v>264</v>
      </c>
      <c r="D95" s="92">
        <v>4</v>
      </c>
      <c r="E95" s="92">
        <v>52</v>
      </c>
      <c r="F95" s="103">
        <v>27520.730000000003</v>
      </c>
      <c r="G95" s="103">
        <v>12961.12</v>
      </c>
      <c r="H95" s="104">
        <f t="shared" si="2"/>
      </c>
      <c r="I95" s="104">
        <f t="shared" si="0"/>
      </c>
      <c r="J95" s="104">
        <f t="shared" si="1"/>
      </c>
      <c r="K95" s="105"/>
      <c r="L95" s="92"/>
    </row>
    <row customHeight="true" ht="16.071428571428573" r="96">
      <c r="A96" s="91" t="s">
        <v>300</v>
      </c>
      <c r="B96" s="106" t="s">
        <v>286</v>
      </c>
      <c r="C96" s="92" t="s">
        <v>302</v>
      </c>
      <c r="D96" s="92">
        <v>2</v>
      </c>
      <c r="E96" s="92">
        <v>27</v>
      </c>
      <c r="F96" s="103">
        <v>14855.670000000013</v>
      </c>
      <c r="G96" s="103">
        <v>8470.65</v>
      </c>
      <c r="H96" s="104">
        <f t="shared" si="2"/>
      </c>
      <c r="I96" s="104">
        <f t="shared" si="0"/>
      </c>
      <c r="J96" s="104">
        <f t="shared" si="1"/>
      </c>
      <c r="K96" s="105" t="s">
        <v>281</v>
      </c>
      <c r="L96" s="92">
        <v>7.5</v>
      </c>
    </row>
    <row r="97">
      <c r="A97" s="91" t="s">
        <v>300</v>
      </c>
      <c r="B97" s="106" t="s">
        <v>295</v>
      </c>
      <c r="C97" s="92" t="s">
        <v>303</v>
      </c>
      <c r="D97" s="92">
        <v>2.5</v>
      </c>
      <c r="E97" s="92">
        <v>22</v>
      </c>
      <c r="F97" s="103">
        <v>15380.449999999997</v>
      </c>
      <c r="G97" s="103">
        <v>9570.73</v>
      </c>
      <c r="H97" s="104">
        <f t="shared" si="2"/>
      </c>
      <c r="I97" s="104">
        <f t="shared" si="0"/>
      </c>
      <c r="J97" s="104">
        <f t="shared" si="1"/>
      </c>
      <c r="K97" s="105"/>
      <c r="L97" s="92"/>
    </row>
    <row r="98">
      <c r="A98" s="107" t="s">
        <v>300</v>
      </c>
      <c r="B98" s="108"/>
      <c r="C98" s="108"/>
      <c r="D98" s="108">
        <f>SUM(D93:D97)</f>
      </c>
      <c r="E98" s="108">
        <f>SUM(E93:E97)</f>
      </c>
      <c r="F98" s="108">
        <f>SUM(F93:F97)</f>
      </c>
      <c r="G98" s="108">
        <v>53593.17</v>
      </c>
      <c r="H98" s="109">
        <f t="shared" si="2"/>
      </c>
      <c r="I98" s="109">
        <f t="shared" si="0"/>
      </c>
      <c r="J98" s="109">
        <f t="shared" si="1"/>
      </c>
      <c r="K98" s="109"/>
      <c r="L98" s="108">
        <f>SUM(L93:L97)</f>
      </c>
    </row>
    <row r="99">
      <c r="A99" s="91" t="s">
        <v>304</v>
      </c>
      <c r="B99" s="91" t="s">
        <v>248</v>
      </c>
      <c r="C99" s="92" t="s">
        <v>262</v>
      </c>
      <c r="D99" s="92">
        <v>4</v>
      </c>
      <c r="E99" s="92">
        <v>33</v>
      </c>
      <c r="F99" s="103">
        <v>14890</v>
      </c>
      <c r="G99" s="103">
        <v>11869.65</v>
      </c>
      <c r="H99" s="104">
        <f t="shared" si="2"/>
      </c>
      <c r="I99" s="104">
        <f t="shared" si="0"/>
      </c>
      <c r="J99" s="104">
        <f t="shared" si="1"/>
      </c>
      <c r="K99" s="105" t="s">
        <v>301</v>
      </c>
      <c r="L99" s="92">
        <v>9</v>
      </c>
    </row>
    <row r="100">
      <c r="A100" s="91" t="s">
        <v>304</v>
      </c>
      <c r="B100" s="91" t="s">
        <v>245</v>
      </c>
      <c r="C100" s="92" t="s">
        <v>263</v>
      </c>
      <c r="D100" s="92">
        <v>4</v>
      </c>
      <c r="E100" s="92">
        <v>49</v>
      </c>
      <c r="F100" s="103">
        <v>28238.200000000004</v>
      </c>
      <c r="G100" s="103">
        <v>13492.34</v>
      </c>
      <c r="H100" s="104">
        <f t="shared" si="2"/>
      </c>
      <c r="I100" s="104">
        <f t="shared" si="0"/>
      </c>
      <c r="J100" s="104">
        <f t="shared" si="1"/>
      </c>
      <c r="K100" s="105"/>
      <c r="L100" s="92"/>
    </row>
    <row r="101">
      <c r="A101" s="91" t="s">
        <v>304</v>
      </c>
      <c r="B101" s="106" t="s">
        <v>255</v>
      </c>
      <c r="C101" s="92" t="s">
        <v>264</v>
      </c>
      <c r="D101" s="92">
        <v>4</v>
      </c>
      <c r="E101" s="92">
        <v>30</v>
      </c>
      <c r="F101" s="103">
        <v>20796.619999999995</v>
      </c>
      <c r="G101" s="103">
        <v>10228.93</v>
      </c>
      <c r="H101" s="104">
        <f t="shared" si="2"/>
      </c>
      <c r="I101" s="104">
        <f t="shared" si="0"/>
      </c>
      <c r="J101" s="104">
        <f t="shared" si="1"/>
      </c>
      <c r="K101" s="105" t="s">
        <v>281</v>
      </c>
      <c r="L101" s="92">
        <v>3</v>
      </c>
    </row>
    <row r="102">
      <c r="A102" s="107" t="s">
        <v>304</v>
      </c>
      <c r="B102" s="108"/>
      <c r="C102" s="108"/>
      <c r="D102" s="108">
        <f>SUM(D99:D101)</f>
      </c>
      <c r="E102" s="108">
        <f>SUM(E99:E101)</f>
      </c>
      <c r="F102" s="108">
        <f>SUM(F99:F101)</f>
      </c>
      <c r="G102" s="108">
        <v>35590.92</v>
      </c>
      <c r="H102" s="109">
        <f t="shared" si="2"/>
      </c>
      <c r="I102" s="109">
        <f t="shared" si="0"/>
      </c>
      <c r="J102" s="109">
        <f t="shared" si="1"/>
      </c>
      <c r="K102" s="109"/>
      <c r="L102" s="108">
        <f>SUM(L99:L101)</f>
      </c>
    </row>
    <row r="103">
      <c r="A103" s="91" t="s">
        <v>305</v>
      </c>
      <c r="B103" s="106" t="s">
        <v>245</v>
      </c>
      <c r="C103" s="92" t="s">
        <v>262</v>
      </c>
      <c r="D103" s="92">
        <v>4</v>
      </c>
      <c r="E103" s="92">
        <v>87</v>
      </c>
      <c r="F103" s="103">
        <v>54346.87</v>
      </c>
      <c r="G103" s="103">
        <v>25624.39</v>
      </c>
      <c r="H103" s="104">
        <f t="shared" si="2"/>
      </c>
      <c r="I103" s="104">
        <f t="shared" si="0"/>
      </c>
      <c r="J103" s="104">
        <f t="shared" si="1"/>
      </c>
      <c r="K103" s="105" t="s">
        <v>301</v>
      </c>
      <c r="L103" s="92">
        <v>8</v>
      </c>
    </row>
    <row r="104">
      <c r="A104" s="91" t="s">
        <v>305</v>
      </c>
      <c r="B104" s="91" t="s">
        <v>248</v>
      </c>
      <c r="C104" s="92" t="s">
        <v>263</v>
      </c>
      <c r="D104" s="92">
        <v>4</v>
      </c>
      <c r="E104" s="92">
        <v>103</v>
      </c>
      <c r="F104" s="103">
        <v>58223.469999999994</v>
      </c>
      <c r="G104" s="103">
        <v>29819.14</v>
      </c>
      <c r="H104" s="104">
        <f t="shared" si="2"/>
      </c>
      <c r="I104" s="104">
        <f t="shared" si="0"/>
      </c>
      <c r="J104" s="104">
        <f t="shared" si="1"/>
      </c>
      <c r="K104" s="105"/>
      <c r="L104" s="92"/>
    </row>
    <row r="105">
      <c r="A105" s="91" t="s">
        <v>305</v>
      </c>
      <c r="B105" s="106" t="s">
        <v>255</v>
      </c>
      <c r="C105" s="92" t="s">
        <v>264</v>
      </c>
      <c r="D105" s="92">
        <v>4</v>
      </c>
      <c r="E105" s="92">
        <v>58</v>
      </c>
      <c r="F105" s="103">
        <v>35961.54999999999</v>
      </c>
      <c r="G105" s="103">
        <v>16903.17</v>
      </c>
      <c r="H105" s="104">
        <f t="shared" si="2"/>
      </c>
      <c r="I105" s="104">
        <f t="shared" si="0"/>
      </c>
      <c r="J105" s="104">
        <f t="shared" si="1"/>
      </c>
      <c r="K105" s="105"/>
      <c r="L105" s="92"/>
    </row>
    <row r="106">
      <c r="A106" s="91" t="s">
        <v>305</v>
      </c>
      <c r="B106" s="106" t="s">
        <v>286</v>
      </c>
      <c r="C106" s="92" t="s">
        <v>302</v>
      </c>
      <c r="D106" s="92">
        <v>2</v>
      </c>
      <c r="E106" s="92">
        <v>9</v>
      </c>
      <c r="F106" s="103">
        <v>4224.640000000014</v>
      </c>
      <c r="G106" s="103">
        <v>5675.31</v>
      </c>
      <c r="H106" s="104">
        <f t="shared" si="2"/>
      </c>
      <c r="I106" s="104">
        <f t="shared" si="0"/>
      </c>
      <c r="J106" s="104">
        <f t="shared" si="1"/>
      </c>
      <c r="K106" s="105" t="s">
        <v>281</v>
      </c>
      <c r="L106" s="92">
        <v>10</v>
      </c>
    </row>
    <row r="107">
      <c r="A107" s="91" t="s">
        <v>305</v>
      </c>
      <c r="B107" s="106" t="s">
        <v>295</v>
      </c>
      <c r="C107" s="92" t="s">
        <v>246</v>
      </c>
      <c r="D107" s="92">
        <v>4</v>
      </c>
      <c r="E107" s="92">
        <v>37</v>
      </c>
      <c r="F107" s="103">
        <v>21042.72999999998</v>
      </c>
      <c r="G107" s="103">
        <v>12939.17</v>
      </c>
      <c r="H107" s="104">
        <f t="shared" si="2"/>
      </c>
      <c r="I107" s="104">
        <f t="shared" si="0"/>
      </c>
      <c r="J107" s="104">
        <f t="shared" si="1"/>
      </c>
      <c r="K107" s="105"/>
      <c r="L107" s="92"/>
    </row>
    <row r="108">
      <c r="A108" s="107" t="s">
        <v>305</v>
      </c>
      <c r="B108" s="108"/>
      <c r="C108" s="108"/>
      <c r="D108" s="108">
        <f>SUM(D103:D107)</f>
      </c>
      <c r="E108" s="108">
        <f>SUM(E103:E107)</f>
      </c>
      <c r="F108" s="108">
        <f>SUM(F103:F107)</f>
      </c>
      <c r="G108" s="108">
        <v>90961.18</v>
      </c>
      <c r="H108" s="109">
        <f t="shared" si="2"/>
      </c>
      <c r="I108" s="109">
        <f t="shared" si="0"/>
      </c>
      <c r="J108" s="109">
        <f t="shared" si="1"/>
      </c>
      <c r="K108" s="109"/>
      <c r="L108" s="108">
        <f>SUM(L103:L107)</f>
      </c>
    </row>
    <row r="109">
      <c r="A109" s="91" t="s">
        <v>306</v>
      </c>
      <c r="B109" s="106" t="s">
        <v>245</v>
      </c>
      <c r="C109" s="92" t="s">
        <v>249</v>
      </c>
      <c r="D109" s="92">
        <v>5</v>
      </c>
      <c r="E109" s="92">
        <v>81</v>
      </c>
      <c r="F109" s="103">
        <v>43386.02</v>
      </c>
      <c r="G109" s="103">
        <v>24619.55</v>
      </c>
      <c r="H109" s="104">
        <f t="shared" si="2"/>
      </c>
      <c r="I109" s="104">
        <f t="shared" si="0"/>
      </c>
      <c r="J109" s="104">
        <f t="shared" si="1"/>
      </c>
      <c r="K109" s="105" t="s">
        <v>301</v>
      </c>
      <c r="L109" s="92">
        <v>8</v>
      </c>
    </row>
    <row r="110">
      <c r="A110" s="91" t="s">
        <v>306</v>
      </c>
      <c r="B110" s="91" t="s">
        <v>248</v>
      </c>
      <c r="C110" s="92" t="s">
        <v>259</v>
      </c>
      <c r="D110" s="92">
        <v>5</v>
      </c>
      <c r="E110" s="92">
        <v>31</v>
      </c>
      <c r="F110" s="103">
        <v>16867.770000000004</v>
      </c>
      <c r="G110" s="103">
        <v>14929.29</v>
      </c>
      <c r="H110" s="104">
        <f t="shared" si="2"/>
      </c>
      <c r="I110" s="104">
        <f t="shared" si="0"/>
      </c>
      <c r="J110" s="104">
        <f t="shared" si="1"/>
      </c>
      <c r="K110" s="105"/>
      <c r="L110" s="92"/>
    </row>
    <row r="111">
      <c r="A111" s="91" t="s">
        <v>306</v>
      </c>
      <c r="B111" s="106" t="s">
        <v>255</v>
      </c>
      <c r="C111" s="92" t="s">
        <v>278</v>
      </c>
      <c r="D111" s="92">
        <v>2</v>
      </c>
      <c r="E111" s="92">
        <v>13</v>
      </c>
      <c r="F111" s="103">
        <v>5104.459999999999</v>
      </c>
      <c r="G111" s="103">
        <v>3162.83</v>
      </c>
      <c r="H111" s="104">
        <f t="shared" si="2"/>
      </c>
      <c r="I111" s="104">
        <f t="shared" si="0"/>
      </c>
      <c r="J111" s="104">
        <f t="shared" si="1"/>
      </c>
      <c r="K111" s="105" t="s">
        <v>281</v>
      </c>
      <c r="L111" s="92">
        <v>4</v>
      </c>
    </row>
    <row r="112">
      <c r="A112" s="107" t="s">
        <v>306</v>
      </c>
      <c r="B112" s="108"/>
      <c r="C112" s="108"/>
      <c r="D112" s="108">
        <f>SUM(D109:D111)</f>
      </c>
      <c r="E112" s="108">
        <f>SUM(E109:E111)</f>
      </c>
      <c r="F112" s="108">
        <f>SUM(F109:F111)</f>
      </c>
      <c r="G112" s="108">
        <v>42711.67</v>
      </c>
      <c r="H112" s="109">
        <f t="shared" si="2"/>
      </c>
      <c r="I112" s="109">
        <f t="shared" si="0"/>
      </c>
      <c r="J112" s="109">
        <f t="shared" si="1"/>
      </c>
      <c r="K112" s="109"/>
      <c r="L112" s="108">
        <f>SUM(L109:L111)</f>
      </c>
    </row>
    <row r="113">
      <c r="A113" s="91" t="s">
        <v>307</v>
      </c>
      <c r="B113" s="106" t="s">
        <v>245</v>
      </c>
      <c r="C113" s="92" t="s">
        <v>262</v>
      </c>
      <c r="D113" s="92">
        <v>4</v>
      </c>
      <c r="E113" s="92">
        <v>24</v>
      </c>
      <c r="F113" s="103">
        <v>12422.800000000001</v>
      </c>
      <c r="G113" s="103">
        <v>7680.33</v>
      </c>
      <c r="H113" s="104">
        <f t="shared" si="2"/>
      </c>
      <c r="I113" s="104">
        <f t="shared" si="0"/>
      </c>
      <c r="J113" s="104">
        <f t="shared" si="1"/>
      </c>
      <c r="K113" s="105" t="s">
        <v>301</v>
      </c>
      <c r="L113" s="92">
        <v>8</v>
      </c>
    </row>
    <row r="114">
      <c r="A114" s="91" t="s">
        <v>307</v>
      </c>
      <c r="B114" s="91" t="s">
        <v>248</v>
      </c>
      <c r="C114" s="92" t="s">
        <v>263</v>
      </c>
      <c r="D114" s="92">
        <v>4</v>
      </c>
      <c r="E114" s="92">
        <v>30</v>
      </c>
      <c r="F114" s="103">
        <v>11402.449999999999</v>
      </c>
      <c r="G114" s="103">
        <v>10877.89</v>
      </c>
      <c r="H114" s="104">
        <f t="shared" si="2"/>
      </c>
      <c r="I114" s="104">
        <f t="shared" si="0"/>
      </c>
      <c r="J114" s="104">
        <f t="shared" si="1"/>
      </c>
      <c r="K114" s="105"/>
      <c r="L114" s="92"/>
    </row>
    <row r="115">
      <c r="A115" s="91" t="s">
        <v>307</v>
      </c>
      <c r="B115" s="106" t="s">
        <v>255</v>
      </c>
      <c r="C115" s="92" t="s">
        <v>264</v>
      </c>
      <c r="D115" s="92">
        <v>3</v>
      </c>
      <c r="E115" s="92">
        <v>34</v>
      </c>
      <c r="F115" s="103">
        <v>15919.220000000001</v>
      </c>
      <c r="G115" s="103">
        <v>12341.19</v>
      </c>
      <c r="H115" s="104">
        <f t="shared" si="2"/>
      </c>
      <c r="I115" s="104">
        <f t="shared" si="0"/>
      </c>
      <c r="J115" s="104">
        <f t="shared" si="1"/>
      </c>
      <c r="K115" s="105" t="s">
        <v>281</v>
      </c>
      <c r="L115" s="92">
        <v>3</v>
      </c>
    </row>
    <row r="116">
      <c r="A116" s="107" t="s">
        <v>307</v>
      </c>
      <c r="B116" s="108"/>
      <c r="C116" s="108"/>
      <c r="D116" s="108">
        <f>SUM(D113:D115)</f>
      </c>
      <c r="E116" s="108">
        <f>SUM(E113:E115)</f>
      </c>
      <c r="F116" s="108">
        <f>SUM(F113:F115)</f>
      </c>
      <c r="G116" s="108">
        <v>30899.41</v>
      </c>
      <c r="H116" s="109">
        <f t="shared" si="2"/>
      </c>
      <c r="I116" s="109">
        <f t="shared" si="0"/>
      </c>
      <c r="J116" s="109">
        <f t="shared" si="1"/>
      </c>
      <c r="K116" s="109"/>
      <c r="L116" s="108">
        <f>SUM(L113:L115)</f>
      </c>
    </row>
    <row r="117">
      <c r="A117" s="91" t="s">
        <v>308</v>
      </c>
      <c r="B117" s="106" t="s">
        <v>245</v>
      </c>
      <c r="C117" s="92" t="s">
        <v>249</v>
      </c>
      <c r="D117" s="92">
        <v>5</v>
      </c>
      <c r="E117" s="92">
        <v>59</v>
      </c>
      <c r="F117" s="103">
        <v>28929.710000000003</v>
      </c>
      <c r="G117" s="103">
        <v>20258.02</v>
      </c>
      <c r="H117" s="104">
        <f t="shared" si="2"/>
      </c>
      <c r="I117" s="104">
        <f t="shared" si="0"/>
      </c>
      <c r="J117" s="104">
        <f t="shared" si="1"/>
      </c>
      <c r="K117" s="105" t="s">
        <v>301</v>
      </c>
      <c r="L117" s="92">
        <v>8</v>
      </c>
    </row>
    <row r="118">
      <c r="A118" s="91" t="s">
        <v>308</v>
      </c>
      <c r="B118" s="91" t="s">
        <v>248</v>
      </c>
      <c r="C118" s="92" t="s">
        <v>309</v>
      </c>
      <c r="D118" s="92">
        <v>3</v>
      </c>
      <c r="E118" s="92">
        <v>14</v>
      </c>
      <c r="F118" s="103">
        <v>8374.639999999996</v>
      </c>
      <c r="G118" s="103">
        <v>6048.42</v>
      </c>
      <c r="H118" s="104">
        <f t="shared" si="2"/>
      </c>
      <c r="I118" s="104">
        <f t="shared" si="0"/>
      </c>
      <c r="J118" s="104">
        <f t="shared" si="1"/>
      </c>
      <c r="K118" s="105"/>
      <c r="L118" s="92"/>
    </row>
    <row r="119">
      <c r="A119" s="91" t="s">
        <v>308</v>
      </c>
      <c r="B119" s="106" t="s">
        <v>255</v>
      </c>
      <c r="C119" s="92" t="s">
        <v>243</v>
      </c>
      <c r="D119" s="92">
        <v>4</v>
      </c>
      <c r="E119" s="92">
        <v>25</v>
      </c>
      <c r="F119" s="103">
        <v>5490.139999999999</v>
      </c>
      <c r="G119" s="103">
        <v>5028</v>
      </c>
      <c r="H119" s="104">
        <f t="shared" si="2"/>
      </c>
      <c r="I119" s="104">
        <f t="shared" si="0"/>
      </c>
      <c r="J119" s="104">
        <f t="shared" si="1"/>
      </c>
      <c r="K119" s="105"/>
      <c r="L119" s="92"/>
    </row>
    <row r="120">
      <c r="A120" s="91" t="s">
        <v>308</v>
      </c>
      <c r="B120" s="106" t="s">
        <v>295</v>
      </c>
      <c r="C120" s="92" t="s">
        <v>280</v>
      </c>
      <c r="D120" s="92">
        <v>3</v>
      </c>
      <c r="E120" s="92">
        <v>35</v>
      </c>
      <c r="F120" s="103">
        <v>20790.019999999997</v>
      </c>
      <c r="G120" s="103">
        <v>11574.2</v>
      </c>
      <c r="H120" s="104">
        <f t="shared" si="2"/>
      </c>
      <c r="I120" s="104">
        <f t="shared" si="0"/>
      </c>
      <c r="J120" s="104">
        <f t="shared" si="1"/>
      </c>
      <c r="K120" s="105" t="s">
        <v>281</v>
      </c>
      <c r="L120" s="92">
        <v>7</v>
      </c>
    </row>
    <row r="121">
      <c r="A121" s="107" t="s">
        <v>308</v>
      </c>
      <c r="B121" s="108"/>
      <c r="C121" s="108"/>
      <c r="D121" s="108">
        <f>SUM(D117:D120)</f>
      </c>
      <c r="E121" s="108">
        <f>SUM(E117:E120)</f>
      </c>
      <c r="F121" s="108">
        <f>SUM(F117:F120)</f>
      </c>
      <c r="G121" s="108">
        <v>42908.64</v>
      </c>
      <c r="H121" s="109">
        <f t="shared" si="2"/>
      </c>
      <c r="I121" s="109">
        <f t="shared" si="0"/>
      </c>
      <c r="J121" s="109">
        <f t="shared" si="1"/>
      </c>
      <c r="K121" s="109"/>
      <c r="L121" s="108">
        <f>SUM(L117:L120)</f>
      </c>
    </row>
    <row r="122">
      <c r="A122" s="91" t="s">
        <v>310</v>
      </c>
      <c r="B122" s="91" t="s">
        <v>248</v>
      </c>
      <c r="C122" s="92" t="s">
        <v>262</v>
      </c>
      <c r="D122" s="92">
        <v>4</v>
      </c>
      <c r="E122" s="92">
        <v>16</v>
      </c>
      <c r="F122" s="103">
        <v>21074.64</v>
      </c>
      <c r="G122" s="103">
        <v>14203.1</v>
      </c>
      <c r="H122" s="104">
        <f t="shared" si="2"/>
      </c>
      <c r="I122" s="104">
        <f t="shared" si="0"/>
      </c>
      <c r="J122" s="104">
        <f t="shared" si="1"/>
      </c>
      <c r="K122" s="105" t="s">
        <v>301</v>
      </c>
      <c r="L122" s="92">
        <v>7</v>
      </c>
    </row>
    <row r="123">
      <c r="A123" s="91" t="s">
        <v>310</v>
      </c>
      <c r="B123" s="91" t="s">
        <v>245</v>
      </c>
      <c r="C123" s="92" t="s">
        <v>311</v>
      </c>
      <c r="D123" s="92">
        <v>3</v>
      </c>
      <c r="E123" s="92">
        <v>15</v>
      </c>
      <c r="F123" s="103">
        <v>8680.34</v>
      </c>
      <c r="G123" s="103">
        <v>5404.45</v>
      </c>
      <c r="H123" s="104">
        <f t="shared" si="2"/>
      </c>
      <c r="I123" s="104">
        <f t="shared" si="0"/>
      </c>
      <c r="J123" s="104">
        <f t="shared" si="1"/>
      </c>
      <c r="K123" s="105"/>
      <c r="L123" s="92"/>
    </row>
    <row r="124">
      <c r="A124" s="91" t="s">
        <v>310</v>
      </c>
      <c r="B124" s="106" t="s">
        <v>255</v>
      </c>
      <c r="C124" s="92" t="s">
        <v>243</v>
      </c>
      <c r="D124" s="92">
        <v>4</v>
      </c>
      <c r="E124" s="92">
        <v>19</v>
      </c>
      <c r="F124" s="103">
        <v>9127.240000000002</v>
      </c>
      <c r="G124" s="103">
        <v>5482.09</v>
      </c>
      <c r="H124" s="104">
        <f t="shared" si="2"/>
      </c>
      <c r="I124" s="104">
        <f t="shared" si="0"/>
      </c>
      <c r="J124" s="104">
        <f t="shared" si="1"/>
      </c>
      <c r="K124" s="105" t="s">
        <v>281</v>
      </c>
      <c r="L124" s="92">
        <v>4</v>
      </c>
    </row>
    <row r="125">
      <c r="A125" s="107" t="s">
        <v>310</v>
      </c>
      <c r="B125" s="108"/>
      <c r="C125" s="108"/>
      <c r="D125" s="108">
        <f>SUM(D122:D124)</f>
      </c>
      <c r="E125" s="108">
        <f>SUM(E122:E124)</f>
      </c>
      <c r="F125" s="108">
        <f>SUM(F122:F124)</f>
      </c>
      <c r="G125" s="108">
        <v>25089.64</v>
      </c>
      <c r="H125" s="109">
        <f t="shared" si="2"/>
      </c>
      <c r="I125" s="109">
        <f t="shared" si="0"/>
      </c>
      <c r="J125" s="109">
        <f t="shared" si="1"/>
      </c>
      <c r="K125" s="109"/>
      <c r="L125" s="108">
        <f>SUM(L122:L124)</f>
      </c>
    </row>
    <row r="126">
      <c r="A126" s="91" t="s">
        <v>312</v>
      </c>
      <c r="B126" s="106" t="s">
        <v>245</v>
      </c>
      <c r="C126" s="92" t="s">
        <v>262</v>
      </c>
      <c r="D126" s="92">
        <v>4</v>
      </c>
      <c r="E126" s="92">
        <v>19</v>
      </c>
      <c r="F126" s="103">
        <v>13691.4</v>
      </c>
      <c r="G126" s="103">
        <v>6614.68</v>
      </c>
      <c r="H126" s="104">
        <v>2.0698506957252656</v>
      </c>
      <c r="I126" s="104">
        <v>720.6</v>
      </c>
      <c r="J126" s="104">
        <v>348.141052631579</v>
      </c>
      <c r="K126" s="105" t="s">
        <v>301</v>
      </c>
      <c r="L126" s="92">
        <v>8</v>
      </c>
    </row>
    <row r="127">
      <c r="A127" s="91" t="s">
        <v>312</v>
      </c>
      <c r="B127" s="106" t="s">
        <v>255</v>
      </c>
      <c r="C127" s="92" t="s">
        <v>263</v>
      </c>
      <c r="D127" s="92">
        <v>4</v>
      </c>
      <c r="E127" s="92">
        <v>54</v>
      </c>
      <c r="F127" s="103">
        <v>33875.89</v>
      </c>
      <c r="G127" s="103">
        <v>16002.949999999999</v>
      </c>
      <c r="H127" s="104">
        <v>2.116852830259421</v>
      </c>
      <c r="I127" s="104">
        <v>627.3312962962963</v>
      </c>
      <c r="J127" s="104">
        <v>296.3509259259259</v>
      </c>
      <c r="K127" s="105"/>
      <c r="L127" s="92"/>
    </row>
    <row r="128">
      <c r="A128" s="91" t="s">
        <v>312</v>
      </c>
      <c r="B128" s="91" t="s">
        <v>248</v>
      </c>
      <c r="C128" s="92" t="s">
        <v>264</v>
      </c>
      <c r="D128" s="92">
        <v>4</v>
      </c>
      <c r="E128" s="92">
        <v>43</v>
      </c>
      <c r="F128" s="103">
        <v>14612.36</v>
      </c>
      <c r="G128" s="103">
        <v>13099.58</v>
      </c>
      <c r="H128" s="104">
        <v>1.1154830918243182</v>
      </c>
      <c r="I128" s="104">
        <v>339.8223255813954</v>
      </c>
      <c r="J128" s="104">
        <v>304.6413953488372</v>
      </c>
      <c r="K128" s="105"/>
      <c r="L128" s="92"/>
    </row>
    <row r="129">
      <c r="A129" s="91" t="s">
        <v>312</v>
      </c>
      <c r="B129" s="106" t="s">
        <v>273</v>
      </c>
      <c r="C129" s="92" t="s">
        <v>313</v>
      </c>
      <c r="D129" s="92">
        <v>3</v>
      </c>
      <c r="E129" s="92">
        <v>21</v>
      </c>
      <c r="F129" s="103">
        <v>8543.099999999999</v>
      </c>
      <c r="G129" s="103">
        <v>8117.72</v>
      </c>
      <c r="H129" s="104">
        <v>1.0524014132046928</v>
      </c>
      <c r="I129" s="104">
        <v>406.81428571428563</v>
      </c>
      <c r="J129" s="104">
        <v>386.55809523809523</v>
      </c>
      <c r="K129" s="105" t="s">
        <v>281</v>
      </c>
      <c r="L129" s="92">
        <v>9</v>
      </c>
    </row>
    <row r="130">
      <c r="A130" s="91" t="s">
        <v>312</v>
      </c>
      <c r="B130" s="106" t="s">
        <v>295</v>
      </c>
      <c r="C130" s="92" t="s">
        <v>314</v>
      </c>
      <c r="D130" s="92">
        <v>2</v>
      </c>
      <c r="E130" s="92">
        <v>19</v>
      </c>
      <c r="F130" s="103">
        <v>7549.610000000001</v>
      </c>
      <c r="G130" s="103">
        <v>5335.37</v>
      </c>
      <c r="H130" s="104">
        <v>1.4150115174767637</v>
      </c>
      <c r="I130" s="104">
        <v>397.34789473684214</v>
      </c>
      <c r="J130" s="104">
        <v>280.80894736842106</v>
      </c>
      <c r="K130" s="105"/>
      <c r="L130" s="92"/>
    </row>
    <row r="131">
      <c r="A131" s="107" t="s">
        <v>312</v>
      </c>
      <c r="B131" s="108"/>
      <c r="C131" s="108"/>
      <c r="D131" s="108">
        <v>17</v>
      </c>
      <c r="E131" s="108">
        <v>156</v>
      </c>
      <c r="F131" s="108">
        <v>78272.36</v>
      </c>
      <c r="G131" s="108">
        <v>49170.3</v>
      </c>
      <c r="H131" s="109">
        <v>1.5918625674441684</v>
      </c>
      <c r="I131" s="109">
        <v>501.74589743589746</v>
      </c>
      <c r="J131" s="109">
        <v>315.1942307692308</v>
      </c>
      <c r="K131" s="109"/>
      <c r="L131" s="108">
        <v>17</v>
      </c>
    </row>
    <row r="132">
      <c r="A132" s="91" t="s">
        <v>315</v>
      </c>
      <c r="B132" s="91" t="s">
        <v>248</v>
      </c>
      <c r="C132" s="92" t="s">
        <v>262</v>
      </c>
      <c r="D132" s="92">
        <v>4</v>
      </c>
      <c r="E132" s="92">
        <v>31</v>
      </c>
      <c r="F132" s="103">
        <v>11299.32</v>
      </c>
      <c r="G132" s="103">
        <v>9780.990000000002</v>
      </c>
      <c r="H132" s="104">
        <v>1.1552327525127821</v>
      </c>
      <c r="I132" s="104">
        <v>364.4941935483871</v>
      </c>
      <c r="J132" s="104">
        <v>315.51580645161295</v>
      </c>
      <c r="K132" s="105" t="s">
        <v>301</v>
      </c>
      <c r="L132" s="92">
        <v>6</v>
      </c>
    </row>
    <row r="133">
      <c r="A133" s="91" t="s">
        <v>315</v>
      </c>
      <c r="B133" s="106" t="s">
        <v>255</v>
      </c>
      <c r="C133" s="92" t="s">
        <v>263</v>
      </c>
      <c r="D133" s="92">
        <v>4</v>
      </c>
      <c r="E133" s="92">
        <v>60</v>
      </c>
      <c r="F133" s="103">
        <v>33666.340000000004</v>
      </c>
      <c r="G133" s="103">
        <v>15830.65</v>
      </c>
      <c r="H133" s="104">
        <v>2.12665557004924</v>
      </c>
      <c r="I133" s="104">
        <v>561.1056666666667</v>
      </c>
      <c r="J133" s="104">
        <v>263.84416666666664</v>
      </c>
      <c r="K133" s="105"/>
      <c r="L133" s="92"/>
    </row>
    <row r="134">
      <c r="A134" s="91" t="s">
        <v>315</v>
      </c>
      <c r="B134" s="106" t="s">
        <v>273</v>
      </c>
      <c r="C134" s="92" t="s">
        <v>316</v>
      </c>
      <c r="D134" s="92">
        <v>2.5</v>
      </c>
      <c r="E134" s="92">
        <v>5</v>
      </c>
      <c r="F134" s="103">
        <v>2825.279999999999</v>
      </c>
      <c r="G134" s="103">
        <v>5460.57</v>
      </c>
      <c r="H134" s="104">
        <v>0.5173965355265108</v>
      </c>
      <c r="I134" s="104">
        <v>565.0559999999998</v>
      </c>
      <c r="J134" s="104">
        <v>1092.114</v>
      </c>
      <c r="K134" s="105" t="s">
        <v>281</v>
      </c>
      <c r="L134" s="92">
        <v>8.5</v>
      </c>
    </row>
    <row r="135">
      <c r="A135" s="91" t="s">
        <v>315</v>
      </c>
      <c r="B135" s="106" t="s">
        <v>295</v>
      </c>
      <c r="C135" s="92" t="s">
        <v>265</v>
      </c>
      <c r="D135" s="92">
        <v>4</v>
      </c>
      <c r="E135" s="92">
        <v>23</v>
      </c>
      <c r="F135" s="103">
        <v>14036.279999999999</v>
      </c>
      <c r="G135" s="103">
        <v>9199.279999999999</v>
      </c>
      <c r="H135" s="104">
        <v>1.525802019288466</v>
      </c>
      <c r="I135" s="104">
        <v>610.2730434782608</v>
      </c>
      <c r="J135" s="104">
        <v>399.96869565217384</v>
      </c>
      <c r="K135" s="105"/>
      <c r="L135" s="92"/>
    </row>
    <row r="136">
      <c r="A136" s="107" t="s">
        <v>315</v>
      </c>
      <c r="B136" s="108"/>
      <c r="C136" s="108"/>
      <c r="D136" s="108">
        <v>14.5</v>
      </c>
      <c r="E136" s="108">
        <v>119</v>
      </c>
      <c r="F136" s="108">
        <v>61827.22</v>
      </c>
      <c r="G136" s="108">
        <v>40271.49</v>
      </c>
      <c r="H136" s="109">
        <v>1.535260304498294</v>
      </c>
      <c r="I136" s="109">
        <v>519.5564705882354</v>
      </c>
      <c r="J136" s="109">
        <v>338.41588235294114</v>
      </c>
      <c r="K136" s="109"/>
      <c r="L136" s="108">
        <v>14.5</v>
      </c>
    </row>
    <row r="137">
      <c r="A137" s="91" t="s">
        <v>317</v>
      </c>
      <c r="B137" s="91" t="s">
        <v>245</v>
      </c>
      <c r="C137" s="92" t="s">
        <v>262</v>
      </c>
      <c r="D137" s="92">
        <v>4</v>
      </c>
      <c r="E137" s="92">
        <v>39</v>
      </c>
      <c r="F137" s="103">
        <v>20038.9</v>
      </c>
      <c r="G137" s="103">
        <v>11330.69</v>
      </c>
      <c r="H137" s="104">
        <v>1.7685507237423317</v>
      </c>
      <c r="I137" s="104">
        <v>513.8179487179488</v>
      </c>
      <c r="J137" s="104">
        <v>290.53051282051285</v>
      </c>
      <c r="K137" s="105" t="s">
        <v>250</v>
      </c>
      <c r="L137" s="92">
        <v>1</v>
      </c>
    </row>
    <row r="138">
      <c r="A138" s="91" t="s">
        <v>317</v>
      </c>
      <c r="B138" s="106" t="s">
        <v>255</v>
      </c>
      <c r="C138" s="92" t="s">
        <v>263</v>
      </c>
      <c r="D138" s="92">
        <v>4</v>
      </c>
      <c r="E138" s="92">
        <v>12</v>
      </c>
      <c r="F138" s="103">
        <v>9364.799999999996</v>
      </c>
      <c r="G138" s="103">
        <v>5292.570000000001</v>
      </c>
      <c r="H138" s="104">
        <v>1.7694239282616941</v>
      </c>
      <c r="I138" s="104">
        <v>780.3999999999996</v>
      </c>
      <c r="J138" s="104">
        <v>441.04750000000007</v>
      </c>
      <c r="K138" s="105" t="s">
        <v>252</v>
      </c>
      <c r="L138" s="92">
        <v>5</v>
      </c>
    </row>
    <row r="139">
      <c r="A139" s="91" t="s">
        <v>317</v>
      </c>
      <c r="B139" s="106" t="s">
        <v>295</v>
      </c>
      <c r="C139" s="92" t="s">
        <v>265</v>
      </c>
      <c r="D139" s="92">
        <v>4</v>
      </c>
      <c r="E139" s="92">
        <v>22</v>
      </c>
      <c r="F139" s="103">
        <v>17211.960000000006</v>
      </c>
      <c r="G139" s="103">
        <v>5610.3</v>
      </c>
      <c r="H139" s="104">
        <v>3.067921501523984</v>
      </c>
      <c r="I139" s="104">
        <v>782.3618181818184</v>
      </c>
      <c r="J139" s="104">
        <v>255.01363636363638</v>
      </c>
      <c r="K139" s="105" t="s">
        <v>281</v>
      </c>
      <c r="L139" s="92">
        <v>6</v>
      </c>
    </row>
    <row r="140">
      <c r="A140" s="107" t="s">
        <v>317</v>
      </c>
      <c r="B140" s="108"/>
      <c r="C140" s="108"/>
      <c r="D140" s="108">
        <v>12</v>
      </c>
      <c r="E140" s="108">
        <v>73</v>
      </c>
      <c r="F140" s="108">
        <v>46615.66</v>
      </c>
      <c r="G140" s="108">
        <v>22233.56</v>
      </c>
      <c r="H140" s="109">
        <v>2.09663499682462</v>
      </c>
      <c r="I140" s="109">
        <v>638.5706849315069</v>
      </c>
      <c r="J140" s="109">
        <v>304.56931506849315</v>
      </c>
      <c r="K140" s="109"/>
      <c r="L140" s="108">
        <v>12</v>
      </c>
    </row>
    <row r="141">
      <c r="A141" s="91" t="s">
        <v>318</v>
      </c>
      <c r="B141" s="91" t="s">
        <v>245</v>
      </c>
      <c r="C141" s="92" t="s">
        <v>262</v>
      </c>
      <c r="D141" s="92">
        <v>4</v>
      </c>
      <c r="E141" s="92">
        <v>17</v>
      </c>
      <c r="F141" s="103">
        <v>8239.1</v>
      </c>
      <c r="G141" s="103">
        <v>5963.7300000000005</v>
      </c>
      <c r="H141" s="104">
        <v>1.3815347106592686</v>
      </c>
      <c r="I141" s="104">
        <v>484.6529411764706</v>
      </c>
      <c r="J141" s="104">
        <v>350.80764705882353</v>
      </c>
      <c r="K141" s="105" t="s">
        <v>250</v>
      </c>
      <c r="L141" s="92">
        <v>1</v>
      </c>
    </row>
    <row r="142">
      <c r="A142" s="91" t="s">
        <v>318</v>
      </c>
      <c r="B142" s="106" t="s">
        <v>255</v>
      </c>
      <c r="C142" s="92" t="s">
        <v>263</v>
      </c>
      <c r="D142" s="92">
        <v>4</v>
      </c>
      <c r="E142" s="92">
        <v>40</v>
      </c>
      <c r="F142" s="103">
        <v>19978.340000000004</v>
      </c>
      <c r="G142" s="103">
        <v>12607.3</v>
      </c>
      <c r="H142" s="104">
        <v>1.5846644404432357</v>
      </c>
      <c r="I142" s="104">
        <v>499.4585000000001</v>
      </c>
      <c r="J142" s="104">
        <v>315.1825</v>
      </c>
      <c r="K142" s="105" t="s">
        <v>252</v>
      </c>
      <c r="L142" s="92">
        <v>5</v>
      </c>
    </row>
    <row customHeight="true" ht="16.071428571428573" r="143">
      <c r="A143" s="91" t="s">
        <v>318</v>
      </c>
      <c r="B143" s="91" t="s">
        <v>248</v>
      </c>
      <c r="C143" s="91" t="s">
        <v>264</v>
      </c>
      <c r="D143" s="91">
        <v>4</v>
      </c>
      <c r="E143" s="91">
        <v>40</v>
      </c>
      <c r="F143" s="94">
        <v>24312.399999999994</v>
      </c>
      <c r="G143" s="94">
        <v>14387.760000000002</v>
      </c>
      <c r="H143" s="95">
        <v>1.6897974389342045</v>
      </c>
      <c r="I143" s="95">
        <v>607.8099999999998</v>
      </c>
      <c r="J143" s="95">
        <v>359.6940000000001</v>
      </c>
      <c r="K143" s="98"/>
      <c r="L143" s="9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  <c r="AD143" s="111"/>
      <c r="AE143" s="111"/>
      <c r="AF143" s="111"/>
      <c r="AG143" s="111"/>
    </row>
    <row r="144">
      <c r="A144" s="91" t="s">
        <v>318</v>
      </c>
      <c r="B144" s="106" t="s">
        <v>295</v>
      </c>
      <c r="C144" s="92" t="s">
        <v>265</v>
      </c>
      <c r="D144" s="92">
        <v>4</v>
      </c>
      <c r="E144" s="92">
        <v>56</v>
      </c>
      <c r="F144" s="103">
        <v>23914.4</v>
      </c>
      <c r="G144" s="103">
        <v>17515.73</v>
      </c>
      <c r="H144" s="104">
        <v>1.3653099242794906</v>
      </c>
      <c r="I144" s="104">
        <v>427.04285714285714</v>
      </c>
      <c r="J144" s="104">
        <v>312.7808928571429</v>
      </c>
      <c r="K144" s="98" t="s">
        <v>281</v>
      </c>
      <c r="L144" s="91">
        <v>10</v>
      </c>
    </row>
    <row r="145">
      <c r="A145" s="107" t="s">
        <v>318</v>
      </c>
      <c r="B145" s="108"/>
      <c r="C145" s="108"/>
      <c r="D145" s="108">
        <v>16</v>
      </c>
      <c r="E145" s="108">
        <v>153</v>
      </c>
      <c r="F145" s="108">
        <v>76444.23999999999</v>
      </c>
      <c r="G145" s="108">
        <v>50474.520000000004</v>
      </c>
      <c r="H145" s="109">
        <v>1.5145114802478554</v>
      </c>
      <c r="I145" s="109">
        <v>499.63555555555547</v>
      </c>
      <c r="J145" s="109">
        <v>329.8988235294118</v>
      </c>
      <c r="K145" s="109"/>
      <c r="L145" s="108">
        <v>16</v>
      </c>
    </row>
    <row r="146">
      <c r="A146" s="91" t="s">
        <v>319</v>
      </c>
      <c r="B146" s="91" t="s">
        <v>245</v>
      </c>
      <c r="C146" s="92" t="s">
        <v>262</v>
      </c>
      <c r="D146" s="110">
        <f>4-0.5</f>
      </c>
      <c r="E146" s="92">
        <v>58</v>
      </c>
      <c r="F146" s="103">
        <v>29992.59</v>
      </c>
      <c r="G146" s="103">
        <v>16935.190000000002</v>
      </c>
      <c r="H146" s="104">
        <v>1.771021760015683</v>
      </c>
      <c r="I146" s="104">
        <v>517.1136206896551</v>
      </c>
      <c r="J146" s="104">
        <v>291.98603448275867</v>
      </c>
      <c r="K146" s="96" t="s">
        <v>277</v>
      </c>
      <c r="L146" s="91">
        <v>9</v>
      </c>
    </row>
    <row r="147">
      <c r="A147" s="91" t="s">
        <v>319</v>
      </c>
      <c r="B147" s="106" t="s">
        <v>248</v>
      </c>
      <c r="C147" s="92" t="s">
        <v>263</v>
      </c>
      <c r="D147" s="110">
        <f>4-0.25</f>
      </c>
      <c r="E147" s="92">
        <v>38</v>
      </c>
      <c r="F147" s="103">
        <v>15024.759999999998</v>
      </c>
      <c r="G147" s="103">
        <v>15971.23</v>
      </c>
      <c r="H147" s="104">
        <v>0.9407390664338312</v>
      </c>
      <c r="I147" s="104">
        <v>395.38842105263154</v>
      </c>
      <c r="J147" s="104">
        <v>420.29552631578946</v>
      </c>
      <c r="K147" s="105"/>
      <c r="L147" s="92"/>
    </row>
    <row r="148">
      <c r="A148" s="93" t="s">
        <v>319</v>
      </c>
      <c r="B148" s="93" t="s">
        <v>273</v>
      </c>
      <c r="C148" s="91" t="s">
        <v>287</v>
      </c>
      <c r="D148" s="91">
        <v>1</v>
      </c>
      <c r="E148" s="91">
        <v>2</v>
      </c>
      <c r="F148" s="94">
        <v>892.8000000000029</v>
      </c>
      <c r="G148" s="94">
        <v>2654.58</v>
      </c>
      <c r="H148" s="95">
        <v>0.33632439029903144</v>
      </c>
      <c r="I148" s="95">
        <v>446.40000000000146</v>
      </c>
      <c r="J148" s="95">
        <v>1327.29</v>
      </c>
      <c r="K148" s="98"/>
      <c r="L148" s="91"/>
    </row>
    <row r="149">
      <c r="A149" s="107" t="s">
        <v>318</v>
      </c>
      <c r="B149" s="108"/>
      <c r="C149" s="108"/>
      <c r="D149" s="108">
        <v>9</v>
      </c>
      <c r="E149" s="108">
        <v>98</v>
      </c>
      <c r="F149" s="108">
        <v>45910.15</v>
      </c>
      <c r="G149" s="108">
        <v>35561</v>
      </c>
      <c r="H149" s="109">
        <v>1.2910252805039228</v>
      </c>
      <c r="I149" s="109">
        <v>468.47091836734694</v>
      </c>
      <c r="J149" s="109">
        <v>362.8673469387755</v>
      </c>
      <c r="K149" s="109"/>
      <c r="L149" s="108">
        <v>9</v>
      </c>
    </row>
    <row r="150">
      <c r="F150" s="112"/>
      <c r="G150" s="112"/>
    </row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  <c r="AA169" s="111"/>
      <c r="AB169" s="111"/>
      <c r="AC169" s="111"/>
      <c r="AD169" s="111"/>
      <c r="AE169" s="111"/>
      <c r="AF169" s="111"/>
      <c r="AG169" s="111"/>
    </row>
    <row r="170"/>
    <row r="171"/>
    <row r="172"/>
    <row r="173"/>
    <row r="174"/>
    <row r="175"/>
    <row r="176"/>
    <row r="177"/>
    <row r="178"/>
    <row r="179">
      <c r="I179" s="113"/>
    </row>
  </sheetData>
  <autoFilter ref="A1:L176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7" min="7" style="0" width="11.211267605633802"/>
    <col collapsed="false" customWidth="true" hidden="false" max="11" min="11" style="0" width="11.211267605633802"/>
    <col collapsed="false" customWidth="true" hidden="false" max="15" min="15" style="0" width="11.211267605633802"/>
    <col collapsed="false" customWidth="true" hidden="false" max="4" min="4" style="0" width="11.211267605633802"/>
    <col collapsed="false" customWidth="true" hidden="false" max="8" min="8" style="0" width="11.211267605633802"/>
    <col collapsed="false" customWidth="true" hidden="false" max="12" min="12" style="0" width="11.211267605633802"/>
    <col collapsed="false" customWidth="true" hidden="false" max="16" min="16" style="0" width="11.211267605633802"/>
    <col collapsed="false" customWidth="true" hidden="false" max="5" min="5" style="0" width="11.211267605633802"/>
    <col collapsed="false" customWidth="true" hidden="false" max="9" min="9" style="0" width="11.211267605633802"/>
    <col collapsed="false" customWidth="true" hidden="false" max="13" min="13" style="0" width="11.211267605633802"/>
    <col collapsed="false" customWidth="true" hidden="false" max="17" min="17" style="0" width="11.211267605633802"/>
    <col collapsed="false" customWidth="true" hidden="false" max="6" min="6" style="0" width="11.211267605633802"/>
    <col collapsed="false" customWidth="true" hidden="false" max="10" min="10" style="0" width="11.211267605633802"/>
    <col collapsed="false" customWidth="true" hidden="false" max="14" min="14" style="0" width="11.211267605633802"/>
    <col collapsed="false" customWidth="true" hidden="false" max="18" min="18" style="0" width="11.211267605633802"/>
  </cols>
  <sheetData>
    <row r="1">
      <c r="A1" s="114" t="s">
        <v>320</v>
      </c>
      <c r="B1" s="114" t="s">
        <v>321</v>
      </c>
      <c r="C1" s="114" t="s">
        <v>322</v>
      </c>
      <c r="D1" s="114" t="s">
        <v>323</v>
      </c>
      <c r="E1" s="114" t="s">
        <v>324</v>
      </c>
      <c r="F1" s="114" t="s">
        <v>325</v>
      </c>
      <c r="G1" s="114" t="s">
        <v>326</v>
      </c>
      <c r="H1" s="114" t="s">
        <v>327</v>
      </c>
      <c r="I1" s="115" t="s">
        <v>328</v>
      </c>
      <c r="J1" s="115" t="s">
        <v>329</v>
      </c>
      <c r="K1" s="115" t="s">
        <v>330</v>
      </c>
      <c r="L1" s="115" t="s">
        <v>331</v>
      </c>
      <c r="M1" s="114" t="s">
        <v>332</v>
      </c>
    </row>
    <row r="2">
      <c r="A2" s="116" t="s">
        <v>333</v>
      </c>
      <c r="B2" s="116" t="s">
        <v>334</v>
      </c>
      <c r="C2" s="116" t="s">
        <v>335</v>
      </c>
      <c r="D2" s="116">
        <v>4</v>
      </c>
      <c r="E2" s="116">
        <v>62</v>
      </c>
      <c r="F2" s="116">
        <v>3</v>
      </c>
      <c r="G2" s="117">
        <v>28437.36</v>
      </c>
      <c r="H2" s="117">
        <v>17329.32</v>
      </c>
      <c r="I2" s="118">
        <f t="shared" ref="I2:I126" si="1">G2/H2</f>
      </c>
      <c r="J2" s="118">
        <f t="shared" ref="J2:J126" si="0">G2/E2</f>
      </c>
      <c r="K2" s="118">
        <f t="shared" ref="K2:K126" si="2">H2/E2</f>
      </c>
      <c r="L2" s="119" t="s">
        <v>336</v>
      </c>
      <c r="M2" s="116">
        <v>8</v>
      </c>
    </row>
    <row r="3">
      <c r="A3" s="116" t="s">
        <v>333</v>
      </c>
      <c r="B3" s="116" t="s">
        <v>337</v>
      </c>
      <c r="C3" s="116" t="s">
        <v>338</v>
      </c>
      <c r="D3" s="116">
        <v>4</v>
      </c>
      <c r="E3" s="116">
        <v>68</v>
      </c>
      <c r="F3" s="116">
        <v>5</v>
      </c>
      <c r="G3" s="117">
        <v>37646.02</v>
      </c>
      <c r="H3" s="117">
        <v>22358.46</v>
      </c>
      <c r="I3" s="118">
        <f t="shared" si="1"/>
      </c>
      <c r="J3" s="118">
        <f t="shared" si="0"/>
      </c>
      <c r="K3" s="118">
        <f t="shared" si="2"/>
      </c>
      <c r="L3" s="119" t="s">
        <v>339</v>
      </c>
      <c r="M3" s="116">
        <v>1</v>
      </c>
    </row>
    <row r="4">
      <c r="A4" s="116" t="s">
        <v>333</v>
      </c>
      <c r="B4" s="116" t="s">
        <v>340</v>
      </c>
      <c r="C4" s="116" t="s">
        <v>341</v>
      </c>
      <c r="D4" s="116">
        <v>3</v>
      </c>
      <c r="E4" s="116">
        <v>18</v>
      </c>
      <c r="F4" s="116">
        <v>1</v>
      </c>
      <c r="G4" s="117">
        <v>8395.36</v>
      </c>
      <c r="H4" s="117">
        <v>9096.08</v>
      </c>
      <c r="I4" s="118">
        <f t="shared" si="1"/>
      </c>
      <c r="J4" s="118">
        <f t="shared" si="0"/>
      </c>
      <c r="K4" s="118">
        <f t="shared" si="2"/>
      </c>
      <c r="L4" s="119" t="s">
        <v>342</v>
      </c>
      <c r="M4" s="116">
        <v>2</v>
      </c>
    </row>
    <row r="5">
      <c r="A5" s="120" t="s">
        <v>333</v>
      </c>
      <c r="B5" s="121"/>
      <c r="C5" s="121"/>
      <c r="D5" s="121">
        <f>SUM(D2:D4)</f>
      </c>
      <c r="E5" s="121">
        <f>SUM(E2:E4)</f>
      </c>
      <c r="F5" s="121">
        <f>SUM(F2:F4)</f>
      </c>
      <c r="G5" s="121">
        <f>SUM(G2:G4)</f>
      </c>
      <c r="H5" s="121">
        <f>SUM(H2:H4)</f>
      </c>
      <c r="I5" s="122">
        <f t="shared" si="1"/>
      </c>
      <c r="J5" s="122">
        <f t="shared" si="0"/>
      </c>
      <c r="K5" s="122">
        <f t="shared" si="2"/>
      </c>
      <c r="L5" s="122"/>
      <c r="M5" s="121">
        <f>SUM(M2:M4)</f>
      </c>
      <c r="P5" s="123"/>
      <c r="Q5" s="123"/>
      <c r="R5" s="123"/>
    </row>
    <row r="6">
      <c r="A6" s="124" t="s">
        <v>343</v>
      </c>
      <c r="B6" s="125" t="s">
        <v>334</v>
      </c>
      <c r="C6" s="124" t="s">
        <v>335</v>
      </c>
      <c r="D6" s="124">
        <v>4</v>
      </c>
      <c r="E6" s="124">
        <v>32</v>
      </c>
      <c r="F6" s="124">
        <v>3</v>
      </c>
      <c r="G6" s="126">
        <v>18660.920000000002</v>
      </c>
      <c r="H6" s="126">
        <v>13021.850000000002</v>
      </c>
      <c r="I6" s="127">
        <f t="shared" si="1"/>
      </c>
      <c r="J6" s="127">
        <f t="shared" si="0"/>
      </c>
      <c r="K6" s="127">
        <f t="shared" si="2"/>
      </c>
      <c r="L6" s="128" t="s">
        <v>344</v>
      </c>
      <c r="M6" s="124">
        <v>8</v>
      </c>
    </row>
    <row r="7">
      <c r="A7" s="124" t="s">
        <v>343</v>
      </c>
      <c r="B7" s="125" t="s">
        <v>337</v>
      </c>
      <c r="C7" s="124" t="s">
        <v>338</v>
      </c>
      <c r="D7" s="124">
        <v>4</v>
      </c>
      <c r="E7" s="124">
        <v>40</v>
      </c>
      <c r="F7" s="124">
        <v>6</v>
      </c>
      <c r="G7" s="126">
        <v>22957.359999999997</v>
      </c>
      <c r="H7" s="126">
        <v>13626.16</v>
      </c>
      <c r="I7" s="127">
        <f t="shared" si="1"/>
      </c>
      <c r="J7" s="127">
        <f t="shared" si="0"/>
      </c>
      <c r="K7" s="127">
        <f t="shared" si="2"/>
      </c>
      <c r="L7" s="128"/>
      <c r="M7" s="124"/>
    </row>
    <row r="8">
      <c r="A8" s="124" t="s">
        <v>343</v>
      </c>
      <c r="B8" s="125" t="s">
        <v>345</v>
      </c>
      <c r="C8" s="124" t="s">
        <v>346</v>
      </c>
      <c r="D8" s="124">
        <v>2</v>
      </c>
      <c r="E8" s="124">
        <v>11</v>
      </c>
      <c r="F8" s="124">
        <v>1</v>
      </c>
      <c r="G8" s="126">
        <v>7537.92</v>
      </c>
      <c r="H8" s="126">
        <v>4909.05</v>
      </c>
      <c r="I8" s="127">
        <f t="shared" si="1"/>
      </c>
      <c r="J8" s="127">
        <f t="shared" si="0"/>
      </c>
      <c r="K8" s="127">
        <f t="shared" si="2"/>
      </c>
      <c r="L8" s="128" t="s">
        <v>342</v>
      </c>
      <c r="M8" s="124">
        <v>2</v>
      </c>
      <c r="N8" s="123"/>
    </row>
    <row r="9">
      <c r="A9" s="129" t="s">
        <v>343</v>
      </c>
      <c r="B9" s="130"/>
      <c r="C9" s="130"/>
      <c r="D9" s="130">
        <f>SUM(D6:D8)</f>
      </c>
      <c r="E9" s="130">
        <f>SUM(E6:E8)</f>
      </c>
      <c r="F9" s="130">
        <f>SUM(F6:F8)</f>
      </c>
      <c r="G9" s="130">
        <f>SUM(G6:G8)</f>
      </c>
      <c r="H9" s="130">
        <f>SUM(H6:H8)</f>
      </c>
      <c r="I9" s="131">
        <f t="shared" si="1"/>
      </c>
      <c r="J9" s="131">
        <f t="shared" si="0"/>
      </c>
      <c r="K9" s="131">
        <f t="shared" si="2"/>
      </c>
      <c r="L9" s="131"/>
      <c r="M9" s="130">
        <f>SUM(M6:M8)</f>
      </c>
      <c r="N9" s="123"/>
    </row>
    <row r="10">
      <c r="A10" s="124" t="s">
        <v>347</v>
      </c>
      <c r="B10" s="125" t="s">
        <v>337</v>
      </c>
      <c r="C10" s="124" t="s">
        <v>348</v>
      </c>
      <c r="D10" s="124">
        <v>5</v>
      </c>
      <c r="E10" s="124">
        <v>100</v>
      </c>
      <c r="F10" s="124">
        <v>5</v>
      </c>
      <c r="G10" s="126">
        <v>54922.75</v>
      </c>
      <c r="H10" s="126">
        <v>28874.43</v>
      </c>
      <c r="I10" s="127">
        <f t="shared" si="1"/>
      </c>
      <c r="J10" s="127">
        <f t="shared" si="0"/>
      </c>
      <c r="K10" s="127">
        <f t="shared" si="2"/>
      </c>
      <c r="L10" s="128" t="s">
        <v>344</v>
      </c>
      <c r="M10" s="124">
        <v>8</v>
      </c>
      <c r="N10" s="123"/>
    </row>
    <row r="11">
      <c r="A11" s="124" t="s">
        <v>347</v>
      </c>
      <c r="B11" s="125" t="s">
        <v>334</v>
      </c>
      <c r="C11" s="124" t="s">
        <v>349</v>
      </c>
      <c r="D11" s="124">
        <v>5</v>
      </c>
      <c r="E11" s="124">
        <v>99</v>
      </c>
      <c r="F11" s="124">
        <v>2</v>
      </c>
      <c r="G11" s="126">
        <v>43575.92</v>
      </c>
      <c r="H11" s="126">
        <v>26740.100000000002</v>
      </c>
      <c r="I11" s="127">
        <f t="shared" si="1"/>
      </c>
      <c r="J11" s="127">
        <f t="shared" si="0"/>
      </c>
      <c r="K11" s="127">
        <f t="shared" si="2"/>
      </c>
      <c r="L11" s="128"/>
      <c r="M11" s="124"/>
      <c r="N11" s="123"/>
    </row>
    <row r="12">
      <c r="A12" s="124" t="s">
        <v>347</v>
      </c>
      <c r="B12" s="125" t="s">
        <v>345</v>
      </c>
      <c r="C12" s="124" t="s">
        <v>350</v>
      </c>
      <c r="D12" s="124">
        <v>2</v>
      </c>
      <c r="E12" s="124">
        <v>20</v>
      </c>
      <c r="F12" s="124">
        <v>2</v>
      </c>
      <c r="G12" s="126">
        <v>11154.24</v>
      </c>
      <c r="H12" s="126">
        <v>11092.64</v>
      </c>
      <c r="I12" s="127">
        <f t="shared" si="1"/>
      </c>
      <c r="J12" s="127">
        <f t="shared" si="0"/>
      </c>
      <c r="K12" s="127">
        <f t="shared" si="2"/>
      </c>
      <c r="L12" s="128" t="s">
        <v>342</v>
      </c>
      <c r="M12" s="124">
        <v>4</v>
      </c>
      <c r="N12" s="123"/>
    </row>
    <row r="13">
      <c r="A13" s="129" t="s">
        <v>347</v>
      </c>
      <c r="B13" s="130"/>
      <c r="C13" s="130"/>
      <c r="D13" s="130">
        <f>SUM(D10:D12)</f>
      </c>
      <c r="E13" s="130">
        <f>SUM(E10:E12)</f>
      </c>
      <c r="F13" s="130">
        <f>SUM(F10:F12)</f>
      </c>
      <c r="G13" s="130">
        <f>SUM(G10:G12)</f>
      </c>
      <c r="H13" s="130">
        <f>SUM(H10:H12)</f>
      </c>
      <c r="I13" s="131">
        <f t="shared" si="1"/>
      </c>
      <c r="J13" s="131">
        <f t="shared" si="0"/>
      </c>
      <c r="K13" s="131">
        <f t="shared" si="2"/>
      </c>
      <c r="L13" s="131"/>
      <c r="M13" s="130">
        <f>SUM(M10:M12)</f>
      </c>
      <c r="N13" s="123"/>
    </row>
    <row r="14">
      <c r="A14" s="124" t="s">
        <v>351</v>
      </c>
      <c r="B14" s="125" t="s">
        <v>337</v>
      </c>
      <c r="C14" s="124" t="s">
        <v>335</v>
      </c>
      <c r="D14" s="124">
        <v>4</v>
      </c>
      <c r="E14" s="124">
        <v>76</v>
      </c>
      <c r="F14" s="124">
        <v>6</v>
      </c>
      <c r="G14" s="126">
        <v>51459.49</v>
      </c>
      <c r="H14" s="126">
        <v>24750.78</v>
      </c>
      <c r="I14" s="127">
        <f t="shared" si="1"/>
      </c>
      <c r="J14" s="127">
        <f t="shared" si="0"/>
      </c>
      <c r="K14" s="127">
        <f t="shared" si="2"/>
      </c>
      <c r="L14" s="128" t="s">
        <v>344</v>
      </c>
      <c r="M14" s="124">
        <v>9</v>
      </c>
      <c r="N14" s="123"/>
    </row>
    <row r="15">
      <c r="A15" s="124" t="s">
        <v>351</v>
      </c>
      <c r="B15" s="125" t="s">
        <v>334</v>
      </c>
      <c r="C15" s="124" t="s">
        <v>352</v>
      </c>
      <c r="D15" s="124">
        <v>5</v>
      </c>
      <c r="E15" s="124">
        <v>56</v>
      </c>
      <c r="F15" s="124">
        <v>1</v>
      </c>
      <c r="G15" s="126">
        <v>23744.950000000004</v>
      </c>
      <c r="H15" s="126">
        <v>17566.7</v>
      </c>
      <c r="I15" s="127">
        <f t="shared" si="1"/>
      </c>
      <c r="J15" s="127">
        <f t="shared" si="0"/>
      </c>
      <c r="K15" s="127">
        <f t="shared" si="2"/>
      </c>
      <c r="L15" s="128"/>
      <c r="M15" s="124"/>
      <c r="N15" s="123"/>
    </row>
    <row r="16">
      <c r="A16" s="129" t="s">
        <v>351</v>
      </c>
      <c r="B16" s="130"/>
      <c r="C16" s="130"/>
      <c r="D16" s="130">
        <f>SUM(D14:D15)</f>
      </c>
      <c r="E16" s="130">
        <f>SUM(E14:E15)</f>
      </c>
      <c r="F16" s="130">
        <f>SUM(F14:F15)</f>
      </c>
      <c r="G16" s="130">
        <f>SUM(G14:G15)</f>
      </c>
      <c r="H16" s="130">
        <f>SUM(H14:H15)</f>
      </c>
      <c r="I16" s="131">
        <f t="shared" si="1"/>
      </c>
      <c r="J16" s="131">
        <f t="shared" si="0"/>
      </c>
      <c r="K16" s="131">
        <f t="shared" si="2"/>
      </c>
      <c r="L16" s="131"/>
      <c r="M16" s="130">
        <f>SUM(M14:M15)</f>
      </c>
    </row>
    <row r="17">
      <c r="A17" s="124" t="s">
        <v>353</v>
      </c>
      <c r="B17" s="125" t="s">
        <v>337</v>
      </c>
      <c r="C17" s="124" t="s">
        <v>335</v>
      </c>
      <c r="D17" s="124">
        <v>4</v>
      </c>
      <c r="E17" s="124">
        <v>32</v>
      </c>
      <c r="F17" s="124">
        <v>0</v>
      </c>
      <c r="G17" s="126">
        <v>13865.31</v>
      </c>
      <c r="H17" s="126">
        <v>12471.48</v>
      </c>
      <c r="I17" s="127">
        <f t="shared" si="1"/>
      </c>
      <c r="J17" s="127">
        <f t="shared" si="0"/>
      </c>
      <c r="K17" s="127">
        <f t="shared" si="2"/>
      </c>
      <c r="L17" s="128" t="s">
        <v>344</v>
      </c>
      <c r="M17" s="124">
        <v>9</v>
      </c>
    </row>
    <row r="18">
      <c r="A18" s="124" t="s">
        <v>353</v>
      </c>
      <c r="B18" s="125" t="s">
        <v>334</v>
      </c>
      <c r="C18" s="124" t="s">
        <v>352</v>
      </c>
      <c r="D18" s="124">
        <v>5</v>
      </c>
      <c r="E18" s="124">
        <v>51</v>
      </c>
      <c r="F18" s="124">
        <v>1</v>
      </c>
      <c r="G18" s="126">
        <v>25787.78</v>
      </c>
      <c r="H18" s="126">
        <v>13327.14</v>
      </c>
      <c r="I18" s="127">
        <f t="shared" si="1"/>
      </c>
      <c r="J18" s="127">
        <f t="shared" si="0"/>
      </c>
      <c r="K18" s="127">
        <f t="shared" si="2"/>
      </c>
      <c r="L18" s="128"/>
      <c r="M18" s="124"/>
    </row>
    <row r="19">
      <c r="A19" s="129" t="s">
        <v>351</v>
      </c>
      <c r="B19" s="130"/>
      <c r="C19" s="130"/>
      <c r="D19" s="130">
        <f>SUM(D17:D18)</f>
      </c>
      <c r="E19" s="130">
        <f>SUM(E17:E18)</f>
      </c>
      <c r="F19" s="130">
        <f>SUM(F17:F18)</f>
      </c>
      <c r="G19" s="130">
        <f>SUM(G17:G18)</f>
      </c>
      <c r="H19" s="130">
        <f>SUM(H17:H18)</f>
      </c>
      <c r="I19" s="131">
        <f t="shared" si="1"/>
      </c>
      <c r="J19" s="131">
        <f t="shared" si="0"/>
      </c>
      <c r="K19" s="131">
        <f t="shared" si="2"/>
      </c>
      <c r="L19" s="131"/>
      <c r="M19" s="130">
        <f>SUM(M17:M18)</f>
      </c>
      <c r="P19" s="123"/>
      <c r="Q19" s="123"/>
      <c r="R19" s="123"/>
    </row>
    <row r="20">
      <c r="A20" s="124" t="s">
        <v>354</v>
      </c>
      <c r="B20" s="125" t="s">
        <v>337</v>
      </c>
      <c r="C20" s="124" t="s">
        <v>335</v>
      </c>
      <c r="D20" s="124">
        <v>4</v>
      </c>
      <c r="E20" s="124">
        <v>95</v>
      </c>
      <c r="F20" s="124">
        <v>8</v>
      </c>
      <c r="G20" s="126">
        <v>50862.229999999996</v>
      </c>
      <c r="H20" s="126">
        <v>21787.36</v>
      </c>
      <c r="I20" s="127">
        <f t="shared" si="1"/>
      </c>
      <c r="J20" s="127">
        <f t="shared" si="0"/>
      </c>
      <c r="K20" s="127">
        <f t="shared" si="2"/>
      </c>
      <c r="L20" s="128" t="s">
        <v>344</v>
      </c>
      <c r="M20" s="124">
        <v>9</v>
      </c>
    </row>
    <row r="21">
      <c r="A21" s="124" t="s">
        <v>354</v>
      </c>
      <c r="B21" s="125" t="s">
        <v>355</v>
      </c>
      <c r="C21" s="124" t="s">
        <v>356</v>
      </c>
      <c r="D21" s="124">
        <v>3</v>
      </c>
      <c r="E21" s="124">
        <v>42</v>
      </c>
      <c r="F21" s="124">
        <v>4</v>
      </c>
      <c r="G21" s="126">
        <v>18790.809999999998</v>
      </c>
      <c r="H21" s="126">
        <v>12957.380000000001</v>
      </c>
      <c r="I21" s="127">
        <f t="shared" si="1"/>
      </c>
      <c r="J21" s="127">
        <f t="shared" si="0"/>
      </c>
      <c r="K21" s="127">
        <f t="shared" si="2"/>
      </c>
      <c r="L21" s="128"/>
      <c r="M21" s="124"/>
    </row>
    <row r="22">
      <c r="A22" s="124" t="s">
        <v>354</v>
      </c>
      <c r="B22" s="125" t="s">
        <v>334</v>
      </c>
      <c r="C22" s="124" t="s">
        <v>357</v>
      </c>
      <c r="D22" s="124">
        <v>2</v>
      </c>
      <c r="E22" s="124">
        <v>8</v>
      </c>
      <c r="F22" s="124">
        <v>0</v>
      </c>
      <c r="G22" s="126">
        <v>3069.3600000000006</v>
      </c>
      <c r="H22" s="126">
        <v>4023.3300000000004</v>
      </c>
      <c r="I22" s="127">
        <f t="shared" si="1"/>
      </c>
      <c r="J22" s="127">
        <f t="shared" si="0"/>
      </c>
      <c r="K22" s="127">
        <f t="shared" si="2"/>
      </c>
      <c r="L22" s="128"/>
      <c r="M22" s="124"/>
    </row>
    <row r="23">
      <c r="A23" s="129" t="s">
        <v>354</v>
      </c>
      <c r="B23" s="130"/>
      <c r="C23" s="130"/>
      <c r="D23" s="130">
        <f>SUM(D20:D22)</f>
      </c>
      <c r="E23" s="130">
        <f>SUM(E20:E22)</f>
      </c>
      <c r="F23" s="130">
        <f>SUM(F20:F22)</f>
      </c>
      <c r="G23" s="130">
        <f>SUM(G20:G22)</f>
      </c>
      <c r="H23" s="130">
        <f>SUM(H20:H22)</f>
      </c>
      <c r="I23" s="131">
        <f t="shared" si="1"/>
      </c>
      <c r="J23" s="131">
        <f t="shared" si="0"/>
      </c>
      <c r="K23" s="131">
        <f t="shared" si="2"/>
      </c>
      <c r="L23" s="131"/>
      <c r="M23" s="130">
        <f>SUM(M20:M22)</f>
      </c>
    </row>
    <row r="24">
      <c r="A24" s="124" t="s">
        <v>358</v>
      </c>
      <c r="B24" s="125" t="s">
        <v>337</v>
      </c>
      <c r="C24" s="124" t="s">
        <v>348</v>
      </c>
      <c r="D24" s="124">
        <v>5</v>
      </c>
      <c r="E24" s="124">
        <v>48</v>
      </c>
      <c r="F24" s="124">
        <v>2</v>
      </c>
      <c r="G24" s="126">
        <v>18893.28</v>
      </c>
      <c r="H24" s="126">
        <v>14808.880000000001</v>
      </c>
      <c r="I24" s="127">
        <f t="shared" si="1"/>
      </c>
      <c r="J24" s="127">
        <f t="shared" si="0"/>
      </c>
      <c r="K24" s="127">
        <f t="shared" si="2"/>
      </c>
      <c r="L24" s="128" t="s">
        <v>344</v>
      </c>
      <c r="M24" s="124">
        <v>10</v>
      </c>
    </row>
    <row r="25">
      <c r="A25" s="124" t="s">
        <v>358</v>
      </c>
      <c r="B25" s="125" t="s">
        <v>334</v>
      </c>
      <c r="C25" s="124" t="s">
        <v>349</v>
      </c>
      <c r="D25" s="124">
        <v>5</v>
      </c>
      <c r="E25" s="124">
        <v>53</v>
      </c>
      <c r="F25" s="124">
        <v>4</v>
      </c>
      <c r="G25" s="126">
        <v>29743.920000000006</v>
      </c>
      <c r="H25" s="126">
        <v>16404.090000000004</v>
      </c>
      <c r="I25" s="127">
        <f t="shared" si="1"/>
      </c>
      <c r="J25" s="127">
        <f t="shared" si="0"/>
      </c>
      <c r="K25" s="127">
        <f t="shared" si="2"/>
      </c>
      <c r="L25" s="128"/>
      <c r="M25" s="124"/>
    </row>
    <row r="26">
      <c r="A26" s="129" t="s">
        <v>358</v>
      </c>
      <c r="B26" s="130"/>
      <c r="C26" s="130"/>
      <c r="D26" s="130">
        <f>SUM(D24:D25)</f>
      </c>
      <c r="E26" s="130">
        <f>SUM(E24:E25)</f>
      </c>
      <c r="F26" s="130">
        <f>SUM(F24:F25)</f>
      </c>
      <c r="G26" s="130">
        <f>SUM(G24:G25)</f>
      </c>
      <c r="H26" s="130">
        <f>SUM(H24:H25)</f>
      </c>
      <c r="I26" s="131">
        <f t="shared" si="1"/>
      </c>
      <c r="J26" s="131">
        <f t="shared" si="0"/>
      </c>
      <c r="K26" s="131">
        <f t="shared" si="2"/>
      </c>
      <c r="L26" s="131"/>
      <c r="M26" s="130">
        <f>SUM(M24:M25)</f>
      </c>
    </row>
    <row r="27">
      <c r="A27" s="124" t="s">
        <v>359</v>
      </c>
      <c r="B27" s="125" t="s">
        <v>337</v>
      </c>
      <c r="C27" s="124" t="s">
        <v>348</v>
      </c>
      <c r="D27" s="124">
        <v>5</v>
      </c>
      <c r="E27" s="124">
        <v>82</v>
      </c>
      <c r="F27" s="124">
        <v>4</v>
      </c>
      <c r="G27" s="126">
        <v>44192.340000000004</v>
      </c>
      <c r="H27" s="126">
        <v>22091.91</v>
      </c>
      <c r="I27" s="127">
        <f t="shared" si="1"/>
      </c>
      <c r="J27" s="127">
        <f t="shared" si="0"/>
      </c>
      <c r="K27" s="127">
        <f t="shared" si="2"/>
      </c>
      <c r="L27" s="128" t="s">
        <v>344</v>
      </c>
      <c r="M27" s="124">
        <v>9</v>
      </c>
    </row>
    <row r="28">
      <c r="A28" s="124" t="s">
        <v>359</v>
      </c>
      <c r="B28" s="125" t="s">
        <v>334</v>
      </c>
      <c r="C28" s="124" t="s">
        <v>360</v>
      </c>
      <c r="D28" s="124">
        <v>4</v>
      </c>
      <c r="E28" s="124">
        <v>38</v>
      </c>
      <c r="F28" s="124">
        <v>2</v>
      </c>
      <c r="G28" s="126">
        <v>13155.979999999996</v>
      </c>
      <c r="H28" s="126">
        <v>14319.990000000002</v>
      </c>
      <c r="I28" s="127">
        <f t="shared" si="1"/>
      </c>
      <c r="J28" s="127">
        <f t="shared" si="0"/>
      </c>
      <c r="K28" s="127">
        <f t="shared" si="2"/>
      </c>
      <c r="L28" s="128"/>
      <c r="M28" s="124"/>
    </row>
    <row r="29">
      <c r="A29" s="129" t="s">
        <v>359</v>
      </c>
      <c r="B29" s="130"/>
      <c r="C29" s="130"/>
      <c r="D29" s="130">
        <f>SUM(D27:D28)</f>
      </c>
      <c r="E29" s="130">
        <f>SUM(E27:E28)</f>
      </c>
      <c r="F29" s="130">
        <f>SUM(F27:F28)</f>
      </c>
      <c r="G29" s="130">
        <f>SUM(G27:G28)</f>
      </c>
      <c r="H29" s="130">
        <f>SUM(H27:H28)</f>
      </c>
      <c r="I29" s="131">
        <f t="shared" si="1"/>
      </c>
      <c r="J29" s="131">
        <f t="shared" si="0"/>
      </c>
      <c r="K29" s="131">
        <f t="shared" si="2"/>
      </c>
      <c r="L29" s="131"/>
      <c r="M29" s="130">
        <f>SUM(M27:M28)</f>
      </c>
    </row>
    <row r="30">
      <c r="A30" s="124" t="s">
        <v>361</v>
      </c>
      <c r="B30" s="116" t="s">
        <v>334</v>
      </c>
      <c r="C30" s="124" t="s">
        <v>335</v>
      </c>
      <c r="D30" s="124">
        <v>4</v>
      </c>
      <c r="E30" s="124">
        <v>78</v>
      </c>
      <c r="F30" s="124">
        <v>4</v>
      </c>
      <c r="G30" s="126">
        <v>44204.86</v>
      </c>
      <c r="H30" s="126">
        <v>20127.55</v>
      </c>
      <c r="I30" s="127">
        <f t="shared" si="1"/>
      </c>
      <c r="J30" s="127">
        <f t="shared" si="0"/>
      </c>
      <c r="K30" s="127">
        <f t="shared" si="2"/>
      </c>
      <c r="L30" s="128" t="s">
        <v>344</v>
      </c>
      <c r="M30" s="124">
        <v>6</v>
      </c>
    </row>
    <row r="31">
      <c r="A31" s="124" t="s">
        <v>361</v>
      </c>
      <c r="B31" s="116" t="s">
        <v>337</v>
      </c>
      <c r="C31" s="124" t="s">
        <v>338</v>
      </c>
      <c r="D31" s="124">
        <v>4</v>
      </c>
      <c r="E31" s="124">
        <v>40</v>
      </c>
      <c r="F31" s="124">
        <v>3</v>
      </c>
      <c r="G31" s="126">
        <v>18993.92</v>
      </c>
      <c r="H31" s="126">
        <v>13009.85</v>
      </c>
      <c r="I31" s="127">
        <f t="shared" si="1"/>
      </c>
      <c r="J31" s="127">
        <f t="shared" si="0"/>
      </c>
      <c r="K31" s="127">
        <f t="shared" si="2"/>
      </c>
      <c r="L31" s="128" t="s">
        <v>362</v>
      </c>
      <c r="M31" s="124">
        <v>4</v>
      </c>
    </row>
    <row r="32">
      <c r="A32" s="124" t="s">
        <v>361</v>
      </c>
      <c r="B32" s="125" t="s">
        <v>363</v>
      </c>
      <c r="C32" s="124" t="s">
        <v>364</v>
      </c>
      <c r="D32" s="124">
        <v>3</v>
      </c>
      <c r="E32" s="124">
        <v>22</v>
      </c>
      <c r="F32" s="124">
        <v>2</v>
      </c>
      <c r="G32" s="126">
        <v>12864.23999999999</v>
      </c>
      <c r="H32" s="126">
        <v>7180.1900000000005</v>
      </c>
      <c r="I32" s="127">
        <f t="shared" si="1"/>
      </c>
      <c r="J32" s="127">
        <f t="shared" si="0"/>
      </c>
      <c r="K32" s="127">
        <f t="shared" si="2"/>
      </c>
      <c r="L32" s="128" t="s">
        <v>365</v>
      </c>
      <c r="M32" s="124">
        <v>1</v>
      </c>
    </row>
    <row r="33">
      <c r="A33" s="129" t="s">
        <v>361</v>
      </c>
      <c r="B33" s="130"/>
      <c r="C33" s="130"/>
      <c r="D33" s="130">
        <f>SUM(D30:D32)</f>
      </c>
      <c r="E33" s="130">
        <f>SUM(E30:E32)</f>
      </c>
      <c r="F33" s="130">
        <f>SUM(F30:F32)</f>
      </c>
      <c r="G33" s="130">
        <f>SUM(G30:G32)</f>
      </c>
      <c r="H33" s="130">
        <f>SUM(H30:H32)</f>
      </c>
      <c r="I33" s="131">
        <f t="shared" si="1"/>
      </c>
      <c r="J33" s="131">
        <f t="shared" si="0"/>
      </c>
      <c r="K33" s="131">
        <f t="shared" si="2"/>
      </c>
      <c r="L33" s="131"/>
      <c r="M33" s="130">
        <f>SUM(M30:M32)</f>
      </c>
    </row>
    <row r="34">
      <c r="A34" s="124" t="s">
        <v>366</v>
      </c>
      <c r="B34" s="116" t="s">
        <v>337</v>
      </c>
      <c r="C34" s="124" t="s">
        <v>335</v>
      </c>
      <c r="D34" s="124">
        <v>4</v>
      </c>
      <c r="E34" s="124">
        <v>26</v>
      </c>
      <c r="F34" s="124">
        <v>1</v>
      </c>
      <c r="G34" s="126">
        <v>12444.48</v>
      </c>
      <c r="H34" s="126">
        <v>8762.5</v>
      </c>
      <c r="I34" s="127">
        <f t="shared" si="1"/>
      </c>
      <c r="J34" s="127">
        <f t="shared" si="0"/>
      </c>
      <c r="K34" s="127">
        <f t="shared" si="2"/>
      </c>
      <c r="L34" s="128" t="s">
        <v>344</v>
      </c>
      <c r="M34" s="124">
        <v>10</v>
      </c>
    </row>
    <row r="35">
      <c r="A35" s="124" t="s">
        <v>366</v>
      </c>
      <c r="B35" s="116" t="s">
        <v>334</v>
      </c>
      <c r="C35" s="124" t="s">
        <v>338</v>
      </c>
      <c r="D35" s="124">
        <v>4</v>
      </c>
      <c r="E35" s="124">
        <v>39</v>
      </c>
      <c r="F35" s="124">
        <v>0</v>
      </c>
      <c r="G35" s="126">
        <v>18385.28</v>
      </c>
      <c r="H35" s="126">
        <v>11748.89</v>
      </c>
      <c r="I35" s="127">
        <f t="shared" si="1"/>
      </c>
      <c r="J35" s="127">
        <f t="shared" si="0"/>
      </c>
      <c r="K35" s="127">
        <f t="shared" si="2"/>
      </c>
      <c r="L35" s="128" t="s">
        <v>362</v>
      </c>
      <c r="M35" s="124">
        <v>1</v>
      </c>
    </row>
    <row r="36">
      <c r="A36" s="124" t="s">
        <v>366</v>
      </c>
      <c r="B36" s="125" t="s">
        <v>363</v>
      </c>
      <c r="C36" s="124" t="s">
        <v>364</v>
      </c>
      <c r="D36" s="124">
        <v>3</v>
      </c>
      <c r="E36" s="124">
        <v>28</v>
      </c>
      <c r="F36" s="124">
        <v>2</v>
      </c>
      <c r="G36" s="126">
        <v>14239.960000000003</v>
      </c>
      <c r="H36" s="126">
        <v>8588.970000000001</v>
      </c>
      <c r="I36" s="127">
        <f t="shared" si="1"/>
      </c>
      <c r="J36" s="127">
        <f t="shared" si="0"/>
      </c>
      <c r="K36" s="127">
        <f t="shared" si="2"/>
      </c>
      <c r="L36" s="128"/>
      <c r="M36" s="124"/>
    </row>
    <row r="37">
      <c r="A37" s="129" t="s">
        <v>366</v>
      </c>
      <c r="B37" s="130"/>
      <c r="C37" s="130"/>
      <c r="D37" s="130">
        <f>SUM(D34:D36)</f>
      </c>
      <c r="E37" s="130">
        <f>SUM(E34:E36)</f>
      </c>
      <c r="F37" s="130">
        <f>SUM(F34:F36)</f>
      </c>
      <c r="G37" s="130">
        <f>SUM(G34:G36)</f>
      </c>
      <c r="H37" s="130">
        <f>SUM(H34:H36)</f>
      </c>
      <c r="I37" s="131">
        <f t="shared" si="1"/>
      </c>
      <c r="J37" s="131">
        <f t="shared" si="0"/>
      </c>
      <c r="K37" s="131">
        <f t="shared" si="2"/>
      </c>
      <c r="L37" s="131"/>
      <c r="M37" s="130">
        <f>SUM(M34:M36)</f>
      </c>
    </row>
    <row r="38">
      <c r="A38" s="124" t="s">
        <v>367</v>
      </c>
      <c r="B38" s="116" t="s">
        <v>337</v>
      </c>
      <c r="C38" s="124" t="s">
        <v>335</v>
      </c>
      <c r="D38" s="124">
        <v>4</v>
      </c>
      <c r="E38" s="124">
        <v>65</v>
      </c>
      <c r="F38" s="124">
        <v>6</v>
      </c>
      <c r="G38" s="126">
        <v>39978.79</v>
      </c>
      <c r="H38" s="126">
        <v>15567.289999999999</v>
      </c>
      <c r="I38" s="127">
        <f t="shared" si="1"/>
      </c>
      <c r="J38" s="127">
        <f t="shared" si="0"/>
      </c>
      <c r="K38" s="127">
        <f t="shared" si="2"/>
      </c>
      <c r="L38" s="128" t="s">
        <v>344</v>
      </c>
      <c r="M38" s="124">
        <v>10</v>
      </c>
    </row>
    <row r="39">
      <c r="A39" s="124" t="s">
        <v>367</v>
      </c>
      <c r="B39" s="116" t="s">
        <v>334</v>
      </c>
      <c r="C39" s="124" t="s">
        <v>338</v>
      </c>
      <c r="D39" s="124">
        <v>4</v>
      </c>
      <c r="E39" s="124">
        <v>39</v>
      </c>
      <c r="F39" s="124">
        <v>2</v>
      </c>
      <c r="G39" s="126">
        <v>12930.660000000003</v>
      </c>
      <c r="H39" s="126">
        <v>13534.46</v>
      </c>
      <c r="I39" s="127">
        <f t="shared" si="1"/>
      </c>
      <c r="J39" s="127">
        <f t="shared" si="0"/>
      </c>
      <c r="K39" s="127">
        <f t="shared" si="2"/>
      </c>
      <c r="L39" s="128"/>
      <c r="M39" s="124"/>
    </row>
    <row r="40">
      <c r="A40" s="124" t="s">
        <v>367</v>
      </c>
      <c r="B40" s="125" t="s">
        <v>363</v>
      </c>
      <c r="C40" s="124" t="s">
        <v>368</v>
      </c>
      <c r="D40" s="124">
        <v>4</v>
      </c>
      <c r="E40" s="124">
        <v>20</v>
      </c>
      <c r="F40" s="124">
        <v>1</v>
      </c>
      <c r="G40" s="126">
        <v>12064.68</v>
      </c>
      <c r="H40" s="126">
        <v>8507.720000000001</v>
      </c>
      <c r="I40" s="127">
        <f t="shared" si="1"/>
      </c>
      <c r="J40" s="127">
        <f t="shared" si="0"/>
      </c>
      <c r="K40" s="127">
        <f t="shared" si="2"/>
      </c>
      <c r="L40" s="128" t="s">
        <v>365</v>
      </c>
      <c r="M40" s="124">
        <v>2</v>
      </c>
    </row>
    <row r="41">
      <c r="A41" s="129" t="s">
        <v>367</v>
      </c>
      <c r="B41" s="130"/>
      <c r="C41" s="130"/>
      <c r="D41" s="130">
        <f>SUM(D38:D40)</f>
      </c>
      <c r="E41" s="130">
        <f>SUM(E38:E40)</f>
      </c>
      <c r="F41" s="130">
        <f>SUM(F38:F40)</f>
      </c>
      <c r="G41" s="130">
        <f>SUM(G38:G40)</f>
      </c>
      <c r="H41" s="130">
        <f>SUM(H38:H40)</f>
      </c>
      <c r="I41" s="131">
        <f t="shared" si="1"/>
      </c>
      <c r="J41" s="131">
        <f t="shared" si="0"/>
      </c>
      <c r="K41" s="131">
        <f t="shared" si="2"/>
      </c>
      <c r="L41" s="131"/>
      <c r="M41" s="130">
        <f>SUM(M38:M40)</f>
      </c>
    </row>
    <row r="42">
      <c r="A42" s="124" t="s">
        <v>369</v>
      </c>
      <c r="B42" s="116" t="s">
        <v>337</v>
      </c>
      <c r="C42" s="124" t="s">
        <v>348</v>
      </c>
      <c r="D42" s="124">
        <v>5</v>
      </c>
      <c r="E42" s="124">
        <v>53</v>
      </c>
      <c r="F42" s="124">
        <v>10</v>
      </c>
      <c r="G42" s="126">
        <v>30751.56</v>
      </c>
      <c r="H42" s="126">
        <v>14596.73</v>
      </c>
      <c r="I42" s="127">
        <f t="shared" si="1"/>
      </c>
      <c r="J42" s="127">
        <f t="shared" si="0"/>
      </c>
      <c r="K42" s="127">
        <f t="shared" si="2"/>
      </c>
      <c r="L42" s="128" t="s">
        <v>336</v>
      </c>
      <c r="M42" s="124">
        <v>13</v>
      </c>
    </row>
    <row r="43">
      <c r="A43" s="124" t="s">
        <v>369</v>
      </c>
      <c r="B43" s="116" t="s">
        <v>334</v>
      </c>
      <c r="C43" s="124" t="s">
        <v>360</v>
      </c>
      <c r="D43" s="124">
        <v>4</v>
      </c>
      <c r="E43" s="124">
        <v>32</v>
      </c>
      <c r="F43" s="124">
        <v>2</v>
      </c>
      <c r="G43" s="126">
        <v>14495.749999999996</v>
      </c>
      <c r="H43" s="126">
        <v>11609.5</v>
      </c>
      <c r="I43" s="127">
        <f t="shared" si="1"/>
      </c>
      <c r="J43" s="127">
        <f t="shared" si="0"/>
      </c>
      <c r="K43" s="127">
        <f t="shared" si="2"/>
      </c>
      <c r="L43" s="128"/>
      <c r="M43" s="124"/>
    </row>
    <row r="44">
      <c r="A44" s="124" t="s">
        <v>369</v>
      </c>
      <c r="B44" s="125" t="s">
        <v>363</v>
      </c>
      <c r="C44" s="124" t="s">
        <v>370</v>
      </c>
      <c r="D44" s="124">
        <v>4</v>
      </c>
      <c r="E44" s="124">
        <v>40</v>
      </c>
      <c r="F44" s="124">
        <v>4</v>
      </c>
      <c r="G44" s="126">
        <v>22554.87000000001</v>
      </c>
      <c r="H44" s="126">
        <v>13033.02</v>
      </c>
      <c r="I44" s="127">
        <f t="shared" si="1"/>
      </c>
      <c r="J44" s="127">
        <f t="shared" si="0"/>
      </c>
      <c r="K44" s="127">
        <f t="shared" si="2"/>
      </c>
      <c r="L44" s="128"/>
      <c r="M44" s="124"/>
    </row>
    <row r="45">
      <c r="A45" s="129" t="s">
        <v>369</v>
      </c>
      <c r="B45" s="130"/>
      <c r="C45" s="130"/>
      <c r="D45" s="130">
        <f>SUM(D42:D44)</f>
      </c>
      <c r="E45" s="130">
        <f>SUM(E42:E44)</f>
      </c>
      <c r="F45" s="130">
        <f>SUM(F42:F44)</f>
      </c>
      <c r="G45" s="130">
        <f>SUM(G42:G44)</f>
      </c>
      <c r="H45" s="130">
        <f>SUM(H42:H44)</f>
      </c>
      <c r="I45" s="131">
        <f t="shared" si="1"/>
      </c>
      <c r="J45" s="131">
        <f t="shared" si="0"/>
      </c>
      <c r="K45" s="131">
        <f t="shared" si="2"/>
      </c>
      <c r="L45" s="131"/>
      <c r="M45" s="130">
        <f>SUM(M42:M44)</f>
      </c>
    </row>
    <row r="46">
      <c r="A46" s="124" t="s">
        <v>371</v>
      </c>
      <c r="B46" s="116" t="s">
        <v>337</v>
      </c>
      <c r="C46" s="124" t="s">
        <v>335</v>
      </c>
      <c r="D46" s="124">
        <v>4</v>
      </c>
      <c r="E46" s="124">
        <v>68</v>
      </c>
      <c r="F46" s="124">
        <v>6</v>
      </c>
      <c r="G46" s="126">
        <v>34350.97</v>
      </c>
      <c r="H46" s="126">
        <v>17436.58</v>
      </c>
      <c r="I46" s="127">
        <f t="shared" si="1"/>
      </c>
      <c r="J46" s="127">
        <f t="shared" si="0"/>
      </c>
      <c r="K46" s="127">
        <f t="shared" si="2"/>
      </c>
      <c r="L46" s="128" t="s">
        <v>344</v>
      </c>
      <c r="M46" s="124">
        <v>9</v>
      </c>
    </row>
    <row r="47">
      <c r="A47" s="124" t="s">
        <v>371</v>
      </c>
      <c r="B47" s="132" t="s">
        <v>355</v>
      </c>
      <c r="C47" s="124" t="s">
        <v>338</v>
      </c>
      <c r="D47" s="124">
        <v>4</v>
      </c>
      <c r="E47" s="124">
        <v>55</v>
      </c>
      <c r="F47" s="124">
        <v>4</v>
      </c>
      <c r="G47" s="126">
        <v>25686.71</v>
      </c>
      <c r="H47" s="126">
        <v>14805.12</v>
      </c>
      <c r="I47" s="127">
        <f t="shared" si="1"/>
      </c>
      <c r="J47" s="127">
        <f t="shared" si="0"/>
      </c>
      <c r="K47" s="127">
        <f t="shared" si="2"/>
      </c>
      <c r="L47" s="128" t="s">
        <v>362</v>
      </c>
      <c r="M47" s="124">
        <v>1</v>
      </c>
    </row>
    <row r="48">
      <c r="A48" s="124" t="s">
        <v>371</v>
      </c>
      <c r="B48" s="125" t="s">
        <v>363</v>
      </c>
      <c r="C48" s="124" t="s">
        <v>364</v>
      </c>
      <c r="D48" s="124">
        <v>3</v>
      </c>
      <c r="E48" s="124">
        <v>10</v>
      </c>
      <c r="F48" s="124">
        <v>0</v>
      </c>
      <c r="G48" s="126">
        <v>4769.8399999999965</v>
      </c>
      <c r="H48" s="126">
        <v>6805.38</v>
      </c>
      <c r="I48" s="127">
        <f t="shared" si="1"/>
      </c>
      <c r="J48" s="127">
        <f t="shared" si="0"/>
      </c>
      <c r="K48" s="127">
        <f t="shared" si="2"/>
      </c>
      <c r="L48" s="128" t="s">
        <v>365</v>
      </c>
      <c r="M48" s="124">
        <v>1</v>
      </c>
    </row>
    <row r="49">
      <c r="A49" s="129" t="s">
        <v>371</v>
      </c>
      <c r="B49" s="130"/>
      <c r="C49" s="130"/>
      <c r="D49" s="130">
        <f>SUM(D46:D48)</f>
      </c>
      <c r="E49" s="130">
        <f>SUM(E46:E48)</f>
      </c>
      <c r="F49" s="130">
        <f>SUM(F46:F48)</f>
      </c>
      <c r="G49" s="130">
        <f>SUM(G46:G48)</f>
      </c>
      <c r="H49" s="130">
        <f>SUM(H46:H48)</f>
      </c>
      <c r="I49" s="131">
        <f t="shared" si="1"/>
      </c>
      <c r="J49" s="131">
        <f t="shared" si="0"/>
      </c>
      <c r="K49" s="131">
        <f t="shared" si="2"/>
      </c>
      <c r="L49" s="131"/>
      <c r="M49" s="130">
        <f>SUM(M46:M48)</f>
      </c>
      <c r="N49" s="133"/>
    </row>
    <row r="50">
      <c r="A50" s="124" t="s">
        <v>372</v>
      </c>
      <c r="B50" s="116" t="s">
        <v>334</v>
      </c>
      <c r="C50" s="124" t="s">
        <v>335</v>
      </c>
      <c r="D50" s="124">
        <v>4</v>
      </c>
      <c r="E50" s="124">
        <v>31</v>
      </c>
      <c r="F50" s="124">
        <v>1</v>
      </c>
      <c r="G50" s="126">
        <v>15715.52</v>
      </c>
      <c r="H50" s="126">
        <v>9302.6</v>
      </c>
      <c r="I50" s="127">
        <f t="shared" si="1"/>
      </c>
      <c r="J50" s="127">
        <f t="shared" si="0"/>
      </c>
      <c r="K50" s="127">
        <f t="shared" si="2"/>
      </c>
      <c r="L50" s="128" t="s">
        <v>344</v>
      </c>
      <c r="M50" s="124">
        <v>9</v>
      </c>
    </row>
    <row r="51">
      <c r="A51" s="124" t="s">
        <v>372</v>
      </c>
      <c r="B51" s="132" t="s">
        <v>355</v>
      </c>
      <c r="C51" s="124" t="s">
        <v>338</v>
      </c>
      <c r="D51" s="124">
        <v>4</v>
      </c>
      <c r="E51" s="124">
        <v>32</v>
      </c>
      <c r="F51" s="124">
        <v>3</v>
      </c>
      <c r="G51" s="126">
        <v>17090.999999999996</v>
      </c>
      <c r="H51" s="126">
        <v>9096.5</v>
      </c>
      <c r="I51" s="127">
        <f t="shared" si="1"/>
      </c>
      <c r="J51" s="127">
        <f t="shared" si="0"/>
      </c>
      <c r="K51" s="127">
        <f t="shared" si="2"/>
      </c>
      <c r="L51" s="128" t="s">
        <v>362</v>
      </c>
      <c r="M51" s="124">
        <v>1</v>
      </c>
    </row>
    <row r="52">
      <c r="A52" s="124" t="s">
        <v>372</v>
      </c>
      <c r="B52" s="125" t="s">
        <v>363</v>
      </c>
      <c r="C52" s="124" t="s">
        <v>364</v>
      </c>
      <c r="D52" s="124">
        <v>3</v>
      </c>
      <c r="E52" s="124">
        <v>18</v>
      </c>
      <c r="F52" s="124">
        <v>1</v>
      </c>
      <c r="G52" s="126">
        <v>8360.900000000001</v>
      </c>
      <c r="H52" s="126">
        <v>8483.990000000002</v>
      </c>
      <c r="I52" s="127">
        <f t="shared" si="1"/>
      </c>
      <c r="J52" s="127">
        <f t="shared" si="0"/>
      </c>
      <c r="K52" s="127">
        <f t="shared" si="2"/>
      </c>
      <c r="L52" s="128" t="s">
        <v>365</v>
      </c>
      <c r="M52" s="124">
        <v>1</v>
      </c>
    </row>
    <row r="53">
      <c r="A53" s="129" t="s">
        <v>372</v>
      </c>
      <c r="B53" s="130"/>
      <c r="C53" s="130"/>
      <c r="D53" s="130">
        <f>SUM(D50:D52)</f>
      </c>
      <c r="E53" s="130">
        <f>SUM(E50:E52)</f>
      </c>
      <c r="F53" s="130">
        <f>SUM(F50:F52)</f>
      </c>
      <c r="G53" s="130">
        <f>SUM(G50:G52)</f>
      </c>
      <c r="H53" s="130">
        <f>SUM(H50:H52)</f>
      </c>
      <c r="I53" s="131">
        <f t="shared" si="1"/>
      </c>
      <c r="J53" s="131">
        <f t="shared" si="0"/>
      </c>
      <c r="K53" s="131">
        <f t="shared" si="2"/>
      </c>
      <c r="L53" s="131"/>
      <c r="M53" s="130">
        <f>SUM(M50:M52)</f>
      </c>
      <c r="N53" s="133"/>
    </row>
    <row r="54">
      <c r="A54" s="124" t="s">
        <v>373</v>
      </c>
      <c r="B54" s="116" t="s">
        <v>334</v>
      </c>
      <c r="C54" s="124" t="s">
        <v>335</v>
      </c>
      <c r="D54" s="124">
        <v>4</v>
      </c>
      <c r="E54" s="124">
        <v>30</v>
      </c>
      <c r="F54" s="124">
        <v>1</v>
      </c>
      <c r="G54" s="126">
        <v>13590.35</v>
      </c>
      <c r="H54" s="126">
        <v>10181.82</v>
      </c>
      <c r="I54" s="127">
        <f t="shared" si="1"/>
      </c>
      <c r="J54" s="127">
        <f t="shared" si="0"/>
      </c>
      <c r="K54" s="127">
        <f t="shared" si="2"/>
      </c>
      <c r="L54" s="128" t="s">
        <v>336</v>
      </c>
      <c r="M54" s="124">
        <v>11</v>
      </c>
    </row>
    <row r="55">
      <c r="A55" s="124" t="s">
        <v>373</v>
      </c>
      <c r="B55" s="132" t="s">
        <v>337</v>
      </c>
      <c r="C55" s="124" t="s">
        <v>338</v>
      </c>
      <c r="D55" s="124">
        <v>4</v>
      </c>
      <c r="E55" s="124">
        <v>18</v>
      </c>
      <c r="F55" s="124">
        <v>0</v>
      </c>
      <c r="G55" s="126">
        <v>6517.490000000002</v>
      </c>
      <c r="H55" s="126">
        <v>7545.18</v>
      </c>
      <c r="I55" s="127">
        <f t="shared" si="1"/>
      </c>
      <c r="J55" s="127">
        <f t="shared" si="0"/>
      </c>
      <c r="K55" s="127">
        <f t="shared" si="2"/>
      </c>
      <c r="L55" s="128"/>
      <c r="M55" s="124"/>
    </row>
    <row r="56">
      <c r="A56" s="124" t="s">
        <v>373</v>
      </c>
      <c r="B56" s="125" t="s">
        <v>363</v>
      </c>
      <c r="C56" s="124" t="s">
        <v>364</v>
      </c>
      <c r="D56" s="124">
        <v>3</v>
      </c>
      <c r="E56" s="124">
        <v>19</v>
      </c>
      <c r="F56" s="124">
        <v>1</v>
      </c>
      <c r="G56" s="126">
        <v>9976.199999999997</v>
      </c>
      <c r="H56" s="126">
        <v>5189.46</v>
      </c>
      <c r="I56" s="127">
        <f t="shared" si="1"/>
      </c>
      <c r="J56" s="127">
        <f t="shared" si="0"/>
      </c>
      <c r="K56" s="127">
        <f t="shared" si="2"/>
      </c>
      <c r="L56" s="128"/>
      <c r="M56" s="124"/>
    </row>
    <row r="57">
      <c r="A57" s="129" t="s">
        <v>373</v>
      </c>
      <c r="B57" s="130"/>
      <c r="C57" s="130"/>
      <c r="D57" s="130">
        <f>SUM(D54:D56)</f>
      </c>
      <c r="E57" s="130">
        <f>SUM(E54:E56)</f>
      </c>
      <c r="F57" s="130">
        <f>SUM(F54:F56)</f>
      </c>
      <c r="G57" s="130">
        <f>SUM(G54:G56)</f>
      </c>
      <c r="H57" s="130">
        <f>SUM(H54:H56)</f>
      </c>
      <c r="I57" s="131">
        <f t="shared" si="1"/>
      </c>
      <c r="J57" s="131">
        <f t="shared" si="0"/>
      </c>
      <c r="K57" s="131">
        <f t="shared" si="2"/>
      </c>
      <c r="L57" s="131"/>
      <c r="M57" s="130">
        <f>SUM(M54:M56)</f>
      </c>
      <c r="N57" s="133"/>
    </row>
    <row r="58">
      <c r="A58" s="124" t="s">
        <v>374</v>
      </c>
      <c r="B58" s="116" t="s">
        <v>337</v>
      </c>
      <c r="C58" s="124" t="s">
        <v>335</v>
      </c>
      <c r="D58" s="124">
        <v>4</v>
      </c>
      <c r="E58" s="124">
        <v>49</v>
      </c>
      <c r="F58" s="124">
        <v>5</v>
      </c>
      <c r="G58" s="126">
        <v>28092</v>
      </c>
      <c r="H58" s="126">
        <v>12415.619999999999</v>
      </c>
      <c r="I58" s="127">
        <f t="shared" si="1"/>
      </c>
      <c r="J58" s="127">
        <f t="shared" si="0"/>
      </c>
      <c r="K58" s="127">
        <f t="shared" si="2"/>
      </c>
      <c r="L58" s="128" t="s">
        <v>344</v>
      </c>
      <c r="M58" s="124">
        <v>9</v>
      </c>
    </row>
    <row r="59">
      <c r="A59" s="124" t="s">
        <v>374</v>
      </c>
      <c r="B59" s="132" t="s">
        <v>334</v>
      </c>
      <c r="C59" s="124" t="s">
        <v>338</v>
      </c>
      <c r="D59" s="124">
        <v>4</v>
      </c>
      <c r="E59" s="124">
        <v>30</v>
      </c>
      <c r="F59" s="124">
        <v>1</v>
      </c>
      <c r="G59" s="126">
        <v>16061.300000000003</v>
      </c>
      <c r="H59" s="126">
        <v>10358.279999999999</v>
      </c>
      <c r="I59" s="127">
        <f t="shared" si="1"/>
      </c>
      <c r="J59" s="127">
        <f t="shared" si="0"/>
      </c>
      <c r="K59" s="127">
        <f t="shared" si="2"/>
      </c>
      <c r="L59" s="128" t="s">
        <v>362</v>
      </c>
      <c r="M59" s="124">
        <v>2</v>
      </c>
    </row>
    <row r="60">
      <c r="A60" s="124" t="s">
        <v>374</v>
      </c>
      <c r="B60" s="125" t="s">
        <v>363</v>
      </c>
      <c r="C60" s="124" t="s">
        <v>368</v>
      </c>
      <c r="D60" s="124">
        <v>4</v>
      </c>
      <c r="E60" s="124">
        <v>45</v>
      </c>
      <c r="F60" s="124">
        <v>2</v>
      </c>
      <c r="G60" s="126">
        <v>22384.17</v>
      </c>
      <c r="H60" s="126">
        <v>10221.66</v>
      </c>
      <c r="I60" s="127">
        <f t="shared" si="1"/>
      </c>
      <c r="J60" s="127">
        <f t="shared" si="0"/>
      </c>
      <c r="K60" s="127">
        <f t="shared" si="2"/>
      </c>
      <c r="L60" s="128" t="s">
        <v>365</v>
      </c>
      <c r="M60" s="124">
        <v>1</v>
      </c>
    </row>
    <row r="61">
      <c r="A61" s="129" t="s">
        <v>374</v>
      </c>
      <c r="B61" s="130"/>
      <c r="C61" s="130"/>
      <c r="D61" s="130">
        <f>SUM(D58:D60)</f>
      </c>
      <c r="E61" s="130">
        <f>SUM(E58:E60)</f>
      </c>
      <c r="F61" s="130">
        <f>SUM(F58:F60)</f>
      </c>
      <c r="G61" s="130">
        <f>SUM(G58:G60)</f>
      </c>
      <c r="H61" s="130">
        <f>SUM(H58:H60)</f>
      </c>
      <c r="I61" s="131">
        <f t="shared" si="1"/>
      </c>
      <c r="J61" s="131">
        <f t="shared" si="0"/>
      </c>
      <c r="K61" s="131">
        <f t="shared" si="2"/>
      </c>
      <c r="L61" s="131"/>
      <c r="M61" s="130">
        <f>SUM(M58:M60)</f>
      </c>
      <c r="N61" s="133"/>
    </row>
    <row r="62">
      <c r="A62" s="124" t="s">
        <v>375</v>
      </c>
      <c r="B62" s="116" t="s">
        <v>337</v>
      </c>
      <c r="C62" s="124" t="s">
        <v>348</v>
      </c>
      <c r="D62" s="124">
        <v>5</v>
      </c>
      <c r="E62" s="124">
        <v>43</v>
      </c>
      <c r="F62" s="124">
        <v>2</v>
      </c>
      <c r="G62" s="126">
        <v>19106.42</v>
      </c>
      <c r="H62" s="126">
        <v>13077.23</v>
      </c>
      <c r="I62" s="127">
        <f t="shared" si="1"/>
      </c>
      <c r="J62" s="127">
        <f t="shared" si="0"/>
      </c>
      <c r="K62" s="127">
        <f t="shared" si="2"/>
      </c>
      <c r="L62" s="128" t="s">
        <v>344</v>
      </c>
      <c r="M62" s="124">
        <v>9</v>
      </c>
    </row>
    <row r="63">
      <c r="A63" s="124" t="s">
        <v>375</v>
      </c>
      <c r="B63" s="132" t="s">
        <v>334</v>
      </c>
      <c r="C63" s="124" t="s">
        <v>360</v>
      </c>
      <c r="D63" s="124">
        <v>4</v>
      </c>
      <c r="E63" s="124">
        <v>30</v>
      </c>
      <c r="F63" s="124">
        <v>0</v>
      </c>
      <c r="G63" s="126">
        <v>12760.380000000001</v>
      </c>
      <c r="H63" s="126">
        <v>11054.87</v>
      </c>
      <c r="I63" s="127">
        <f t="shared" si="1"/>
      </c>
      <c r="J63" s="127">
        <f t="shared" si="0"/>
      </c>
      <c r="K63" s="127">
        <f t="shared" si="2"/>
      </c>
      <c r="L63" s="128" t="s">
        <v>362</v>
      </c>
      <c r="M63" s="124">
        <v>1</v>
      </c>
    </row>
    <row r="64">
      <c r="A64" s="124" t="s">
        <v>375</v>
      </c>
      <c r="B64" s="125" t="s">
        <v>363</v>
      </c>
      <c r="C64" s="124" t="s">
        <v>376</v>
      </c>
      <c r="D64" s="124">
        <v>3</v>
      </c>
      <c r="E64" s="124">
        <v>31</v>
      </c>
      <c r="F64" s="124">
        <v>1</v>
      </c>
      <c r="G64" s="126">
        <v>15257.260000000006</v>
      </c>
      <c r="H64" s="126">
        <v>8714.04</v>
      </c>
      <c r="I64" s="127">
        <f t="shared" si="1"/>
      </c>
      <c r="J64" s="127">
        <f t="shared" si="0"/>
      </c>
      <c r="K64" s="127">
        <f t="shared" si="2"/>
      </c>
      <c r="L64" s="128" t="s">
        <v>365</v>
      </c>
      <c r="M64" s="124">
        <v>2</v>
      </c>
    </row>
    <row r="65">
      <c r="A65" s="129" t="s">
        <v>375</v>
      </c>
      <c r="B65" s="130"/>
      <c r="C65" s="130"/>
      <c r="D65" s="130">
        <f>SUM(D62:D64)</f>
      </c>
      <c r="E65" s="130">
        <f>SUM(E62:E64)</f>
      </c>
      <c r="F65" s="130">
        <f>SUM(F62:F64)</f>
      </c>
      <c r="G65" s="130">
        <f>SUM(G62:G64)</f>
      </c>
      <c r="H65" s="130">
        <f>SUM(H62:H64)</f>
      </c>
      <c r="I65" s="131">
        <f t="shared" si="1"/>
      </c>
      <c r="J65" s="131">
        <f t="shared" si="0"/>
      </c>
      <c r="K65" s="131">
        <f t="shared" si="2"/>
      </c>
      <c r="L65" s="131"/>
      <c r="M65" s="130">
        <f>SUM(M62:M64)</f>
      </c>
      <c r="N65" s="133"/>
    </row>
    <row r="66">
      <c r="A66" s="124" t="s">
        <v>377</v>
      </c>
      <c r="B66" s="116" t="s">
        <v>337</v>
      </c>
      <c r="C66" s="124" t="s">
        <v>335</v>
      </c>
      <c r="D66" s="124">
        <v>4</v>
      </c>
      <c r="E66" s="124">
        <v>23</v>
      </c>
      <c r="F66" s="124">
        <v>4</v>
      </c>
      <c r="G66" s="126">
        <v>13529.58</v>
      </c>
      <c r="H66" s="126">
        <v>6254.48</v>
      </c>
      <c r="I66" s="127">
        <f t="shared" si="1"/>
      </c>
      <c r="J66" s="127">
        <f t="shared" si="0"/>
      </c>
      <c r="K66" s="127">
        <f t="shared" si="2"/>
      </c>
      <c r="L66" s="128" t="s">
        <v>344</v>
      </c>
      <c r="M66" s="124">
        <v>11</v>
      </c>
    </row>
    <row r="67">
      <c r="A67" s="124" t="s">
        <v>377</v>
      </c>
      <c r="B67" s="132" t="s">
        <v>334</v>
      </c>
      <c r="C67" s="124" t="s">
        <v>338</v>
      </c>
      <c r="D67" s="124">
        <v>4</v>
      </c>
      <c r="E67" s="124">
        <v>33</v>
      </c>
      <c r="F67" s="124">
        <v>1</v>
      </c>
      <c r="G67" s="126">
        <v>17218.6</v>
      </c>
      <c r="H67" s="126">
        <v>11441.490000000002</v>
      </c>
      <c r="I67" s="127">
        <f t="shared" si="1"/>
      </c>
      <c r="J67" s="127">
        <f t="shared" si="0"/>
      </c>
      <c r="K67" s="127">
        <f t="shared" si="2"/>
      </c>
      <c r="L67" s="128"/>
      <c r="M67" s="124"/>
    </row>
    <row r="68">
      <c r="A68" s="124" t="s">
        <v>377</v>
      </c>
      <c r="B68" s="125" t="s">
        <v>363</v>
      </c>
      <c r="C68" s="124" t="s">
        <v>368</v>
      </c>
      <c r="D68" s="124">
        <v>3</v>
      </c>
      <c r="E68" s="124">
        <v>25</v>
      </c>
      <c r="F68" s="124">
        <v>1</v>
      </c>
      <c r="G68" s="126">
        <v>16969.770000000004</v>
      </c>
      <c r="H68" s="126">
        <v>8802.949999999999</v>
      </c>
      <c r="I68" s="127">
        <f t="shared" si="1"/>
      </c>
      <c r="J68" s="127">
        <f t="shared" si="0"/>
      </c>
      <c r="K68" s="127">
        <f t="shared" si="2"/>
      </c>
      <c r="L68" s="128"/>
      <c r="M68" s="124"/>
    </row>
    <row r="69">
      <c r="A69" s="129" t="s">
        <v>377</v>
      </c>
      <c r="B69" s="130"/>
      <c r="C69" s="130"/>
      <c r="D69" s="130">
        <f>SUM(D66:D68)</f>
      </c>
      <c r="E69" s="130">
        <f>SUM(E66:E68)</f>
      </c>
      <c r="F69" s="130">
        <f>SUM(F66:F68)</f>
      </c>
      <c r="G69" s="130">
        <f>SUM(G66:G68)</f>
      </c>
      <c r="H69" s="130">
        <f>SUM(H66:H68)</f>
      </c>
      <c r="I69" s="131">
        <f t="shared" si="1"/>
      </c>
      <c r="J69" s="131">
        <f t="shared" si="0"/>
      </c>
      <c r="K69" s="131">
        <f t="shared" si="2"/>
      </c>
      <c r="L69" s="131"/>
      <c r="M69" s="130">
        <f>SUM(M66:M68)</f>
      </c>
      <c r="N69" s="133"/>
    </row>
    <row r="70">
      <c r="A70" s="124" t="s">
        <v>378</v>
      </c>
      <c r="B70" s="116" t="s">
        <v>337</v>
      </c>
      <c r="C70" s="124" t="s">
        <v>348</v>
      </c>
      <c r="D70" s="124">
        <v>5</v>
      </c>
      <c r="E70" s="124">
        <v>114</v>
      </c>
      <c r="F70" s="124">
        <v>8</v>
      </c>
      <c r="G70" s="126">
        <v>60137.79</v>
      </c>
      <c r="H70" s="126">
        <v>32005.2</v>
      </c>
      <c r="I70" s="127">
        <f t="shared" si="1"/>
      </c>
      <c r="J70" s="127">
        <f t="shared" si="0"/>
      </c>
      <c r="K70" s="127">
        <f t="shared" si="2"/>
      </c>
      <c r="L70" s="128" t="s">
        <v>336</v>
      </c>
      <c r="M70" s="124">
        <v>6</v>
      </c>
    </row>
    <row r="71">
      <c r="A71" s="124" t="s">
        <v>378</v>
      </c>
      <c r="B71" s="132" t="s">
        <v>334</v>
      </c>
      <c r="C71" s="124" t="s">
        <v>360</v>
      </c>
      <c r="D71" s="124">
        <v>4</v>
      </c>
      <c r="E71" s="124">
        <v>114</v>
      </c>
      <c r="F71" s="124">
        <v>2</v>
      </c>
      <c r="G71" s="126">
        <v>65373.840000000004</v>
      </c>
      <c r="H71" s="126">
        <v>28163.96</v>
      </c>
      <c r="I71" s="127">
        <f t="shared" si="1"/>
      </c>
      <c r="J71" s="127">
        <f t="shared" si="0"/>
      </c>
      <c r="K71" s="127">
        <f t="shared" si="2"/>
      </c>
      <c r="L71" s="128" t="s">
        <v>379</v>
      </c>
      <c r="M71" s="124">
        <v>5</v>
      </c>
    </row>
    <row r="72">
      <c r="A72" s="124" t="s">
        <v>378</v>
      </c>
      <c r="B72" s="125" t="s">
        <v>363</v>
      </c>
      <c r="C72" s="124" t="s">
        <v>380</v>
      </c>
      <c r="D72" s="124">
        <v>3</v>
      </c>
      <c r="E72" s="124">
        <v>17</v>
      </c>
      <c r="F72" s="124">
        <v>0</v>
      </c>
      <c r="G72" s="126">
        <v>10023.639999999985</v>
      </c>
      <c r="H72" s="126">
        <v>9427.230000000001</v>
      </c>
      <c r="I72" s="127">
        <f t="shared" si="1"/>
      </c>
      <c r="J72" s="127">
        <f t="shared" si="0"/>
      </c>
      <c r="K72" s="127">
        <f t="shared" si="2"/>
      </c>
      <c r="L72" s="128" t="s">
        <v>362</v>
      </c>
      <c r="M72" s="124">
        <v>1</v>
      </c>
    </row>
    <row r="73">
      <c r="A73" s="129" t="s">
        <v>378</v>
      </c>
      <c r="B73" s="130"/>
      <c r="C73" s="130"/>
      <c r="D73" s="130">
        <f>SUM(D70:D72)</f>
      </c>
      <c r="E73" s="130">
        <f>SUM(E70:E72)</f>
      </c>
      <c r="F73" s="130">
        <f>SUM(F70:F72)</f>
      </c>
      <c r="G73" s="130">
        <f>SUM(G70:G72)</f>
      </c>
      <c r="H73" s="130">
        <f>SUM(H70:H72)</f>
      </c>
      <c r="I73" s="131">
        <f t="shared" si="1"/>
      </c>
      <c r="J73" s="131">
        <f t="shared" si="0"/>
      </c>
      <c r="K73" s="131">
        <f t="shared" si="2"/>
      </c>
      <c r="L73" s="131"/>
      <c r="M73" s="130">
        <f>SUM(M70:M72)</f>
      </c>
      <c r="N73" s="133"/>
      <c r="O73" s="133"/>
    </row>
    <row r="74">
      <c r="A74" s="124" t="s">
        <v>381</v>
      </c>
      <c r="B74" s="116" t="s">
        <v>334</v>
      </c>
      <c r="C74" s="124" t="s">
        <v>335</v>
      </c>
      <c r="D74" s="124">
        <v>4</v>
      </c>
      <c r="E74" s="124">
        <v>273</v>
      </c>
      <c r="F74" s="124">
        <v>3</v>
      </c>
      <c r="G74" s="126">
        <v>153472.49</v>
      </c>
      <c r="H74" s="126">
        <v>70861.89</v>
      </c>
      <c r="I74" s="127">
        <f t="shared" si="1"/>
      </c>
      <c r="J74" s="127">
        <f t="shared" si="0"/>
      </c>
      <c r="K74" s="127">
        <f t="shared" si="2"/>
      </c>
      <c r="L74" s="128" t="s">
        <v>344</v>
      </c>
      <c r="M74" s="124">
        <v>10</v>
      </c>
    </row>
    <row r="75">
      <c r="A75" s="124" t="s">
        <v>381</v>
      </c>
      <c r="B75" s="132" t="s">
        <v>337</v>
      </c>
      <c r="C75" s="124" t="s">
        <v>338</v>
      </c>
      <c r="D75" s="124">
        <v>4</v>
      </c>
      <c r="E75" s="124">
        <v>197</v>
      </c>
      <c r="F75" s="124">
        <v>7</v>
      </c>
      <c r="G75" s="126">
        <v>130217.69</v>
      </c>
      <c r="H75" s="126">
        <v>62488.25000000001</v>
      </c>
      <c r="I75" s="127">
        <f t="shared" si="1"/>
      </c>
      <c r="J75" s="127">
        <f t="shared" si="0"/>
      </c>
      <c r="K75" s="127">
        <f t="shared" si="2"/>
      </c>
      <c r="L75" s="128"/>
      <c r="M75" s="124"/>
    </row>
    <row r="76">
      <c r="A76" s="124" t="s">
        <v>381</v>
      </c>
      <c r="B76" s="125" t="s">
        <v>363</v>
      </c>
      <c r="C76" s="124" t="s">
        <v>364</v>
      </c>
      <c r="D76" s="124">
        <v>3</v>
      </c>
      <c r="E76" s="124">
        <v>61</v>
      </c>
      <c r="F76" s="124">
        <v>4</v>
      </c>
      <c r="G76" s="126">
        <v>41891.69</v>
      </c>
      <c r="H76" s="126">
        <v>22861.36</v>
      </c>
      <c r="I76" s="127">
        <f t="shared" si="1"/>
      </c>
      <c r="J76" s="127">
        <f t="shared" si="0"/>
      </c>
      <c r="K76" s="127">
        <f t="shared" si="2"/>
      </c>
      <c r="L76" s="128" t="s">
        <v>365</v>
      </c>
      <c r="M76" s="124">
        <v>1</v>
      </c>
    </row>
    <row r="77">
      <c r="A77" s="129" t="s">
        <v>381</v>
      </c>
      <c r="B77" s="130"/>
      <c r="C77" s="130"/>
      <c r="D77" s="130">
        <f>SUM(D74:D76)</f>
      </c>
      <c r="E77" s="130">
        <f>SUM(E74:E76)</f>
      </c>
      <c r="F77" s="130">
        <f>SUM(F74:F76)</f>
      </c>
      <c r="G77" s="130">
        <f>SUM(G74:G76)</f>
      </c>
      <c r="H77" s="130">
        <f>SUM(H74:H76)</f>
      </c>
      <c r="I77" s="131">
        <f t="shared" si="1"/>
      </c>
      <c r="J77" s="131">
        <f t="shared" si="0"/>
      </c>
      <c r="K77" s="131">
        <f t="shared" si="2"/>
      </c>
      <c r="L77" s="131"/>
      <c r="M77" s="130">
        <f>SUM(M74:M76)</f>
      </c>
      <c r="N77" s="133"/>
    </row>
    <row r="78">
      <c r="A78" s="124" t="s">
        <v>382</v>
      </c>
      <c r="B78" s="132" t="s">
        <v>355</v>
      </c>
      <c r="C78" s="124" t="s">
        <v>335</v>
      </c>
      <c r="D78" s="124">
        <v>4</v>
      </c>
      <c r="E78" s="124">
        <v>42</v>
      </c>
      <c r="F78" s="124">
        <v>8</v>
      </c>
      <c r="G78" s="126">
        <v>29561.68</v>
      </c>
      <c r="H78" s="126">
        <v>13101.84</v>
      </c>
      <c r="I78" s="127">
        <f t="shared" si="1"/>
      </c>
      <c r="J78" s="127">
        <f t="shared" si="0"/>
      </c>
      <c r="K78" s="127">
        <f t="shared" si="2"/>
      </c>
      <c r="L78" s="128" t="s">
        <v>344</v>
      </c>
      <c r="M78" s="124">
        <v>10</v>
      </c>
    </row>
    <row r="79">
      <c r="A79" s="124" t="s">
        <v>382</v>
      </c>
      <c r="B79" s="132" t="s">
        <v>337</v>
      </c>
      <c r="C79" s="124" t="s">
        <v>338</v>
      </c>
      <c r="D79" s="124">
        <v>4</v>
      </c>
      <c r="E79" s="124">
        <v>80</v>
      </c>
      <c r="F79" s="124">
        <v>3</v>
      </c>
      <c r="G79" s="126">
        <v>46814.469999999994</v>
      </c>
      <c r="H79" s="126">
        <v>20855.5</v>
      </c>
      <c r="I79" s="127">
        <f t="shared" si="1"/>
      </c>
      <c r="J79" s="127">
        <f t="shared" si="0"/>
      </c>
      <c r="K79" s="127">
        <f t="shared" si="2"/>
      </c>
      <c r="L79" s="128"/>
      <c r="M79" s="124"/>
    </row>
    <row r="80">
      <c r="A80" s="124" t="s">
        <v>382</v>
      </c>
      <c r="B80" s="125" t="s">
        <v>363</v>
      </c>
      <c r="C80" s="124" t="s">
        <v>368</v>
      </c>
      <c r="D80" s="124">
        <v>4</v>
      </c>
      <c r="E80" s="124">
        <v>52</v>
      </c>
      <c r="F80" s="124">
        <v>5</v>
      </c>
      <c r="G80" s="126">
        <v>41982.58</v>
      </c>
      <c r="H80" s="126">
        <v>14376.45</v>
      </c>
      <c r="I80" s="127">
        <f t="shared" si="1"/>
      </c>
      <c r="J80" s="127">
        <f t="shared" si="0"/>
      </c>
      <c r="K80" s="127">
        <f t="shared" si="2"/>
      </c>
      <c r="L80" s="128" t="s">
        <v>365</v>
      </c>
      <c r="M80" s="124">
        <v>2</v>
      </c>
    </row>
    <row r="81">
      <c r="A81" s="129" t="s">
        <v>382</v>
      </c>
      <c r="B81" s="130"/>
      <c r="C81" s="130"/>
      <c r="D81" s="130">
        <f>SUM(D78:D80)</f>
      </c>
      <c r="E81" s="130">
        <f>SUM(E78:E80)</f>
      </c>
      <c r="F81" s="130">
        <f>SUM(F78:F80)</f>
      </c>
      <c r="G81" s="130">
        <f>SUM(G78:G80)</f>
      </c>
      <c r="H81" s="130">
        <f>SUM(H78:H80)</f>
      </c>
      <c r="I81" s="131">
        <f t="shared" si="1"/>
      </c>
      <c r="J81" s="131">
        <f t="shared" si="0"/>
      </c>
      <c r="K81" s="131">
        <f t="shared" si="2"/>
      </c>
      <c r="L81" s="131"/>
      <c r="M81" s="130">
        <f>SUM(M78:M80)</f>
      </c>
    </row>
    <row r="82">
      <c r="A82" s="124" t="s">
        <v>383</v>
      </c>
      <c r="B82" s="132" t="s">
        <v>337</v>
      </c>
      <c r="C82" s="124" t="s">
        <v>348</v>
      </c>
      <c r="D82" s="124">
        <v>5</v>
      </c>
      <c r="E82" s="124">
        <v>66</v>
      </c>
      <c r="F82" s="124">
        <v>5</v>
      </c>
      <c r="G82" s="126">
        <v>39572.119999999995</v>
      </c>
      <c r="H82" s="126">
        <v>18155.170000000002</v>
      </c>
      <c r="I82" s="127">
        <f t="shared" si="1"/>
      </c>
      <c r="J82" s="127">
        <f t="shared" si="0"/>
      </c>
      <c r="K82" s="127">
        <f t="shared" si="2"/>
      </c>
      <c r="L82" s="128" t="s">
        <v>344</v>
      </c>
      <c r="M82" s="124">
        <v>10</v>
      </c>
    </row>
    <row r="83">
      <c r="A83" s="124" t="s">
        <v>383</v>
      </c>
      <c r="B83" s="116" t="s">
        <v>334</v>
      </c>
      <c r="C83" s="124" t="s">
        <v>360</v>
      </c>
      <c r="D83" s="124">
        <v>4</v>
      </c>
      <c r="E83" s="124">
        <v>39</v>
      </c>
      <c r="F83" s="124">
        <v>2</v>
      </c>
      <c r="G83" s="126">
        <v>18924.68</v>
      </c>
      <c r="H83" s="126">
        <v>12039.93</v>
      </c>
      <c r="I83" s="127">
        <f t="shared" si="1"/>
      </c>
      <c r="J83" s="127">
        <f t="shared" si="0"/>
      </c>
      <c r="K83" s="127">
        <f t="shared" si="2"/>
      </c>
      <c r="L83" s="128"/>
      <c r="M83" s="124"/>
    </row>
    <row r="84">
      <c r="A84" s="124" t="s">
        <v>383</v>
      </c>
      <c r="B84" s="125" t="s">
        <v>363</v>
      </c>
      <c r="C84" s="124" t="s">
        <v>380</v>
      </c>
      <c r="D84" s="124">
        <v>3</v>
      </c>
      <c r="E84" s="124">
        <v>32</v>
      </c>
      <c r="F84" s="124">
        <v>4</v>
      </c>
      <c r="G84" s="126">
        <v>19447.590000000004</v>
      </c>
      <c r="H84" s="126">
        <v>8142.15</v>
      </c>
      <c r="I84" s="127">
        <f t="shared" si="1"/>
      </c>
      <c r="J84" s="127">
        <f t="shared" si="0"/>
      </c>
      <c r="K84" s="127">
        <f t="shared" si="2"/>
      </c>
      <c r="L84" s="128" t="s">
        <v>365</v>
      </c>
      <c r="M84" s="124">
        <v>2</v>
      </c>
    </row>
    <row r="85">
      <c r="A85" s="129" t="s">
        <v>383</v>
      </c>
      <c r="B85" s="130"/>
      <c r="C85" s="130"/>
      <c r="D85" s="130">
        <f>SUM(D82:D84)</f>
      </c>
      <c r="E85" s="130">
        <f>SUM(E82:E84)</f>
      </c>
      <c r="F85" s="130">
        <f>SUM(F82:F84)</f>
      </c>
      <c r="G85" s="130">
        <f>SUM(G82:G84)</f>
      </c>
      <c r="H85" s="130">
        <f>SUM(H82:H84)</f>
      </c>
      <c r="I85" s="131">
        <f t="shared" si="1"/>
      </c>
      <c r="J85" s="131">
        <f t="shared" si="0"/>
      </c>
      <c r="K85" s="131">
        <f t="shared" si="2"/>
      </c>
      <c r="L85" s="131"/>
      <c r="M85" s="130">
        <f>SUM(M82:M84)</f>
      </c>
    </row>
    <row r="86">
      <c r="A86" s="124" t="s">
        <v>384</v>
      </c>
      <c r="B86" s="116" t="s">
        <v>337</v>
      </c>
      <c r="C86" s="124" t="s">
        <v>335</v>
      </c>
      <c r="D86" s="124">
        <v>4</v>
      </c>
      <c r="E86" s="124">
        <v>34</v>
      </c>
      <c r="F86" s="124">
        <v>3</v>
      </c>
      <c r="G86" s="126">
        <v>21515.42</v>
      </c>
      <c r="H86" s="126">
        <v>10230.68</v>
      </c>
      <c r="I86" s="127">
        <f t="shared" si="1"/>
      </c>
      <c r="J86" s="127">
        <f t="shared" si="0"/>
      </c>
      <c r="K86" s="127">
        <f t="shared" si="2"/>
      </c>
      <c r="L86" s="128" t="s">
        <v>344</v>
      </c>
      <c r="M86" s="124">
        <v>10</v>
      </c>
    </row>
    <row r="87">
      <c r="A87" s="124" t="s">
        <v>384</v>
      </c>
      <c r="B87" s="132" t="s">
        <v>334</v>
      </c>
      <c r="C87" s="124" t="s">
        <v>338</v>
      </c>
      <c r="D87" s="124">
        <v>4</v>
      </c>
      <c r="E87" s="124">
        <v>42</v>
      </c>
      <c r="F87" s="124">
        <v>2</v>
      </c>
      <c r="G87" s="126">
        <v>19809.03</v>
      </c>
      <c r="H87" s="126">
        <v>15188.939999999999</v>
      </c>
      <c r="I87" s="127">
        <f t="shared" si="1"/>
      </c>
      <c r="J87" s="127">
        <f t="shared" si="0"/>
      </c>
      <c r="K87" s="127">
        <f t="shared" si="2"/>
      </c>
      <c r="L87" s="128"/>
      <c r="M87" s="124"/>
    </row>
    <row r="88">
      <c r="A88" s="116" t="s">
        <v>384</v>
      </c>
      <c r="B88" s="125" t="s">
        <v>363</v>
      </c>
      <c r="C88" s="124" t="s">
        <v>368</v>
      </c>
      <c r="D88" s="124">
        <v>4</v>
      </c>
      <c r="E88" s="124">
        <v>23</v>
      </c>
      <c r="F88" s="124">
        <v>3</v>
      </c>
      <c r="G88" s="126">
        <v>15865.940000000002</v>
      </c>
      <c r="H88" s="126">
        <v>7599.2</v>
      </c>
      <c r="I88" s="127">
        <f t="shared" si="1"/>
      </c>
      <c r="J88" s="127">
        <f t="shared" si="0"/>
      </c>
      <c r="K88" s="127">
        <f t="shared" si="2"/>
      </c>
      <c r="L88" s="128" t="s">
        <v>365</v>
      </c>
      <c r="M88" s="124">
        <v>2</v>
      </c>
    </row>
    <row r="89">
      <c r="A89" s="129" t="s">
        <v>384</v>
      </c>
      <c r="B89" s="130"/>
      <c r="C89" s="130"/>
      <c r="D89" s="130">
        <f>SUM(D86:D88)</f>
      </c>
      <c r="E89" s="130">
        <f>SUM(E86:E88)</f>
      </c>
      <c r="F89" s="130">
        <f>SUM(F86:F88)</f>
      </c>
      <c r="G89" s="130">
        <f>SUM(G86:G88)</f>
      </c>
      <c r="H89" s="130">
        <f>SUM(H86:H88)</f>
      </c>
      <c r="I89" s="131">
        <f t="shared" si="1"/>
      </c>
      <c r="J89" s="131">
        <f t="shared" si="0"/>
      </c>
      <c r="K89" s="131">
        <f t="shared" si="2"/>
      </c>
      <c r="L89" s="131"/>
      <c r="M89" s="130">
        <f>SUM(M86:M88)</f>
      </c>
    </row>
    <row r="90">
      <c r="A90" s="124" t="s">
        <v>385</v>
      </c>
      <c r="B90" s="116" t="s">
        <v>337</v>
      </c>
      <c r="C90" s="124" t="s">
        <v>335</v>
      </c>
      <c r="D90" s="124">
        <v>4</v>
      </c>
      <c r="E90" s="124">
        <v>33</v>
      </c>
      <c r="F90" s="124">
        <v>6</v>
      </c>
      <c r="G90" s="126">
        <v>20842.32</v>
      </c>
      <c r="H90" s="126">
        <v>9810.86</v>
      </c>
      <c r="I90" s="127">
        <f t="shared" si="1"/>
      </c>
      <c r="J90" s="127">
        <f t="shared" si="0"/>
      </c>
      <c r="K90" s="127">
        <f t="shared" si="2"/>
      </c>
      <c r="L90" s="128" t="s">
        <v>336</v>
      </c>
      <c r="M90" s="124">
        <v>3</v>
      </c>
    </row>
    <row r="91">
      <c r="A91" s="124" t="s">
        <v>385</v>
      </c>
      <c r="B91" s="132" t="s">
        <v>334</v>
      </c>
      <c r="C91" s="124" t="s">
        <v>338</v>
      </c>
      <c r="D91" s="124">
        <v>4</v>
      </c>
      <c r="E91" s="124">
        <v>41</v>
      </c>
      <c r="F91" s="124">
        <v>3</v>
      </c>
      <c r="G91" s="126">
        <v>30686.800000000003</v>
      </c>
      <c r="H91" s="126">
        <v>12013.75</v>
      </c>
      <c r="I91" s="127">
        <f t="shared" si="1"/>
      </c>
      <c r="J91" s="127">
        <f t="shared" si="0"/>
      </c>
      <c r="K91" s="127">
        <f t="shared" si="2"/>
      </c>
      <c r="L91" s="128"/>
      <c r="M91" s="124"/>
    </row>
    <row customHeight="true" ht="16.071428571428573" r="92">
      <c r="A92" s="116" t="s">
        <v>385</v>
      </c>
      <c r="B92" s="125" t="s">
        <v>363</v>
      </c>
      <c r="C92" s="124" t="s">
        <v>368</v>
      </c>
      <c r="D92" s="124">
        <v>4</v>
      </c>
      <c r="E92" s="124">
        <v>34</v>
      </c>
      <c r="F92" s="124">
        <v>4</v>
      </c>
      <c r="G92" s="126">
        <v>20624.9</v>
      </c>
      <c r="H92" s="126">
        <v>8644.470000000001</v>
      </c>
      <c r="I92" s="127">
        <f t="shared" si="1"/>
      </c>
      <c r="J92" s="127">
        <f t="shared" si="0"/>
      </c>
      <c r="K92" s="127">
        <f t="shared" si="2"/>
      </c>
      <c r="L92" s="128" t="s">
        <v>379</v>
      </c>
      <c r="M92" s="124">
        <v>10</v>
      </c>
    </row>
    <row r="93">
      <c r="A93" s="116" t="s">
        <v>385</v>
      </c>
      <c r="B93" s="125" t="s">
        <v>386</v>
      </c>
      <c r="C93" s="124" t="s">
        <v>387</v>
      </c>
      <c r="D93" s="124">
        <v>3</v>
      </c>
      <c r="E93" s="124">
        <v>15</v>
      </c>
      <c r="F93" s="124">
        <v>4</v>
      </c>
      <c r="G93" s="126">
        <v>9118.939999999988</v>
      </c>
      <c r="H93" s="126">
        <v>6146.23</v>
      </c>
      <c r="I93" s="127">
        <f t="shared" si="1"/>
      </c>
      <c r="J93" s="127">
        <f t="shared" si="0"/>
      </c>
      <c r="K93" s="127">
        <f t="shared" si="2"/>
      </c>
      <c r="L93" s="128" t="s">
        <v>388</v>
      </c>
      <c r="M93" s="124">
        <v>2</v>
      </c>
    </row>
    <row r="94">
      <c r="A94" s="129" t="s">
        <v>385</v>
      </c>
      <c r="B94" s="130"/>
      <c r="C94" s="130"/>
      <c r="D94" s="130">
        <f>SUM(D90:D93)</f>
      </c>
      <c r="E94" s="130">
        <f>SUM(E90:E93)</f>
      </c>
      <c r="F94" s="130">
        <f>SUM(F90:F93)</f>
      </c>
      <c r="G94" s="130">
        <f>SUM(G90:G93)</f>
      </c>
      <c r="H94" s="130">
        <f>SUM(H90:H93)</f>
      </c>
      <c r="I94" s="131">
        <f t="shared" si="1"/>
      </c>
      <c r="J94" s="131">
        <f t="shared" si="0"/>
      </c>
      <c r="K94" s="131">
        <f t="shared" si="2"/>
      </c>
      <c r="L94" s="131"/>
      <c r="M94" s="130">
        <f>SUM(M90:M93)</f>
      </c>
    </row>
    <row r="95">
      <c r="A95" s="124" t="s">
        <v>389</v>
      </c>
      <c r="B95" s="132" t="s">
        <v>334</v>
      </c>
      <c r="C95" s="124" t="s">
        <v>335</v>
      </c>
      <c r="D95" s="124">
        <v>4</v>
      </c>
      <c r="E95" s="124">
        <v>30</v>
      </c>
      <c r="F95" s="124">
        <v>3</v>
      </c>
      <c r="G95" s="126">
        <v>20694.38</v>
      </c>
      <c r="H95" s="126">
        <v>9243.5</v>
      </c>
      <c r="I95" s="127">
        <f t="shared" si="1"/>
      </c>
      <c r="J95" s="127">
        <f t="shared" si="0"/>
      </c>
      <c r="K95" s="127">
        <f t="shared" si="2"/>
      </c>
      <c r="L95" s="128" t="s">
        <v>336</v>
      </c>
      <c r="M95" s="124">
        <v>6</v>
      </c>
    </row>
    <row r="96">
      <c r="A96" s="124" t="s">
        <v>389</v>
      </c>
      <c r="B96" s="116" t="s">
        <v>337</v>
      </c>
      <c r="C96" s="124" t="s">
        <v>338</v>
      </c>
      <c r="D96" s="124">
        <v>4</v>
      </c>
      <c r="E96" s="124">
        <v>17</v>
      </c>
      <c r="F96" s="124">
        <v>3</v>
      </c>
      <c r="G96" s="126">
        <v>7741.720000000001</v>
      </c>
      <c r="H96" s="126">
        <v>5886.74</v>
      </c>
      <c r="I96" s="127">
        <f t="shared" si="1"/>
      </c>
      <c r="J96" s="127">
        <f t="shared" si="0"/>
      </c>
      <c r="K96" s="127">
        <f t="shared" si="2"/>
      </c>
      <c r="L96" s="128"/>
      <c r="M96" s="124"/>
    </row>
    <row r="97">
      <c r="A97" s="116" t="s">
        <v>389</v>
      </c>
      <c r="B97" s="125" t="s">
        <v>363</v>
      </c>
      <c r="C97" s="124" t="s">
        <v>368</v>
      </c>
      <c r="D97" s="124">
        <v>3</v>
      </c>
      <c r="E97" s="124">
        <v>21</v>
      </c>
      <c r="F97" s="124">
        <v>3</v>
      </c>
      <c r="G97" s="126">
        <v>12225.599999999995</v>
      </c>
      <c r="H97" s="126">
        <v>7651.66</v>
      </c>
      <c r="I97" s="127">
        <f t="shared" si="1"/>
      </c>
      <c r="J97" s="127">
        <f t="shared" si="0"/>
      </c>
      <c r="K97" s="127">
        <f t="shared" si="2"/>
      </c>
      <c r="L97" s="128" t="s">
        <v>379</v>
      </c>
      <c r="M97" s="124">
        <v>9</v>
      </c>
    </row>
    <row r="98">
      <c r="A98" s="116" t="s">
        <v>389</v>
      </c>
      <c r="B98" s="125" t="s">
        <v>386</v>
      </c>
      <c r="C98" s="124" t="s">
        <v>387</v>
      </c>
      <c r="D98" s="124">
        <v>4</v>
      </c>
      <c r="E98" s="124">
        <v>27</v>
      </c>
      <c r="F98" s="124">
        <v>5</v>
      </c>
      <c r="G98" s="126">
        <v>28720.460000000006</v>
      </c>
      <c r="H98" s="126">
        <v>10703.92</v>
      </c>
      <c r="I98" s="127">
        <f t="shared" si="1"/>
      </c>
      <c r="J98" s="127">
        <f t="shared" si="0"/>
      </c>
      <c r="K98" s="127">
        <f t="shared" si="2"/>
      </c>
      <c r="L98" s="128"/>
      <c r="M98" s="124"/>
    </row>
    <row r="99">
      <c r="A99" s="129" t="s">
        <v>389</v>
      </c>
      <c r="B99" s="130"/>
      <c r="C99" s="130"/>
      <c r="D99" s="130">
        <f>SUM(D95:D98)</f>
      </c>
      <c r="E99" s="130">
        <f>SUM(E95:E98)</f>
      </c>
      <c r="F99" s="130">
        <f>SUM(F95:F98)</f>
      </c>
      <c r="G99" s="130">
        <f>SUM(G95:G98)</f>
      </c>
      <c r="H99" s="130">
        <f>SUM(H95:H98)</f>
      </c>
      <c r="I99" s="131">
        <f t="shared" si="1"/>
      </c>
      <c r="J99" s="131">
        <f t="shared" si="0"/>
      </c>
      <c r="K99" s="131">
        <f t="shared" si="2"/>
      </c>
      <c r="L99" s="131"/>
      <c r="M99" s="130">
        <f>SUM(M95:M98)</f>
      </c>
    </row>
    <row r="100">
      <c r="A100" s="124" t="s">
        <v>390</v>
      </c>
      <c r="B100" s="116" t="s">
        <v>337</v>
      </c>
      <c r="C100" s="124" t="s">
        <v>335</v>
      </c>
      <c r="D100" s="124">
        <v>4</v>
      </c>
      <c r="E100" s="124">
        <v>83</v>
      </c>
      <c r="F100" s="124">
        <v>7</v>
      </c>
      <c r="G100" s="126">
        <v>51607.31</v>
      </c>
      <c r="H100" s="126">
        <v>25231.57</v>
      </c>
      <c r="I100" s="127">
        <f t="shared" si="1"/>
      </c>
      <c r="J100" s="127">
        <f t="shared" si="0"/>
      </c>
      <c r="K100" s="127">
        <f t="shared" si="2"/>
      </c>
      <c r="L100" s="128" t="s">
        <v>336</v>
      </c>
      <c r="M100" s="124">
        <v>6</v>
      </c>
    </row>
    <row r="101">
      <c r="A101" s="124" t="s">
        <v>390</v>
      </c>
      <c r="B101" s="125" t="s">
        <v>363</v>
      </c>
      <c r="C101" s="124" t="s">
        <v>338</v>
      </c>
      <c r="D101" s="124">
        <v>4</v>
      </c>
      <c r="E101" s="124">
        <v>37</v>
      </c>
      <c r="F101" s="124">
        <v>4</v>
      </c>
      <c r="G101" s="126">
        <v>20549.699999999997</v>
      </c>
      <c r="H101" s="126">
        <v>13391.34</v>
      </c>
      <c r="I101" s="127">
        <f t="shared" si="1"/>
      </c>
      <c r="J101" s="127">
        <f t="shared" si="0"/>
      </c>
      <c r="K101" s="127">
        <f t="shared" si="2"/>
      </c>
      <c r="L101" s="128"/>
      <c r="M101" s="124"/>
    </row>
    <row r="102">
      <c r="A102" s="116" t="s">
        <v>390</v>
      </c>
      <c r="B102" s="125" t="s">
        <v>386</v>
      </c>
      <c r="C102" s="124" t="s">
        <v>368</v>
      </c>
      <c r="D102" s="124">
        <v>4</v>
      </c>
      <c r="E102" s="124">
        <v>37</v>
      </c>
      <c r="F102" s="124">
        <v>4</v>
      </c>
      <c r="G102" s="126">
        <v>21244.22</v>
      </c>
      <c r="H102" s="126">
        <v>11270.669999999998</v>
      </c>
      <c r="I102" s="127">
        <f t="shared" si="1"/>
      </c>
      <c r="J102" s="127">
        <f t="shared" si="0"/>
      </c>
      <c r="K102" s="127">
        <f t="shared" si="2"/>
      </c>
      <c r="L102" s="128" t="s">
        <v>379</v>
      </c>
      <c r="M102" s="124">
        <v>10</v>
      </c>
    </row>
    <row r="103">
      <c r="A103" s="116" t="s">
        <v>390</v>
      </c>
      <c r="B103" s="132" t="s">
        <v>334</v>
      </c>
      <c r="C103" s="124" t="s">
        <v>391</v>
      </c>
      <c r="D103" s="124">
        <v>4</v>
      </c>
      <c r="E103" s="124">
        <v>63</v>
      </c>
      <c r="F103" s="124">
        <v>4</v>
      </c>
      <c r="G103" s="126">
        <v>27438.040000000008</v>
      </c>
      <c r="H103" s="126">
        <v>17339.79</v>
      </c>
      <c r="I103" s="127">
        <f t="shared" si="1"/>
      </c>
      <c r="J103" s="127">
        <f t="shared" si="0"/>
      </c>
      <c r="K103" s="127">
        <f t="shared" si="2"/>
      </c>
      <c r="L103" s="128"/>
      <c r="M103" s="124"/>
    </row>
    <row r="104">
      <c r="A104" s="129" t="s">
        <v>390</v>
      </c>
      <c r="B104" s="130"/>
      <c r="C104" s="130"/>
      <c r="D104" s="130">
        <f>SUM(D100:D103)</f>
      </c>
      <c r="E104" s="130">
        <f>SUM(E100:E103)</f>
      </c>
      <c r="F104" s="130">
        <f>SUM(F100:F103)</f>
      </c>
      <c r="G104" s="130">
        <f>SUM(G100:G103)</f>
      </c>
      <c r="H104" s="130">
        <f>SUM(H100:H103)</f>
      </c>
      <c r="I104" s="131">
        <f t="shared" si="1"/>
      </c>
      <c r="J104" s="131">
        <f t="shared" si="0"/>
      </c>
      <c r="K104" s="131">
        <f t="shared" si="2"/>
      </c>
      <c r="L104" s="131"/>
      <c r="M104" s="130">
        <f>SUM(M100:M103)</f>
      </c>
    </row>
    <row r="105">
      <c r="A105" s="124" t="s">
        <v>392</v>
      </c>
      <c r="B105" s="116" t="s">
        <v>337</v>
      </c>
      <c r="C105" s="124" t="s">
        <v>348</v>
      </c>
      <c r="D105" s="124">
        <v>5</v>
      </c>
      <c r="E105" s="124">
        <v>243</v>
      </c>
      <c r="F105" s="124"/>
      <c r="G105" s="126">
        <v>141974.23</v>
      </c>
      <c r="H105" s="126">
        <v>61798.88</v>
      </c>
      <c r="I105" s="127">
        <f t="shared" si="1"/>
      </c>
      <c r="J105" s="127">
        <f t="shared" si="0"/>
      </c>
      <c r="K105" s="127">
        <f t="shared" si="2"/>
      </c>
      <c r="L105" s="128" t="s">
        <v>336</v>
      </c>
      <c r="M105" s="124">
        <v>6</v>
      </c>
    </row>
    <row r="106">
      <c r="A106" s="124" t="s">
        <v>392</v>
      </c>
      <c r="B106" s="132" t="s">
        <v>334</v>
      </c>
      <c r="C106" s="124" t="s">
        <v>360</v>
      </c>
      <c r="D106" s="124">
        <v>4</v>
      </c>
      <c r="E106" s="124">
        <v>525</v>
      </c>
      <c r="F106" s="124"/>
      <c r="G106" s="126">
        <v>293103.49</v>
      </c>
      <c r="H106" s="126">
        <v>149943.06</v>
      </c>
      <c r="I106" s="127">
        <f t="shared" si="1"/>
      </c>
      <c r="J106" s="127">
        <f t="shared" si="0"/>
      </c>
      <c r="K106" s="127">
        <f t="shared" si="2"/>
      </c>
      <c r="L106" s="128"/>
      <c r="M106" s="124"/>
    </row>
    <row r="107">
      <c r="A107" s="116" t="s">
        <v>392</v>
      </c>
      <c r="B107" s="125" t="s">
        <v>386</v>
      </c>
      <c r="C107" s="124" t="s">
        <v>393</v>
      </c>
      <c r="D107" s="124">
        <v>5</v>
      </c>
      <c r="E107" s="124">
        <v>989</v>
      </c>
      <c r="F107" s="124"/>
      <c r="G107" s="126">
        <v>618623.56</v>
      </c>
      <c r="H107" s="126">
        <v>263713.94</v>
      </c>
      <c r="I107" s="127">
        <f t="shared" si="1"/>
      </c>
      <c r="J107" s="127">
        <f t="shared" si="0"/>
      </c>
      <c r="K107" s="127">
        <f t="shared" si="2"/>
      </c>
      <c r="L107" s="128" t="s">
        <v>379</v>
      </c>
      <c r="M107" s="124">
        <v>12</v>
      </c>
    </row>
    <row r="108">
      <c r="A108" s="116" t="s">
        <v>392</v>
      </c>
      <c r="B108" s="125" t="s">
        <v>355</v>
      </c>
      <c r="C108" s="124" t="s">
        <v>394</v>
      </c>
      <c r="D108" s="124">
        <v>4</v>
      </c>
      <c r="E108" s="124">
        <v>448</v>
      </c>
      <c r="F108" s="124"/>
      <c r="G108" s="126">
        <v>295274.6499999999</v>
      </c>
      <c r="H108" s="126">
        <v>133963.53</v>
      </c>
      <c r="I108" s="127">
        <f t="shared" si="1"/>
      </c>
      <c r="J108" s="127">
        <f t="shared" si="0"/>
      </c>
      <c r="K108" s="127">
        <f t="shared" si="2"/>
      </c>
      <c r="L108" s="128"/>
      <c r="M108" s="124"/>
    </row>
    <row r="109">
      <c r="A109" s="129" t="s">
        <v>392</v>
      </c>
      <c r="B109" s="130"/>
      <c r="C109" s="130"/>
      <c r="D109" s="130">
        <f>SUM(D105:D108)</f>
      </c>
      <c r="E109" s="130">
        <f>SUM(E105:E108)</f>
      </c>
      <c r="F109" s="130">
        <f>SUM(F105:F108)</f>
      </c>
      <c r="G109" s="130">
        <f>SUM(G105:G108)</f>
      </c>
      <c r="H109" s="130">
        <f>SUM(H105:H108)</f>
      </c>
      <c r="I109" s="131">
        <f t="shared" si="1"/>
      </c>
      <c r="J109" s="131">
        <f t="shared" si="0"/>
      </c>
      <c r="K109" s="131">
        <f t="shared" si="2"/>
      </c>
      <c r="L109" s="131"/>
      <c r="M109" s="130">
        <f>SUM(M105:M108)</f>
      </c>
    </row>
    <row r="110">
      <c r="A110" s="124" t="s">
        <v>395</v>
      </c>
      <c r="B110" s="132" t="s">
        <v>334</v>
      </c>
      <c r="C110" s="124" t="s">
        <v>348</v>
      </c>
      <c r="D110" s="124">
        <v>5</v>
      </c>
      <c r="E110" s="124">
        <v>916</v>
      </c>
      <c r="F110" s="124"/>
      <c r="G110" s="126">
        <v>527979.85</v>
      </c>
      <c r="H110" s="126">
        <v>256555.59000000003</v>
      </c>
      <c r="I110" s="127">
        <f t="shared" si="1"/>
      </c>
      <c r="J110" s="127">
        <f t="shared" si="0"/>
      </c>
      <c r="K110" s="127">
        <f t="shared" si="2"/>
      </c>
      <c r="L110" s="128" t="s">
        <v>336</v>
      </c>
      <c r="M110" s="124">
        <v>6</v>
      </c>
    </row>
    <row r="111">
      <c r="A111" s="124" t="s">
        <v>395</v>
      </c>
      <c r="B111" s="125" t="s">
        <v>386</v>
      </c>
      <c r="C111" s="124" t="s">
        <v>360</v>
      </c>
      <c r="D111" s="124">
        <v>5</v>
      </c>
      <c r="E111" s="124">
        <v>1223</v>
      </c>
      <c r="F111" s="124"/>
      <c r="G111" s="126">
        <v>849928.66</v>
      </c>
      <c r="H111" s="126">
        <v>368558.56000000006</v>
      </c>
      <c r="I111" s="127">
        <f t="shared" si="1"/>
      </c>
      <c r="J111" s="127">
        <f t="shared" si="0"/>
      </c>
      <c r="K111" s="127">
        <f t="shared" si="2"/>
      </c>
      <c r="L111" s="128"/>
      <c r="M111" s="124"/>
    </row>
    <row r="112">
      <c r="A112" s="116" t="s">
        <v>395</v>
      </c>
      <c r="B112" s="125" t="s">
        <v>355</v>
      </c>
      <c r="C112" s="124" t="s">
        <v>393</v>
      </c>
      <c r="D112" s="124">
        <v>3</v>
      </c>
      <c r="E112" s="124">
        <v>341</v>
      </c>
      <c r="F112" s="124"/>
      <c r="G112" s="126">
        <v>230477.86999999988</v>
      </c>
      <c r="H112" s="126">
        <v>93465.37</v>
      </c>
      <c r="I112" s="127">
        <f t="shared" si="1"/>
      </c>
      <c r="J112" s="127">
        <f t="shared" si="0"/>
      </c>
      <c r="K112" s="127">
        <f t="shared" si="2"/>
      </c>
      <c r="L112" s="128" t="s">
        <v>379</v>
      </c>
      <c r="M112" s="124">
        <v>13.5</v>
      </c>
    </row>
    <row customHeight="true" ht="16.071428571428573" r="113">
      <c r="A113" s="116" t="s">
        <v>395</v>
      </c>
      <c r="B113" s="125" t="s">
        <v>363</v>
      </c>
      <c r="C113" s="124" t="s">
        <v>394</v>
      </c>
      <c r="D113" s="124">
        <v>5</v>
      </c>
      <c r="E113" s="124">
        <v>490</v>
      </c>
      <c r="F113" s="124"/>
      <c r="G113" s="126">
        <v>323766.2700000002</v>
      </c>
      <c r="H113" s="126">
        <v>183283.22999999998</v>
      </c>
      <c r="I113" s="127">
        <f t="shared" si="1"/>
      </c>
      <c r="J113" s="127">
        <f t="shared" si="0"/>
      </c>
      <c r="K113" s="127">
        <f t="shared" si="2"/>
      </c>
      <c r="L113" s="128"/>
      <c r="M113" s="124"/>
    </row>
    <row r="114">
      <c r="A114" s="116" t="s">
        <v>395</v>
      </c>
      <c r="B114" s="116" t="s">
        <v>337</v>
      </c>
      <c r="C114" s="124" t="s">
        <v>396</v>
      </c>
      <c r="D114" s="124">
        <v>1.5</v>
      </c>
      <c r="E114" s="124">
        <v>98</v>
      </c>
      <c r="F114" s="124"/>
      <c r="G114" s="126">
        <v>68249.06999999983</v>
      </c>
      <c r="H114" s="126">
        <v>20671.15</v>
      </c>
      <c r="I114" s="127">
        <f t="shared" si="1"/>
      </c>
      <c r="J114" s="127">
        <f t="shared" si="0"/>
      </c>
      <c r="K114" s="127">
        <f t="shared" si="2"/>
      </c>
      <c r="L114" s="128"/>
      <c r="M114" s="124"/>
    </row>
    <row r="115">
      <c r="A115" s="129" t="s">
        <v>395</v>
      </c>
      <c r="B115" s="130"/>
      <c r="C115" s="130"/>
      <c r="D115" s="130">
        <f>SUM(D110:D114)</f>
      </c>
      <c r="E115" s="130">
        <f>SUM(E110:E114)</f>
      </c>
      <c r="F115" s="130">
        <f>SUM(F110:F114)</f>
      </c>
      <c r="G115" s="130">
        <f>SUM(G110:G114)</f>
      </c>
      <c r="H115" s="130">
        <f>SUM(H110:H114)</f>
      </c>
      <c r="I115" s="131">
        <f t="shared" si="1"/>
      </c>
      <c r="J115" s="131">
        <f t="shared" si="0"/>
      </c>
      <c r="K115" s="131">
        <f t="shared" si="2"/>
      </c>
      <c r="L115" s="131"/>
      <c r="M115" s="130">
        <f>SUM(M110:M114)</f>
      </c>
    </row>
    <row r="116">
      <c r="A116" s="124" t="s">
        <v>397</v>
      </c>
      <c r="B116" s="132" t="s">
        <v>334</v>
      </c>
      <c r="C116" s="124" t="s">
        <v>335</v>
      </c>
      <c r="D116" s="124">
        <v>4</v>
      </c>
      <c r="E116" s="124">
        <v>286</v>
      </c>
      <c r="F116" s="124"/>
      <c r="G116" s="126">
        <v>167307.91999999998</v>
      </c>
      <c r="H116" s="126">
        <v>95283.37000000001</v>
      </c>
      <c r="I116" s="127">
        <f t="shared" si="1"/>
      </c>
      <c r="J116" s="127">
        <f t="shared" si="0"/>
      </c>
      <c r="K116" s="127">
        <f t="shared" si="2"/>
      </c>
      <c r="L116" s="128" t="s">
        <v>336</v>
      </c>
      <c r="M116" s="124">
        <v>10</v>
      </c>
    </row>
    <row r="117">
      <c r="A117" s="124" t="s">
        <v>397</v>
      </c>
      <c r="B117" s="125" t="s">
        <v>386</v>
      </c>
      <c r="C117" s="124" t="s">
        <v>352</v>
      </c>
      <c r="D117" s="124">
        <v>5</v>
      </c>
      <c r="E117" s="124">
        <v>349</v>
      </c>
      <c r="F117" s="124"/>
      <c r="G117" s="126">
        <v>229165.33000000002</v>
      </c>
      <c r="H117" s="126">
        <v>87555.57</v>
      </c>
      <c r="I117" s="127">
        <f t="shared" si="1"/>
      </c>
      <c r="J117" s="127">
        <f t="shared" si="0"/>
      </c>
      <c r="K117" s="127">
        <f t="shared" si="2"/>
      </c>
      <c r="L117" s="128"/>
      <c r="M117" s="124"/>
    </row>
    <row r="118">
      <c r="A118" s="116" t="s">
        <v>397</v>
      </c>
      <c r="B118" s="116" t="s">
        <v>337</v>
      </c>
      <c r="C118" s="124" t="s">
        <v>370</v>
      </c>
      <c r="D118" s="124">
        <v>4</v>
      </c>
      <c r="E118" s="124">
        <v>176</v>
      </c>
      <c r="F118" s="124"/>
      <c r="G118" s="126">
        <v>123719.45999999999</v>
      </c>
      <c r="H118" s="126">
        <v>60037.810000000005</v>
      </c>
      <c r="I118" s="127">
        <f t="shared" si="1"/>
      </c>
      <c r="J118" s="127">
        <f t="shared" si="0"/>
      </c>
      <c r="K118" s="127">
        <f t="shared" si="2"/>
      </c>
      <c r="L118" s="128" t="s">
        <v>379</v>
      </c>
      <c r="M118" s="124">
        <v>7</v>
      </c>
    </row>
    <row r="119">
      <c r="A119" s="116" t="s">
        <v>397</v>
      </c>
      <c r="B119" s="125" t="s">
        <v>363</v>
      </c>
      <c r="C119" s="124" t="s">
        <v>398</v>
      </c>
      <c r="D119" s="124">
        <v>4</v>
      </c>
      <c r="E119" s="124">
        <v>128</v>
      </c>
      <c r="F119" s="124"/>
      <c r="G119" s="126">
        <v>82863.59999999998</v>
      </c>
      <c r="H119" s="126">
        <v>43510.39</v>
      </c>
      <c r="I119" s="127">
        <f t="shared" si="1"/>
      </c>
      <c r="J119" s="127">
        <f t="shared" si="0"/>
      </c>
      <c r="K119" s="127">
        <f t="shared" si="2"/>
      </c>
      <c r="L119" s="128"/>
      <c r="M119" s="124"/>
    </row>
    <row r="120">
      <c r="A120" s="129" t="s">
        <v>397</v>
      </c>
      <c r="B120" s="130"/>
      <c r="C120" s="130"/>
      <c r="D120" s="130">
        <f>SUM(D116:D119)</f>
      </c>
      <c r="E120" s="130">
        <f>SUM(E116:E119)</f>
      </c>
      <c r="F120" s="130">
        <f>SUM(F116:F119)</f>
      </c>
      <c r="G120" s="130">
        <f>SUM(G116:G119)</f>
      </c>
      <c r="H120" s="130">
        <f>SUM(H116:H119)</f>
      </c>
      <c r="I120" s="131">
        <f t="shared" si="1"/>
      </c>
      <c r="J120" s="131">
        <f t="shared" si="0"/>
      </c>
      <c r="K120" s="131">
        <f t="shared" si="2"/>
      </c>
      <c r="L120" s="131"/>
      <c r="M120" s="130">
        <f>SUM(M116:M119)</f>
      </c>
    </row>
    <row r="121">
      <c r="A121" s="124" t="s">
        <v>399</v>
      </c>
      <c r="B121" s="125" t="s">
        <v>386</v>
      </c>
      <c r="C121" s="124" t="s">
        <v>335</v>
      </c>
      <c r="D121" s="124">
        <v>4</v>
      </c>
      <c r="E121" s="124">
        <v>241</v>
      </c>
      <c r="F121" s="124"/>
      <c r="G121" s="126">
        <v>152211.99</v>
      </c>
      <c r="H121" s="126">
        <v>61917.61</v>
      </c>
      <c r="I121" s="127">
        <f t="shared" si="1"/>
      </c>
      <c r="J121" s="127">
        <f t="shared" si="0"/>
      </c>
      <c r="K121" s="127">
        <f t="shared" si="2"/>
      </c>
      <c r="L121" s="128" t="s">
        <v>336</v>
      </c>
      <c r="M121" s="124">
        <v>10</v>
      </c>
    </row>
    <row r="122">
      <c r="A122" s="124" t="s">
        <v>399</v>
      </c>
      <c r="B122" s="116" t="s">
        <v>337</v>
      </c>
      <c r="C122" s="124" t="s">
        <v>338</v>
      </c>
      <c r="D122" s="124">
        <v>4</v>
      </c>
      <c r="E122" s="124">
        <v>203</v>
      </c>
      <c r="F122" s="124"/>
      <c r="G122" s="126">
        <v>141170.22999999998</v>
      </c>
      <c r="H122" s="126">
        <v>61506.93</v>
      </c>
      <c r="I122" s="127">
        <f t="shared" si="1"/>
      </c>
      <c r="J122" s="127">
        <f t="shared" si="0"/>
      </c>
      <c r="K122" s="127">
        <f t="shared" si="2"/>
      </c>
      <c r="L122" s="128"/>
      <c r="M122" s="124"/>
    </row>
    <row r="123">
      <c r="A123" s="116" t="s">
        <v>399</v>
      </c>
      <c r="B123" s="125" t="s">
        <v>363</v>
      </c>
      <c r="C123" s="124" t="s">
        <v>364</v>
      </c>
      <c r="D123" s="124">
        <v>3</v>
      </c>
      <c r="E123" s="124">
        <v>69</v>
      </c>
      <c r="F123" s="124"/>
      <c r="G123" s="126">
        <v>38220</v>
      </c>
      <c r="H123" s="126">
        <v>24825.980000000003</v>
      </c>
      <c r="I123" s="127">
        <f t="shared" si="1"/>
      </c>
      <c r="J123" s="127">
        <f t="shared" si="0"/>
      </c>
      <c r="K123" s="127">
        <f t="shared" si="2"/>
      </c>
      <c r="L123" s="128"/>
      <c r="M123" s="124"/>
    </row>
    <row customHeight="true" ht="16.071428571428573" r="124">
      <c r="A124" s="116" t="s">
        <v>399</v>
      </c>
      <c r="B124" s="125" t="s">
        <v>386</v>
      </c>
      <c r="C124" s="124" t="s">
        <v>400</v>
      </c>
      <c r="D124" s="124">
        <v>1</v>
      </c>
      <c r="E124" s="124">
        <v>44</v>
      </c>
      <c r="F124" s="124"/>
      <c r="G124" s="126">
        <v>34975.55</v>
      </c>
      <c r="H124" s="126">
        <v>7255.0599999999995</v>
      </c>
      <c r="I124" s="127">
        <f t="shared" si="1"/>
      </c>
      <c r="J124" s="127">
        <f t="shared" si="0"/>
      </c>
      <c r="K124" s="127">
        <f t="shared" si="2"/>
      </c>
      <c r="L124" s="128" t="s">
        <v>401</v>
      </c>
      <c r="M124" s="124">
        <v>2</v>
      </c>
    </row>
    <row r="125">
      <c r="A125" s="116" t="s">
        <v>399</v>
      </c>
      <c r="B125" s="132" t="s">
        <v>334</v>
      </c>
      <c r="C125" s="124" t="s">
        <v>391</v>
      </c>
      <c r="D125" s="124">
        <v>4</v>
      </c>
      <c r="E125" s="124">
        <v>195</v>
      </c>
      <c r="F125" s="124"/>
      <c r="G125" s="126">
        <v>108038.89000000001</v>
      </c>
      <c r="H125" s="126">
        <v>57118.329999999994</v>
      </c>
      <c r="I125" s="127">
        <f t="shared" si="1"/>
      </c>
      <c r="J125" s="127">
        <f t="shared" si="0"/>
      </c>
      <c r="K125" s="127">
        <f t="shared" si="2"/>
      </c>
      <c r="L125" s="128" t="s">
        <v>402</v>
      </c>
      <c r="M125" s="124">
        <v>4</v>
      </c>
    </row>
    <row r="126">
      <c r="A126" s="129" t="s">
        <v>399</v>
      </c>
      <c r="B126" s="130"/>
      <c r="C126" s="130"/>
      <c r="D126" s="130">
        <f>SUM(D121:D125)</f>
      </c>
      <c r="E126" s="130">
        <f>SUM(E121:E125)</f>
      </c>
      <c r="F126" s="130">
        <f>SUM(F121:F125)</f>
      </c>
      <c r="G126" s="130">
        <f>SUM(G121:G125)</f>
      </c>
      <c r="H126" s="130">
        <f>SUM(H121:H125)</f>
      </c>
      <c r="I126" s="131">
        <f t="shared" si="1"/>
      </c>
      <c r="J126" s="131">
        <f t="shared" si="0"/>
      </c>
      <c r="K126" s="131">
        <f t="shared" si="2"/>
      </c>
      <c r="L126" s="131"/>
      <c r="M126" s="130">
        <f>SUM(M121:M125)</f>
      </c>
    </row>
    <row r="127">
      <c r="G127" s="134"/>
    </row>
    <row r="128"/>
    <row r="129"/>
    <row r="130"/>
    <row r="131"/>
    <row r="132"/>
    <row r="133"/>
    <row r="134"/>
    <row r="135">
      <c r="J135">
        <f>F135/G135</f>
      </c>
      <c r="N135" s="127"/>
    </row>
    <row r="136">
      <c r="N136" s="127"/>
    </row>
    <row r="137">
      <c r="N137" s="127"/>
    </row>
    <row r="138">
      <c r="N138" s="127"/>
    </row>
    <row r="139">
      <c r="N139" s="127"/>
    </row>
    <row r="140">
      <c r="N140" s="127"/>
    </row>
    <row r="141">
      <c r="N141" s="127"/>
    </row>
    <row r="142">
      <c r="D142" s="135"/>
      <c r="E142" s="136"/>
      <c r="F142" s="136"/>
      <c r="G142" s="136"/>
    </row>
    <row r="143">
      <c r="D143" s="136"/>
      <c r="E143" s="135"/>
      <c r="F143" s="135"/>
      <c r="G143" s="135"/>
    </row>
    <row r="144">
      <c r="D144" s="136"/>
      <c r="E144" s="135"/>
      <c r="F144" s="135"/>
      <c r="G144" s="135"/>
    </row>
    <row r="145"/>
    <row r="146"/>
    <row r="147"/>
    <row r="148"/>
    <row r="149"/>
    <row r="150"/>
    <row r="151"/>
    <row r="152"/>
    <row r="153"/>
    <row r="154"/>
    <row r="155"/>
    <row r="156"/>
    <row r="157"/>
    <row customHeight="true" ht="16.071428571428573" r="158"/>
    <row customHeight="true" ht="16.071428571428573" r="159"/>
    <row customHeight="true" ht="16.071428571428573" r="160"/>
    <row customHeight="true" ht="16.071428571428573" r="161"/>
    <row customHeight="true" ht="16.071428571428573" r="162"/>
  </sheetData>
  <autoFilter ref="A1:M128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6" min="6" style="0" width="11.211267605633802"/>
    <col collapsed="false" customWidth="true" hidden="false" max="12" min="12" style="0" width="11.211267605633802"/>
    <col collapsed="false" customWidth="true" hidden="false" max="14" min="14" style="0" width="11.211267605633802"/>
    <col collapsed="false" customWidth="true" hidden="false" max="16" min="16" style="0" width="11.211267605633802"/>
    <col collapsed="false" customWidth="true" hidden="false" max="2" min="2" style="0" width="11.211267605633802"/>
    <col collapsed="false" customWidth="true" hidden="false" max="4" min="4" style="0" width="11.211267605633802"/>
    <col collapsed="false" customWidth="true" hidden="false" max="5" min="5" style="0" width="11.211267605633802"/>
    <col collapsed="false" customWidth="true" hidden="false" max="11" min="11" style="0" width="11.211267605633802"/>
    <col collapsed="false" customWidth="true" hidden="false" max="13" min="13" style="0" width="11.211267605633802"/>
    <col collapsed="false" customWidth="true" hidden="false" max="15" min="15" style="0" width="11.211267605633802"/>
    <col collapsed="false" customWidth="true" hidden="false" max="1" min="1" style="0" width="11.211267605633802"/>
    <col collapsed="false" customWidth="true" hidden="false" max="3" min="3" style="0" width="11.211267605633802"/>
  </cols>
  <sheetData>
    <row r="1">
      <c r="A1" s="137" t="s">
        <v>403</v>
      </c>
      <c r="B1" s="137" t="s">
        <v>404</v>
      </c>
      <c r="C1" s="137" t="s">
        <v>405</v>
      </c>
      <c r="D1" s="137" t="s">
        <v>406</v>
      </c>
      <c r="E1" s="137" t="s">
        <v>407</v>
      </c>
      <c r="F1" s="137" t="s">
        <v>408</v>
      </c>
      <c r="G1" s="137" t="s">
        <v>409</v>
      </c>
      <c r="H1" s="137" t="s">
        <v>410</v>
      </c>
      <c r="I1" s="138" t="s">
        <v>411</v>
      </c>
      <c r="J1" s="138" t="s">
        <v>412</v>
      </c>
      <c r="K1" s="138" t="s">
        <v>413</v>
      </c>
      <c r="L1" s="138" t="s">
        <v>414</v>
      </c>
      <c r="M1" s="137" t="s">
        <v>415</v>
      </c>
      <c r="N1" s="139"/>
    </row>
    <row r="2">
      <c r="A2" s="140" t="s">
        <v>416</v>
      </c>
      <c r="B2" s="141" t="s">
        <v>417</v>
      </c>
      <c r="C2" s="140" t="s">
        <v>418</v>
      </c>
      <c r="D2" s="140">
        <v>5</v>
      </c>
      <c r="E2" s="140">
        <v>224</v>
      </c>
      <c r="F2" s="140">
        <v>16</v>
      </c>
      <c r="G2" s="142">
        <v>122316.03000000001</v>
      </c>
      <c r="H2" s="142">
        <v>62475.219999999994</v>
      </c>
      <c r="I2" s="143">
        <f t="shared" ref="I2:I130" si="0">G2/H2</f>
      </c>
      <c r="J2" s="143">
        <f t="shared" ref="J2:J130" si="2">G2/E2</f>
      </c>
      <c r="K2" s="143">
        <f t="shared" ref="K2:K130" si="1">H2/E2</f>
      </c>
      <c r="L2" s="144" t="s">
        <v>419</v>
      </c>
      <c r="M2" s="140">
        <v>8</v>
      </c>
      <c r="N2" s="139"/>
      <c r="P2" s="145"/>
      <c r="Q2" s="145"/>
      <c r="R2" s="145"/>
    </row>
    <row r="3">
      <c r="A3" s="140" t="s">
        <v>416</v>
      </c>
      <c r="B3" s="141" t="s">
        <v>420</v>
      </c>
      <c r="C3" s="140" t="s">
        <v>421</v>
      </c>
      <c r="D3" s="140">
        <v>5</v>
      </c>
      <c r="E3" s="140">
        <v>69</v>
      </c>
      <c r="F3" s="140">
        <v>5</v>
      </c>
      <c r="G3" s="142">
        <v>40152.29999999999</v>
      </c>
      <c r="H3" s="142">
        <v>22256.93</v>
      </c>
      <c r="I3" s="143">
        <f t="shared" si="0"/>
      </c>
      <c r="J3" s="143">
        <f t="shared" si="2"/>
      </c>
      <c r="K3" s="143">
        <f t="shared" si="1"/>
      </c>
      <c r="L3" s="144"/>
      <c r="M3" s="140"/>
      <c r="N3" s="139"/>
      <c r="P3" s="145"/>
      <c r="Q3" s="145"/>
      <c r="R3" s="145"/>
    </row>
    <row customHeight="true" ht="16.071428571428573" r="4">
      <c r="A4" s="140" t="s">
        <v>416</v>
      </c>
      <c r="B4" s="141" t="s">
        <v>422</v>
      </c>
      <c r="C4" s="140" t="s">
        <v>423</v>
      </c>
      <c r="D4" s="140">
        <v>3</v>
      </c>
      <c r="E4" s="140">
        <v>45</v>
      </c>
      <c r="F4" s="140">
        <v>3</v>
      </c>
      <c r="G4" s="142">
        <v>26551.74999999997</v>
      </c>
      <c r="H4" s="142">
        <v>11005.93</v>
      </c>
      <c r="I4" s="143">
        <f t="shared" si="0"/>
      </c>
      <c r="J4" s="143">
        <f t="shared" si="2"/>
      </c>
      <c r="K4" s="143">
        <f t="shared" si="1"/>
      </c>
      <c r="L4" s="144"/>
      <c r="M4" s="140"/>
      <c r="N4" s="139"/>
      <c r="P4" s="145"/>
      <c r="Q4" s="145"/>
      <c r="R4" s="145"/>
    </row>
    <row customHeight="true" ht="16.071428571428573" r="5">
      <c r="A5" s="140" t="s">
        <v>416</v>
      </c>
      <c r="B5" s="141" t="s">
        <v>424</v>
      </c>
      <c r="C5" s="140" t="s">
        <v>425</v>
      </c>
      <c r="D5" s="140">
        <v>3</v>
      </c>
      <c r="E5" s="140">
        <v>42</v>
      </c>
      <c r="F5" s="140">
        <v>3</v>
      </c>
      <c r="G5" s="142">
        <v>19203.21000000002</v>
      </c>
      <c r="H5" s="142">
        <v>13623.890000000001</v>
      </c>
      <c r="I5" s="143">
        <f t="shared" si="0"/>
      </c>
      <c r="J5" s="143">
        <f t="shared" si="2"/>
      </c>
      <c r="K5" s="143">
        <f t="shared" si="1"/>
      </c>
      <c r="L5" s="144" t="s">
        <v>426</v>
      </c>
      <c r="M5" s="140">
        <v>8</v>
      </c>
      <c r="N5" s="139"/>
      <c r="P5" s="145"/>
      <c r="Q5" s="145"/>
      <c r="R5" s="145"/>
    </row>
    <row r="6">
      <c r="A6" s="146" t="s">
        <v>416</v>
      </c>
      <c r="B6" s="147"/>
      <c r="C6" s="147"/>
      <c r="D6" s="147">
        <f>D2+D3+D4+D5</f>
      </c>
      <c r="E6" s="147">
        <f>E2+E3+E4+E5</f>
      </c>
      <c r="F6" s="147">
        <f>F2+F3+F4+F5</f>
      </c>
      <c r="G6" s="147">
        <f>G2+G3+G4+G5</f>
      </c>
      <c r="H6" s="147">
        <f>H2+H3+H4+H5</f>
      </c>
      <c r="I6" s="148">
        <f t="shared" si="0"/>
      </c>
      <c r="J6" s="148">
        <f t="shared" si="2"/>
      </c>
      <c r="K6" s="148">
        <f t="shared" si="1"/>
      </c>
      <c r="L6" s="148"/>
      <c r="M6" s="147">
        <f>M2+M3+M4+M5</f>
      </c>
      <c r="N6" s="139"/>
      <c r="O6" s="139"/>
      <c r="P6" s="145"/>
      <c r="Q6" s="145"/>
      <c r="R6" s="145"/>
      <c r="S6" s="139"/>
      <c r="T6" s="139"/>
    </row>
    <row r="7">
      <c r="A7" s="140" t="s">
        <v>427</v>
      </c>
      <c r="B7" s="141" t="s">
        <v>417</v>
      </c>
      <c r="C7" s="140" t="s">
        <v>428</v>
      </c>
      <c r="D7" s="140">
        <v>4</v>
      </c>
      <c r="E7" s="140">
        <v>36</v>
      </c>
      <c r="F7" s="140">
        <v>2</v>
      </c>
      <c r="G7" s="142">
        <v>18522.9</v>
      </c>
      <c r="H7" s="142">
        <v>10198.98</v>
      </c>
      <c r="I7" s="143">
        <f t="shared" si="0"/>
      </c>
      <c r="J7" s="143">
        <f t="shared" si="2"/>
      </c>
      <c r="K7" s="143">
        <f t="shared" si="1"/>
      </c>
      <c r="L7" s="144" t="s">
        <v>419</v>
      </c>
      <c r="M7" s="140">
        <v>7</v>
      </c>
      <c r="N7" s="139"/>
      <c r="P7" s="145"/>
      <c r="Q7" s="145"/>
      <c r="R7" s="145"/>
    </row>
    <row r="8">
      <c r="A8" s="140" t="s">
        <v>427</v>
      </c>
      <c r="B8" s="141" t="s">
        <v>420</v>
      </c>
      <c r="C8" s="140" t="s">
        <v>429</v>
      </c>
      <c r="D8" s="140">
        <v>5</v>
      </c>
      <c r="E8" s="140">
        <v>85</v>
      </c>
      <c r="F8" s="140">
        <v>6</v>
      </c>
      <c r="G8" s="142">
        <v>55950.299999999996</v>
      </c>
      <c r="H8" s="142">
        <v>21134.789999999997</v>
      </c>
      <c r="I8" s="143">
        <f t="shared" si="0"/>
      </c>
      <c r="J8" s="143">
        <f t="shared" si="2"/>
      </c>
      <c r="K8" s="143">
        <f t="shared" si="1"/>
      </c>
      <c r="L8" s="144"/>
      <c r="M8" s="140"/>
      <c r="N8" s="139"/>
      <c r="P8" s="145"/>
      <c r="Q8" s="145"/>
      <c r="R8" s="145"/>
    </row>
    <row r="9">
      <c r="A9" s="140" t="s">
        <v>427</v>
      </c>
      <c r="B9" s="141" t="s">
        <v>422</v>
      </c>
      <c r="C9" s="140" t="s">
        <v>430</v>
      </c>
      <c r="D9" s="140">
        <v>5</v>
      </c>
      <c r="E9" s="140">
        <v>86</v>
      </c>
      <c r="F9" s="140">
        <v>10</v>
      </c>
      <c r="G9" s="142">
        <v>46490.270000000004</v>
      </c>
      <c r="H9" s="142">
        <v>27952.66</v>
      </c>
      <c r="I9" s="143">
        <f t="shared" si="0"/>
      </c>
      <c r="J9" s="143">
        <f t="shared" si="2"/>
      </c>
      <c r="K9" s="143">
        <f t="shared" si="1"/>
      </c>
      <c r="L9" s="144" t="s">
        <v>426</v>
      </c>
      <c r="M9" s="140">
        <v>7</v>
      </c>
      <c r="N9" s="139"/>
      <c r="P9" s="145"/>
      <c r="Q9" s="145"/>
      <c r="R9" s="145"/>
    </row>
    <row r="10">
      <c r="A10" s="146" t="s">
        <v>427</v>
      </c>
      <c r="B10" s="147"/>
      <c r="C10" s="147"/>
      <c r="D10" s="147">
        <f>D7+D8+D9</f>
      </c>
      <c r="E10" s="147">
        <f>E7+E8+E9</f>
      </c>
      <c r="F10" s="147">
        <f>F7+F8+F9</f>
      </c>
      <c r="G10" s="147">
        <f>G7+G8+G9</f>
      </c>
      <c r="H10" s="147">
        <f>H7+H8+H9</f>
      </c>
      <c r="I10" s="148">
        <f t="shared" si="0"/>
      </c>
      <c r="J10" s="148">
        <f t="shared" si="2"/>
      </c>
      <c r="K10" s="148">
        <f t="shared" si="1"/>
      </c>
      <c r="L10" s="148"/>
      <c r="M10" s="147">
        <f>M7+M8+M9</f>
      </c>
      <c r="N10" s="139"/>
      <c r="O10" s="139"/>
      <c r="P10" s="145"/>
      <c r="Q10" s="145"/>
      <c r="R10" s="145"/>
      <c r="S10" s="139"/>
      <c r="T10" s="139"/>
    </row>
    <row r="11">
      <c r="A11" s="140" t="s">
        <v>431</v>
      </c>
      <c r="B11" s="141" t="s">
        <v>420</v>
      </c>
      <c r="C11" s="140" t="s">
        <v>428</v>
      </c>
      <c r="D11" s="140">
        <v>4</v>
      </c>
      <c r="E11" s="140">
        <v>101</v>
      </c>
      <c r="F11" s="140">
        <v>5</v>
      </c>
      <c r="G11" s="142">
        <v>56323.27</v>
      </c>
      <c r="H11" s="142">
        <v>27297.71</v>
      </c>
      <c r="I11" s="143">
        <f t="shared" si="0"/>
      </c>
      <c r="J11" s="143">
        <f t="shared" si="2"/>
      </c>
      <c r="K11" s="143">
        <f t="shared" si="1"/>
      </c>
      <c r="L11" s="144" t="s">
        <v>419</v>
      </c>
      <c r="M11" s="140">
        <v>7</v>
      </c>
      <c r="N11" s="139"/>
      <c r="P11" s="145"/>
      <c r="Q11" s="145"/>
      <c r="R11" s="145"/>
    </row>
    <row r="12">
      <c r="A12" s="140" t="s">
        <v>431</v>
      </c>
      <c r="B12" s="141" t="s">
        <v>417</v>
      </c>
      <c r="C12" s="140" t="s">
        <v>432</v>
      </c>
      <c r="D12" s="140">
        <v>4</v>
      </c>
      <c r="E12" s="140">
        <v>81</v>
      </c>
      <c r="F12" s="140">
        <v>4</v>
      </c>
      <c r="G12" s="142">
        <v>50299.79</v>
      </c>
      <c r="H12" s="142">
        <v>24917.92</v>
      </c>
      <c r="I12" s="143">
        <f t="shared" si="0"/>
      </c>
      <c r="J12" s="143">
        <f t="shared" si="2"/>
      </c>
      <c r="K12" s="143">
        <f t="shared" si="1"/>
      </c>
      <c r="L12" s="144"/>
      <c r="M12" s="140"/>
      <c r="N12" s="139"/>
      <c r="P12" s="145"/>
      <c r="Q12" s="145"/>
      <c r="R12" s="145"/>
    </row>
    <row r="13">
      <c r="A13" s="140" t="s">
        <v>431</v>
      </c>
      <c r="B13" s="141" t="s">
        <v>422</v>
      </c>
      <c r="C13" s="140" t="s">
        <v>433</v>
      </c>
      <c r="D13" s="140">
        <v>5</v>
      </c>
      <c r="E13" s="140">
        <v>51</v>
      </c>
      <c r="F13" s="140">
        <v>3</v>
      </c>
      <c r="G13" s="142">
        <v>31932.66</v>
      </c>
      <c r="H13" s="142">
        <v>18896.41</v>
      </c>
      <c r="I13" s="143">
        <f t="shared" si="0"/>
      </c>
      <c r="J13" s="143">
        <f t="shared" si="2"/>
      </c>
      <c r="K13" s="143">
        <f t="shared" si="1"/>
      </c>
      <c r="L13" s="144"/>
      <c r="M13" s="140"/>
      <c r="N13" s="139"/>
      <c r="P13" s="145"/>
      <c r="Q13" s="145"/>
      <c r="R13" s="145"/>
    </row>
    <row r="14">
      <c r="A14" s="140" t="s">
        <v>431</v>
      </c>
      <c r="B14" s="141" t="s">
        <v>424</v>
      </c>
      <c r="C14" s="140" t="s">
        <v>425</v>
      </c>
      <c r="D14" s="140">
        <v>3</v>
      </c>
      <c r="E14" s="140">
        <v>29</v>
      </c>
      <c r="F14" s="140">
        <v>1</v>
      </c>
      <c r="G14" s="142">
        <v>16685.9</v>
      </c>
      <c r="H14" s="142">
        <v>8915.23</v>
      </c>
      <c r="I14" s="143">
        <f t="shared" si="0"/>
      </c>
      <c r="J14" s="143">
        <f t="shared" si="2"/>
      </c>
      <c r="K14" s="143">
        <f t="shared" si="1"/>
      </c>
      <c r="L14" s="144" t="s">
        <v>426</v>
      </c>
      <c r="M14" s="140">
        <v>9</v>
      </c>
      <c r="N14" s="139"/>
      <c r="P14" s="145"/>
      <c r="Q14" s="145"/>
      <c r="R14" s="145"/>
    </row>
    <row r="15">
      <c r="A15" s="146" t="s">
        <v>431</v>
      </c>
      <c r="B15" s="147"/>
      <c r="C15" s="147"/>
      <c r="D15" s="147">
        <f>D11+D12+D13+D14</f>
      </c>
      <c r="E15" s="147">
        <f>E11+E12+E13+E14</f>
      </c>
      <c r="F15" s="147">
        <f>F11+F12+F13+F14</f>
      </c>
      <c r="G15" s="147">
        <f>SUM(G11:G14)</f>
      </c>
      <c r="H15" s="147">
        <f>SUM(H11:H14)</f>
      </c>
      <c r="I15" s="148">
        <f t="shared" si="0"/>
      </c>
      <c r="J15" s="148">
        <f t="shared" si="2"/>
      </c>
      <c r="K15" s="148">
        <f t="shared" si="1"/>
      </c>
      <c r="L15" s="148"/>
      <c r="M15" s="147">
        <f>M11+M12+M13+M14</f>
      </c>
      <c r="N15" s="139"/>
      <c r="O15" s="139"/>
      <c r="P15" s="145"/>
      <c r="Q15" s="145"/>
      <c r="R15" s="145"/>
      <c r="S15" s="139"/>
      <c r="T15" s="139"/>
    </row>
    <row r="16">
      <c r="A16" s="140" t="s">
        <v>434</v>
      </c>
      <c r="B16" s="141" t="s">
        <v>417</v>
      </c>
      <c r="C16" s="140" t="s">
        <v>428</v>
      </c>
      <c r="D16" s="140">
        <v>4</v>
      </c>
      <c r="E16" s="140">
        <v>38</v>
      </c>
      <c r="F16" s="140">
        <v>1</v>
      </c>
      <c r="G16" s="142">
        <v>19207.22</v>
      </c>
      <c r="H16" s="142">
        <v>14402.929999999998</v>
      </c>
      <c r="I16" s="143">
        <f t="shared" si="0"/>
      </c>
      <c r="J16" s="143">
        <f t="shared" si="2"/>
      </c>
      <c r="K16" s="143">
        <f t="shared" si="1"/>
      </c>
      <c r="L16" s="144" t="s">
        <v>435</v>
      </c>
      <c r="M16" s="140">
        <v>7</v>
      </c>
      <c r="P16" s="145"/>
      <c r="Q16" s="145"/>
      <c r="R16" s="145"/>
    </row>
    <row r="17">
      <c r="A17" s="140" t="s">
        <v>434</v>
      </c>
      <c r="B17" s="141" t="s">
        <v>420</v>
      </c>
      <c r="C17" s="140" t="s">
        <v>432</v>
      </c>
      <c r="D17" s="140">
        <v>4</v>
      </c>
      <c r="E17" s="140">
        <v>43</v>
      </c>
      <c r="F17" s="140">
        <v>4</v>
      </c>
      <c r="G17" s="142">
        <v>21594.02</v>
      </c>
      <c r="H17" s="142">
        <v>12533.79</v>
      </c>
      <c r="I17" s="143">
        <f t="shared" si="0"/>
      </c>
      <c r="J17" s="143">
        <f t="shared" si="2"/>
      </c>
      <c r="K17" s="143">
        <f t="shared" si="1"/>
      </c>
      <c r="L17" s="144"/>
      <c r="M17" s="140"/>
      <c r="P17" s="145"/>
      <c r="Q17" s="145"/>
      <c r="R17" s="145"/>
    </row>
    <row r="18">
      <c r="A18" s="140" t="s">
        <v>434</v>
      </c>
      <c r="B18" s="141" t="s">
        <v>424</v>
      </c>
      <c r="C18" s="140" t="s">
        <v>433</v>
      </c>
      <c r="D18" s="140">
        <v>5</v>
      </c>
      <c r="E18" s="140">
        <v>27</v>
      </c>
      <c r="F18" s="140">
        <v>4</v>
      </c>
      <c r="G18" s="142">
        <v>15399.3</v>
      </c>
      <c r="H18" s="142">
        <v>8873.08</v>
      </c>
      <c r="I18" s="143">
        <f t="shared" si="0"/>
      </c>
      <c r="J18" s="143">
        <f t="shared" si="2"/>
      </c>
      <c r="K18" s="143">
        <f t="shared" si="1"/>
      </c>
      <c r="L18" s="144"/>
      <c r="M18" s="140"/>
      <c r="P18" s="145"/>
      <c r="Q18" s="145"/>
      <c r="R18" s="145"/>
    </row>
    <row r="19">
      <c r="A19" s="140" t="s">
        <v>434</v>
      </c>
      <c r="B19" s="141" t="s">
        <v>436</v>
      </c>
      <c r="C19" s="140" t="s">
        <v>425</v>
      </c>
      <c r="D19" s="140">
        <v>3</v>
      </c>
      <c r="E19" s="140">
        <v>41</v>
      </c>
      <c r="F19" s="140">
        <v>3</v>
      </c>
      <c r="G19" s="142">
        <v>22804.15</v>
      </c>
      <c r="H19" s="142">
        <v>8365.380000000001</v>
      </c>
      <c r="I19" s="143">
        <f t="shared" si="0"/>
      </c>
      <c r="J19" s="143">
        <f t="shared" si="2"/>
      </c>
      <c r="K19" s="143">
        <f t="shared" si="1"/>
      </c>
      <c r="L19" s="144" t="s">
        <v>426</v>
      </c>
      <c r="M19" s="140">
        <v>9</v>
      </c>
      <c r="P19" s="145"/>
      <c r="Q19" s="145"/>
      <c r="R19" s="145"/>
    </row>
    <row r="20">
      <c r="A20" s="146" t="s">
        <v>434</v>
      </c>
      <c r="B20" s="147"/>
      <c r="C20" s="147"/>
      <c r="D20" s="147">
        <f>SUM(D16:D19)</f>
      </c>
      <c r="E20" s="147">
        <f>SUM(E16:E19)</f>
      </c>
      <c r="F20" s="147">
        <f>SUM(F16:F19)</f>
      </c>
      <c r="G20" s="147">
        <f>SUM(G16:G19)</f>
      </c>
      <c r="H20" s="147">
        <f>SUM(H16:H19)</f>
      </c>
      <c r="I20" s="148">
        <f t="shared" si="0"/>
      </c>
      <c r="J20" s="148">
        <f t="shared" si="2"/>
      </c>
      <c r="K20" s="148">
        <f t="shared" si="1"/>
      </c>
      <c r="L20" s="148"/>
      <c r="M20" s="147">
        <f>M16+M17+M18+M19</f>
      </c>
      <c r="N20" s="139"/>
      <c r="O20" s="139"/>
      <c r="P20" s="145"/>
      <c r="Q20" s="145"/>
      <c r="R20" s="145"/>
      <c r="S20" s="139"/>
      <c r="T20" s="139"/>
    </row>
    <row r="21">
      <c r="A21" s="140" t="s">
        <v>437</v>
      </c>
      <c r="B21" s="141" t="s">
        <v>424</v>
      </c>
      <c r="C21" s="140" t="s">
        <v>428</v>
      </c>
      <c r="D21" s="140">
        <v>4</v>
      </c>
      <c r="E21" s="140">
        <v>27</v>
      </c>
      <c r="F21" s="140">
        <v>6</v>
      </c>
      <c r="G21" s="142">
        <v>13121.96</v>
      </c>
      <c r="H21" s="142">
        <v>8492.73</v>
      </c>
      <c r="I21" s="143">
        <f t="shared" si="0"/>
      </c>
      <c r="J21" s="143">
        <f t="shared" si="2"/>
      </c>
      <c r="K21" s="143">
        <f t="shared" si="1"/>
      </c>
      <c r="L21" s="144" t="s">
        <v>435</v>
      </c>
      <c r="M21" s="140">
        <v>7</v>
      </c>
      <c r="P21" s="145"/>
      <c r="Q21" s="145"/>
      <c r="R21" s="145"/>
    </row>
    <row r="22">
      <c r="A22" s="140" t="s">
        <v>437</v>
      </c>
      <c r="B22" s="141" t="s">
        <v>417</v>
      </c>
      <c r="C22" s="140" t="s">
        <v>432</v>
      </c>
      <c r="D22" s="140">
        <v>4</v>
      </c>
      <c r="E22" s="140">
        <v>28</v>
      </c>
      <c r="F22" s="140">
        <v>2</v>
      </c>
      <c r="G22" s="142">
        <v>12191.740000000002</v>
      </c>
      <c r="H22" s="142">
        <v>6684.14</v>
      </c>
      <c r="I22" s="143">
        <f t="shared" si="0"/>
      </c>
      <c r="J22" s="143">
        <f t="shared" si="2"/>
      </c>
      <c r="K22" s="143">
        <f t="shared" si="1"/>
      </c>
      <c r="L22" s="144"/>
      <c r="M22" s="140"/>
      <c r="P22" s="145"/>
      <c r="Q22" s="145"/>
      <c r="R22" s="145"/>
    </row>
    <row r="23">
      <c r="A23" s="140" t="s">
        <v>437</v>
      </c>
      <c r="B23" s="141" t="s">
        <v>422</v>
      </c>
      <c r="C23" s="140" t="s">
        <v>438</v>
      </c>
      <c r="D23" s="140">
        <v>4</v>
      </c>
      <c r="E23" s="140">
        <v>36</v>
      </c>
      <c r="F23" s="140">
        <v>3</v>
      </c>
      <c r="G23" s="142">
        <v>18981.83</v>
      </c>
      <c r="H23" s="142">
        <v>13210.099999999999</v>
      </c>
      <c r="I23" s="143">
        <f t="shared" si="0"/>
      </c>
      <c r="J23" s="143">
        <f t="shared" si="2"/>
      </c>
      <c r="K23" s="143">
        <f t="shared" si="1"/>
      </c>
      <c r="L23" s="144"/>
      <c r="M23" s="140"/>
      <c r="P23" s="145"/>
      <c r="Q23" s="145"/>
      <c r="R23" s="145"/>
    </row>
    <row r="24">
      <c r="A24" s="140" t="s">
        <v>437</v>
      </c>
      <c r="B24" s="141" t="s">
        <v>436</v>
      </c>
      <c r="C24" s="140" t="s">
        <v>439</v>
      </c>
      <c r="D24" s="140">
        <v>4</v>
      </c>
      <c r="E24" s="140">
        <v>48</v>
      </c>
      <c r="F24" s="140">
        <v>6</v>
      </c>
      <c r="G24" s="142">
        <v>28605.46</v>
      </c>
      <c r="H24" s="142">
        <v>9008.28</v>
      </c>
      <c r="I24" s="143">
        <f t="shared" si="0"/>
      </c>
      <c r="J24" s="143">
        <f t="shared" si="2"/>
      </c>
      <c r="K24" s="143">
        <f t="shared" si="1"/>
      </c>
      <c r="L24" s="144" t="s">
        <v>440</v>
      </c>
      <c r="M24" s="140">
        <v>9</v>
      </c>
      <c r="P24" s="145"/>
      <c r="Q24" s="145"/>
      <c r="R24" s="145"/>
    </row>
    <row r="25">
      <c r="A25" s="146" t="s">
        <v>437</v>
      </c>
      <c r="B25" s="147"/>
      <c r="C25" s="147"/>
      <c r="D25" s="147">
        <f>SUM(D21:D24)</f>
      </c>
      <c r="E25" s="147">
        <f>SUM(E21:E24)</f>
      </c>
      <c r="F25" s="147">
        <f>SUM(F21:F24)</f>
      </c>
      <c r="G25" s="147">
        <f>SUM(G21:G24)</f>
      </c>
      <c r="H25" s="147">
        <f>SUM(H21:H24)</f>
      </c>
      <c r="I25" s="148">
        <f t="shared" si="0"/>
      </c>
      <c r="J25" s="148">
        <f t="shared" si="2"/>
      </c>
      <c r="K25" s="148">
        <f t="shared" si="1"/>
      </c>
      <c r="L25" s="148"/>
      <c r="M25" s="147">
        <f>M21+M22+M23+M24</f>
      </c>
      <c r="N25" s="139"/>
      <c r="O25" s="139"/>
      <c r="P25" s="145"/>
      <c r="Q25" s="145"/>
      <c r="R25" s="145"/>
      <c r="S25" s="139"/>
      <c r="T25" s="139"/>
    </row>
    <row r="26">
      <c r="A26" s="140" t="s">
        <v>441</v>
      </c>
      <c r="B26" s="141" t="s">
        <v>417</v>
      </c>
      <c r="C26" s="140" t="s">
        <v>428</v>
      </c>
      <c r="D26" s="140">
        <v>4</v>
      </c>
      <c r="E26" s="140">
        <v>18</v>
      </c>
      <c r="F26" s="140">
        <v>1</v>
      </c>
      <c r="G26" s="142">
        <v>8892.74</v>
      </c>
      <c r="H26" s="142">
        <v>7838.889999999999</v>
      </c>
      <c r="I26" s="143">
        <f t="shared" si="0"/>
      </c>
      <c r="J26" s="143">
        <f t="shared" si="2"/>
      </c>
      <c r="K26" s="143">
        <f t="shared" si="1"/>
      </c>
      <c r="L26" s="144" t="s">
        <v>435</v>
      </c>
      <c r="M26" s="140">
        <v>7</v>
      </c>
      <c r="P26" s="145"/>
      <c r="Q26" s="145"/>
      <c r="R26" s="145"/>
    </row>
    <row r="27">
      <c r="A27" s="140" t="s">
        <v>441</v>
      </c>
      <c r="B27" s="141" t="s">
        <v>436</v>
      </c>
      <c r="C27" s="140" t="s">
        <v>429</v>
      </c>
      <c r="D27" s="140">
        <v>5</v>
      </c>
      <c r="E27" s="140">
        <v>22</v>
      </c>
      <c r="F27" s="140">
        <v>1</v>
      </c>
      <c r="G27" s="142">
        <v>9742.36</v>
      </c>
      <c r="H27" s="142">
        <v>9557.16</v>
      </c>
      <c r="I27" s="143">
        <f t="shared" si="0"/>
      </c>
      <c r="J27" s="143">
        <f t="shared" si="2"/>
      </c>
      <c r="K27" s="143">
        <f t="shared" si="1"/>
      </c>
      <c r="L27" s="144"/>
      <c r="M27" s="140"/>
      <c r="P27" s="145"/>
      <c r="Q27" s="145"/>
      <c r="R27" s="145"/>
    </row>
    <row r="28">
      <c r="A28" s="140" t="s">
        <v>441</v>
      </c>
      <c r="B28" s="141" t="s">
        <v>422</v>
      </c>
      <c r="C28" s="140" t="s">
        <v>442</v>
      </c>
      <c r="D28" s="140">
        <v>4</v>
      </c>
      <c r="E28" s="140">
        <v>29</v>
      </c>
      <c r="F28" s="140">
        <v>2</v>
      </c>
      <c r="G28" s="142">
        <v>16265.2</v>
      </c>
      <c r="H28" s="142">
        <v>8466.84</v>
      </c>
      <c r="I28" s="143">
        <f t="shared" si="0"/>
      </c>
      <c r="J28" s="143">
        <f t="shared" si="2"/>
      </c>
      <c r="K28" s="143">
        <f t="shared" si="1"/>
      </c>
      <c r="L28" s="144"/>
      <c r="M28" s="140"/>
      <c r="P28" s="145"/>
      <c r="Q28" s="145"/>
      <c r="R28" s="145"/>
    </row>
    <row r="29">
      <c r="A29" s="140" t="s">
        <v>441</v>
      </c>
      <c r="B29" s="141" t="s">
        <v>424</v>
      </c>
      <c r="C29" s="140" t="s">
        <v>425</v>
      </c>
      <c r="D29" s="140">
        <v>3</v>
      </c>
      <c r="E29" s="140">
        <v>12</v>
      </c>
      <c r="F29" s="140">
        <v>2</v>
      </c>
      <c r="G29" s="142">
        <v>7630.059999999998</v>
      </c>
      <c r="H29" s="142">
        <v>4196.22</v>
      </c>
      <c r="I29" s="143">
        <f t="shared" si="0"/>
      </c>
      <c r="J29" s="143">
        <f t="shared" si="2"/>
      </c>
      <c r="K29" s="143">
        <f t="shared" si="1"/>
      </c>
      <c r="L29" s="144" t="s">
        <v>440</v>
      </c>
      <c r="M29" s="140">
        <v>9</v>
      </c>
      <c r="P29" s="145"/>
      <c r="Q29" s="145"/>
      <c r="R29" s="145"/>
    </row>
    <row r="30">
      <c r="A30" s="146" t="s">
        <v>441</v>
      </c>
      <c r="B30" s="147"/>
      <c r="C30" s="147"/>
      <c r="D30" s="147">
        <f>SUM(D26:D29)</f>
      </c>
      <c r="E30" s="147">
        <f>SUM(E26:E29)</f>
      </c>
      <c r="F30" s="147">
        <f>SUM(F26:F29)</f>
      </c>
      <c r="G30" s="147">
        <f>SUM(G26:G29)</f>
      </c>
      <c r="H30" s="147">
        <f>SUM(H26:H29)</f>
      </c>
      <c r="I30" s="148">
        <f t="shared" si="0"/>
      </c>
      <c r="J30" s="148">
        <f t="shared" si="2"/>
      </c>
      <c r="K30" s="148">
        <f t="shared" si="1"/>
      </c>
      <c r="L30" s="148"/>
      <c r="M30" s="147">
        <f>M26+M27+M28+M29</f>
      </c>
      <c r="N30" s="139"/>
      <c r="O30" s="139"/>
      <c r="P30" s="145"/>
      <c r="Q30" s="145"/>
      <c r="R30" s="145"/>
      <c r="S30" s="139"/>
      <c r="T30" s="139"/>
    </row>
    <row r="31">
      <c r="A31" s="140" t="s">
        <v>443</v>
      </c>
      <c r="B31" s="141" t="s">
        <v>424</v>
      </c>
      <c r="C31" s="140" t="s">
        <v>444</v>
      </c>
      <c r="D31" s="140">
        <v>4</v>
      </c>
      <c r="E31" s="140">
        <v>12</v>
      </c>
      <c r="F31" s="140">
        <v>1</v>
      </c>
      <c r="G31" s="142">
        <v>3003.88</v>
      </c>
      <c r="H31" s="142">
        <v>6837.99</v>
      </c>
      <c r="I31" s="143">
        <f t="shared" si="0"/>
      </c>
      <c r="J31" s="143">
        <f t="shared" si="2"/>
      </c>
      <c r="K31" s="143">
        <f t="shared" si="1"/>
      </c>
      <c r="L31" s="144"/>
      <c r="M31" s="140"/>
    </row>
    <row r="32">
      <c r="A32" s="140" t="s">
        <v>443</v>
      </c>
      <c r="B32" s="141" t="s">
        <v>417</v>
      </c>
      <c r="C32" s="140" t="s">
        <v>442</v>
      </c>
      <c r="D32" s="140">
        <v>4</v>
      </c>
      <c r="E32" s="140">
        <v>6</v>
      </c>
      <c r="F32" s="140">
        <v>0</v>
      </c>
      <c r="G32" s="142">
        <v>3102</v>
      </c>
      <c r="H32" s="149">
        <v>3336.96</v>
      </c>
      <c r="I32" s="143">
        <f t="shared" si="0"/>
      </c>
      <c r="J32" s="143">
        <f t="shared" si="2"/>
      </c>
      <c r="K32" s="143">
        <f t="shared" si="1"/>
      </c>
      <c r="L32" s="144" t="s">
        <v>440</v>
      </c>
      <c r="M32" s="140">
        <v>8</v>
      </c>
    </row>
    <row r="33">
      <c r="A33" s="146" t="s">
        <v>443</v>
      </c>
      <c r="B33" s="147"/>
      <c r="C33" s="147"/>
      <c r="D33" s="147">
        <f>SUM(D31:D32)</f>
      </c>
      <c r="E33" s="147">
        <f>SUM(E31:E32)</f>
      </c>
      <c r="F33" s="147">
        <f>SUM(F31:F32)</f>
      </c>
      <c r="G33" s="147">
        <f>SUM(G31:G32)</f>
      </c>
      <c r="H33" s="147">
        <f>SUM(H31:H32)</f>
      </c>
      <c r="I33" s="148">
        <f t="shared" si="0"/>
      </c>
      <c r="J33" s="148">
        <f t="shared" si="2"/>
      </c>
      <c r="K33" s="148">
        <f t="shared" si="1"/>
      </c>
      <c r="L33" s="148"/>
      <c r="M33" s="147">
        <f>SUM(M31:M32)</f>
      </c>
      <c r="N33" s="139"/>
      <c r="O33" s="139"/>
      <c r="P33" s="139"/>
      <c r="Q33" s="139"/>
      <c r="R33" s="139"/>
      <c r="S33" s="139"/>
      <c r="T33" s="139"/>
    </row>
    <row r="34">
      <c r="A34" s="140" t="s">
        <v>445</v>
      </c>
      <c r="B34" s="141" t="s">
        <v>417</v>
      </c>
      <c r="C34" s="140" t="s">
        <v>446</v>
      </c>
      <c r="D34" s="140">
        <v>3</v>
      </c>
      <c r="E34" s="140">
        <v>8</v>
      </c>
      <c r="F34" s="140">
        <v>1</v>
      </c>
      <c r="G34" s="142">
        <v>4433.2</v>
      </c>
      <c r="H34" s="142">
        <v>2569.0599999999995</v>
      </c>
      <c r="I34" s="143">
        <f t="shared" si="0"/>
      </c>
      <c r="J34" s="143">
        <f t="shared" si="2"/>
      </c>
      <c r="K34" s="143">
        <f t="shared" si="1"/>
      </c>
      <c r="L34" s="144" t="s">
        <v>447</v>
      </c>
      <c r="M34" s="140">
        <v>1</v>
      </c>
    </row>
    <row r="35">
      <c r="A35" s="140" t="s">
        <v>445</v>
      </c>
      <c r="B35" s="141" t="s">
        <v>424</v>
      </c>
      <c r="C35" s="140" t="s">
        <v>448</v>
      </c>
      <c r="D35" s="140">
        <v>4</v>
      </c>
      <c r="E35" s="140">
        <v>18</v>
      </c>
      <c r="F35" s="140">
        <v>2</v>
      </c>
      <c r="G35" s="142">
        <v>7533.36</v>
      </c>
      <c r="H35" s="142">
        <v>6623.509999999999</v>
      </c>
      <c r="I35" s="143">
        <f t="shared" si="0"/>
      </c>
      <c r="J35" s="143">
        <f t="shared" si="2"/>
      </c>
      <c r="K35" s="143">
        <f t="shared" si="1"/>
      </c>
      <c r="L35" s="144" t="s">
        <v>440</v>
      </c>
      <c r="M35" s="140">
        <v>6</v>
      </c>
    </row>
    <row r="36">
      <c r="A36" s="146" t="s">
        <v>445</v>
      </c>
      <c r="B36" s="147"/>
      <c r="C36" s="147"/>
      <c r="D36" s="147">
        <f>SUM(D34:D35)</f>
      </c>
      <c r="E36" s="147">
        <f>SUM(E34:E35)</f>
      </c>
      <c r="F36" s="147">
        <f>SUM(F34:F35)</f>
      </c>
      <c r="G36" s="147">
        <f>SUM(G34:G35)</f>
      </c>
      <c r="H36" s="147">
        <f>SUM(H34:H35)</f>
      </c>
      <c r="I36" s="148">
        <f t="shared" si="0"/>
      </c>
      <c r="J36" s="148">
        <f t="shared" si="2"/>
      </c>
      <c r="K36" s="148">
        <f t="shared" si="1"/>
      </c>
      <c r="L36" s="148"/>
      <c r="M36" s="147">
        <f>SUM(M34:M35)</f>
      </c>
      <c r="N36" s="139"/>
      <c r="O36" s="139"/>
      <c r="P36" s="139"/>
      <c r="Q36" s="139"/>
      <c r="R36" s="139"/>
      <c r="S36" s="139"/>
      <c r="T36" s="139"/>
    </row>
    <row r="37">
      <c r="A37" s="140" t="s">
        <v>449</v>
      </c>
      <c r="B37" s="141" t="s">
        <v>417</v>
      </c>
      <c r="C37" s="140" t="s">
        <v>432</v>
      </c>
      <c r="D37" s="140">
        <v>4</v>
      </c>
      <c r="E37" s="140">
        <v>177</v>
      </c>
      <c r="F37" s="140">
        <v>11</v>
      </c>
      <c r="G37" s="142">
        <v>92618.95</v>
      </c>
      <c r="H37" s="142">
        <v>54080.66</v>
      </c>
      <c r="I37" s="143">
        <f t="shared" si="0"/>
      </c>
      <c r="J37" s="143">
        <f t="shared" si="2"/>
      </c>
      <c r="K37" s="143">
        <f t="shared" si="1"/>
      </c>
      <c r="L37" s="144"/>
      <c r="M37" s="140"/>
    </row>
    <row customHeight="true" ht="16.071428571428573" r="38">
      <c r="A38" s="140" t="s">
        <v>449</v>
      </c>
      <c r="B38" s="141" t="s">
        <v>422</v>
      </c>
      <c r="C38" s="140" t="s">
        <v>450</v>
      </c>
      <c r="D38" s="140">
        <v>3</v>
      </c>
      <c r="E38" s="140">
        <v>105</v>
      </c>
      <c r="F38" s="140">
        <v>10</v>
      </c>
      <c r="G38" s="142">
        <v>50787.05999999998</v>
      </c>
      <c r="H38" s="142">
        <v>38733.09</v>
      </c>
      <c r="I38" s="143">
        <f t="shared" si="0"/>
      </c>
      <c r="J38" s="143">
        <f t="shared" si="2"/>
      </c>
      <c r="K38" s="143">
        <f t="shared" si="1"/>
      </c>
      <c r="L38" s="144"/>
      <c r="M38" s="140"/>
    </row>
    <row r="39">
      <c r="A39" s="140" t="s">
        <v>449</v>
      </c>
      <c r="B39" s="141" t="s">
        <v>424</v>
      </c>
      <c r="C39" s="140" t="s">
        <v>451</v>
      </c>
      <c r="D39" s="140">
        <v>4</v>
      </c>
      <c r="E39" s="140">
        <v>92</v>
      </c>
      <c r="F39" s="140">
        <v>10</v>
      </c>
      <c r="G39" s="142">
        <v>44683.119999999995</v>
      </c>
      <c r="H39" s="142">
        <v>41870.32000000001</v>
      </c>
      <c r="I39" s="143">
        <f t="shared" si="0"/>
      </c>
      <c r="J39" s="143">
        <f t="shared" si="2"/>
      </c>
      <c r="K39" s="143">
        <f t="shared" si="1"/>
      </c>
      <c r="L39" s="144" t="s">
        <v>440</v>
      </c>
      <c r="M39" s="140">
        <v>11</v>
      </c>
    </row>
    <row r="40">
      <c r="A40" s="146" t="s">
        <v>449</v>
      </c>
      <c r="B40" s="147"/>
      <c r="C40" s="147"/>
      <c r="D40" s="147">
        <f>SUM(D37:D39)</f>
      </c>
      <c r="E40" s="147">
        <f>SUM(E37:E39)</f>
      </c>
      <c r="F40" s="147">
        <f>SUM(F37:F39)</f>
      </c>
      <c r="G40" s="147">
        <f>SUM(G37:G39)</f>
      </c>
      <c r="H40" s="147">
        <f>SUM(H37:H39)</f>
      </c>
      <c r="I40" s="148">
        <f t="shared" si="0"/>
      </c>
      <c r="J40" s="148">
        <f t="shared" si="2"/>
      </c>
      <c r="K40" s="148">
        <f t="shared" si="1"/>
      </c>
      <c r="L40" s="148"/>
      <c r="M40" s="147">
        <f>SUM(M37:M39)</f>
      </c>
      <c r="N40" s="139"/>
      <c r="O40" s="139"/>
      <c r="P40" s="139"/>
      <c r="Q40" s="139"/>
      <c r="R40" s="139"/>
      <c r="S40" s="139"/>
      <c r="T40" s="139"/>
    </row>
    <row r="41">
      <c r="A41" s="140" t="s">
        <v>452</v>
      </c>
      <c r="B41" s="141" t="s">
        <v>417</v>
      </c>
      <c r="C41" s="140" t="s">
        <v>432</v>
      </c>
      <c r="D41" s="140">
        <v>4</v>
      </c>
      <c r="E41" s="140">
        <v>31</v>
      </c>
      <c r="F41" s="140">
        <v>3</v>
      </c>
      <c r="G41" s="142">
        <v>15253.34</v>
      </c>
      <c r="H41" s="142">
        <v>12321.71</v>
      </c>
      <c r="I41" s="143">
        <f t="shared" si="0"/>
      </c>
      <c r="J41" s="143">
        <f t="shared" si="2"/>
      </c>
      <c r="K41" s="143">
        <f t="shared" si="1"/>
      </c>
      <c r="L41" s="144"/>
      <c r="M41" s="140"/>
    </row>
    <row r="42">
      <c r="A42" s="140" t="s">
        <v>452</v>
      </c>
      <c r="B42" s="141" t="s">
        <v>424</v>
      </c>
      <c r="C42" s="140" t="s">
        <v>433</v>
      </c>
      <c r="D42" s="140">
        <v>5</v>
      </c>
      <c r="E42" s="140">
        <v>54</v>
      </c>
      <c r="F42" s="140">
        <v>9</v>
      </c>
      <c r="G42" s="142">
        <v>31991.19</v>
      </c>
      <c r="H42" s="142">
        <v>18812.73</v>
      </c>
      <c r="I42" s="143">
        <f t="shared" si="0"/>
      </c>
      <c r="J42" s="143">
        <f t="shared" si="2"/>
      </c>
      <c r="K42" s="143">
        <f t="shared" si="1"/>
      </c>
      <c r="L42" s="144"/>
      <c r="M42" s="140"/>
    </row>
    <row r="43">
      <c r="A43" s="140" t="s">
        <v>452</v>
      </c>
      <c r="B43" s="141" t="s">
        <v>422</v>
      </c>
      <c r="C43" s="140" t="s">
        <v>425</v>
      </c>
      <c r="D43" s="140">
        <v>3</v>
      </c>
      <c r="E43" s="140">
        <v>56</v>
      </c>
      <c r="F43" s="140">
        <v>6</v>
      </c>
      <c r="G43" s="142">
        <v>25398.9</v>
      </c>
      <c r="H43" s="142">
        <v>18246.28</v>
      </c>
      <c r="I43" s="143">
        <f t="shared" si="0"/>
      </c>
      <c r="J43" s="143">
        <f t="shared" si="2"/>
      </c>
      <c r="K43" s="143">
        <f t="shared" si="1"/>
      </c>
      <c r="L43" s="144" t="s">
        <v>426</v>
      </c>
      <c r="M43" s="140">
        <v>12</v>
      </c>
    </row>
    <row r="44">
      <c r="A44" s="146" t="s">
        <v>452</v>
      </c>
      <c r="B44" s="147"/>
      <c r="C44" s="147"/>
      <c r="D44" s="147">
        <f>SUM(D41:D43)</f>
      </c>
      <c r="E44" s="147">
        <f>SUM(E41:E43)</f>
      </c>
      <c r="F44" s="147">
        <f>SUM(F41:F43)</f>
      </c>
      <c r="G44" s="147">
        <f>SUM(G41:G43)</f>
      </c>
      <c r="H44" s="147">
        <f>SUM(H41:H43)</f>
      </c>
      <c r="I44" s="148">
        <f t="shared" si="0"/>
      </c>
      <c r="J44" s="148">
        <f t="shared" si="2"/>
      </c>
      <c r="K44" s="148">
        <f t="shared" si="1"/>
      </c>
      <c r="L44" s="148"/>
      <c r="M44" s="147">
        <f>SUM(M41:M43)</f>
      </c>
      <c r="N44" s="139"/>
      <c r="O44" s="139"/>
      <c r="P44" s="139"/>
      <c r="Q44" s="139"/>
      <c r="R44" s="139"/>
      <c r="S44" s="139"/>
      <c r="T44" s="139"/>
    </row>
    <row r="45">
      <c r="A45" s="140" t="s">
        <v>453</v>
      </c>
      <c r="B45" s="141" t="s">
        <v>424</v>
      </c>
      <c r="C45" s="140" t="s">
        <v>432</v>
      </c>
      <c r="D45" s="140">
        <v>4</v>
      </c>
      <c r="E45" s="140">
        <v>19</v>
      </c>
      <c r="F45" s="140">
        <v>4</v>
      </c>
      <c r="G45" s="142">
        <v>8575.74</v>
      </c>
      <c r="H45" s="142">
        <v>15207.150000000001</v>
      </c>
      <c r="I45" s="143">
        <f t="shared" si="0"/>
      </c>
      <c r="J45" s="143">
        <f t="shared" si="2"/>
      </c>
      <c r="K45" s="143">
        <f t="shared" si="1"/>
      </c>
      <c r="L45" s="144"/>
      <c r="M45" s="140"/>
    </row>
    <row r="46">
      <c r="A46" s="140" t="s">
        <v>453</v>
      </c>
      <c r="B46" s="141" t="s">
        <v>417</v>
      </c>
      <c r="C46" s="140" t="s">
        <v>433</v>
      </c>
      <c r="D46" s="140">
        <v>5</v>
      </c>
      <c r="E46" s="140">
        <v>284</v>
      </c>
      <c r="F46" s="140">
        <v>15</v>
      </c>
      <c r="G46" s="142">
        <v>130317.11000000002</v>
      </c>
      <c r="H46" s="142">
        <v>79086.22</v>
      </c>
      <c r="I46" s="143">
        <f t="shared" si="0"/>
      </c>
      <c r="J46" s="143">
        <f t="shared" si="2"/>
      </c>
      <c r="K46" s="143">
        <f t="shared" si="1"/>
      </c>
      <c r="L46" s="144"/>
      <c r="M46" s="140"/>
    </row>
    <row r="47">
      <c r="A47" s="140" t="s">
        <v>453</v>
      </c>
      <c r="B47" s="141" t="s">
        <v>422</v>
      </c>
      <c r="C47" s="140" t="s">
        <v>425</v>
      </c>
      <c r="D47" s="140">
        <v>3</v>
      </c>
      <c r="E47" s="140">
        <v>93</v>
      </c>
      <c r="F47" s="140">
        <v>12</v>
      </c>
      <c r="G47" s="142">
        <v>53416.69999999998</v>
      </c>
      <c r="H47" s="142">
        <v>42031.44</v>
      </c>
      <c r="I47" s="143">
        <f t="shared" si="0"/>
      </c>
      <c r="J47" s="143">
        <f t="shared" si="2"/>
      </c>
      <c r="K47" s="143">
        <f t="shared" si="1"/>
      </c>
      <c r="L47" s="144" t="s">
        <v>440</v>
      </c>
      <c r="M47" s="140">
        <v>12</v>
      </c>
    </row>
    <row r="48">
      <c r="A48" s="146" t="s">
        <v>453</v>
      </c>
      <c r="B48" s="147"/>
      <c r="C48" s="147"/>
      <c r="D48" s="147">
        <f>SUM(D45:D47)</f>
      </c>
      <c r="E48" s="147">
        <f>SUM(E45:E47)</f>
      </c>
      <c r="F48" s="147">
        <f>SUM(F45:F47)</f>
      </c>
      <c r="G48" s="147">
        <f>SUM(G45:G47)</f>
      </c>
      <c r="H48" s="147">
        <f>SUM(H45:H47)</f>
      </c>
      <c r="I48" s="148">
        <f t="shared" si="0"/>
      </c>
      <c r="J48" s="148">
        <f t="shared" si="2"/>
      </c>
      <c r="K48" s="148">
        <f t="shared" si="1"/>
      </c>
      <c r="L48" s="148"/>
      <c r="M48" s="147">
        <f>SUM(M45:M47)</f>
      </c>
      <c r="N48" s="139"/>
      <c r="O48" s="139"/>
      <c r="P48" s="139"/>
      <c r="Q48" s="139"/>
      <c r="R48" s="139"/>
      <c r="S48" s="139"/>
      <c r="T48" s="139"/>
    </row>
    <row r="49">
      <c r="A49" s="140" t="s">
        <v>454</v>
      </c>
      <c r="B49" s="141" t="s">
        <v>417</v>
      </c>
      <c r="C49" s="140" t="s">
        <v>432</v>
      </c>
      <c r="D49" s="140">
        <v>4</v>
      </c>
      <c r="E49" s="140">
        <v>18</v>
      </c>
      <c r="F49" s="140">
        <v>1</v>
      </c>
      <c r="G49" s="140">
        <v>7494.24</v>
      </c>
      <c r="H49" s="142">
        <v>9397.94</v>
      </c>
      <c r="I49" s="143">
        <f t="shared" si="0"/>
      </c>
      <c r="J49" s="143">
        <f t="shared" si="2"/>
      </c>
      <c r="K49" s="143">
        <f t="shared" si="1"/>
      </c>
      <c r="L49" s="144"/>
      <c r="M49" s="140"/>
    </row>
    <row r="50">
      <c r="A50" s="140" t="s">
        <v>454</v>
      </c>
      <c r="B50" s="141" t="s">
        <v>436</v>
      </c>
      <c r="C50" s="140" t="s">
        <v>438</v>
      </c>
      <c r="D50" s="140">
        <v>4</v>
      </c>
      <c r="E50" s="140">
        <v>28</v>
      </c>
      <c r="F50" s="140">
        <v>3</v>
      </c>
      <c r="G50" s="142">
        <v>15863.01</v>
      </c>
      <c r="H50" s="142">
        <v>10056.72</v>
      </c>
      <c r="I50" s="143">
        <f t="shared" si="0"/>
      </c>
      <c r="J50" s="143">
        <f t="shared" si="2"/>
      </c>
      <c r="K50" s="143">
        <f t="shared" si="1"/>
      </c>
      <c r="L50" s="144"/>
      <c r="M50" s="140"/>
    </row>
    <row r="51">
      <c r="A51" s="140" t="s">
        <v>454</v>
      </c>
      <c r="B51" s="141" t="s">
        <v>424</v>
      </c>
      <c r="C51" s="140" t="s">
        <v>455</v>
      </c>
      <c r="D51" s="140">
        <v>3</v>
      </c>
      <c r="E51" s="140">
        <v>20</v>
      </c>
      <c r="F51" s="140">
        <v>2</v>
      </c>
      <c r="G51" s="142">
        <v>7550.18</v>
      </c>
      <c r="H51" s="142">
        <v>7271.009999999999</v>
      </c>
      <c r="I51" s="143">
        <f t="shared" si="0"/>
      </c>
      <c r="J51" s="143">
        <f t="shared" si="2"/>
      </c>
      <c r="K51" s="143">
        <f t="shared" si="1"/>
      </c>
      <c r="L51" s="144" t="s">
        <v>440</v>
      </c>
      <c r="M51" s="140">
        <v>11</v>
      </c>
    </row>
    <row r="52">
      <c r="A52" s="146" t="s">
        <v>454</v>
      </c>
      <c r="B52" s="147"/>
      <c r="C52" s="147"/>
      <c r="D52" s="147">
        <f>SUM(D49:D51)</f>
      </c>
      <c r="E52" s="147">
        <f>SUM(E49:E51)</f>
      </c>
      <c r="F52" s="147">
        <f>SUM(F49:F51)</f>
      </c>
      <c r="G52" s="147">
        <f>SUM(G49:G51)</f>
      </c>
      <c r="H52" s="147">
        <f>SUM(H49:H51)</f>
      </c>
      <c r="I52" s="148">
        <f t="shared" si="0"/>
      </c>
      <c r="J52" s="148">
        <f t="shared" si="2"/>
      </c>
      <c r="K52" s="148">
        <f t="shared" si="1"/>
      </c>
      <c r="L52" s="148"/>
      <c r="M52" s="147">
        <f>SUM(M49:M51)</f>
      </c>
    </row>
    <row r="53">
      <c r="A53" s="140" t="s">
        <v>456</v>
      </c>
      <c r="B53" s="141" t="s">
        <v>417</v>
      </c>
      <c r="C53" s="140" t="s">
        <v>429</v>
      </c>
      <c r="D53" s="140">
        <v>5</v>
      </c>
      <c r="E53" s="140">
        <v>41</v>
      </c>
      <c r="F53" s="140">
        <v>2</v>
      </c>
      <c r="G53" s="140">
        <v>20086.28</v>
      </c>
      <c r="H53" s="142">
        <v>15217.68</v>
      </c>
      <c r="I53" s="143">
        <f t="shared" si="0"/>
      </c>
      <c r="J53" s="143">
        <f t="shared" si="2"/>
      </c>
      <c r="K53" s="143">
        <f t="shared" si="1"/>
      </c>
      <c r="L53" s="144"/>
      <c r="M53" s="140"/>
    </row>
    <row r="54">
      <c r="A54" s="140" t="s">
        <v>456</v>
      </c>
      <c r="B54" s="141" t="s">
        <v>422</v>
      </c>
      <c r="C54" s="140" t="s">
        <v>442</v>
      </c>
      <c r="D54" s="140">
        <v>4</v>
      </c>
      <c r="E54" s="140">
        <v>44</v>
      </c>
      <c r="F54" s="140">
        <v>6</v>
      </c>
      <c r="G54" s="142">
        <v>27578.2</v>
      </c>
      <c r="H54" s="142">
        <v>12819.82</v>
      </c>
      <c r="I54" s="143">
        <f t="shared" si="0"/>
      </c>
      <c r="J54" s="143">
        <f t="shared" si="2"/>
      </c>
      <c r="K54" s="143">
        <f t="shared" si="1"/>
      </c>
      <c r="L54" s="144"/>
      <c r="M54" s="140"/>
    </row>
    <row r="55">
      <c r="A55" s="140" t="s">
        <v>456</v>
      </c>
      <c r="B55" s="141" t="s">
        <v>424</v>
      </c>
      <c r="C55" s="140" t="s">
        <v>425</v>
      </c>
      <c r="D55" s="140">
        <v>3</v>
      </c>
      <c r="E55" s="140">
        <v>71</v>
      </c>
      <c r="F55" s="140">
        <v>5</v>
      </c>
      <c r="G55" s="142">
        <v>35440.83999999999</v>
      </c>
      <c r="H55" s="142">
        <v>20333.440000000002</v>
      </c>
      <c r="I55" s="143">
        <f t="shared" si="0"/>
      </c>
      <c r="J55" s="143">
        <f t="shared" si="2"/>
      </c>
      <c r="K55" s="143">
        <f t="shared" si="1"/>
      </c>
      <c r="L55" s="144" t="s">
        <v>440</v>
      </c>
      <c r="M55" s="140">
        <v>12</v>
      </c>
    </row>
    <row r="56">
      <c r="A56" s="146" t="s">
        <v>456</v>
      </c>
      <c r="B56" s="147"/>
      <c r="C56" s="147"/>
      <c r="D56" s="147">
        <f>SUM(D53:D55)</f>
      </c>
      <c r="E56" s="147">
        <f>SUM(E53:E55)</f>
      </c>
      <c r="F56" s="147">
        <f>SUM(F53:F55)</f>
      </c>
      <c r="G56" s="147">
        <f>SUM(G53:G55)</f>
      </c>
      <c r="H56" s="147">
        <f>SUM(H53:H55)</f>
      </c>
      <c r="I56" s="148">
        <f t="shared" si="0"/>
      </c>
      <c r="J56" s="148">
        <f t="shared" si="2"/>
      </c>
      <c r="K56" s="148">
        <f t="shared" si="1"/>
      </c>
      <c r="L56" s="148"/>
      <c r="M56" s="147">
        <f>SUM(M53:M55)</f>
      </c>
    </row>
    <row r="57">
      <c r="A57" s="140" t="s">
        <v>457</v>
      </c>
      <c r="B57" s="141" t="s">
        <v>417</v>
      </c>
      <c r="C57" s="140" t="s">
        <v>432</v>
      </c>
      <c r="D57" s="140">
        <v>4</v>
      </c>
      <c r="E57" s="140">
        <v>53</v>
      </c>
      <c r="F57" s="140">
        <v>5</v>
      </c>
      <c r="G57" s="142">
        <v>21433.86</v>
      </c>
      <c r="H57" s="142">
        <v>19880.64</v>
      </c>
      <c r="I57" s="143">
        <f t="shared" si="0"/>
      </c>
      <c r="J57" s="143">
        <f t="shared" si="2"/>
      </c>
      <c r="K57" s="143">
        <f t="shared" si="1"/>
      </c>
      <c r="L57" s="144"/>
      <c r="M57" s="140"/>
    </row>
    <row r="58">
      <c r="A58" s="140" t="s">
        <v>457</v>
      </c>
      <c r="B58" s="141" t="s">
        <v>424</v>
      </c>
      <c r="C58" s="140" t="s">
        <v>438</v>
      </c>
      <c r="D58" s="140">
        <v>4</v>
      </c>
      <c r="E58" s="140">
        <v>65</v>
      </c>
      <c r="F58" s="140">
        <v>10</v>
      </c>
      <c r="G58" s="142">
        <v>30866.1</v>
      </c>
      <c r="H58" s="142">
        <v>23213.14</v>
      </c>
      <c r="I58" s="143">
        <f t="shared" si="0"/>
      </c>
      <c r="J58" s="143">
        <f t="shared" si="2"/>
      </c>
      <c r="K58" s="143">
        <f t="shared" si="1"/>
      </c>
      <c r="L58" s="144"/>
      <c r="M58" s="140"/>
    </row>
    <row r="59">
      <c r="A59" s="140" t="s">
        <v>457</v>
      </c>
      <c r="B59" s="141" t="s">
        <v>422</v>
      </c>
      <c r="C59" s="140" t="s">
        <v>439</v>
      </c>
      <c r="D59" s="140">
        <v>4</v>
      </c>
      <c r="E59" s="140">
        <v>61</v>
      </c>
      <c r="F59" s="140">
        <v>8</v>
      </c>
      <c r="G59" s="142">
        <v>40308.560000000005</v>
      </c>
      <c r="H59" s="142">
        <v>22544.299999999996</v>
      </c>
      <c r="I59" s="143">
        <f t="shared" si="0"/>
      </c>
      <c r="J59" s="143">
        <f t="shared" si="2"/>
      </c>
      <c r="K59" s="143">
        <f t="shared" si="1"/>
      </c>
      <c r="L59" s="144" t="s">
        <v>440</v>
      </c>
      <c r="M59" s="140">
        <v>12</v>
      </c>
    </row>
    <row r="60">
      <c r="A60" s="146" t="s">
        <v>457</v>
      </c>
      <c r="B60" s="147"/>
      <c r="C60" s="147"/>
      <c r="D60" s="147">
        <f>SUM(D57:D59)</f>
      </c>
      <c r="E60" s="147">
        <f>SUM(E57:E59)</f>
      </c>
      <c r="F60" s="147">
        <f>SUM(F57:F59)</f>
      </c>
      <c r="G60" s="147">
        <f>SUM(G57:G59)</f>
      </c>
      <c r="H60" s="147">
        <f>SUM(H57:H59)</f>
      </c>
      <c r="I60" s="148">
        <f t="shared" si="0"/>
      </c>
      <c r="J60" s="148">
        <f t="shared" si="2"/>
      </c>
      <c r="K60" s="148">
        <f t="shared" si="1"/>
      </c>
      <c r="L60" s="148"/>
      <c r="M60" s="147">
        <f>SUM(M57:M59)</f>
      </c>
    </row>
    <row r="61">
      <c r="A61" s="140" t="s">
        <v>458</v>
      </c>
      <c r="B61" s="141" t="s">
        <v>417</v>
      </c>
      <c r="C61" s="140" t="s">
        <v>432</v>
      </c>
      <c r="D61" s="140">
        <v>4</v>
      </c>
      <c r="E61" s="140">
        <v>12</v>
      </c>
      <c r="F61" s="140">
        <v>2</v>
      </c>
      <c r="G61" s="142">
        <v>4753.76</v>
      </c>
      <c r="H61" s="142">
        <v>7012.380000000001</v>
      </c>
      <c r="I61" s="143">
        <f t="shared" si="0"/>
      </c>
      <c r="J61" s="143">
        <f t="shared" si="2"/>
      </c>
      <c r="K61" s="143">
        <f t="shared" si="1"/>
      </c>
      <c r="L61" s="144"/>
      <c r="M61" s="140"/>
    </row>
    <row r="62">
      <c r="A62" s="140" t="s">
        <v>458</v>
      </c>
      <c r="B62" s="141" t="s">
        <v>422</v>
      </c>
      <c r="C62" s="140" t="s">
        <v>438</v>
      </c>
      <c r="D62" s="140">
        <v>4</v>
      </c>
      <c r="E62" s="140">
        <v>16</v>
      </c>
      <c r="F62" s="140">
        <v>4</v>
      </c>
      <c r="G62" s="142">
        <v>9877.92</v>
      </c>
      <c r="H62" s="142">
        <v>4400.62</v>
      </c>
      <c r="I62" s="143">
        <f t="shared" si="0"/>
      </c>
      <c r="J62" s="143">
        <f t="shared" si="2"/>
      </c>
      <c r="K62" s="143">
        <f t="shared" si="1"/>
      </c>
      <c r="L62" s="144"/>
      <c r="M62" s="140"/>
    </row>
    <row r="63">
      <c r="A63" s="140" t="s">
        <v>458</v>
      </c>
      <c r="B63" s="141" t="s">
        <v>424</v>
      </c>
      <c r="C63" s="140" t="s">
        <v>459</v>
      </c>
      <c r="D63" s="140">
        <v>2</v>
      </c>
      <c r="E63" s="140">
        <v>6</v>
      </c>
      <c r="F63" s="140">
        <v>1</v>
      </c>
      <c r="G63" s="142">
        <v>2230.6800000000003</v>
      </c>
      <c r="H63" s="142">
        <v>3721.58</v>
      </c>
      <c r="I63" s="143">
        <f t="shared" si="0"/>
      </c>
      <c r="J63" s="143">
        <f t="shared" si="2"/>
      </c>
      <c r="K63" s="143">
        <f t="shared" si="1"/>
      </c>
      <c r="L63" s="144" t="s">
        <v>440</v>
      </c>
      <c r="M63" s="140">
        <v>10</v>
      </c>
    </row>
    <row r="64">
      <c r="A64" s="146" t="s">
        <v>458</v>
      </c>
      <c r="B64" s="147"/>
      <c r="C64" s="147"/>
      <c r="D64" s="147">
        <f>SUM(D61:D63)</f>
      </c>
      <c r="E64" s="147">
        <f>SUM(E61:E63)</f>
      </c>
      <c r="F64" s="147">
        <f>SUM(F61:F63)</f>
      </c>
      <c r="G64" s="147">
        <f>SUM(G61:G63)</f>
      </c>
      <c r="H64" s="147">
        <f>SUM(H61:H63)</f>
      </c>
      <c r="I64" s="148">
        <f t="shared" si="0"/>
      </c>
      <c r="J64" s="148">
        <f t="shared" si="2"/>
      </c>
      <c r="K64" s="148">
        <f t="shared" si="1"/>
      </c>
      <c r="L64" s="148"/>
      <c r="M64" s="147">
        <f>SUM(M61:M63)</f>
      </c>
    </row>
    <row r="65">
      <c r="A65" s="140" t="s">
        <v>460</v>
      </c>
      <c r="B65" s="141" t="s">
        <v>420</v>
      </c>
      <c r="C65" s="140" t="s">
        <v>432</v>
      </c>
      <c r="D65" s="140">
        <v>4</v>
      </c>
      <c r="E65" s="140">
        <v>24</v>
      </c>
      <c r="F65" s="140">
        <v>2</v>
      </c>
      <c r="G65" s="142">
        <v>12447.12</v>
      </c>
      <c r="H65" s="142">
        <v>10096.64</v>
      </c>
      <c r="I65" s="143">
        <f t="shared" si="0"/>
      </c>
      <c r="J65" s="143">
        <f t="shared" si="2"/>
      </c>
      <c r="K65" s="143">
        <f t="shared" si="1"/>
      </c>
      <c r="L65" s="144"/>
      <c r="M65" s="140"/>
    </row>
    <row r="66">
      <c r="A66" s="140" t="s">
        <v>460</v>
      </c>
      <c r="B66" s="141" t="s">
        <v>422</v>
      </c>
      <c r="C66" s="140" t="s">
        <v>433</v>
      </c>
      <c r="D66" s="140">
        <v>5</v>
      </c>
      <c r="E66" s="140">
        <v>32</v>
      </c>
      <c r="F66" s="140">
        <v>4</v>
      </c>
      <c r="G66" s="142">
        <v>14230.25</v>
      </c>
      <c r="H66" s="142">
        <v>11138.440000000002</v>
      </c>
      <c r="I66" s="143">
        <f t="shared" si="0"/>
      </c>
      <c r="J66" s="143">
        <f t="shared" si="2"/>
      </c>
      <c r="K66" s="143">
        <f t="shared" si="1"/>
      </c>
      <c r="L66" s="144"/>
      <c r="M66" s="140"/>
    </row>
    <row r="67">
      <c r="A67" s="140" t="s">
        <v>460</v>
      </c>
      <c r="B67" s="141" t="s">
        <v>424</v>
      </c>
      <c r="C67" s="140" t="s">
        <v>425</v>
      </c>
      <c r="D67" s="140">
        <v>3</v>
      </c>
      <c r="E67" s="140">
        <v>32</v>
      </c>
      <c r="F67" s="140">
        <v>2</v>
      </c>
      <c r="G67" s="142">
        <v>13685.06</v>
      </c>
      <c r="H67" s="142">
        <v>13908.220000000001</v>
      </c>
      <c r="I67" s="143">
        <f t="shared" si="0"/>
      </c>
      <c r="J67" s="143">
        <f t="shared" si="2"/>
      </c>
      <c r="K67" s="143">
        <f t="shared" si="1"/>
      </c>
      <c r="L67" s="144" t="s">
        <v>426</v>
      </c>
      <c r="M67" s="140">
        <v>12</v>
      </c>
    </row>
    <row r="68">
      <c r="A68" s="146" t="s">
        <v>460</v>
      </c>
      <c r="B68" s="147"/>
      <c r="C68" s="147"/>
      <c r="D68" s="147">
        <f>SUM(D65:D67)</f>
      </c>
      <c r="E68" s="147">
        <f>SUM(E65:E67)</f>
      </c>
      <c r="F68" s="147">
        <f>SUM(F65:F67)</f>
      </c>
      <c r="G68" s="147">
        <f>SUM(G65:G67)</f>
      </c>
      <c r="H68" s="147">
        <f>SUM(H65:H67)</f>
      </c>
      <c r="I68" s="148">
        <f t="shared" si="0"/>
      </c>
      <c r="J68" s="148">
        <f t="shared" si="2"/>
      </c>
      <c r="K68" s="148">
        <f t="shared" si="1"/>
      </c>
      <c r="L68" s="148"/>
      <c r="M68" s="147">
        <f>SUM(M65:M67)</f>
      </c>
    </row>
    <row r="69">
      <c r="A69" s="140" t="s">
        <v>461</v>
      </c>
      <c r="B69" s="141" t="s">
        <v>420</v>
      </c>
      <c r="C69" s="140" t="s">
        <v>462</v>
      </c>
      <c r="D69" s="140">
        <v>4</v>
      </c>
      <c r="E69" s="140">
        <v>33</v>
      </c>
      <c r="F69" s="140">
        <v>3</v>
      </c>
      <c r="G69" s="142">
        <v>18493.86</v>
      </c>
      <c r="H69" s="142">
        <v>13942.34</v>
      </c>
      <c r="I69" s="143">
        <f t="shared" si="0"/>
      </c>
      <c r="J69" s="143">
        <f t="shared" si="2"/>
      </c>
      <c r="K69" s="143">
        <f t="shared" si="1"/>
      </c>
      <c r="L69" s="144" t="s">
        <v>463</v>
      </c>
      <c r="M69" s="140">
        <v>1</v>
      </c>
    </row>
    <row r="70">
      <c r="A70" s="140" t="s">
        <v>461</v>
      </c>
      <c r="B70" s="141" t="s">
        <v>422</v>
      </c>
      <c r="C70" s="140" t="s">
        <v>464</v>
      </c>
      <c r="D70" s="140">
        <v>4</v>
      </c>
      <c r="E70" s="140">
        <v>14</v>
      </c>
      <c r="F70" s="140">
        <v>2</v>
      </c>
      <c r="G70" s="142">
        <v>4852.12</v>
      </c>
      <c r="H70" s="142">
        <v>6310.549999999999</v>
      </c>
      <c r="I70" s="143">
        <f t="shared" si="0"/>
      </c>
      <c r="J70" s="143">
        <f t="shared" si="2"/>
      </c>
      <c r="K70" s="143">
        <f t="shared" si="1"/>
      </c>
      <c r="L70" s="144" t="s">
        <v>465</v>
      </c>
      <c r="M70" s="140">
        <v>7</v>
      </c>
    </row>
    <row r="71">
      <c r="A71" s="146" t="s">
        <v>461</v>
      </c>
      <c r="B71" s="147"/>
      <c r="C71" s="147"/>
      <c r="D71" s="147">
        <f>SUM(D69:D70)</f>
      </c>
      <c r="E71" s="147">
        <f>SUM(E69:E70)</f>
      </c>
      <c r="F71" s="147">
        <f>SUM(F69:F70)</f>
      </c>
      <c r="G71" s="147">
        <f>SUM(G69:G70)</f>
      </c>
      <c r="H71" s="147">
        <f>SUM(H69:H70)</f>
      </c>
      <c r="I71" s="148">
        <f t="shared" si="0"/>
      </c>
      <c r="J71" s="148">
        <f t="shared" si="2"/>
      </c>
      <c r="K71" s="148">
        <f t="shared" si="1"/>
      </c>
      <c r="L71" s="148"/>
      <c r="M71" s="147">
        <f>SUM(M69:M70)</f>
      </c>
    </row>
    <row r="72">
      <c r="A72" s="140" t="s">
        <v>466</v>
      </c>
      <c r="B72" s="141" t="s">
        <v>417</v>
      </c>
      <c r="C72" s="140" t="s">
        <v>462</v>
      </c>
      <c r="D72" s="140">
        <v>4</v>
      </c>
      <c r="E72" s="140">
        <v>11</v>
      </c>
      <c r="F72" s="140">
        <v>1</v>
      </c>
      <c r="G72" s="142">
        <v>6412.36</v>
      </c>
      <c r="H72" s="142">
        <v>5423.87</v>
      </c>
      <c r="I72" s="143">
        <f t="shared" si="0"/>
      </c>
      <c r="J72" s="143">
        <f t="shared" si="2"/>
      </c>
      <c r="K72" s="143">
        <f t="shared" si="1"/>
      </c>
      <c r="L72" s="144"/>
      <c r="M72" s="140"/>
    </row>
    <row r="73">
      <c r="A73" s="140" t="s">
        <v>466</v>
      </c>
      <c r="B73" s="141" t="s">
        <v>424</v>
      </c>
      <c r="C73" s="140" t="s">
        <v>467</v>
      </c>
      <c r="D73" s="140">
        <v>3</v>
      </c>
      <c r="E73" s="140">
        <v>23</v>
      </c>
      <c r="F73" s="140">
        <v>1</v>
      </c>
      <c r="G73" s="142">
        <v>8466.21</v>
      </c>
      <c r="H73" s="142">
        <v>7607.3099999999995</v>
      </c>
      <c r="I73" s="143">
        <f t="shared" si="0"/>
      </c>
      <c r="J73" s="143">
        <f t="shared" si="2"/>
      </c>
      <c r="K73" s="143">
        <f t="shared" si="1"/>
      </c>
      <c r="L73" s="144"/>
      <c r="M73" s="140"/>
    </row>
    <row r="74">
      <c r="A74" s="140" t="s">
        <v>466</v>
      </c>
      <c r="B74" s="141" t="s">
        <v>468</v>
      </c>
      <c r="C74" s="140" t="s">
        <v>469</v>
      </c>
      <c r="D74" s="140">
        <v>2</v>
      </c>
      <c r="E74" s="140">
        <v>17</v>
      </c>
      <c r="F74" s="140">
        <v>2</v>
      </c>
      <c r="G74" s="142">
        <v>7333.32</v>
      </c>
      <c r="H74" s="142">
        <v>5028.88</v>
      </c>
      <c r="I74" s="143">
        <f t="shared" si="0"/>
      </c>
      <c r="J74" s="143">
        <f t="shared" si="2"/>
      </c>
      <c r="K74" s="143">
        <f t="shared" si="1"/>
      </c>
      <c r="L74" s="144" t="s">
        <v>440</v>
      </c>
      <c r="M74" s="140">
        <v>9</v>
      </c>
    </row>
    <row r="75">
      <c r="A75" s="146" t="s">
        <v>466</v>
      </c>
      <c r="B75" s="147"/>
      <c r="C75" s="147"/>
      <c r="D75" s="147">
        <f>SUM(D72:D74)</f>
      </c>
      <c r="E75" s="147">
        <f>SUM(E72:E74)</f>
      </c>
      <c r="F75" s="147">
        <f>SUM(F72:F74)</f>
      </c>
      <c r="G75" s="147">
        <f>SUM(G72:G74)</f>
      </c>
      <c r="H75" s="147">
        <f>SUM(H72:H74)</f>
      </c>
      <c r="I75" s="148">
        <f t="shared" si="0"/>
      </c>
      <c r="J75" s="148">
        <f t="shared" si="2"/>
      </c>
      <c r="K75" s="148">
        <f t="shared" si="1"/>
      </c>
      <c r="L75" s="148"/>
      <c r="M75" s="147">
        <f>SUM(M72:M74)</f>
      </c>
    </row>
    <row r="76">
      <c r="A76" s="140" t="s">
        <v>470</v>
      </c>
      <c r="B76" s="141" t="s">
        <v>417</v>
      </c>
      <c r="C76" s="140" t="s">
        <v>462</v>
      </c>
      <c r="D76" s="140">
        <v>4</v>
      </c>
      <c r="E76" s="140">
        <v>23</v>
      </c>
      <c r="F76" s="140">
        <v>3</v>
      </c>
      <c r="G76" s="142">
        <v>8811.17</v>
      </c>
      <c r="H76" s="142">
        <v>7839.66</v>
      </c>
      <c r="I76" s="143">
        <f t="shared" si="0"/>
      </c>
      <c r="J76" s="143">
        <f t="shared" si="2"/>
      </c>
      <c r="K76" s="143">
        <f t="shared" si="1"/>
      </c>
      <c r="L76" s="144"/>
      <c r="M76" s="140"/>
    </row>
    <row r="77">
      <c r="A77" s="140" t="s">
        <v>470</v>
      </c>
      <c r="B77" s="141" t="s">
        <v>468</v>
      </c>
      <c r="C77" s="140" t="s">
        <v>471</v>
      </c>
      <c r="D77" s="140">
        <v>2</v>
      </c>
      <c r="E77" s="140">
        <v>10</v>
      </c>
      <c r="F77" s="140">
        <v>0</v>
      </c>
      <c r="G77" s="142">
        <v>4941.719999999999</v>
      </c>
      <c r="H77" s="142">
        <v>5070.620000000001</v>
      </c>
      <c r="I77" s="143">
        <f t="shared" si="0"/>
      </c>
      <c r="J77" s="143">
        <f t="shared" si="2"/>
      </c>
      <c r="K77" s="143">
        <f t="shared" si="1"/>
      </c>
      <c r="L77" s="144"/>
      <c r="M77" s="140"/>
    </row>
    <row r="78">
      <c r="A78" s="140" t="s">
        <v>470</v>
      </c>
      <c r="B78" s="141" t="s">
        <v>422</v>
      </c>
      <c r="C78" s="140" t="s">
        <v>472</v>
      </c>
      <c r="D78" s="140">
        <v>3</v>
      </c>
      <c r="E78" s="140">
        <v>8</v>
      </c>
      <c r="F78" s="140">
        <v>0</v>
      </c>
      <c r="G78" s="142">
        <v>1456.58</v>
      </c>
      <c r="H78" s="142">
        <v>3019.62</v>
      </c>
      <c r="I78" s="143">
        <f t="shared" si="0"/>
      </c>
      <c r="J78" s="143">
        <f t="shared" si="2"/>
      </c>
      <c r="K78" s="143">
        <f t="shared" si="1"/>
      </c>
      <c r="L78" s="144" t="s">
        <v>440</v>
      </c>
      <c r="M78" s="140">
        <v>9</v>
      </c>
    </row>
    <row r="79">
      <c r="A79" s="146" t="s">
        <v>470</v>
      </c>
      <c r="B79" s="147"/>
      <c r="C79" s="147"/>
      <c r="D79" s="147">
        <f>SUM(D76:D78)</f>
      </c>
      <c r="E79" s="147">
        <f>SUM(E76:E78)</f>
      </c>
      <c r="F79" s="147">
        <f>SUM(F76:F78)</f>
      </c>
      <c r="G79" s="147">
        <f>SUM(G76:G78)</f>
      </c>
      <c r="H79" s="147">
        <f>SUM(H76:H78)</f>
      </c>
      <c r="I79" s="148">
        <f t="shared" si="0"/>
      </c>
      <c r="J79" s="148">
        <f t="shared" si="2"/>
      </c>
      <c r="K79" s="148">
        <f t="shared" si="1"/>
      </c>
      <c r="L79" s="148"/>
      <c r="M79" s="147">
        <f>SUM(M76:M78)</f>
      </c>
    </row>
    <row r="80">
      <c r="A80" s="140" t="s">
        <v>473</v>
      </c>
      <c r="B80" s="141" t="s">
        <v>424</v>
      </c>
      <c r="C80" s="140" t="s">
        <v>474</v>
      </c>
      <c r="D80" s="140">
        <v>3</v>
      </c>
      <c r="E80" s="140">
        <v>26</v>
      </c>
      <c r="F80" s="140">
        <v>4</v>
      </c>
      <c r="G80" s="142">
        <v>11422.7</v>
      </c>
      <c r="H80" s="142">
        <v>8622.91</v>
      </c>
      <c r="I80" s="143">
        <f t="shared" si="0"/>
      </c>
      <c r="J80" s="143">
        <f t="shared" si="2"/>
      </c>
      <c r="K80" s="143">
        <f t="shared" si="1"/>
      </c>
      <c r="L80" s="144"/>
      <c r="M80" s="140"/>
    </row>
    <row r="81">
      <c r="A81" s="140" t="s">
        <v>473</v>
      </c>
      <c r="B81" s="141" t="s">
        <v>468</v>
      </c>
      <c r="C81" s="140" t="s">
        <v>475</v>
      </c>
      <c r="D81" s="140">
        <v>3</v>
      </c>
      <c r="E81" s="140">
        <v>19</v>
      </c>
      <c r="F81" s="140">
        <v>2</v>
      </c>
      <c r="G81" s="142">
        <v>8575.939999999999</v>
      </c>
      <c r="H81" s="142">
        <v>8334.150000000001</v>
      </c>
      <c r="I81" s="143">
        <f t="shared" si="0"/>
      </c>
      <c r="J81" s="143">
        <f t="shared" si="2"/>
      </c>
      <c r="K81" s="143">
        <f t="shared" si="1"/>
      </c>
      <c r="L81" s="144"/>
      <c r="M81" s="140"/>
    </row>
    <row r="82">
      <c r="A82" s="140" t="s">
        <v>473</v>
      </c>
      <c r="B82" s="141" t="s">
        <v>422</v>
      </c>
      <c r="C82" s="140" t="s">
        <v>472</v>
      </c>
      <c r="D82" s="140">
        <v>3</v>
      </c>
      <c r="E82" s="140">
        <v>12</v>
      </c>
      <c r="F82" s="140">
        <v>1</v>
      </c>
      <c r="G82" s="142">
        <v>5313.02</v>
      </c>
      <c r="H82" s="142">
        <v>5045.389999999999</v>
      </c>
      <c r="I82" s="143">
        <f t="shared" si="0"/>
      </c>
      <c r="J82" s="143">
        <f t="shared" si="2"/>
      </c>
      <c r="K82" s="143">
        <f t="shared" si="1"/>
      </c>
      <c r="L82" s="144" t="s">
        <v>440</v>
      </c>
      <c r="M82" s="140">
        <v>9</v>
      </c>
    </row>
    <row r="83">
      <c r="A83" s="146" t="s">
        <v>473</v>
      </c>
      <c r="B83" s="147"/>
      <c r="C83" s="147"/>
      <c r="D83" s="147">
        <f>SUM(D80:D82)</f>
      </c>
      <c r="E83" s="147">
        <f>SUM(E80:E82)</f>
      </c>
      <c r="F83" s="147">
        <f>SUM(F80:F82)</f>
      </c>
      <c r="G83" s="147">
        <f>SUM(G80:G82)</f>
      </c>
      <c r="H83" s="147">
        <f>SUM(H80:H82)</f>
      </c>
      <c r="I83" s="148">
        <f t="shared" si="0"/>
      </c>
      <c r="J83" s="148">
        <f t="shared" si="2"/>
      </c>
      <c r="K83" s="148">
        <f t="shared" si="1"/>
      </c>
      <c r="L83" s="148"/>
      <c r="M83" s="147">
        <f>SUM(M80:M82)</f>
      </c>
    </row>
    <row r="84">
      <c r="A84" s="140" t="s">
        <v>476</v>
      </c>
      <c r="B84" s="141" t="s">
        <v>417</v>
      </c>
      <c r="C84" s="140" t="s">
        <v>462</v>
      </c>
      <c r="D84" s="140">
        <v>4</v>
      </c>
      <c r="E84" s="140">
        <v>16</v>
      </c>
      <c r="F84" s="140">
        <v>1</v>
      </c>
      <c r="G84" s="142">
        <v>7522.02</v>
      </c>
      <c r="H84" s="142">
        <v>6522.620000000001</v>
      </c>
      <c r="I84" s="143">
        <f t="shared" si="0"/>
      </c>
      <c r="J84" s="143">
        <f t="shared" si="2"/>
      </c>
      <c r="K84" s="143">
        <f t="shared" si="1"/>
      </c>
      <c r="L84" s="144"/>
      <c r="M84" s="140"/>
    </row>
    <row r="85">
      <c r="A85" s="140" t="s">
        <v>476</v>
      </c>
      <c r="B85" s="141" t="s">
        <v>422</v>
      </c>
      <c r="C85" s="140" t="s">
        <v>467</v>
      </c>
      <c r="D85" s="140">
        <v>3</v>
      </c>
      <c r="E85" s="140">
        <v>4</v>
      </c>
      <c r="F85" s="140">
        <v>0</v>
      </c>
      <c r="G85" s="142">
        <v>1785.6000000000004</v>
      </c>
      <c r="H85" s="142">
        <v>2361.52</v>
      </c>
      <c r="I85" s="143">
        <f t="shared" si="0"/>
      </c>
      <c r="J85" s="143">
        <f t="shared" si="2"/>
      </c>
      <c r="K85" s="143">
        <f t="shared" si="1"/>
      </c>
      <c r="L85" s="144" t="s">
        <v>440</v>
      </c>
      <c r="M85" s="140">
        <v>7</v>
      </c>
    </row>
    <row r="86">
      <c r="A86" s="146" t="s">
        <v>476</v>
      </c>
      <c r="B86" s="147"/>
      <c r="C86" s="147"/>
      <c r="D86" s="147">
        <f>SUM(D84:D85)</f>
      </c>
      <c r="E86" s="147">
        <f>SUM(E84:E85)</f>
      </c>
      <c r="F86" s="147">
        <f>SUM(F84:F85)</f>
      </c>
      <c r="G86" s="147">
        <f>SUM(G84:G85)</f>
      </c>
      <c r="H86" s="147">
        <f>SUM(H84:H85)</f>
      </c>
      <c r="I86" s="148">
        <f t="shared" si="0"/>
      </c>
      <c r="J86" s="148">
        <f t="shared" si="2"/>
      </c>
      <c r="K86" s="148">
        <f t="shared" si="1"/>
      </c>
      <c r="L86" s="148"/>
      <c r="M86" s="147">
        <f>SUM(M84:M85)</f>
      </c>
    </row>
    <row r="87">
      <c r="A87" s="140" t="s">
        <v>477</v>
      </c>
      <c r="B87" s="141" t="s">
        <v>468</v>
      </c>
      <c r="C87" s="140" t="s">
        <v>478</v>
      </c>
      <c r="D87" s="140">
        <v>3</v>
      </c>
      <c r="E87" s="140">
        <v>17</v>
      </c>
      <c r="F87" s="140">
        <v>4</v>
      </c>
      <c r="G87" s="142">
        <v>8603.92</v>
      </c>
      <c r="H87" s="142">
        <v>3668.1000000000004</v>
      </c>
      <c r="I87" s="143">
        <f t="shared" si="0"/>
      </c>
      <c r="J87" s="143">
        <f t="shared" si="2"/>
      </c>
      <c r="K87" s="143">
        <f t="shared" si="1"/>
      </c>
      <c r="L87" s="144"/>
      <c r="M87" s="140"/>
    </row>
    <row r="88">
      <c r="A88" s="140" t="s">
        <v>477</v>
      </c>
      <c r="B88" s="141" t="s">
        <v>417</v>
      </c>
      <c r="C88" s="140" t="s">
        <v>479</v>
      </c>
      <c r="D88" s="140">
        <v>3</v>
      </c>
      <c r="E88" s="140">
        <v>32</v>
      </c>
      <c r="F88" s="140">
        <v>4</v>
      </c>
      <c r="G88" s="142">
        <v>14590.72</v>
      </c>
      <c r="H88" s="142">
        <v>11111.45</v>
      </c>
      <c r="I88" s="143">
        <f t="shared" si="0"/>
      </c>
      <c r="J88" s="143">
        <f t="shared" si="2"/>
      </c>
      <c r="K88" s="143">
        <f t="shared" si="1"/>
      </c>
      <c r="L88" s="144"/>
      <c r="M88" s="140"/>
    </row>
    <row r="89">
      <c r="A89" s="140" t="s">
        <v>477</v>
      </c>
      <c r="B89" s="141" t="s">
        <v>424</v>
      </c>
      <c r="C89" s="140" t="s">
        <v>446</v>
      </c>
      <c r="D89" s="140">
        <v>3</v>
      </c>
      <c r="E89" s="140">
        <v>14</v>
      </c>
      <c r="F89" s="140">
        <v>1</v>
      </c>
      <c r="G89" s="142">
        <v>4398.720000000001</v>
      </c>
      <c r="H89" s="142">
        <v>7156.790000000001</v>
      </c>
      <c r="I89" s="143">
        <f t="shared" si="0"/>
      </c>
      <c r="J89" s="143">
        <f t="shared" si="2"/>
      </c>
      <c r="K89" s="143">
        <f t="shared" si="1"/>
      </c>
      <c r="L89" s="144" t="s">
        <v>480</v>
      </c>
      <c r="M89" s="140">
        <v>9</v>
      </c>
    </row>
    <row r="90">
      <c r="A90" s="146" t="s">
        <v>477</v>
      </c>
      <c r="B90" s="147"/>
      <c r="C90" s="147"/>
      <c r="D90" s="147">
        <f>SUM(D87:D89)</f>
      </c>
      <c r="E90" s="147">
        <f>SUM(E87:E89)</f>
      </c>
      <c r="F90" s="147">
        <f>SUM(F87:F89)</f>
      </c>
      <c r="G90" s="147">
        <f>SUM(G87:G89)</f>
      </c>
      <c r="H90" s="147">
        <f>SUM(H87:H89)</f>
      </c>
      <c r="I90" s="148">
        <f t="shared" si="0"/>
      </c>
      <c r="J90" s="148">
        <f t="shared" si="2"/>
      </c>
      <c r="K90" s="148">
        <f t="shared" si="1"/>
      </c>
      <c r="L90" s="148"/>
      <c r="M90" s="147">
        <f>SUM(M87:M89)</f>
      </c>
    </row>
    <row r="91">
      <c r="A91" s="140" t="s">
        <v>481</v>
      </c>
      <c r="B91" s="141" t="s">
        <v>468</v>
      </c>
      <c r="C91" s="140" t="s">
        <v>478</v>
      </c>
      <c r="D91" s="140">
        <v>3</v>
      </c>
      <c r="E91" s="140">
        <v>22</v>
      </c>
      <c r="F91" s="140">
        <v>3</v>
      </c>
      <c r="G91" s="142">
        <v>12155.28</v>
      </c>
      <c r="H91" s="142">
        <v>9098.5</v>
      </c>
      <c r="I91" s="143">
        <f t="shared" si="0"/>
      </c>
      <c r="J91" s="143">
        <f t="shared" si="2"/>
      </c>
      <c r="K91" s="143">
        <f t="shared" si="1"/>
      </c>
      <c r="L91" s="144"/>
      <c r="M91" s="140"/>
    </row>
    <row r="92">
      <c r="A92" s="140" t="s">
        <v>481</v>
      </c>
      <c r="B92" s="141" t="s">
        <v>417</v>
      </c>
      <c r="C92" s="140" t="s">
        <v>479</v>
      </c>
      <c r="D92" s="140">
        <v>3</v>
      </c>
      <c r="E92" s="140">
        <v>45</v>
      </c>
      <c r="F92" s="140">
        <v>4</v>
      </c>
      <c r="G92" s="142">
        <v>18750.75</v>
      </c>
      <c r="H92" s="142">
        <v>14615.259999999998</v>
      </c>
      <c r="I92" s="143">
        <f t="shared" si="0"/>
      </c>
      <c r="J92" s="143">
        <f t="shared" si="2"/>
      </c>
      <c r="K92" s="143">
        <f t="shared" si="1"/>
      </c>
      <c r="L92" s="144"/>
      <c r="M92" s="140"/>
    </row>
    <row r="93">
      <c r="A93" s="140" t="s">
        <v>481</v>
      </c>
      <c r="B93" s="141" t="s">
        <v>422</v>
      </c>
      <c r="C93" s="140" t="s">
        <v>446</v>
      </c>
      <c r="D93" s="140">
        <v>3</v>
      </c>
      <c r="E93" s="140">
        <v>43</v>
      </c>
      <c r="F93" s="140">
        <v>7</v>
      </c>
      <c r="G93" s="142">
        <v>19657.14</v>
      </c>
      <c r="H93" s="142">
        <v>17423.44</v>
      </c>
      <c r="I93" s="143">
        <f t="shared" si="0"/>
      </c>
      <c r="J93" s="143">
        <f t="shared" si="2"/>
      </c>
      <c r="K93" s="143">
        <f t="shared" si="1"/>
      </c>
      <c r="L93" s="144" t="s">
        <v>480</v>
      </c>
      <c r="M93" s="140">
        <v>9</v>
      </c>
    </row>
    <row r="94">
      <c r="A94" s="146" t="s">
        <v>481</v>
      </c>
      <c r="B94" s="147"/>
      <c r="C94" s="147"/>
      <c r="D94" s="147">
        <f>SUM(D91:D93)</f>
      </c>
      <c r="E94" s="147">
        <f>SUM(E91:E93)</f>
      </c>
      <c r="F94" s="147">
        <f>SUM(F91:F93)</f>
      </c>
      <c r="G94" s="147">
        <f>SUM(G91:G93)</f>
      </c>
      <c r="H94" s="147">
        <f>SUM(H91:H93)</f>
      </c>
      <c r="I94" s="148">
        <f t="shared" si="0"/>
      </c>
      <c r="J94" s="148">
        <f t="shared" si="2"/>
      </c>
      <c r="K94" s="148">
        <f t="shared" si="1"/>
      </c>
      <c r="L94" s="148"/>
      <c r="M94" s="147">
        <f>SUM(M91:M93)</f>
      </c>
    </row>
    <row r="95">
      <c r="A95" s="140" t="s">
        <v>482</v>
      </c>
      <c r="B95" s="141" t="s">
        <v>422</v>
      </c>
      <c r="C95" s="140" t="s">
        <v>478</v>
      </c>
      <c r="D95" s="140">
        <v>3</v>
      </c>
      <c r="E95" s="140">
        <v>17</v>
      </c>
      <c r="F95" s="140">
        <v>2</v>
      </c>
      <c r="G95" s="142">
        <v>10555.68</v>
      </c>
      <c r="H95" s="142">
        <v>7842.4800000000005</v>
      </c>
      <c r="I95" s="143">
        <f t="shared" si="0"/>
      </c>
      <c r="J95" s="143">
        <f t="shared" si="2"/>
      </c>
      <c r="K95" s="143">
        <f t="shared" si="1"/>
      </c>
      <c r="L95" s="144"/>
      <c r="M95" s="140"/>
    </row>
    <row r="96">
      <c r="A96" s="140" t="s">
        <v>482</v>
      </c>
      <c r="B96" s="141" t="s">
        <v>417</v>
      </c>
      <c r="C96" s="140" t="s">
        <v>479</v>
      </c>
      <c r="D96" s="140">
        <v>3</v>
      </c>
      <c r="E96" s="140">
        <v>54</v>
      </c>
      <c r="F96" s="140">
        <v>3</v>
      </c>
      <c r="G96" s="142">
        <v>26103.96</v>
      </c>
      <c r="H96" s="142">
        <v>14904.989999999998</v>
      </c>
      <c r="I96" s="143">
        <f t="shared" si="0"/>
      </c>
      <c r="J96" s="143">
        <f t="shared" si="2"/>
      </c>
      <c r="K96" s="143">
        <f t="shared" si="1"/>
      </c>
      <c r="L96" s="144"/>
      <c r="M96" s="140"/>
    </row>
    <row customHeight="true" ht="16.071428571428573" r="97">
      <c r="A97" s="140" t="s">
        <v>482</v>
      </c>
      <c r="B97" s="141" t="s">
        <v>468</v>
      </c>
      <c r="C97" s="140" t="s">
        <v>446</v>
      </c>
      <c r="D97" s="140">
        <v>3</v>
      </c>
      <c r="E97" s="140">
        <v>10</v>
      </c>
      <c r="F97" s="140">
        <v>1</v>
      </c>
      <c r="G97" s="142">
        <v>3533.9000000000015</v>
      </c>
      <c r="H97" s="142">
        <v>5870.2</v>
      </c>
      <c r="I97" s="143">
        <f t="shared" si="0"/>
      </c>
      <c r="J97" s="143">
        <f t="shared" si="2"/>
      </c>
      <c r="K97" s="143">
        <f t="shared" si="1"/>
      </c>
      <c r="L97" s="144" t="s">
        <v>480</v>
      </c>
      <c r="M97" s="140">
        <v>9</v>
      </c>
    </row>
    <row r="98">
      <c r="A98" s="140" t="s">
        <v>482</v>
      </c>
      <c r="B98" s="141" t="s">
        <v>424</v>
      </c>
      <c r="C98" s="140" t="s">
        <v>483</v>
      </c>
      <c r="D98" s="140">
        <v>2.5</v>
      </c>
      <c r="E98" s="140">
        <v>61</v>
      </c>
      <c r="F98" s="140">
        <v>4</v>
      </c>
      <c r="G98" s="142">
        <v>39441.69</v>
      </c>
      <c r="H98" s="142">
        <v>48109.96</v>
      </c>
      <c r="I98" s="143">
        <f t="shared" si="0"/>
      </c>
      <c r="J98" s="143">
        <f t="shared" si="2"/>
      </c>
      <c r="K98" s="143">
        <f t="shared" si="1"/>
      </c>
      <c r="L98" s="144" t="s">
        <v>484</v>
      </c>
      <c r="M98" s="140">
        <v>2.5</v>
      </c>
    </row>
    <row r="99">
      <c r="A99" s="146" t="s">
        <v>482</v>
      </c>
      <c r="B99" s="147"/>
      <c r="C99" s="147"/>
      <c r="D99" s="147">
        <f>SUM(D95:D98)</f>
      </c>
      <c r="E99" s="147">
        <f>SUM(E95:E98)</f>
      </c>
      <c r="F99" s="147">
        <f>SUM(F95:F98)</f>
      </c>
      <c r="G99" s="147">
        <f>SUM(G95:G98)</f>
      </c>
      <c r="H99" s="147">
        <f>SUM(H95:H98)</f>
      </c>
      <c r="I99" s="148">
        <f t="shared" si="0"/>
      </c>
      <c r="J99" s="148">
        <f t="shared" si="2"/>
      </c>
      <c r="K99" s="148">
        <f t="shared" si="1"/>
      </c>
      <c r="L99" s="148"/>
      <c r="M99" s="147">
        <f>SUM(M95:M98)</f>
      </c>
    </row>
    <row r="100">
      <c r="A100" s="140" t="s">
        <v>485</v>
      </c>
      <c r="B100" s="141" t="s">
        <v>417</v>
      </c>
      <c r="C100" s="140" t="s">
        <v>478</v>
      </c>
      <c r="D100" s="140">
        <v>3</v>
      </c>
      <c r="E100" s="140">
        <v>7</v>
      </c>
      <c r="F100" s="140">
        <v>0</v>
      </c>
      <c r="G100" s="142">
        <v>3371.16</v>
      </c>
      <c r="H100" s="142">
        <v>4296.360000000001</v>
      </c>
      <c r="I100" s="143">
        <f t="shared" si="0"/>
      </c>
      <c r="J100" s="143">
        <f t="shared" si="2"/>
      </c>
      <c r="K100" s="143">
        <f t="shared" si="1"/>
      </c>
      <c r="L100" s="144"/>
      <c r="M100" s="140"/>
    </row>
    <row r="101">
      <c r="A101" s="140" t="s">
        <v>485</v>
      </c>
      <c r="B101" s="141" t="s">
        <v>424</v>
      </c>
      <c r="C101" s="140" t="s">
        <v>486</v>
      </c>
      <c r="D101" s="140">
        <v>4</v>
      </c>
      <c r="E101" s="140">
        <v>57</v>
      </c>
      <c r="F101" s="140">
        <v>5</v>
      </c>
      <c r="G101" s="142">
        <v>24465.65</v>
      </c>
      <c r="H101" s="142">
        <v>13152.220000000001</v>
      </c>
      <c r="I101" s="143">
        <f t="shared" si="0"/>
      </c>
      <c r="J101" s="143">
        <f t="shared" si="2"/>
      </c>
      <c r="K101" s="143">
        <f t="shared" si="1"/>
      </c>
      <c r="L101" s="144"/>
      <c r="M101" s="140"/>
    </row>
    <row customHeight="true" ht="16.071428571428573" r="102">
      <c r="A102" s="140" t="s">
        <v>485</v>
      </c>
      <c r="B102" s="141" t="s">
        <v>422</v>
      </c>
      <c r="C102" s="140" t="s">
        <v>472</v>
      </c>
      <c r="D102" s="150">
        <v>2.5</v>
      </c>
      <c r="E102" s="140">
        <v>34</v>
      </c>
      <c r="F102" s="140">
        <v>2</v>
      </c>
      <c r="G102" s="142">
        <v>16873.82</v>
      </c>
      <c r="H102" s="142">
        <v>17798.829999999998</v>
      </c>
      <c r="I102" s="143">
        <f t="shared" si="0"/>
      </c>
      <c r="J102" s="143">
        <f t="shared" si="2"/>
      </c>
      <c r="K102" s="143">
        <f t="shared" si="1"/>
      </c>
      <c r="L102" s="144" t="s">
        <v>480</v>
      </c>
      <c r="M102" s="140">
        <v>10</v>
      </c>
    </row>
    <row r="103">
      <c r="A103" s="140" t="s">
        <v>485</v>
      </c>
      <c r="B103" s="141" t="s">
        <v>468</v>
      </c>
      <c r="C103" s="140" t="s">
        <v>487</v>
      </c>
      <c r="D103" s="140">
        <v>2</v>
      </c>
      <c r="E103" s="140">
        <v>5</v>
      </c>
      <c r="F103" s="140">
        <v>0</v>
      </c>
      <c r="G103" s="142">
        <v>3812.4</v>
      </c>
      <c r="H103" s="142">
        <v>2736.57</v>
      </c>
      <c r="I103" s="143">
        <f t="shared" si="0"/>
      </c>
      <c r="J103" s="143">
        <f t="shared" si="2"/>
      </c>
      <c r="K103" s="143">
        <f t="shared" si="1"/>
      </c>
      <c r="L103" s="144" t="s">
        <v>484</v>
      </c>
      <c r="M103" s="140">
        <v>2</v>
      </c>
    </row>
    <row r="104">
      <c r="A104" s="146" t="s">
        <v>485</v>
      </c>
      <c r="B104" s="147"/>
      <c r="C104" s="147"/>
      <c r="D104" s="147">
        <f>SUM(D100:D103)</f>
      </c>
      <c r="E104" s="147">
        <f>SUM(E100:E103)</f>
      </c>
      <c r="F104" s="147">
        <f>SUM(F100:F103)</f>
      </c>
      <c r="G104" s="147">
        <f>SUM(G100:G103)</f>
      </c>
      <c r="H104" s="147">
        <f>SUM(H100:H103)</f>
      </c>
      <c r="I104" s="148">
        <f t="shared" si="0"/>
      </c>
      <c r="J104" s="148">
        <f t="shared" si="2"/>
      </c>
      <c r="K104" s="148">
        <f t="shared" si="1"/>
      </c>
      <c r="L104" s="148"/>
      <c r="M104" s="147">
        <f>SUM(M100:M103)</f>
      </c>
    </row>
    <row r="105">
      <c r="A105" s="140" t="s">
        <v>488</v>
      </c>
      <c r="B105" s="141" t="s">
        <v>468</v>
      </c>
      <c r="C105" s="140" t="s">
        <v>478</v>
      </c>
      <c r="D105" s="140">
        <v>3</v>
      </c>
      <c r="E105" s="140">
        <v>16</v>
      </c>
      <c r="F105" s="140">
        <v>0</v>
      </c>
      <c r="G105" s="142">
        <v>6593.88</v>
      </c>
      <c r="H105" s="142">
        <v>7666.24</v>
      </c>
      <c r="I105" s="143">
        <f t="shared" si="0"/>
      </c>
      <c r="J105" s="143">
        <f t="shared" si="2"/>
      </c>
      <c r="K105" s="143">
        <f t="shared" si="1"/>
      </c>
      <c r="L105" s="144"/>
      <c r="M105" s="140"/>
    </row>
    <row r="106">
      <c r="A106" s="140" t="s">
        <v>488</v>
      </c>
      <c r="B106" s="141" t="s">
        <v>417</v>
      </c>
      <c r="C106" s="140" t="s">
        <v>479</v>
      </c>
      <c r="D106" s="140">
        <v>3</v>
      </c>
      <c r="E106" s="140">
        <v>9</v>
      </c>
      <c r="F106" s="140">
        <v>0</v>
      </c>
      <c r="G106" s="142">
        <v>2358.7599999999993</v>
      </c>
      <c r="H106" s="142">
        <v>5262.6</v>
      </c>
      <c r="I106" s="143">
        <f t="shared" si="0"/>
      </c>
      <c r="J106" s="143">
        <f t="shared" si="2"/>
      </c>
      <c r="K106" s="143">
        <f t="shared" si="1"/>
      </c>
      <c r="L106" s="144"/>
      <c r="M106" s="140"/>
    </row>
    <row r="107">
      <c r="A107" s="140" t="s">
        <v>488</v>
      </c>
      <c r="B107" s="141" t="s">
        <v>424</v>
      </c>
      <c r="C107" s="140" t="s">
        <v>432</v>
      </c>
      <c r="D107" s="140">
        <v>4</v>
      </c>
      <c r="E107" s="140">
        <v>47</v>
      </c>
      <c r="F107" s="140">
        <v>3</v>
      </c>
      <c r="G107" s="142">
        <v>22541.34</v>
      </c>
      <c r="H107" s="142">
        <v>12386.77</v>
      </c>
      <c r="I107" s="143">
        <f t="shared" si="0"/>
      </c>
      <c r="J107" s="143">
        <f t="shared" si="2"/>
      </c>
      <c r="K107" s="143">
        <f t="shared" si="1"/>
      </c>
      <c r="L107" s="144" t="s">
        <v>480</v>
      </c>
      <c r="M107" s="140">
        <v>10</v>
      </c>
    </row>
    <row r="108">
      <c r="A108" s="146" t="s">
        <v>488</v>
      </c>
      <c r="B108" s="147"/>
      <c r="C108" s="147"/>
      <c r="D108" s="147">
        <f>SUM(D105:D107)</f>
      </c>
      <c r="E108" s="147">
        <f>SUM(E105:E107)</f>
      </c>
      <c r="F108" s="147">
        <f>SUM(F105:F107)</f>
      </c>
      <c r="G108" s="147">
        <f>SUM(G105:G107)</f>
      </c>
      <c r="H108" s="147">
        <f>SUM(H105:H107)</f>
      </c>
      <c r="I108" s="148">
        <f t="shared" si="0"/>
      </c>
      <c r="J108" s="148">
        <f t="shared" si="2"/>
      </c>
      <c r="K108" s="148">
        <f t="shared" si="1"/>
      </c>
      <c r="L108" s="148"/>
      <c r="M108" s="147">
        <f>SUM(M105:M107)</f>
      </c>
    </row>
    <row r="109">
      <c r="A109" s="140" t="s">
        <v>489</v>
      </c>
      <c r="B109" s="141" t="s">
        <v>424</v>
      </c>
      <c r="C109" s="140" t="s">
        <v>490</v>
      </c>
      <c r="D109" s="140">
        <v>4</v>
      </c>
      <c r="E109" s="140">
        <v>100</v>
      </c>
      <c r="F109" s="140">
        <v>5</v>
      </c>
      <c r="G109" s="142">
        <v>63129.22</v>
      </c>
      <c r="H109" s="142">
        <v>30956.809999999998</v>
      </c>
      <c r="I109" s="143">
        <f t="shared" si="0"/>
      </c>
      <c r="J109" s="143">
        <f t="shared" si="2"/>
      </c>
      <c r="K109" s="143">
        <f t="shared" si="1"/>
      </c>
      <c r="L109" s="144"/>
      <c r="M109" s="140"/>
    </row>
    <row r="110">
      <c r="A110" s="140" t="s">
        <v>489</v>
      </c>
      <c r="B110" s="141" t="s">
        <v>417</v>
      </c>
      <c r="C110" s="140" t="s">
        <v>491</v>
      </c>
      <c r="D110" s="140">
        <v>4</v>
      </c>
      <c r="E110" s="140">
        <v>83</v>
      </c>
      <c r="F110" s="140">
        <v>4</v>
      </c>
      <c r="G110" s="142">
        <v>32971.399999999994</v>
      </c>
      <c r="H110" s="142">
        <v>25746.469999999998</v>
      </c>
      <c r="I110" s="143">
        <f t="shared" si="0"/>
      </c>
      <c r="J110" s="143">
        <f t="shared" si="2"/>
      </c>
      <c r="K110" s="143">
        <f t="shared" si="1"/>
      </c>
      <c r="L110" s="144" t="s">
        <v>480</v>
      </c>
      <c r="M110" s="140">
        <v>10</v>
      </c>
    </row>
    <row r="111">
      <c r="A111" s="140" t="s">
        <v>489</v>
      </c>
      <c r="B111" s="141" t="s">
        <v>468</v>
      </c>
      <c r="C111" s="140" t="s">
        <v>469</v>
      </c>
      <c r="D111" s="140">
        <v>2</v>
      </c>
      <c r="E111" s="140">
        <v>9</v>
      </c>
      <c r="F111" s="140">
        <v>0</v>
      </c>
      <c r="G111" s="142">
        <v>3303.8600000000006</v>
      </c>
      <c r="H111" s="142">
        <v>6470.86</v>
      </c>
      <c r="I111" s="143">
        <f t="shared" si="0"/>
      </c>
      <c r="J111" s="143">
        <f t="shared" si="2"/>
      </c>
      <c r="K111" s="143">
        <f t="shared" si="1"/>
      </c>
      <c r="L111" s="144"/>
      <c r="M111" s="140"/>
    </row>
    <row r="112">
      <c r="A112" s="146" t="s">
        <v>489</v>
      </c>
      <c r="B112" s="147"/>
      <c r="C112" s="147"/>
      <c r="D112" s="147">
        <f>SUM(D109:D111)</f>
      </c>
      <c r="E112" s="147">
        <f>SUM(E109:E111)</f>
      </c>
      <c r="F112" s="147">
        <f>SUM(F109:F111)</f>
      </c>
      <c r="G112" s="147">
        <f>SUM(G109:G111)</f>
      </c>
      <c r="H112" s="147">
        <f>SUM(H109:H111)</f>
      </c>
      <c r="I112" s="148">
        <f t="shared" si="0"/>
      </c>
      <c r="J112" s="148">
        <f t="shared" si="2"/>
      </c>
      <c r="K112" s="148">
        <f t="shared" si="1"/>
      </c>
      <c r="L112" s="148"/>
      <c r="M112" s="147">
        <f>SUM(M109:M111)</f>
      </c>
    </row>
    <row r="113">
      <c r="A113" s="140" t="s">
        <v>492</v>
      </c>
      <c r="B113" s="141" t="s">
        <v>424</v>
      </c>
      <c r="C113" s="140" t="s">
        <v>490</v>
      </c>
      <c r="D113" s="140">
        <v>4</v>
      </c>
      <c r="E113" s="140">
        <v>125</v>
      </c>
      <c r="F113" s="140">
        <v>13</v>
      </c>
      <c r="G113" s="142">
        <v>71326.12000000001</v>
      </c>
      <c r="H113" s="142">
        <v>32682.55</v>
      </c>
      <c r="I113" s="143">
        <f t="shared" si="0"/>
      </c>
      <c r="J113" s="143">
        <f t="shared" si="2"/>
      </c>
      <c r="K113" s="143">
        <f t="shared" si="1"/>
      </c>
      <c r="L113" s="144"/>
      <c r="M113" s="140"/>
    </row>
    <row r="114">
      <c r="A114" s="140" t="s">
        <v>492</v>
      </c>
      <c r="B114" s="141" t="s">
        <v>417</v>
      </c>
      <c r="C114" s="140" t="s">
        <v>491</v>
      </c>
      <c r="D114" s="140">
        <v>4</v>
      </c>
      <c r="E114" s="140">
        <v>103</v>
      </c>
      <c r="F114" s="140">
        <v>4</v>
      </c>
      <c r="G114" s="142">
        <v>65671.76</v>
      </c>
      <c r="H114" s="142">
        <v>33134.240000000005</v>
      </c>
      <c r="I114" s="143">
        <f t="shared" si="0"/>
      </c>
      <c r="J114" s="143">
        <f t="shared" si="2"/>
      </c>
      <c r="K114" s="143">
        <f t="shared" si="1"/>
      </c>
      <c r="L114" s="144" t="s">
        <v>480</v>
      </c>
      <c r="M114" s="140">
        <v>8</v>
      </c>
    </row>
    <row r="115">
      <c r="A115" s="140" t="s">
        <v>492</v>
      </c>
      <c r="B115" s="141" t="s">
        <v>468</v>
      </c>
      <c r="C115" s="140" t="s">
        <v>493</v>
      </c>
      <c r="D115" s="140">
        <v>3</v>
      </c>
      <c r="E115" s="140">
        <v>20</v>
      </c>
      <c r="F115" s="140">
        <v>0</v>
      </c>
      <c r="G115" s="142">
        <v>9342.48</v>
      </c>
      <c r="H115" s="142">
        <v>10814.76</v>
      </c>
      <c r="I115" s="143">
        <f t="shared" si="0"/>
      </c>
      <c r="J115" s="143">
        <f t="shared" si="2"/>
      </c>
      <c r="K115" s="143">
        <f t="shared" si="1"/>
      </c>
      <c r="L115" s="144" t="s">
        <v>484</v>
      </c>
      <c r="M115" s="140">
        <v>3</v>
      </c>
    </row>
    <row r="116">
      <c r="A116" s="146" t="s">
        <v>492</v>
      </c>
      <c r="B116" s="147"/>
      <c r="C116" s="147"/>
      <c r="D116" s="147">
        <f>SUM(D113:D115)</f>
      </c>
      <c r="E116" s="147">
        <f>SUM(E113:E115)</f>
      </c>
      <c r="F116" s="147">
        <f>SUM(F113:F115)</f>
      </c>
      <c r="G116" s="147">
        <f>SUM(G113:G115)</f>
      </c>
      <c r="H116" s="147">
        <f>SUM(H113:H115)</f>
      </c>
      <c r="I116" s="148">
        <f t="shared" si="0"/>
      </c>
      <c r="J116" s="148">
        <f t="shared" si="2"/>
      </c>
      <c r="K116" s="148">
        <f t="shared" si="1"/>
      </c>
      <c r="L116" s="148"/>
      <c r="M116" s="147">
        <f>SUM(M113:M115)</f>
      </c>
    </row>
    <row r="117">
      <c r="A117" s="140" t="s">
        <v>494</v>
      </c>
      <c r="B117" s="141" t="s">
        <v>424</v>
      </c>
      <c r="C117" s="140" t="s">
        <v>490</v>
      </c>
      <c r="D117" s="140">
        <v>4</v>
      </c>
      <c r="E117" s="140">
        <v>87</v>
      </c>
      <c r="F117" s="140">
        <v>10</v>
      </c>
      <c r="G117" s="142">
        <v>47829.9</v>
      </c>
      <c r="H117" s="142">
        <v>25297.16</v>
      </c>
      <c r="I117" s="143">
        <f t="shared" si="0"/>
      </c>
      <c r="J117" s="143">
        <f t="shared" si="2"/>
      </c>
      <c r="K117" s="143">
        <f t="shared" si="1"/>
      </c>
      <c r="L117" s="144"/>
      <c r="M117" s="140"/>
    </row>
    <row r="118">
      <c r="A118" s="140" t="s">
        <v>494</v>
      </c>
      <c r="B118" s="141" t="s">
        <v>417</v>
      </c>
      <c r="C118" s="140" t="s">
        <v>491</v>
      </c>
      <c r="D118" s="140">
        <v>4</v>
      </c>
      <c r="E118" s="140">
        <v>45</v>
      </c>
      <c r="F118" s="140">
        <v>2</v>
      </c>
      <c r="G118" s="142">
        <v>19607.54</v>
      </c>
      <c r="H118" s="142">
        <v>14815.970000000001</v>
      </c>
      <c r="I118" s="143">
        <f t="shared" si="0"/>
      </c>
      <c r="J118" s="143">
        <f t="shared" si="2"/>
      </c>
      <c r="K118" s="143">
        <f t="shared" si="1"/>
      </c>
      <c r="L118" s="144" t="s">
        <v>495</v>
      </c>
      <c r="M118" s="140">
        <v>8</v>
      </c>
    </row>
    <row r="119">
      <c r="A119" s="140" t="s">
        <v>494</v>
      </c>
      <c r="B119" s="141" t="s">
        <v>468</v>
      </c>
      <c r="C119" s="140" t="s">
        <v>493</v>
      </c>
      <c r="D119" s="140">
        <v>3</v>
      </c>
      <c r="E119" s="140">
        <v>17</v>
      </c>
      <c r="F119" s="140">
        <v>1</v>
      </c>
      <c r="G119" s="142">
        <v>7200.56</v>
      </c>
      <c r="H119" s="142">
        <v>9920.31</v>
      </c>
      <c r="I119" s="143">
        <f t="shared" si="0"/>
      </c>
      <c r="J119" s="143">
        <f t="shared" si="2"/>
      </c>
      <c r="K119" s="143">
        <f t="shared" si="1"/>
      </c>
      <c r="L119" s="144" t="s">
        <v>484</v>
      </c>
      <c r="M119" s="140">
        <v>3</v>
      </c>
    </row>
    <row r="120">
      <c r="A120" s="151" t="s">
        <v>494</v>
      </c>
      <c r="B120" s="152"/>
      <c r="C120" s="152"/>
      <c r="D120" s="152">
        <f>SUM(D117:D119)</f>
      </c>
      <c r="E120" s="152">
        <f>SUM(E117:E119)</f>
      </c>
      <c r="F120" s="152">
        <f>SUM(F117:F119)</f>
      </c>
      <c r="G120" s="152">
        <f>SUM(G117:G119)</f>
      </c>
      <c r="H120" s="152">
        <f>SUM(H117:H119)</f>
      </c>
      <c r="I120" s="153">
        <f t="shared" si="0"/>
      </c>
      <c r="J120" s="153">
        <f t="shared" si="2"/>
      </c>
      <c r="K120" s="153">
        <f t="shared" si="1"/>
      </c>
      <c r="L120" s="153"/>
      <c r="M120" s="152">
        <f>SUM(M117:M119)</f>
      </c>
    </row>
    <row r="121">
      <c r="A121" s="141" t="s">
        <v>496</v>
      </c>
      <c r="B121" s="154" t="s">
        <v>424</v>
      </c>
      <c r="C121" s="155" t="s">
        <v>478</v>
      </c>
      <c r="D121" s="141">
        <v>3</v>
      </c>
      <c r="E121" s="156">
        <v>55</v>
      </c>
      <c r="F121" s="141">
        <v>6</v>
      </c>
      <c r="G121" s="156">
        <v>31767.01</v>
      </c>
      <c r="H121" s="156">
        <v>15181.460000000001</v>
      </c>
      <c r="I121" s="143">
        <f t="shared" si="0"/>
      </c>
      <c r="J121" s="143">
        <f t="shared" si="2"/>
      </c>
      <c r="K121" s="143">
        <f t="shared" si="1"/>
      </c>
      <c r="L121" s="157"/>
      <c r="M121" s="157"/>
      <c r="N121" s="139"/>
    </row>
    <row r="122">
      <c r="A122" s="141" t="s">
        <v>496</v>
      </c>
      <c r="B122" s="154" t="s">
        <v>417</v>
      </c>
      <c r="C122" s="155" t="s">
        <v>497</v>
      </c>
      <c r="D122" s="141">
        <v>5</v>
      </c>
      <c r="E122" s="141">
        <v>61</v>
      </c>
      <c r="F122" s="141">
        <v>6</v>
      </c>
      <c r="G122" s="156">
        <v>33022.59</v>
      </c>
      <c r="H122" s="156">
        <v>18894.719999999998</v>
      </c>
      <c r="I122" s="143">
        <f t="shared" si="0"/>
      </c>
      <c r="J122" s="143">
        <f t="shared" si="2"/>
      </c>
      <c r="K122" s="143">
        <f t="shared" si="1"/>
      </c>
      <c r="L122" s="158" t="s">
        <v>495</v>
      </c>
      <c r="M122" s="159">
        <v>9</v>
      </c>
      <c r="N122" s="139"/>
    </row>
    <row r="123">
      <c r="A123" s="141" t="s">
        <v>496</v>
      </c>
      <c r="B123" s="160" t="s">
        <v>420</v>
      </c>
      <c r="C123" s="155" t="s">
        <v>498</v>
      </c>
      <c r="D123" s="141">
        <v>5</v>
      </c>
      <c r="E123" s="141">
        <v>53</v>
      </c>
      <c r="F123" s="141">
        <v>6</v>
      </c>
      <c r="G123" s="141">
        <v>26359.2</v>
      </c>
      <c r="H123" s="141">
        <v>17141.98</v>
      </c>
      <c r="I123" s="143">
        <f t="shared" si="0"/>
      </c>
      <c r="J123" s="143">
        <f t="shared" si="2"/>
      </c>
      <c r="K123" s="161">
        <f t="shared" si="1"/>
      </c>
      <c r="L123" s="141" t="s">
        <v>426</v>
      </c>
      <c r="M123" s="141">
        <v>1</v>
      </c>
      <c r="N123" s="139"/>
    </row>
    <row r="124">
      <c r="A124" s="141" t="s">
        <v>496</v>
      </c>
      <c r="B124" s="160" t="s">
        <v>468</v>
      </c>
      <c r="C124" s="162" t="s">
        <v>487</v>
      </c>
      <c r="D124" s="141">
        <v>2</v>
      </c>
      <c r="E124" s="141">
        <v>14</v>
      </c>
      <c r="F124" s="141">
        <v>1</v>
      </c>
      <c r="G124" s="141">
        <v>6969.25</v>
      </c>
      <c r="H124" s="141">
        <v>6267.76</v>
      </c>
      <c r="I124" s="143">
        <f t="shared" si="0"/>
      </c>
      <c r="J124" s="143">
        <f t="shared" si="2"/>
      </c>
      <c r="K124" s="143">
        <f t="shared" si="1"/>
      </c>
      <c r="L124" s="163" t="s">
        <v>484</v>
      </c>
      <c r="M124" s="164">
        <v>5</v>
      </c>
      <c r="N124" s="139"/>
    </row>
    <row r="125">
      <c r="A125" s="151" t="s">
        <v>496</v>
      </c>
      <c r="B125" s="152"/>
      <c r="C125" s="152"/>
      <c r="D125" s="152">
        <f>SUM(D121:D124)</f>
      </c>
      <c r="E125" s="152">
        <f>SUM(E121:E124)</f>
      </c>
      <c r="F125" s="152">
        <f>SUM(F121:F124)</f>
      </c>
      <c r="G125" s="152">
        <f>SUM(G121:G124)</f>
      </c>
      <c r="H125" s="152">
        <f>SUM(H121:H124)</f>
      </c>
      <c r="I125" s="153">
        <f t="shared" si="0"/>
      </c>
      <c r="J125" s="153">
        <f t="shared" si="2"/>
      </c>
      <c r="K125" s="153">
        <f t="shared" si="1"/>
      </c>
      <c r="L125" s="153"/>
      <c r="M125" s="152">
        <f>SUM(M121:M124)</f>
      </c>
    </row>
    <row r="126">
      <c r="A126" s="141" t="s">
        <v>499</v>
      </c>
      <c r="B126" s="141" t="s">
        <v>417</v>
      </c>
      <c r="C126" s="155" t="s">
        <v>490</v>
      </c>
      <c r="D126" s="150">
        <v>3</v>
      </c>
      <c r="E126" s="141">
        <v>14</v>
      </c>
      <c r="F126" s="141">
        <v>6</v>
      </c>
      <c r="G126" s="156">
        <v>24193.82</v>
      </c>
      <c r="H126" s="156">
        <v>12298.01</v>
      </c>
      <c r="I126" s="143">
        <f t="shared" si="0"/>
      </c>
      <c r="J126" s="143">
        <f t="shared" si="2"/>
      </c>
      <c r="K126" s="143">
        <f t="shared" si="1"/>
      </c>
      <c r="L126" s="157"/>
      <c r="M126" s="157"/>
      <c r="N126" s="139"/>
    </row>
    <row r="127">
      <c r="A127" s="141" t="s">
        <v>499</v>
      </c>
      <c r="B127" s="156" t="s">
        <v>420</v>
      </c>
      <c r="C127" s="155" t="s">
        <v>491</v>
      </c>
      <c r="D127" s="150">
        <v>3.5</v>
      </c>
      <c r="E127" s="141">
        <v>18</v>
      </c>
      <c r="F127" s="141">
        <v>2</v>
      </c>
      <c r="G127" s="156">
        <v>9316.14</v>
      </c>
      <c r="H127" s="156">
        <v>8749.369999999999</v>
      </c>
      <c r="I127" s="143">
        <f t="shared" si="0"/>
      </c>
      <c r="J127" s="143">
        <f t="shared" si="2"/>
      </c>
      <c r="K127" s="143">
        <f t="shared" si="1"/>
      </c>
      <c r="L127" s="158" t="s">
        <v>495</v>
      </c>
      <c r="M127" s="159">
        <v>9</v>
      </c>
      <c r="N127" s="139"/>
    </row>
    <row r="128">
      <c r="A128" s="141" t="s">
        <v>499</v>
      </c>
      <c r="B128" s="141" t="s">
        <v>424</v>
      </c>
      <c r="C128" s="155" t="s">
        <v>498</v>
      </c>
      <c r="D128" s="141">
        <v>5</v>
      </c>
      <c r="E128" s="141">
        <v>54</v>
      </c>
      <c r="F128" s="141">
        <v>6</v>
      </c>
      <c r="G128" s="141">
        <v>34707.71</v>
      </c>
      <c r="H128" s="141">
        <v>14033.36</v>
      </c>
      <c r="I128" s="143">
        <f t="shared" si="0"/>
      </c>
      <c r="J128" s="143">
        <f t="shared" si="2"/>
      </c>
      <c r="K128" s="143">
        <f t="shared" si="1"/>
      </c>
      <c r="L128" s="156" t="s">
        <v>426</v>
      </c>
      <c r="M128" s="156">
        <v>1</v>
      </c>
      <c r="N128" s="139"/>
    </row>
    <row r="129">
      <c r="A129" s="141" t="s">
        <v>499</v>
      </c>
      <c r="B129" s="156" t="s">
        <v>468</v>
      </c>
      <c r="C129" s="162" t="s">
        <v>493</v>
      </c>
      <c r="D129" s="150">
        <v>2.5</v>
      </c>
      <c r="E129" s="141">
        <v>25</v>
      </c>
      <c r="F129" s="141">
        <v>3</v>
      </c>
      <c r="G129" s="141">
        <v>13300.47</v>
      </c>
      <c r="H129" s="141">
        <v>9171.810000000001</v>
      </c>
      <c r="I129" s="143">
        <f t="shared" si="0"/>
      </c>
      <c r="J129" s="143">
        <f t="shared" si="2"/>
      </c>
      <c r="K129" s="143">
        <f t="shared" si="1"/>
      </c>
      <c r="L129" s="156" t="s">
        <v>484</v>
      </c>
      <c r="M129" s="141">
        <v>6</v>
      </c>
      <c r="N129" s="139"/>
    </row>
    <row r="130">
      <c r="A130" s="151" t="s">
        <v>499</v>
      </c>
      <c r="B130" s="152"/>
      <c r="C130" s="152"/>
      <c r="D130" s="152">
        <f>SUM(D126:D129)</f>
      </c>
      <c r="E130" s="152">
        <f>SUM(E126:E129)</f>
      </c>
      <c r="F130" s="152">
        <f>SUM(F126:F129)</f>
      </c>
      <c r="G130" s="152">
        <f>SUM(G126:G129)</f>
      </c>
      <c r="H130" s="152">
        <f>SUM(H126:H129)</f>
      </c>
      <c r="I130" s="153">
        <f t="shared" si="0"/>
      </c>
      <c r="J130" s="153">
        <f t="shared" si="2"/>
      </c>
      <c r="K130" s="153">
        <f t="shared" si="1"/>
      </c>
      <c r="L130" s="153"/>
      <c r="M130" s="152">
        <f>SUM(M126:M129)</f>
      </c>
    </row>
    <row r="131"/>
    <row r="132">
      <c r="B132" s="139"/>
      <c r="C132" s="139"/>
      <c r="D132" s="139"/>
      <c r="E132" s="139"/>
      <c r="F132" s="139"/>
    </row>
    <row r="133">
      <c r="A133" s="139"/>
    </row>
    <row r="134"/>
    <row customHeight="true" ht="16.071428571428573" r="135"/>
    <row customHeight="true" ht="16.071428571428573" r="136"/>
    <row customHeight="true" ht="16.071428571428573" r="137"/>
    <row customHeight="true" ht="16.071428571428573" r="138"/>
    <row r="139"/>
    <row r="140"/>
    <row r="141"/>
    <row r="142"/>
    <row customHeight="true" ht="16.071428571428573" r="143"/>
    <row customHeight="true" ht="16.071428571428573" r="144"/>
    <row customHeight="true" ht="16.071428571428573" r="145"/>
    <row customHeight="true" ht="16.071428571428573" r="146"/>
    <row r="147"/>
    <row r="148"/>
    <row r="149"/>
    <row r="150"/>
    <row r="151"/>
    <row r="152"/>
    <row r="153"/>
    <row r="154"/>
    <row r="155"/>
    <row r="156"/>
    <row r="157"/>
    <row r="158"/>
    <row r="159"/>
    <row r="160">
      <c r="K160" s="165"/>
      <c r="L160" s="165"/>
      <c r="M160" s="165"/>
      <c r="N160" s="165"/>
      <c r="O160" s="165"/>
      <c r="P160" s="166"/>
      <c r="Q160" s="166"/>
      <c r="R160" s="166"/>
    </row>
    <row r="161">
      <c r="K161" s="165"/>
      <c r="L161" s="165"/>
      <c r="M161" s="165"/>
      <c r="N161" s="165"/>
      <c r="O161" s="165"/>
      <c r="P161" s="167"/>
      <c r="Q161" s="167"/>
      <c r="R161" s="167"/>
    </row>
    <row r="162">
      <c r="K162" s="165"/>
      <c r="L162" s="165"/>
      <c r="M162" s="165"/>
      <c r="N162" s="165"/>
      <c r="O162" s="165"/>
      <c r="P162" s="167"/>
      <c r="Q162" s="167"/>
      <c r="R162" s="167"/>
    </row>
    <row r="163">
      <c r="K163" s="165"/>
      <c r="L163" s="165"/>
      <c r="M163" s="165"/>
      <c r="N163" s="165"/>
      <c r="O163" s="165"/>
      <c r="P163" s="167"/>
      <c r="Q163" s="167"/>
      <c r="R163" s="167"/>
    </row>
    <row r="164">
      <c r="K164" s="165"/>
      <c r="L164" s="165"/>
      <c r="M164" s="165"/>
      <c r="N164" s="165"/>
      <c r="O164" s="165"/>
      <c r="P164" s="167"/>
      <c r="Q164" s="167"/>
      <c r="R164" s="167"/>
    </row>
    <row r="165">
      <c r="K165" s="165"/>
      <c r="L165" s="165"/>
      <c r="M165" s="165"/>
      <c r="N165" s="165"/>
      <c r="O165" s="165"/>
      <c r="P165" s="167"/>
      <c r="Q165" s="167"/>
      <c r="R165" s="167"/>
    </row>
    <row r="166">
      <c r="K166" s="165"/>
      <c r="L166" s="165"/>
      <c r="M166" s="165"/>
      <c r="N166" s="165"/>
      <c r="O166" s="165"/>
      <c r="P166" s="167"/>
      <c r="Q166" s="167"/>
      <c r="R166" s="167"/>
    </row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>
      <c r="A220" s="168"/>
    </row>
    <row r="221">
      <c r="F221" s="166"/>
      <c r="G221" s="166"/>
      <c r="H221" s="166"/>
    </row>
    <row r="222">
      <c r="F222" s="169"/>
      <c r="G222" s="169"/>
      <c r="H222" s="169"/>
    </row>
    <row r="223">
      <c r="F223" s="169"/>
      <c r="G223" s="169"/>
      <c r="H223" s="169"/>
    </row>
    <row r="224">
      <c r="F224" s="169"/>
      <c r="G224" s="169"/>
      <c r="H224" s="169"/>
    </row>
    <row r="225">
      <c r="F225" s="169"/>
      <c r="G225" s="169"/>
      <c r="H225" s="169"/>
    </row>
    <row r="226">
      <c r="F226" s="169"/>
      <c r="G226" s="169"/>
      <c r="H226" s="169"/>
    </row>
    <row r="227">
      <c r="F227" s="169"/>
      <c r="G227" s="169"/>
      <c r="H227" s="169"/>
    </row>
  </sheetData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4" min="4" style="0" width="11.211267605633802"/>
    <col collapsed="false" customWidth="true" hidden="false" max="5" min="5" style="0" width="11.211267605633802"/>
    <col collapsed="false" customWidth="true" hidden="false" max="6" min="6" style="0" width="11.211267605633802"/>
    <col collapsed="false" customWidth="true" hidden="false" max="7" min="7" style="0" width="11.211267605633802"/>
    <col collapsed="false" customWidth="true" hidden="false" max="8" min="8" style="0" width="11.211267605633802"/>
    <col collapsed="false" customWidth="true" hidden="false" max="9" min="9" style="0" width="11.211267605633802"/>
    <col collapsed="false" customWidth="true" hidden="false" max="10" min="10" style="0" width="11.211267605633802"/>
  </cols>
  <sheetData>
    <row r="1">
      <c r="A1" s="170" t="s">
        <v>500</v>
      </c>
      <c r="B1" s="170" t="s">
        <v>501</v>
      </c>
      <c r="C1" s="170" t="s">
        <v>502</v>
      </c>
      <c r="D1" s="170" t="s">
        <v>503</v>
      </c>
      <c r="E1" s="170" t="s">
        <v>504</v>
      </c>
      <c r="F1" s="170" t="s">
        <v>505</v>
      </c>
      <c r="G1" s="170" t="s">
        <v>506</v>
      </c>
      <c r="H1" s="170" t="s">
        <v>507</v>
      </c>
      <c r="I1" s="171" t="s">
        <v>508</v>
      </c>
      <c r="J1" s="171" t="s">
        <v>509</v>
      </c>
      <c r="K1" s="171" t="s">
        <v>510</v>
      </c>
      <c r="L1" s="171" t="s">
        <v>511</v>
      </c>
      <c r="M1" s="170" t="s">
        <v>512</v>
      </c>
      <c r="N1" s="172"/>
      <c r="O1" s="172"/>
      <c r="P1" s="172"/>
      <c r="Q1" s="172"/>
      <c r="R1" s="172"/>
      <c r="S1" s="172"/>
      <c r="T1" s="172"/>
    </row>
    <row r="2">
      <c r="A2" s="173" t="s">
        <v>513</v>
      </c>
      <c r="B2" s="173" t="s">
        <v>514</v>
      </c>
      <c r="C2" s="173" t="s">
        <v>515</v>
      </c>
      <c r="D2" s="174">
        <v>2.5</v>
      </c>
      <c r="E2" s="173">
        <v>15</v>
      </c>
      <c r="F2" s="175">
        <v>2</v>
      </c>
      <c r="G2" s="176">
        <v>9862.91</v>
      </c>
      <c r="H2" s="176">
        <v>4287.03</v>
      </c>
      <c r="I2" s="177">
        <f t="shared" ref="I2:I78" si="1">G2/H2</f>
      </c>
      <c r="J2" s="177">
        <f t="shared" ref="J2:J78" si="0">G2/E2</f>
      </c>
      <c r="K2" s="177">
        <f t="shared" ref="K2:K78" si="2">H2/E2</f>
      </c>
      <c r="L2" s="178" t="s">
        <v>516</v>
      </c>
      <c r="M2" s="173">
        <v>5.5</v>
      </c>
      <c r="N2" s="172"/>
      <c r="O2" s="172"/>
      <c r="P2" s="172"/>
      <c r="Q2" s="172"/>
      <c r="R2" s="172"/>
      <c r="S2" s="172"/>
      <c r="T2" s="172"/>
    </row>
    <row r="3">
      <c r="A3" s="179" t="s">
        <v>513</v>
      </c>
      <c r="B3" s="173" t="s">
        <v>517</v>
      </c>
      <c r="C3" s="173" t="s">
        <v>518</v>
      </c>
      <c r="D3" s="174">
        <v>3</v>
      </c>
      <c r="E3" s="173">
        <v>15</v>
      </c>
      <c r="F3" s="175">
        <v>1</v>
      </c>
      <c r="G3" s="176">
        <v>9725.220000000001</v>
      </c>
      <c r="H3" s="176">
        <v>5175.66</v>
      </c>
      <c r="I3" s="177">
        <f t="shared" si="1"/>
      </c>
      <c r="J3" s="177">
        <f t="shared" si="0"/>
      </c>
      <c r="K3" s="177">
        <f t="shared" si="2"/>
      </c>
      <c r="L3" s="180"/>
      <c r="M3" s="179"/>
      <c r="N3" s="172"/>
      <c r="O3" s="172"/>
      <c r="P3" s="172"/>
      <c r="Q3" s="172"/>
      <c r="R3" s="172"/>
      <c r="S3" s="172"/>
      <c r="T3" s="172"/>
    </row>
    <row r="4">
      <c r="A4" s="181" t="s">
        <v>513</v>
      </c>
      <c r="B4" s="182"/>
      <c r="C4" s="182"/>
      <c r="D4" s="182">
        <f>D2+D3</f>
      </c>
      <c r="E4" s="182">
        <f>E2+E3</f>
      </c>
      <c r="F4" s="182">
        <f>F2+F3</f>
      </c>
      <c r="G4" s="182">
        <f>G2+G3</f>
      </c>
      <c r="H4" s="182">
        <f>H2+H3</f>
      </c>
      <c r="I4" s="183">
        <f t="shared" si="1"/>
      </c>
      <c r="J4" s="183">
        <f t="shared" si="0"/>
      </c>
      <c r="K4" s="183">
        <f t="shared" si="2"/>
      </c>
      <c r="L4" s="183"/>
      <c r="M4" s="182">
        <f>SUM(M2:M3)</f>
      </c>
      <c r="N4" s="172"/>
      <c r="O4" s="172"/>
      <c r="P4" s="172"/>
      <c r="Q4" s="172"/>
      <c r="R4" s="172"/>
      <c r="S4" s="172"/>
      <c r="T4" s="172"/>
    </row>
    <row r="5">
      <c r="A5" s="173" t="s">
        <v>519</v>
      </c>
      <c r="B5" s="173" t="s">
        <v>514</v>
      </c>
      <c r="C5" s="173" t="s">
        <v>520</v>
      </c>
      <c r="D5" s="174">
        <v>3</v>
      </c>
      <c r="E5" s="173">
        <v>7</v>
      </c>
      <c r="F5" s="175">
        <v>0</v>
      </c>
      <c r="G5" s="184">
        <v>2854.32</v>
      </c>
      <c r="H5" s="184">
        <v>2705.73</v>
      </c>
      <c r="I5" s="177">
        <f t="shared" si="1"/>
      </c>
      <c r="J5" s="177">
        <f t="shared" si="0"/>
      </c>
      <c r="K5" s="177">
        <f t="shared" si="2"/>
      </c>
      <c r="L5" s="178" t="s">
        <v>521</v>
      </c>
      <c r="M5" s="173">
        <v>6</v>
      </c>
    </row>
    <row r="6">
      <c r="A6" s="173" t="s">
        <v>519</v>
      </c>
      <c r="B6" s="173" t="s">
        <v>517</v>
      </c>
      <c r="C6" s="173" t="s">
        <v>518</v>
      </c>
      <c r="D6" s="174">
        <v>3</v>
      </c>
      <c r="E6" s="173">
        <v>14</v>
      </c>
      <c r="F6" s="175">
        <v>2</v>
      </c>
      <c r="G6" s="184">
        <v>6186.16</v>
      </c>
      <c r="H6" s="184">
        <v>4232.64</v>
      </c>
      <c r="I6" s="177">
        <f t="shared" si="1"/>
      </c>
      <c r="J6" s="177">
        <f t="shared" si="0"/>
      </c>
      <c r="K6" s="177">
        <f t="shared" si="2"/>
      </c>
      <c r="L6" s="180"/>
      <c r="M6" s="179"/>
    </row>
    <row r="7">
      <c r="A7" s="185" t="s">
        <v>519</v>
      </c>
      <c r="B7" s="182"/>
      <c r="C7" s="182"/>
      <c r="D7" s="182">
        <f>D5+D6</f>
      </c>
      <c r="E7" s="182">
        <f>E5+E6</f>
      </c>
      <c r="F7" s="182">
        <f>F5+F6</f>
      </c>
      <c r="G7" s="182">
        <f>G5+G6</f>
      </c>
      <c r="H7" s="182">
        <f>H5+H6</f>
      </c>
      <c r="I7" s="183">
        <f t="shared" si="1"/>
      </c>
      <c r="J7" s="183">
        <f t="shared" si="0"/>
      </c>
      <c r="K7" s="183">
        <f t="shared" si="2"/>
      </c>
      <c r="L7" s="183"/>
      <c r="M7" s="182">
        <f>SUM(M5:M6)</f>
      </c>
    </row>
    <row r="8">
      <c r="A8" s="173" t="s">
        <v>522</v>
      </c>
      <c r="B8" s="173" t="s">
        <v>514</v>
      </c>
      <c r="C8" s="173" t="s">
        <v>520</v>
      </c>
      <c r="D8" s="174">
        <v>3</v>
      </c>
      <c r="E8" s="173">
        <v>28</v>
      </c>
      <c r="F8" s="175">
        <v>3</v>
      </c>
      <c r="G8" s="184">
        <v>11948.72</v>
      </c>
      <c r="H8" s="184">
        <v>7586.3</v>
      </c>
      <c r="I8" s="177">
        <f t="shared" si="1"/>
      </c>
      <c r="J8" s="177">
        <f t="shared" si="0"/>
      </c>
      <c r="K8" s="177">
        <f t="shared" si="2"/>
      </c>
      <c r="L8" s="178" t="s">
        <v>523</v>
      </c>
      <c r="M8" s="173">
        <v>6</v>
      </c>
    </row>
    <row r="9">
      <c r="A9" s="173" t="s">
        <v>522</v>
      </c>
      <c r="B9" s="173" t="s">
        <v>517</v>
      </c>
      <c r="C9" s="173" t="s">
        <v>518</v>
      </c>
      <c r="D9" s="174">
        <v>3</v>
      </c>
      <c r="E9" s="173">
        <v>5</v>
      </c>
      <c r="F9" s="175">
        <v>1</v>
      </c>
      <c r="G9" s="184">
        <v>4236</v>
      </c>
      <c r="H9" s="184">
        <v>2320.16</v>
      </c>
      <c r="I9" s="177">
        <f t="shared" si="1"/>
      </c>
      <c r="J9" s="177">
        <f t="shared" si="0"/>
      </c>
      <c r="K9" s="177">
        <f t="shared" si="2"/>
      </c>
      <c r="L9" s="180"/>
      <c r="M9" s="179"/>
    </row>
    <row r="10">
      <c r="A10" s="185" t="s">
        <v>522</v>
      </c>
      <c r="B10" s="182"/>
      <c r="C10" s="182"/>
      <c r="D10" s="182">
        <f>D8+D9</f>
      </c>
      <c r="E10" s="182">
        <f>E8+E9</f>
      </c>
      <c r="F10" s="182">
        <f>F8+F9</f>
      </c>
      <c r="G10" s="182">
        <f>G8+G9</f>
      </c>
      <c r="H10" s="182">
        <f>H8+H9</f>
      </c>
      <c r="I10" s="183">
        <f t="shared" si="1"/>
      </c>
      <c r="J10" s="183">
        <f t="shared" si="0"/>
      </c>
      <c r="K10" s="183">
        <f t="shared" si="2"/>
      </c>
      <c r="L10" s="183"/>
      <c r="M10" s="182">
        <f>SUM(M8:M9)</f>
      </c>
    </row>
    <row r="11">
      <c r="A11" s="173" t="s">
        <v>524</v>
      </c>
      <c r="B11" s="173" t="s">
        <v>514</v>
      </c>
      <c r="C11" s="173" t="s">
        <v>525</v>
      </c>
      <c r="D11" s="174">
        <v>3</v>
      </c>
      <c r="E11" s="173">
        <v>24</v>
      </c>
      <c r="F11" s="175">
        <v>2</v>
      </c>
      <c r="G11" s="184">
        <v>7353.9</v>
      </c>
      <c r="H11" s="184">
        <v>11791.33</v>
      </c>
      <c r="I11" s="177">
        <f t="shared" si="1"/>
      </c>
      <c r="J11" s="177">
        <f t="shared" si="0"/>
      </c>
      <c r="K11" s="177">
        <f t="shared" si="2"/>
      </c>
      <c r="L11" s="178" t="s">
        <v>523</v>
      </c>
      <c r="M11" s="173">
        <v>6</v>
      </c>
    </row>
    <row r="12">
      <c r="A12" s="173" t="s">
        <v>524</v>
      </c>
      <c r="B12" s="173" t="s">
        <v>517</v>
      </c>
      <c r="C12" s="173" t="s">
        <v>526</v>
      </c>
      <c r="D12" s="174">
        <v>3</v>
      </c>
      <c r="E12" s="173">
        <v>13</v>
      </c>
      <c r="F12" s="175">
        <v>0</v>
      </c>
      <c r="G12" s="184">
        <v>6289.49</v>
      </c>
      <c r="H12" s="184">
        <v>4701.24</v>
      </c>
      <c r="I12" s="177">
        <f t="shared" si="1"/>
      </c>
      <c r="J12" s="177">
        <f t="shared" si="0"/>
      </c>
      <c r="K12" s="177">
        <f t="shared" si="2"/>
      </c>
      <c r="L12" s="180"/>
      <c r="M12" s="179"/>
    </row>
    <row r="13">
      <c r="A13" s="185" t="s">
        <v>524</v>
      </c>
      <c r="B13" s="182"/>
      <c r="C13" s="182"/>
      <c r="D13" s="182">
        <f>D11+D12</f>
      </c>
      <c r="E13" s="182">
        <f>E11+E12</f>
      </c>
      <c r="F13" s="182">
        <f>F11+F12</f>
      </c>
      <c r="G13" s="182">
        <f>G11+G12</f>
      </c>
      <c r="H13" s="182">
        <f>H11+H12</f>
      </c>
      <c r="I13" s="183">
        <f t="shared" si="1"/>
      </c>
      <c r="J13" s="183">
        <f t="shared" si="0"/>
      </c>
      <c r="K13" s="183">
        <f t="shared" si="2"/>
      </c>
      <c r="L13" s="183"/>
      <c r="M13" s="182">
        <f>SUM(M11:M12)</f>
      </c>
    </row>
    <row r="14">
      <c r="A14" s="173" t="s">
        <v>527</v>
      </c>
      <c r="B14" s="173" t="s">
        <v>514</v>
      </c>
      <c r="C14" s="173" t="s">
        <v>525</v>
      </c>
      <c r="D14" s="174">
        <v>3</v>
      </c>
      <c r="E14" s="173">
        <v>31</v>
      </c>
      <c r="F14" s="175">
        <v>2</v>
      </c>
      <c r="G14" s="184">
        <v>11210.34</v>
      </c>
      <c r="H14" s="184">
        <v>11415.52</v>
      </c>
      <c r="I14" s="177">
        <f t="shared" si="1"/>
      </c>
      <c r="J14" s="177">
        <f t="shared" si="0"/>
      </c>
      <c r="K14" s="177">
        <f t="shared" si="2"/>
      </c>
      <c r="L14" s="178" t="s">
        <v>528</v>
      </c>
      <c r="M14" s="173">
        <v>3</v>
      </c>
    </row>
    <row r="15">
      <c r="A15" s="173" t="s">
        <v>527</v>
      </c>
      <c r="B15" s="173" t="s">
        <v>517</v>
      </c>
      <c r="C15" s="173" t="s">
        <v>526</v>
      </c>
      <c r="D15" s="174">
        <v>3</v>
      </c>
      <c r="E15" s="173">
        <v>35</v>
      </c>
      <c r="F15" s="175">
        <v>2</v>
      </c>
      <c r="G15" s="184">
        <v>15753.62</v>
      </c>
      <c r="H15" s="184">
        <v>8403.02</v>
      </c>
      <c r="I15" s="177">
        <f t="shared" si="1"/>
      </c>
      <c r="J15" s="177">
        <f t="shared" si="0"/>
      </c>
      <c r="K15" s="177">
        <f t="shared" si="2"/>
      </c>
      <c r="L15" s="178" t="s">
        <v>523</v>
      </c>
      <c r="M15" s="173">
        <v>4</v>
      </c>
    </row>
    <row r="16">
      <c r="A16" s="185" t="s">
        <v>527</v>
      </c>
      <c r="B16" s="182"/>
      <c r="C16" s="182"/>
      <c r="D16" s="182">
        <f>D14+D15</f>
      </c>
      <c r="E16" s="182">
        <f>E14+E15</f>
      </c>
      <c r="F16" s="182">
        <f>F14+F15</f>
      </c>
      <c r="G16" s="182">
        <f>G14+G15</f>
      </c>
      <c r="H16" s="182">
        <f>H14+H15</f>
      </c>
      <c r="I16" s="183">
        <f t="shared" si="1"/>
      </c>
      <c r="J16" s="183">
        <f t="shared" si="0"/>
      </c>
      <c r="K16" s="183">
        <f t="shared" si="2"/>
      </c>
      <c r="L16" s="183"/>
      <c r="M16" s="182">
        <f>SUM(M14:M15)</f>
      </c>
    </row>
    <row r="17">
      <c r="A17" s="173" t="s">
        <v>529</v>
      </c>
      <c r="B17" s="173" t="s">
        <v>517</v>
      </c>
      <c r="C17" s="173" t="s">
        <v>530</v>
      </c>
      <c r="D17" s="174">
        <v>4</v>
      </c>
      <c r="E17" s="173">
        <v>74</v>
      </c>
      <c r="F17" s="175">
        <v>7</v>
      </c>
      <c r="G17" s="184">
        <v>37529.11</v>
      </c>
      <c r="H17" s="184">
        <v>25582.93</v>
      </c>
      <c r="I17" s="177">
        <f t="shared" si="1"/>
      </c>
      <c r="J17" s="177">
        <f t="shared" si="0"/>
      </c>
      <c r="K17" s="177">
        <f t="shared" si="2"/>
      </c>
      <c r="L17" s="178" t="s">
        <v>531</v>
      </c>
      <c r="M17" s="173">
        <v>2</v>
      </c>
    </row>
    <row r="18">
      <c r="A18" s="173" t="s">
        <v>529</v>
      </c>
      <c r="B18" s="173" t="s">
        <v>514</v>
      </c>
      <c r="C18" s="173" t="s">
        <v>532</v>
      </c>
      <c r="D18" s="174">
        <v>4</v>
      </c>
      <c r="E18" s="173">
        <v>34</v>
      </c>
      <c r="F18" s="175">
        <v>3</v>
      </c>
      <c r="G18" s="184">
        <v>15423.21</v>
      </c>
      <c r="H18" s="184">
        <v>11186.84</v>
      </c>
      <c r="I18" s="177">
        <f t="shared" si="1"/>
      </c>
      <c r="J18" s="177">
        <f t="shared" si="0"/>
      </c>
      <c r="K18" s="177">
        <f t="shared" si="2"/>
      </c>
      <c r="L18" s="178" t="s">
        <v>533</v>
      </c>
      <c r="M18" s="173">
        <v>6</v>
      </c>
    </row>
    <row r="19">
      <c r="A19" s="185" t="s">
        <v>529</v>
      </c>
      <c r="B19" s="182"/>
      <c r="C19" s="182"/>
      <c r="D19" s="182">
        <f>D17+D18</f>
      </c>
      <c r="E19" s="182">
        <f>E17+E18</f>
      </c>
      <c r="F19" s="182">
        <f>F17+F18</f>
      </c>
      <c r="G19" s="182">
        <f>G17+G18</f>
      </c>
      <c r="H19" s="182">
        <f>H17+H18</f>
      </c>
      <c r="I19" s="183">
        <f t="shared" si="1"/>
      </c>
      <c r="J19" s="183">
        <f t="shared" si="0"/>
      </c>
      <c r="K19" s="183">
        <f t="shared" si="2"/>
      </c>
      <c r="L19" s="183"/>
      <c r="M19" s="182">
        <f>SUM(M17:M18)</f>
      </c>
    </row>
    <row r="20">
      <c r="A20" s="173" t="s">
        <v>534</v>
      </c>
      <c r="B20" s="173" t="s">
        <v>517</v>
      </c>
      <c r="C20" s="173" t="s">
        <v>530</v>
      </c>
      <c r="D20" s="174">
        <v>4</v>
      </c>
      <c r="E20" s="173">
        <v>76</v>
      </c>
      <c r="F20" s="175">
        <v>8</v>
      </c>
      <c r="G20" s="184">
        <v>36881.76</v>
      </c>
      <c r="H20" s="184">
        <v>23867.29</v>
      </c>
      <c r="I20" s="177">
        <f t="shared" si="1"/>
      </c>
      <c r="J20" s="177">
        <f t="shared" si="0"/>
      </c>
      <c r="K20" s="177">
        <f t="shared" si="2"/>
      </c>
      <c r="L20" s="178"/>
      <c r="M20" s="173"/>
    </row>
    <row r="21">
      <c r="A21" s="173" t="s">
        <v>534</v>
      </c>
      <c r="B21" s="173" t="s">
        <v>514</v>
      </c>
      <c r="C21" s="173" t="s">
        <v>532</v>
      </c>
      <c r="D21" s="174">
        <v>4</v>
      </c>
      <c r="E21" s="173">
        <v>32</v>
      </c>
      <c r="F21" s="175">
        <v>2</v>
      </c>
      <c r="G21" s="184">
        <v>14066.44</v>
      </c>
      <c r="H21" s="184">
        <v>12539.4</v>
      </c>
      <c r="I21" s="177">
        <f t="shared" si="1"/>
      </c>
      <c r="J21" s="177">
        <f t="shared" si="0"/>
      </c>
      <c r="K21" s="177">
        <f t="shared" si="2"/>
      </c>
      <c r="L21" s="178" t="s">
        <v>531</v>
      </c>
      <c r="M21" s="173">
        <v>8</v>
      </c>
    </row>
    <row r="22">
      <c r="A22" s="185" t="s">
        <v>534</v>
      </c>
      <c r="B22" s="182"/>
      <c r="C22" s="182"/>
      <c r="D22" s="182">
        <f>D20+D21</f>
      </c>
      <c r="E22" s="182">
        <f>E20+E21</f>
      </c>
      <c r="F22" s="182">
        <f>F20+F21</f>
      </c>
      <c r="G22" s="182">
        <f>G20+G21</f>
      </c>
      <c r="H22" s="182">
        <f>H20+H21</f>
      </c>
      <c r="I22" s="183">
        <f t="shared" si="1"/>
      </c>
      <c r="J22" s="183">
        <f t="shared" si="0"/>
      </c>
      <c r="K22" s="183">
        <f t="shared" si="2"/>
      </c>
      <c r="L22" s="183"/>
      <c r="M22" s="182">
        <f>SUM(M20:M21)</f>
      </c>
    </row>
    <row r="23">
      <c r="A23" s="173" t="s">
        <v>535</v>
      </c>
      <c r="B23" s="173" t="s">
        <v>514</v>
      </c>
      <c r="C23" s="173" t="s">
        <v>530</v>
      </c>
      <c r="D23" s="174">
        <v>4</v>
      </c>
      <c r="E23" s="173">
        <v>80</v>
      </c>
      <c r="F23" s="175">
        <v>7</v>
      </c>
      <c r="G23" s="184">
        <v>42203.32</v>
      </c>
      <c r="H23" s="184">
        <v>25494.46</v>
      </c>
      <c r="I23" s="177">
        <f t="shared" si="1"/>
      </c>
      <c r="J23" s="177">
        <f t="shared" si="0"/>
      </c>
      <c r="K23" s="177">
        <f t="shared" si="2"/>
      </c>
      <c r="L23" s="178"/>
      <c r="M23" s="173"/>
    </row>
    <row r="24">
      <c r="A24" s="173" t="s">
        <v>535</v>
      </c>
      <c r="B24" s="173" t="s">
        <v>517</v>
      </c>
      <c r="C24" s="173" t="s">
        <v>532</v>
      </c>
      <c r="D24" s="174">
        <v>4</v>
      </c>
      <c r="E24" s="173">
        <v>34</v>
      </c>
      <c r="F24" s="175">
        <v>3</v>
      </c>
      <c r="G24" s="184">
        <v>16404.5</v>
      </c>
      <c r="H24" s="184">
        <v>14278.95</v>
      </c>
      <c r="I24" s="177">
        <f t="shared" si="1"/>
      </c>
      <c r="J24" s="177">
        <f t="shared" si="0"/>
      </c>
      <c r="K24" s="177">
        <f t="shared" si="2"/>
      </c>
      <c r="L24" s="178" t="s">
        <v>531</v>
      </c>
      <c r="M24" s="173">
        <v>8</v>
      </c>
    </row>
    <row r="25">
      <c r="A25" s="185" t="s">
        <v>535</v>
      </c>
      <c r="B25" s="182"/>
      <c r="C25" s="182"/>
      <c r="D25" s="182">
        <f>D23+D24</f>
      </c>
      <c r="E25" s="182">
        <f>E23+E24</f>
      </c>
      <c r="F25" s="182">
        <f>F23+F24</f>
      </c>
      <c r="G25" s="182">
        <f>G23+G24</f>
      </c>
      <c r="H25" s="182">
        <f>H23+H24</f>
      </c>
      <c r="I25" s="183">
        <f t="shared" si="1"/>
      </c>
      <c r="J25" s="183">
        <f t="shared" si="0"/>
      </c>
      <c r="K25" s="183">
        <f t="shared" si="2"/>
      </c>
      <c r="L25" s="183"/>
      <c r="M25" s="182">
        <f>SUM(M23:M24)</f>
      </c>
    </row>
    <row r="26">
      <c r="A26" s="173" t="s">
        <v>536</v>
      </c>
      <c r="B26" s="173" t="s">
        <v>514</v>
      </c>
      <c r="C26" s="173" t="s">
        <v>530</v>
      </c>
      <c r="D26" s="174">
        <v>4</v>
      </c>
      <c r="E26" s="173">
        <v>16</v>
      </c>
      <c r="F26" s="175">
        <v>1</v>
      </c>
      <c r="G26" s="184">
        <v>6620.9</v>
      </c>
      <c r="H26" s="184">
        <v>7475.49</v>
      </c>
      <c r="I26" s="177">
        <f t="shared" si="1"/>
      </c>
      <c r="J26" s="177">
        <f t="shared" si="0"/>
      </c>
      <c r="K26" s="177">
        <f t="shared" si="2"/>
      </c>
      <c r="L26" s="178"/>
      <c r="M26" s="173"/>
    </row>
    <row r="27">
      <c r="A27" s="173" t="s">
        <v>536</v>
      </c>
      <c r="B27" s="173" t="s">
        <v>517</v>
      </c>
      <c r="C27" s="173" t="s">
        <v>532</v>
      </c>
      <c r="D27" s="174">
        <v>4</v>
      </c>
      <c r="E27" s="173">
        <v>39</v>
      </c>
      <c r="F27" s="175">
        <v>6</v>
      </c>
      <c r="G27" s="184">
        <v>15486.39</v>
      </c>
      <c r="H27" s="184">
        <v>11236.39</v>
      </c>
      <c r="I27" s="177">
        <f t="shared" si="1"/>
      </c>
      <c r="J27" s="177">
        <f t="shared" si="0"/>
      </c>
      <c r="K27" s="177">
        <f t="shared" si="2"/>
      </c>
      <c r="L27" s="178" t="s">
        <v>531</v>
      </c>
      <c r="M27" s="173">
        <v>8</v>
      </c>
    </row>
    <row r="28">
      <c r="A28" s="185" t="s">
        <v>536</v>
      </c>
      <c r="B28" s="182"/>
      <c r="C28" s="182"/>
      <c r="D28" s="182">
        <f>D26+D27</f>
      </c>
      <c r="E28" s="182">
        <f>E26+E27</f>
      </c>
      <c r="F28" s="182">
        <f>F26+F27</f>
      </c>
      <c r="G28" s="182">
        <f>G26+G27</f>
      </c>
      <c r="H28" s="182">
        <f>H26+H27</f>
      </c>
      <c r="I28" s="183">
        <f t="shared" si="1"/>
      </c>
      <c r="J28" s="183">
        <f t="shared" si="0"/>
      </c>
      <c r="K28" s="183">
        <f t="shared" si="2"/>
      </c>
      <c r="L28" s="183"/>
      <c r="M28" s="182">
        <f>SUM(M26:M27)</f>
      </c>
    </row>
    <row r="29">
      <c r="A29" s="173" t="s">
        <v>537</v>
      </c>
      <c r="B29" s="173" t="s">
        <v>517</v>
      </c>
      <c r="C29" s="173" t="s">
        <v>530</v>
      </c>
      <c r="D29" s="174">
        <v>4</v>
      </c>
      <c r="E29" s="173">
        <v>42</v>
      </c>
      <c r="F29" s="175">
        <v>1</v>
      </c>
      <c r="G29" s="184">
        <v>16564.81</v>
      </c>
      <c r="H29" s="184">
        <v>16246.3</v>
      </c>
      <c r="I29" s="177">
        <f t="shared" si="1"/>
      </c>
      <c r="J29" s="177">
        <f t="shared" si="0"/>
      </c>
      <c r="K29" s="177">
        <f t="shared" si="2"/>
      </c>
      <c r="L29" s="178"/>
      <c r="M29" s="173"/>
    </row>
    <row r="30">
      <c r="A30" s="173" t="s">
        <v>537</v>
      </c>
      <c r="B30" s="173" t="s">
        <v>514</v>
      </c>
      <c r="C30" s="173" t="s">
        <v>532</v>
      </c>
      <c r="D30" s="174">
        <v>4</v>
      </c>
      <c r="E30" s="173">
        <v>12</v>
      </c>
      <c r="F30" s="175">
        <v>0</v>
      </c>
      <c r="G30" s="184">
        <v>5721.62</v>
      </c>
      <c r="H30" s="184">
        <v>6560</v>
      </c>
      <c r="I30" s="177">
        <f t="shared" si="1"/>
      </c>
      <c r="J30" s="177">
        <f t="shared" si="0"/>
      </c>
      <c r="K30" s="177">
        <f t="shared" si="2"/>
      </c>
      <c r="L30" s="178" t="s">
        <v>531</v>
      </c>
      <c r="M30" s="173">
        <v>8</v>
      </c>
    </row>
    <row r="31">
      <c r="A31" s="185" t="s">
        <v>537</v>
      </c>
      <c r="B31" s="182"/>
      <c r="C31" s="182"/>
      <c r="D31" s="182">
        <f>D29+D30</f>
      </c>
      <c r="E31" s="182">
        <f>E29+E30</f>
      </c>
      <c r="F31" s="182">
        <f>F29+F30</f>
      </c>
      <c r="G31" s="182">
        <f>G29+G30</f>
      </c>
      <c r="H31" s="182">
        <f>H29+H30</f>
      </c>
      <c r="I31" s="183">
        <f t="shared" si="1"/>
      </c>
      <c r="J31" s="183">
        <f t="shared" si="0"/>
      </c>
      <c r="K31" s="183">
        <f t="shared" si="2"/>
      </c>
      <c r="L31" s="183"/>
      <c r="M31" s="182">
        <f>SUM(M29:M30)</f>
      </c>
    </row>
    <row r="32">
      <c r="A32" s="173" t="s">
        <v>538</v>
      </c>
      <c r="B32" s="173" t="s">
        <v>514</v>
      </c>
      <c r="C32" s="173" t="s">
        <v>530</v>
      </c>
      <c r="D32" s="174">
        <v>4</v>
      </c>
      <c r="E32" s="173">
        <v>32</v>
      </c>
      <c r="F32" s="175">
        <v>5</v>
      </c>
      <c r="G32" s="184">
        <v>13121.14</v>
      </c>
      <c r="H32" s="184">
        <v>9390.41</v>
      </c>
      <c r="I32" s="177">
        <f t="shared" si="1"/>
      </c>
      <c r="J32" s="177">
        <f t="shared" si="0"/>
      </c>
      <c r="K32" s="177">
        <f t="shared" si="2"/>
      </c>
      <c r="L32" s="178" t="s">
        <v>531</v>
      </c>
      <c r="M32" s="173">
        <v>4</v>
      </c>
      <c r="N32" s="186"/>
    </row>
    <row r="33">
      <c r="A33" s="185" t="s">
        <v>538</v>
      </c>
      <c r="B33" s="182"/>
      <c r="C33" s="182"/>
      <c r="D33" s="182">
        <f>D32</f>
      </c>
      <c r="E33" s="182">
        <f>E32</f>
      </c>
      <c r="F33" s="182">
        <f>F32</f>
      </c>
      <c r="G33" s="182">
        <f>G32</f>
      </c>
      <c r="H33" s="182">
        <f>H32</f>
      </c>
      <c r="I33" s="183">
        <f t="shared" si="1"/>
      </c>
      <c r="J33" s="183">
        <f t="shared" si="0"/>
      </c>
      <c r="K33" s="183">
        <f t="shared" si="2"/>
      </c>
      <c r="L33" s="183"/>
      <c r="M33" s="182">
        <f>SUM(M32)</f>
      </c>
      <c r="O33" s="186"/>
    </row>
    <row r="34">
      <c r="A34" s="173" t="s">
        <v>539</v>
      </c>
      <c r="B34" s="173" t="s">
        <v>514</v>
      </c>
      <c r="C34" s="173" t="s">
        <v>530</v>
      </c>
      <c r="D34" s="174">
        <v>4</v>
      </c>
      <c r="E34" s="173">
        <v>86</v>
      </c>
      <c r="F34" s="175">
        <v>8</v>
      </c>
      <c r="G34" s="184">
        <v>43439.43</v>
      </c>
      <c r="H34" s="184">
        <v>25128.83</v>
      </c>
      <c r="I34" s="177">
        <f t="shared" si="1"/>
      </c>
      <c r="J34" s="177">
        <f t="shared" si="0"/>
      </c>
      <c r="K34" s="177">
        <f t="shared" si="2"/>
      </c>
      <c r="L34" s="178"/>
      <c r="M34" s="173"/>
      <c r="O34" s="186"/>
    </row>
    <row r="35">
      <c r="A35" s="173" t="s">
        <v>539</v>
      </c>
      <c r="B35" s="187" t="s">
        <v>517</v>
      </c>
      <c r="C35" s="173" t="s">
        <v>532</v>
      </c>
      <c r="D35" s="174">
        <v>4</v>
      </c>
      <c r="E35" s="173">
        <v>43</v>
      </c>
      <c r="F35" s="175">
        <v>5</v>
      </c>
      <c r="G35" s="184">
        <v>24935.07</v>
      </c>
      <c r="H35" s="184">
        <v>12239.09</v>
      </c>
      <c r="I35" s="177">
        <f t="shared" si="1"/>
      </c>
      <c r="J35" s="177">
        <f t="shared" si="0"/>
      </c>
      <c r="K35" s="177">
        <f t="shared" si="2"/>
      </c>
      <c r="L35" s="178" t="s">
        <v>531</v>
      </c>
      <c r="M35" s="173">
        <v>8</v>
      </c>
      <c r="O35" s="186"/>
    </row>
    <row r="36">
      <c r="A36" s="185" t="s">
        <v>539</v>
      </c>
      <c r="B36" s="182"/>
      <c r="C36" s="182"/>
      <c r="D36" s="182">
        <f>D34+D35</f>
      </c>
      <c r="E36" s="182">
        <f>E34+E35</f>
      </c>
      <c r="F36" s="182">
        <f>F34+F35</f>
      </c>
      <c r="G36" s="182">
        <f>G34+G35</f>
      </c>
      <c r="H36" s="182">
        <f>H34+H35</f>
      </c>
      <c r="I36" s="183">
        <f t="shared" si="1"/>
      </c>
      <c r="J36" s="183">
        <f t="shared" si="0"/>
      </c>
      <c r="K36" s="183">
        <f t="shared" si="2"/>
      </c>
      <c r="L36" s="183"/>
      <c r="M36" s="182">
        <f>SUM(M34:M35)</f>
      </c>
    </row>
    <row r="37">
      <c r="A37" s="174" t="s">
        <v>540</v>
      </c>
      <c r="B37" s="188" t="s">
        <v>517</v>
      </c>
      <c r="C37" s="189" t="s">
        <v>530</v>
      </c>
      <c r="D37" s="174">
        <v>4</v>
      </c>
      <c r="E37" s="173">
        <v>52</v>
      </c>
      <c r="F37" s="175">
        <v>5</v>
      </c>
      <c r="G37" s="184">
        <v>25732.86</v>
      </c>
      <c r="H37" s="184">
        <v>20852.01</v>
      </c>
      <c r="I37" s="177">
        <f t="shared" si="1"/>
      </c>
      <c r="J37" s="177">
        <f t="shared" si="0"/>
      </c>
      <c r="K37" s="177">
        <f t="shared" si="2"/>
      </c>
      <c r="L37" s="178"/>
      <c r="M37" s="173"/>
    </row>
    <row r="38">
      <c r="A38" s="174" t="s">
        <v>540</v>
      </c>
      <c r="B38" s="188" t="s">
        <v>514</v>
      </c>
      <c r="C38" s="189" t="s">
        <v>532</v>
      </c>
      <c r="D38" s="174">
        <v>4</v>
      </c>
      <c r="E38" s="173">
        <v>28</v>
      </c>
      <c r="F38" s="175">
        <v>4</v>
      </c>
      <c r="G38" s="184">
        <v>14720.78</v>
      </c>
      <c r="H38" s="184">
        <v>9677.28</v>
      </c>
      <c r="I38" s="177">
        <f t="shared" si="1"/>
      </c>
      <c r="J38" s="177">
        <f t="shared" si="0"/>
      </c>
      <c r="K38" s="177">
        <f t="shared" si="2"/>
      </c>
      <c r="L38" s="178" t="s">
        <v>531</v>
      </c>
      <c r="M38" s="173">
        <v>8</v>
      </c>
    </row>
    <row r="39">
      <c r="A39" s="185" t="s">
        <v>540</v>
      </c>
      <c r="B39" s="190"/>
      <c r="C39" s="182"/>
      <c r="D39" s="182">
        <f>D37+D38</f>
      </c>
      <c r="E39" s="182">
        <f>E37+E38</f>
      </c>
      <c r="F39" s="182">
        <f>F37+F38</f>
      </c>
      <c r="G39" s="182">
        <f>G37+G38</f>
      </c>
      <c r="H39" s="182">
        <f>H37+H38</f>
      </c>
      <c r="I39" s="183">
        <f t="shared" si="1"/>
      </c>
      <c r="J39" s="183">
        <f t="shared" si="0"/>
      </c>
      <c r="K39" s="183">
        <f t="shared" si="2"/>
      </c>
      <c r="L39" s="183"/>
      <c r="M39" s="182">
        <f>SUM(M37:M38)</f>
      </c>
    </row>
    <row r="40">
      <c r="A40" s="174" t="s">
        <v>541</v>
      </c>
      <c r="B40" s="188" t="s">
        <v>517</v>
      </c>
      <c r="C40" s="189" t="s">
        <v>530</v>
      </c>
      <c r="D40" s="174">
        <v>4</v>
      </c>
      <c r="E40" s="173">
        <v>38</v>
      </c>
      <c r="F40" s="175">
        <v>2</v>
      </c>
      <c r="G40" s="184">
        <v>21127.33</v>
      </c>
      <c r="H40" s="184">
        <v>13944.35</v>
      </c>
      <c r="I40" s="177">
        <f t="shared" si="1"/>
      </c>
      <c r="J40" s="177">
        <f t="shared" si="0"/>
      </c>
      <c r="K40" s="177">
        <f t="shared" si="2"/>
      </c>
      <c r="L40" s="178"/>
      <c r="M40" s="173"/>
    </row>
    <row r="41">
      <c r="A41" s="174" t="s">
        <v>541</v>
      </c>
      <c r="B41" s="188" t="s">
        <v>542</v>
      </c>
      <c r="C41" s="189" t="s">
        <v>532</v>
      </c>
      <c r="D41" s="174">
        <v>4</v>
      </c>
      <c r="E41" s="173">
        <v>32</v>
      </c>
      <c r="F41" s="175">
        <v>2</v>
      </c>
      <c r="G41" s="184">
        <v>19997.34</v>
      </c>
      <c r="H41" s="184">
        <v>10097.26</v>
      </c>
      <c r="I41" s="177">
        <f t="shared" si="1"/>
      </c>
      <c r="J41" s="177">
        <f t="shared" si="0"/>
      </c>
      <c r="K41" s="177">
        <f t="shared" si="2"/>
      </c>
      <c r="L41" s="178" t="s">
        <v>531</v>
      </c>
      <c r="M41" s="173">
        <v>8</v>
      </c>
    </row>
    <row r="42">
      <c r="A42" s="185" t="s">
        <v>541</v>
      </c>
      <c r="B42" s="190"/>
      <c r="C42" s="182"/>
      <c r="D42" s="182">
        <f>D40+D41</f>
      </c>
      <c r="E42" s="182">
        <f>E40+E41</f>
      </c>
      <c r="F42" s="182">
        <f>F40+F41</f>
      </c>
      <c r="G42" s="182">
        <f>G40+G41</f>
      </c>
      <c r="H42" s="182">
        <f>H40+H41</f>
      </c>
      <c r="I42" s="183">
        <f t="shared" si="1"/>
      </c>
      <c r="J42" s="183">
        <f t="shared" si="0"/>
      </c>
      <c r="K42" s="183">
        <f t="shared" si="2"/>
      </c>
      <c r="L42" s="183"/>
      <c r="M42" s="182">
        <f>SUM(M40:M41)</f>
      </c>
    </row>
    <row r="43">
      <c r="A43" s="174" t="s">
        <v>543</v>
      </c>
      <c r="B43" s="188" t="s">
        <v>514</v>
      </c>
      <c r="C43" s="189" t="s">
        <v>530</v>
      </c>
      <c r="D43" s="174">
        <v>4</v>
      </c>
      <c r="E43" s="173">
        <v>79</v>
      </c>
      <c r="F43" s="175">
        <v>4</v>
      </c>
      <c r="G43" s="184">
        <v>37243.08</v>
      </c>
      <c r="H43" s="184">
        <v>26935.39</v>
      </c>
      <c r="I43" s="177">
        <f t="shared" si="1"/>
      </c>
      <c r="J43" s="177">
        <f t="shared" si="0"/>
      </c>
      <c r="K43" s="177">
        <f t="shared" si="2"/>
      </c>
      <c r="L43" s="178"/>
      <c r="M43" s="173"/>
    </row>
    <row r="44">
      <c r="A44" s="174" t="s">
        <v>543</v>
      </c>
      <c r="B44" s="188" t="s">
        <v>542</v>
      </c>
      <c r="C44" s="189" t="s">
        <v>532</v>
      </c>
      <c r="D44" s="174">
        <v>4</v>
      </c>
      <c r="E44" s="173">
        <v>75</v>
      </c>
      <c r="F44" s="175">
        <v>5</v>
      </c>
      <c r="G44" s="184">
        <v>43274.23</v>
      </c>
      <c r="H44" s="184">
        <v>23601.22</v>
      </c>
      <c r="I44" s="177">
        <f t="shared" si="1"/>
      </c>
      <c r="J44" s="177">
        <f t="shared" si="0"/>
      </c>
      <c r="K44" s="177">
        <f t="shared" si="2"/>
      </c>
      <c r="L44" s="178" t="s">
        <v>531</v>
      </c>
      <c r="M44" s="173">
        <v>8</v>
      </c>
    </row>
    <row r="45">
      <c r="A45" s="185" t="s">
        <v>543</v>
      </c>
      <c r="B45" s="190"/>
      <c r="C45" s="182"/>
      <c r="D45" s="182">
        <f>D43+D44</f>
      </c>
      <c r="E45" s="182">
        <f>E43+E44</f>
      </c>
      <c r="F45" s="182">
        <f>F43+F44</f>
      </c>
      <c r="G45" s="182">
        <f>G43+G44</f>
      </c>
      <c r="H45" s="182">
        <f>H43+H44</f>
      </c>
      <c r="I45" s="183">
        <f t="shared" si="1"/>
      </c>
      <c r="J45" s="183">
        <f t="shared" si="0"/>
      </c>
      <c r="K45" s="183">
        <f t="shared" si="2"/>
      </c>
      <c r="L45" s="183"/>
      <c r="M45" s="182">
        <f>SUM(M43:M44)</f>
      </c>
    </row>
    <row r="46">
      <c r="A46" s="174" t="s">
        <v>544</v>
      </c>
      <c r="B46" s="188" t="s">
        <v>514</v>
      </c>
      <c r="C46" s="189" t="s">
        <v>530</v>
      </c>
      <c r="D46" s="174">
        <v>4</v>
      </c>
      <c r="E46" s="173">
        <v>28</v>
      </c>
      <c r="F46" s="175">
        <v>1</v>
      </c>
      <c r="G46" s="184">
        <v>11040.04</v>
      </c>
      <c r="H46" s="184">
        <v>10883.78</v>
      </c>
      <c r="I46" s="177">
        <f t="shared" si="1"/>
      </c>
      <c r="J46" s="177">
        <f t="shared" si="0"/>
      </c>
      <c r="K46" s="177">
        <f t="shared" si="2"/>
      </c>
      <c r="L46" s="178" t="s">
        <v>528</v>
      </c>
      <c r="M46" s="173">
        <v>8</v>
      </c>
    </row>
    <row r="47">
      <c r="A47" s="174" t="s">
        <v>544</v>
      </c>
      <c r="B47" s="188" t="s">
        <v>517</v>
      </c>
      <c r="C47" s="189" t="s">
        <v>532</v>
      </c>
      <c r="D47" s="174">
        <v>4</v>
      </c>
      <c r="E47" s="173">
        <v>40</v>
      </c>
      <c r="F47" s="175">
        <v>3</v>
      </c>
      <c r="G47" s="184">
        <v>15806.22</v>
      </c>
      <c r="H47" s="184">
        <v>11664.76</v>
      </c>
      <c r="I47" s="177">
        <f t="shared" si="1"/>
      </c>
      <c r="J47" s="177">
        <f t="shared" si="0"/>
      </c>
      <c r="K47" s="177">
        <f t="shared" si="2"/>
      </c>
      <c r="L47" s="178"/>
      <c r="M47" s="173"/>
    </row>
    <row r="48">
      <c r="A48" s="185" t="s">
        <v>544</v>
      </c>
      <c r="B48" s="190"/>
      <c r="C48" s="182"/>
      <c r="D48" s="182">
        <f>D46+D47</f>
      </c>
      <c r="E48" s="182">
        <f>E46+E47</f>
      </c>
      <c r="F48" s="182">
        <f>F46+F47</f>
      </c>
      <c r="G48" s="182">
        <f>G46+G47</f>
      </c>
      <c r="H48" s="182">
        <f>H46+H47</f>
      </c>
      <c r="I48" s="183">
        <f t="shared" si="1"/>
      </c>
      <c r="J48" s="183">
        <f t="shared" si="0"/>
      </c>
      <c r="K48" s="183">
        <f t="shared" si="2"/>
      </c>
      <c r="L48" s="183"/>
      <c r="M48" s="182">
        <f>SUM(M46:M47)</f>
      </c>
    </row>
    <row r="49">
      <c r="A49" s="174" t="s">
        <v>545</v>
      </c>
      <c r="B49" s="188" t="s">
        <v>517</v>
      </c>
      <c r="C49" s="189" t="s">
        <v>530</v>
      </c>
      <c r="D49" s="174">
        <v>4</v>
      </c>
      <c r="E49" s="173">
        <v>38</v>
      </c>
      <c r="F49" s="175">
        <v>5</v>
      </c>
      <c r="G49" s="184">
        <v>19992.46</v>
      </c>
      <c r="H49" s="184">
        <v>16837.22</v>
      </c>
      <c r="I49" s="177">
        <f t="shared" si="1"/>
      </c>
      <c r="J49" s="177">
        <f t="shared" si="0"/>
      </c>
      <c r="K49" s="177">
        <f t="shared" si="2"/>
      </c>
      <c r="L49" s="178" t="s">
        <v>528</v>
      </c>
      <c r="M49" s="173">
        <v>8</v>
      </c>
    </row>
    <row r="50">
      <c r="A50" s="174" t="s">
        <v>545</v>
      </c>
      <c r="B50" s="188" t="s">
        <v>514</v>
      </c>
      <c r="C50" s="189" t="s">
        <v>532</v>
      </c>
      <c r="D50" s="174">
        <v>4</v>
      </c>
      <c r="E50" s="173">
        <v>32</v>
      </c>
      <c r="F50" s="175">
        <v>3</v>
      </c>
      <c r="G50" s="184">
        <v>19045.66</v>
      </c>
      <c r="H50" s="184">
        <v>9858.08</v>
      </c>
      <c r="I50" s="177">
        <f t="shared" si="1"/>
      </c>
      <c r="J50" s="177">
        <f t="shared" si="0"/>
      </c>
      <c r="K50" s="177">
        <f t="shared" si="2"/>
      </c>
      <c r="L50" s="178"/>
      <c r="M50" s="173"/>
    </row>
    <row r="51">
      <c r="A51" s="185" t="s">
        <v>545</v>
      </c>
      <c r="B51" s="190"/>
      <c r="C51" s="182"/>
      <c r="D51" s="182">
        <f>D49+D50</f>
      </c>
      <c r="E51" s="182">
        <f>E49+E50</f>
      </c>
      <c r="F51" s="182">
        <f>F49+F50</f>
      </c>
      <c r="G51" s="182">
        <f>G49+G50</f>
      </c>
      <c r="H51" s="182">
        <f>H49+H50</f>
      </c>
      <c r="I51" s="183">
        <f t="shared" si="1"/>
      </c>
      <c r="J51" s="183">
        <f t="shared" si="0"/>
      </c>
      <c r="K51" s="183">
        <f t="shared" si="2"/>
      </c>
      <c r="L51" s="183"/>
      <c r="M51" s="182">
        <f>SUM(M49:M50)</f>
      </c>
    </row>
    <row r="52">
      <c r="A52" s="174" t="s">
        <v>546</v>
      </c>
      <c r="B52" s="188" t="s">
        <v>517</v>
      </c>
      <c r="C52" s="189" t="s">
        <v>530</v>
      </c>
      <c r="D52" s="174">
        <v>4</v>
      </c>
      <c r="E52" s="173">
        <v>6</v>
      </c>
      <c r="F52" s="175">
        <v>0</v>
      </c>
      <c r="G52" s="184">
        <v>3102</v>
      </c>
      <c r="H52" s="184">
        <v>4684.04</v>
      </c>
      <c r="I52" s="177">
        <f t="shared" si="1"/>
      </c>
      <c r="J52" s="177">
        <f t="shared" si="0"/>
      </c>
      <c r="K52" s="177">
        <f t="shared" si="2"/>
      </c>
      <c r="L52" s="178" t="s">
        <v>528</v>
      </c>
      <c r="M52" s="173">
        <v>8</v>
      </c>
    </row>
    <row r="53">
      <c r="A53" s="174" t="s">
        <v>546</v>
      </c>
      <c r="B53" s="188" t="s">
        <v>514</v>
      </c>
      <c r="C53" s="189" t="s">
        <v>532</v>
      </c>
      <c r="D53" s="174">
        <v>4</v>
      </c>
      <c r="E53" s="173">
        <v>18</v>
      </c>
      <c r="F53" s="175">
        <v>0</v>
      </c>
      <c r="G53" s="184">
        <v>7528.7</v>
      </c>
      <c r="H53" s="184">
        <v>4737.77</v>
      </c>
      <c r="I53" s="177">
        <f t="shared" si="1"/>
      </c>
      <c r="J53" s="177">
        <f t="shared" si="0"/>
      </c>
      <c r="K53" s="177">
        <f t="shared" si="2"/>
      </c>
      <c r="L53" s="178"/>
      <c r="M53" s="173"/>
    </row>
    <row r="54">
      <c r="A54" s="185" t="s">
        <v>546</v>
      </c>
      <c r="B54" s="190"/>
      <c r="C54" s="182"/>
      <c r="D54" s="182">
        <f>D52+D53</f>
      </c>
      <c r="E54" s="182">
        <f>E52+E53</f>
      </c>
      <c r="F54" s="182">
        <f>F52+F53</f>
      </c>
      <c r="G54" s="182">
        <f>G52+G53</f>
      </c>
      <c r="H54" s="182">
        <f>H52+H53</f>
      </c>
      <c r="I54" s="183">
        <f t="shared" si="1"/>
      </c>
      <c r="J54" s="183">
        <f t="shared" si="0"/>
      </c>
      <c r="K54" s="183">
        <f t="shared" si="2"/>
      </c>
      <c r="L54" s="183"/>
      <c r="M54" s="182">
        <f>SUM(M52:M53)</f>
      </c>
    </row>
    <row r="55">
      <c r="A55" s="174" t="s">
        <v>547</v>
      </c>
      <c r="B55" s="188" t="s">
        <v>514</v>
      </c>
      <c r="C55" s="189" t="s">
        <v>530</v>
      </c>
      <c r="D55" s="174">
        <v>4</v>
      </c>
      <c r="E55" s="173">
        <v>42</v>
      </c>
      <c r="F55" s="175">
        <v>8</v>
      </c>
      <c r="G55" s="184">
        <v>23560.02</v>
      </c>
      <c r="H55" s="184">
        <v>13846.93</v>
      </c>
      <c r="I55" s="177">
        <f t="shared" si="1"/>
      </c>
      <c r="J55" s="177">
        <f t="shared" si="0"/>
      </c>
      <c r="K55" s="177">
        <f t="shared" si="2"/>
      </c>
      <c r="L55" s="178" t="s">
        <v>531</v>
      </c>
      <c r="M55" s="173">
        <v>8</v>
      </c>
    </row>
    <row r="56">
      <c r="A56" s="174" t="s">
        <v>547</v>
      </c>
      <c r="B56" s="188" t="s">
        <v>517</v>
      </c>
      <c r="C56" s="189" t="s">
        <v>532</v>
      </c>
      <c r="D56" s="174">
        <v>4</v>
      </c>
      <c r="E56" s="173">
        <v>19</v>
      </c>
      <c r="F56" s="175">
        <v>2</v>
      </c>
      <c r="G56" s="184">
        <v>8105.46</v>
      </c>
      <c r="H56" s="184">
        <v>5212.91</v>
      </c>
      <c r="I56" s="177">
        <f t="shared" si="1"/>
      </c>
      <c r="J56" s="177">
        <f t="shared" si="0"/>
      </c>
      <c r="K56" s="177">
        <f t="shared" si="2"/>
      </c>
      <c r="L56" s="178"/>
      <c r="M56" s="173"/>
    </row>
    <row r="57">
      <c r="A57" s="185" t="s">
        <v>547</v>
      </c>
      <c r="B57" s="190"/>
      <c r="C57" s="182"/>
      <c r="D57" s="182">
        <f>D55+D56</f>
      </c>
      <c r="E57" s="182">
        <f>E55+E56</f>
      </c>
      <c r="F57" s="182">
        <f>F55+F56</f>
      </c>
      <c r="G57" s="182">
        <f>G55+G56</f>
      </c>
      <c r="H57" s="182">
        <f>H55+H56</f>
      </c>
      <c r="I57" s="183">
        <f t="shared" si="1"/>
      </c>
      <c r="J57" s="183">
        <f t="shared" si="0"/>
      </c>
      <c r="K57" s="183">
        <f t="shared" si="2"/>
      </c>
      <c r="L57" s="183"/>
      <c r="M57" s="182">
        <f>SUM(M55:M56)</f>
      </c>
    </row>
    <row r="58">
      <c r="A58" s="174" t="s">
        <v>548</v>
      </c>
      <c r="B58" s="188" t="s">
        <v>549</v>
      </c>
      <c r="C58" s="189" t="s">
        <v>550</v>
      </c>
      <c r="D58" s="174">
        <v>4</v>
      </c>
      <c r="E58" s="173">
        <v>7</v>
      </c>
      <c r="F58" s="175">
        <v>1</v>
      </c>
      <c r="G58" s="184">
        <v>6596.42</v>
      </c>
      <c r="H58" s="184">
        <v>2811.69</v>
      </c>
      <c r="I58" s="177">
        <f t="shared" si="1"/>
      </c>
      <c r="J58" s="177">
        <f t="shared" si="0"/>
      </c>
      <c r="K58" s="177">
        <f t="shared" si="2"/>
      </c>
      <c r="L58" s="178" t="s">
        <v>521</v>
      </c>
      <c r="M58" s="173">
        <v>8</v>
      </c>
    </row>
    <row r="59">
      <c r="A59" s="174" t="s">
        <v>548</v>
      </c>
      <c r="B59" s="188" t="s">
        <v>514</v>
      </c>
      <c r="C59" s="189" t="s">
        <v>551</v>
      </c>
      <c r="D59" s="174">
        <v>4</v>
      </c>
      <c r="E59" s="173">
        <v>17</v>
      </c>
      <c r="F59" s="175">
        <v>1</v>
      </c>
      <c r="G59" s="184">
        <v>5346.58</v>
      </c>
      <c r="H59" s="184">
        <v>7233.83</v>
      </c>
      <c r="I59" s="177">
        <f t="shared" si="1"/>
      </c>
      <c r="J59" s="177">
        <f t="shared" si="0"/>
      </c>
      <c r="K59" s="177">
        <f t="shared" si="2"/>
      </c>
      <c r="L59" s="178"/>
      <c r="M59" s="173"/>
    </row>
    <row r="60">
      <c r="A60" s="185" t="s">
        <v>548</v>
      </c>
      <c r="B60" s="190"/>
      <c r="C60" s="182"/>
      <c r="D60" s="182">
        <f>D58+D59</f>
      </c>
      <c r="E60" s="182">
        <f>E58+E59</f>
      </c>
      <c r="F60" s="182">
        <f>F58+F59</f>
      </c>
      <c r="G60" s="182">
        <f>G58+G59</f>
      </c>
      <c r="H60" s="182">
        <f>H58+H59</f>
      </c>
      <c r="I60" s="183">
        <f t="shared" si="1"/>
      </c>
      <c r="J60" s="183">
        <f t="shared" si="0"/>
      </c>
      <c r="K60" s="183">
        <f t="shared" si="2"/>
      </c>
      <c r="L60" s="183"/>
      <c r="M60" s="182">
        <f>SUM(M58:M59)</f>
      </c>
    </row>
    <row r="61">
      <c r="A61" s="174" t="s">
        <v>552</v>
      </c>
      <c r="B61" s="188" t="s">
        <v>542</v>
      </c>
      <c r="C61" s="189" t="s">
        <v>550</v>
      </c>
      <c r="D61" s="174">
        <v>4</v>
      </c>
      <c r="E61" s="173">
        <v>20</v>
      </c>
      <c r="F61" s="175">
        <v>2</v>
      </c>
      <c r="G61" s="184">
        <v>10512.94</v>
      </c>
      <c r="H61" s="184">
        <v>5023.02</v>
      </c>
      <c r="I61" s="177">
        <f t="shared" si="1"/>
      </c>
      <c r="J61" s="177">
        <f t="shared" si="0"/>
      </c>
      <c r="K61" s="177">
        <f t="shared" si="2"/>
      </c>
      <c r="L61" s="178" t="s">
        <v>521</v>
      </c>
      <c r="M61" s="173">
        <v>8</v>
      </c>
    </row>
    <row r="62">
      <c r="A62" s="174" t="s">
        <v>552</v>
      </c>
      <c r="B62" s="188" t="s">
        <v>549</v>
      </c>
      <c r="C62" s="189" t="s">
        <v>551</v>
      </c>
      <c r="D62" s="174">
        <v>4</v>
      </c>
      <c r="E62" s="173">
        <v>96</v>
      </c>
      <c r="F62" s="175">
        <v>5</v>
      </c>
      <c r="G62" s="184">
        <v>47832.47</v>
      </c>
      <c r="H62" s="184">
        <v>26125.51</v>
      </c>
      <c r="I62" s="177">
        <f t="shared" si="1"/>
      </c>
      <c r="J62" s="177">
        <f t="shared" si="0"/>
      </c>
      <c r="K62" s="177">
        <f t="shared" si="2"/>
      </c>
      <c r="L62" s="178"/>
      <c r="M62" s="173"/>
    </row>
    <row r="63">
      <c r="A63" s="191" t="s">
        <v>552</v>
      </c>
      <c r="B63" s="192"/>
      <c r="C63" s="193"/>
      <c r="D63" s="193">
        <f>D61+D62</f>
      </c>
      <c r="E63" s="193">
        <f>E61+E62</f>
      </c>
      <c r="F63" s="193">
        <f>F61+F62</f>
      </c>
      <c r="G63" s="193">
        <f>G61+G62</f>
      </c>
      <c r="H63" s="193">
        <f>H61+H62</f>
      </c>
      <c r="I63" s="194">
        <f t="shared" si="1"/>
      </c>
      <c r="J63" s="194">
        <f t="shared" si="0"/>
      </c>
      <c r="K63" s="194">
        <f t="shared" si="2"/>
      </c>
      <c r="L63" s="194"/>
      <c r="M63" s="193">
        <f>SUM(M61:M62)</f>
      </c>
    </row>
    <row r="64">
      <c r="A64" s="195" t="s">
        <v>553</v>
      </c>
      <c r="B64" s="188" t="s">
        <v>549</v>
      </c>
      <c r="C64" s="195" t="s">
        <v>550</v>
      </c>
      <c r="D64" s="195">
        <v>4</v>
      </c>
      <c r="E64" s="195">
        <v>110</v>
      </c>
      <c r="F64" s="195">
        <v>7</v>
      </c>
      <c r="G64" s="196">
        <v>62933.96</v>
      </c>
      <c r="H64" s="196">
        <v>29033.26</v>
      </c>
      <c r="I64" s="197">
        <f t="shared" si="1"/>
      </c>
      <c r="J64" s="197">
        <f t="shared" si="0"/>
      </c>
      <c r="K64" s="197">
        <f t="shared" si="2"/>
      </c>
      <c r="L64" s="198" t="s">
        <v>521</v>
      </c>
      <c r="M64" s="195">
        <v>8</v>
      </c>
      <c r="N64" s="199"/>
    </row>
    <row r="65">
      <c r="A65" s="195" t="s">
        <v>553</v>
      </c>
      <c r="B65" s="188" t="s">
        <v>517</v>
      </c>
      <c r="C65" s="195" t="s">
        <v>551</v>
      </c>
      <c r="D65" s="195">
        <v>4</v>
      </c>
      <c r="E65" s="195">
        <v>70</v>
      </c>
      <c r="F65" s="195">
        <v>9</v>
      </c>
      <c r="G65" s="196">
        <v>37434.5</v>
      </c>
      <c r="H65" s="196">
        <v>26196.62</v>
      </c>
      <c r="I65" s="197">
        <f t="shared" si="1"/>
      </c>
      <c r="J65" s="197">
        <f t="shared" si="0"/>
      </c>
      <c r="K65" s="197">
        <f t="shared" si="2"/>
      </c>
      <c r="L65" s="198"/>
      <c r="M65" s="195"/>
      <c r="N65" s="199"/>
    </row>
    <row r="66">
      <c r="A66" s="200" t="s">
        <v>553</v>
      </c>
      <c r="B66" s="201"/>
      <c r="C66" s="201"/>
      <c r="D66" s="201">
        <f>D64+D65</f>
      </c>
      <c r="E66" s="201">
        <f>E64+E65</f>
      </c>
      <c r="F66" s="201">
        <f>F64+F65</f>
      </c>
      <c r="G66" s="201">
        <f>G64+G65</f>
      </c>
      <c r="H66" s="201">
        <f>H64+H65</f>
      </c>
      <c r="I66" s="202">
        <f t="shared" si="1"/>
      </c>
      <c r="J66" s="202">
        <f t="shared" si="0"/>
      </c>
      <c r="K66" s="202">
        <f t="shared" si="2"/>
      </c>
      <c r="L66" s="202"/>
      <c r="M66" s="201">
        <f>SUM(M64:M65)</f>
      </c>
      <c r="N66" s="199"/>
    </row>
    <row r="67">
      <c r="A67" s="195" t="s">
        <v>554</v>
      </c>
      <c r="B67" s="188" t="s">
        <v>549</v>
      </c>
      <c r="C67" s="195" t="s">
        <v>550</v>
      </c>
      <c r="D67" s="195">
        <v>4</v>
      </c>
      <c r="E67" s="195">
        <v>147</v>
      </c>
      <c r="F67" s="195">
        <v>10</v>
      </c>
      <c r="G67" s="196">
        <v>78394.25</v>
      </c>
      <c r="H67" s="196">
        <v>34657.03</v>
      </c>
      <c r="I67" s="197">
        <f t="shared" si="1"/>
      </c>
      <c r="J67" s="197">
        <f t="shared" si="0"/>
      </c>
      <c r="K67" s="197">
        <f t="shared" si="2"/>
      </c>
      <c r="L67" s="198" t="s">
        <v>521</v>
      </c>
      <c r="M67" s="195">
        <v>8</v>
      </c>
      <c r="N67" s="199"/>
    </row>
    <row r="68">
      <c r="A68" s="195" t="s">
        <v>554</v>
      </c>
      <c r="B68" s="188" t="s">
        <v>517</v>
      </c>
      <c r="C68" s="195" t="s">
        <v>551</v>
      </c>
      <c r="D68" s="195">
        <v>4</v>
      </c>
      <c r="E68" s="195">
        <v>52</v>
      </c>
      <c r="F68" s="195">
        <v>3</v>
      </c>
      <c r="G68" s="196">
        <v>21720.2</v>
      </c>
      <c r="H68" s="196">
        <v>20802.27</v>
      </c>
      <c r="I68" s="197">
        <f t="shared" si="1"/>
      </c>
      <c r="J68" s="197">
        <f t="shared" si="0"/>
      </c>
      <c r="K68" s="197">
        <f t="shared" si="2"/>
      </c>
      <c r="L68" s="198"/>
      <c r="M68" s="195"/>
      <c r="N68" s="199"/>
    </row>
    <row r="69">
      <c r="A69" s="200" t="s">
        <v>554</v>
      </c>
      <c r="B69" s="201"/>
      <c r="C69" s="201"/>
      <c r="D69" s="201">
        <f>D67+D68</f>
      </c>
      <c r="E69" s="201">
        <f>E67+E68</f>
      </c>
      <c r="F69" s="201">
        <f>F67+F68</f>
      </c>
      <c r="G69" s="201">
        <f>G67+G68</f>
      </c>
      <c r="H69" s="201">
        <f>H67+H68</f>
      </c>
      <c r="I69" s="202">
        <f t="shared" si="1"/>
      </c>
      <c r="J69" s="202">
        <f t="shared" si="0"/>
      </c>
      <c r="K69" s="202">
        <f t="shared" si="2"/>
      </c>
      <c r="L69" s="202"/>
      <c r="M69" s="201">
        <f>SUM(M67:M68)</f>
      </c>
      <c r="N69" s="199"/>
    </row>
    <row r="70">
      <c r="A70" s="195" t="s">
        <v>555</v>
      </c>
      <c r="B70" s="188" t="s">
        <v>549</v>
      </c>
      <c r="C70" s="195" t="s">
        <v>556</v>
      </c>
      <c r="D70" s="195">
        <v>5</v>
      </c>
      <c r="E70" s="195">
        <v>242</v>
      </c>
      <c r="F70" s="195">
        <v>18</v>
      </c>
      <c r="G70" s="196">
        <v>132400.63</v>
      </c>
      <c r="H70" s="196">
        <v>61143.54</v>
      </c>
      <c r="I70" s="197">
        <f t="shared" si="1"/>
      </c>
      <c r="J70" s="197">
        <f t="shared" si="0"/>
      </c>
      <c r="K70" s="197">
        <f t="shared" si="2"/>
      </c>
      <c r="L70" s="198" t="s">
        <v>521</v>
      </c>
      <c r="M70" s="195">
        <v>8</v>
      </c>
      <c r="N70" s="199"/>
    </row>
    <row r="71">
      <c r="A71" s="195" t="s">
        <v>555</v>
      </c>
      <c r="B71" s="188" t="s">
        <v>517</v>
      </c>
      <c r="C71" s="195" t="s">
        <v>557</v>
      </c>
      <c r="D71" s="195">
        <v>3</v>
      </c>
      <c r="E71" s="195">
        <v>43</v>
      </c>
      <c r="F71" s="195">
        <v>7</v>
      </c>
      <c r="G71" s="196">
        <v>21948.5</v>
      </c>
      <c r="H71" s="196">
        <v>7623.46</v>
      </c>
      <c r="I71" s="197">
        <f t="shared" si="1"/>
      </c>
      <c r="J71" s="197">
        <f t="shared" si="0"/>
      </c>
      <c r="K71" s="197">
        <f t="shared" si="2"/>
      </c>
      <c r="L71" s="198"/>
      <c r="M71" s="195"/>
      <c r="N71" s="199"/>
    </row>
    <row r="72">
      <c r="A72" s="200" t="s">
        <v>555</v>
      </c>
      <c r="B72" s="201"/>
      <c r="C72" s="201"/>
      <c r="D72" s="201">
        <f>D70+D71</f>
      </c>
      <c r="E72" s="201">
        <f>E70+E71</f>
      </c>
      <c r="F72" s="201">
        <f>F70+F71</f>
      </c>
      <c r="G72" s="201">
        <f>G70+G71</f>
      </c>
      <c r="H72" s="201">
        <f>H70+H71</f>
      </c>
      <c r="I72" s="202">
        <f t="shared" si="1"/>
      </c>
      <c r="J72" s="202">
        <f t="shared" si="0"/>
      </c>
      <c r="K72" s="202">
        <f t="shared" si="2"/>
      </c>
      <c r="L72" s="202"/>
      <c r="M72" s="201">
        <f>SUM(M70:M71)</f>
      </c>
      <c r="N72" s="199"/>
    </row>
    <row r="73">
      <c r="A73" s="195" t="s">
        <v>558</v>
      </c>
      <c r="B73" s="188" t="s">
        <v>549</v>
      </c>
      <c r="C73" s="195" t="s">
        <v>550</v>
      </c>
      <c r="D73" s="195">
        <v>4</v>
      </c>
      <c r="E73" s="195">
        <v>50</v>
      </c>
      <c r="F73" s="195">
        <v>3</v>
      </c>
      <c r="G73" s="196">
        <v>24778.3</v>
      </c>
      <c r="H73" s="196">
        <v>16386.54</v>
      </c>
      <c r="I73" s="197">
        <f t="shared" si="1"/>
      </c>
      <c r="J73" s="197">
        <f t="shared" si="0"/>
      </c>
      <c r="K73" s="197">
        <f t="shared" si="2"/>
      </c>
      <c r="L73" s="198" t="s">
        <v>521</v>
      </c>
      <c r="M73" s="195">
        <v>8</v>
      </c>
      <c r="N73" s="199"/>
    </row>
    <row r="74">
      <c r="A74" s="195" t="s">
        <v>558</v>
      </c>
      <c r="B74" s="188" t="s">
        <v>514</v>
      </c>
      <c r="C74" s="195" t="s">
        <v>551</v>
      </c>
      <c r="D74" s="195">
        <v>4</v>
      </c>
      <c r="E74" s="195">
        <v>49</v>
      </c>
      <c r="F74" s="195">
        <v>7</v>
      </c>
      <c r="G74" s="196">
        <v>28869.96</v>
      </c>
      <c r="H74" s="196">
        <v>11882.24</v>
      </c>
      <c r="I74" s="197">
        <f t="shared" si="1"/>
      </c>
      <c r="J74" s="197">
        <f t="shared" si="0"/>
      </c>
      <c r="K74" s="197">
        <f t="shared" si="2"/>
      </c>
      <c r="L74" s="198"/>
      <c r="M74" s="195"/>
      <c r="N74" s="199"/>
    </row>
    <row r="75">
      <c r="A75" s="200" t="s">
        <v>558</v>
      </c>
      <c r="B75" s="201"/>
      <c r="C75" s="201"/>
      <c r="D75" s="201">
        <f>D73+D74</f>
      </c>
      <c r="E75" s="201">
        <f>E73+E74</f>
      </c>
      <c r="F75" s="201">
        <f>F73+F74</f>
      </c>
      <c r="G75" s="201">
        <f>G73+G74</f>
      </c>
      <c r="H75" s="201">
        <f>H73+H74</f>
      </c>
      <c r="I75" s="202">
        <f t="shared" si="1"/>
      </c>
      <c r="J75" s="202">
        <f t="shared" si="0"/>
      </c>
      <c r="K75" s="202">
        <f t="shared" si="2"/>
      </c>
      <c r="L75" s="202"/>
      <c r="M75" s="201">
        <f>SUM(M73:M74)</f>
      </c>
      <c r="N75" s="199"/>
    </row>
    <row r="76">
      <c r="A76" s="195" t="s">
        <v>559</v>
      </c>
      <c r="B76" s="188" t="s">
        <v>549</v>
      </c>
      <c r="C76" s="195" t="s">
        <v>560</v>
      </c>
      <c r="D76" s="195">
        <v>5</v>
      </c>
      <c r="E76" s="195">
        <v>972</v>
      </c>
      <c r="F76" s="195">
        <v>64</v>
      </c>
      <c r="G76" s="196">
        <v>502326.56</v>
      </c>
      <c r="H76" s="196">
        <v>238258.44</v>
      </c>
      <c r="I76" s="197">
        <f t="shared" si="1"/>
      </c>
      <c r="J76" s="197">
        <f t="shared" si="0"/>
      </c>
      <c r="K76" s="197">
        <f t="shared" si="2"/>
      </c>
      <c r="L76" s="198" t="s">
        <v>521</v>
      </c>
      <c r="M76" s="195">
        <v>8</v>
      </c>
      <c r="N76" s="199"/>
    </row>
    <row r="77">
      <c r="A77" s="195" t="s">
        <v>559</v>
      </c>
      <c r="B77" s="188" t="s">
        <v>561</v>
      </c>
      <c r="C77" s="195" t="s">
        <v>562</v>
      </c>
      <c r="D77" s="195">
        <v>3</v>
      </c>
      <c r="E77" s="195">
        <v>101</v>
      </c>
      <c r="F77" s="195">
        <v>7</v>
      </c>
      <c r="G77" s="196">
        <v>51046.26</v>
      </c>
      <c r="H77" s="196">
        <v>39592.06</v>
      </c>
      <c r="I77" s="197">
        <f t="shared" si="1"/>
      </c>
      <c r="J77" s="197">
        <f t="shared" si="0"/>
      </c>
      <c r="K77" s="197">
        <f t="shared" si="2"/>
      </c>
      <c r="L77" s="198"/>
      <c r="M77" s="195"/>
      <c r="N77" s="199"/>
    </row>
    <row r="78">
      <c r="A78" s="200" t="s">
        <v>559</v>
      </c>
      <c r="B78" s="201"/>
      <c r="C78" s="201"/>
      <c r="D78" s="201">
        <f>D76+D77</f>
      </c>
      <c r="E78" s="201">
        <f>E76+E77</f>
      </c>
      <c r="F78" s="201">
        <f>F76+F77</f>
      </c>
      <c r="G78" s="201">
        <f>G76+G77</f>
      </c>
      <c r="H78" s="201">
        <f>H76+H77</f>
      </c>
      <c r="I78" s="202">
        <f t="shared" si="1"/>
      </c>
      <c r="J78" s="202">
        <f t="shared" si="0"/>
      </c>
      <c r="K78" s="202">
        <f t="shared" si="2"/>
      </c>
      <c r="L78" s="202"/>
      <c r="M78" s="201">
        <f>SUM(M76:M77)</f>
      </c>
      <c r="N78" s="199"/>
    </row>
    <row r="79">
      <c r="N79" s="199"/>
    </row>
    <row r="80"/>
    <row r="81"/>
    <row r="82"/>
    <row r="83"/>
    <row r="84"/>
    <row r="85"/>
    <row r="86"/>
    <row r="87"/>
    <row r="88"/>
    <row r="89"/>
    <row r="90"/>
    <row r="91"/>
    <row r="92"/>
    <row r="93"/>
    <row r="94">
      <c r="I94">
        <f>F94/H94</f>
      </c>
    </row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customHeight="true" ht="16.071428571428573" r="121"/>
    <row customHeight="true" ht="16.071428571428573" r="122"/>
    <row customHeight="true" ht="16.071428571428573" r="123"/>
    <row customHeight="true" ht="16.071428571428573" r="124"/>
    <row customHeight="true" ht="16.071428571428573" r="125"/>
    <row customHeight="true" ht="16.071428571428573" r="126"/>
    <row customHeight="true" ht="16.071428571428573" r="127"/>
    <row customHeight="true" ht="16.071428571428573" r="128"/>
    <row customHeight="true" ht="16.071428571428573" r="129"/>
    <row customHeight="true" ht="16.071428571428573"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s="199"/>
      <c r="B145" s="199"/>
      <c r="C145" s="199"/>
      <c r="D145" s="199"/>
      <c r="E145" s="199"/>
      <c r="F145" s="199"/>
      <c r="G145" s="199"/>
    </row>
    <row r="146">
      <c r="A146" s="203" t="s">
        <v>500</v>
      </c>
      <c r="B146" s="203" t="s">
        <v>501</v>
      </c>
      <c r="C146" s="204" t="s">
        <v>508</v>
      </c>
      <c r="D146" s="205" t="s">
        <v>563</v>
      </c>
      <c r="E146" s="203" t="s">
        <v>506</v>
      </c>
      <c r="F146" s="203" t="s">
        <v>507</v>
      </c>
      <c r="G146" s="203" t="s">
        <v>503</v>
      </c>
      <c r="H146" s="199"/>
    </row>
    <row r="147">
      <c r="A147" s="188" t="s">
        <v>564</v>
      </c>
      <c r="B147" s="195" t="s">
        <v>514</v>
      </c>
      <c r="C147" s="206">
        <f t="shared" ref="C147:C170" si="3">E147/F147</f>
      </c>
      <c r="D147" s="206">
        <f t="shared" ref="D147:D170" si="4">F147/G147</f>
      </c>
      <c r="E147" s="207">
        <v>125827.19</v>
      </c>
      <c r="F147" s="207">
        <v>83726.47</v>
      </c>
      <c r="G147" s="207">
        <v>24</v>
      </c>
      <c r="H147" s="199"/>
    </row>
    <row r="148">
      <c r="A148" s="188"/>
      <c r="B148" s="188" t="s">
        <v>542</v>
      </c>
      <c r="C148" s="206">
        <f t="shared" si="3"/>
      </c>
      <c r="D148" s="206">
        <f t="shared" si="4"/>
      </c>
      <c r="E148" s="207">
        <v>19997.34</v>
      </c>
      <c r="F148" s="207">
        <v>10097.26</v>
      </c>
      <c r="G148" s="207">
        <v>4</v>
      </c>
      <c r="H148" s="199"/>
    </row>
    <row r="149">
      <c r="A149" s="188"/>
      <c r="B149" s="195" t="s">
        <v>517</v>
      </c>
      <c r="C149" s="206">
        <f t="shared" si="3"/>
      </c>
      <c r="D149" s="206">
        <f t="shared" si="4"/>
      </c>
      <c r="E149" s="207">
        <v>120250.95999999999</v>
      </c>
      <c r="F149" s="207">
        <v>88797.09</v>
      </c>
      <c r="G149" s="208">
        <v>24</v>
      </c>
      <c r="H149" s="199"/>
    </row>
    <row customHeight="true" ht="16.071428571428573" r="150">
      <c r="A150" s="209" t="s">
        <v>565</v>
      </c>
      <c r="B150" s="209"/>
      <c r="C150" s="210">
        <f t="shared" si="3"/>
      </c>
      <c r="D150" s="210">
        <f t="shared" si="4"/>
      </c>
      <c r="E150" s="209">
        <f>SUM(E147:E149)</f>
      </c>
      <c r="F150" s="209">
        <f>SUM(F147:F149)</f>
      </c>
      <c r="G150" s="211">
        <f>SUM(G147:G149)</f>
      </c>
      <c r="H150" s="199"/>
    </row>
    <row r="151">
      <c r="A151" s="188" t="s">
        <v>566</v>
      </c>
      <c r="B151" s="195" t="s">
        <v>514</v>
      </c>
      <c r="C151" s="206">
        <f t="shared" si="3"/>
      </c>
      <c r="D151" s="206">
        <f t="shared" si="4"/>
      </c>
      <c r="E151" s="207">
        <v>103764.08</v>
      </c>
      <c r="F151" s="207">
        <v>73495.78000000001</v>
      </c>
      <c r="G151" s="212">
        <v>24</v>
      </c>
      <c r="H151" s="199"/>
    </row>
    <row r="152">
      <c r="A152" s="188"/>
      <c r="B152" s="188" t="s">
        <v>549</v>
      </c>
      <c r="C152" s="206">
        <f t="shared" si="3"/>
      </c>
      <c r="D152" s="206">
        <f t="shared" si="4"/>
      </c>
      <c r="E152" s="207">
        <v>54428.89</v>
      </c>
      <c r="F152" s="207">
        <v>28937.199999999997</v>
      </c>
      <c r="G152" s="208">
        <v>8</v>
      </c>
      <c r="H152" s="199"/>
    </row>
    <row r="153">
      <c r="A153" s="188"/>
      <c r="B153" s="188" t="s">
        <v>542</v>
      </c>
      <c r="C153" s="206">
        <f t="shared" si="3"/>
      </c>
      <c r="D153" s="206">
        <f t="shared" si="4"/>
      </c>
      <c r="E153" s="207">
        <v>53787.170000000006</v>
      </c>
      <c r="F153" s="207">
        <v>28624.24</v>
      </c>
      <c r="G153" s="212">
        <v>8</v>
      </c>
      <c r="H153" s="199"/>
    </row>
    <row r="154">
      <c r="A154" s="188"/>
      <c r="B154" s="188" t="s">
        <v>517</v>
      </c>
      <c r="C154" s="206">
        <f t="shared" si="3"/>
      </c>
      <c r="D154" s="206">
        <f t="shared" si="4"/>
      </c>
      <c r="E154" s="207">
        <f>SUM(E145:E151)</f>
      </c>
      <c r="F154" s="207">
        <f>SUM(F145:F151)</f>
      </c>
      <c r="G154" s="212">
        <v>16</v>
      </c>
      <c r="H154" s="199"/>
    </row>
    <row customHeight="true" ht="16.071428571428573" r="155">
      <c r="A155" s="209" t="s">
        <v>565</v>
      </c>
      <c r="B155" s="209"/>
      <c r="C155" s="210">
        <f t="shared" si="3"/>
      </c>
      <c r="D155" s="210">
        <f t="shared" si="4"/>
      </c>
      <c r="E155" s="210">
        <f>SUM(E151:E154)</f>
      </c>
      <c r="F155" s="210">
        <f>SUM(F151:F154)</f>
      </c>
      <c r="G155" s="211">
        <f>SUM(G151:G154)</f>
      </c>
      <c r="H155" s="199"/>
    </row>
    <row r="156">
      <c r="A156" s="188" t="s">
        <v>567</v>
      </c>
      <c r="B156" s="195" t="s">
        <v>514</v>
      </c>
      <c r="C156" s="206">
        <f t="shared" si="3"/>
      </c>
      <c r="D156" s="206">
        <f t="shared" si="4"/>
      </c>
      <c r="E156" s="207">
        <v>101911.98</v>
      </c>
      <c r="F156" s="207">
        <v>50851.75</v>
      </c>
      <c r="G156" s="212">
        <v>12</v>
      </c>
      <c r="H156" s="199"/>
    </row>
    <row r="157">
      <c r="A157" s="188"/>
      <c r="B157" s="188" t="s">
        <v>549</v>
      </c>
      <c r="C157" s="206">
        <f t="shared" si="3"/>
      </c>
      <c r="D157" s="206">
        <f t="shared" si="4"/>
      </c>
      <c r="E157" s="207">
        <v>923149.73</v>
      </c>
      <c r="F157" s="207">
        <v>441954.02999999997</v>
      </c>
      <c r="G157" s="212">
        <v>27</v>
      </c>
      <c r="H157" s="199"/>
    </row>
    <row r="158">
      <c r="A158" s="188"/>
      <c r="B158" s="188" t="s">
        <v>542</v>
      </c>
      <c r="C158" s="206">
        <f t="shared" si="3"/>
      </c>
      <c r="D158" s="206">
        <f t="shared" si="4"/>
      </c>
      <c r="E158" s="207">
        <v>96102.6</v>
      </c>
      <c r="F158" s="207">
        <v>43391.72</v>
      </c>
      <c r="G158" s="212">
        <v>10</v>
      </c>
      <c r="H158" s="199"/>
    </row>
    <row r="159">
      <c r="A159" s="188"/>
      <c r="B159" s="188" t="s">
        <v>517</v>
      </c>
      <c r="C159" s="206">
        <f t="shared" si="3"/>
      </c>
      <c r="D159" s="206">
        <f t="shared" si="4"/>
      </c>
      <c r="E159" s="207">
        <v>81103.2</v>
      </c>
      <c r="F159" s="207">
        <v>54622.35</v>
      </c>
      <c r="G159" s="212">
        <v>11</v>
      </c>
      <c r="H159" s="199"/>
    </row>
    <row r="160">
      <c r="A160" s="188"/>
      <c r="B160" s="188" t="s">
        <v>561</v>
      </c>
      <c r="C160" s="206">
        <f t="shared" si="3"/>
      </c>
      <c r="D160" s="206">
        <f t="shared" si="4"/>
      </c>
      <c r="E160" s="207">
        <v>70249.47</v>
      </c>
      <c r="F160" s="207">
        <v>54031.64</v>
      </c>
      <c r="G160" s="212">
        <v>6</v>
      </c>
      <c r="H160" s="199"/>
    </row>
    <row r="161">
      <c r="A161" s="209" t="s">
        <v>565</v>
      </c>
      <c r="B161" s="209"/>
      <c r="C161" s="210">
        <f t="shared" si="3"/>
      </c>
      <c r="D161" s="210">
        <f t="shared" si="4"/>
      </c>
      <c r="E161" s="210">
        <f>SUM(E156:E160)</f>
      </c>
      <c r="F161" s="210">
        <f>SUM(F156:F160)</f>
      </c>
      <c r="G161" s="211">
        <f>SUM(G156:G160)</f>
      </c>
      <c r="H161" s="199"/>
    </row>
    <row r="162">
      <c r="A162" s="188" t="s">
        <v>568</v>
      </c>
      <c r="B162" s="195" t="s">
        <v>514</v>
      </c>
      <c r="C162" s="206">
        <f t="shared" si="3"/>
      </c>
      <c r="D162" s="206">
        <f t="shared" si="4"/>
      </c>
      <c r="E162" s="207">
        <v>117966.74999999999</v>
      </c>
      <c r="F162" s="207">
        <v>79305.89000000001</v>
      </c>
      <c r="G162" s="212">
        <v>16</v>
      </c>
      <c r="H162" s="199"/>
    </row>
    <row r="163">
      <c r="A163" s="188"/>
      <c r="B163" s="188" t="s">
        <v>549</v>
      </c>
      <c r="C163" s="206">
        <f t="shared" si="3"/>
      </c>
      <c r="D163" s="206">
        <f t="shared" si="4"/>
      </c>
      <c r="E163" s="207">
        <v>98126.69000000002</v>
      </c>
      <c r="F163" s="207">
        <v>59755.2</v>
      </c>
      <c r="G163" s="212">
        <v>23</v>
      </c>
      <c r="H163" s="199"/>
    </row>
    <row r="164">
      <c r="A164" s="188"/>
      <c r="B164" s="188" t="s">
        <v>542</v>
      </c>
      <c r="C164" s="206">
        <f t="shared" si="3"/>
      </c>
      <c r="D164" s="206">
        <f t="shared" si="4"/>
      </c>
      <c r="E164" s="207">
        <v>77917.29</v>
      </c>
      <c r="F164" s="207">
        <v>39831.37</v>
      </c>
      <c r="G164" s="212">
        <v>8</v>
      </c>
      <c r="H164" s="199"/>
    </row>
    <row r="165">
      <c r="A165" s="188"/>
      <c r="B165" s="188" t="s">
        <v>517</v>
      </c>
      <c r="C165" s="206">
        <f t="shared" si="3"/>
      </c>
      <c r="D165" s="206">
        <f t="shared" si="4"/>
      </c>
      <c r="E165" s="207">
        <v>61151.97</v>
      </c>
      <c r="F165" s="207">
        <v>26931.3</v>
      </c>
      <c r="G165" s="212">
        <v>12</v>
      </c>
      <c r="H165" s="199"/>
    </row>
    <row r="166">
      <c r="A166" s="188"/>
      <c r="B166" s="188" t="s">
        <v>561</v>
      </c>
      <c r="C166" s="206">
        <f t="shared" si="3"/>
      </c>
      <c r="D166" s="206">
        <f t="shared" si="4"/>
      </c>
      <c r="E166" s="207">
        <v>63374.46</v>
      </c>
      <c r="F166" s="207">
        <v>43902.54</v>
      </c>
      <c r="G166" s="212">
        <v>23</v>
      </c>
      <c r="H166" s="199"/>
    </row>
    <row r="167">
      <c r="A167" s="209" t="s">
        <v>565</v>
      </c>
      <c r="B167" s="209"/>
      <c r="C167" s="210">
        <f t="shared" si="3"/>
      </c>
      <c r="D167" s="210">
        <f t="shared" si="4"/>
      </c>
      <c r="E167" s="210">
        <f>SUM(E162:E166)</f>
      </c>
      <c r="F167" s="210">
        <f>SUM(F162:F166)</f>
      </c>
      <c r="G167" s="211">
        <f>SUM(G162:G166)</f>
      </c>
      <c r="H167" s="199"/>
    </row>
    <row r="168">
      <c r="A168" s="207"/>
      <c r="B168" s="207"/>
      <c r="C168" s="206">
        <f t="shared" si="3"/>
      </c>
      <c r="D168" s="206">
        <f t="shared" si="4"/>
      </c>
      <c r="E168" s="207"/>
      <c r="F168" s="207"/>
      <c r="G168" s="208"/>
      <c r="H168" s="199"/>
    </row>
    <row r="169">
      <c r="A169" s="207"/>
      <c r="B169" s="207"/>
      <c r="C169" s="206">
        <f t="shared" si="3"/>
      </c>
      <c r="D169" s="206">
        <f t="shared" si="4"/>
      </c>
      <c r="E169" s="207"/>
      <c r="F169" s="207"/>
      <c r="G169" s="208"/>
      <c r="H169" s="199"/>
    </row>
    <row r="170">
      <c r="A170" s="207"/>
      <c r="B170" s="207"/>
      <c r="C170" s="206">
        <f t="shared" si="3"/>
      </c>
      <c r="D170" s="206">
        <f t="shared" si="4"/>
      </c>
      <c r="E170" s="207"/>
      <c r="F170" s="207"/>
      <c r="G170" s="208"/>
      <c r="H170" s="199"/>
    </row>
    <row r="171">
      <c r="A171" s="199"/>
      <c r="B171" s="199"/>
      <c r="C171" s="199"/>
      <c r="D171" s="199"/>
      <c r="E171" s="199"/>
      <c r="F171" s="199"/>
      <c r="G171" s="199"/>
    </row>
  </sheetData>
  <mergeCells>
    <mergeCell ref="A147:A149"/>
    <mergeCell ref="A151:A154"/>
    <mergeCell ref="A156:A160"/>
    <mergeCell ref="A162:A166"/>
  </mergeCells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8" min="8" style="0" width="11.211267605633802"/>
    <col collapsed="false" customWidth="true" hidden="false" max="12" min="12" style="0" width="8.507042253521126"/>
    <col collapsed="false" customWidth="true" hidden="false" max="16" min="16" style="0" width="8.507042253521126"/>
    <col collapsed="false" customWidth="true" hidden="false" max="19" min="19" style="0" width="8.507042253521126"/>
    <col collapsed="false" customWidth="true" hidden="false" max="20" min="20" style="0" width="10.535211267605634"/>
    <col collapsed="false" customWidth="true" hidden="false" max="24" min="24" style="0" width="8.507042253521126"/>
    <col collapsed="false" customWidth="true" hidden="false" max="7" min="7" style="0" width="11.211267605633802"/>
    <col collapsed="false" customWidth="true" hidden="false" max="11" min="11" style="0" width="7.380281690140845"/>
    <col collapsed="false" customWidth="true" hidden="false" max="15" min="15" style="0" width="10.084507042253522"/>
    <col collapsed="false" customWidth="true" hidden="false" max="23" min="23" style="0" width="8.507042253521126"/>
    <col collapsed="false" customWidth="true" hidden="false" max="6" min="6" style="0" width="11.211267605633802"/>
    <col collapsed="false" customWidth="true" hidden="false" max="10" min="10" style="0" width="11.211267605633802"/>
    <col collapsed="false" customWidth="true" hidden="false" max="14" min="14" style="0" width="10.535211267605634"/>
    <col collapsed="false" customWidth="true" hidden="false" max="18" min="18" style="0" width="8.507042253521126"/>
    <col collapsed="false" customWidth="true" hidden="false" max="22" min="22" style="0" width="8.507042253521126"/>
    <col collapsed="false" customWidth="true" hidden="false" max="9" min="9" style="0" width="11.211267605633802"/>
    <col collapsed="false" customWidth="true" hidden="false" max="13" min="13" style="0" width="8.507042253521126"/>
    <col collapsed="false" customWidth="true" hidden="false" max="17" min="17" style="0" width="8.507042253521126"/>
    <col collapsed="false" customWidth="true" hidden="false" max="21" min="21" style="0" width="10.084507042253522"/>
    <col collapsed="false" customWidth="true" hidden="false" max="25" min="25" style="0" width="8.507042253521126"/>
  </cols>
  <sheetData>
    <row r="1"/>
    <row r="2"/>
    <row r="3">
      <c r="A3" s="213">
        <v>6</v>
      </c>
      <c r="I3" s="213">
        <v>7</v>
      </c>
    </row>
    <row r="4">
      <c r="A4" s="214" t="s">
        <v>569</v>
      </c>
      <c r="B4" s="215" t="s">
        <v>570</v>
      </c>
      <c r="C4" s="215" t="s">
        <v>571</v>
      </c>
      <c r="D4" s="215" t="s">
        <v>572</v>
      </c>
      <c r="E4" s="215" t="s">
        <v>573</v>
      </c>
      <c r="F4" s="215" t="s">
        <v>574</v>
      </c>
      <c r="G4" s="215" t="s">
        <v>575</v>
      </c>
      <c r="N4" s="215" t="s">
        <v>574</v>
      </c>
      <c r="O4" s="215" t="s">
        <v>575</v>
      </c>
      <c r="Q4" s="216" t="s">
        <v>576</v>
      </c>
      <c r="R4" s="216" t="s">
        <v>577</v>
      </c>
      <c r="S4" s="216" t="s">
        <v>578</v>
      </c>
      <c r="T4" s="216" t="s">
        <v>579</v>
      </c>
      <c r="U4" s="216" t="s">
        <v>580</v>
      </c>
      <c r="V4" s="216" t="s">
        <v>581</v>
      </c>
      <c r="W4" s="216" t="s">
        <v>582</v>
      </c>
      <c r="X4" s="216" t="s">
        <v>574</v>
      </c>
      <c r="Y4" s="216" t="s">
        <v>583</v>
      </c>
    </row>
    <row r="5">
      <c r="A5" s="217" t="s">
        <v>584</v>
      </c>
      <c r="B5">
        <v>4</v>
      </c>
      <c r="C5">
        <v>18692.16</v>
      </c>
      <c r="D5">
        <v>16001.689999999999</v>
      </c>
      <c r="E5">
        <v>31</v>
      </c>
      <c r="F5">
        <v>1000.9092727272728</v>
      </c>
      <c r="G5" s="218">
        <f t="shared" ref="G5:G11" si="0">C5/D5</f>
      </c>
      <c r="N5" s="213">
        <f t="shared" ref="N5:N13" si="4">M5/K5</f>
      </c>
      <c r="O5" s="218">
        <f t="shared" ref="O5:O13" si="22">L5/M5</f>
      </c>
      <c r="Q5" s="219" t="s">
        <v>585</v>
      </c>
      <c r="R5" s="220">
        <v>369.5</v>
      </c>
      <c r="S5" s="221">
        <v>10691</v>
      </c>
      <c r="T5" s="222">
        <v>6491356.47</v>
      </c>
      <c r="U5" s="222">
        <v>3162807.6600000006</v>
      </c>
      <c r="V5" s="223">
        <f t="shared" ref="V5:V6" si="35">T5/U5</f>
      </c>
      <c r="W5" s="224">
        <f t="shared" ref="W5:W6" si="2">U5/R5</f>
      </c>
      <c r="X5" s="223">
        <f t="shared" ref="X5:X6" si="13">U5/S5</f>
      </c>
      <c r="Y5" s="225">
        <f t="shared" ref="Y5:Y6" si="23">T5/S5</f>
      </c>
    </row>
    <row r="6">
      <c r="A6" s="217" t="s">
        <v>586</v>
      </c>
      <c r="B6">
        <v>115</v>
      </c>
      <c r="C6">
        <v>1784368.3000000003</v>
      </c>
      <c r="D6">
        <v>955844.0900000001</v>
      </c>
      <c r="E6">
        <v>3265</v>
      </c>
      <c r="F6">
        <v>8935.019976068344</v>
      </c>
      <c r="G6" s="218">
        <f t="shared" si="0"/>
      </c>
      <c r="N6" s="213">
        <f t="shared" si="4"/>
      </c>
      <c r="O6" s="218">
        <f t="shared" si="22"/>
      </c>
      <c r="Q6" s="219" t="s">
        <v>587</v>
      </c>
      <c r="R6" s="220">
        <v>436</v>
      </c>
      <c r="S6" s="221">
        <v>7037</v>
      </c>
      <c r="T6" s="222">
        <v>4110662.1500000004</v>
      </c>
      <c r="U6" s="222">
        <v>2159656.43</v>
      </c>
      <c r="V6" s="223">
        <f t="shared" si="35"/>
      </c>
      <c r="W6" s="224">
        <f t="shared" si="2"/>
      </c>
      <c r="X6" s="223">
        <f t="shared" si="13"/>
      </c>
      <c r="Y6" s="225">
        <f t="shared" si="23"/>
      </c>
    </row>
    <row r="7">
      <c r="A7" s="217" t="s">
        <v>588</v>
      </c>
      <c r="B7">
        <v>73</v>
      </c>
      <c r="C7">
        <v>766903.4000000001</v>
      </c>
      <c r="D7">
        <v>429240.83999999997</v>
      </c>
      <c r="E7">
        <v>1222</v>
      </c>
      <c r="F7">
        <v>7514.6398609960015</v>
      </c>
      <c r="G7" s="218">
        <f t="shared" si="0"/>
      </c>
      <c r="N7" s="213">
        <f t="shared" si="4"/>
      </c>
      <c r="O7" s="218">
        <f t="shared" si="22"/>
      </c>
      <c r="Q7" s="226" t="s">
        <v>589</v>
      </c>
      <c r="R7" s="227">
        <f>R6/R5-1</f>
      </c>
      <c r="S7" s="227">
        <f>S6/S5-1</f>
      </c>
      <c r="T7" s="227">
        <f>T6/T5-1</f>
      </c>
      <c r="U7" s="227">
        <f>U6/U5-1</f>
      </c>
      <c r="V7" s="227">
        <f>V6/V5-1</f>
      </c>
      <c r="W7" s="227">
        <f>W6/W5-1</f>
      </c>
      <c r="X7" s="227">
        <f>X6/X5-1</f>
      </c>
      <c r="Y7" s="227">
        <f>Y6/Y5-1</f>
      </c>
    </row>
    <row r="8">
      <c r="A8" s="217" t="s">
        <v>590</v>
      </c>
      <c r="B8">
        <v>22</v>
      </c>
      <c r="C8">
        <v>616882.7199999997</v>
      </c>
      <c r="D8">
        <v>277389.74</v>
      </c>
      <c r="E8">
        <v>960</v>
      </c>
      <c r="F8">
        <v>1747.0249747896592</v>
      </c>
      <c r="G8" s="218">
        <f t="shared" si="0"/>
      </c>
      <c r="N8" s="213">
        <f t="shared" si="4"/>
      </c>
      <c r="O8" s="218">
        <f t="shared" si="22"/>
      </c>
    </row>
    <row r="9">
      <c r="A9" s="217" t="s">
        <v>591</v>
      </c>
      <c r="B9">
        <v>31</v>
      </c>
      <c r="C9">
        <v>1943988.7100000002</v>
      </c>
      <c r="D9">
        <v>817121.5600000002</v>
      </c>
      <c r="E9">
        <v>2925</v>
      </c>
      <c r="F9">
        <v>2351.4888787030477</v>
      </c>
      <c r="G9" s="218">
        <f t="shared" si="0"/>
      </c>
      <c r="N9" s="213">
        <f t="shared" si="4"/>
      </c>
      <c r="O9" s="218">
        <f t="shared" si="22"/>
      </c>
    </row>
    <row r="10">
      <c r="A10" s="217" t="s">
        <v>592</v>
      </c>
      <c r="B10">
        <v>3</v>
      </c>
      <c r="C10">
        <v>8395.36</v>
      </c>
      <c r="D10">
        <v>9096.08</v>
      </c>
      <c r="E10">
        <v>18</v>
      </c>
      <c r="F10">
        <v>505.3377777777778</v>
      </c>
      <c r="G10" s="218">
        <f t="shared" si="0"/>
      </c>
      <c r="N10" s="213">
        <f t="shared" si="4"/>
      </c>
      <c r="O10" s="218">
        <f t="shared" si="22"/>
      </c>
    </row>
    <row r="11">
      <c r="A11" s="217" t="s">
        <v>593</v>
      </c>
      <c r="B11">
        <v>121.5</v>
      </c>
      <c r="C11">
        <v>1352125.8199999996</v>
      </c>
      <c r="D11">
        <v>658113.66</v>
      </c>
      <c r="E11">
        <v>2270</v>
      </c>
      <c r="F11">
        <v>8654.632021491494</v>
      </c>
      <c r="G11" s="218">
        <f t="shared" si="0"/>
      </c>
      <c r="N11" s="213">
        <f t="shared" si="4"/>
      </c>
      <c r="O11" s="218">
        <f t="shared" si="22"/>
      </c>
    </row>
    <row r="12">
      <c r="A12" s="228" t="s">
        <v>594</v>
      </c>
      <c r="B12" s="228">
        <f>SUM(B5:B11)</f>
      </c>
      <c r="C12" s="228">
        <f>SUM(C5:C11)</f>
      </c>
      <c r="D12" s="228">
        <f>SUM(D5:D11)</f>
      </c>
      <c r="E12" s="228">
        <f>SUM(E5:E11)</f>
      </c>
      <c r="N12" s="213">
        <f t="shared" si="4"/>
      </c>
      <c r="O12" s="218">
        <f t="shared" si="22"/>
      </c>
    </row>
    <row r="13">
      <c r="N13" s="213">
        <f t="shared" si="4"/>
      </c>
      <c r="O13" s="218">
        <f t="shared" si="22"/>
      </c>
    </row>
    <row r="14"/>
    <row r="15"/>
    <row r="16"/>
    <row r="17">
      <c r="J17">
        <v>1</v>
      </c>
      <c r="K17">
        <v>2</v>
      </c>
      <c r="L17">
        <v>892.8000000000029</v>
      </c>
      <c r="M17">
        <v>2590.77</v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>
      <c r="A34" s="229" t="s">
        <v>576</v>
      </c>
      <c r="B34" s="229" t="s">
        <v>569</v>
      </c>
      <c r="C34" s="229" t="s">
        <v>595</v>
      </c>
      <c r="D34" s="229" t="s">
        <v>577</v>
      </c>
      <c r="E34" s="229" t="s">
        <v>596</v>
      </c>
      <c r="F34" s="229" t="s">
        <v>597</v>
      </c>
      <c r="G34" s="229" t="s">
        <v>598</v>
      </c>
      <c r="H34" s="230" t="s">
        <v>581</v>
      </c>
      <c r="I34" s="230" t="s">
        <v>599</v>
      </c>
      <c r="J34" s="230" t="s">
        <v>574</v>
      </c>
    </row>
    <row r="35">
      <c r="A35" s="231" t="s">
        <v>600</v>
      </c>
      <c r="B35" s="231" t="s">
        <v>586</v>
      </c>
      <c r="C35" s="232" t="s">
        <v>601</v>
      </c>
      <c r="D35" s="232">
        <v>5</v>
      </c>
      <c r="E35" s="232">
        <v>177</v>
      </c>
      <c r="F35" s="233">
        <v>89823.91</v>
      </c>
      <c r="G35" s="233">
        <v>50466.060000000005</v>
      </c>
      <c r="H35" s="234">
        <f t="shared" ref="H35:H58" si="27">F35/G35</f>
      </c>
      <c r="I35" s="234">
        <f t="shared" ref="I35:I58" si="14">F35/E35</f>
      </c>
      <c r="J35" s="234">
        <f t="shared" ref="J35:J58" si="5">G35/E35</f>
      </c>
    </row>
    <row r="36">
      <c r="A36" s="231" t="s">
        <v>602</v>
      </c>
      <c r="B36" s="235" t="s">
        <v>586</v>
      </c>
      <c r="C36" s="232" t="s">
        <v>603</v>
      </c>
      <c r="D36" s="232">
        <v>4</v>
      </c>
      <c r="E36" s="232">
        <v>174</v>
      </c>
      <c r="F36" s="233">
        <v>92822.96999999997</v>
      </c>
      <c r="G36" s="233">
        <v>43676.869999999995</v>
      </c>
      <c r="H36" s="234">
        <f t="shared" si="27"/>
      </c>
      <c r="I36" s="234">
        <f t="shared" si="14"/>
      </c>
      <c r="J36" s="234">
        <f t="shared" si="5"/>
      </c>
    </row>
    <row r="37">
      <c r="A37" s="231" t="s">
        <v>604</v>
      </c>
      <c r="B37" s="235" t="s">
        <v>586</v>
      </c>
      <c r="C37" s="232" t="s">
        <v>605</v>
      </c>
      <c r="D37" s="232">
        <v>4</v>
      </c>
      <c r="E37" s="232">
        <v>84</v>
      </c>
      <c r="F37" s="233">
        <v>43983.580000000016</v>
      </c>
      <c r="G37" s="233">
        <v>29508.21</v>
      </c>
      <c r="H37" s="234">
        <f t="shared" si="27"/>
      </c>
      <c r="I37" s="234">
        <f t="shared" si="14"/>
      </c>
      <c r="J37" s="234">
        <f t="shared" si="5"/>
      </c>
    </row>
    <row r="38">
      <c r="A38" s="231" t="s">
        <v>606</v>
      </c>
      <c r="B38" s="231" t="s">
        <v>586</v>
      </c>
      <c r="C38" s="232" t="s">
        <v>607</v>
      </c>
      <c r="D38" s="232">
        <v>4</v>
      </c>
      <c r="E38" s="232">
        <v>27</v>
      </c>
      <c r="F38" s="233">
        <v>15746.89</v>
      </c>
      <c r="G38" s="233">
        <v>10776.75</v>
      </c>
      <c r="H38" s="234">
        <f t="shared" si="27"/>
      </c>
      <c r="I38" s="234">
        <f t="shared" si="14"/>
      </c>
      <c r="J38" s="234">
        <f t="shared" si="5"/>
      </c>
    </row>
    <row r="39">
      <c r="A39" s="231" t="s">
        <v>608</v>
      </c>
      <c r="B39" s="231" t="s">
        <v>586</v>
      </c>
      <c r="C39" s="232" t="s">
        <v>609</v>
      </c>
      <c r="D39" s="232">
        <v>5</v>
      </c>
      <c r="E39" s="232">
        <v>84</v>
      </c>
      <c r="F39" s="233">
        <v>36842.20000000001</v>
      </c>
      <c r="G39" s="233">
        <v>25468.269999999997</v>
      </c>
      <c r="H39" s="234">
        <f t="shared" si="27"/>
      </c>
      <c r="I39" s="234">
        <f t="shared" si="14"/>
      </c>
      <c r="J39" s="234">
        <f t="shared" si="5"/>
      </c>
    </row>
    <row r="40">
      <c r="A40" s="231" t="s">
        <v>610</v>
      </c>
      <c r="B40" s="231" t="s">
        <v>586</v>
      </c>
      <c r="C40" s="232" t="s">
        <v>611</v>
      </c>
      <c r="D40" s="232">
        <v>4</v>
      </c>
      <c r="E40" s="232">
        <v>51</v>
      </c>
      <c r="F40" s="233">
        <v>26805.439999999988</v>
      </c>
      <c r="G40" s="233">
        <v>18894.48</v>
      </c>
      <c r="H40" s="234">
        <f t="shared" si="27"/>
      </c>
      <c r="I40" s="234">
        <f t="shared" si="14"/>
      </c>
      <c r="J40" s="234">
        <f t="shared" si="5"/>
      </c>
    </row>
    <row r="41">
      <c r="A41" s="231" t="s">
        <v>612</v>
      </c>
      <c r="B41" s="231" t="s">
        <v>586</v>
      </c>
      <c r="C41" s="232" t="s">
        <v>611</v>
      </c>
      <c r="D41" s="232">
        <v>4</v>
      </c>
      <c r="E41" s="232">
        <v>34</v>
      </c>
      <c r="F41" s="233">
        <v>18972.00999999998</v>
      </c>
      <c r="G41" s="233">
        <v>13405.75</v>
      </c>
      <c r="H41" s="234">
        <f t="shared" si="27"/>
      </c>
      <c r="I41" s="234">
        <f t="shared" si="14"/>
      </c>
      <c r="J41" s="234">
        <f t="shared" si="5"/>
      </c>
    </row>
    <row r="42">
      <c r="A42" s="231" t="s">
        <v>613</v>
      </c>
      <c r="B42" s="231" t="s">
        <v>586</v>
      </c>
      <c r="C42" s="232" t="s">
        <v>614</v>
      </c>
      <c r="D42" s="232">
        <v>5</v>
      </c>
      <c r="E42" s="232">
        <v>94</v>
      </c>
      <c r="F42" s="233">
        <v>59834.63999999999</v>
      </c>
      <c r="G42" s="233">
        <v>31304.769999999997</v>
      </c>
      <c r="H42" s="234">
        <f t="shared" si="27"/>
      </c>
      <c r="I42" s="234">
        <f t="shared" si="14"/>
      </c>
      <c r="J42" s="234">
        <f t="shared" si="5"/>
      </c>
    </row>
    <row r="43">
      <c r="A43" s="231" t="s">
        <v>615</v>
      </c>
      <c r="B43" s="231" t="s">
        <v>586</v>
      </c>
      <c r="C43" s="232" t="s">
        <v>616</v>
      </c>
      <c r="D43" s="232">
        <v>4</v>
      </c>
      <c r="E43" s="232">
        <v>124</v>
      </c>
      <c r="F43" s="233">
        <v>69011.52</v>
      </c>
      <c r="G43" s="233">
        <v>38783.579999999994</v>
      </c>
      <c r="H43" s="234">
        <f t="shared" si="27"/>
      </c>
      <c r="I43" s="234">
        <f t="shared" si="14"/>
      </c>
      <c r="J43" s="234">
        <f t="shared" si="5"/>
      </c>
    </row>
    <row r="44">
      <c r="A44" s="231" t="s">
        <v>617</v>
      </c>
      <c r="B44" s="235" t="s">
        <v>586</v>
      </c>
      <c r="C44" s="232" t="s">
        <v>611</v>
      </c>
      <c r="D44" s="232">
        <v>4</v>
      </c>
      <c r="E44" s="232">
        <v>55</v>
      </c>
      <c r="F44" s="233">
        <v>19177.42</v>
      </c>
      <c r="G44" s="233">
        <v>16981.590000000004</v>
      </c>
      <c r="H44" s="234">
        <f t="shared" si="27"/>
      </c>
      <c r="I44" s="234">
        <f t="shared" si="14"/>
      </c>
      <c r="J44" s="234">
        <f t="shared" si="5"/>
      </c>
    </row>
    <row r="45">
      <c r="A45" s="231" t="s">
        <v>618</v>
      </c>
      <c r="B45" s="231" t="s">
        <v>586</v>
      </c>
      <c r="C45" s="232" t="s">
        <v>616</v>
      </c>
      <c r="D45" s="232">
        <v>4</v>
      </c>
      <c r="E45" s="232">
        <v>87</v>
      </c>
      <c r="F45" s="233">
        <v>46621.62</v>
      </c>
      <c r="G45" s="233">
        <v>21725.379999999997</v>
      </c>
      <c r="H45" s="234">
        <f t="shared" si="27"/>
      </c>
      <c r="I45" s="234">
        <f t="shared" si="14"/>
      </c>
      <c r="J45" s="234">
        <f t="shared" si="5"/>
      </c>
    </row>
    <row r="46">
      <c r="A46" s="236" t="s">
        <v>619</v>
      </c>
      <c r="B46" s="236" t="s">
        <v>586</v>
      </c>
      <c r="C46" s="231" t="s">
        <v>620</v>
      </c>
      <c r="D46" s="231">
        <v>3.5</v>
      </c>
      <c r="E46" s="236">
        <v>72</v>
      </c>
      <c r="F46" s="237">
        <v>35352.54000000001</v>
      </c>
      <c r="G46" s="237">
        <v>24157.949999999997</v>
      </c>
      <c r="H46" s="238">
        <f t="shared" si="27"/>
      </c>
      <c r="I46" s="238">
        <f t="shared" si="14"/>
      </c>
      <c r="J46" s="238">
        <f t="shared" si="5"/>
      </c>
    </row>
    <row r="47">
      <c r="A47" s="231" t="s">
        <v>621</v>
      </c>
      <c r="B47" s="235" t="s">
        <v>586</v>
      </c>
      <c r="C47" s="232" t="s">
        <v>622</v>
      </c>
      <c r="D47" s="232">
        <v>4</v>
      </c>
      <c r="E47" s="232">
        <v>31</v>
      </c>
      <c r="F47" s="233">
        <v>18526.81</v>
      </c>
      <c r="G47" s="233">
        <v>13645.37</v>
      </c>
      <c r="H47" s="234">
        <f t="shared" si="27"/>
      </c>
      <c r="I47" s="234">
        <f t="shared" si="14"/>
      </c>
      <c r="J47" s="234">
        <f t="shared" si="5"/>
      </c>
    </row>
    <row r="48">
      <c r="A48" s="231" t="s">
        <v>623</v>
      </c>
      <c r="B48" s="231" t="s">
        <v>586</v>
      </c>
      <c r="C48" s="232" t="s">
        <v>616</v>
      </c>
      <c r="D48" s="232">
        <v>4</v>
      </c>
      <c r="E48" s="232">
        <v>30</v>
      </c>
      <c r="F48" s="233">
        <v>18123.839999999997</v>
      </c>
      <c r="G48" s="233">
        <v>10847.53</v>
      </c>
      <c r="H48" s="234">
        <f t="shared" si="27"/>
      </c>
      <c r="I48" s="234">
        <f t="shared" si="14"/>
      </c>
      <c r="J48" s="234">
        <f t="shared" si="5"/>
      </c>
    </row>
    <row r="49">
      <c r="A49" s="231" t="s">
        <v>624</v>
      </c>
      <c r="B49" s="231" t="s">
        <v>586</v>
      </c>
      <c r="C49" s="232" t="s">
        <v>622</v>
      </c>
      <c r="D49" s="232">
        <v>4</v>
      </c>
      <c r="E49" s="232">
        <v>33</v>
      </c>
      <c r="F49" s="233">
        <v>14890</v>
      </c>
      <c r="G49" s="233">
        <v>11869.65</v>
      </c>
      <c r="H49" s="234">
        <f t="shared" si="27"/>
      </c>
      <c r="I49" s="234">
        <f t="shared" si="14"/>
      </c>
      <c r="J49" s="234">
        <f t="shared" si="5"/>
      </c>
    </row>
    <row r="50">
      <c r="A50" s="231" t="s">
        <v>625</v>
      </c>
      <c r="B50" s="231" t="s">
        <v>586</v>
      </c>
      <c r="C50" s="232" t="s">
        <v>616</v>
      </c>
      <c r="D50" s="232">
        <v>4</v>
      </c>
      <c r="E50" s="232">
        <v>103</v>
      </c>
      <c r="F50" s="233">
        <v>58223.469999999994</v>
      </c>
      <c r="G50" s="233">
        <v>29819.14</v>
      </c>
      <c r="H50" s="234">
        <f t="shared" si="27"/>
      </c>
      <c r="I50" s="234">
        <f t="shared" si="14"/>
      </c>
      <c r="J50" s="234">
        <f t="shared" si="5"/>
      </c>
    </row>
    <row r="51">
      <c r="A51" s="231" t="s">
        <v>626</v>
      </c>
      <c r="B51" s="231" t="s">
        <v>586</v>
      </c>
      <c r="C51" s="232" t="s">
        <v>614</v>
      </c>
      <c r="D51" s="232">
        <v>5</v>
      </c>
      <c r="E51" s="232">
        <v>31</v>
      </c>
      <c r="F51" s="233">
        <v>16867.770000000004</v>
      </c>
      <c r="G51" s="233">
        <v>14929.289999999997</v>
      </c>
      <c r="H51" s="234">
        <f t="shared" si="27"/>
      </c>
      <c r="I51" s="234">
        <f t="shared" si="14"/>
      </c>
      <c r="J51" s="234">
        <f t="shared" si="5"/>
      </c>
    </row>
    <row r="52">
      <c r="A52" s="231" t="s">
        <v>627</v>
      </c>
      <c r="B52" s="231" t="s">
        <v>586</v>
      </c>
      <c r="C52" s="232" t="s">
        <v>616</v>
      </c>
      <c r="D52" s="232">
        <v>4</v>
      </c>
      <c r="E52" s="232">
        <v>30</v>
      </c>
      <c r="F52" s="233">
        <v>11402.449999999999</v>
      </c>
      <c r="G52" s="233">
        <v>10877.890000000001</v>
      </c>
      <c r="H52" s="234">
        <f t="shared" si="27"/>
      </c>
      <c r="I52" s="234">
        <f t="shared" si="14"/>
      </c>
      <c r="J52" s="234">
        <f t="shared" si="5"/>
      </c>
    </row>
    <row r="53">
      <c r="A53" s="231" t="s">
        <v>628</v>
      </c>
      <c r="B53" s="231" t="s">
        <v>586</v>
      </c>
      <c r="C53" s="232" t="s">
        <v>629</v>
      </c>
      <c r="D53" s="232">
        <v>3</v>
      </c>
      <c r="E53" s="232">
        <v>14</v>
      </c>
      <c r="F53" s="233">
        <v>8374.639999999996</v>
      </c>
      <c r="G53" s="233">
        <v>5490.139999999999</v>
      </c>
      <c r="H53" s="234">
        <f t="shared" si="27"/>
      </c>
      <c r="I53" s="234">
        <f t="shared" si="14"/>
      </c>
      <c r="J53" s="234">
        <f t="shared" si="5"/>
      </c>
    </row>
    <row r="54">
      <c r="A54" s="231" t="s">
        <v>630</v>
      </c>
      <c r="B54" s="231" t="s">
        <v>586</v>
      </c>
      <c r="C54" s="232" t="s">
        <v>622</v>
      </c>
      <c r="D54" s="232">
        <v>4</v>
      </c>
      <c r="E54" s="232">
        <v>16</v>
      </c>
      <c r="F54" s="233">
        <v>21074.64</v>
      </c>
      <c r="G54" s="233">
        <v>14203.1</v>
      </c>
      <c r="H54" s="234">
        <f t="shared" si="27"/>
      </c>
      <c r="I54" s="234">
        <f t="shared" si="14"/>
      </c>
      <c r="J54" s="234">
        <f t="shared" si="5"/>
      </c>
    </row>
    <row r="55">
      <c r="A55" s="231" t="s">
        <v>631</v>
      </c>
      <c r="B55" s="231" t="s">
        <v>586</v>
      </c>
      <c r="C55" s="232" t="s">
        <v>632</v>
      </c>
      <c r="D55" s="232">
        <v>4</v>
      </c>
      <c r="E55" s="232">
        <v>43</v>
      </c>
      <c r="F55" s="233">
        <v>14612.36</v>
      </c>
      <c r="G55" s="233">
        <v>13099.58</v>
      </c>
      <c r="H55" s="234">
        <f t="shared" si="27"/>
      </c>
      <c r="I55" s="234">
        <f t="shared" si="14"/>
      </c>
      <c r="J55" s="234">
        <f t="shared" si="5"/>
      </c>
    </row>
    <row r="56">
      <c r="A56" s="231" t="s">
        <v>633</v>
      </c>
      <c r="B56" s="231" t="s">
        <v>586</v>
      </c>
      <c r="C56" s="232" t="s">
        <v>622</v>
      </c>
      <c r="D56" s="232">
        <v>4</v>
      </c>
      <c r="E56" s="232">
        <v>31</v>
      </c>
      <c r="F56" s="233">
        <v>11299.32</v>
      </c>
      <c r="G56" s="233">
        <v>9780.990000000002</v>
      </c>
      <c r="H56" s="234">
        <f t="shared" si="27"/>
      </c>
      <c r="I56" s="234">
        <f t="shared" si="14"/>
      </c>
      <c r="J56" s="234">
        <f t="shared" si="5"/>
      </c>
    </row>
    <row r="57">
      <c r="A57" s="231" t="s">
        <v>634</v>
      </c>
      <c r="B57" s="231" t="s">
        <v>586</v>
      </c>
      <c r="C57" s="231" t="s">
        <v>632</v>
      </c>
      <c r="D57" s="231">
        <v>4</v>
      </c>
      <c r="E57" s="231">
        <v>40</v>
      </c>
      <c r="F57" s="237">
        <v>24312.399999999994</v>
      </c>
      <c r="G57" s="237">
        <v>14387.760000000002</v>
      </c>
      <c r="H57" s="238">
        <f t="shared" si="27"/>
      </c>
      <c r="I57" s="238">
        <f t="shared" si="14"/>
      </c>
      <c r="J57" s="238">
        <f t="shared" si="5"/>
      </c>
    </row>
    <row r="58">
      <c r="A58" s="231" t="s">
        <v>635</v>
      </c>
      <c r="B58" s="235" t="s">
        <v>586</v>
      </c>
      <c r="C58" s="232" t="s">
        <v>616</v>
      </c>
      <c r="D58" s="232">
        <v>4</v>
      </c>
      <c r="E58" s="232">
        <v>38</v>
      </c>
      <c r="F58" s="233">
        <v>15024.759999999998</v>
      </c>
      <c r="G58" s="233">
        <v>15971.23</v>
      </c>
      <c r="H58" s="234">
        <f t="shared" si="27"/>
      </c>
      <c r="I58" s="234">
        <f t="shared" si="14"/>
      </c>
      <c r="J58" s="234">
        <f t="shared" si="5"/>
      </c>
    </row>
    <row r="59"/>
    <row r="60">
      <c r="A60" s="229" t="s">
        <v>576</v>
      </c>
      <c r="B60" s="229" t="s">
        <v>569</v>
      </c>
      <c r="C60" s="229" t="s">
        <v>595</v>
      </c>
      <c r="D60" s="229" t="s">
        <v>577</v>
      </c>
      <c r="E60" s="229" t="s">
        <v>596</v>
      </c>
      <c r="F60" s="229" t="s">
        <v>597</v>
      </c>
      <c r="G60" s="229" t="s">
        <v>598</v>
      </c>
      <c r="H60" s="230" t="s">
        <v>581</v>
      </c>
      <c r="I60" s="230" t="s">
        <v>599</v>
      </c>
      <c r="J60" s="230" t="s">
        <v>574</v>
      </c>
    </row>
    <row r="61">
      <c r="A61" s="236" t="s">
        <v>600</v>
      </c>
      <c r="B61" s="235" t="s">
        <v>588</v>
      </c>
      <c r="C61" s="232" t="s">
        <v>636</v>
      </c>
      <c r="D61" s="232">
        <v>2</v>
      </c>
      <c r="E61" s="232">
        <v>27</v>
      </c>
      <c r="F61" s="233">
        <v>14756.320000000007</v>
      </c>
      <c r="G61" s="233">
        <v>9862.51</v>
      </c>
      <c r="H61" s="234">
        <f t="shared" ref="H61:H83" si="28">F61/G61</f>
      </c>
      <c r="I61" s="234">
        <f t="shared" ref="I61:I83" si="15">F61/E61</f>
      </c>
      <c r="J61" s="234">
        <f t="shared" ref="J61:J83" si="6">G61/E61</f>
      </c>
    </row>
    <row r="62">
      <c r="A62" s="231" t="s">
        <v>606</v>
      </c>
      <c r="B62" s="235" t="s">
        <v>588</v>
      </c>
      <c r="C62" s="232" t="s">
        <v>637</v>
      </c>
      <c r="D62" s="232">
        <v>2</v>
      </c>
      <c r="E62" s="232">
        <v>7</v>
      </c>
      <c r="F62" s="233">
        <v>2430.720000000001</v>
      </c>
      <c r="G62" s="233">
        <v>4183.22</v>
      </c>
      <c r="H62" s="234">
        <f t="shared" si="28"/>
      </c>
      <c r="I62" s="234">
        <f t="shared" si="15"/>
      </c>
      <c r="J62" s="234">
        <f t="shared" si="6"/>
      </c>
    </row>
    <row r="63">
      <c r="A63" s="231" t="s">
        <v>608</v>
      </c>
      <c r="B63" s="235" t="s">
        <v>588</v>
      </c>
      <c r="C63" s="232" t="s">
        <v>603</v>
      </c>
      <c r="D63" s="232">
        <v>4</v>
      </c>
      <c r="E63" s="232">
        <v>40</v>
      </c>
      <c r="F63" s="233">
        <v>25143.95000000001</v>
      </c>
      <c r="G63" s="233">
        <v>13359.580000000002</v>
      </c>
      <c r="H63" s="234">
        <f t="shared" si="28"/>
      </c>
      <c r="I63" s="234">
        <f t="shared" si="15"/>
      </c>
      <c r="J63" s="234">
        <f t="shared" si="6"/>
      </c>
    </row>
    <row r="64">
      <c r="A64" s="231" t="s">
        <v>610</v>
      </c>
      <c r="B64" s="235" t="s">
        <v>588</v>
      </c>
      <c r="C64" s="232" t="s">
        <v>636</v>
      </c>
      <c r="D64" s="232">
        <v>2</v>
      </c>
      <c r="E64" s="232">
        <v>47</v>
      </c>
      <c r="F64" s="233">
        <v>27728.23000000001</v>
      </c>
      <c r="G64" s="233">
        <v>15026.439999999999</v>
      </c>
      <c r="H64" s="234">
        <f t="shared" si="28"/>
      </c>
      <c r="I64" s="234">
        <f t="shared" si="15"/>
      </c>
      <c r="J64" s="234">
        <f t="shared" si="6"/>
      </c>
    </row>
    <row r="65">
      <c r="A65" s="231" t="s">
        <v>612</v>
      </c>
      <c r="B65" s="235" t="s">
        <v>588</v>
      </c>
      <c r="C65" s="232" t="s">
        <v>603</v>
      </c>
      <c r="D65" s="232">
        <v>4</v>
      </c>
      <c r="E65" s="232">
        <v>56</v>
      </c>
      <c r="F65" s="233">
        <v>36735.21000000002</v>
      </c>
      <c r="G65" s="233">
        <v>15366.04</v>
      </c>
      <c r="H65" s="234">
        <f t="shared" si="28"/>
      </c>
      <c r="I65" s="234">
        <f t="shared" si="15"/>
      </c>
      <c r="J65" s="234">
        <f t="shared" si="6"/>
      </c>
    </row>
    <row r="66">
      <c r="A66" s="231" t="s">
        <v>638</v>
      </c>
      <c r="B66" s="235" t="s">
        <v>588</v>
      </c>
      <c r="C66" s="232" t="s">
        <v>605</v>
      </c>
      <c r="D66" s="232">
        <v>4</v>
      </c>
      <c r="E66" s="232">
        <v>26</v>
      </c>
      <c r="F66" s="233">
        <v>16689.29999999999</v>
      </c>
      <c r="G66" s="233">
        <v>6444.36</v>
      </c>
      <c r="H66" s="234">
        <f t="shared" si="28"/>
      </c>
      <c r="I66" s="234">
        <f t="shared" si="15"/>
      </c>
      <c r="J66" s="234">
        <f t="shared" si="6"/>
      </c>
    </row>
    <row r="67">
      <c r="A67" s="231" t="s">
        <v>613</v>
      </c>
      <c r="B67" s="235" t="s">
        <v>588</v>
      </c>
      <c r="C67" s="232" t="s">
        <v>611</v>
      </c>
      <c r="D67" s="232">
        <v>4</v>
      </c>
      <c r="E67" s="232">
        <v>43</v>
      </c>
      <c r="F67" s="233">
        <v>29319.90000000001</v>
      </c>
      <c r="G67" s="233">
        <v>9684.86</v>
      </c>
      <c r="H67" s="234">
        <f t="shared" si="28"/>
      </c>
      <c r="I67" s="234">
        <f t="shared" si="15"/>
      </c>
      <c r="J67" s="234">
        <f t="shared" si="6"/>
      </c>
    </row>
    <row r="68">
      <c r="A68" s="231" t="s">
        <v>617</v>
      </c>
      <c r="B68" s="235" t="s">
        <v>588</v>
      </c>
      <c r="C68" s="232" t="s">
        <v>603</v>
      </c>
      <c r="D68" s="232">
        <v>4</v>
      </c>
      <c r="E68" s="232">
        <v>50</v>
      </c>
      <c r="F68" s="233">
        <v>27907.420000000013</v>
      </c>
      <c r="G68" s="233">
        <v>17303.29</v>
      </c>
      <c r="H68" s="234">
        <f t="shared" si="28"/>
      </c>
      <c r="I68" s="234">
        <f t="shared" si="15"/>
      </c>
      <c r="J68" s="234">
        <f t="shared" si="6"/>
      </c>
    </row>
    <row r="69">
      <c r="A69" s="231" t="s">
        <v>618</v>
      </c>
      <c r="B69" s="235" t="s">
        <v>588</v>
      </c>
      <c r="C69" s="232" t="s">
        <v>611</v>
      </c>
      <c r="D69" s="232">
        <v>4</v>
      </c>
      <c r="E69" s="232">
        <v>71</v>
      </c>
      <c r="F69" s="233">
        <v>42989.69</v>
      </c>
      <c r="G69" s="233">
        <v>20034.739999999998</v>
      </c>
      <c r="H69" s="234">
        <f t="shared" si="28"/>
      </c>
      <c r="I69" s="234">
        <f t="shared" si="15"/>
      </c>
      <c r="J69" s="234">
        <f t="shared" si="6"/>
      </c>
    </row>
    <row r="70">
      <c r="A70" s="236" t="s">
        <v>619</v>
      </c>
      <c r="B70" s="236" t="s">
        <v>588</v>
      </c>
      <c r="C70" s="236" t="s">
        <v>611</v>
      </c>
      <c r="D70" s="236">
        <v>4</v>
      </c>
      <c r="E70" s="231">
        <v>45</v>
      </c>
      <c r="F70" s="237">
        <v>24195.820000000007</v>
      </c>
      <c r="G70" s="237">
        <v>17240.68</v>
      </c>
      <c r="H70" s="238">
        <f t="shared" si="28"/>
      </c>
      <c r="I70" s="238">
        <f t="shared" si="15"/>
      </c>
      <c r="J70" s="238">
        <f t="shared" si="6"/>
      </c>
    </row>
    <row r="71">
      <c r="A71" s="231" t="s">
        <v>639</v>
      </c>
      <c r="B71" s="236" t="s">
        <v>588</v>
      </c>
      <c r="C71" s="231" t="s">
        <v>640</v>
      </c>
      <c r="D71" s="231">
        <v>4</v>
      </c>
      <c r="E71" s="236">
        <v>29</v>
      </c>
      <c r="F71" s="237">
        <v>14364.660000000003</v>
      </c>
      <c r="G71" s="237">
        <v>12034.650000000001</v>
      </c>
      <c r="H71" s="238">
        <f t="shared" si="28"/>
      </c>
      <c r="I71" s="238">
        <f t="shared" si="15"/>
      </c>
      <c r="J71" s="238">
        <f t="shared" si="6"/>
      </c>
    </row>
    <row r="72">
      <c r="A72" s="231" t="s">
        <v>641</v>
      </c>
      <c r="B72" s="235" t="s">
        <v>588</v>
      </c>
      <c r="C72" s="232" t="s">
        <v>607</v>
      </c>
      <c r="D72" s="232">
        <v>4</v>
      </c>
      <c r="E72" s="232">
        <v>63</v>
      </c>
      <c r="F72" s="233">
        <v>32277.76000000001</v>
      </c>
      <c r="G72" s="233">
        <v>17219.670000000002</v>
      </c>
      <c r="H72" s="234">
        <f t="shared" si="28"/>
      </c>
      <c r="I72" s="234">
        <f t="shared" si="15"/>
      </c>
      <c r="J72" s="234">
        <f t="shared" si="6"/>
      </c>
    </row>
    <row r="73">
      <c r="A73" s="231" t="s">
        <v>623</v>
      </c>
      <c r="B73" s="235" t="s">
        <v>588</v>
      </c>
      <c r="C73" s="232" t="s">
        <v>632</v>
      </c>
      <c r="D73" s="232">
        <v>4</v>
      </c>
      <c r="E73" s="232">
        <v>52</v>
      </c>
      <c r="F73" s="233">
        <v>27520.730000000003</v>
      </c>
      <c r="G73" s="233">
        <v>12960.28</v>
      </c>
      <c r="H73" s="234">
        <f t="shared" si="28"/>
      </c>
      <c r="I73" s="234">
        <f t="shared" si="15"/>
      </c>
      <c r="J73" s="234">
        <f t="shared" si="6"/>
      </c>
    </row>
    <row r="74">
      <c r="A74" s="231" t="s">
        <v>624</v>
      </c>
      <c r="B74" s="235" t="s">
        <v>588</v>
      </c>
      <c r="C74" s="232" t="s">
        <v>632</v>
      </c>
      <c r="D74" s="232">
        <v>4</v>
      </c>
      <c r="E74" s="232">
        <v>30</v>
      </c>
      <c r="F74" s="233">
        <v>20796.619999999995</v>
      </c>
      <c r="G74" s="233">
        <v>10228.75</v>
      </c>
      <c r="H74" s="234">
        <f t="shared" si="28"/>
      </c>
      <c r="I74" s="234">
        <f t="shared" si="15"/>
      </c>
      <c r="J74" s="234">
        <f t="shared" si="6"/>
      </c>
    </row>
    <row r="75">
      <c r="A75" s="231" t="s">
        <v>625</v>
      </c>
      <c r="B75" s="235" t="s">
        <v>588</v>
      </c>
      <c r="C75" s="232" t="s">
        <v>632</v>
      </c>
      <c r="D75" s="232">
        <v>4</v>
      </c>
      <c r="E75" s="232">
        <v>58</v>
      </c>
      <c r="F75" s="233">
        <v>35961.54999999999</v>
      </c>
      <c r="G75" s="233">
        <v>16903.170000000002</v>
      </c>
      <c r="H75" s="234">
        <f t="shared" si="28"/>
      </c>
      <c r="I75" s="234">
        <f t="shared" si="15"/>
      </c>
      <c r="J75" s="234">
        <f t="shared" si="6"/>
      </c>
    </row>
    <row r="76">
      <c r="A76" s="231" t="s">
        <v>626</v>
      </c>
      <c r="B76" s="235" t="s">
        <v>588</v>
      </c>
      <c r="C76" s="232" t="s">
        <v>642</v>
      </c>
      <c r="D76" s="232">
        <v>2</v>
      </c>
      <c r="E76" s="232">
        <v>13</v>
      </c>
      <c r="F76" s="233">
        <v>5104.459999999999</v>
      </c>
      <c r="G76" s="233">
        <v>3162.08</v>
      </c>
      <c r="H76" s="234">
        <f t="shared" si="28"/>
      </c>
      <c r="I76" s="234">
        <f t="shared" si="15"/>
      </c>
      <c r="J76" s="234">
        <f t="shared" si="6"/>
      </c>
    </row>
    <row r="77">
      <c r="A77" s="231" t="s">
        <v>627</v>
      </c>
      <c r="B77" s="235" t="s">
        <v>588</v>
      </c>
      <c r="C77" s="232" t="s">
        <v>632</v>
      </c>
      <c r="D77" s="232">
        <v>3</v>
      </c>
      <c r="E77" s="232">
        <v>34</v>
      </c>
      <c r="F77" s="233">
        <v>15919.220000000001</v>
      </c>
      <c r="G77" s="233">
        <v>12176.61</v>
      </c>
      <c r="H77" s="234">
        <f t="shared" si="28"/>
      </c>
      <c r="I77" s="234">
        <f t="shared" si="15"/>
      </c>
      <c r="J77" s="234">
        <f t="shared" si="6"/>
      </c>
    </row>
    <row r="78">
      <c r="A78" s="231" t="s">
        <v>628</v>
      </c>
      <c r="B78" s="235" t="s">
        <v>588</v>
      </c>
      <c r="C78" s="232" t="s">
        <v>611</v>
      </c>
      <c r="D78" s="232">
        <v>4</v>
      </c>
      <c r="E78" s="232">
        <v>25</v>
      </c>
      <c r="F78" s="233">
        <v>5490.139999999999</v>
      </c>
      <c r="G78" s="233">
        <v>5026.83</v>
      </c>
      <c r="H78" s="234">
        <f t="shared" si="28"/>
      </c>
      <c r="I78" s="234">
        <f t="shared" si="15"/>
      </c>
      <c r="J78" s="234">
        <f t="shared" si="6"/>
      </c>
    </row>
    <row r="79">
      <c r="A79" s="231" t="s">
        <v>630</v>
      </c>
      <c r="B79" s="235" t="s">
        <v>588</v>
      </c>
      <c r="C79" s="232" t="s">
        <v>611</v>
      </c>
      <c r="D79" s="232">
        <v>4</v>
      </c>
      <c r="E79" s="232">
        <v>19</v>
      </c>
      <c r="F79" s="233">
        <v>9127.240000000002</v>
      </c>
      <c r="G79" s="233">
        <v>5361.98</v>
      </c>
      <c r="H79" s="234">
        <f t="shared" si="28"/>
      </c>
      <c r="I79" s="234">
        <f t="shared" si="15"/>
      </c>
      <c r="J79" s="234">
        <f t="shared" si="6"/>
      </c>
    </row>
    <row r="80">
      <c r="A80" s="231" t="s">
        <v>631</v>
      </c>
      <c r="B80" s="235" t="s">
        <v>588</v>
      </c>
      <c r="C80" s="232" t="s">
        <v>616</v>
      </c>
      <c r="D80" s="232">
        <v>4</v>
      </c>
      <c r="E80" s="232">
        <v>54</v>
      </c>
      <c r="F80" s="233">
        <v>33875.89</v>
      </c>
      <c r="G80" s="233">
        <v>16002.949999999999</v>
      </c>
      <c r="H80" s="234">
        <f t="shared" si="28"/>
      </c>
      <c r="I80" s="234">
        <f t="shared" si="15"/>
      </c>
      <c r="J80" s="234">
        <f t="shared" si="6"/>
      </c>
    </row>
    <row r="81">
      <c r="A81" s="231" t="s">
        <v>633</v>
      </c>
      <c r="B81" s="235" t="s">
        <v>588</v>
      </c>
      <c r="C81" s="232" t="s">
        <v>616</v>
      </c>
      <c r="D81" s="232">
        <v>4</v>
      </c>
      <c r="E81" s="232">
        <v>60</v>
      </c>
      <c r="F81" s="233">
        <v>33666.340000000004</v>
      </c>
      <c r="G81" s="233">
        <v>15754.91</v>
      </c>
      <c r="H81" s="234">
        <f t="shared" si="28"/>
      </c>
      <c r="I81" s="234">
        <f t="shared" si="15"/>
      </c>
      <c r="J81" s="234">
        <f t="shared" si="6"/>
      </c>
    </row>
    <row r="82">
      <c r="A82" s="231" t="s">
        <v>643</v>
      </c>
      <c r="B82" s="235" t="s">
        <v>588</v>
      </c>
      <c r="C82" s="232" t="s">
        <v>616</v>
      </c>
      <c r="D82" s="232">
        <v>4</v>
      </c>
      <c r="E82" s="232">
        <v>12</v>
      </c>
      <c r="F82" s="233">
        <v>9364.799999999996</v>
      </c>
      <c r="G82" s="233">
        <v>5290</v>
      </c>
      <c r="H82" s="234">
        <f t="shared" si="28"/>
      </c>
      <c r="I82" s="234">
        <f t="shared" si="15"/>
      </c>
      <c r="J82" s="234">
        <f t="shared" si="6"/>
      </c>
    </row>
    <row r="83">
      <c r="A83" s="231" t="s">
        <v>634</v>
      </c>
      <c r="B83" s="235" t="s">
        <v>588</v>
      </c>
      <c r="C83" s="232" t="s">
        <v>616</v>
      </c>
      <c r="D83" s="232">
        <v>4</v>
      </c>
      <c r="E83" s="232">
        <v>40</v>
      </c>
      <c r="F83" s="233">
        <v>19978.340000000004</v>
      </c>
      <c r="G83" s="233">
        <v>12607.3</v>
      </c>
      <c r="H83" s="234">
        <f t="shared" si="28"/>
      </c>
      <c r="I83" s="234">
        <f t="shared" si="15"/>
      </c>
      <c r="J83" s="234">
        <f t="shared" si="6"/>
      </c>
    </row>
    <row r="84"/>
    <row r="85">
      <c r="A85" s="229" t="s">
        <v>576</v>
      </c>
      <c r="B85" s="229" t="s">
        <v>569</v>
      </c>
      <c r="C85" s="229" t="s">
        <v>595</v>
      </c>
      <c r="D85" s="229" t="s">
        <v>577</v>
      </c>
      <c r="E85" s="229" t="s">
        <v>596</v>
      </c>
      <c r="F85" s="229" t="s">
        <v>597</v>
      </c>
      <c r="G85" s="229" t="s">
        <v>598</v>
      </c>
      <c r="H85" s="230" t="s">
        <v>581</v>
      </c>
      <c r="I85" s="230" t="s">
        <v>599</v>
      </c>
      <c r="J85" s="230" t="s">
        <v>574</v>
      </c>
    </row>
    <row r="86">
      <c r="A86" s="231" t="s">
        <v>618</v>
      </c>
      <c r="B86" s="235" t="s">
        <v>644</v>
      </c>
      <c r="C86" s="232" t="s">
        <v>645</v>
      </c>
      <c r="D86" s="232">
        <v>1</v>
      </c>
      <c r="E86" s="232">
        <v>15</v>
      </c>
      <c r="F86" s="233">
        <v>8693.26000000001</v>
      </c>
      <c r="G86" s="233">
        <v>7326.969999999999</v>
      </c>
      <c r="H86" s="234">
        <f t="shared" ref="H86:H90" si="29">F86/G86</f>
      </c>
      <c r="I86" s="234">
        <f t="shared" ref="I86:I90" si="16">F86/E86</f>
      </c>
      <c r="J86" s="234">
        <f t="shared" ref="J86:J90" si="7">G86/E86</f>
      </c>
    </row>
    <row r="87">
      <c r="A87" s="236" t="s">
        <v>619</v>
      </c>
      <c r="B87" s="235" t="s">
        <v>644</v>
      </c>
      <c r="C87" s="236" t="s">
        <v>646</v>
      </c>
      <c r="D87" s="236">
        <v>2</v>
      </c>
      <c r="E87" s="231">
        <v>16</v>
      </c>
      <c r="F87" s="237">
        <v>7098.619999999995</v>
      </c>
      <c r="G87" s="237">
        <v>6868.2300000000005</v>
      </c>
      <c r="H87" s="238">
        <f t="shared" si="29"/>
      </c>
      <c r="I87" s="238">
        <f t="shared" si="16"/>
      </c>
      <c r="J87" s="238">
        <f t="shared" si="7"/>
      </c>
    </row>
    <row r="88">
      <c r="A88" s="231" t="s">
        <v>621</v>
      </c>
      <c r="B88" s="235" t="s">
        <v>644</v>
      </c>
      <c r="C88" s="232" t="s">
        <v>646</v>
      </c>
      <c r="D88" s="232">
        <v>2</v>
      </c>
      <c r="E88" s="232">
        <v>21</v>
      </c>
      <c r="F88" s="233">
        <v>12575.970000000001</v>
      </c>
      <c r="G88" s="233">
        <v>5703.49</v>
      </c>
      <c r="H88" s="234">
        <f t="shared" si="29"/>
      </c>
      <c r="I88" s="234">
        <f t="shared" si="16"/>
      </c>
      <c r="J88" s="234">
        <f t="shared" si="7"/>
      </c>
    </row>
    <row r="89">
      <c r="A89" s="231" t="s">
        <v>623</v>
      </c>
      <c r="B89" s="235" t="s">
        <v>644</v>
      </c>
      <c r="C89" s="232" t="s">
        <v>647</v>
      </c>
      <c r="D89" s="232">
        <v>2</v>
      </c>
      <c r="E89" s="232">
        <v>27</v>
      </c>
      <c r="F89" s="233">
        <v>14855.670000000013</v>
      </c>
      <c r="G89" s="233">
        <v>8470.65</v>
      </c>
      <c r="H89" s="234">
        <f t="shared" si="29"/>
      </c>
      <c r="I89" s="234">
        <f t="shared" si="16"/>
      </c>
      <c r="J89" s="234">
        <f t="shared" si="7"/>
      </c>
    </row>
    <row r="90">
      <c r="A90" s="231" t="s">
        <v>625</v>
      </c>
      <c r="B90" s="235" t="s">
        <v>644</v>
      </c>
      <c r="C90" s="232" t="s">
        <v>647</v>
      </c>
      <c r="D90" s="232">
        <v>2</v>
      </c>
      <c r="E90" s="232">
        <v>9</v>
      </c>
      <c r="F90" s="233">
        <v>4224.640000000014</v>
      </c>
      <c r="G90" s="233">
        <v>5674.56</v>
      </c>
      <c r="H90" s="234">
        <f t="shared" si="29"/>
      </c>
      <c r="I90" s="234">
        <f t="shared" si="16"/>
      </c>
      <c r="J90" s="234">
        <f t="shared" si="7"/>
      </c>
    </row>
    <row r="91"/>
    <row r="92"/>
    <row r="93"/>
    <row r="94">
      <c r="A94" s="229" t="s">
        <v>576</v>
      </c>
      <c r="B94" s="229" t="s">
        <v>569</v>
      </c>
      <c r="C94" s="229" t="s">
        <v>595</v>
      </c>
      <c r="D94" s="229" t="s">
        <v>577</v>
      </c>
      <c r="E94" s="229" t="s">
        <v>596</v>
      </c>
      <c r="F94" s="229" t="s">
        <v>597</v>
      </c>
      <c r="G94" s="229" t="s">
        <v>598</v>
      </c>
      <c r="H94" s="230" t="s">
        <v>581</v>
      </c>
      <c r="I94" s="230" t="s">
        <v>599</v>
      </c>
      <c r="J94" s="230" t="s">
        <v>574</v>
      </c>
    </row>
    <row r="95">
      <c r="A95" s="231" t="s">
        <v>621</v>
      </c>
      <c r="B95" s="235" t="s">
        <v>648</v>
      </c>
      <c r="C95" s="232" t="s">
        <v>649</v>
      </c>
      <c r="D95" s="232">
        <v>3</v>
      </c>
      <c r="E95" s="232">
        <v>38</v>
      </c>
      <c r="F95" s="233">
        <v>18670.51999999999</v>
      </c>
      <c r="G95" s="233">
        <v>13157.75</v>
      </c>
      <c r="H95" s="234">
        <f t="shared" ref="H95:H103" si="30">F95/G95</f>
      </c>
      <c r="I95" s="234">
        <f t="shared" ref="I95:I103" si="17">F95/E95</f>
      </c>
      <c r="J95" s="234">
        <f t="shared" ref="J95:J103" si="8">G95/E95</f>
      </c>
    </row>
    <row r="96">
      <c r="A96" s="231" t="s">
        <v>641</v>
      </c>
      <c r="B96" s="235" t="s">
        <v>648</v>
      </c>
      <c r="C96" s="232" t="s">
        <v>649</v>
      </c>
      <c r="D96" s="232">
        <v>3</v>
      </c>
      <c r="E96" s="232">
        <v>31</v>
      </c>
      <c r="F96" s="233">
        <v>14422.36</v>
      </c>
      <c r="G96" s="233">
        <v>10467.73</v>
      </c>
      <c r="H96" s="234">
        <f t="shared" si="30"/>
      </c>
      <c r="I96" s="234">
        <f t="shared" si="17"/>
      </c>
      <c r="J96" s="234">
        <f t="shared" si="8"/>
      </c>
    </row>
    <row r="97">
      <c r="A97" s="231" t="s">
        <v>623</v>
      </c>
      <c r="B97" s="235" t="s">
        <v>648</v>
      </c>
      <c r="C97" s="232" t="s">
        <v>650</v>
      </c>
      <c r="D97" s="232">
        <v>2.5</v>
      </c>
      <c r="E97" s="232">
        <v>22</v>
      </c>
      <c r="F97" s="233">
        <v>15380.449999999997</v>
      </c>
      <c r="G97" s="233">
        <v>9566.11</v>
      </c>
      <c r="H97" s="234">
        <f t="shared" si="30"/>
      </c>
      <c r="I97" s="234">
        <f t="shared" si="17"/>
      </c>
      <c r="J97" s="234">
        <f t="shared" si="8"/>
      </c>
    </row>
    <row r="98">
      <c r="A98" s="231" t="s">
        <v>625</v>
      </c>
      <c r="B98" s="235" t="s">
        <v>648</v>
      </c>
      <c r="C98" s="232" t="s">
        <v>603</v>
      </c>
      <c r="D98" s="232">
        <v>4</v>
      </c>
      <c r="E98" s="232">
        <v>37</v>
      </c>
      <c r="F98" s="233">
        <v>21042.72999999998</v>
      </c>
      <c r="G98" s="233">
        <v>12750.32</v>
      </c>
      <c r="H98" s="234">
        <f t="shared" si="30"/>
      </c>
      <c r="I98" s="234">
        <f t="shared" si="17"/>
      </c>
      <c r="J98" s="234">
        <f t="shared" si="8"/>
      </c>
    </row>
    <row r="99">
      <c r="A99" s="231" t="s">
        <v>628</v>
      </c>
      <c r="B99" s="235" t="s">
        <v>648</v>
      </c>
      <c r="C99" s="232" t="s">
        <v>651</v>
      </c>
      <c r="D99" s="232">
        <v>3</v>
      </c>
      <c r="E99" s="232">
        <v>35</v>
      </c>
      <c r="F99" s="233">
        <v>20790.019999999997</v>
      </c>
      <c r="G99" s="233">
        <v>11573.46</v>
      </c>
      <c r="H99" s="234">
        <f t="shared" si="30"/>
      </c>
      <c r="I99" s="234">
        <f t="shared" si="17"/>
      </c>
      <c r="J99" s="234">
        <f t="shared" si="8"/>
      </c>
    </row>
    <row r="100">
      <c r="A100" s="231" t="s">
        <v>631</v>
      </c>
      <c r="B100" s="235" t="s">
        <v>648</v>
      </c>
      <c r="C100" s="232" t="s">
        <v>652</v>
      </c>
      <c r="D100" s="232">
        <v>2</v>
      </c>
      <c r="E100" s="232">
        <v>19</v>
      </c>
      <c r="F100" s="233">
        <v>7549.610000000001</v>
      </c>
      <c r="G100" s="233">
        <v>5335.3099999999995</v>
      </c>
      <c r="H100" s="234">
        <f t="shared" si="30"/>
      </c>
      <c r="I100" s="234">
        <f t="shared" si="17"/>
      </c>
      <c r="J100" s="234">
        <f t="shared" si="8"/>
      </c>
    </row>
    <row r="101">
      <c r="A101" s="231" t="s">
        <v>633</v>
      </c>
      <c r="B101" s="235" t="s">
        <v>648</v>
      </c>
      <c r="C101" s="232" t="s">
        <v>605</v>
      </c>
      <c r="D101" s="232">
        <v>4</v>
      </c>
      <c r="E101" s="232">
        <v>23</v>
      </c>
      <c r="F101" s="233">
        <v>14036.279999999999</v>
      </c>
      <c r="G101" s="233">
        <v>9183.5</v>
      </c>
      <c r="H101" s="234">
        <f t="shared" si="30"/>
      </c>
      <c r="I101" s="234">
        <f t="shared" si="17"/>
      </c>
      <c r="J101" s="234">
        <f t="shared" si="8"/>
      </c>
    </row>
    <row r="102">
      <c r="A102" s="231" t="s">
        <v>643</v>
      </c>
      <c r="B102" s="235" t="s">
        <v>648</v>
      </c>
      <c r="C102" s="232" t="s">
        <v>605</v>
      </c>
      <c r="D102" s="232">
        <v>4</v>
      </c>
      <c r="E102" s="232">
        <v>22</v>
      </c>
      <c r="F102" s="233">
        <v>17211.960000000006</v>
      </c>
      <c r="G102" s="233">
        <v>5609.66</v>
      </c>
      <c r="H102" s="234">
        <f t="shared" si="30"/>
      </c>
      <c r="I102" s="234">
        <f t="shared" si="17"/>
      </c>
      <c r="J102" s="234">
        <f t="shared" si="8"/>
      </c>
    </row>
    <row r="103">
      <c r="A103" s="231" t="s">
        <v>634</v>
      </c>
      <c r="B103" s="235" t="s">
        <v>648</v>
      </c>
      <c r="C103" s="232" t="s">
        <v>605</v>
      </c>
      <c r="D103" s="232">
        <v>4</v>
      </c>
      <c r="E103" s="232">
        <v>56</v>
      </c>
      <c r="F103" s="233">
        <v>23914.4</v>
      </c>
      <c r="G103" s="233">
        <v>17515.579999999998</v>
      </c>
      <c r="H103" s="234">
        <f t="shared" si="30"/>
      </c>
      <c r="I103" s="234">
        <f t="shared" si="17"/>
      </c>
      <c r="J103" s="234">
        <f t="shared" si="8"/>
      </c>
    </row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>
      <c r="A119" s="229" t="s">
        <v>576</v>
      </c>
      <c r="B119" s="229" t="s">
        <v>569</v>
      </c>
      <c r="C119" s="229" t="s">
        <v>595</v>
      </c>
      <c r="D119" s="229" t="s">
        <v>577</v>
      </c>
      <c r="E119" s="229" t="s">
        <v>596</v>
      </c>
      <c r="F119" s="229" t="s">
        <v>597</v>
      </c>
      <c r="G119" s="229" t="s">
        <v>598</v>
      </c>
      <c r="H119" s="230" t="s">
        <v>581</v>
      </c>
      <c r="I119" s="230" t="s">
        <v>599</v>
      </c>
      <c r="J119" s="230" t="s">
        <v>574</v>
      </c>
    </row>
    <row r="120">
      <c r="A120" s="231" t="s">
        <v>602</v>
      </c>
      <c r="B120" s="231" t="s">
        <v>590</v>
      </c>
      <c r="C120" s="232" t="s">
        <v>611</v>
      </c>
      <c r="D120" s="232">
        <v>4</v>
      </c>
      <c r="E120" s="232">
        <v>109</v>
      </c>
      <c r="F120" s="233">
        <v>76129.93</v>
      </c>
      <c r="G120" s="233">
        <v>29349.340000000004</v>
      </c>
      <c r="H120" s="234">
        <f t="shared" ref="H120:H123" si="31">F120/G120</f>
      </c>
      <c r="I120" s="234">
        <f t="shared" ref="I120:I123" si="18">F120/E120</f>
      </c>
      <c r="J120" s="234">
        <f t="shared" ref="J120:J123" si="9">G120/E120</f>
      </c>
    </row>
    <row r="121">
      <c r="A121" s="231" t="s">
        <v>604</v>
      </c>
      <c r="B121" s="231" t="s">
        <v>590</v>
      </c>
      <c r="C121" s="232" t="s">
        <v>632</v>
      </c>
      <c r="D121" s="232">
        <v>4</v>
      </c>
      <c r="E121" s="232">
        <v>91</v>
      </c>
      <c r="F121" s="233">
        <v>52196.70000000001</v>
      </c>
      <c r="G121" s="233">
        <v>21035.699999999997</v>
      </c>
      <c r="H121" s="234">
        <f t="shared" si="31"/>
      </c>
      <c r="I121" s="234">
        <f t="shared" si="18"/>
      </c>
      <c r="J121" s="234">
        <f t="shared" si="9"/>
      </c>
    </row>
    <row r="122">
      <c r="A122" s="231" t="s">
        <v>653</v>
      </c>
      <c r="B122" s="231" t="s">
        <v>590</v>
      </c>
      <c r="C122" s="232" t="s">
        <v>640</v>
      </c>
      <c r="D122" s="232">
        <v>4</v>
      </c>
      <c r="E122" s="232">
        <v>27</v>
      </c>
      <c r="F122" s="233">
        <v>13481.730000000003</v>
      </c>
      <c r="G122" s="233">
        <v>9874.849999999999</v>
      </c>
      <c r="H122" s="234">
        <f t="shared" si="31"/>
      </c>
      <c r="I122" s="234">
        <f t="shared" si="18"/>
      </c>
      <c r="J122" s="234">
        <f t="shared" si="9"/>
      </c>
    </row>
    <row r="123">
      <c r="A123" s="231" t="s">
        <v>641</v>
      </c>
      <c r="B123" s="231" t="s">
        <v>590</v>
      </c>
      <c r="C123" s="232" t="s">
        <v>640</v>
      </c>
      <c r="D123" s="232">
        <v>4</v>
      </c>
      <c r="E123" s="232">
        <v>74</v>
      </c>
      <c r="F123" s="233">
        <v>45107.87999999999</v>
      </c>
      <c r="G123" s="233">
        <v>20253.77</v>
      </c>
      <c r="H123" s="234">
        <f t="shared" si="31"/>
      </c>
      <c r="I123" s="234">
        <f t="shared" si="18"/>
      </c>
      <c r="J123" s="234">
        <f t="shared" si="9"/>
      </c>
    </row>
    <row r="124"/>
    <row r="125"/>
    <row r="126"/>
    <row r="127"/>
    <row r="128"/>
    <row r="129"/>
    <row r="130"/>
    <row r="131"/>
    <row r="132"/>
    <row r="133"/>
    <row r="134"/>
    <row r="135"/>
    <row r="136">
      <c r="A136" s="229" t="s">
        <v>576</v>
      </c>
      <c r="B136" s="229" t="s">
        <v>569</v>
      </c>
      <c r="C136" s="229" t="s">
        <v>595</v>
      </c>
      <c r="D136" s="229" t="s">
        <v>577</v>
      </c>
      <c r="E136" s="229" t="s">
        <v>596</v>
      </c>
      <c r="F136" s="229" t="s">
        <v>597</v>
      </c>
      <c r="G136" s="229" t="s">
        <v>598</v>
      </c>
      <c r="H136" s="230" t="s">
        <v>581</v>
      </c>
      <c r="I136" s="230" t="s">
        <v>599</v>
      </c>
      <c r="J136" s="230" t="s">
        <v>574</v>
      </c>
    </row>
    <row r="137">
      <c r="A137" s="231" t="s">
        <v>654</v>
      </c>
      <c r="B137" s="231" t="s">
        <v>591</v>
      </c>
      <c r="C137" s="232" t="s">
        <v>611</v>
      </c>
      <c r="D137" s="236">
        <v>4</v>
      </c>
      <c r="E137" s="231">
        <v>184</v>
      </c>
      <c r="F137" s="237">
        <v>128346.90999999999</v>
      </c>
      <c r="G137" s="237">
        <v>51623.16</v>
      </c>
      <c r="H137" s="238">
        <f t="shared" ref="H137:H148" si="32">F137/G137</f>
      </c>
      <c r="I137" s="238">
        <f t="shared" ref="I137:I148" si="19">F137/E137</f>
      </c>
      <c r="J137" s="238">
        <f t="shared" ref="J137:J148" si="10">G137/E137</f>
      </c>
    </row>
    <row r="138">
      <c r="A138" s="232" t="s">
        <v>600</v>
      </c>
      <c r="B138" s="235" t="s">
        <v>591</v>
      </c>
      <c r="C138" s="232" t="s">
        <v>640</v>
      </c>
      <c r="D138" s="232">
        <v>4</v>
      </c>
      <c r="E138" s="232">
        <v>70</v>
      </c>
      <c r="F138" s="233">
        <v>46083.100000000006</v>
      </c>
      <c r="G138" s="233">
        <v>26157.47</v>
      </c>
      <c r="H138" s="234">
        <f t="shared" si="32"/>
      </c>
      <c r="I138" s="234">
        <f t="shared" si="19"/>
      </c>
      <c r="J138" s="234">
        <f t="shared" si="10"/>
      </c>
    </row>
    <row r="139">
      <c r="A139" s="231" t="s">
        <v>602</v>
      </c>
      <c r="B139" s="231" t="s">
        <v>591</v>
      </c>
      <c r="C139" s="232" t="s">
        <v>601</v>
      </c>
      <c r="D139" s="232">
        <v>5</v>
      </c>
      <c r="E139" s="232">
        <v>215</v>
      </c>
      <c r="F139" s="233">
        <v>149257.78000000003</v>
      </c>
      <c r="G139" s="233">
        <v>64154.130000000005</v>
      </c>
      <c r="H139" s="234">
        <f t="shared" si="32"/>
      </c>
      <c r="I139" s="234">
        <f t="shared" si="19"/>
      </c>
      <c r="J139" s="234">
        <f t="shared" si="10"/>
      </c>
    </row>
    <row r="140">
      <c r="A140" s="231" t="s">
        <v>604</v>
      </c>
      <c r="B140" s="231" t="s">
        <v>591</v>
      </c>
      <c r="C140" s="232" t="s">
        <v>622</v>
      </c>
      <c r="D140" s="232">
        <v>4</v>
      </c>
      <c r="E140" s="232">
        <v>304</v>
      </c>
      <c r="F140" s="233">
        <v>198904.58000000002</v>
      </c>
      <c r="G140" s="233">
        <v>79211.09</v>
      </c>
      <c r="H140" s="234">
        <f t="shared" si="32"/>
      </c>
      <c r="I140" s="234">
        <f t="shared" si="19"/>
      </c>
      <c r="J140" s="234">
        <f t="shared" si="10"/>
      </c>
    </row>
    <row r="141">
      <c r="A141" s="231" t="s">
        <v>606</v>
      </c>
      <c r="B141" s="235" t="s">
        <v>591</v>
      </c>
      <c r="C141" s="232" t="s">
        <v>640</v>
      </c>
      <c r="D141" s="232">
        <v>4</v>
      </c>
      <c r="E141" s="232">
        <v>21</v>
      </c>
      <c r="F141" s="233">
        <v>14502.86</v>
      </c>
      <c r="G141" s="233">
        <v>10346.17</v>
      </c>
      <c r="H141" s="234">
        <f t="shared" si="32"/>
      </c>
      <c r="I141" s="234">
        <f t="shared" si="19"/>
      </c>
      <c r="J141" s="234">
        <f t="shared" si="10"/>
      </c>
    </row>
    <row r="142">
      <c r="A142" s="231" t="s">
        <v>608</v>
      </c>
      <c r="B142" s="235" t="s">
        <v>591</v>
      </c>
      <c r="C142" s="232" t="s">
        <v>640</v>
      </c>
      <c r="D142" s="232">
        <v>4</v>
      </c>
      <c r="E142" s="232">
        <v>95</v>
      </c>
      <c r="F142" s="233">
        <v>65038.999999999985</v>
      </c>
      <c r="G142" s="233">
        <v>31193.42</v>
      </c>
      <c r="H142" s="234">
        <f t="shared" si="32"/>
      </c>
      <c r="I142" s="234">
        <f t="shared" si="19"/>
      </c>
      <c r="J142" s="234">
        <f t="shared" si="10"/>
      </c>
    </row>
    <row r="143">
      <c r="A143" s="231" t="s">
        <v>610</v>
      </c>
      <c r="B143" s="231" t="s">
        <v>591</v>
      </c>
      <c r="C143" s="232" t="s">
        <v>622</v>
      </c>
      <c r="D143" s="232">
        <v>4</v>
      </c>
      <c r="E143" s="232">
        <v>111</v>
      </c>
      <c r="F143" s="233">
        <v>61464.03</v>
      </c>
      <c r="G143" s="233">
        <v>31486.589999999997</v>
      </c>
      <c r="H143" s="234">
        <f t="shared" si="32"/>
      </c>
      <c r="I143" s="234">
        <f t="shared" si="19"/>
      </c>
      <c r="J143" s="234">
        <f t="shared" si="10"/>
      </c>
    </row>
    <row r="144">
      <c r="A144" s="231" t="s">
        <v>612</v>
      </c>
      <c r="B144" s="231" t="s">
        <v>591</v>
      </c>
      <c r="C144" s="232" t="s">
        <v>622</v>
      </c>
      <c r="D144" s="232">
        <v>4</v>
      </c>
      <c r="E144" s="232">
        <v>84</v>
      </c>
      <c r="F144" s="233">
        <v>51990.659999999996</v>
      </c>
      <c r="G144" s="233">
        <v>22240.230000000003</v>
      </c>
      <c r="H144" s="234">
        <f t="shared" si="32"/>
      </c>
      <c r="I144" s="234">
        <f t="shared" si="19"/>
      </c>
      <c r="J144" s="234">
        <f t="shared" si="10"/>
      </c>
    </row>
    <row r="145">
      <c r="A145" s="231" t="s">
        <v>638</v>
      </c>
      <c r="B145" s="231" t="s">
        <v>591</v>
      </c>
      <c r="C145" s="232" t="s">
        <v>614</v>
      </c>
      <c r="D145" s="232">
        <v>5</v>
      </c>
      <c r="E145" s="232">
        <v>53</v>
      </c>
      <c r="F145" s="233">
        <v>30792.90999999999</v>
      </c>
      <c r="G145" s="233">
        <v>18778.13</v>
      </c>
      <c r="H145" s="234">
        <f t="shared" si="32"/>
      </c>
      <c r="I145" s="234">
        <f t="shared" si="19"/>
      </c>
      <c r="J145" s="234">
        <f t="shared" si="10"/>
      </c>
    </row>
    <row r="146">
      <c r="A146" s="231" t="s">
        <v>613</v>
      </c>
      <c r="B146" s="235" t="s">
        <v>591</v>
      </c>
      <c r="C146" s="232" t="s">
        <v>601</v>
      </c>
      <c r="D146" s="232">
        <v>5</v>
      </c>
      <c r="E146" s="232">
        <v>117</v>
      </c>
      <c r="F146" s="233">
        <v>63753.99</v>
      </c>
      <c r="G146" s="233">
        <v>32330.929999999997</v>
      </c>
      <c r="H146" s="234">
        <f t="shared" si="32"/>
      </c>
      <c r="I146" s="234">
        <f t="shared" si="19"/>
      </c>
      <c r="J146" s="234">
        <f t="shared" si="10"/>
      </c>
    </row>
    <row r="147">
      <c r="A147" s="231" t="s">
        <v>615</v>
      </c>
      <c r="B147" s="235" t="s">
        <v>591</v>
      </c>
      <c r="C147" s="232" t="s">
        <v>622</v>
      </c>
      <c r="D147" s="232">
        <v>4</v>
      </c>
      <c r="E147" s="232">
        <v>60</v>
      </c>
      <c r="F147" s="233">
        <v>37656.31</v>
      </c>
      <c r="G147" s="233">
        <v>15915.980000000001</v>
      </c>
      <c r="H147" s="234">
        <f t="shared" si="32"/>
      </c>
      <c r="I147" s="234">
        <f t="shared" si="19"/>
      </c>
      <c r="J147" s="234">
        <f t="shared" si="10"/>
      </c>
    </row>
    <row r="148">
      <c r="A148" s="231" t="s">
        <v>617</v>
      </c>
      <c r="B148" s="231" t="s">
        <v>591</v>
      </c>
      <c r="C148" s="232" t="s">
        <v>614</v>
      </c>
      <c r="D148" s="232">
        <v>5</v>
      </c>
      <c r="E148" s="232">
        <v>21</v>
      </c>
      <c r="F148" s="233">
        <v>9914.809999999998</v>
      </c>
      <c r="G148" s="233">
        <v>9617</v>
      </c>
      <c r="H148" s="234">
        <f t="shared" si="32"/>
      </c>
      <c r="I148" s="234">
        <f t="shared" si="19"/>
      </c>
      <c r="J148" s="234">
        <f t="shared" si="10"/>
      </c>
    </row>
    <row r="149"/>
    <row r="150"/>
    <row r="151"/>
    <row r="152"/>
    <row r="153"/>
    <row r="154"/>
    <row r="155">
      <c r="A155" s="229" t="s">
        <v>576</v>
      </c>
      <c r="B155" s="229" t="s">
        <v>569</v>
      </c>
      <c r="C155" s="229" t="s">
        <v>595</v>
      </c>
      <c r="D155" s="229" t="s">
        <v>577</v>
      </c>
      <c r="E155" s="229" t="s">
        <v>596</v>
      </c>
      <c r="F155" s="229" t="s">
        <v>597</v>
      </c>
      <c r="G155" s="229" t="s">
        <v>598</v>
      </c>
      <c r="H155" s="230" t="s">
        <v>581</v>
      </c>
      <c r="I155" s="230" t="s">
        <v>599</v>
      </c>
      <c r="J155" s="230" t="s">
        <v>574</v>
      </c>
    </row>
    <row r="156">
      <c r="A156" s="231" t="s">
        <v>654</v>
      </c>
      <c r="B156" s="236" t="s">
        <v>593</v>
      </c>
      <c r="C156" s="232" t="s">
        <v>603</v>
      </c>
      <c r="D156" s="236">
        <v>4</v>
      </c>
      <c r="E156" s="236">
        <v>161</v>
      </c>
      <c r="F156" s="237">
        <v>101930.79</v>
      </c>
      <c r="G156" s="239">
        <v>50521.479999999996</v>
      </c>
      <c r="H156" s="238">
        <f t="shared" ref="H156:H184" si="33">F156/G156</f>
      </c>
      <c r="I156" s="238">
        <f t="shared" ref="I156:I184" si="20">F156/E156</f>
      </c>
      <c r="J156" s="238">
        <f t="shared" ref="J156:J184" si="11">G156/E156</f>
      </c>
    </row>
    <row r="157">
      <c r="A157" s="236" t="s">
        <v>600</v>
      </c>
      <c r="B157" s="236" t="s">
        <v>593</v>
      </c>
      <c r="C157" s="232" t="s">
        <v>609</v>
      </c>
      <c r="D157" s="232">
        <v>5</v>
      </c>
      <c r="E157" s="232">
        <v>168</v>
      </c>
      <c r="F157" s="233">
        <v>90586.40999999997</v>
      </c>
      <c r="G157" s="233">
        <v>45878.13</v>
      </c>
      <c r="H157" s="234">
        <f t="shared" si="33"/>
      </c>
      <c r="I157" s="234">
        <f t="shared" si="20"/>
      </c>
      <c r="J157" s="234">
        <f t="shared" si="11"/>
      </c>
    </row>
    <row r="158">
      <c r="A158" s="231" t="s">
        <v>602</v>
      </c>
      <c r="B158" s="235" t="s">
        <v>593</v>
      </c>
      <c r="C158" s="232" t="s">
        <v>614</v>
      </c>
      <c r="D158" s="232">
        <v>5</v>
      </c>
      <c r="E158" s="232">
        <v>160</v>
      </c>
      <c r="F158" s="233">
        <v>119148.77999999997</v>
      </c>
      <c r="G158" s="233">
        <v>50957.479999999996</v>
      </c>
      <c r="H158" s="234">
        <f t="shared" si="33"/>
      </c>
      <c r="I158" s="234">
        <f t="shared" si="20"/>
      </c>
      <c r="J158" s="234">
        <f t="shared" si="11"/>
      </c>
    </row>
    <row r="159">
      <c r="A159" s="231" t="s">
        <v>604</v>
      </c>
      <c r="B159" s="235" t="s">
        <v>593</v>
      </c>
      <c r="C159" s="232" t="s">
        <v>616</v>
      </c>
      <c r="D159" s="232">
        <v>4</v>
      </c>
      <c r="E159" s="232">
        <v>131</v>
      </c>
      <c r="F159" s="233">
        <v>78050.40999999997</v>
      </c>
      <c r="G159" s="233">
        <v>36523.35</v>
      </c>
      <c r="H159" s="234">
        <f t="shared" si="33"/>
      </c>
      <c r="I159" s="234">
        <f t="shared" si="20"/>
      </c>
      <c r="J159" s="234">
        <f t="shared" si="11"/>
      </c>
    </row>
    <row r="160">
      <c r="A160" s="231" t="s">
        <v>606</v>
      </c>
      <c r="B160" s="231" t="s">
        <v>593</v>
      </c>
      <c r="C160" s="232" t="s">
        <v>601</v>
      </c>
      <c r="D160" s="232">
        <v>5</v>
      </c>
      <c r="E160" s="232">
        <v>104</v>
      </c>
      <c r="F160" s="233">
        <v>70229.89</v>
      </c>
      <c r="G160" s="233">
        <v>33576.64</v>
      </c>
      <c r="H160" s="234">
        <f t="shared" si="33"/>
      </c>
      <c r="I160" s="234">
        <f t="shared" si="20"/>
      </c>
      <c r="J160" s="234">
        <f t="shared" si="11"/>
      </c>
    </row>
    <row r="161">
      <c r="A161" s="231" t="s">
        <v>608</v>
      </c>
      <c r="B161" s="231" t="s">
        <v>593</v>
      </c>
      <c r="C161" s="232" t="s">
        <v>601</v>
      </c>
      <c r="D161" s="232">
        <v>5</v>
      </c>
      <c r="E161" s="232">
        <v>120</v>
      </c>
      <c r="F161" s="233">
        <v>78457.52</v>
      </c>
      <c r="G161" s="233">
        <v>31611.289999999994</v>
      </c>
      <c r="H161" s="234">
        <f t="shared" si="33"/>
      </c>
      <c r="I161" s="234">
        <f t="shared" si="20"/>
      </c>
      <c r="J161" s="234">
        <f t="shared" si="11"/>
      </c>
    </row>
    <row r="162">
      <c r="A162" s="231" t="s">
        <v>610</v>
      </c>
      <c r="B162" s="235" t="s">
        <v>593</v>
      </c>
      <c r="C162" s="232" t="s">
        <v>616</v>
      </c>
      <c r="D162" s="232">
        <v>4</v>
      </c>
      <c r="E162" s="232">
        <v>83</v>
      </c>
      <c r="F162" s="233">
        <v>38333.79000000001</v>
      </c>
      <c r="G162" s="233">
        <v>24337.47</v>
      </c>
      <c r="H162" s="234">
        <f t="shared" si="33"/>
      </c>
      <c r="I162" s="234">
        <f t="shared" si="20"/>
      </c>
      <c r="J162" s="234">
        <f t="shared" si="11"/>
      </c>
    </row>
    <row r="163">
      <c r="A163" s="231" t="s">
        <v>612</v>
      </c>
      <c r="B163" s="235" t="s">
        <v>593</v>
      </c>
      <c r="C163" s="232" t="s">
        <v>616</v>
      </c>
      <c r="D163" s="232">
        <v>4</v>
      </c>
      <c r="E163" s="232">
        <v>92</v>
      </c>
      <c r="F163" s="233">
        <v>56299.86000000001</v>
      </c>
      <c r="G163" s="233">
        <v>28838.43</v>
      </c>
      <c r="H163" s="234">
        <f t="shared" si="33"/>
      </c>
      <c r="I163" s="234">
        <f t="shared" si="20"/>
      </c>
      <c r="J163" s="234">
        <f t="shared" si="11"/>
      </c>
    </row>
    <row r="164">
      <c r="A164" s="231" t="s">
        <v>638</v>
      </c>
      <c r="B164" s="235" t="s">
        <v>593</v>
      </c>
      <c r="C164" s="232" t="s">
        <v>601</v>
      </c>
      <c r="D164" s="232">
        <v>5</v>
      </c>
      <c r="E164" s="232">
        <v>103</v>
      </c>
      <c r="F164" s="233">
        <v>64320.36</v>
      </c>
      <c r="G164" s="233">
        <v>29217.61</v>
      </c>
      <c r="H164" s="234">
        <f t="shared" si="33"/>
      </c>
      <c r="I164" s="234">
        <f t="shared" si="20"/>
      </c>
      <c r="J164" s="234">
        <f t="shared" si="11"/>
      </c>
    </row>
    <row r="165">
      <c r="A165" s="231" t="s">
        <v>615</v>
      </c>
      <c r="B165" s="235" t="s">
        <v>593</v>
      </c>
      <c r="C165" s="232" t="s">
        <v>655</v>
      </c>
      <c r="D165" s="232">
        <v>0.5</v>
      </c>
      <c r="E165" s="232">
        <v>9</v>
      </c>
      <c r="F165" s="233">
        <v>3801.2399999999907</v>
      </c>
      <c r="G165" s="233">
        <v>1602.33</v>
      </c>
      <c r="H165" s="234">
        <f t="shared" si="33"/>
      </c>
      <c r="I165" s="234">
        <f t="shared" si="20"/>
      </c>
      <c r="J165" s="234">
        <f t="shared" si="11"/>
      </c>
    </row>
    <row r="166">
      <c r="A166" s="231" t="s">
        <v>617</v>
      </c>
      <c r="B166" s="235" t="s">
        <v>593</v>
      </c>
      <c r="C166" s="232" t="s">
        <v>601</v>
      </c>
      <c r="D166" s="232">
        <v>5</v>
      </c>
      <c r="E166" s="232">
        <v>110</v>
      </c>
      <c r="F166" s="233">
        <v>67056.23</v>
      </c>
      <c r="G166" s="233">
        <v>30914.58</v>
      </c>
      <c r="H166" s="234">
        <f t="shared" si="33"/>
      </c>
      <c r="I166" s="234">
        <f t="shared" si="20"/>
      </c>
      <c r="J166" s="234">
        <f t="shared" si="11"/>
      </c>
    </row>
    <row r="167">
      <c r="A167" s="231" t="s">
        <v>618</v>
      </c>
      <c r="B167" s="235" t="s">
        <v>593</v>
      </c>
      <c r="C167" s="232" t="s">
        <v>622</v>
      </c>
      <c r="D167" s="232">
        <v>4</v>
      </c>
      <c r="E167" s="232">
        <v>103</v>
      </c>
      <c r="F167" s="233">
        <v>52215.82</v>
      </c>
      <c r="G167" s="233">
        <v>26200.62</v>
      </c>
      <c r="H167" s="234">
        <f t="shared" si="33"/>
      </c>
      <c r="I167" s="234">
        <f t="shared" si="20"/>
      </c>
      <c r="J167" s="234">
        <f t="shared" si="11"/>
      </c>
    </row>
    <row r="168">
      <c r="A168" s="231" t="s">
        <v>618</v>
      </c>
      <c r="B168" s="235" t="s">
        <v>593</v>
      </c>
      <c r="C168" s="232" t="s">
        <v>656</v>
      </c>
      <c r="D168" s="232">
        <v>1</v>
      </c>
      <c r="E168" s="232">
        <v>22</v>
      </c>
      <c r="F168" s="233">
        <v>13432.589999999997</v>
      </c>
      <c r="G168" s="233">
        <v>6039.879999999999</v>
      </c>
      <c r="H168" s="234">
        <f t="shared" si="33"/>
      </c>
      <c r="I168" s="234">
        <f t="shared" si="20"/>
      </c>
      <c r="J168" s="234">
        <f t="shared" si="11"/>
      </c>
    </row>
    <row r="169">
      <c r="A169" s="231" t="s">
        <v>619</v>
      </c>
      <c r="B169" s="236" t="s">
        <v>593</v>
      </c>
      <c r="C169" s="236" t="s">
        <v>622</v>
      </c>
      <c r="D169" s="236">
        <v>4</v>
      </c>
      <c r="E169" s="236">
        <v>159</v>
      </c>
      <c r="F169" s="237">
        <v>94989.4</v>
      </c>
      <c r="G169" s="237">
        <v>47420.94</v>
      </c>
      <c r="H169" s="238">
        <f t="shared" si="33"/>
      </c>
      <c r="I169" s="238">
        <f t="shared" si="20"/>
      </c>
      <c r="J169" s="238">
        <f t="shared" si="11"/>
      </c>
    </row>
    <row r="170">
      <c r="A170" s="231" t="s">
        <v>639</v>
      </c>
      <c r="B170" s="236" t="s">
        <v>593</v>
      </c>
      <c r="C170" s="231" t="s">
        <v>601</v>
      </c>
      <c r="D170" s="231">
        <v>5</v>
      </c>
      <c r="E170" s="236">
        <v>133</v>
      </c>
      <c r="F170" s="237">
        <v>87807.28</v>
      </c>
      <c r="G170" s="237">
        <v>44177.81</v>
      </c>
      <c r="H170" s="238">
        <f t="shared" si="33"/>
      </c>
      <c r="I170" s="238">
        <f t="shared" si="20"/>
      </c>
      <c r="J170" s="238">
        <f t="shared" si="11"/>
      </c>
    </row>
    <row r="171">
      <c r="A171" s="231" t="s">
        <v>621</v>
      </c>
      <c r="B171" s="231" t="s">
        <v>593</v>
      </c>
      <c r="C171" s="232" t="s">
        <v>616</v>
      </c>
      <c r="D171" s="232">
        <v>4</v>
      </c>
      <c r="E171" s="232">
        <v>42</v>
      </c>
      <c r="F171" s="233">
        <v>24764.389999999996</v>
      </c>
      <c r="G171" s="233">
        <v>11810.539999999999</v>
      </c>
      <c r="H171" s="234">
        <f t="shared" si="33"/>
      </c>
      <c r="I171" s="234">
        <f t="shared" si="20"/>
      </c>
      <c r="J171" s="234">
        <f t="shared" si="11"/>
      </c>
    </row>
    <row r="172">
      <c r="A172" s="231" t="s">
        <v>653</v>
      </c>
      <c r="B172" s="235" t="s">
        <v>593</v>
      </c>
      <c r="C172" s="232" t="s">
        <v>601</v>
      </c>
      <c r="D172" s="232">
        <v>5</v>
      </c>
      <c r="E172" s="232">
        <v>48</v>
      </c>
      <c r="F172" s="233">
        <v>30249.199999999997</v>
      </c>
      <c r="G172" s="233">
        <v>14844.259999999998</v>
      </c>
      <c r="H172" s="234">
        <f t="shared" si="33"/>
      </c>
      <c r="I172" s="234">
        <f t="shared" si="20"/>
      </c>
      <c r="J172" s="234">
        <f t="shared" si="11"/>
      </c>
    </row>
    <row r="173">
      <c r="A173" s="231" t="s">
        <v>641</v>
      </c>
      <c r="B173" s="235" t="s">
        <v>593</v>
      </c>
      <c r="C173" s="232" t="s">
        <v>601</v>
      </c>
      <c r="D173" s="232">
        <v>5</v>
      </c>
      <c r="E173" s="232">
        <v>39</v>
      </c>
      <c r="F173" s="233">
        <v>23284.61</v>
      </c>
      <c r="G173" s="233">
        <v>14225.34</v>
      </c>
      <c r="H173" s="234">
        <f t="shared" si="33"/>
      </c>
      <c r="I173" s="234">
        <f t="shared" si="20"/>
      </c>
      <c r="J173" s="234">
        <f t="shared" si="11"/>
      </c>
    </row>
    <row r="174">
      <c r="A174" s="231" t="s">
        <v>623</v>
      </c>
      <c r="B174" s="235" t="s">
        <v>593</v>
      </c>
      <c r="C174" s="232" t="s">
        <v>622</v>
      </c>
      <c r="D174" s="232">
        <v>4</v>
      </c>
      <c r="E174" s="232">
        <v>43</v>
      </c>
      <c r="F174" s="233">
        <v>29994.96</v>
      </c>
      <c r="G174" s="233">
        <v>11743.14</v>
      </c>
      <c r="H174" s="234">
        <f t="shared" si="33"/>
      </c>
      <c r="I174" s="234">
        <f t="shared" si="20"/>
      </c>
      <c r="J174" s="234">
        <f t="shared" si="11"/>
      </c>
    </row>
    <row r="175">
      <c r="A175" s="231" t="s">
        <v>624</v>
      </c>
      <c r="B175" s="231" t="s">
        <v>593</v>
      </c>
      <c r="C175" s="232" t="s">
        <v>616</v>
      </c>
      <c r="D175" s="232">
        <v>4</v>
      </c>
      <c r="E175" s="232">
        <v>49</v>
      </c>
      <c r="F175" s="233">
        <v>28238.200000000004</v>
      </c>
      <c r="G175" s="233">
        <v>13492.34</v>
      </c>
      <c r="H175" s="234">
        <f t="shared" si="33"/>
      </c>
      <c r="I175" s="234">
        <f t="shared" si="20"/>
      </c>
      <c r="J175" s="234">
        <f t="shared" si="11"/>
      </c>
    </row>
    <row r="176">
      <c r="A176" s="231" t="s">
        <v>625</v>
      </c>
      <c r="B176" s="235" t="s">
        <v>593</v>
      </c>
      <c r="C176" s="232" t="s">
        <v>622</v>
      </c>
      <c r="D176" s="232">
        <v>4</v>
      </c>
      <c r="E176" s="232">
        <v>87</v>
      </c>
      <c r="F176" s="233">
        <v>54346.87</v>
      </c>
      <c r="G176" s="233">
        <v>25624.39</v>
      </c>
      <c r="H176" s="234">
        <f t="shared" si="33"/>
      </c>
      <c r="I176" s="234">
        <f t="shared" si="20"/>
      </c>
      <c r="J176" s="234">
        <f t="shared" si="11"/>
      </c>
    </row>
    <row r="177">
      <c r="A177" s="231" t="s">
        <v>626</v>
      </c>
      <c r="B177" s="235" t="s">
        <v>593</v>
      </c>
      <c r="C177" s="232" t="s">
        <v>601</v>
      </c>
      <c r="D177" s="232">
        <v>5</v>
      </c>
      <c r="E177" s="232">
        <v>81</v>
      </c>
      <c r="F177" s="233">
        <v>43386.02</v>
      </c>
      <c r="G177" s="233">
        <v>24619.550000000003</v>
      </c>
      <c r="H177" s="234">
        <f t="shared" si="33"/>
      </c>
      <c r="I177" s="234">
        <f t="shared" si="20"/>
      </c>
      <c r="J177" s="234">
        <f t="shared" si="11"/>
      </c>
    </row>
    <row r="178">
      <c r="A178" s="231" t="s">
        <v>627</v>
      </c>
      <c r="B178" s="235" t="s">
        <v>593</v>
      </c>
      <c r="C178" s="232" t="s">
        <v>622</v>
      </c>
      <c r="D178" s="232">
        <v>4</v>
      </c>
      <c r="E178" s="232">
        <v>24</v>
      </c>
      <c r="F178" s="233">
        <v>12422.800000000001</v>
      </c>
      <c r="G178" s="233">
        <v>7680.330000000001</v>
      </c>
      <c r="H178" s="234">
        <f t="shared" si="33"/>
      </c>
      <c r="I178" s="234">
        <f t="shared" si="20"/>
      </c>
      <c r="J178" s="234">
        <f t="shared" si="11"/>
      </c>
    </row>
    <row r="179">
      <c r="A179" s="231" t="s">
        <v>628</v>
      </c>
      <c r="B179" s="235" t="s">
        <v>593</v>
      </c>
      <c r="C179" s="232" t="s">
        <v>601</v>
      </c>
      <c r="D179" s="232">
        <v>5</v>
      </c>
      <c r="E179" s="232">
        <v>59</v>
      </c>
      <c r="F179" s="233">
        <v>28929.710000000003</v>
      </c>
      <c r="G179" s="233">
        <v>20258.02</v>
      </c>
      <c r="H179" s="234">
        <f t="shared" si="33"/>
      </c>
      <c r="I179" s="234">
        <f t="shared" si="20"/>
      </c>
      <c r="J179" s="234">
        <f t="shared" si="11"/>
      </c>
    </row>
    <row r="180">
      <c r="A180" s="231" t="s">
        <v>630</v>
      </c>
      <c r="B180" s="231" t="s">
        <v>593</v>
      </c>
      <c r="C180" s="232" t="s">
        <v>657</v>
      </c>
      <c r="D180" s="232">
        <v>3</v>
      </c>
      <c r="E180" s="232">
        <v>15</v>
      </c>
      <c r="F180" s="233">
        <v>8680.34</v>
      </c>
      <c r="G180" s="233">
        <v>5110.99</v>
      </c>
      <c r="H180" s="234">
        <f t="shared" si="33"/>
      </c>
      <c r="I180" s="234">
        <f t="shared" si="20"/>
      </c>
      <c r="J180" s="234">
        <f t="shared" si="11"/>
      </c>
    </row>
    <row r="181">
      <c r="A181" s="231" t="s">
        <v>631</v>
      </c>
      <c r="B181" s="235" t="s">
        <v>593</v>
      </c>
      <c r="C181" s="232" t="s">
        <v>622</v>
      </c>
      <c r="D181" s="232">
        <v>4</v>
      </c>
      <c r="E181" s="232">
        <v>19</v>
      </c>
      <c r="F181" s="233">
        <v>13691.4</v>
      </c>
      <c r="G181" s="233">
        <v>6614.68</v>
      </c>
      <c r="H181" s="234">
        <f t="shared" si="33"/>
      </c>
      <c r="I181" s="234">
        <f t="shared" si="20"/>
      </c>
      <c r="J181" s="234">
        <f t="shared" si="11"/>
      </c>
    </row>
    <row r="182">
      <c r="A182" s="231" t="s">
        <v>643</v>
      </c>
      <c r="B182" s="231" t="s">
        <v>593</v>
      </c>
      <c r="C182" s="232" t="s">
        <v>622</v>
      </c>
      <c r="D182" s="232">
        <v>4</v>
      </c>
      <c r="E182" s="232">
        <v>39</v>
      </c>
      <c r="F182" s="233">
        <v>20038.9</v>
      </c>
      <c r="G182" s="233">
        <v>11330.69</v>
      </c>
      <c r="H182" s="234">
        <f t="shared" si="33"/>
      </c>
      <c r="I182" s="234">
        <f t="shared" si="20"/>
      </c>
      <c r="J182" s="234">
        <f t="shared" si="11"/>
      </c>
    </row>
    <row r="183">
      <c r="A183" s="231" t="s">
        <v>634</v>
      </c>
      <c r="B183" s="231" t="s">
        <v>593</v>
      </c>
      <c r="C183" s="232" t="s">
        <v>622</v>
      </c>
      <c r="D183" s="232">
        <v>4</v>
      </c>
      <c r="E183" s="232">
        <v>17</v>
      </c>
      <c r="F183" s="233">
        <v>8239.1</v>
      </c>
      <c r="G183" s="233">
        <v>5963.73</v>
      </c>
      <c r="H183" s="234">
        <f t="shared" si="33"/>
      </c>
      <c r="I183" s="234">
        <f t="shared" si="20"/>
      </c>
      <c r="J183" s="234">
        <f t="shared" si="11"/>
      </c>
    </row>
    <row r="184">
      <c r="A184" s="231" t="s">
        <v>635</v>
      </c>
      <c r="B184" s="231" t="s">
        <v>593</v>
      </c>
      <c r="C184" s="232" t="s">
        <v>622</v>
      </c>
      <c r="D184" s="232">
        <v>4</v>
      </c>
      <c r="E184" s="232">
        <v>58</v>
      </c>
      <c r="F184" s="233">
        <v>29992.59</v>
      </c>
      <c r="G184" s="233">
        <v>16933.440000000002</v>
      </c>
      <c r="H184" s="234">
        <f t="shared" si="33"/>
      </c>
      <c r="I184" s="234">
        <f t="shared" si="20"/>
      </c>
      <c r="J184" s="234">
        <f t="shared" si="11"/>
      </c>
    </row>
    <row r="185"/>
    <row r="186"/>
    <row r="187">
      <c r="A187" s="229" t="s">
        <v>576</v>
      </c>
      <c r="B187" s="229" t="s">
        <v>569</v>
      </c>
      <c r="C187" s="229" t="s">
        <v>595</v>
      </c>
      <c r="D187" s="229" t="s">
        <v>577</v>
      </c>
      <c r="E187" s="229" t="s">
        <v>596</v>
      </c>
      <c r="F187" s="229" t="s">
        <v>597</v>
      </c>
      <c r="G187" s="229" t="s">
        <v>598</v>
      </c>
      <c r="H187" s="230" t="s">
        <v>581</v>
      </c>
      <c r="I187" s="230" t="s">
        <v>599</v>
      </c>
      <c r="J187" s="230" t="s">
        <v>574</v>
      </c>
    </row>
    <row r="188">
      <c r="A188" s="231" t="s">
        <v>610</v>
      </c>
      <c r="B188" s="235" t="s">
        <v>658</v>
      </c>
      <c r="C188" s="232" t="s">
        <v>646</v>
      </c>
      <c r="D188" s="232">
        <v>2</v>
      </c>
      <c r="E188" s="232">
        <v>26</v>
      </c>
      <c r="F188" s="233">
        <v>10120.14</v>
      </c>
      <c r="G188" s="233">
        <v>9611.130000000001</v>
      </c>
      <c r="H188" s="234">
        <f t="shared" ref="H188:H199" si="34">F188/G188</f>
      </c>
      <c r="I188" s="234">
        <f t="shared" ref="I188:I199" si="21">F188/E188</f>
      </c>
      <c r="J188" s="234">
        <f t="shared" ref="J188:J199" si="12">G188/E188</f>
      </c>
    </row>
    <row r="189">
      <c r="A189" s="231" t="s">
        <v>612</v>
      </c>
      <c r="B189" s="235" t="s">
        <v>658</v>
      </c>
      <c r="C189" s="232" t="s">
        <v>646</v>
      </c>
      <c r="D189" s="232">
        <v>2</v>
      </c>
      <c r="E189" s="232">
        <v>25</v>
      </c>
      <c r="F189" s="233">
        <v>13066.099999999991</v>
      </c>
      <c r="G189" s="233">
        <v>8627.73</v>
      </c>
      <c r="H189" s="234">
        <f t="shared" si="34"/>
      </c>
      <c r="I189" s="234">
        <f t="shared" si="21"/>
      </c>
      <c r="J189" s="234">
        <f t="shared" si="12"/>
      </c>
    </row>
    <row r="190">
      <c r="A190" s="231" t="s">
        <v>638</v>
      </c>
      <c r="B190" s="235" t="s">
        <v>658</v>
      </c>
      <c r="C190" s="232" t="s">
        <v>642</v>
      </c>
      <c r="D190" s="232">
        <v>2</v>
      </c>
      <c r="E190" s="232">
        <v>9</v>
      </c>
      <c r="F190" s="233">
        <v>6906.270000000019</v>
      </c>
      <c r="G190" s="233">
        <v>4807.54</v>
      </c>
      <c r="H190" s="234">
        <f t="shared" si="34"/>
      </c>
      <c r="I190" s="234">
        <f t="shared" si="21"/>
      </c>
      <c r="J190" s="234">
        <f t="shared" si="12"/>
      </c>
    </row>
    <row r="191">
      <c r="A191" s="231" t="s">
        <v>613</v>
      </c>
      <c r="B191" s="235" t="s">
        <v>658</v>
      </c>
      <c r="C191" s="232" t="s">
        <v>651</v>
      </c>
      <c r="D191" s="232">
        <v>3</v>
      </c>
      <c r="E191" s="232">
        <v>57</v>
      </c>
      <c r="F191" s="233">
        <v>37646.619999999995</v>
      </c>
      <c r="G191" s="233">
        <v>18102.95</v>
      </c>
      <c r="H191" s="234">
        <f t="shared" si="34"/>
      </c>
      <c r="I191" s="234">
        <f t="shared" si="21"/>
      </c>
      <c r="J191" s="234">
        <f t="shared" si="12"/>
      </c>
    </row>
    <row r="192">
      <c r="A192" s="231" t="s">
        <v>618</v>
      </c>
      <c r="B192" s="235" t="s">
        <v>658</v>
      </c>
      <c r="C192" s="232" t="s">
        <v>603</v>
      </c>
      <c r="D192" s="232">
        <v>4</v>
      </c>
      <c r="E192" s="232">
        <v>143</v>
      </c>
      <c r="F192" s="233">
        <v>84830.29000000001</v>
      </c>
      <c r="G192" s="233">
        <v>35474.56</v>
      </c>
      <c r="H192" s="234">
        <f t="shared" si="34"/>
      </c>
      <c r="I192" s="234">
        <f t="shared" si="21"/>
      </c>
      <c r="J192" s="234">
        <f t="shared" si="12"/>
      </c>
    </row>
    <row r="193">
      <c r="A193" s="236" t="s">
        <v>619</v>
      </c>
      <c r="B193" s="236" t="s">
        <v>658</v>
      </c>
      <c r="C193" s="231" t="s">
        <v>659</v>
      </c>
      <c r="D193" s="231">
        <v>1</v>
      </c>
      <c r="E193" s="231">
        <v>8</v>
      </c>
      <c r="F193" s="237">
        <v>3480.970000000001</v>
      </c>
      <c r="G193" s="237">
        <v>2492.86</v>
      </c>
      <c r="H193" s="238">
        <f t="shared" si="34"/>
      </c>
      <c r="I193" s="238">
        <f t="shared" si="21"/>
      </c>
      <c r="J193" s="238">
        <f t="shared" si="12"/>
      </c>
    </row>
    <row r="194">
      <c r="A194" s="231" t="s">
        <v>639</v>
      </c>
      <c r="B194" s="236" t="s">
        <v>658</v>
      </c>
      <c r="C194" s="231" t="s">
        <v>656</v>
      </c>
      <c r="D194" s="231">
        <v>1</v>
      </c>
      <c r="E194" s="231">
        <v>7</v>
      </c>
      <c r="F194" s="237">
        <v>2445.720000000001</v>
      </c>
      <c r="G194" s="237">
        <v>2318.67</v>
      </c>
      <c r="H194" s="238">
        <f t="shared" si="34"/>
      </c>
      <c r="I194" s="238">
        <f t="shared" si="21"/>
      </c>
      <c r="J194" s="238">
        <f t="shared" si="12"/>
      </c>
    </row>
    <row r="195">
      <c r="A195" s="231" t="s">
        <v>621</v>
      </c>
      <c r="B195" s="235" t="s">
        <v>658</v>
      </c>
      <c r="C195" s="232" t="s">
        <v>660</v>
      </c>
      <c r="D195" s="232">
        <v>3</v>
      </c>
      <c r="E195" s="232">
        <v>31</v>
      </c>
      <c r="F195" s="233">
        <v>16081.900000000009</v>
      </c>
      <c r="G195" s="233">
        <v>11390.849999999999</v>
      </c>
      <c r="H195" s="234">
        <f t="shared" si="34"/>
      </c>
      <c r="I195" s="234">
        <f t="shared" si="21"/>
      </c>
      <c r="J195" s="234">
        <f t="shared" si="12"/>
      </c>
    </row>
    <row r="196">
      <c r="A196" s="231" t="s">
        <v>653</v>
      </c>
      <c r="B196" s="235" t="s">
        <v>658</v>
      </c>
      <c r="C196" s="232" t="s">
        <v>661</v>
      </c>
      <c r="D196" s="232">
        <v>4</v>
      </c>
      <c r="E196" s="232">
        <v>14</v>
      </c>
      <c r="F196" s="233">
        <v>6742.32</v>
      </c>
      <c r="G196" s="233">
        <v>6516.08</v>
      </c>
      <c r="H196" s="234">
        <f t="shared" si="34"/>
      </c>
      <c r="I196" s="234">
        <f t="shared" si="21"/>
      </c>
      <c r="J196" s="234">
        <f t="shared" si="12"/>
      </c>
    </row>
    <row r="197">
      <c r="A197" s="231" t="s">
        <v>631</v>
      </c>
      <c r="B197" s="235" t="s">
        <v>658</v>
      </c>
      <c r="C197" s="232" t="s">
        <v>662</v>
      </c>
      <c r="D197" s="232">
        <v>3</v>
      </c>
      <c r="E197" s="232">
        <v>21</v>
      </c>
      <c r="F197" s="233">
        <v>8543.099999999999</v>
      </c>
      <c r="G197" s="233">
        <v>8115.74</v>
      </c>
      <c r="H197" s="234">
        <f t="shared" si="34"/>
      </c>
      <c r="I197" s="234">
        <f t="shared" si="21"/>
      </c>
      <c r="J197" s="234">
        <f t="shared" si="12"/>
      </c>
    </row>
    <row r="198">
      <c r="A198" s="231" t="s">
        <v>633</v>
      </c>
      <c r="B198" s="235" t="s">
        <v>658</v>
      </c>
      <c r="C198" s="232" t="s">
        <v>663</v>
      </c>
      <c r="D198" s="232">
        <v>2.5</v>
      </c>
      <c r="E198" s="232">
        <v>5</v>
      </c>
      <c r="F198" s="233">
        <v>2825.279999999999</v>
      </c>
      <c r="G198" s="233">
        <v>5460.5599999999995</v>
      </c>
      <c r="H198" s="234">
        <f t="shared" si="34"/>
      </c>
      <c r="I198" s="234">
        <f t="shared" si="21"/>
      </c>
      <c r="J198" s="234">
        <f t="shared" si="12"/>
      </c>
    </row>
    <row r="199">
      <c r="A199" s="236" t="s">
        <v>635</v>
      </c>
      <c r="B199" s="236" t="s">
        <v>658</v>
      </c>
      <c r="C199" s="231" t="s">
        <v>645</v>
      </c>
      <c r="D199" s="231">
        <v>1</v>
      </c>
      <c r="E199" s="231">
        <v>2</v>
      </c>
      <c r="F199" s="237">
        <v>892.8000000000029</v>
      </c>
      <c r="G199" s="237">
        <v>2590.77</v>
      </c>
      <c r="H199" s="238">
        <f t="shared" si="34"/>
      </c>
      <c r="I199" s="238">
        <f t="shared" si="21"/>
      </c>
      <c r="J199" s="238">
        <f t="shared" si="12"/>
      </c>
    </row>
    <row r="200"/>
    <row r="201"/>
    <row r="202"/>
    <row r="203">
      <c r="A203" s="240" t="s">
        <v>664</v>
      </c>
      <c r="B203" s="240" t="s">
        <v>665</v>
      </c>
      <c r="C203" s="240" t="s">
        <v>666</v>
      </c>
      <c r="D203" s="241" t="s">
        <v>667</v>
      </c>
      <c r="E203" s="240" t="s">
        <v>668</v>
      </c>
      <c r="F203" s="241"/>
    </row>
    <row r="204">
      <c r="A204" s="241">
        <v>9121310</v>
      </c>
      <c r="B204" s="241">
        <v>1469645</v>
      </c>
      <c r="C204" s="241">
        <v>226815</v>
      </c>
      <c r="D204" s="241">
        <v>10.373999999999999</v>
      </c>
      <c r="E204" s="241">
        <v>40276532</v>
      </c>
      <c r="F204" s="241"/>
    </row>
    <row r="205">
      <c r="A205" s="241"/>
      <c r="B205" s="241"/>
      <c r="C205" s="241"/>
      <c r="D205" s="241"/>
      <c r="E205" s="241"/>
      <c r="F205" s="241"/>
    </row>
    <row r="206">
      <c r="A206" s="240" t="s">
        <v>664</v>
      </c>
      <c r="B206" s="240" t="s">
        <v>665</v>
      </c>
      <c r="C206" s="240" t="s">
        <v>666</v>
      </c>
      <c r="D206" s="241" t="s">
        <v>667</v>
      </c>
      <c r="E206" s="241"/>
      <c r="F206" s="241"/>
    </row>
    <row r="207">
      <c r="A207" s="241">
        <v>5428113</v>
      </c>
      <c r="B207" s="241">
        <v>879895</v>
      </c>
      <c r="C207" s="241">
        <v>153847</v>
      </c>
      <c r="D207" s="241">
        <v>9.378000000000002</v>
      </c>
      <c r="E207" s="241"/>
      <c r="F207" s="241"/>
    </row>
    <row r="208">
      <c r="A208" s="241"/>
      <c r="B208" s="241"/>
      <c r="C208" s="241"/>
      <c r="D208" s="241"/>
      <c r="E208" s="241"/>
      <c r="F208" s="241"/>
    </row>
    <row r="209">
      <c r="A209" s="241"/>
      <c r="B209" s="241"/>
      <c r="C209" s="241"/>
      <c r="D209" s="241"/>
      <c r="E209" s="241"/>
      <c r="F209" s="241"/>
    </row>
    <row r="210">
      <c r="A210" s="240" t="s">
        <v>669</v>
      </c>
      <c r="B210" s="240" t="s">
        <v>670</v>
      </c>
      <c r="C210" s="240" t="s">
        <v>671</v>
      </c>
      <c r="D210" s="242" t="s">
        <v>664</v>
      </c>
      <c r="E210" s="242" t="s">
        <v>665</v>
      </c>
      <c r="F210" s="241"/>
    </row>
    <row r="211">
      <c r="A211" s="241">
        <v>226815</v>
      </c>
      <c r="B211" s="241">
        <v>15006</v>
      </c>
      <c r="C211" s="241">
        <v>10691</v>
      </c>
      <c r="D211" s="243">
        <v>9121310</v>
      </c>
      <c r="E211" s="243">
        <v>1469645</v>
      </c>
      <c r="F211" s="241"/>
    </row>
    <row r="212">
      <c r="A212" s="244"/>
      <c r="B212" s="241"/>
      <c r="C212" s="241"/>
      <c r="D212" s="241"/>
      <c r="E212" s="241"/>
      <c r="F212" s="241"/>
    </row>
    <row r="213">
      <c r="A213" s="240" t="s">
        <v>669</v>
      </c>
      <c r="B213" s="240" t="s">
        <v>670</v>
      </c>
      <c r="C213" s="240" t="s">
        <v>671</v>
      </c>
      <c r="D213" s="242" t="s">
        <v>664</v>
      </c>
      <c r="E213" s="242" t="s">
        <v>665</v>
      </c>
      <c r="F213" s="241"/>
    </row>
    <row r="214">
      <c r="A214" s="241">
        <v>153847</v>
      </c>
      <c r="B214" s="241">
        <v>9923</v>
      </c>
      <c r="C214" s="241">
        <v>7037</v>
      </c>
      <c r="D214" s="243">
        <v>5428113</v>
      </c>
      <c r="E214" s="243">
        <v>879895</v>
      </c>
      <c r="F214" s="241"/>
    </row>
    <row r="215">
      <c r="A215" s="241"/>
      <c r="B215" s="241"/>
      <c r="C215" s="241"/>
      <c r="D215" s="241"/>
      <c r="E215" s="241"/>
      <c r="F215" s="241"/>
    </row>
    <row r="216">
      <c r="A216" s="241"/>
      <c r="B216" s="241"/>
      <c r="C216" s="241"/>
      <c r="D216" s="241"/>
      <c r="E216" s="241"/>
      <c r="F216" s="241"/>
    </row>
    <row r="217">
      <c r="A217" s="241"/>
      <c r="B217" s="241"/>
      <c r="C217" s="241"/>
      <c r="D217" s="241"/>
      <c r="E217" s="241"/>
      <c r="F217" s="241"/>
    </row>
    <row r="218">
      <c r="A218" s="241"/>
      <c r="B218" s="241"/>
      <c r="C218" s="241"/>
      <c r="D218" s="241"/>
      <c r="E218" s="241"/>
      <c r="F218" s="241"/>
    </row>
    <row r="219">
      <c r="A219" s="241"/>
      <c r="B219" s="241"/>
      <c r="C219" s="241"/>
      <c r="D219" s="241"/>
      <c r="E219" s="241"/>
      <c r="F219" s="241"/>
    </row>
    <row r="220">
      <c r="A220" s="241"/>
      <c r="B220" s="241"/>
      <c r="C220" s="241" t="s">
        <v>667</v>
      </c>
      <c r="D220" s="241"/>
      <c r="E220" s="241"/>
      <c r="F220" s="241"/>
    </row>
    <row r="221">
      <c r="A221" s="241"/>
      <c r="B221" s="241"/>
      <c r="C221" s="241">
        <v>10.373999999999999</v>
      </c>
      <c r="D221" s="241"/>
      <c r="E221" s="241"/>
      <c r="F221" s="241"/>
    </row>
    <row r="222">
      <c r="A222" s="241"/>
      <c r="B222" s="241"/>
      <c r="C222" s="241"/>
      <c r="D222" s="241"/>
      <c r="E222" s="241"/>
      <c r="F222" s="241"/>
    </row>
    <row r="223"/>
    <row r="224"/>
    <row r="225"/>
    <row r="226"/>
    <row r="227"/>
    <row r="228"/>
    <row r="229"/>
    <row r="230"/>
    <row r="231"/>
    <row r="232"/>
    <row r="233"/>
    <row r="234"/>
    <row r="235">
      <c r="A235" s="216" t="s">
        <v>569</v>
      </c>
      <c r="B235" s="216" t="s">
        <v>576</v>
      </c>
      <c r="C235" s="216" t="s">
        <v>672</v>
      </c>
      <c r="D235" s="216" t="s">
        <v>673</v>
      </c>
      <c r="E235" s="216" t="s">
        <v>579</v>
      </c>
      <c r="F235" s="216" t="s">
        <v>580</v>
      </c>
      <c r="G235" s="216" t="s">
        <v>668</v>
      </c>
      <c r="H235" s="216" t="s">
        <v>674</v>
      </c>
      <c r="I235" s="216" t="s">
        <v>581</v>
      </c>
      <c r="J235" s="216" t="s">
        <v>574</v>
      </c>
      <c r="K235" s="216" t="s">
        <v>583</v>
      </c>
      <c r="L235" s="216" t="s">
        <v>675</v>
      </c>
    </row>
    <row r="236">
      <c r="A236" s="245" t="s">
        <v>586</v>
      </c>
      <c r="B236" s="246" t="s">
        <v>585</v>
      </c>
      <c r="C236" s="246">
        <v>4690</v>
      </c>
      <c r="D236" s="246">
        <v>3265</v>
      </c>
      <c r="E236" s="247">
        <v>1784368.3000000003</v>
      </c>
      <c r="F236" s="247">
        <v>955844.0900000001</v>
      </c>
      <c r="G236" s="248">
        <v>11601095</v>
      </c>
      <c r="H236" s="248">
        <v>1237812</v>
      </c>
      <c r="I236" s="223">
        <f t="shared" ref="I236:I237" si="1">E236/F236</f>
      </c>
      <c r="J236" s="223">
        <f t="shared" ref="J236:J237" si="24">F236/D236</f>
      </c>
      <c r="K236" s="223">
        <f t="shared" ref="K236:K237" si="36">E236/D236</f>
      </c>
      <c r="L236" s="249">
        <f t="shared" ref="L236:L237" si="3">H236/G236</f>
      </c>
    </row>
    <row r="237">
      <c r="A237" s="245"/>
      <c r="B237" s="246" t="s">
        <v>587</v>
      </c>
      <c r="C237" s="246">
        <v>2172</v>
      </c>
      <c r="D237" s="246">
        <v>1503</v>
      </c>
      <c r="E237" s="247">
        <v>787727.2</v>
      </c>
      <c r="F237" s="250">
        <v>490071.3300000001</v>
      </c>
      <c r="G237" s="248">
        <v>6008267</v>
      </c>
      <c r="H237" s="248">
        <v>610300</v>
      </c>
      <c r="I237" s="223">
        <f t="shared" si="1"/>
      </c>
      <c r="J237" s="223">
        <f t="shared" si="24"/>
      </c>
      <c r="K237" s="223">
        <f t="shared" si="36"/>
      </c>
      <c r="L237" s="249">
        <f t="shared" si="3"/>
      </c>
    </row>
    <row r="238">
      <c r="A238" s="245"/>
      <c r="B238" s="251" t="s">
        <v>589</v>
      </c>
      <c r="C238" s="252">
        <f>(C237-C236)/C236</f>
      </c>
      <c r="D238" s="252">
        <f>(D237-D236)/D236</f>
      </c>
      <c r="E238" s="252">
        <f>(E237-E236)/E236</f>
      </c>
      <c r="F238" s="252">
        <f>(F237-F236)/F236</f>
      </c>
      <c r="G238" s="252">
        <f>(G237-G236)/G236</f>
      </c>
      <c r="H238" s="252">
        <f>(H237-H236)/H236</f>
      </c>
      <c r="I238" s="252">
        <f>(I237-I236)/I236</f>
      </c>
      <c r="J238" s="252">
        <f>(J237-J236)/J236</f>
      </c>
      <c r="K238" s="252">
        <f>(K237-K236)/K236</f>
      </c>
      <c r="L238" s="252">
        <f>(L237-L236)/L236</f>
      </c>
    </row>
    <row r="239"/>
    <row r="240">
      <c r="A240" s="240"/>
      <c r="B240" s="240"/>
      <c r="C240" s="240"/>
    </row>
    <row r="241">
      <c r="A241" s="241"/>
      <c r="B241" s="241"/>
      <c r="C241" s="241"/>
    </row>
    <row r="242"/>
    <row r="243">
      <c r="A243" s="240"/>
      <c r="B243" s="240"/>
      <c r="C243" s="240"/>
    </row>
    <row r="244">
      <c r="A244" s="241"/>
      <c r="B244" s="241"/>
      <c r="C244" s="241"/>
    </row>
    <row r="245">
      <c r="A245" s="253" t="s">
        <v>676</v>
      </c>
      <c r="B245" s="254"/>
      <c r="C245" s="254"/>
      <c r="D245" s="254"/>
      <c r="E245" s="254"/>
    </row>
    <row r="246">
      <c r="A246" s="253" t="s">
        <v>669</v>
      </c>
      <c r="B246" s="253" t="s">
        <v>670</v>
      </c>
      <c r="C246" s="253" t="s">
        <v>671</v>
      </c>
      <c r="D246" s="253" t="s">
        <v>677</v>
      </c>
      <c r="E246" s="253" t="s">
        <v>678</v>
      </c>
      <c r="F246" s="253" t="s">
        <v>679</v>
      </c>
    </row>
    <row customHeight="true" ht="16.071428571428573" r="247">
      <c r="A247" s="254">
        <v>22579</v>
      </c>
      <c r="B247" s="254">
        <v>1323</v>
      </c>
      <c r="C247" s="254">
        <v>912</v>
      </c>
      <c r="D247" s="254">
        <v>869368</v>
      </c>
      <c r="E247" s="254">
        <v>143618</v>
      </c>
      <c r="F247" s="255">
        <f>E247/D247</f>
      </c>
    </row>
    <row r="248">
      <c r="A248" s="254"/>
      <c r="B248" s="254"/>
      <c r="C248" s="254"/>
      <c r="D248" s="254"/>
      <c r="E248" s="254"/>
    </row>
    <row r="249">
      <c r="A249" s="253" t="s">
        <v>680</v>
      </c>
      <c r="B249" s="254"/>
      <c r="C249" s="254"/>
      <c r="D249" s="254"/>
      <c r="E249" s="254"/>
    </row>
    <row r="250">
      <c r="A250" s="253" t="s">
        <v>669</v>
      </c>
      <c r="B250" s="253" t="s">
        <v>670</v>
      </c>
      <c r="C250" s="253" t="s">
        <v>671</v>
      </c>
      <c r="D250" s="253" t="s">
        <v>677</v>
      </c>
      <c r="E250" s="253" t="s">
        <v>678</v>
      </c>
      <c r="F250" s="253" t="s">
        <v>679</v>
      </c>
    </row>
    <row r="251">
      <c r="A251" s="254">
        <v>21242</v>
      </c>
      <c r="B251" s="253">
        <v>1214</v>
      </c>
      <c r="C251" s="253">
        <v>816</v>
      </c>
      <c r="D251" s="254">
        <v>603006</v>
      </c>
      <c r="E251" s="254">
        <v>98632</v>
      </c>
      <c r="F251" s="255">
        <f>E251/D251</f>
      </c>
    </row>
    <row r="252">
      <c r="A252" s="254"/>
      <c r="B252" s="254"/>
      <c r="C252" s="254"/>
      <c r="D252" s="254"/>
      <c r="E252" s="254"/>
    </row>
    <row r="253">
      <c r="A253" s="253" t="s">
        <v>681</v>
      </c>
      <c r="B253" s="254"/>
      <c r="C253" s="254"/>
      <c r="D253" s="254"/>
      <c r="E253" s="254"/>
    </row>
    <row r="254">
      <c r="A254" s="253" t="s">
        <v>669</v>
      </c>
      <c r="B254" s="253" t="s">
        <v>670</v>
      </c>
      <c r="C254" s="253" t="s">
        <v>671</v>
      </c>
      <c r="D254" s="253" t="s">
        <v>677</v>
      </c>
      <c r="E254" s="253" t="s">
        <v>678</v>
      </c>
      <c r="F254" s="253" t="s">
        <v>679</v>
      </c>
    </row>
    <row r="255">
      <c r="A255" s="254">
        <v>34025</v>
      </c>
      <c r="B255" s="253">
        <v>2008</v>
      </c>
      <c r="C255" s="253">
        <v>1326</v>
      </c>
      <c r="D255" s="254">
        <v>1039914</v>
      </c>
      <c r="E255" s="254">
        <v>169296</v>
      </c>
      <c r="F255" s="255">
        <f>E255/D255</f>
      </c>
    </row>
    <row r="256">
      <c r="A256" s="254"/>
      <c r="B256" s="254"/>
      <c r="C256" s="254"/>
      <c r="D256" s="254"/>
      <c r="E256" s="254"/>
    </row>
    <row r="257">
      <c r="A257" s="253" t="s">
        <v>682</v>
      </c>
      <c r="B257" s="254"/>
      <c r="C257" s="254"/>
      <c r="D257" s="254"/>
      <c r="E257" s="254"/>
    </row>
    <row r="258">
      <c r="A258" s="253" t="s">
        <v>669</v>
      </c>
      <c r="B258" s="253" t="s">
        <v>670</v>
      </c>
      <c r="C258" s="253" t="s">
        <v>671</v>
      </c>
      <c r="D258" s="253" t="s">
        <v>677</v>
      </c>
      <c r="E258" s="253" t="s">
        <v>678</v>
      </c>
      <c r="F258" s="253" t="s">
        <v>679</v>
      </c>
    </row>
    <row r="259">
      <c r="A259" s="254">
        <v>116121</v>
      </c>
      <c r="B259" s="253">
        <v>8125</v>
      </c>
      <c r="C259" s="253">
        <v>5969</v>
      </c>
      <c r="D259" s="254">
        <v>5289906</v>
      </c>
      <c r="E259" s="254">
        <v>837190</v>
      </c>
      <c r="F259" s="255">
        <f>E259/D259</f>
      </c>
    </row>
    <row r="260">
      <c r="A260" s="254"/>
      <c r="B260" s="254"/>
      <c r="C260" s="254"/>
      <c r="D260" s="254"/>
      <c r="E260" s="254"/>
    </row>
    <row r="261">
      <c r="A261" s="253" t="s">
        <v>683</v>
      </c>
      <c r="B261" s="254"/>
      <c r="C261" s="254"/>
      <c r="D261" s="254"/>
      <c r="E261" s="254"/>
    </row>
    <row r="262">
      <c r="A262" s="253" t="s">
        <v>669</v>
      </c>
      <c r="B262" s="253" t="s">
        <v>670</v>
      </c>
      <c r="C262" s="253" t="s">
        <v>671</v>
      </c>
      <c r="D262" s="253" t="s">
        <v>677</v>
      </c>
      <c r="E262" s="253" t="s">
        <v>678</v>
      </c>
      <c r="F262" s="253" t="s">
        <v>679</v>
      </c>
      <c r="G262" s="213">
        <v>6</v>
      </c>
      <c r="H262" s="213">
        <v>2345</v>
      </c>
      <c r="I262" s="213">
        <v>1691</v>
      </c>
    </row>
    <row r="263">
      <c r="A263" s="254">
        <v>71666</v>
      </c>
      <c r="B263" s="253">
        <v>5099</v>
      </c>
      <c r="C263" s="253">
        <v>3746</v>
      </c>
      <c r="D263" s="254">
        <v>2948476</v>
      </c>
      <c r="E263" s="254">
        <v>488080</v>
      </c>
      <c r="F263" s="255">
        <f>E263/D263</f>
      </c>
      <c r="G263" s="213">
        <v>7</v>
      </c>
      <c r="H263" s="213">
        <v>2754</v>
      </c>
      <c r="I263" s="213">
        <v>2055</v>
      </c>
    </row>
    <row r="264">
      <c r="A264" s="254"/>
      <c r="B264" s="254"/>
      <c r="C264" s="254"/>
      <c r="D264" s="254"/>
      <c r="E264" s="254"/>
    </row>
    <row r="265">
      <c r="A265" s="253" t="s">
        <v>684</v>
      </c>
      <c r="B265" s="254"/>
      <c r="C265" s="254"/>
      <c r="D265" s="254"/>
      <c r="E265" s="254"/>
    </row>
    <row r="266">
      <c r="A266" s="253" t="s">
        <v>669</v>
      </c>
      <c r="B266" s="253" t="s">
        <v>670</v>
      </c>
      <c r="C266" s="253" t="s">
        <v>671</v>
      </c>
      <c r="D266" s="253" t="s">
        <v>677</v>
      </c>
      <c r="E266" s="253" t="s">
        <v>678</v>
      </c>
      <c r="F266" s="253" t="s">
        <v>679</v>
      </c>
    </row>
    <row r="267">
      <c r="A267" s="254">
        <v>38935</v>
      </c>
      <c r="B267" s="253">
        <v>2374</v>
      </c>
      <c r="C267" s="253">
        <v>1802</v>
      </c>
      <c r="D267" s="254">
        <v>1477679</v>
      </c>
      <c r="E267" s="254">
        <v>248063</v>
      </c>
      <c r="F267" s="255">
        <f>E267/D267</f>
      </c>
    </row>
    <row r="268">
      <c r="A268" s="254"/>
      <c r="B268" s="254"/>
      <c r="C268" s="254"/>
      <c r="D268" s="254"/>
      <c r="E268" s="254"/>
    </row>
    <row r="269">
      <c r="A269" s="253" t="s">
        <v>685</v>
      </c>
      <c r="B269" s="254"/>
      <c r="C269" s="254"/>
      <c r="D269" s="254"/>
      <c r="E269" s="254"/>
    </row>
    <row r="270">
      <c r="A270" s="253" t="s">
        <v>669</v>
      </c>
      <c r="B270" s="253" t="s">
        <v>670</v>
      </c>
      <c r="C270" s="253" t="s">
        <v>671</v>
      </c>
      <c r="D270" s="253" t="s">
        <v>677</v>
      </c>
      <c r="E270" s="253" t="s">
        <v>678</v>
      </c>
      <c r="F270" s="253" t="s">
        <v>679</v>
      </c>
    </row>
    <row r="271">
      <c r="A271" s="254">
        <v>36717</v>
      </c>
      <c r="B271" s="253">
        <v>2305</v>
      </c>
      <c r="C271" s="253">
        <v>1608</v>
      </c>
      <c r="D271" s="254">
        <v>1255544</v>
      </c>
      <c r="E271" s="254">
        <v>203591</v>
      </c>
      <c r="F271" s="255">
        <f>E271/D271</f>
      </c>
    </row>
    <row r="272">
      <c r="A272" s="254"/>
      <c r="B272" s="254"/>
      <c r="C272" s="254"/>
      <c r="D272" s="254"/>
      <c r="E272" s="254"/>
    </row>
    <row r="273">
      <c r="A273" s="253" t="s">
        <v>686</v>
      </c>
      <c r="B273" s="254"/>
      <c r="C273" s="254"/>
      <c r="D273" s="254"/>
      <c r="E273" s="254"/>
    </row>
    <row r="274">
      <c r="A274" s="253" t="s">
        <v>669</v>
      </c>
      <c r="B274" s="253" t="s">
        <v>670</v>
      </c>
      <c r="C274" s="253" t="s">
        <v>671</v>
      </c>
      <c r="D274" s="253" t="s">
        <v>677</v>
      </c>
      <c r="E274" s="253" t="s">
        <v>678</v>
      </c>
      <c r="F274" s="253" t="s">
        <v>679</v>
      </c>
    </row>
    <row r="275">
      <c r="A275" s="254">
        <v>23755</v>
      </c>
      <c r="B275" s="253">
        <v>1510</v>
      </c>
      <c r="C275" s="253">
        <v>996</v>
      </c>
      <c r="D275" s="254">
        <v>647231</v>
      </c>
      <c r="E275" s="254">
        <v>105731</v>
      </c>
      <c r="F275" s="255">
        <f>E275/D275</f>
      </c>
    </row>
    <row r="276">
      <c r="A276" s="254"/>
      <c r="B276" s="254"/>
      <c r="C276" s="254"/>
      <c r="D276" s="254"/>
      <c r="E276" s="254"/>
    </row>
    <row r="277">
      <c r="A277" s="253" t="s">
        <v>687</v>
      </c>
      <c r="B277" s="254"/>
      <c r="C277" s="254"/>
      <c r="D277" s="254"/>
      <c r="E277" s="254"/>
    </row>
    <row r="278">
      <c r="A278" s="253" t="s">
        <v>669</v>
      </c>
      <c r="B278" s="253" t="s">
        <v>670</v>
      </c>
      <c r="C278" s="253" t="s">
        <v>671</v>
      </c>
      <c r="D278" s="253" t="s">
        <v>677</v>
      </c>
      <c r="E278" s="253" t="s">
        <v>678</v>
      </c>
      <c r="F278" s="253" t="s">
        <v>679</v>
      </c>
    </row>
    <row r="279">
      <c r="A279" s="253">
        <v>15624</v>
      </c>
      <c r="B279" s="253">
        <v>980</v>
      </c>
      <c r="C279" s="253">
        <v>599</v>
      </c>
      <c r="D279" s="253">
        <v>418347</v>
      </c>
      <c r="E279" s="253">
        <v>55347</v>
      </c>
      <c r="F279" s="255">
        <f>E279/D279</f>
      </c>
    </row>
    <row r="280">
      <c r="A280" s="240"/>
      <c r="B280" s="240"/>
      <c r="C280" s="240"/>
    </row>
    <row r="281">
      <c r="A281" s="240"/>
      <c r="B281" s="240"/>
      <c r="C281" s="240"/>
    </row>
    <row r="282">
      <c r="A282" s="240"/>
      <c r="B282" s="240"/>
      <c r="C282" s="240"/>
    </row>
    <row r="283">
      <c r="A283" s="240"/>
      <c r="B283" s="240"/>
      <c r="C283" s="240"/>
    </row>
    <row r="284">
      <c r="A284" s="240"/>
      <c r="B284" s="240"/>
      <c r="C284" s="240"/>
    </row>
    <row r="285">
      <c r="A285" s="240"/>
      <c r="B285" s="240"/>
      <c r="C285" s="240"/>
    </row>
    <row r="286">
      <c r="A286" s="240"/>
      <c r="B286" s="240"/>
      <c r="C286" s="240"/>
    </row>
    <row r="287">
      <c r="A287" s="240"/>
      <c r="B287" s="240"/>
      <c r="C287" s="240"/>
    </row>
    <row r="288">
      <c r="A288" s="240"/>
      <c r="B288" s="240"/>
      <c r="C288" s="240"/>
    </row>
    <row r="289">
      <c r="A289" s="240"/>
      <c r="B289" s="240"/>
      <c r="C289" s="240"/>
    </row>
    <row r="290">
      <c r="A290" s="240"/>
      <c r="B290" s="240"/>
      <c r="C290" s="240"/>
    </row>
    <row r="291">
      <c r="A291" s="240"/>
      <c r="B291" s="240"/>
      <c r="C291" s="240"/>
    </row>
    <row r="292">
      <c r="A292" s="240"/>
      <c r="B292" s="240"/>
      <c r="C292" s="240"/>
    </row>
    <row r="293">
      <c r="A293" s="240"/>
      <c r="B293" s="240"/>
      <c r="C293" s="240"/>
    </row>
    <row r="294">
      <c r="A294" s="240"/>
      <c r="B294" s="240"/>
      <c r="C294" s="240"/>
    </row>
    <row r="295">
      <c r="A295" s="240"/>
      <c r="B295" s="240"/>
      <c r="C295" s="240"/>
    </row>
    <row r="296">
      <c r="A296" s="240"/>
      <c r="B296" s="240"/>
      <c r="C296" s="240"/>
    </row>
    <row r="297">
      <c r="A297" s="240"/>
      <c r="B297" s="240"/>
      <c r="C297" s="240"/>
    </row>
    <row r="298">
      <c r="A298" s="240"/>
      <c r="B298" s="240"/>
      <c r="C298" s="240"/>
    </row>
    <row r="299">
      <c r="A299" s="240"/>
      <c r="B299" s="240"/>
      <c r="C299" s="240"/>
    </row>
    <row r="300">
      <c r="A300" s="240"/>
      <c r="B300" s="240"/>
      <c r="C300" s="240"/>
    </row>
    <row r="301">
      <c r="A301" s="242"/>
      <c r="B301" s="242"/>
      <c r="C301" s="242"/>
    </row>
    <row r="302">
      <c r="A302" s="242"/>
      <c r="B302" s="242"/>
      <c r="C302" s="242"/>
    </row>
    <row r="303">
      <c r="A303" s="242"/>
      <c r="B303" s="242"/>
      <c r="C303" s="242"/>
    </row>
    <row r="304">
      <c r="A304" s="242"/>
      <c r="B304" s="242"/>
      <c r="C304" s="242"/>
      <c r="D304" s="256"/>
      <c r="E304" s="256"/>
      <c r="F304" s="256"/>
      <c r="G304" s="256"/>
    </row>
    <row r="305">
      <c r="A305" s="257" t="s">
        <v>576</v>
      </c>
      <c r="B305" s="257" t="s">
        <v>669</v>
      </c>
      <c r="C305" s="257" t="s">
        <v>670</v>
      </c>
      <c r="D305" s="257" t="s">
        <v>671</v>
      </c>
      <c r="E305" s="257" t="s">
        <v>677</v>
      </c>
      <c r="F305" s="257" t="s">
        <v>678</v>
      </c>
      <c r="G305" s="257" t="s">
        <v>679</v>
      </c>
    </row>
    <row r="306">
      <c r="A306" s="258" t="s">
        <v>676</v>
      </c>
      <c r="B306" s="259">
        <v>22579</v>
      </c>
      <c r="C306" s="259">
        <v>1323</v>
      </c>
      <c r="D306" s="259">
        <v>912</v>
      </c>
      <c r="E306" s="259">
        <v>869368</v>
      </c>
      <c r="F306" s="259">
        <v>143618</v>
      </c>
      <c r="G306" s="260">
        <f t="shared" ref="G306:G314" si="25">F306/E306</f>
      </c>
    </row>
    <row r="307">
      <c r="A307" s="261" t="s">
        <v>680</v>
      </c>
      <c r="B307" s="259">
        <v>21242</v>
      </c>
      <c r="C307" s="259">
        <v>1214</v>
      </c>
      <c r="D307" s="259">
        <v>816</v>
      </c>
      <c r="E307" s="259">
        <v>603006</v>
      </c>
      <c r="F307" s="259">
        <v>98632</v>
      </c>
      <c r="G307" s="260">
        <f t="shared" si="25"/>
      </c>
    </row>
    <row r="308">
      <c r="A308" s="261" t="s">
        <v>681</v>
      </c>
      <c r="B308" s="259">
        <v>34025</v>
      </c>
      <c r="C308" s="259">
        <v>2008</v>
      </c>
      <c r="D308" s="259">
        <v>1326</v>
      </c>
      <c r="E308" s="259">
        <v>1039914</v>
      </c>
      <c r="F308" s="259">
        <v>169296</v>
      </c>
      <c r="G308" s="260">
        <f t="shared" si="25"/>
      </c>
    </row>
    <row r="309">
      <c r="A309" s="261" t="s">
        <v>682</v>
      </c>
      <c r="B309" s="259">
        <v>116121</v>
      </c>
      <c r="C309" s="259">
        <v>8125</v>
      </c>
      <c r="D309" s="259">
        <v>5969</v>
      </c>
      <c r="E309" s="259">
        <v>5289906</v>
      </c>
      <c r="F309" s="259">
        <v>837190</v>
      </c>
      <c r="G309" s="260">
        <f t="shared" si="25"/>
      </c>
    </row>
    <row r="310">
      <c r="A310" s="261" t="s">
        <v>683</v>
      </c>
      <c r="B310" s="259">
        <v>71666</v>
      </c>
      <c r="C310" s="259">
        <v>5099</v>
      </c>
      <c r="D310" s="259">
        <v>3746</v>
      </c>
      <c r="E310" s="259">
        <v>2948476</v>
      </c>
      <c r="F310" s="259">
        <v>488080</v>
      </c>
      <c r="G310" s="260">
        <f t="shared" si="25"/>
      </c>
    </row>
    <row r="311">
      <c r="A311" s="261" t="s">
        <v>684</v>
      </c>
      <c r="B311" s="259">
        <v>38935</v>
      </c>
      <c r="C311" s="259">
        <v>2374</v>
      </c>
      <c r="D311" s="259">
        <v>1802</v>
      </c>
      <c r="E311" s="259">
        <v>1477679</v>
      </c>
      <c r="F311" s="259">
        <v>248063</v>
      </c>
      <c r="G311" s="260">
        <f t="shared" si="25"/>
      </c>
    </row>
    <row r="312">
      <c r="A312" s="261" t="s">
        <v>685</v>
      </c>
      <c r="B312" s="259">
        <v>36717</v>
      </c>
      <c r="C312" s="259">
        <v>2305</v>
      </c>
      <c r="D312" s="259">
        <v>1608</v>
      </c>
      <c r="E312" s="259">
        <v>1255544</v>
      </c>
      <c r="F312" s="259">
        <v>203591</v>
      </c>
      <c r="G312" s="260">
        <f t="shared" si="25"/>
      </c>
    </row>
    <row r="313">
      <c r="A313" s="261" t="s">
        <v>686</v>
      </c>
      <c r="B313" s="259">
        <v>23755</v>
      </c>
      <c r="C313" s="259">
        <v>1510</v>
      </c>
      <c r="D313" s="259">
        <v>996</v>
      </c>
      <c r="E313" s="259">
        <v>647231</v>
      </c>
      <c r="F313" s="259">
        <v>105731</v>
      </c>
      <c r="G313" s="260">
        <f t="shared" si="25"/>
      </c>
    </row>
    <row r="314">
      <c r="A314" s="261" t="s">
        <v>687</v>
      </c>
      <c r="B314" s="259">
        <v>15624</v>
      </c>
      <c r="C314" s="259">
        <v>980</v>
      </c>
      <c r="D314" s="259">
        <v>599</v>
      </c>
      <c r="E314" s="259">
        <v>418347</v>
      </c>
      <c r="F314" s="259">
        <v>55347</v>
      </c>
      <c r="G314" s="260">
        <f t="shared" si="25"/>
      </c>
    </row>
    <row r="315">
      <c r="A315" s="242"/>
      <c r="B315" s="242"/>
      <c r="C315" s="242"/>
    </row>
    <row r="316">
      <c r="A316" s="242"/>
      <c r="B316" s="242"/>
      <c r="C316" s="242"/>
    </row>
    <row r="317">
      <c r="A317" s="262" t="s">
        <v>576</v>
      </c>
      <c r="B317" s="262" t="s">
        <v>669</v>
      </c>
      <c r="C317" s="262" t="s">
        <v>670</v>
      </c>
      <c r="D317" s="262" t="s">
        <v>671</v>
      </c>
      <c r="E317" s="262" t="s">
        <v>677</v>
      </c>
      <c r="F317" s="262" t="s">
        <v>678</v>
      </c>
      <c r="G317" s="262" t="s">
        <v>679</v>
      </c>
    </row>
    <row r="318">
      <c r="A318" s="258" t="s">
        <v>676</v>
      </c>
      <c r="B318" s="259">
        <v>22579</v>
      </c>
      <c r="C318" s="259">
        <v>1323</v>
      </c>
      <c r="D318" s="259">
        <v>912</v>
      </c>
      <c r="E318" s="259">
        <v>869368</v>
      </c>
      <c r="F318" s="259">
        <v>143618</v>
      </c>
      <c r="G318" s="260">
        <f t="shared" ref="G318:G326" si="26">F318/E318</f>
      </c>
    </row>
    <row r="319">
      <c r="A319" s="261" t="s">
        <v>680</v>
      </c>
      <c r="B319" s="259">
        <v>21242</v>
      </c>
      <c r="C319" s="259">
        <v>1214</v>
      </c>
      <c r="D319" s="259">
        <v>816</v>
      </c>
      <c r="E319" s="259">
        <v>603006</v>
      </c>
      <c r="F319" s="259">
        <v>98632</v>
      </c>
      <c r="G319" s="260">
        <f t="shared" si="26"/>
      </c>
    </row>
    <row r="320">
      <c r="A320" s="261" t="s">
        <v>681</v>
      </c>
      <c r="B320" s="259">
        <v>34025</v>
      </c>
      <c r="C320" s="259">
        <v>2008</v>
      </c>
      <c r="D320" s="259">
        <v>1326</v>
      </c>
      <c r="E320" s="259">
        <v>1039914</v>
      </c>
      <c r="F320" s="259">
        <v>169296</v>
      </c>
      <c r="G320" s="260">
        <f t="shared" si="26"/>
      </c>
    </row>
    <row r="321">
      <c r="A321" s="261" t="s">
        <v>682</v>
      </c>
      <c r="B321" s="259">
        <v>116121</v>
      </c>
      <c r="C321" s="259">
        <v>8125</v>
      </c>
      <c r="D321" s="259">
        <v>5969</v>
      </c>
      <c r="E321" s="259">
        <v>5289906</v>
      </c>
      <c r="F321" s="259">
        <v>837190</v>
      </c>
      <c r="G321" s="260">
        <f t="shared" si="26"/>
      </c>
    </row>
    <row r="322">
      <c r="A322" s="261" t="s">
        <v>683</v>
      </c>
      <c r="B322" s="259">
        <v>71666</v>
      </c>
      <c r="C322" s="259">
        <v>5099</v>
      </c>
      <c r="D322" s="259">
        <v>3746</v>
      </c>
      <c r="E322" s="259">
        <v>2948476</v>
      </c>
      <c r="F322" s="259">
        <v>488080</v>
      </c>
      <c r="G322" s="260">
        <f t="shared" si="26"/>
      </c>
    </row>
    <row r="323">
      <c r="A323" s="261" t="s">
        <v>684</v>
      </c>
      <c r="B323" s="259">
        <v>38935</v>
      </c>
      <c r="C323" s="259">
        <v>2374</v>
      </c>
      <c r="D323" s="259">
        <v>1802</v>
      </c>
      <c r="E323" s="259">
        <v>1477679</v>
      </c>
      <c r="F323" s="259">
        <v>248063</v>
      </c>
      <c r="G323" s="260">
        <f t="shared" si="26"/>
      </c>
    </row>
    <row r="324">
      <c r="A324" s="261" t="s">
        <v>685</v>
      </c>
      <c r="B324" s="259">
        <v>36717</v>
      </c>
      <c r="C324" s="259">
        <v>2305</v>
      </c>
      <c r="D324" s="259">
        <v>1608</v>
      </c>
      <c r="E324" s="259">
        <v>1255544</v>
      </c>
      <c r="F324" s="259">
        <v>203591</v>
      </c>
      <c r="G324" s="260">
        <f t="shared" si="26"/>
      </c>
    </row>
    <row r="325">
      <c r="A325" s="261" t="s">
        <v>686</v>
      </c>
      <c r="B325" s="259">
        <v>23755</v>
      </c>
      <c r="C325" s="259">
        <v>1510</v>
      </c>
      <c r="D325" s="259">
        <v>996</v>
      </c>
      <c r="E325" s="259">
        <v>647231</v>
      </c>
      <c r="F325" s="259">
        <v>105731</v>
      </c>
      <c r="G325" s="260">
        <f t="shared" si="26"/>
      </c>
    </row>
    <row r="326">
      <c r="A326" s="261" t="s">
        <v>687</v>
      </c>
      <c r="B326" s="259">
        <v>15624</v>
      </c>
      <c r="C326" s="259">
        <v>980</v>
      </c>
      <c r="D326" s="259">
        <v>599</v>
      </c>
      <c r="E326" s="259">
        <v>418347</v>
      </c>
      <c r="F326" s="259">
        <v>55347</v>
      </c>
      <c r="G326" s="260">
        <f t="shared" si="26"/>
      </c>
    </row>
    <row r="327">
      <c r="A327" s="242"/>
      <c r="B327" s="242"/>
      <c r="C327" s="242"/>
    </row>
    <row r="328">
      <c r="A328" s="242"/>
      <c r="B328" s="242"/>
      <c r="C328" s="242"/>
    </row>
    <row r="329">
      <c r="A329" s="242"/>
      <c r="B329" s="242"/>
      <c r="C329" s="242"/>
    </row>
    <row r="330">
      <c r="A330" s="242"/>
      <c r="B330" s="242"/>
      <c r="C330" s="242"/>
    </row>
    <row r="331">
      <c r="A331" s="242"/>
      <c r="B331" s="242"/>
      <c r="C331" s="242"/>
    </row>
    <row r="332">
      <c r="A332" s="242"/>
      <c r="B332" s="242"/>
      <c r="C332" s="242"/>
    </row>
    <row r="333">
      <c r="A333" s="242"/>
      <c r="B333" s="242"/>
      <c r="C333" s="242"/>
    </row>
    <row r="334">
      <c r="A334" s="242"/>
      <c r="B334" s="242"/>
      <c r="C334" s="242"/>
    </row>
    <row r="335">
      <c r="A335" s="242"/>
      <c r="B335" s="242"/>
      <c r="C335" s="242"/>
    </row>
  </sheetData>
  <mergeCells>
    <mergeCell ref="A236:A238"/>
  </mergeCells>
  <drawing r:id="rId1"/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9" min="9" style="0" width="11.211267605633802"/>
    <col collapsed="false" customWidth="true" hidden="false" max="13" min="13" style="0" width="11.211267605633802"/>
    <col collapsed="false" customWidth="true" hidden="false" max="17" min="17" style="0" width="11.211267605633802"/>
    <col collapsed="false" customWidth="true" hidden="false" max="5" min="5" style="0" width="11.211267605633802"/>
    <col collapsed="false" customWidth="true" hidden="false" max="10" min="10" style="0" width="11.211267605633802"/>
    <col collapsed="false" customWidth="true" hidden="false" max="14" min="14" style="0" width="11.211267605633802"/>
    <col collapsed="false" customWidth="true" hidden="false" max="18" min="18" style="0" width="11.211267605633802"/>
    <col collapsed="false" customWidth="true" hidden="false" max="6" min="6" style="0" width="11.211267605633802"/>
    <col collapsed="false" customWidth="true" hidden="false" max="11" min="11" style="0" width="11.211267605633802"/>
    <col collapsed="false" customWidth="true" hidden="false" max="15" min="15" style="0" width="11.211267605633802"/>
    <col collapsed="false" customWidth="true" hidden="false" max="19" min="19" style="0" width="11.211267605633802"/>
    <col collapsed="false" customWidth="true" hidden="false" max="7" min="7" style="0" width="11.211267605633802"/>
    <col collapsed="false" customWidth="true" hidden="false" max="8" min="8" style="0" width="11.211267605633802"/>
    <col collapsed="false" customWidth="true" hidden="false" max="12" min="12" style="0" width="11.211267605633802"/>
    <col collapsed="false" customWidth="true" hidden="false" max="16" min="16" style="0" width="11.211267605633802"/>
    <col collapsed="false" customWidth="true" hidden="false" max="20" min="20" style="0" width="11.211267605633802"/>
    <col collapsed="false" customWidth="true" hidden="false" max="4" min="4" style="0" width="11.211267605633802"/>
  </cols>
  <sheetData>
    <row r="1">
      <c r="A1" s="263" t="s">
        <v>688</v>
      </c>
      <c r="B1" s="263" t="s">
        <v>689</v>
      </c>
      <c r="C1" s="263" t="s">
        <v>690</v>
      </c>
      <c r="D1" s="263" t="s">
        <v>691</v>
      </c>
      <c r="E1" s="263" t="s">
        <v>692</v>
      </c>
      <c r="F1" s="264" t="s">
        <v>693</v>
      </c>
      <c r="G1" s="263" t="s">
        <v>694</v>
      </c>
      <c r="H1" s="263" t="s">
        <v>695</v>
      </c>
      <c r="I1" s="265" t="s">
        <v>696</v>
      </c>
      <c r="J1" s="265" t="s">
        <v>697</v>
      </c>
      <c r="K1" s="265" t="s">
        <v>698</v>
      </c>
      <c r="L1" s="266" t="s">
        <v>699</v>
      </c>
      <c r="M1" s="265" t="s">
        <v>700</v>
      </c>
      <c r="N1" s="263" t="s">
        <v>701</v>
      </c>
    </row>
    <row r="2">
      <c r="A2" s="267" t="s">
        <v>702</v>
      </c>
      <c r="B2" s="267" t="s">
        <v>703</v>
      </c>
      <c r="C2" s="268" t="s">
        <v>704</v>
      </c>
      <c r="D2" s="268">
        <v>5</v>
      </c>
      <c r="E2" s="268">
        <v>31</v>
      </c>
      <c r="F2" s="269"/>
      <c r="G2" s="269">
        <v>17401.89</v>
      </c>
      <c r="H2" s="269">
        <v>8659.51</v>
      </c>
      <c r="I2" s="270">
        <f t="shared" ref="I2:I136" si="3">G2/H2</f>
      </c>
      <c r="J2" s="270">
        <f t="shared" ref="J2:J136" si="0">G2/E2</f>
      </c>
      <c r="K2" s="270">
        <f t="shared" ref="K2:K136" si="5">H2/E2</f>
      </c>
      <c r="L2" s="270"/>
      <c r="M2" s="271" t="s">
        <v>705</v>
      </c>
      <c r="N2" s="268">
        <v>9</v>
      </c>
    </row>
    <row r="3">
      <c r="A3" s="267" t="s">
        <v>702</v>
      </c>
      <c r="B3" s="272" t="s">
        <v>706</v>
      </c>
      <c r="C3" s="268" t="s">
        <v>707</v>
      </c>
      <c r="D3" s="268">
        <v>4</v>
      </c>
      <c r="E3" s="268">
        <v>69</v>
      </c>
      <c r="F3" s="269"/>
      <c r="G3" s="269">
        <v>39177.76</v>
      </c>
      <c r="H3" s="269">
        <v>20312.210000000003</v>
      </c>
      <c r="I3" s="270">
        <f t="shared" si="3"/>
      </c>
      <c r="J3" s="270">
        <f t="shared" si="0"/>
      </c>
      <c r="K3" s="270">
        <f t="shared" si="5"/>
      </c>
      <c r="L3" s="270"/>
      <c r="M3" s="271"/>
      <c r="N3" s="268"/>
    </row>
    <row r="4">
      <c r="A4" s="267" t="s">
        <v>702</v>
      </c>
      <c r="B4" s="267" t="s">
        <v>708</v>
      </c>
      <c r="C4" s="268" t="s">
        <v>709</v>
      </c>
      <c r="D4" s="268">
        <v>3</v>
      </c>
      <c r="E4" s="268">
        <v>44</v>
      </c>
      <c r="F4" s="269"/>
      <c r="G4" s="269">
        <v>29046.980000000003</v>
      </c>
      <c r="H4" s="269">
        <v>15551.89</v>
      </c>
      <c r="I4" s="270">
        <f t="shared" si="3"/>
      </c>
      <c r="J4" s="270">
        <f t="shared" si="0"/>
      </c>
      <c r="K4" s="270">
        <f t="shared" si="5"/>
      </c>
      <c r="L4" s="270"/>
      <c r="M4" s="271" t="s">
        <v>710</v>
      </c>
      <c r="N4" s="268">
        <v>5</v>
      </c>
    </row>
    <row r="5">
      <c r="A5" s="267" t="s">
        <v>702</v>
      </c>
      <c r="B5" s="272" t="s">
        <v>711</v>
      </c>
      <c r="C5" s="268" t="s">
        <v>712</v>
      </c>
      <c r="D5" s="268">
        <v>2</v>
      </c>
      <c r="E5" s="268">
        <v>12</v>
      </c>
      <c r="F5" s="269"/>
      <c r="G5" s="269">
        <v>5775.739999999991</v>
      </c>
      <c r="H5" s="269">
        <v>4711.59</v>
      </c>
      <c r="I5" s="270">
        <f t="shared" si="3"/>
      </c>
      <c r="J5" s="270">
        <f t="shared" si="0"/>
      </c>
      <c r="K5" s="270">
        <f t="shared" si="5"/>
      </c>
      <c r="L5" s="270"/>
      <c r="M5" s="273"/>
      <c r="N5" s="268"/>
    </row>
    <row r="6">
      <c r="A6" s="274" t="s">
        <v>702</v>
      </c>
      <c r="B6" s="275"/>
      <c r="C6" s="275"/>
      <c r="D6" s="275">
        <f>SUM(D2:D5)</f>
      </c>
      <c r="E6" s="275">
        <f>SUM(E2:E5)</f>
      </c>
      <c r="F6" s="275"/>
      <c r="G6" s="275">
        <f>SUM(G2:G5)</f>
      </c>
      <c r="H6" s="275">
        <f>SUM(H2:H5)</f>
      </c>
      <c r="I6" s="276">
        <f t="shared" si="3"/>
      </c>
      <c r="J6" s="276">
        <f t="shared" si="0"/>
      </c>
      <c r="K6" s="276">
        <f t="shared" si="5"/>
      </c>
      <c r="L6" s="276"/>
      <c r="M6" s="276"/>
      <c r="N6" s="275">
        <f>SUM(N2:N5)</f>
      </c>
    </row>
    <row r="7">
      <c r="A7" s="267" t="s">
        <v>713</v>
      </c>
      <c r="B7" s="267" t="s">
        <v>706</v>
      </c>
      <c r="C7" s="268" t="s">
        <v>714</v>
      </c>
      <c r="D7" s="268">
        <v>4</v>
      </c>
      <c r="E7" s="268">
        <v>19</v>
      </c>
      <c r="F7" s="269"/>
      <c r="G7" s="269">
        <v>9560.16</v>
      </c>
      <c r="H7" s="269">
        <v>6522.25</v>
      </c>
      <c r="I7" s="270">
        <f t="shared" si="3"/>
      </c>
      <c r="J7" s="270">
        <f t="shared" si="0"/>
      </c>
      <c r="K7" s="270">
        <f t="shared" si="5"/>
      </c>
      <c r="L7" s="270"/>
      <c r="M7" s="271" t="s">
        <v>705</v>
      </c>
      <c r="N7" s="268">
        <v>7</v>
      </c>
    </row>
    <row r="8">
      <c r="A8" s="267" t="s">
        <v>713</v>
      </c>
      <c r="B8" s="272" t="s">
        <v>715</v>
      </c>
      <c r="C8" s="268" t="s">
        <v>716</v>
      </c>
      <c r="D8" s="268">
        <v>3</v>
      </c>
      <c r="E8" s="268">
        <v>8</v>
      </c>
      <c r="F8" s="269"/>
      <c r="G8" s="269">
        <v>4950.24</v>
      </c>
      <c r="H8" s="269">
        <v>2792.71</v>
      </c>
      <c r="I8" s="270">
        <f t="shared" si="3"/>
      </c>
      <c r="J8" s="270">
        <f t="shared" si="0"/>
      </c>
      <c r="K8" s="270">
        <f t="shared" si="5"/>
      </c>
      <c r="L8" s="270"/>
      <c r="M8" s="271"/>
      <c r="N8" s="268"/>
    </row>
    <row r="9">
      <c r="A9" s="267" t="s">
        <v>713</v>
      </c>
      <c r="B9" s="272" t="s">
        <v>711</v>
      </c>
      <c r="C9" s="268" t="s">
        <v>717</v>
      </c>
      <c r="D9" s="268">
        <v>2</v>
      </c>
      <c r="E9" s="268">
        <v>5</v>
      </c>
      <c r="F9" s="269"/>
      <c r="G9" s="269">
        <v>1537.92</v>
      </c>
      <c r="H9" s="269">
        <v>1732.9</v>
      </c>
      <c r="I9" s="270">
        <f t="shared" si="3"/>
      </c>
      <c r="J9" s="270">
        <f t="shared" si="0"/>
      </c>
      <c r="K9" s="270">
        <f t="shared" si="5"/>
      </c>
      <c r="L9" s="270"/>
      <c r="M9" s="271" t="s">
        <v>710</v>
      </c>
      <c r="N9" s="268">
        <v>2</v>
      </c>
    </row>
    <row r="10">
      <c r="A10" s="274" t="s">
        <v>713</v>
      </c>
      <c r="B10" s="275"/>
      <c r="C10" s="275"/>
      <c r="D10" s="275">
        <f>SUM(D7:D9)</f>
      </c>
      <c r="E10" s="275">
        <f>SUM(E7:E9)</f>
      </c>
      <c r="F10" s="275"/>
      <c r="G10" s="275">
        <f>SUM(G7:G9)</f>
      </c>
      <c r="H10" s="275">
        <f>SUM(H7:H9)</f>
      </c>
      <c r="I10" s="276">
        <f t="shared" si="3"/>
      </c>
      <c r="J10" s="276">
        <f t="shared" si="0"/>
      </c>
      <c r="K10" s="276">
        <f t="shared" si="5"/>
      </c>
      <c r="L10" s="276"/>
      <c r="M10" s="276"/>
      <c r="N10" s="275">
        <f>SUM(N7:N9)</f>
      </c>
    </row>
    <row r="11">
      <c r="A11" s="267" t="s">
        <v>718</v>
      </c>
      <c r="B11" s="267" t="s">
        <v>703</v>
      </c>
      <c r="C11" s="268" t="s">
        <v>714</v>
      </c>
      <c r="D11" s="268">
        <v>4</v>
      </c>
      <c r="E11" s="268">
        <v>18</v>
      </c>
      <c r="F11" s="269"/>
      <c r="G11" s="269">
        <v>12882.84</v>
      </c>
      <c r="H11" s="269">
        <v>5657.7699999999995</v>
      </c>
      <c r="I11" s="270">
        <f t="shared" si="3"/>
      </c>
      <c r="J11" s="270">
        <f t="shared" si="0"/>
      </c>
      <c r="K11" s="270">
        <f t="shared" si="5"/>
      </c>
      <c r="L11" s="270"/>
      <c r="M11" s="271" t="s">
        <v>705</v>
      </c>
      <c r="N11" s="268">
        <v>9</v>
      </c>
      <c r="P11" s="263" t="s">
        <v>689</v>
      </c>
      <c r="Q11" s="263" t="s">
        <v>691</v>
      </c>
      <c r="R11" s="263" t="s">
        <v>692</v>
      </c>
      <c r="S11" s="263" t="s">
        <v>694</v>
      </c>
      <c r="T11" s="263" t="s">
        <v>695</v>
      </c>
      <c r="U11" s="265" t="s">
        <v>696</v>
      </c>
      <c r="V11" s="265" t="s">
        <v>697</v>
      </c>
      <c r="W11" s="265" t="s">
        <v>698</v>
      </c>
    </row>
    <row r="12">
      <c r="A12" s="267" t="s">
        <v>718</v>
      </c>
      <c r="B12" s="272" t="s">
        <v>715</v>
      </c>
      <c r="C12" s="268" t="s">
        <v>719</v>
      </c>
      <c r="D12" s="268">
        <v>4</v>
      </c>
      <c r="E12" s="268">
        <v>27</v>
      </c>
      <c r="F12" s="269"/>
      <c r="G12" s="269">
        <v>13117.380000000001</v>
      </c>
      <c r="H12" s="269">
        <v>8235.939999999999</v>
      </c>
      <c r="I12" s="270">
        <f t="shared" si="3"/>
      </c>
      <c r="J12" s="270">
        <f t="shared" si="0"/>
      </c>
      <c r="K12" s="270">
        <f t="shared" si="5"/>
      </c>
      <c r="L12" s="270"/>
      <c r="M12" s="271"/>
      <c r="N12" s="268"/>
    </row>
    <row r="13">
      <c r="A13" s="267" t="s">
        <v>718</v>
      </c>
      <c r="B13" s="272" t="s">
        <v>708</v>
      </c>
      <c r="C13" s="268" t="s">
        <v>720</v>
      </c>
      <c r="D13" s="268">
        <v>4</v>
      </c>
      <c r="E13" s="268">
        <v>26</v>
      </c>
      <c r="F13" s="269"/>
      <c r="G13" s="269">
        <v>13404.379999999997</v>
      </c>
      <c r="H13" s="269">
        <v>9071.95</v>
      </c>
      <c r="I13" s="270">
        <f t="shared" si="3"/>
      </c>
      <c r="J13" s="270">
        <f t="shared" si="0"/>
      </c>
      <c r="K13" s="270">
        <f t="shared" si="5"/>
      </c>
      <c r="L13" s="270"/>
      <c r="M13" s="271"/>
      <c r="N13" s="268"/>
    </row>
    <row r="14">
      <c r="A14" s="267" t="s">
        <v>718</v>
      </c>
      <c r="B14" s="272" t="s">
        <v>711</v>
      </c>
      <c r="C14" s="268" t="s">
        <v>721</v>
      </c>
      <c r="D14" s="268">
        <v>3</v>
      </c>
      <c r="E14" s="268">
        <v>32</v>
      </c>
      <c r="F14" s="269"/>
      <c r="G14" s="269">
        <v>16550.16000000001</v>
      </c>
      <c r="H14" s="269">
        <v>10815.43</v>
      </c>
      <c r="I14" s="270">
        <f t="shared" si="3"/>
      </c>
      <c r="J14" s="270">
        <f t="shared" si="0"/>
      </c>
      <c r="K14" s="270">
        <f t="shared" si="5"/>
      </c>
      <c r="L14" s="270"/>
      <c r="M14" s="271" t="s">
        <v>710</v>
      </c>
      <c r="N14" s="268">
        <v>6</v>
      </c>
    </row>
    <row r="15">
      <c r="A15" s="274" t="s">
        <v>718</v>
      </c>
      <c r="B15" s="275"/>
      <c r="C15" s="275"/>
      <c r="D15" s="275">
        <f>SUM(D11:D14)</f>
      </c>
      <c r="E15" s="275">
        <f>SUM(E11:E14)</f>
      </c>
      <c r="F15" s="275"/>
      <c r="G15" s="275">
        <f>SUM(G11:G14)</f>
      </c>
      <c r="H15" s="275">
        <f>SUM(H11:H14)</f>
      </c>
      <c r="I15" s="276">
        <f t="shared" si="3"/>
      </c>
      <c r="J15" s="276">
        <f t="shared" si="0"/>
      </c>
      <c r="K15" s="276">
        <f t="shared" si="5"/>
      </c>
      <c r="L15" s="276"/>
      <c r="M15" s="276"/>
      <c r="N15" s="275">
        <f>SUM(N11:N14)</f>
      </c>
    </row>
    <row r="16">
      <c r="A16" s="267" t="s">
        <v>722</v>
      </c>
      <c r="B16" s="267" t="s">
        <v>715</v>
      </c>
      <c r="C16" s="268" t="s">
        <v>714</v>
      </c>
      <c r="D16" s="268">
        <v>4</v>
      </c>
      <c r="E16" s="268">
        <v>25</v>
      </c>
      <c r="F16" s="269"/>
      <c r="G16" s="269">
        <v>13416.47</v>
      </c>
      <c r="H16" s="269">
        <v>9925.3</v>
      </c>
      <c r="I16" s="270">
        <f t="shared" si="3"/>
      </c>
      <c r="J16" s="270">
        <f t="shared" si="0"/>
      </c>
      <c r="K16" s="270">
        <f t="shared" si="5"/>
      </c>
      <c r="L16" s="270"/>
      <c r="M16" s="271" t="s">
        <v>705</v>
      </c>
      <c r="N16" s="268">
        <v>9</v>
      </c>
    </row>
    <row r="17">
      <c r="A17" s="267" t="s">
        <v>722</v>
      </c>
      <c r="B17" s="272" t="s">
        <v>703</v>
      </c>
      <c r="C17" s="268" t="s">
        <v>719</v>
      </c>
      <c r="D17" s="268">
        <v>4</v>
      </c>
      <c r="E17" s="268">
        <v>13</v>
      </c>
      <c r="F17" s="269"/>
      <c r="G17" s="269">
        <v>6950.879999999999</v>
      </c>
      <c r="H17" s="269">
        <v>4805.799999999999</v>
      </c>
      <c r="I17" s="270">
        <f t="shared" si="3"/>
      </c>
      <c r="J17" s="270">
        <f t="shared" si="0"/>
      </c>
      <c r="K17" s="270">
        <f t="shared" si="5"/>
      </c>
      <c r="L17" s="270"/>
      <c r="M17" s="271"/>
      <c r="N17" s="268"/>
    </row>
    <row r="18">
      <c r="A18" s="267" t="s">
        <v>722</v>
      </c>
      <c r="B18" s="272" t="s">
        <v>708</v>
      </c>
      <c r="C18" s="268" t="s">
        <v>723</v>
      </c>
      <c r="D18" s="268">
        <v>1</v>
      </c>
      <c r="E18" s="268">
        <v>3</v>
      </c>
      <c r="F18" s="269"/>
      <c r="G18" s="269">
        <v>1994.1599999999999</v>
      </c>
      <c r="H18" s="269">
        <v>1757.26</v>
      </c>
      <c r="I18" s="270">
        <f t="shared" si="3"/>
      </c>
      <c r="J18" s="270">
        <f t="shared" si="0"/>
      </c>
      <c r="K18" s="270">
        <f t="shared" si="5"/>
      </c>
      <c r="L18" s="270"/>
      <c r="M18" s="271"/>
      <c r="N18" s="268"/>
    </row>
    <row r="19">
      <c r="A19" s="274" t="s">
        <v>722</v>
      </c>
      <c r="B19" s="275"/>
      <c r="C19" s="275"/>
      <c r="D19" s="277">
        <f>D18+D17+D16</f>
      </c>
      <c r="E19" s="277">
        <f>E18+E17+E16</f>
      </c>
      <c r="F19" s="275"/>
      <c r="G19" s="275">
        <f>G18+G17+G16</f>
      </c>
      <c r="H19" s="275">
        <f>H18+H17+H16</f>
      </c>
      <c r="I19" s="276">
        <f t="shared" si="3"/>
      </c>
      <c r="J19" s="276">
        <f t="shared" si="0"/>
      </c>
      <c r="K19" s="276">
        <f t="shared" si="5"/>
      </c>
      <c r="L19" s="276"/>
      <c r="M19" s="276"/>
      <c r="N19" s="275">
        <f>SUM(N16:N17)</f>
      </c>
    </row>
    <row r="20">
      <c r="A20" s="267" t="s">
        <v>724</v>
      </c>
      <c r="B20" s="267" t="s">
        <v>703</v>
      </c>
      <c r="C20" s="268" t="s">
        <v>714</v>
      </c>
      <c r="D20" s="268">
        <v>4</v>
      </c>
      <c r="E20" s="268">
        <v>14</v>
      </c>
      <c r="F20" s="269"/>
      <c r="G20" s="269">
        <v>8908.56</v>
      </c>
      <c r="H20" s="269">
        <v>4690.530000000001</v>
      </c>
      <c r="I20" s="270">
        <f t="shared" si="3"/>
      </c>
      <c r="J20" s="270">
        <f t="shared" si="0"/>
      </c>
      <c r="K20" s="270">
        <f t="shared" si="5"/>
      </c>
      <c r="L20" s="270"/>
      <c r="M20" s="271" t="s">
        <v>705</v>
      </c>
      <c r="N20" s="268">
        <v>8</v>
      </c>
    </row>
    <row r="21">
      <c r="A21" s="267" t="s">
        <v>724</v>
      </c>
      <c r="B21" s="272" t="s">
        <v>725</v>
      </c>
      <c r="C21" s="268" t="s">
        <v>719</v>
      </c>
      <c r="D21" s="268">
        <v>4</v>
      </c>
      <c r="E21" s="268">
        <v>12</v>
      </c>
      <c r="F21" s="269"/>
      <c r="G21" s="269">
        <v>5721.620000000001</v>
      </c>
      <c r="H21" s="269">
        <v>2715.6099999999997</v>
      </c>
      <c r="I21" s="270">
        <f t="shared" si="3"/>
      </c>
      <c r="J21" s="270">
        <f t="shared" si="0"/>
      </c>
      <c r="K21" s="270">
        <f t="shared" si="5"/>
      </c>
      <c r="L21" s="270"/>
      <c r="M21" s="271"/>
      <c r="N21" s="268"/>
    </row>
    <row r="22">
      <c r="A22" s="274" t="s">
        <v>724</v>
      </c>
      <c r="B22" s="275"/>
      <c r="C22" s="275"/>
      <c r="D22" s="275">
        <f>SUM(D20:D21)</f>
      </c>
      <c r="E22" s="275">
        <f>SUM(E20:E21)</f>
      </c>
      <c r="F22" s="275"/>
      <c r="G22" s="275">
        <f>SUM(G20:G21)</f>
      </c>
      <c r="H22" s="275">
        <f>SUM(H20:H21)</f>
      </c>
      <c r="I22" s="276">
        <f t="shared" si="3"/>
      </c>
      <c r="J22" s="276">
        <f t="shared" si="0"/>
      </c>
      <c r="K22" s="276">
        <f t="shared" si="5"/>
      </c>
      <c r="L22" s="276"/>
      <c r="M22" s="276"/>
      <c r="N22" s="275">
        <f>SUM(N20:N21)</f>
      </c>
    </row>
    <row r="23">
      <c r="A23" s="267" t="s">
        <v>726</v>
      </c>
      <c r="B23" s="267" t="s">
        <v>703</v>
      </c>
      <c r="C23" s="268" t="s">
        <v>714</v>
      </c>
      <c r="D23" s="268">
        <v>4</v>
      </c>
      <c r="E23" s="268">
        <v>96</v>
      </c>
      <c r="F23" s="269"/>
      <c r="G23" s="269">
        <v>48569.18</v>
      </c>
      <c r="H23" s="269">
        <v>29498.429999999997</v>
      </c>
      <c r="I23" s="270">
        <f t="shared" si="3"/>
      </c>
      <c r="J23" s="270">
        <f t="shared" si="0"/>
      </c>
      <c r="K23" s="270">
        <f t="shared" si="5"/>
      </c>
      <c r="L23" s="270"/>
      <c r="M23" s="271" t="s">
        <v>705</v>
      </c>
      <c r="N23" s="268">
        <v>9</v>
      </c>
    </row>
    <row r="24">
      <c r="A24" s="267" t="s">
        <v>726</v>
      </c>
      <c r="B24" s="272" t="s">
        <v>725</v>
      </c>
      <c r="C24" s="268" t="s">
        <v>719</v>
      </c>
      <c r="D24" s="268">
        <v>4</v>
      </c>
      <c r="E24" s="268">
        <v>82</v>
      </c>
      <c r="F24" s="269"/>
      <c r="G24" s="269">
        <v>55821.409999999996</v>
      </c>
      <c r="H24" s="269">
        <v>28323.799999999996</v>
      </c>
      <c r="I24" s="270">
        <f t="shared" si="3"/>
      </c>
      <c r="J24" s="270">
        <f t="shared" si="0"/>
      </c>
      <c r="K24" s="270">
        <f t="shared" si="5"/>
      </c>
      <c r="L24" s="270"/>
      <c r="M24" s="271"/>
      <c r="N24" s="268"/>
    </row>
    <row r="25">
      <c r="A25" s="267" t="s">
        <v>726</v>
      </c>
      <c r="B25" s="272" t="s">
        <v>715</v>
      </c>
      <c r="C25" s="268" t="s">
        <v>723</v>
      </c>
      <c r="D25" s="268">
        <v>1</v>
      </c>
      <c r="E25" s="268">
        <v>9</v>
      </c>
      <c r="F25" s="269"/>
      <c r="G25" s="269">
        <v>4187.279999999999</v>
      </c>
      <c r="H25" s="269">
        <v>3470.69</v>
      </c>
      <c r="I25" s="270">
        <f t="shared" si="3"/>
      </c>
      <c r="J25" s="270">
        <f t="shared" si="0"/>
      </c>
      <c r="K25" s="270">
        <f t="shared" si="5"/>
      </c>
      <c r="L25" s="270"/>
      <c r="M25" s="271"/>
      <c r="N25" s="268"/>
    </row>
    <row r="26">
      <c r="A26" s="274" t="s">
        <v>726</v>
      </c>
      <c r="B26" s="275"/>
      <c r="C26" s="275"/>
      <c r="D26" s="275">
        <f>SUM(D23:D25)</f>
      </c>
      <c r="E26" s="275">
        <f>SUM(E23:E25)</f>
      </c>
      <c r="F26" s="275"/>
      <c r="G26" s="275">
        <f>SUM(G23:G25)</f>
      </c>
      <c r="H26" s="275">
        <f>SUM(H23:H25)</f>
      </c>
      <c r="I26" s="276">
        <f t="shared" si="3"/>
      </c>
      <c r="J26" s="276">
        <f t="shared" si="0"/>
      </c>
      <c r="K26" s="276">
        <f t="shared" si="5"/>
      </c>
      <c r="L26" s="276"/>
      <c r="M26" s="276"/>
      <c r="N26" s="275">
        <f>SUM(N23:N25)</f>
      </c>
    </row>
    <row r="27">
      <c r="A27" s="267" t="s">
        <v>727</v>
      </c>
      <c r="B27" s="267" t="s">
        <v>715</v>
      </c>
      <c r="C27" s="268" t="s">
        <v>714</v>
      </c>
      <c r="D27" s="268">
        <v>4</v>
      </c>
      <c r="E27" s="268">
        <v>31</v>
      </c>
      <c r="F27" s="269"/>
      <c r="G27" s="269">
        <v>15207.88</v>
      </c>
      <c r="H27" s="269">
        <v>13593.71</v>
      </c>
      <c r="I27" s="270">
        <f t="shared" si="3"/>
      </c>
      <c r="J27" s="270">
        <f t="shared" si="0"/>
      </c>
      <c r="K27" s="270">
        <f t="shared" si="5"/>
      </c>
      <c r="L27" s="270"/>
      <c r="M27" s="271" t="s">
        <v>705</v>
      </c>
      <c r="N27" s="268">
        <v>9</v>
      </c>
    </row>
    <row r="28">
      <c r="A28" s="267" t="s">
        <v>727</v>
      </c>
      <c r="B28" s="272" t="s">
        <v>725</v>
      </c>
      <c r="C28" s="268" t="s">
        <v>716</v>
      </c>
      <c r="D28" s="268">
        <v>3</v>
      </c>
      <c r="E28" s="268">
        <v>39</v>
      </c>
      <c r="F28" s="269"/>
      <c r="G28" s="269">
        <v>23814.770000000004</v>
      </c>
      <c r="H28" s="269">
        <v>10814.7</v>
      </c>
      <c r="I28" s="270">
        <f t="shared" si="3"/>
      </c>
      <c r="J28" s="270">
        <f t="shared" si="0"/>
      </c>
      <c r="K28" s="270">
        <f t="shared" si="5"/>
      </c>
      <c r="L28" s="270"/>
      <c r="M28" s="271"/>
      <c r="N28" s="268"/>
    </row>
    <row r="29">
      <c r="A29" s="267" t="s">
        <v>727</v>
      </c>
      <c r="B29" s="272" t="s">
        <v>728</v>
      </c>
      <c r="C29" s="268" t="s">
        <v>729</v>
      </c>
      <c r="D29" s="268">
        <v>3</v>
      </c>
      <c r="E29" s="268">
        <v>50</v>
      </c>
      <c r="F29" s="269"/>
      <c r="G29" s="269">
        <v>18934.620000000003</v>
      </c>
      <c r="H29" s="269">
        <v>17759.25</v>
      </c>
      <c r="I29" s="270">
        <f t="shared" si="3"/>
      </c>
      <c r="J29" s="270">
        <f t="shared" si="0"/>
      </c>
      <c r="K29" s="270">
        <f t="shared" si="5"/>
      </c>
      <c r="L29" s="270"/>
      <c r="M29" s="271" t="s">
        <v>710</v>
      </c>
      <c r="N29" s="268">
        <v>1</v>
      </c>
    </row>
    <row r="30">
      <c r="A30" s="267" t="s">
        <v>727</v>
      </c>
      <c r="B30" s="272" t="s">
        <v>730</v>
      </c>
      <c r="C30" s="268" t="s">
        <v>731</v>
      </c>
      <c r="D30" s="268">
        <v>4</v>
      </c>
      <c r="E30" s="268">
        <v>149</v>
      </c>
      <c r="F30" s="269"/>
      <c r="G30" s="269">
        <v>74683.56999999998</v>
      </c>
      <c r="H30" s="269">
        <v>36495.98</v>
      </c>
      <c r="I30" s="270">
        <f t="shared" si="3"/>
      </c>
      <c r="J30" s="270">
        <f t="shared" si="0"/>
      </c>
      <c r="K30" s="270">
        <f t="shared" si="5"/>
      </c>
      <c r="L30" s="270"/>
      <c r="M30" s="271" t="s">
        <v>732</v>
      </c>
      <c r="N30" s="268">
        <v>4</v>
      </c>
    </row>
    <row r="31">
      <c r="A31" s="274" t="s">
        <v>727</v>
      </c>
      <c r="B31" s="275"/>
      <c r="C31" s="275"/>
      <c r="D31" s="275">
        <f>SUM(D27:D30)</f>
      </c>
      <c r="E31" s="275">
        <f>SUM(E27:E30)</f>
      </c>
      <c r="F31" s="275"/>
      <c r="G31" s="275">
        <f>SUM(G27:G30)</f>
      </c>
      <c r="H31" s="275">
        <f>SUM(H27:H30)</f>
      </c>
      <c r="I31" s="276">
        <f t="shared" si="3"/>
      </c>
      <c r="J31" s="276">
        <f t="shared" si="0"/>
      </c>
      <c r="K31" s="276">
        <f t="shared" si="5"/>
      </c>
      <c r="L31" s="276"/>
      <c r="M31" s="276"/>
      <c r="N31" s="275">
        <f>SUM(N27:N30)</f>
      </c>
    </row>
    <row r="32">
      <c r="A32" s="267" t="s">
        <v>733</v>
      </c>
      <c r="B32" s="272" t="s">
        <v>730</v>
      </c>
      <c r="C32" s="268" t="s">
        <v>714</v>
      </c>
      <c r="D32" s="268">
        <v>4</v>
      </c>
      <c r="E32" s="268">
        <v>113</v>
      </c>
      <c r="F32" s="269"/>
      <c r="G32" s="269">
        <v>56683.26</v>
      </c>
      <c r="H32" s="269">
        <v>40120.13</v>
      </c>
      <c r="I32" s="270">
        <f t="shared" si="3"/>
      </c>
      <c r="J32" s="270">
        <f t="shared" si="0"/>
      </c>
      <c r="K32" s="270">
        <f t="shared" si="5"/>
      </c>
      <c r="L32" s="270"/>
      <c r="M32" s="271" t="s">
        <v>734</v>
      </c>
      <c r="N32" s="268">
        <v>9</v>
      </c>
    </row>
    <row r="33">
      <c r="A33" s="267" t="s">
        <v>733</v>
      </c>
      <c r="B33" s="272" t="s">
        <v>706</v>
      </c>
      <c r="C33" s="268" t="s">
        <v>719</v>
      </c>
      <c r="D33" s="268">
        <v>4</v>
      </c>
      <c r="E33" s="268">
        <v>63</v>
      </c>
      <c r="F33" s="269"/>
      <c r="G33" s="269">
        <v>25717.139999999992</v>
      </c>
      <c r="H33" s="269">
        <v>21179.829999999998</v>
      </c>
      <c r="I33" s="270">
        <f t="shared" si="3"/>
      </c>
      <c r="J33" s="270">
        <f t="shared" si="0"/>
      </c>
      <c r="K33" s="270">
        <f t="shared" si="5"/>
      </c>
      <c r="L33" s="270"/>
      <c r="M33" s="271"/>
      <c r="N33" s="268"/>
    </row>
    <row r="34">
      <c r="A34" s="267" t="s">
        <v>733</v>
      </c>
      <c r="B34" s="272" t="s">
        <v>725</v>
      </c>
      <c r="C34" s="268" t="s">
        <v>735</v>
      </c>
      <c r="D34" s="268">
        <v>2</v>
      </c>
      <c r="E34" s="268">
        <v>20</v>
      </c>
      <c r="F34" s="269"/>
      <c r="G34" s="269">
        <v>10280.660000000003</v>
      </c>
      <c r="H34" s="269">
        <v>6520.499999999999</v>
      </c>
      <c r="I34" s="270">
        <f t="shared" si="3"/>
      </c>
      <c r="J34" s="270">
        <f t="shared" si="0"/>
      </c>
      <c r="K34" s="270">
        <f t="shared" si="5"/>
      </c>
      <c r="L34" s="270"/>
      <c r="M34" s="271" t="s">
        <v>736</v>
      </c>
      <c r="N34" s="268">
        <v>1</v>
      </c>
    </row>
    <row r="35">
      <c r="A35" s="267" t="s">
        <v>733</v>
      </c>
      <c r="B35" s="272" t="s">
        <v>728</v>
      </c>
      <c r="C35" s="268" t="s">
        <v>737</v>
      </c>
      <c r="D35" s="268">
        <v>4</v>
      </c>
      <c r="E35" s="268">
        <v>120</v>
      </c>
      <c r="F35" s="269"/>
      <c r="G35" s="269">
        <v>62974.48000000001</v>
      </c>
      <c r="H35" s="269">
        <v>33074.23</v>
      </c>
      <c r="I35" s="270">
        <f t="shared" si="3"/>
      </c>
      <c r="J35" s="270">
        <f t="shared" si="0"/>
      </c>
      <c r="K35" s="270">
        <f t="shared" si="5"/>
      </c>
      <c r="L35" s="270"/>
      <c r="M35" s="271" t="s">
        <v>732</v>
      </c>
      <c r="N35" s="268">
        <v>4</v>
      </c>
    </row>
    <row r="36">
      <c r="A36" s="274" t="s">
        <v>733</v>
      </c>
      <c r="B36" s="275"/>
      <c r="C36" s="275"/>
      <c r="D36" s="275">
        <f>SUM(D32:D35)</f>
      </c>
      <c r="E36" s="275">
        <f>SUM(E32:E35)</f>
      </c>
      <c r="F36" s="275"/>
      <c r="G36" s="275">
        <f>SUM(G32:G35)</f>
      </c>
      <c r="H36" s="275">
        <f>SUM(H32:H35)</f>
      </c>
      <c r="I36" s="276">
        <f t="shared" si="3"/>
      </c>
      <c r="J36" s="276">
        <f t="shared" si="0"/>
      </c>
      <c r="K36" s="276">
        <f t="shared" si="5"/>
      </c>
      <c r="L36" s="276"/>
      <c r="M36" s="276"/>
      <c r="N36" s="275">
        <f>SUM(N32:N35)</f>
      </c>
    </row>
    <row r="37">
      <c r="A37" s="267" t="s">
        <v>738</v>
      </c>
      <c r="B37" s="272" t="s">
        <v>730</v>
      </c>
      <c r="C37" s="268" t="s">
        <v>704</v>
      </c>
      <c r="D37" s="268">
        <v>5</v>
      </c>
      <c r="E37" s="268">
        <v>153</v>
      </c>
      <c r="F37" s="269"/>
      <c r="G37" s="269">
        <v>90938.65</v>
      </c>
      <c r="H37" s="269">
        <v>38811.08</v>
      </c>
      <c r="I37" s="270">
        <f t="shared" si="3"/>
      </c>
      <c r="J37" s="270">
        <f t="shared" si="0"/>
      </c>
      <c r="K37" s="270">
        <f t="shared" si="5"/>
      </c>
      <c r="L37" s="270"/>
      <c r="M37" s="271" t="s">
        <v>734</v>
      </c>
      <c r="N37" s="268">
        <v>9</v>
      </c>
    </row>
    <row r="38">
      <c r="A38" s="267" t="s">
        <v>738</v>
      </c>
      <c r="B38" s="272" t="s">
        <v>706</v>
      </c>
      <c r="C38" s="268" t="s">
        <v>707</v>
      </c>
      <c r="D38" s="268">
        <v>4</v>
      </c>
      <c r="E38" s="268">
        <v>59</v>
      </c>
      <c r="F38" s="269"/>
      <c r="G38" s="269">
        <v>27322.960000000006</v>
      </c>
      <c r="H38" s="269">
        <v>17074.910000000003</v>
      </c>
      <c r="I38" s="270">
        <f t="shared" si="3"/>
      </c>
      <c r="J38" s="270">
        <f t="shared" si="0"/>
      </c>
      <c r="K38" s="270">
        <f t="shared" si="5"/>
      </c>
      <c r="L38" s="270"/>
      <c r="M38" s="271"/>
      <c r="N38" s="268"/>
    </row>
    <row r="39">
      <c r="A39" s="267" t="s">
        <v>738</v>
      </c>
      <c r="B39" s="272" t="s">
        <v>725</v>
      </c>
      <c r="C39" s="268" t="s">
        <v>739</v>
      </c>
      <c r="D39" s="268">
        <v>4</v>
      </c>
      <c r="E39" s="268">
        <v>55</v>
      </c>
      <c r="F39" s="269"/>
      <c r="G39" s="269">
        <v>30858.199999999997</v>
      </c>
      <c r="H39" s="269">
        <v>17522.79</v>
      </c>
      <c r="I39" s="270">
        <f t="shared" si="3"/>
      </c>
      <c r="J39" s="270">
        <f t="shared" si="0"/>
      </c>
      <c r="K39" s="270">
        <f t="shared" si="5"/>
      </c>
      <c r="L39" s="270"/>
      <c r="M39" s="271"/>
      <c r="N39" s="268"/>
    </row>
    <row r="40">
      <c r="A40" s="267" t="s">
        <v>738</v>
      </c>
      <c r="B40" s="272" t="s">
        <v>728</v>
      </c>
      <c r="C40" s="268" t="s">
        <v>740</v>
      </c>
      <c r="D40" s="268">
        <v>5</v>
      </c>
      <c r="E40" s="268">
        <v>100</v>
      </c>
      <c r="F40" s="269"/>
      <c r="G40" s="269">
        <v>57124.619999999995</v>
      </c>
      <c r="H40" s="269">
        <v>22877.22</v>
      </c>
      <c r="I40" s="270">
        <f t="shared" si="3"/>
      </c>
      <c r="J40" s="270">
        <f t="shared" si="0"/>
      </c>
      <c r="K40" s="270">
        <f t="shared" si="5"/>
      </c>
      <c r="L40" s="270"/>
      <c r="M40" s="271" t="s">
        <v>741</v>
      </c>
      <c r="N40" s="268">
        <v>9</v>
      </c>
    </row>
    <row r="41">
      <c r="A41" s="274" t="s">
        <v>738</v>
      </c>
      <c r="B41" s="275"/>
      <c r="C41" s="275"/>
      <c r="D41" s="275">
        <f>SUM(D37:D40)</f>
      </c>
      <c r="E41" s="275">
        <f>SUM(E37:E40)</f>
      </c>
      <c r="F41" s="275"/>
      <c r="G41" s="275">
        <f>SUM(G37:G40)</f>
      </c>
      <c r="H41" s="275">
        <f>SUM(H37:H40)</f>
      </c>
      <c r="I41" s="276">
        <f t="shared" si="3"/>
      </c>
      <c r="J41" s="276">
        <f t="shared" si="0"/>
      </c>
      <c r="K41" s="276">
        <f t="shared" si="5"/>
      </c>
      <c r="L41" s="276"/>
      <c r="M41" s="276"/>
      <c r="N41" s="275">
        <f>SUM(N37:N40)</f>
      </c>
    </row>
    <row r="42">
      <c r="A42" s="267" t="s">
        <v>742</v>
      </c>
      <c r="B42" s="272" t="s">
        <v>730</v>
      </c>
      <c r="C42" s="268" t="s">
        <v>704</v>
      </c>
      <c r="D42" s="268">
        <v>5</v>
      </c>
      <c r="E42" s="268">
        <v>163</v>
      </c>
      <c r="F42" s="269"/>
      <c r="G42" s="269">
        <v>100573.79</v>
      </c>
      <c r="H42" s="269">
        <v>43386.88</v>
      </c>
      <c r="I42" s="270">
        <f t="shared" si="3"/>
      </c>
      <c r="J42" s="270">
        <f t="shared" si="0"/>
      </c>
      <c r="K42" s="270">
        <f t="shared" si="5"/>
      </c>
      <c r="L42" s="270"/>
      <c r="M42" s="271" t="s">
        <v>743</v>
      </c>
      <c r="N42" s="268">
        <v>6</v>
      </c>
    </row>
    <row r="43">
      <c r="A43" s="267" t="s">
        <v>742</v>
      </c>
      <c r="B43" s="272" t="s">
        <v>728</v>
      </c>
      <c r="C43" s="268" t="s">
        <v>707</v>
      </c>
      <c r="D43" s="268">
        <v>4</v>
      </c>
      <c r="E43" s="268">
        <v>81</v>
      </c>
      <c r="F43" s="269"/>
      <c r="G43" s="269">
        <v>42809.96000000001</v>
      </c>
      <c r="H43" s="269">
        <v>22517.85</v>
      </c>
      <c r="I43" s="270">
        <f t="shared" si="3"/>
      </c>
      <c r="J43" s="270">
        <f t="shared" si="0"/>
      </c>
      <c r="K43" s="270">
        <f t="shared" si="5"/>
      </c>
      <c r="L43" s="270"/>
      <c r="M43" s="271"/>
      <c r="N43" s="268"/>
    </row>
    <row r="44">
      <c r="A44" s="267" t="s">
        <v>742</v>
      </c>
      <c r="B44" s="272" t="s">
        <v>725</v>
      </c>
      <c r="C44" s="268" t="s">
        <v>739</v>
      </c>
      <c r="D44" s="268">
        <v>4</v>
      </c>
      <c r="E44" s="268">
        <v>72</v>
      </c>
      <c r="F44" s="269"/>
      <c r="G44" s="269">
        <v>40667.29999999999</v>
      </c>
      <c r="H44" s="269">
        <v>20368.980000000003</v>
      </c>
      <c r="I44" s="270">
        <f t="shared" si="3"/>
      </c>
      <c r="J44" s="270">
        <f t="shared" si="0"/>
      </c>
      <c r="K44" s="270">
        <f t="shared" si="5"/>
      </c>
      <c r="L44" s="270"/>
      <c r="M44" s="271"/>
      <c r="N44" s="268"/>
    </row>
    <row r="45">
      <c r="A45" s="267" t="s">
        <v>742</v>
      </c>
      <c r="B45" s="272" t="s">
        <v>715</v>
      </c>
      <c r="C45" s="268" t="s">
        <v>744</v>
      </c>
      <c r="D45" s="268">
        <v>4</v>
      </c>
      <c r="E45" s="268">
        <v>78</v>
      </c>
      <c r="F45" s="269"/>
      <c r="G45" s="269">
        <v>34358.24000000002</v>
      </c>
      <c r="H45" s="269">
        <v>23141.309999999998</v>
      </c>
      <c r="I45" s="270">
        <f t="shared" si="3"/>
      </c>
      <c r="J45" s="270">
        <f t="shared" si="0"/>
      </c>
      <c r="K45" s="270">
        <f t="shared" si="5"/>
      </c>
      <c r="L45" s="270"/>
      <c r="M45" s="271" t="s">
        <v>741</v>
      </c>
      <c r="N45" s="268">
        <v>11</v>
      </c>
    </row>
    <row r="46">
      <c r="A46" s="274" t="s">
        <v>742</v>
      </c>
      <c r="B46" s="275"/>
      <c r="C46" s="275"/>
      <c r="D46" s="275">
        <f>SUM(D42:D45)</f>
      </c>
      <c r="E46" s="275">
        <f>SUM(E42:E45)</f>
      </c>
      <c r="F46" s="275"/>
      <c r="G46" s="275">
        <f>SUM(G42:G45)</f>
      </c>
      <c r="H46" s="275">
        <f>SUM(H42:H45)</f>
      </c>
      <c r="I46" s="276">
        <f t="shared" si="3"/>
      </c>
      <c r="J46" s="276">
        <f t="shared" si="0"/>
      </c>
      <c r="K46" s="276">
        <f t="shared" si="5"/>
      </c>
      <c r="L46" s="276"/>
      <c r="M46" s="276"/>
      <c r="N46" s="275">
        <f>SUM(N42:N45)</f>
      </c>
    </row>
    <row r="47">
      <c r="A47" s="267" t="s">
        <v>745</v>
      </c>
      <c r="B47" s="272" t="s">
        <v>730</v>
      </c>
      <c r="C47" s="268" t="s">
        <v>714</v>
      </c>
      <c r="D47" s="268">
        <v>4</v>
      </c>
      <c r="E47" s="268">
        <v>29</v>
      </c>
      <c r="F47" s="269"/>
      <c r="G47" s="269">
        <v>17764.86</v>
      </c>
      <c r="H47" s="269">
        <v>11884.86</v>
      </c>
      <c r="I47" s="270">
        <f t="shared" si="3"/>
      </c>
      <c r="J47" s="270">
        <f t="shared" si="0"/>
      </c>
      <c r="K47" s="270">
        <f t="shared" si="5"/>
      </c>
      <c r="L47" s="270"/>
      <c r="M47" s="271" t="s">
        <v>734</v>
      </c>
      <c r="N47" s="268">
        <v>9</v>
      </c>
    </row>
    <row r="48">
      <c r="A48" s="267" t="s">
        <v>745</v>
      </c>
      <c r="B48" s="272" t="s">
        <v>728</v>
      </c>
      <c r="C48" s="268" t="s">
        <v>719</v>
      </c>
      <c r="D48" s="268">
        <v>4</v>
      </c>
      <c r="E48" s="268">
        <v>26</v>
      </c>
      <c r="F48" s="269"/>
      <c r="G48" s="269">
        <v>12350.839999999997</v>
      </c>
      <c r="H48" s="269">
        <v>10179.76</v>
      </c>
      <c r="I48" s="270">
        <f t="shared" si="3"/>
      </c>
      <c r="J48" s="270">
        <f t="shared" si="0"/>
      </c>
      <c r="K48" s="270">
        <f t="shared" si="5"/>
      </c>
      <c r="L48" s="270"/>
      <c r="M48" s="271"/>
      <c r="N48" s="268"/>
    </row>
    <row r="49">
      <c r="A49" s="267" t="s">
        <v>745</v>
      </c>
      <c r="B49" s="272" t="s">
        <v>725</v>
      </c>
      <c r="C49" s="268" t="s">
        <v>746</v>
      </c>
      <c r="D49" s="268">
        <v>5</v>
      </c>
      <c r="E49" s="268">
        <v>135</v>
      </c>
      <c r="F49" s="269"/>
      <c r="G49" s="269">
        <v>73581.04000000001</v>
      </c>
      <c r="H49" s="269">
        <v>33765.21</v>
      </c>
      <c r="I49" s="270">
        <f t="shared" si="3"/>
      </c>
      <c r="J49" s="270">
        <f t="shared" si="0"/>
      </c>
      <c r="K49" s="270">
        <f t="shared" si="5"/>
      </c>
      <c r="L49" s="270"/>
      <c r="M49" s="271"/>
      <c r="N49" s="268"/>
    </row>
    <row r="50">
      <c r="A50" s="267" t="s">
        <v>745</v>
      </c>
      <c r="B50" s="272" t="s">
        <v>715</v>
      </c>
      <c r="C50" s="268" t="s">
        <v>744</v>
      </c>
      <c r="D50" s="268">
        <v>4</v>
      </c>
      <c r="E50" s="268">
        <v>65</v>
      </c>
      <c r="F50" s="269"/>
      <c r="G50" s="269">
        <v>28528.309999999983</v>
      </c>
      <c r="H50" s="269">
        <v>19193.440000000002</v>
      </c>
      <c r="I50" s="270">
        <f t="shared" si="3"/>
      </c>
      <c r="J50" s="270">
        <f t="shared" si="0"/>
      </c>
      <c r="K50" s="270">
        <f t="shared" si="5"/>
      </c>
      <c r="L50" s="270"/>
      <c r="M50" s="271" t="s">
        <v>741</v>
      </c>
      <c r="N50" s="268">
        <v>8</v>
      </c>
    </row>
    <row r="51">
      <c r="A51" s="274" t="s">
        <v>745</v>
      </c>
      <c r="B51" s="275"/>
      <c r="C51" s="275"/>
      <c r="D51" s="275">
        <f>SUM(D47:D50)</f>
      </c>
      <c r="E51" s="275">
        <f>SUM(E47:E50)</f>
      </c>
      <c r="F51" s="275"/>
      <c r="G51" s="275">
        <f>SUM(G47:G50)</f>
      </c>
      <c r="H51" s="275">
        <f>SUM(H47:H50)</f>
      </c>
      <c r="I51" s="276">
        <f t="shared" si="3"/>
      </c>
      <c r="J51" s="276">
        <f t="shared" si="0"/>
      </c>
      <c r="K51" s="276">
        <f t="shared" si="5"/>
      </c>
      <c r="L51" s="276"/>
      <c r="M51" s="276"/>
      <c r="N51" s="275">
        <f>SUM(N47:N50)</f>
      </c>
    </row>
    <row r="52">
      <c r="A52" s="267" t="s">
        <v>747</v>
      </c>
      <c r="B52" s="272" t="s">
        <v>730</v>
      </c>
      <c r="C52" s="268" t="s">
        <v>714</v>
      </c>
      <c r="D52" s="268">
        <v>4</v>
      </c>
      <c r="E52" s="268">
        <v>127</v>
      </c>
      <c r="F52" s="278">
        <v>48</v>
      </c>
      <c r="G52" s="269">
        <v>70579.73</v>
      </c>
      <c r="H52" s="269">
        <v>35197.33</v>
      </c>
      <c r="I52" s="270">
        <f t="shared" si="3"/>
      </c>
      <c r="J52" s="270">
        <f t="shared" si="0"/>
      </c>
      <c r="K52" s="270">
        <f t="shared" si="5"/>
      </c>
      <c r="L52" s="279">
        <f t="shared" ref="L52:L136" si="6">F52/E52</f>
      </c>
      <c r="M52" s="271" t="s">
        <v>748</v>
      </c>
      <c r="N52" s="268">
        <v>9</v>
      </c>
    </row>
    <row r="53">
      <c r="A53" s="267" t="s">
        <v>747</v>
      </c>
      <c r="B53" s="272" t="s">
        <v>725</v>
      </c>
      <c r="C53" s="268" t="s">
        <v>719</v>
      </c>
      <c r="D53" s="268">
        <v>4</v>
      </c>
      <c r="E53" s="268">
        <v>93</v>
      </c>
      <c r="F53" s="278">
        <v>35</v>
      </c>
      <c r="G53" s="269">
        <v>47679.240000000005</v>
      </c>
      <c r="H53" s="269">
        <v>32542.39</v>
      </c>
      <c r="I53" s="270">
        <f t="shared" si="3"/>
      </c>
      <c r="J53" s="270">
        <f t="shared" si="0"/>
      </c>
      <c r="K53" s="270">
        <f t="shared" si="5"/>
      </c>
      <c r="L53" s="279">
        <f t="shared" si="6"/>
      </c>
      <c r="M53" s="271"/>
      <c r="N53" s="268"/>
    </row>
    <row r="54">
      <c r="A54" s="267" t="s">
        <v>747</v>
      </c>
      <c r="B54" s="272" t="s">
        <v>728</v>
      </c>
      <c r="C54" s="268" t="s">
        <v>720</v>
      </c>
      <c r="D54" s="268">
        <v>4</v>
      </c>
      <c r="E54" s="268">
        <v>105</v>
      </c>
      <c r="F54" s="278">
        <v>37</v>
      </c>
      <c r="G54" s="269">
        <v>42887.06</v>
      </c>
      <c r="H54" s="269">
        <v>23197.33</v>
      </c>
      <c r="I54" s="270">
        <f t="shared" si="3"/>
      </c>
      <c r="J54" s="270">
        <f t="shared" si="0"/>
      </c>
      <c r="K54" s="270">
        <f t="shared" si="5"/>
      </c>
      <c r="L54" s="279">
        <f t="shared" si="6"/>
      </c>
      <c r="M54" s="271"/>
      <c r="N54" s="268"/>
    </row>
    <row r="55">
      <c r="A55" s="267" t="s">
        <v>747</v>
      </c>
      <c r="B55" s="272" t="s">
        <v>715</v>
      </c>
      <c r="C55" s="268" t="s">
        <v>737</v>
      </c>
      <c r="D55" s="268">
        <v>4</v>
      </c>
      <c r="E55" s="268">
        <v>116</v>
      </c>
      <c r="F55" s="278">
        <v>35</v>
      </c>
      <c r="G55" s="269">
        <v>59032.97</v>
      </c>
      <c r="H55" s="269">
        <v>30664.659999999996</v>
      </c>
      <c r="I55" s="270">
        <f t="shared" si="3"/>
      </c>
      <c r="J55" s="270">
        <f t="shared" si="0"/>
      </c>
      <c r="K55" s="270">
        <f t="shared" si="5"/>
      </c>
      <c r="L55" s="279">
        <f t="shared" si="6"/>
      </c>
      <c r="M55" s="271" t="s">
        <v>741</v>
      </c>
      <c r="N55" s="268">
        <v>7</v>
      </c>
    </row>
    <row r="56">
      <c r="A56" s="274" t="s">
        <v>747</v>
      </c>
      <c r="B56" s="275"/>
      <c r="C56" s="275"/>
      <c r="D56" s="275">
        <f>SUM(D52:D55)</f>
      </c>
      <c r="E56" s="275">
        <f>SUM(E52:E55)</f>
      </c>
      <c r="F56" s="280">
        <f>SUM(F52:F55)</f>
      </c>
      <c r="G56" s="275">
        <f>SUM(G52:G55)</f>
      </c>
      <c r="H56" s="275">
        <f>SUM(H52:H55)</f>
      </c>
      <c r="I56" s="276">
        <f t="shared" si="3"/>
      </c>
      <c r="J56" s="276">
        <f t="shared" si="0"/>
      </c>
      <c r="K56" s="276">
        <f t="shared" si="5"/>
      </c>
      <c r="L56" s="281">
        <f t="shared" si="6"/>
      </c>
      <c r="M56" s="276"/>
      <c r="N56" s="275">
        <f>SUM(N52:N55)</f>
      </c>
    </row>
    <row r="57">
      <c r="A57" s="267" t="s">
        <v>749</v>
      </c>
      <c r="B57" s="272" t="s">
        <v>730</v>
      </c>
      <c r="C57" s="268" t="s">
        <v>704</v>
      </c>
      <c r="D57" s="268">
        <v>5</v>
      </c>
      <c r="E57" s="268">
        <v>219</v>
      </c>
      <c r="F57" s="278">
        <v>66</v>
      </c>
      <c r="G57" s="269">
        <v>120073.65</v>
      </c>
      <c r="H57" s="269">
        <v>56664.07</v>
      </c>
      <c r="I57" s="270">
        <f t="shared" si="3"/>
      </c>
      <c r="J57" s="270">
        <f t="shared" si="0"/>
      </c>
      <c r="K57" s="270">
        <f t="shared" si="5"/>
      </c>
      <c r="L57" s="279">
        <f t="shared" si="6"/>
      </c>
      <c r="M57" s="271" t="s">
        <v>750</v>
      </c>
      <c r="N57" s="268">
        <v>9</v>
      </c>
    </row>
    <row r="58">
      <c r="A58" s="267" t="s">
        <v>749</v>
      </c>
      <c r="B58" s="272" t="s">
        <v>728</v>
      </c>
      <c r="C58" s="268" t="s">
        <v>707</v>
      </c>
      <c r="D58" s="268">
        <v>4</v>
      </c>
      <c r="E58" s="268">
        <v>119</v>
      </c>
      <c r="F58" s="278">
        <v>31</v>
      </c>
      <c r="G58" s="269">
        <v>59228.020000000004</v>
      </c>
      <c r="H58" s="269">
        <v>33983.12</v>
      </c>
      <c r="I58" s="270">
        <f t="shared" si="3"/>
      </c>
      <c r="J58" s="270">
        <f t="shared" si="0"/>
      </c>
      <c r="K58" s="270">
        <f t="shared" si="5"/>
      </c>
      <c r="L58" s="279">
        <f t="shared" si="6"/>
      </c>
      <c r="M58" s="271"/>
      <c r="N58" s="268"/>
    </row>
    <row r="59">
      <c r="A59" s="267" t="s">
        <v>749</v>
      </c>
      <c r="B59" s="272" t="s">
        <v>725</v>
      </c>
      <c r="C59" s="268" t="s">
        <v>739</v>
      </c>
      <c r="D59" s="268">
        <v>4</v>
      </c>
      <c r="E59" s="268">
        <v>100</v>
      </c>
      <c r="F59" s="278">
        <v>22</v>
      </c>
      <c r="G59" s="269">
        <v>42115.75999999998</v>
      </c>
      <c r="H59" s="269">
        <v>26012.089999999997</v>
      </c>
      <c r="I59" s="270">
        <f t="shared" si="3"/>
      </c>
      <c r="J59" s="270">
        <f t="shared" si="0"/>
      </c>
      <c r="K59" s="270">
        <f t="shared" si="5"/>
      </c>
      <c r="L59" s="279">
        <f t="shared" si="6"/>
      </c>
      <c r="M59" s="271"/>
      <c r="N59" s="268"/>
    </row>
    <row r="60">
      <c r="A60" s="267" t="s">
        <v>749</v>
      </c>
      <c r="B60" s="272" t="s">
        <v>715</v>
      </c>
      <c r="C60" s="268" t="s">
        <v>744</v>
      </c>
      <c r="D60" s="268">
        <v>4</v>
      </c>
      <c r="E60" s="268">
        <v>88</v>
      </c>
      <c r="F60" s="278">
        <v>14</v>
      </c>
      <c r="G60" s="269">
        <v>39398.73000000001</v>
      </c>
      <c r="H60" s="269">
        <v>27257.29</v>
      </c>
      <c r="I60" s="270">
        <f t="shared" si="3"/>
      </c>
      <c r="J60" s="270">
        <f t="shared" si="0"/>
      </c>
      <c r="K60" s="270">
        <f t="shared" si="5"/>
      </c>
      <c r="L60" s="279">
        <f t="shared" si="6"/>
      </c>
      <c r="M60" s="271" t="s">
        <v>741</v>
      </c>
      <c r="N60" s="268">
        <v>8</v>
      </c>
    </row>
    <row r="61">
      <c r="A61" s="274" t="s">
        <v>749</v>
      </c>
      <c r="B61" s="275"/>
      <c r="C61" s="275"/>
      <c r="D61" s="275">
        <f>SUM(D57:D60)</f>
      </c>
      <c r="E61" s="275">
        <f>SUM(E57:E60)</f>
      </c>
      <c r="F61" s="280">
        <f>SUM(F57:F60)</f>
      </c>
      <c r="G61" s="275">
        <f>SUM(G57:G60)</f>
      </c>
      <c r="H61" s="275">
        <f>SUM(H57:H60)</f>
      </c>
      <c r="I61" s="276">
        <f t="shared" si="3"/>
      </c>
      <c r="J61" s="276">
        <f t="shared" si="0"/>
      </c>
      <c r="K61" s="276">
        <f t="shared" si="5"/>
      </c>
      <c r="L61" s="281">
        <f t="shared" si="6"/>
      </c>
      <c r="M61" s="276"/>
      <c r="N61" s="275">
        <f>SUM(N57:N60)</f>
      </c>
    </row>
    <row r="62">
      <c r="A62" s="267" t="s">
        <v>751</v>
      </c>
      <c r="B62" s="272" t="s">
        <v>730</v>
      </c>
      <c r="C62" s="268" t="s">
        <v>704</v>
      </c>
      <c r="D62" s="268">
        <v>5</v>
      </c>
      <c r="E62" s="268">
        <v>134</v>
      </c>
      <c r="F62" s="278">
        <v>36</v>
      </c>
      <c r="G62" s="269">
        <v>81048.69</v>
      </c>
      <c r="H62" s="269">
        <v>36519.380000000005</v>
      </c>
      <c r="I62" s="270">
        <f t="shared" si="3"/>
      </c>
      <c r="J62" s="270">
        <f t="shared" si="0"/>
      </c>
      <c r="K62" s="270">
        <f t="shared" si="5"/>
      </c>
      <c r="L62" s="279">
        <f t="shared" si="6"/>
      </c>
      <c r="M62" s="271" t="s">
        <v>732</v>
      </c>
      <c r="N62" s="268">
        <v>9</v>
      </c>
    </row>
    <row r="63">
      <c r="A63" s="267" t="s">
        <v>751</v>
      </c>
      <c r="B63" s="272" t="s">
        <v>703</v>
      </c>
      <c r="C63" s="268" t="s">
        <v>707</v>
      </c>
      <c r="D63" s="268">
        <v>4</v>
      </c>
      <c r="E63" s="268">
        <v>114</v>
      </c>
      <c r="F63" s="278">
        <v>24</v>
      </c>
      <c r="G63" s="269">
        <v>79095.9</v>
      </c>
      <c r="H63" s="269">
        <v>27057.97</v>
      </c>
      <c r="I63" s="270">
        <f t="shared" si="3"/>
      </c>
      <c r="J63" s="270">
        <f t="shared" si="0"/>
      </c>
      <c r="K63" s="270">
        <f t="shared" si="5"/>
      </c>
      <c r="L63" s="279">
        <f t="shared" si="6"/>
      </c>
      <c r="M63" s="271"/>
      <c r="N63" s="268"/>
    </row>
    <row r="64">
      <c r="A64" s="267" t="s">
        <v>751</v>
      </c>
      <c r="B64" s="272" t="s">
        <v>715</v>
      </c>
      <c r="C64" s="268" t="s">
        <v>739</v>
      </c>
      <c r="D64" s="268">
        <v>4</v>
      </c>
      <c r="E64" s="268">
        <v>71</v>
      </c>
      <c r="F64" s="278">
        <v>19</v>
      </c>
      <c r="G64" s="269">
        <v>37896.17999999999</v>
      </c>
      <c r="H64" s="269">
        <v>20562.75</v>
      </c>
      <c r="I64" s="270">
        <f t="shared" si="3"/>
      </c>
      <c r="J64" s="270">
        <f t="shared" si="0"/>
      </c>
      <c r="K64" s="270">
        <f t="shared" si="5"/>
      </c>
      <c r="L64" s="279">
        <f t="shared" si="6"/>
      </c>
      <c r="M64" s="271"/>
      <c r="N64" s="268"/>
    </row>
    <row r="65">
      <c r="A65" s="267" t="s">
        <v>751</v>
      </c>
      <c r="B65" s="272" t="s">
        <v>728</v>
      </c>
      <c r="C65" s="268" t="s">
        <v>744</v>
      </c>
      <c r="D65" s="268">
        <v>4</v>
      </c>
      <c r="E65" s="268">
        <v>73</v>
      </c>
      <c r="F65" s="278">
        <v>17</v>
      </c>
      <c r="G65" s="269">
        <v>44095.19</v>
      </c>
      <c r="H65" s="269">
        <v>20315.54</v>
      </c>
      <c r="I65" s="270">
        <f t="shared" si="3"/>
      </c>
      <c r="J65" s="270">
        <f t="shared" si="0"/>
      </c>
      <c r="K65" s="270">
        <f t="shared" si="5"/>
      </c>
      <c r="L65" s="279">
        <f t="shared" si="6"/>
      </c>
      <c r="M65" s="271" t="s">
        <v>741</v>
      </c>
      <c r="N65" s="268">
        <v>8</v>
      </c>
    </row>
    <row r="66">
      <c r="A66" s="274" t="s">
        <v>751</v>
      </c>
      <c r="B66" s="275"/>
      <c r="C66" s="275"/>
      <c r="D66" s="275">
        <f>SUM(D62:D65)</f>
      </c>
      <c r="E66" s="275">
        <f>SUM(E62:E65)</f>
      </c>
      <c r="F66" s="280">
        <f>SUM(F62:F65)</f>
      </c>
      <c r="G66" s="275">
        <f>SUM(G62:G65)</f>
      </c>
      <c r="H66" s="275">
        <f>SUM(H62:H65)</f>
      </c>
      <c r="I66" s="276">
        <f t="shared" si="3"/>
      </c>
      <c r="J66" s="276">
        <f t="shared" si="0"/>
      </c>
      <c r="K66" s="276">
        <f t="shared" si="5"/>
      </c>
      <c r="L66" s="281">
        <f t="shared" si="6"/>
      </c>
      <c r="M66" s="276"/>
      <c r="N66" s="275">
        <f>SUM(N62:N65)</f>
      </c>
    </row>
    <row r="67">
      <c r="A67" s="267" t="s">
        <v>752</v>
      </c>
      <c r="B67" s="272" t="s">
        <v>730</v>
      </c>
      <c r="C67" s="268" t="s">
        <v>704</v>
      </c>
      <c r="D67" s="268">
        <v>5</v>
      </c>
      <c r="E67" s="268">
        <v>295</v>
      </c>
      <c r="F67" s="278">
        <v>73</v>
      </c>
      <c r="G67" s="269">
        <v>197594.41999999998</v>
      </c>
      <c r="H67" s="269">
        <v>78932.05</v>
      </c>
      <c r="I67" s="270">
        <f t="shared" si="3"/>
      </c>
      <c r="J67" s="270">
        <f t="shared" si="0"/>
      </c>
      <c r="K67" s="270">
        <f t="shared" si="5"/>
      </c>
      <c r="L67" s="279">
        <f t="shared" si="6"/>
      </c>
      <c r="M67" s="271" t="s">
        <v>732</v>
      </c>
      <c r="N67" s="268">
        <v>9</v>
      </c>
    </row>
    <row r="68">
      <c r="A68" s="267" t="s">
        <v>752</v>
      </c>
      <c r="B68" s="272" t="s">
        <v>703</v>
      </c>
      <c r="C68" s="268" t="s">
        <v>707</v>
      </c>
      <c r="D68" s="268">
        <v>4</v>
      </c>
      <c r="E68" s="268">
        <v>94</v>
      </c>
      <c r="F68" s="278">
        <v>22</v>
      </c>
      <c r="G68" s="269">
        <v>48231.02000000002</v>
      </c>
      <c r="H68" s="269">
        <v>30766.789999999997</v>
      </c>
      <c r="I68" s="270">
        <f t="shared" si="3"/>
      </c>
      <c r="J68" s="270">
        <f t="shared" si="0"/>
      </c>
      <c r="K68" s="270">
        <f t="shared" si="5"/>
      </c>
      <c r="L68" s="279">
        <f t="shared" si="6"/>
      </c>
      <c r="M68" s="271"/>
      <c r="N68" s="268"/>
    </row>
    <row r="69">
      <c r="A69" s="267" t="s">
        <v>752</v>
      </c>
      <c r="B69" s="272" t="s">
        <v>728</v>
      </c>
      <c r="C69" s="268" t="s">
        <v>739</v>
      </c>
      <c r="D69" s="268">
        <v>4</v>
      </c>
      <c r="E69" s="268">
        <v>142</v>
      </c>
      <c r="F69" s="278">
        <v>31</v>
      </c>
      <c r="G69" s="269">
        <v>80199.43</v>
      </c>
      <c r="H69" s="269">
        <v>36287.119999999995</v>
      </c>
      <c r="I69" s="270">
        <f t="shared" si="3"/>
      </c>
      <c r="J69" s="270">
        <f t="shared" si="0"/>
      </c>
      <c r="K69" s="270">
        <f t="shared" si="5"/>
      </c>
      <c r="L69" s="279">
        <f t="shared" si="6"/>
      </c>
      <c r="M69" s="271"/>
      <c r="N69" s="268"/>
    </row>
    <row r="70">
      <c r="A70" s="267" t="s">
        <v>752</v>
      </c>
      <c r="B70" s="272" t="s">
        <v>715</v>
      </c>
      <c r="C70" s="268" t="s">
        <v>740</v>
      </c>
      <c r="D70" s="268">
        <v>5</v>
      </c>
      <c r="E70" s="268">
        <v>214</v>
      </c>
      <c r="F70" s="278">
        <v>22</v>
      </c>
      <c r="G70" s="269">
        <v>106489.46999999997</v>
      </c>
      <c r="H70" s="269">
        <v>49035.72</v>
      </c>
      <c r="I70" s="270">
        <f t="shared" si="3"/>
      </c>
      <c r="J70" s="270">
        <f t="shared" si="0"/>
      </c>
      <c r="K70" s="270">
        <f t="shared" si="5"/>
      </c>
      <c r="L70" s="279">
        <f t="shared" si="6"/>
      </c>
      <c r="M70" s="271" t="s">
        <v>741</v>
      </c>
      <c r="N70" s="268">
        <v>9</v>
      </c>
    </row>
    <row r="71">
      <c r="A71" s="274" t="s">
        <v>752</v>
      </c>
      <c r="B71" s="275"/>
      <c r="C71" s="275"/>
      <c r="D71" s="275">
        <f>SUM(D67:D70)</f>
      </c>
      <c r="E71" s="275">
        <f>SUM(E67:E70)</f>
      </c>
      <c r="F71" s="280">
        <f>SUM(F67:F70)</f>
      </c>
      <c r="G71" s="275">
        <f>SUM(G67:G70)</f>
      </c>
      <c r="H71" s="275">
        <f>SUM(H67:H70)</f>
      </c>
      <c r="I71" s="276">
        <f t="shared" si="3"/>
      </c>
      <c r="J71" s="276">
        <f t="shared" si="0"/>
      </c>
      <c r="K71" s="276">
        <f t="shared" si="5"/>
      </c>
      <c r="L71" s="281">
        <f t="shared" si="6"/>
      </c>
      <c r="M71" s="276"/>
      <c r="N71" s="275">
        <f>SUM(N67:N70)</f>
      </c>
    </row>
    <row r="72">
      <c r="A72" s="267" t="s">
        <v>753</v>
      </c>
      <c r="B72" s="272" t="s">
        <v>703</v>
      </c>
      <c r="C72" s="268" t="s">
        <v>714</v>
      </c>
      <c r="D72" s="268">
        <v>4</v>
      </c>
      <c r="E72" s="268">
        <v>73</v>
      </c>
      <c r="F72" s="278">
        <v>17</v>
      </c>
      <c r="G72" s="269">
        <v>42156.380000000005</v>
      </c>
      <c r="H72" s="269">
        <v>24323.54</v>
      </c>
      <c r="I72" s="270">
        <f t="shared" si="3"/>
      </c>
      <c r="J72" s="270">
        <f t="shared" si="0"/>
      </c>
      <c r="K72" s="270">
        <f t="shared" si="5"/>
      </c>
      <c r="L72" s="279">
        <f t="shared" si="6"/>
      </c>
      <c r="M72" s="271" t="s">
        <v>732</v>
      </c>
      <c r="N72" s="268">
        <v>9</v>
      </c>
    </row>
    <row r="73">
      <c r="A73" s="267" t="s">
        <v>753</v>
      </c>
      <c r="B73" s="272" t="s">
        <v>730</v>
      </c>
      <c r="C73" s="268" t="s">
        <v>719</v>
      </c>
      <c r="D73" s="268">
        <v>4</v>
      </c>
      <c r="E73" s="268">
        <v>64</v>
      </c>
      <c r="F73" s="278">
        <v>15</v>
      </c>
      <c r="G73" s="269">
        <v>32408.729999999996</v>
      </c>
      <c r="H73" s="269">
        <v>21382</v>
      </c>
      <c r="I73" s="270">
        <f t="shared" si="3"/>
      </c>
      <c r="J73" s="270">
        <f t="shared" si="0"/>
      </c>
      <c r="K73" s="270">
        <f t="shared" si="5"/>
      </c>
      <c r="L73" s="279">
        <f t="shared" si="6"/>
      </c>
      <c r="M73" s="271"/>
      <c r="N73" s="268"/>
    </row>
    <row r="74">
      <c r="A74" s="267" t="s">
        <v>753</v>
      </c>
      <c r="B74" s="272" t="s">
        <v>728</v>
      </c>
      <c r="C74" s="268" t="s">
        <v>720</v>
      </c>
      <c r="D74" s="268">
        <v>4</v>
      </c>
      <c r="E74" s="268">
        <v>62</v>
      </c>
      <c r="F74" s="278">
        <v>12</v>
      </c>
      <c r="G74" s="269">
        <v>25194.940000000002</v>
      </c>
      <c r="H74" s="269">
        <v>19828.190000000002</v>
      </c>
      <c r="I74" s="270">
        <f t="shared" si="3"/>
      </c>
      <c r="J74" s="270">
        <f t="shared" si="0"/>
      </c>
      <c r="K74" s="270">
        <f t="shared" si="5"/>
      </c>
      <c r="L74" s="279">
        <f t="shared" si="6"/>
      </c>
      <c r="M74" s="271"/>
      <c r="N74" s="268"/>
    </row>
    <row r="75">
      <c r="A75" s="267" t="s">
        <v>753</v>
      </c>
      <c r="B75" s="272" t="s">
        <v>715</v>
      </c>
      <c r="C75" s="268" t="s">
        <v>712</v>
      </c>
      <c r="D75" s="268">
        <v>2</v>
      </c>
      <c r="E75" s="268">
        <v>30</v>
      </c>
      <c r="F75" s="278">
        <v>0</v>
      </c>
      <c r="G75" s="269">
        <v>10866.289999999994</v>
      </c>
      <c r="H75" s="269">
        <v>6686.62</v>
      </c>
      <c r="I75" s="270">
        <f t="shared" si="3"/>
      </c>
      <c r="J75" s="270">
        <f t="shared" si="0"/>
      </c>
      <c r="K75" s="270">
        <f t="shared" si="5"/>
      </c>
      <c r="L75" s="279">
        <f t="shared" si="6"/>
      </c>
      <c r="M75" s="271" t="s">
        <v>741</v>
      </c>
      <c r="N75" s="268">
        <v>5</v>
      </c>
    </row>
    <row r="76">
      <c r="A76" s="274" t="s">
        <v>753</v>
      </c>
      <c r="B76" s="275"/>
      <c r="C76" s="275"/>
      <c r="D76" s="275">
        <f>SUM(D72:D75)</f>
      </c>
      <c r="E76" s="275">
        <f>SUM(E72:E75)</f>
      </c>
      <c r="F76" s="280">
        <f>SUM(F72:F75)</f>
      </c>
      <c r="G76" s="275">
        <f>SUM(G72:G75)</f>
      </c>
      <c r="H76" s="275">
        <f>SUM(H72:H75)</f>
      </c>
      <c r="I76" s="276">
        <f t="shared" si="3"/>
      </c>
      <c r="J76" s="276">
        <f t="shared" si="0"/>
      </c>
      <c r="K76" s="276">
        <f t="shared" si="5"/>
      </c>
      <c r="L76" s="281">
        <f t="shared" si="6"/>
      </c>
      <c r="M76" s="276"/>
      <c r="N76" s="275">
        <f>SUM(N72:N75)</f>
      </c>
    </row>
    <row r="77">
      <c r="A77" s="267" t="s">
        <v>754</v>
      </c>
      <c r="B77" s="272" t="s">
        <v>730</v>
      </c>
      <c r="C77" s="268" t="s">
        <v>704</v>
      </c>
      <c r="D77" s="268">
        <v>5</v>
      </c>
      <c r="E77" s="268">
        <v>119</v>
      </c>
      <c r="F77" s="278">
        <v>24</v>
      </c>
      <c r="G77" s="269">
        <v>61885.07</v>
      </c>
      <c r="H77" s="269">
        <v>34816.380000000005</v>
      </c>
      <c r="I77" s="270">
        <f t="shared" si="3"/>
      </c>
      <c r="J77" s="270">
        <f t="shared" si="0"/>
      </c>
      <c r="K77" s="270">
        <f t="shared" si="5"/>
      </c>
      <c r="L77" s="279">
        <f t="shared" si="6"/>
      </c>
      <c r="M77" s="271" t="s">
        <v>732</v>
      </c>
      <c r="N77" s="268">
        <v>9</v>
      </c>
    </row>
    <row r="78">
      <c r="A78" s="267" t="s">
        <v>754</v>
      </c>
      <c r="B78" s="272" t="s">
        <v>703</v>
      </c>
      <c r="C78" s="268" t="s">
        <v>707</v>
      </c>
      <c r="D78" s="268">
        <v>4</v>
      </c>
      <c r="E78" s="268">
        <v>42</v>
      </c>
      <c r="F78" s="278">
        <v>13</v>
      </c>
      <c r="G78" s="269">
        <v>20103.92</v>
      </c>
      <c r="H78" s="269">
        <v>14795.2</v>
      </c>
      <c r="I78" s="270">
        <f t="shared" si="3"/>
      </c>
      <c r="J78" s="270">
        <f t="shared" si="0"/>
      </c>
      <c r="K78" s="270">
        <f t="shared" si="5"/>
      </c>
      <c r="L78" s="279">
        <f t="shared" si="6"/>
      </c>
      <c r="M78" s="271"/>
      <c r="N78" s="268"/>
    </row>
    <row r="79">
      <c r="A79" s="267" t="s">
        <v>754</v>
      </c>
      <c r="B79" s="272" t="s">
        <v>715</v>
      </c>
      <c r="C79" s="268" t="s">
        <v>739</v>
      </c>
      <c r="D79" s="268">
        <v>4</v>
      </c>
      <c r="E79" s="268">
        <v>32</v>
      </c>
      <c r="F79" s="278">
        <v>2</v>
      </c>
      <c r="G79" s="269">
        <v>12833.2</v>
      </c>
      <c r="H79" s="269">
        <v>8760.64</v>
      </c>
      <c r="I79" s="270">
        <f t="shared" si="3"/>
      </c>
      <c r="J79" s="270">
        <f t="shared" si="0"/>
      </c>
      <c r="K79" s="270">
        <f t="shared" si="5"/>
      </c>
      <c r="L79" s="279">
        <f t="shared" si="6"/>
      </c>
      <c r="M79" s="271"/>
      <c r="N79" s="268"/>
    </row>
    <row r="80">
      <c r="A80" s="267" t="s">
        <v>754</v>
      </c>
      <c r="B80" s="272" t="s">
        <v>728</v>
      </c>
      <c r="C80" s="268" t="s">
        <v>744</v>
      </c>
      <c r="D80" s="268">
        <v>4</v>
      </c>
      <c r="E80" s="268">
        <v>59</v>
      </c>
      <c r="F80" s="278">
        <v>10</v>
      </c>
      <c r="G80" s="269">
        <v>33042.21</v>
      </c>
      <c r="H80" s="269">
        <v>13856.19</v>
      </c>
      <c r="I80" s="270">
        <f t="shared" si="3"/>
      </c>
      <c r="J80" s="270">
        <f t="shared" si="0"/>
      </c>
      <c r="K80" s="270">
        <f t="shared" si="5"/>
      </c>
      <c r="L80" s="279">
        <f t="shared" si="6"/>
      </c>
      <c r="M80" s="271" t="s">
        <v>755</v>
      </c>
      <c r="N80" s="268">
        <v>8</v>
      </c>
    </row>
    <row r="81">
      <c r="A81" s="274" t="s">
        <v>754</v>
      </c>
      <c r="B81" s="275"/>
      <c r="C81" s="275"/>
      <c r="D81" s="275">
        <f>SUM(D77:D80)</f>
      </c>
      <c r="E81" s="275">
        <f>SUM(E77:E80)</f>
      </c>
      <c r="F81" s="280">
        <f>SUM(F77:F80)</f>
      </c>
      <c r="G81" s="275">
        <f>SUM(G77:G80)</f>
      </c>
      <c r="H81" s="275">
        <f>SUM(H77:H80)</f>
      </c>
      <c r="I81" s="276">
        <f t="shared" si="3"/>
      </c>
      <c r="J81" s="276">
        <f t="shared" si="0"/>
      </c>
      <c r="K81" s="276">
        <f t="shared" si="5"/>
      </c>
      <c r="L81" s="281">
        <f t="shared" si="6"/>
      </c>
      <c r="M81" s="276"/>
      <c r="N81" s="275">
        <f>SUM(N77:N80)</f>
      </c>
    </row>
    <row r="82">
      <c r="A82" s="267" t="s">
        <v>756</v>
      </c>
      <c r="B82" s="272" t="s">
        <v>730</v>
      </c>
      <c r="C82" s="268" t="s">
        <v>714</v>
      </c>
      <c r="D82" s="268">
        <v>4</v>
      </c>
      <c r="E82" s="268">
        <v>121</v>
      </c>
      <c r="F82" s="278">
        <v>28</v>
      </c>
      <c r="G82" s="269">
        <v>56419.22</v>
      </c>
      <c r="H82" s="269">
        <v>34780.12</v>
      </c>
      <c r="I82" s="270">
        <f t="shared" si="3"/>
      </c>
      <c r="J82" s="270">
        <f t="shared" si="0"/>
      </c>
      <c r="K82" s="270">
        <f t="shared" si="5"/>
      </c>
      <c r="L82" s="279">
        <f t="shared" si="6"/>
      </c>
      <c r="M82" s="271" t="s">
        <v>757</v>
      </c>
      <c r="N82" s="268">
        <v>9</v>
      </c>
    </row>
    <row r="83">
      <c r="A83" s="267" t="s">
        <v>756</v>
      </c>
      <c r="B83" s="272" t="s">
        <v>728</v>
      </c>
      <c r="C83" s="268" t="s">
        <v>719</v>
      </c>
      <c r="D83" s="268">
        <v>4</v>
      </c>
      <c r="E83" s="268">
        <v>114</v>
      </c>
      <c r="F83" s="278">
        <v>22</v>
      </c>
      <c r="G83" s="269">
        <v>55785.42</v>
      </c>
      <c r="H83" s="269">
        <v>30583.36</v>
      </c>
      <c r="I83" s="270">
        <f t="shared" si="3"/>
      </c>
      <c r="J83" s="270">
        <f t="shared" si="0"/>
      </c>
      <c r="K83" s="270">
        <f t="shared" si="5"/>
      </c>
      <c r="L83" s="279">
        <f t="shared" si="6"/>
      </c>
      <c r="M83" s="271"/>
      <c r="N83" s="268"/>
    </row>
    <row r="84">
      <c r="A84" s="267" t="s">
        <v>756</v>
      </c>
      <c r="B84" s="272" t="s">
        <v>725</v>
      </c>
      <c r="C84" s="268" t="s">
        <v>720</v>
      </c>
      <c r="D84" s="268">
        <v>4</v>
      </c>
      <c r="E84" s="268">
        <v>51</v>
      </c>
      <c r="F84" s="278">
        <v>3</v>
      </c>
      <c r="G84" s="269">
        <v>23841.520000000004</v>
      </c>
      <c r="H84" s="269">
        <v>18434.33</v>
      </c>
      <c r="I84" s="270">
        <f t="shared" si="3"/>
      </c>
      <c r="J84" s="270">
        <f t="shared" si="0"/>
      </c>
      <c r="K84" s="270">
        <f t="shared" si="5"/>
      </c>
      <c r="L84" s="279">
        <f t="shared" si="6"/>
      </c>
      <c r="M84" s="271"/>
      <c r="N84" s="268"/>
    </row>
    <row r="85">
      <c r="A85" s="267" t="s">
        <v>756</v>
      </c>
      <c r="B85" s="272" t="s">
        <v>715</v>
      </c>
      <c r="C85" s="268" t="s">
        <v>737</v>
      </c>
      <c r="D85" s="268">
        <v>4</v>
      </c>
      <c r="E85" s="268">
        <v>35</v>
      </c>
      <c r="F85" s="278">
        <v>9</v>
      </c>
      <c r="G85" s="269">
        <v>29744.459999999992</v>
      </c>
      <c r="H85" s="269">
        <v>17661.29</v>
      </c>
      <c r="I85" s="270">
        <f t="shared" si="3"/>
      </c>
      <c r="J85" s="270">
        <f t="shared" si="0"/>
      </c>
      <c r="K85" s="270">
        <f t="shared" si="5"/>
      </c>
      <c r="L85" s="279">
        <f t="shared" si="6"/>
      </c>
      <c r="M85" s="271" t="s">
        <v>741</v>
      </c>
      <c r="N85" s="268">
        <v>7</v>
      </c>
    </row>
    <row r="86">
      <c r="A86" s="274" t="s">
        <v>756</v>
      </c>
      <c r="B86" s="275"/>
      <c r="C86" s="275"/>
      <c r="D86" s="275">
        <f>SUM(D82:D85)</f>
      </c>
      <c r="E86" s="275">
        <f>SUM(E82:E85)</f>
      </c>
      <c r="F86" s="280">
        <f>SUM(F82:F85)</f>
      </c>
      <c r="G86" s="275">
        <f>SUM(G82:G85)</f>
      </c>
      <c r="H86" s="275">
        <f>SUM(H82:H85)</f>
      </c>
      <c r="I86" s="276">
        <f t="shared" si="3"/>
      </c>
      <c r="J86" s="276">
        <f t="shared" si="0"/>
      </c>
      <c r="K86" s="276">
        <f t="shared" si="5"/>
      </c>
      <c r="L86" s="281">
        <f t="shared" si="6"/>
      </c>
      <c r="M86" s="276"/>
      <c r="N86" s="275">
        <f>SUM(N82:N85)</f>
      </c>
    </row>
    <row r="87">
      <c r="A87" s="267" t="s">
        <v>758</v>
      </c>
      <c r="B87" s="272" t="s">
        <v>703</v>
      </c>
      <c r="C87" s="268" t="s">
        <v>759</v>
      </c>
      <c r="D87" s="268">
        <v>4</v>
      </c>
      <c r="E87" s="268">
        <v>85</v>
      </c>
      <c r="F87" s="278">
        <v>14</v>
      </c>
      <c r="G87" s="269">
        <v>35325.43</v>
      </c>
      <c r="H87" s="269">
        <v>22925.57</v>
      </c>
      <c r="I87" s="270">
        <f t="shared" si="3"/>
      </c>
      <c r="J87" s="270">
        <f t="shared" si="0"/>
      </c>
      <c r="K87" s="270">
        <f t="shared" si="5"/>
      </c>
      <c r="L87" s="279">
        <f t="shared" si="6"/>
      </c>
      <c r="M87" s="271" t="s">
        <v>736</v>
      </c>
      <c r="N87" s="268">
        <v>9</v>
      </c>
    </row>
    <row r="88">
      <c r="A88" s="267" t="s">
        <v>758</v>
      </c>
      <c r="B88" s="272" t="s">
        <v>715</v>
      </c>
      <c r="C88" s="268" t="s">
        <v>707</v>
      </c>
      <c r="D88" s="268">
        <v>4</v>
      </c>
      <c r="E88" s="268">
        <v>16</v>
      </c>
      <c r="F88" s="278">
        <v>2</v>
      </c>
      <c r="G88" s="269">
        <v>7538.32</v>
      </c>
      <c r="H88" s="269">
        <v>7271.530000000001</v>
      </c>
      <c r="I88" s="270">
        <f t="shared" si="3"/>
      </c>
      <c r="J88" s="270">
        <f t="shared" si="0"/>
      </c>
      <c r="K88" s="270">
        <f t="shared" si="5"/>
      </c>
      <c r="L88" s="279">
        <f t="shared" si="6"/>
      </c>
      <c r="M88" s="271"/>
      <c r="N88" s="268"/>
    </row>
    <row r="89">
      <c r="A89" s="267" t="s">
        <v>758</v>
      </c>
      <c r="B89" s="272" t="s">
        <v>728</v>
      </c>
      <c r="C89" s="268" t="s">
        <v>739</v>
      </c>
      <c r="D89" s="268">
        <v>4</v>
      </c>
      <c r="E89" s="268">
        <v>37</v>
      </c>
      <c r="F89" s="278">
        <v>6</v>
      </c>
      <c r="G89" s="269">
        <v>21912.440000000002</v>
      </c>
      <c r="H89" s="269">
        <v>8023.1</v>
      </c>
      <c r="I89" s="270">
        <f t="shared" si="3"/>
      </c>
      <c r="J89" s="270">
        <f t="shared" si="0"/>
      </c>
      <c r="K89" s="270">
        <f t="shared" si="5"/>
      </c>
      <c r="L89" s="279">
        <f t="shared" si="6"/>
      </c>
      <c r="M89" s="271"/>
      <c r="N89" s="268"/>
    </row>
    <row r="90">
      <c r="A90" s="267" t="s">
        <v>758</v>
      </c>
      <c r="B90" s="272" t="s">
        <v>730</v>
      </c>
      <c r="C90" s="268" t="s">
        <v>740</v>
      </c>
      <c r="D90" s="268">
        <v>5</v>
      </c>
      <c r="E90" s="268">
        <v>59</v>
      </c>
      <c r="F90" s="278">
        <v>6</v>
      </c>
      <c r="G90" s="269">
        <v>32218.199999999997</v>
      </c>
      <c r="H90" s="269">
        <v>16513.37</v>
      </c>
      <c r="I90" s="270">
        <f t="shared" si="3"/>
      </c>
      <c r="J90" s="270">
        <f t="shared" si="0"/>
      </c>
      <c r="K90" s="270">
        <f t="shared" si="5"/>
      </c>
      <c r="L90" s="279">
        <f t="shared" si="6"/>
      </c>
      <c r="M90" s="271" t="s">
        <v>741</v>
      </c>
      <c r="N90" s="268">
        <v>8</v>
      </c>
    </row>
    <row r="91">
      <c r="A91" s="274" t="s">
        <v>758</v>
      </c>
      <c r="B91" s="275"/>
      <c r="C91" s="275"/>
      <c r="D91" s="275">
        <f>SUM(D87:D90)</f>
      </c>
      <c r="E91" s="275">
        <f>SUM(E87:E90)</f>
      </c>
      <c r="F91" s="280">
        <f>SUM(F87:F90)</f>
      </c>
      <c r="G91" s="275">
        <f>SUM(G87:G90)</f>
      </c>
      <c r="H91" s="275">
        <f>SUM(H87:H90)</f>
      </c>
      <c r="I91" s="276">
        <f t="shared" si="3"/>
      </c>
      <c r="J91" s="276">
        <f t="shared" si="0"/>
      </c>
      <c r="K91" s="276">
        <f t="shared" si="5"/>
      </c>
      <c r="L91" s="281">
        <f t="shared" si="6"/>
      </c>
      <c r="M91" s="276"/>
      <c r="N91" s="275">
        <f>SUM(N87:N90)</f>
      </c>
    </row>
    <row r="92">
      <c r="A92" s="267" t="s">
        <v>760</v>
      </c>
      <c r="B92" s="272" t="s">
        <v>703</v>
      </c>
      <c r="C92" s="268" t="s">
        <v>759</v>
      </c>
      <c r="D92" s="268">
        <v>4</v>
      </c>
      <c r="E92" s="268">
        <v>39</v>
      </c>
      <c r="F92" s="278">
        <v>3</v>
      </c>
      <c r="G92" s="269">
        <v>18913.72</v>
      </c>
      <c r="H92" s="269">
        <v>10889.84</v>
      </c>
      <c r="I92" s="270">
        <f t="shared" si="3"/>
      </c>
      <c r="J92" s="270">
        <f t="shared" si="0"/>
      </c>
      <c r="K92" s="270">
        <f t="shared" si="5"/>
      </c>
      <c r="L92" s="279">
        <f t="shared" si="6"/>
      </c>
      <c r="M92" s="271" t="s">
        <v>736</v>
      </c>
      <c r="N92" s="268">
        <v>8</v>
      </c>
    </row>
    <row r="93">
      <c r="A93" s="267" t="s">
        <v>760</v>
      </c>
      <c r="B93" s="272" t="s">
        <v>715</v>
      </c>
      <c r="C93" s="268" t="s">
        <v>707</v>
      </c>
      <c r="D93" s="268">
        <v>4</v>
      </c>
      <c r="E93" s="268">
        <v>26</v>
      </c>
      <c r="F93" s="278">
        <v>6</v>
      </c>
      <c r="G93" s="269">
        <v>10080.260000000002</v>
      </c>
      <c r="H93" s="269">
        <v>7109.110000000001</v>
      </c>
      <c r="I93" s="270">
        <f t="shared" si="3"/>
      </c>
      <c r="J93" s="270">
        <f t="shared" si="0"/>
      </c>
      <c r="K93" s="270">
        <f t="shared" si="5"/>
      </c>
      <c r="L93" s="279">
        <f t="shared" si="6"/>
      </c>
      <c r="M93" s="271"/>
      <c r="N93" s="268"/>
    </row>
    <row r="94">
      <c r="A94" s="267" t="s">
        <v>760</v>
      </c>
      <c r="B94" s="272" t="s">
        <v>728</v>
      </c>
      <c r="C94" s="268" t="s">
        <v>739</v>
      </c>
      <c r="D94" s="268">
        <v>4</v>
      </c>
      <c r="E94" s="268">
        <v>23</v>
      </c>
      <c r="F94" s="278">
        <v>4</v>
      </c>
      <c r="G94" s="269">
        <v>13012.18</v>
      </c>
      <c r="H94" s="269">
        <v>7896.380000000001</v>
      </c>
      <c r="I94" s="270">
        <f t="shared" si="3"/>
      </c>
      <c r="J94" s="270">
        <f t="shared" si="0"/>
      </c>
      <c r="K94" s="270">
        <f t="shared" si="5"/>
      </c>
      <c r="L94" s="279">
        <f t="shared" si="6"/>
      </c>
      <c r="M94" s="271"/>
      <c r="N94" s="268"/>
    </row>
    <row r="95">
      <c r="A95" s="267" t="s">
        <v>760</v>
      </c>
      <c r="B95" s="272" t="s">
        <v>730</v>
      </c>
      <c r="C95" s="268" t="s">
        <v>740</v>
      </c>
      <c r="D95" s="268">
        <v>5</v>
      </c>
      <c r="E95" s="268">
        <v>94</v>
      </c>
      <c r="F95" s="278">
        <v>12</v>
      </c>
      <c r="G95" s="269">
        <v>49044.889999999985</v>
      </c>
      <c r="H95" s="269">
        <v>25250.510000000002</v>
      </c>
      <c r="I95" s="270">
        <f t="shared" si="3"/>
      </c>
      <c r="J95" s="270">
        <f t="shared" si="0"/>
      </c>
      <c r="K95" s="270">
        <f t="shared" si="5"/>
      </c>
      <c r="L95" s="279">
        <f t="shared" si="6"/>
      </c>
      <c r="M95" s="271" t="s">
        <v>741</v>
      </c>
      <c r="N95" s="268">
        <v>9</v>
      </c>
    </row>
    <row r="96">
      <c r="A96" s="274" t="s">
        <v>760</v>
      </c>
      <c r="B96" s="275"/>
      <c r="C96" s="275"/>
      <c r="D96" s="275">
        <f>SUM(D92:D95)</f>
      </c>
      <c r="E96" s="275">
        <f>SUM(E92:E95)</f>
      </c>
      <c r="F96" s="280">
        <f>SUM(F92:F95)</f>
      </c>
      <c r="G96" s="275">
        <f>SUM(G92:G95)</f>
      </c>
      <c r="H96" s="275">
        <f>SUM(H92:H95)</f>
      </c>
      <c r="I96" s="276">
        <f t="shared" si="3"/>
      </c>
      <c r="J96" s="276">
        <f t="shared" si="0"/>
      </c>
      <c r="K96" s="276">
        <f t="shared" si="5"/>
      </c>
      <c r="L96" s="281">
        <f t="shared" si="6"/>
      </c>
      <c r="M96" s="276"/>
      <c r="N96" s="275">
        <f>SUM(N92:N95)</f>
      </c>
    </row>
    <row r="97">
      <c r="A97" s="267" t="s">
        <v>761</v>
      </c>
      <c r="B97" s="272" t="s">
        <v>703</v>
      </c>
      <c r="C97" s="268" t="s">
        <v>759</v>
      </c>
      <c r="D97" s="268">
        <v>4</v>
      </c>
      <c r="E97" s="268">
        <v>81</v>
      </c>
      <c r="F97" s="278">
        <v>19</v>
      </c>
      <c r="G97" s="269">
        <v>38847.49</v>
      </c>
      <c r="H97" s="269">
        <v>21055.75</v>
      </c>
      <c r="I97" s="270">
        <f t="shared" si="3"/>
      </c>
      <c r="J97" s="270">
        <f t="shared" si="0"/>
      </c>
      <c r="K97" s="270">
        <f t="shared" si="5"/>
      </c>
      <c r="L97" s="279">
        <f t="shared" si="6"/>
      </c>
      <c r="M97" s="271" t="s">
        <v>736</v>
      </c>
      <c r="N97" s="268">
        <v>9</v>
      </c>
    </row>
    <row r="98">
      <c r="A98" s="267" t="s">
        <v>761</v>
      </c>
      <c r="B98" s="272" t="s">
        <v>728</v>
      </c>
      <c r="C98" s="268" t="s">
        <v>707</v>
      </c>
      <c r="D98" s="268">
        <v>4</v>
      </c>
      <c r="E98" s="268">
        <v>100</v>
      </c>
      <c r="F98" s="278">
        <v>16</v>
      </c>
      <c r="G98" s="282">
        <v>47875.27</v>
      </c>
      <c r="H98" s="269">
        <v>23200.13</v>
      </c>
      <c r="I98" s="270">
        <f t="shared" si="3"/>
      </c>
      <c r="J98" s="270">
        <f t="shared" si="0"/>
      </c>
      <c r="K98" s="270">
        <f t="shared" si="5"/>
      </c>
      <c r="L98" s="279">
        <f t="shared" si="6"/>
      </c>
      <c r="M98" s="271"/>
      <c r="N98" s="268"/>
    </row>
    <row r="99">
      <c r="A99" s="267" t="s">
        <v>761</v>
      </c>
      <c r="B99" s="272" t="s">
        <v>730</v>
      </c>
      <c r="C99" s="268" t="s">
        <v>739</v>
      </c>
      <c r="D99" s="268">
        <v>4</v>
      </c>
      <c r="E99" s="268">
        <v>66</v>
      </c>
      <c r="F99" s="278">
        <v>15</v>
      </c>
      <c r="G99" s="269">
        <v>34220</v>
      </c>
      <c r="H99" s="269">
        <v>24335.27</v>
      </c>
      <c r="I99" s="270">
        <f t="shared" si="3"/>
      </c>
      <c r="J99" s="270">
        <f t="shared" si="0"/>
      </c>
      <c r="K99" s="270">
        <f t="shared" si="5"/>
      </c>
      <c r="L99" s="279">
        <f t="shared" si="6"/>
      </c>
      <c r="M99" s="271"/>
      <c r="N99" s="268"/>
    </row>
    <row r="100">
      <c r="A100" s="267" t="s">
        <v>761</v>
      </c>
      <c r="B100" s="272" t="s">
        <v>715</v>
      </c>
      <c r="C100" s="268" t="s">
        <v>762</v>
      </c>
      <c r="D100" s="268">
        <v>3</v>
      </c>
      <c r="E100" s="268">
        <v>51</v>
      </c>
      <c r="F100" s="278">
        <v>9</v>
      </c>
      <c r="G100" s="269">
        <v>22717.90000000001</v>
      </c>
      <c r="H100" s="269">
        <v>11321.64</v>
      </c>
      <c r="I100" s="270">
        <f t="shared" si="3"/>
      </c>
      <c r="J100" s="270">
        <f t="shared" si="0"/>
      </c>
      <c r="K100" s="270">
        <f t="shared" si="5"/>
      </c>
      <c r="L100" s="279">
        <f t="shared" si="6"/>
      </c>
      <c r="M100" s="271" t="s">
        <v>741</v>
      </c>
      <c r="N100" s="268">
        <v>6</v>
      </c>
    </row>
    <row r="101">
      <c r="A101" s="274" t="s">
        <v>761</v>
      </c>
      <c r="B101" s="275"/>
      <c r="C101" s="275"/>
      <c r="D101" s="275">
        <f>SUM(D97:D100)</f>
      </c>
      <c r="E101" s="275">
        <f>SUM(E97:E100)</f>
      </c>
      <c r="F101" s="280">
        <f>SUM(F97:F100)</f>
      </c>
      <c r="G101" s="275">
        <f>SUM(G97:G100)</f>
      </c>
      <c r="H101" s="275">
        <f>SUM(H97:H100)</f>
      </c>
      <c r="I101" s="276">
        <f t="shared" si="3"/>
      </c>
      <c r="J101" s="276">
        <f t="shared" si="0"/>
      </c>
      <c r="K101" s="276">
        <f t="shared" si="5"/>
      </c>
      <c r="L101" s="281">
        <f t="shared" si="6"/>
      </c>
      <c r="M101" s="276"/>
      <c r="N101" s="275">
        <f>SUM(N97:N100)</f>
      </c>
    </row>
    <row r="102">
      <c r="A102" s="267" t="s">
        <v>763</v>
      </c>
      <c r="B102" s="272" t="s">
        <v>730</v>
      </c>
      <c r="C102" s="268" t="s">
        <v>759</v>
      </c>
      <c r="D102" s="268">
        <v>4</v>
      </c>
      <c r="E102" s="268">
        <v>121</v>
      </c>
      <c r="F102" s="278">
        <v>29</v>
      </c>
      <c r="G102" s="269">
        <v>66260.48</v>
      </c>
      <c r="H102" s="269">
        <v>31676.949999999997</v>
      </c>
      <c r="I102" s="270">
        <f t="shared" si="3"/>
      </c>
      <c r="J102" s="270">
        <f t="shared" si="0"/>
      </c>
      <c r="K102" s="270">
        <f t="shared" si="5"/>
      </c>
      <c r="L102" s="279">
        <f t="shared" si="6"/>
      </c>
      <c r="M102" s="271" t="s">
        <v>736</v>
      </c>
      <c r="N102" s="268">
        <v>9</v>
      </c>
    </row>
    <row r="103">
      <c r="A103" s="267" t="s">
        <v>763</v>
      </c>
      <c r="B103" s="272" t="s">
        <v>703</v>
      </c>
      <c r="C103" s="268" t="s">
        <v>707</v>
      </c>
      <c r="D103" s="268">
        <v>4</v>
      </c>
      <c r="E103" s="268">
        <v>46</v>
      </c>
      <c r="F103" s="278">
        <v>6</v>
      </c>
      <c r="G103" s="282">
        <v>27655.600000000006</v>
      </c>
      <c r="H103" s="269">
        <v>19769.07</v>
      </c>
      <c r="I103" s="270">
        <f t="shared" si="3"/>
      </c>
      <c r="J103" s="270">
        <f t="shared" si="0"/>
      </c>
      <c r="K103" s="270">
        <f t="shared" si="5"/>
      </c>
      <c r="L103" s="279">
        <f t="shared" si="6"/>
      </c>
      <c r="M103" s="271"/>
      <c r="N103" s="268"/>
    </row>
    <row r="104">
      <c r="A104" s="267" t="s">
        <v>763</v>
      </c>
      <c r="B104" s="272" t="s">
        <v>715</v>
      </c>
      <c r="C104" s="268" t="s">
        <v>739</v>
      </c>
      <c r="D104" s="268">
        <v>4</v>
      </c>
      <c r="E104" s="268">
        <v>36</v>
      </c>
      <c r="F104" s="278">
        <v>7</v>
      </c>
      <c r="G104" s="269">
        <v>17283.259999999995</v>
      </c>
      <c r="H104" s="269">
        <v>11929.22</v>
      </c>
      <c r="I104" s="270">
        <f t="shared" si="3"/>
      </c>
      <c r="J104" s="270">
        <f t="shared" si="0"/>
      </c>
      <c r="K104" s="270">
        <f t="shared" si="5"/>
      </c>
      <c r="L104" s="279">
        <f t="shared" si="6"/>
      </c>
      <c r="M104" s="271"/>
      <c r="N104" s="268"/>
    </row>
    <row r="105">
      <c r="A105" s="267" t="s">
        <v>763</v>
      </c>
      <c r="B105" s="272" t="s">
        <v>728</v>
      </c>
      <c r="C105" s="268" t="s">
        <v>740</v>
      </c>
      <c r="D105" s="268">
        <v>5</v>
      </c>
      <c r="E105" s="268">
        <v>99</v>
      </c>
      <c r="F105" s="278">
        <v>18</v>
      </c>
      <c r="G105" s="269">
        <v>59744.40000000002</v>
      </c>
      <c r="H105" s="269">
        <v>21581.61</v>
      </c>
      <c r="I105" s="270">
        <f t="shared" si="3"/>
      </c>
      <c r="J105" s="270">
        <f t="shared" si="0"/>
      </c>
      <c r="K105" s="270">
        <f t="shared" si="5"/>
      </c>
      <c r="L105" s="279">
        <f t="shared" si="6"/>
      </c>
      <c r="M105" s="271" t="s">
        <v>741</v>
      </c>
      <c r="N105" s="268">
        <v>8</v>
      </c>
    </row>
    <row r="106">
      <c r="A106" s="274" t="s">
        <v>763</v>
      </c>
      <c r="B106" s="275"/>
      <c r="C106" s="275"/>
      <c r="D106" s="275">
        <f>SUM(D102:D105)</f>
      </c>
      <c r="E106" s="275">
        <f>SUM(E102:E105)</f>
      </c>
      <c r="F106" s="280">
        <f>SUM(F102:F105)</f>
      </c>
      <c r="G106" s="275">
        <f>SUM(G102:G105)</f>
      </c>
      <c r="H106" s="275">
        <f>SUM(H102:H105)</f>
      </c>
      <c r="I106" s="276">
        <f t="shared" si="3"/>
      </c>
      <c r="J106" s="276">
        <f t="shared" si="0"/>
      </c>
      <c r="K106" s="276">
        <f t="shared" si="5"/>
      </c>
      <c r="L106" s="281">
        <f t="shared" si="6"/>
      </c>
      <c r="M106" s="276"/>
      <c r="N106" s="275">
        <f>SUM(N102:N105)</f>
      </c>
    </row>
    <row r="107">
      <c r="A107" s="267" t="s">
        <v>764</v>
      </c>
      <c r="B107" s="272" t="s">
        <v>730</v>
      </c>
      <c r="C107" s="268" t="s">
        <v>759</v>
      </c>
      <c r="D107" s="268">
        <v>4</v>
      </c>
      <c r="E107" s="268">
        <v>80</v>
      </c>
      <c r="F107" s="278">
        <v>14</v>
      </c>
      <c r="G107" s="269">
        <v>43044.13</v>
      </c>
      <c r="H107" s="269">
        <v>18417.72</v>
      </c>
      <c r="I107" s="270">
        <f t="shared" si="3"/>
      </c>
      <c r="J107" s="270">
        <f t="shared" si="0"/>
      </c>
      <c r="K107" s="270">
        <f t="shared" si="5"/>
      </c>
      <c r="L107" s="279">
        <f t="shared" si="6"/>
      </c>
      <c r="M107" s="271" t="s">
        <v>736</v>
      </c>
      <c r="N107" s="268">
        <v>9</v>
      </c>
    </row>
    <row r="108">
      <c r="A108" s="267" t="s">
        <v>764</v>
      </c>
      <c r="B108" s="272" t="s">
        <v>706</v>
      </c>
      <c r="C108" s="268" t="s">
        <v>707</v>
      </c>
      <c r="D108" s="268">
        <v>4</v>
      </c>
      <c r="E108" s="268">
        <v>41</v>
      </c>
      <c r="F108" s="278">
        <v>10</v>
      </c>
      <c r="G108" s="282">
        <v>23252.58000000001</v>
      </c>
      <c r="H108" s="269">
        <v>13625.5</v>
      </c>
      <c r="I108" s="270">
        <f t="shared" si="3"/>
      </c>
      <c r="J108" s="270">
        <f t="shared" si="0"/>
      </c>
      <c r="K108" s="270">
        <f t="shared" si="5"/>
      </c>
      <c r="L108" s="279">
        <f t="shared" si="6"/>
      </c>
      <c r="M108" s="271"/>
      <c r="N108" s="268"/>
    </row>
    <row r="109">
      <c r="A109" s="267" t="s">
        <v>764</v>
      </c>
      <c r="B109" s="272" t="s">
        <v>728</v>
      </c>
      <c r="C109" s="268" t="s">
        <v>739</v>
      </c>
      <c r="D109" s="268">
        <v>4</v>
      </c>
      <c r="E109" s="268">
        <v>49</v>
      </c>
      <c r="F109" s="278">
        <v>6</v>
      </c>
      <c r="G109" s="269">
        <v>22632.249999999985</v>
      </c>
      <c r="H109" s="269">
        <v>12369.42</v>
      </c>
      <c r="I109" s="270">
        <f t="shared" si="3"/>
      </c>
      <c r="J109" s="270">
        <f t="shared" si="0"/>
      </c>
      <c r="K109" s="270">
        <f t="shared" si="5"/>
      </c>
      <c r="L109" s="279">
        <f t="shared" si="6"/>
      </c>
      <c r="M109" s="271"/>
      <c r="N109" s="268"/>
    </row>
    <row r="110">
      <c r="A110" s="267" t="s">
        <v>764</v>
      </c>
      <c r="B110" s="272" t="s">
        <v>715</v>
      </c>
      <c r="C110" s="268" t="s">
        <v>744</v>
      </c>
      <c r="D110" s="268">
        <v>4</v>
      </c>
      <c r="E110" s="268">
        <v>73</v>
      </c>
      <c r="F110" s="278">
        <v>7</v>
      </c>
      <c r="G110" s="269">
        <v>38443.529999999984</v>
      </c>
      <c r="H110" s="269">
        <v>20842.27</v>
      </c>
      <c r="I110" s="270">
        <f t="shared" si="3"/>
      </c>
      <c r="J110" s="270">
        <f t="shared" si="0"/>
      </c>
      <c r="K110" s="270">
        <f t="shared" si="5"/>
      </c>
      <c r="L110" s="279">
        <f t="shared" si="6"/>
      </c>
      <c r="M110" s="271" t="s">
        <v>741</v>
      </c>
      <c r="N110" s="268">
        <v>7</v>
      </c>
    </row>
    <row r="111">
      <c r="A111" s="274" t="s">
        <v>764</v>
      </c>
      <c r="B111" s="275"/>
      <c r="C111" s="275"/>
      <c r="D111" s="275">
        <f>SUM(D107:D110)</f>
      </c>
      <c r="E111" s="275">
        <f>SUM(E107:E110)</f>
      </c>
      <c r="F111" s="280">
        <f>SUM(F107:F110)</f>
      </c>
      <c r="G111" s="275">
        <f>SUM(G107:G110)</f>
      </c>
      <c r="H111" s="275">
        <f>SUM(H107:H110)</f>
      </c>
      <c r="I111" s="276">
        <f t="shared" si="3"/>
      </c>
      <c r="J111" s="276">
        <f t="shared" si="0"/>
      </c>
      <c r="K111" s="276">
        <f t="shared" si="5"/>
      </c>
      <c r="L111" s="281">
        <f t="shared" si="6"/>
      </c>
      <c r="M111" s="276"/>
      <c r="N111" s="275">
        <f>SUM(N107:N110)</f>
      </c>
    </row>
    <row r="112">
      <c r="A112" s="267" t="s">
        <v>765</v>
      </c>
      <c r="B112" s="272" t="s">
        <v>730</v>
      </c>
      <c r="C112" s="268" t="s">
        <v>704</v>
      </c>
      <c r="D112" s="268">
        <v>5</v>
      </c>
      <c r="E112" s="268">
        <v>60</v>
      </c>
      <c r="F112" s="278">
        <v>23</v>
      </c>
      <c r="G112" s="269">
        <v>37644.27</v>
      </c>
      <c r="H112" s="269">
        <v>17897.07</v>
      </c>
      <c r="I112" s="270">
        <f t="shared" si="3"/>
      </c>
      <c r="J112" s="270">
        <f t="shared" si="0"/>
      </c>
      <c r="K112" s="270">
        <f t="shared" si="5"/>
      </c>
      <c r="L112" s="279">
        <f t="shared" si="6"/>
      </c>
      <c r="M112" s="271" t="s">
        <v>748</v>
      </c>
      <c r="N112" s="268">
        <v>10</v>
      </c>
    </row>
    <row r="113">
      <c r="A113" s="267" t="s">
        <v>765</v>
      </c>
      <c r="B113" s="272" t="s">
        <v>703</v>
      </c>
      <c r="C113" s="268" t="s">
        <v>707</v>
      </c>
      <c r="D113" s="268">
        <v>4</v>
      </c>
      <c r="E113" s="268">
        <v>46</v>
      </c>
      <c r="F113" s="278">
        <v>15</v>
      </c>
      <c r="G113" s="269">
        <v>29838.629999999997</v>
      </c>
      <c r="H113" s="269">
        <v>13967.490000000002</v>
      </c>
      <c r="I113" s="270">
        <f t="shared" si="3"/>
      </c>
      <c r="J113" s="270">
        <f t="shared" si="0"/>
      </c>
      <c r="K113" s="270">
        <f t="shared" si="5"/>
      </c>
      <c r="L113" s="279">
        <f t="shared" si="6"/>
      </c>
      <c r="M113" s="271"/>
      <c r="N113" s="268"/>
    </row>
    <row r="114">
      <c r="A114" s="267" t="s">
        <v>765</v>
      </c>
      <c r="B114" s="272" t="s">
        <v>728</v>
      </c>
      <c r="C114" s="268" t="s">
        <v>739</v>
      </c>
      <c r="D114" s="268">
        <v>4</v>
      </c>
      <c r="E114" s="268">
        <v>32</v>
      </c>
      <c r="F114" s="278">
        <v>7</v>
      </c>
      <c r="G114" s="269">
        <v>14238.5</v>
      </c>
      <c r="H114" s="269">
        <v>10706.14</v>
      </c>
      <c r="I114" s="270">
        <f t="shared" si="3"/>
      </c>
      <c r="J114" s="270">
        <f t="shared" si="0"/>
      </c>
      <c r="K114" s="270">
        <f t="shared" si="5"/>
      </c>
      <c r="L114" s="279">
        <f t="shared" si="6"/>
      </c>
      <c r="M114" s="271"/>
      <c r="N114" s="268"/>
    </row>
    <row r="115">
      <c r="A115" s="267" t="s">
        <v>765</v>
      </c>
      <c r="B115" s="272" t="s">
        <v>715</v>
      </c>
      <c r="C115" s="268" t="s">
        <v>744</v>
      </c>
      <c r="D115" s="268">
        <v>4</v>
      </c>
      <c r="E115" s="268">
        <v>39</v>
      </c>
      <c r="F115" s="278">
        <v>4</v>
      </c>
      <c r="G115" s="269">
        <v>16584.14</v>
      </c>
      <c r="H115" s="269">
        <v>11067.21</v>
      </c>
      <c r="I115" s="270">
        <f t="shared" si="3"/>
      </c>
      <c r="J115" s="270">
        <f t="shared" si="0"/>
      </c>
      <c r="K115" s="270">
        <f t="shared" si="5"/>
      </c>
      <c r="L115" s="279">
        <f t="shared" si="6"/>
      </c>
      <c r="M115" s="271" t="s">
        <v>741</v>
      </c>
      <c r="N115" s="268">
        <v>7</v>
      </c>
    </row>
    <row r="116">
      <c r="A116" s="274" t="s">
        <v>765</v>
      </c>
      <c r="B116" s="275"/>
      <c r="C116" s="275"/>
      <c r="D116" s="275">
        <f>SUM(D112:D115)</f>
      </c>
      <c r="E116" s="275">
        <f>SUM(E112:E115)</f>
      </c>
      <c r="F116" s="280">
        <f>SUM(F112:F115)</f>
      </c>
      <c r="G116" s="275">
        <f>SUM(G112:G115)</f>
      </c>
      <c r="H116" s="275">
        <f>SUM(H112:H115)</f>
      </c>
      <c r="I116" s="276">
        <f t="shared" si="3"/>
      </c>
      <c r="J116" s="276">
        <f t="shared" si="0"/>
      </c>
      <c r="K116" s="276">
        <f t="shared" si="5"/>
      </c>
      <c r="L116" s="281">
        <f t="shared" si="6"/>
      </c>
      <c r="M116" s="276"/>
      <c r="N116" s="275">
        <f>SUM(N112:N115)</f>
      </c>
    </row>
    <row r="117">
      <c r="A117" s="267" t="s">
        <v>766</v>
      </c>
      <c r="B117" s="272" t="s">
        <v>730</v>
      </c>
      <c r="C117" s="268" t="s">
        <v>759</v>
      </c>
      <c r="D117" s="268">
        <v>4</v>
      </c>
      <c r="E117" s="268">
        <v>70</v>
      </c>
      <c r="F117" s="278">
        <v>15</v>
      </c>
      <c r="G117" s="269">
        <v>38798.94</v>
      </c>
      <c r="H117" s="269">
        <v>14210.029999999999</v>
      </c>
      <c r="I117" s="270">
        <f t="shared" si="3"/>
      </c>
      <c r="J117" s="270">
        <f t="shared" si="0"/>
      </c>
      <c r="K117" s="270">
        <f t="shared" si="5"/>
      </c>
      <c r="L117" s="279">
        <f t="shared" si="6"/>
      </c>
      <c r="M117" s="271" t="s">
        <v>710</v>
      </c>
      <c r="N117" s="268">
        <v>9</v>
      </c>
    </row>
    <row r="118">
      <c r="A118" s="267" t="s">
        <v>766</v>
      </c>
      <c r="B118" s="272" t="s">
        <v>703</v>
      </c>
      <c r="C118" s="268" t="s">
        <v>707</v>
      </c>
      <c r="D118" s="268">
        <v>4</v>
      </c>
      <c r="E118" s="268">
        <v>105</v>
      </c>
      <c r="F118" s="278">
        <v>24</v>
      </c>
      <c r="G118" s="269">
        <v>52659.84</v>
      </c>
      <c r="H118" s="269">
        <v>24707.55</v>
      </c>
      <c r="I118" s="270">
        <f t="shared" si="3"/>
      </c>
      <c r="J118" s="270">
        <f t="shared" si="0"/>
      </c>
      <c r="K118" s="270">
        <f t="shared" si="5"/>
      </c>
      <c r="L118" s="279">
        <f t="shared" si="6"/>
      </c>
      <c r="M118" s="271"/>
      <c r="N118" s="268"/>
    </row>
    <row r="119">
      <c r="A119" s="267" t="s">
        <v>766</v>
      </c>
      <c r="B119" s="272" t="s">
        <v>715</v>
      </c>
      <c r="C119" s="268" t="s">
        <v>739</v>
      </c>
      <c r="D119" s="268">
        <v>4</v>
      </c>
      <c r="E119" s="268">
        <v>61</v>
      </c>
      <c r="F119" s="278">
        <v>15</v>
      </c>
      <c r="G119" s="269">
        <v>24276.08</v>
      </c>
      <c r="H119" s="269">
        <v>22713.9</v>
      </c>
      <c r="I119" s="270">
        <f t="shared" si="3"/>
      </c>
      <c r="J119" s="270">
        <f t="shared" si="0"/>
      </c>
      <c r="K119" s="270">
        <f t="shared" si="5"/>
      </c>
      <c r="L119" s="279">
        <f t="shared" si="6"/>
      </c>
      <c r="M119" s="271"/>
      <c r="N119" s="268"/>
    </row>
    <row r="120">
      <c r="A120" s="267" t="s">
        <v>766</v>
      </c>
      <c r="B120" s="272" t="s">
        <v>728</v>
      </c>
      <c r="C120" s="268" t="s">
        <v>762</v>
      </c>
      <c r="D120" s="268">
        <v>3</v>
      </c>
      <c r="E120" s="268">
        <v>8</v>
      </c>
      <c r="F120" s="278">
        <v>0</v>
      </c>
      <c r="G120" s="269">
        <v>3075.9600000000064</v>
      </c>
      <c r="H120" s="269">
        <v>4838.26</v>
      </c>
      <c r="I120" s="270">
        <f t="shared" si="3"/>
      </c>
      <c r="J120" s="270">
        <f t="shared" si="0"/>
      </c>
      <c r="K120" s="270">
        <f t="shared" si="5"/>
      </c>
      <c r="L120" s="279">
        <f t="shared" si="6"/>
      </c>
      <c r="M120" s="271" t="s">
        <v>741</v>
      </c>
      <c r="N120" s="268">
        <v>6</v>
      </c>
    </row>
    <row r="121">
      <c r="A121" s="274" t="s">
        <v>766</v>
      </c>
      <c r="B121" s="275"/>
      <c r="C121" s="275"/>
      <c r="D121" s="275">
        <f>SUM(D117:D120)</f>
      </c>
      <c r="E121" s="275">
        <f>SUM(E117:E120)</f>
      </c>
      <c r="F121" s="280">
        <f>SUM(F117:F120)</f>
      </c>
      <c r="G121" s="275">
        <f>SUM(G117:G120)</f>
      </c>
      <c r="H121" s="275">
        <f>SUM(H117:H120)</f>
      </c>
      <c r="I121" s="276">
        <f t="shared" si="3"/>
      </c>
      <c r="J121" s="276">
        <f t="shared" si="0"/>
      </c>
      <c r="K121" s="276">
        <f t="shared" si="5"/>
      </c>
      <c r="L121" s="281">
        <f t="shared" si="6"/>
      </c>
      <c r="M121" s="276"/>
      <c r="N121" s="275">
        <f>SUM(N117:N120)</f>
      </c>
    </row>
    <row r="122">
      <c r="A122" s="267" t="s">
        <v>767</v>
      </c>
      <c r="B122" s="272" t="s">
        <v>703</v>
      </c>
      <c r="C122" s="268" t="s">
        <v>759</v>
      </c>
      <c r="D122" s="268">
        <v>4</v>
      </c>
      <c r="E122" s="268">
        <v>74</v>
      </c>
      <c r="F122" s="278">
        <v>13</v>
      </c>
      <c r="G122" s="269">
        <v>39418.36</v>
      </c>
      <c r="H122" s="269">
        <v>21126.96</v>
      </c>
      <c r="I122" s="270">
        <f t="shared" si="3"/>
      </c>
      <c r="J122" s="270">
        <f t="shared" si="0"/>
      </c>
      <c r="K122" s="270">
        <f t="shared" si="5"/>
      </c>
      <c r="L122" s="279">
        <f t="shared" si="6"/>
      </c>
      <c r="M122" s="271" t="s">
        <v>732</v>
      </c>
      <c r="N122" s="268">
        <v>9</v>
      </c>
    </row>
    <row r="123">
      <c r="A123" s="267" t="s">
        <v>767</v>
      </c>
      <c r="B123" s="272" t="s">
        <v>730</v>
      </c>
      <c r="C123" s="268" t="s">
        <v>707</v>
      </c>
      <c r="D123" s="268">
        <v>4</v>
      </c>
      <c r="E123" s="268">
        <v>49</v>
      </c>
      <c r="F123" s="278">
        <v>21</v>
      </c>
      <c r="G123" s="269">
        <v>28685.190000000002</v>
      </c>
      <c r="H123" s="269">
        <v>13055.259999999998</v>
      </c>
      <c r="I123" s="270">
        <f t="shared" si="3"/>
      </c>
      <c r="J123" s="270">
        <f t="shared" si="0"/>
      </c>
      <c r="K123" s="270">
        <f t="shared" si="5"/>
      </c>
      <c r="L123" s="279">
        <f t="shared" si="6"/>
      </c>
      <c r="M123" s="271"/>
      <c r="N123" s="268"/>
    </row>
    <row r="124">
      <c r="A124" s="267" t="s">
        <v>767</v>
      </c>
      <c r="B124" s="272" t="s">
        <v>728</v>
      </c>
      <c r="C124" s="268" t="s">
        <v>739</v>
      </c>
      <c r="D124" s="268">
        <v>4</v>
      </c>
      <c r="E124" s="268">
        <v>77</v>
      </c>
      <c r="F124" s="278">
        <v>14</v>
      </c>
      <c r="G124" s="269">
        <v>38617</v>
      </c>
      <c r="H124" s="269">
        <v>22419.45</v>
      </c>
      <c r="I124" s="270">
        <f t="shared" si="3"/>
      </c>
      <c r="J124" s="270">
        <f t="shared" si="0"/>
      </c>
      <c r="K124" s="270">
        <f t="shared" si="5"/>
      </c>
      <c r="L124" s="279">
        <f t="shared" si="6"/>
      </c>
      <c r="M124" s="271"/>
      <c r="N124" s="268"/>
    </row>
    <row r="125">
      <c r="A125" s="267" t="s">
        <v>767</v>
      </c>
      <c r="B125" s="272" t="s">
        <v>715</v>
      </c>
      <c r="C125" s="268" t="s">
        <v>740</v>
      </c>
      <c r="D125" s="268">
        <v>5</v>
      </c>
      <c r="E125" s="268">
        <v>58</v>
      </c>
      <c r="F125" s="278">
        <v>10</v>
      </c>
      <c r="G125" s="269">
        <v>31070.279999999984</v>
      </c>
      <c r="H125" s="269">
        <v>16317.280000000002</v>
      </c>
      <c r="I125" s="270">
        <f t="shared" si="3"/>
      </c>
      <c r="J125" s="270">
        <f t="shared" si="0"/>
      </c>
      <c r="K125" s="270">
        <f t="shared" si="5"/>
      </c>
      <c r="L125" s="279">
        <f t="shared" si="6"/>
      </c>
      <c r="M125" s="271" t="s">
        <v>741</v>
      </c>
      <c r="N125" s="268">
        <v>8</v>
      </c>
    </row>
    <row r="126">
      <c r="A126" s="274" t="s">
        <v>767</v>
      </c>
      <c r="B126" s="275"/>
      <c r="C126" s="275"/>
      <c r="D126" s="275">
        <f>SUM(D122:D125)</f>
      </c>
      <c r="E126" s="275">
        <f>SUM(E122:E125)</f>
      </c>
      <c r="F126" s="280">
        <f>SUM(F122:F125)</f>
      </c>
      <c r="G126" s="275">
        <f>SUM(G122:G125)</f>
      </c>
      <c r="H126" s="275">
        <f>SUM(H122:H125)</f>
      </c>
      <c r="I126" s="276">
        <f t="shared" si="3"/>
      </c>
      <c r="J126" s="276">
        <f t="shared" si="0"/>
      </c>
      <c r="K126" s="276">
        <f t="shared" si="5"/>
      </c>
      <c r="L126" s="281">
        <f t="shared" si="6"/>
      </c>
      <c r="M126" s="276"/>
      <c r="N126" s="275">
        <f>SUM(N122:N125)</f>
      </c>
    </row>
    <row r="127">
      <c r="A127" s="267" t="s">
        <v>768</v>
      </c>
      <c r="B127" s="272" t="s">
        <v>703</v>
      </c>
      <c r="C127" s="268" t="s">
        <v>759</v>
      </c>
      <c r="D127" s="268">
        <v>4</v>
      </c>
      <c r="E127" s="268">
        <v>25</v>
      </c>
      <c r="F127" s="278">
        <v>9</v>
      </c>
      <c r="G127" s="269">
        <v>10386.26</v>
      </c>
      <c r="H127" s="269">
        <v>8920.73</v>
      </c>
      <c r="I127" s="270">
        <f t="shared" si="3"/>
      </c>
      <c r="J127" s="270">
        <f t="shared" si="0"/>
      </c>
      <c r="K127" s="270">
        <f t="shared" si="5"/>
      </c>
      <c r="L127" s="279">
        <f t="shared" si="6"/>
      </c>
      <c r="M127" s="271" t="s">
        <v>732</v>
      </c>
      <c r="N127" s="268">
        <v>9</v>
      </c>
    </row>
    <row r="128">
      <c r="A128" s="267" t="s">
        <v>768</v>
      </c>
      <c r="B128" s="272" t="s">
        <v>728</v>
      </c>
      <c r="C128" s="268" t="s">
        <v>707</v>
      </c>
      <c r="D128" s="268">
        <v>4</v>
      </c>
      <c r="E128" s="268">
        <v>24</v>
      </c>
      <c r="F128" s="278">
        <v>7</v>
      </c>
      <c r="G128" s="269">
        <v>10575.000000000002</v>
      </c>
      <c r="H128" s="269">
        <v>7295.849999999999</v>
      </c>
      <c r="I128" s="270">
        <f t="shared" si="3"/>
      </c>
      <c r="J128" s="270">
        <f t="shared" si="0"/>
      </c>
      <c r="K128" s="270">
        <f t="shared" si="5"/>
      </c>
      <c r="L128" s="279">
        <f t="shared" si="6"/>
      </c>
      <c r="M128" s="271"/>
      <c r="N128" s="268"/>
    </row>
    <row r="129">
      <c r="A129" s="267" t="s">
        <v>768</v>
      </c>
      <c r="B129" s="272" t="s">
        <v>730</v>
      </c>
      <c r="C129" s="268" t="s">
        <v>739</v>
      </c>
      <c r="D129" s="268">
        <v>4</v>
      </c>
      <c r="E129" s="268">
        <v>71</v>
      </c>
      <c r="F129" s="278">
        <v>23</v>
      </c>
      <c r="G129" s="269">
        <v>37669.67999999999</v>
      </c>
      <c r="H129" s="269">
        <v>15842.16</v>
      </c>
      <c r="I129" s="270">
        <f t="shared" si="3"/>
      </c>
      <c r="J129" s="270">
        <f t="shared" si="0"/>
      </c>
      <c r="K129" s="270">
        <f t="shared" si="5"/>
      </c>
      <c r="L129" s="279">
        <f t="shared" si="6"/>
      </c>
      <c r="M129" s="271"/>
      <c r="N129" s="268"/>
    </row>
    <row r="130">
      <c r="A130" s="267" t="s">
        <v>768</v>
      </c>
      <c r="B130" s="272" t="s">
        <v>715</v>
      </c>
      <c r="C130" s="268" t="s">
        <v>740</v>
      </c>
      <c r="D130" s="268">
        <v>5</v>
      </c>
      <c r="E130" s="268">
        <v>97</v>
      </c>
      <c r="F130" s="278">
        <v>12</v>
      </c>
      <c r="G130" s="269">
        <v>45869.930000000015</v>
      </c>
      <c r="H130" s="269">
        <v>24870.16</v>
      </c>
      <c r="I130" s="270">
        <f t="shared" si="3"/>
      </c>
      <c r="J130" s="270">
        <f t="shared" si="0"/>
      </c>
      <c r="K130" s="270">
        <f t="shared" si="5"/>
      </c>
      <c r="L130" s="279">
        <f t="shared" si="6"/>
      </c>
      <c r="M130" s="271" t="s">
        <v>741</v>
      </c>
      <c r="N130" s="268">
        <v>8</v>
      </c>
    </row>
    <row r="131">
      <c r="A131" s="274" t="s">
        <v>768</v>
      </c>
      <c r="B131" s="275"/>
      <c r="C131" s="275"/>
      <c r="D131" s="275">
        <f>SUM(D127:D130)</f>
      </c>
      <c r="E131" s="275">
        <f>SUM(E127:E130)</f>
      </c>
      <c r="F131" s="280">
        <f>SUM(F127:F130)</f>
      </c>
      <c r="G131" s="275">
        <f>SUM(G127:G130)</f>
      </c>
      <c r="H131" s="275">
        <f>SUM(H127:H130)</f>
      </c>
      <c r="I131" s="276">
        <f t="shared" si="3"/>
      </c>
      <c r="J131" s="276">
        <f t="shared" si="0"/>
      </c>
      <c r="K131" s="276">
        <f t="shared" si="5"/>
      </c>
      <c r="L131" s="281">
        <f t="shared" si="6"/>
      </c>
      <c r="M131" s="276"/>
      <c r="N131" s="275">
        <f>SUM(N127:N130)</f>
      </c>
    </row>
    <row r="132">
      <c r="A132" s="267" t="s">
        <v>769</v>
      </c>
      <c r="B132" s="272" t="s">
        <v>703</v>
      </c>
      <c r="C132" s="268" t="s">
        <v>759</v>
      </c>
      <c r="D132" s="268">
        <v>4</v>
      </c>
      <c r="E132" s="268">
        <v>78</v>
      </c>
      <c r="F132" s="278">
        <v>19</v>
      </c>
      <c r="G132" s="269">
        <v>37178.8</v>
      </c>
      <c r="H132" s="269">
        <v>22416.71</v>
      </c>
      <c r="I132" s="270">
        <f t="shared" si="3"/>
      </c>
      <c r="J132" s="270">
        <f t="shared" si="0"/>
      </c>
      <c r="K132" s="270">
        <f t="shared" si="5"/>
      </c>
      <c r="L132" s="279">
        <f t="shared" si="6"/>
      </c>
      <c r="M132" s="271" t="s">
        <v>732</v>
      </c>
      <c r="N132" s="268">
        <v>9</v>
      </c>
    </row>
    <row r="133">
      <c r="A133" s="267" t="s">
        <v>769</v>
      </c>
      <c r="B133" s="272" t="s">
        <v>728</v>
      </c>
      <c r="C133" s="268" t="s">
        <v>707</v>
      </c>
      <c r="D133" s="268">
        <v>4</v>
      </c>
      <c r="E133" s="268">
        <v>103</v>
      </c>
      <c r="F133" s="278">
        <v>22</v>
      </c>
      <c r="G133" s="269">
        <v>56916.42999999999</v>
      </c>
      <c r="H133" s="269">
        <v>26697.719999999998</v>
      </c>
      <c r="I133" s="270">
        <f t="shared" si="3"/>
      </c>
      <c r="J133" s="270">
        <f t="shared" si="0"/>
      </c>
      <c r="K133" s="270">
        <f t="shared" si="5"/>
      </c>
      <c r="L133" s="279">
        <f t="shared" si="6"/>
      </c>
      <c r="M133" s="271"/>
      <c r="N133" s="268"/>
    </row>
    <row r="134">
      <c r="A134" s="267" t="s">
        <v>769</v>
      </c>
      <c r="B134" s="272" t="s">
        <v>730</v>
      </c>
      <c r="C134" s="268" t="s">
        <v>739</v>
      </c>
      <c r="D134" s="268">
        <v>4</v>
      </c>
      <c r="E134" s="268">
        <v>202</v>
      </c>
      <c r="F134" s="278">
        <v>33</v>
      </c>
      <c r="G134" s="269">
        <v>97964.59000000001</v>
      </c>
      <c r="H134" s="269">
        <v>49330.43</v>
      </c>
      <c r="I134" s="270">
        <f t="shared" si="3"/>
      </c>
      <c r="J134" s="270">
        <f t="shared" si="0"/>
      </c>
      <c r="K134" s="270">
        <f t="shared" si="5"/>
      </c>
      <c r="L134" s="279">
        <f t="shared" si="6"/>
      </c>
      <c r="M134" s="271"/>
      <c r="N134" s="268"/>
    </row>
    <row r="135">
      <c r="A135" s="267" t="s">
        <v>769</v>
      </c>
      <c r="B135" s="272" t="s">
        <v>715</v>
      </c>
      <c r="C135" s="268" t="s">
        <v>744</v>
      </c>
      <c r="D135" s="268">
        <v>4</v>
      </c>
      <c r="E135" s="268">
        <v>57</v>
      </c>
      <c r="F135" s="278">
        <v>9</v>
      </c>
      <c r="G135" s="269">
        <v>24400.350000000006</v>
      </c>
      <c r="H135" s="269">
        <v>27881.6</v>
      </c>
      <c r="I135" s="270">
        <f t="shared" si="3"/>
      </c>
      <c r="J135" s="270">
        <f t="shared" si="0"/>
      </c>
      <c r="K135" s="270">
        <f t="shared" si="5"/>
      </c>
      <c r="L135" s="279">
        <f t="shared" si="6"/>
      </c>
      <c r="M135" s="271" t="s">
        <v>741</v>
      </c>
      <c r="N135" s="268">
        <v>7</v>
      </c>
    </row>
    <row r="136">
      <c r="A136" s="274" t="s">
        <v>769</v>
      </c>
      <c r="B136" s="275"/>
      <c r="C136" s="275"/>
      <c r="D136" s="275">
        <f>SUM(D132:D135)</f>
      </c>
      <c r="E136" s="275">
        <f>SUM(E132:E135)</f>
      </c>
      <c r="F136" s="280">
        <f>SUM(F132:F135)</f>
      </c>
      <c r="G136" s="275">
        <f>SUM(G132:G135)</f>
      </c>
      <c r="H136" s="275">
        <f>SUM(H132:H135)</f>
      </c>
      <c r="I136" s="276">
        <f t="shared" si="3"/>
      </c>
      <c r="J136" s="276">
        <f t="shared" si="0"/>
      </c>
      <c r="K136" s="276">
        <f t="shared" si="5"/>
      </c>
      <c r="L136" s="281">
        <f t="shared" si="6"/>
      </c>
      <c r="M136" s="276"/>
      <c r="N136" s="275">
        <f>SUM(N132:N135)</f>
      </c>
    </row>
    <row r="137"/>
    <row r="138"/>
    <row r="139"/>
    <row r="140"/>
    <row r="141"/>
    <row r="142"/>
    <row r="143">
      <c r="I143" s="283"/>
      <c r="J143" s="284"/>
      <c r="K143" s="284"/>
      <c r="L143" s="284"/>
      <c r="M143" s="284"/>
      <c r="N143" s="284"/>
      <c r="O143" s="284"/>
      <c r="P143" s="284"/>
      <c r="Q143" s="284"/>
      <c r="R143" s="283"/>
    </row>
    <row r="144">
      <c r="H144" s="285"/>
      <c r="I144" s="286" t="s">
        <v>770</v>
      </c>
      <c r="J144" s="287" t="s">
        <v>689</v>
      </c>
      <c r="K144" s="288" t="s">
        <v>691</v>
      </c>
      <c r="L144" s="288" t="s">
        <v>692</v>
      </c>
      <c r="M144" s="288" t="s">
        <v>694</v>
      </c>
      <c r="N144" s="288" t="s">
        <v>695</v>
      </c>
      <c r="O144" s="288" t="s">
        <v>696</v>
      </c>
      <c r="P144" s="288" t="s">
        <v>697</v>
      </c>
      <c r="Q144" s="289" t="s">
        <v>698</v>
      </c>
      <c r="R144" s="290" t="s">
        <v>771</v>
      </c>
      <c r="S144" s="283"/>
    </row>
    <row r="145">
      <c r="H145" s="283"/>
      <c r="I145" s="291"/>
      <c r="J145" s="292" t="s">
        <v>715</v>
      </c>
      <c r="K145" s="293">
        <v>92</v>
      </c>
      <c r="L145" s="293">
        <v>1343</v>
      </c>
      <c r="M145" s="293">
        <v>648291.15</v>
      </c>
      <c r="N145" s="293">
        <v>402305.99</v>
      </c>
      <c r="O145" s="270">
        <f t="shared" ref="O145:O153" si="4">M145/N145</f>
      </c>
      <c r="P145" s="294">
        <f t="shared" ref="P145:P152" si="2">M145/L145</f>
      </c>
      <c r="Q145" s="295">
        <f t="shared" ref="Q145:Q152" si="1">N145/L145</f>
      </c>
      <c r="R145" s="296">
        <f t="shared" ref="R145:R153" si="7">N145/K145</f>
      </c>
      <c r="S145" s="283"/>
    </row>
    <row r="146">
      <c r="H146" s="283"/>
      <c r="I146" s="291"/>
      <c r="J146" s="292" t="s">
        <v>725</v>
      </c>
      <c r="K146" s="293">
        <v>38</v>
      </c>
      <c r="L146" s="293">
        <v>659</v>
      </c>
      <c r="M146" s="293">
        <v>354381.52</v>
      </c>
      <c r="N146" s="293">
        <v>197020.39999999997</v>
      </c>
      <c r="O146" s="270">
        <f t="shared" si="4"/>
      </c>
      <c r="P146" s="294">
        <f t="shared" si="2"/>
      </c>
      <c r="Q146" s="295">
        <f t="shared" si="1"/>
      </c>
      <c r="R146" s="296">
        <f t="shared" si="7"/>
      </c>
      <c r="S146" s="283"/>
    </row>
    <row r="147">
      <c r="H147" s="283"/>
      <c r="I147" s="291"/>
      <c r="J147" s="292" t="s">
        <v>711</v>
      </c>
      <c r="K147" s="293">
        <v>7</v>
      </c>
      <c r="L147" s="293">
        <v>49</v>
      </c>
      <c r="M147" s="293">
        <v>23863.82</v>
      </c>
      <c r="N147" s="293">
        <v>17259.92</v>
      </c>
      <c r="O147" s="270">
        <f t="shared" si="4"/>
      </c>
      <c r="P147" s="294">
        <f t="shared" si="2"/>
      </c>
      <c r="Q147" s="295">
        <f t="shared" si="1"/>
      </c>
      <c r="R147" s="296">
        <f t="shared" si="7"/>
      </c>
      <c r="S147" s="283"/>
    </row>
    <row r="148">
      <c r="H148" s="283"/>
      <c r="I148" s="291"/>
      <c r="J148" s="292" t="s">
        <v>706</v>
      </c>
      <c r="K148" s="293">
        <v>20</v>
      </c>
      <c r="L148" s="293">
        <v>251</v>
      </c>
      <c r="M148" s="293">
        <v>125030.6</v>
      </c>
      <c r="N148" s="293">
        <v>78714.70000000001</v>
      </c>
      <c r="O148" s="270">
        <f t="shared" si="4"/>
      </c>
      <c r="P148" s="294">
        <f t="shared" si="2"/>
      </c>
      <c r="Q148" s="295">
        <f t="shared" si="1"/>
      </c>
      <c r="R148" s="296">
        <f t="shared" si="7"/>
      </c>
      <c r="S148" s="283"/>
    </row>
    <row r="149">
      <c r="H149" s="283"/>
      <c r="I149" s="291"/>
      <c r="J149" s="292" t="s">
        <v>728</v>
      </c>
      <c r="K149" s="293">
        <v>88</v>
      </c>
      <c r="L149" s="293">
        <v>1603</v>
      </c>
      <c r="M149" s="293">
        <v>823226.22</v>
      </c>
      <c r="N149" s="293">
        <v>429487.22</v>
      </c>
      <c r="O149" s="270">
        <f t="shared" si="4"/>
      </c>
      <c r="P149" s="294">
        <f t="shared" si="2"/>
      </c>
      <c r="Q149" s="295">
        <f t="shared" si="1"/>
      </c>
      <c r="R149" s="296">
        <f t="shared" si="7"/>
      </c>
      <c r="S149" s="283"/>
    </row>
    <row r="150">
      <c r="H150" s="283"/>
      <c r="I150" s="291"/>
      <c r="J150" s="292" t="s">
        <v>703</v>
      </c>
      <c r="K150" s="293">
        <v>73</v>
      </c>
      <c r="L150" s="293">
        <v>1074</v>
      </c>
      <c r="M150" s="293">
        <v>574524.7</v>
      </c>
      <c r="N150" s="293">
        <v>316035.21</v>
      </c>
      <c r="O150" s="270">
        <f t="shared" si="4"/>
      </c>
      <c r="P150" s="294">
        <f t="shared" si="2"/>
      </c>
      <c r="Q150" s="295">
        <f t="shared" si="1"/>
      </c>
      <c r="R150" s="296">
        <f t="shared" si="7"/>
      </c>
      <c r="S150" s="283"/>
    </row>
    <row r="151">
      <c r="H151" s="283"/>
      <c r="I151" s="291"/>
      <c r="J151" s="292" t="s">
        <v>708</v>
      </c>
      <c r="K151" s="293">
        <v>8</v>
      </c>
      <c r="L151" s="293">
        <v>73</v>
      </c>
      <c r="M151" s="293">
        <v>44445.520000000004</v>
      </c>
      <c r="N151" s="293">
        <v>26381.1</v>
      </c>
      <c r="O151" s="270">
        <f t="shared" si="4"/>
      </c>
      <c r="P151" s="294">
        <f t="shared" si="2"/>
      </c>
      <c r="Q151" s="295">
        <f t="shared" si="1"/>
      </c>
      <c r="R151" s="296">
        <f t="shared" si="7"/>
      </c>
      <c r="S151" s="283"/>
    </row>
    <row r="152">
      <c r="H152" s="283"/>
      <c r="I152" s="291"/>
      <c r="J152" s="292" t="s">
        <v>730</v>
      </c>
      <c r="K152" s="293">
        <v>97</v>
      </c>
      <c r="L152" s="293">
        <v>2558</v>
      </c>
      <c r="M152" s="293">
        <v>1426204.0099999995</v>
      </c>
      <c r="N152" s="293">
        <v>695519.03</v>
      </c>
      <c r="O152" s="270">
        <f t="shared" si="4"/>
      </c>
      <c r="P152" s="294">
        <f t="shared" si="2"/>
      </c>
      <c r="Q152" s="295">
        <f t="shared" si="1"/>
      </c>
      <c r="R152" s="296">
        <f t="shared" si="7"/>
      </c>
      <c r="S152" s="283"/>
    </row>
    <row r="153">
      <c r="H153" s="283"/>
      <c r="I153" s="291"/>
      <c r="J153" s="297" t="s">
        <v>772</v>
      </c>
      <c r="K153" s="298">
        <f>K152+K151+K150+K149+K148+K147+K146+K145</f>
      </c>
      <c r="L153" s="298">
        <f>L152+L151+L150+L149+L148+L147+L146+L145</f>
      </c>
      <c r="M153" s="298">
        <f>M152+M151+M150+M149+M148+M147+M146+M145</f>
      </c>
      <c r="N153" s="298">
        <f>N152+N151+N150+N149+N148+N147+N146+N145</f>
      </c>
      <c r="O153" s="299">
        <f t="shared" si="4"/>
      </c>
      <c r="P153" s="299">
        <f>M153/K153</f>
      </c>
      <c r="Q153" s="300">
        <v>299.5576991809382</v>
      </c>
      <c r="R153" s="301">
        <f t="shared" si="7"/>
      </c>
      <c r="S153" s="283"/>
    </row>
    <row r="154">
      <c r="I154" s="283"/>
      <c r="J154" s="284"/>
      <c r="K154" s="284"/>
      <c r="L154" s="284"/>
      <c r="M154" s="284"/>
      <c r="N154" s="284"/>
      <c r="O154" s="284"/>
      <c r="P154" s="284"/>
      <c r="Q154" s="284"/>
      <c r="R154" s="283"/>
    </row>
  </sheetData>
  <mergeCells>
    <mergeCell ref="I144:I153"/>
  </mergeCells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sheetData>
    <row r="1">
      <c r="A1" s="302" t="s">
        <v>773</v>
      </c>
      <c r="B1" s="302" t="s">
        <v>774</v>
      </c>
      <c r="C1" s="302" t="s">
        <v>775</v>
      </c>
      <c r="D1" s="302" t="s">
        <v>776</v>
      </c>
      <c r="E1" s="302" t="s">
        <v>777</v>
      </c>
      <c r="F1" s="303" t="s">
        <v>778</v>
      </c>
      <c r="G1" s="302" t="s">
        <v>779</v>
      </c>
      <c r="H1" s="302" t="s">
        <v>780</v>
      </c>
      <c r="I1" s="304" t="s">
        <v>781</v>
      </c>
      <c r="J1" s="304" t="s">
        <v>782</v>
      </c>
      <c r="K1" s="304" t="s">
        <v>783</v>
      </c>
      <c r="L1" s="305" t="s">
        <v>784</v>
      </c>
    </row>
    <row hidden="true" r="2">
      <c r="A2" s="306" t="s">
        <v>785</v>
      </c>
      <c r="B2" s="307" t="s">
        <v>786</v>
      </c>
      <c r="C2" s="308" t="s">
        <v>787</v>
      </c>
      <c r="D2" s="308">
        <v>4</v>
      </c>
      <c r="E2" s="308">
        <v>115</v>
      </c>
      <c r="F2" s="309">
        <v>23</v>
      </c>
      <c r="G2" s="309">
        <v>63164.4</v>
      </c>
      <c r="H2" s="310">
        <v>26068.25</v>
      </c>
      <c r="I2" s="311">
        <f t="shared" ref="I2:I33" si="2">G2/H2</f>
      </c>
      <c r="J2" s="311">
        <f t="shared" ref="J2:J33" si="0">G2/E2</f>
      </c>
      <c r="K2" s="311">
        <f t="shared" ref="K2:K33" si="3">H2/E2</f>
      </c>
      <c r="L2" s="312">
        <f t="shared" ref="L2:L33" si="1">F2/E2</f>
      </c>
    </row>
    <row hidden="true" r="3">
      <c r="A3" s="306" t="s">
        <v>785</v>
      </c>
      <c r="B3" s="307" t="s">
        <v>788</v>
      </c>
      <c r="C3" s="308" t="s">
        <v>789</v>
      </c>
      <c r="D3" s="308">
        <v>4</v>
      </c>
      <c r="E3" s="309">
        <v>56</v>
      </c>
      <c r="F3" s="309">
        <v>9</v>
      </c>
      <c r="G3" s="309">
        <v>30825.159999999996</v>
      </c>
      <c r="H3" s="310">
        <v>22588.12999999999</v>
      </c>
      <c r="I3" s="311">
        <f t="shared" si="2"/>
      </c>
      <c r="J3" s="311">
        <f t="shared" si="0"/>
      </c>
      <c r="K3" s="311">
        <f t="shared" si="3"/>
      </c>
      <c r="L3" s="312">
        <f t="shared" si="1"/>
      </c>
    </row>
    <row hidden="true" r="4">
      <c r="A4" s="306" t="s">
        <v>785</v>
      </c>
      <c r="B4" s="307" t="s">
        <v>790</v>
      </c>
      <c r="C4" s="308" t="s">
        <v>791</v>
      </c>
      <c r="D4" s="308">
        <v>4</v>
      </c>
      <c r="E4" s="308">
        <v>89</v>
      </c>
      <c r="F4" s="309">
        <v>19</v>
      </c>
      <c r="G4" s="310">
        <v>44472.44</v>
      </c>
      <c r="H4" s="310">
        <v>20951.989999999998</v>
      </c>
      <c r="I4" s="311">
        <f t="shared" si="2"/>
      </c>
      <c r="J4" s="311">
        <f t="shared" si="0"/>
      </c>
      <c r="K4" s="311">
        <f t="shared" si="3"/>
      </c>
      <c r="L4" s="312">
        <f t="shared" si="1"/>
      </c>
    </row>
    <row r="5">
      <c r="A5" s="306" t="s">
        <v>785</v>
      </c>
      <c r="B5" s="307" t="s">
        <v>792</v>
      </c>
      <c r="C5" s="308" t="s">
        <v>793</v>
      </c>
      <c r="D5" s="308">
        <v>5</v>
      </c>
      <c r="E5" s="308">
        <v>112</v>
      </c>
      <c r="F5" s="309">
        <v>18</v>
      </c>
      <c r="G5" s="310">
        <v>65397.45</v>
      </c>
      <c r="H5" s="310">
        <v>31944.799999999996</v>
      </c>
      <c r="I5" s="311">
        <f t="shared" si="2"/>
      </c>
      <c r="J5" s="311">
        <f t="shared" si="0"/>
      </c>
      <c r="K5" s="311">
        <f t="shared" si="3"/>
      </c>
      <c r="L5" s="312">
        <f t="shared" si="1"/>
      </c>
    </row>
    <row hidden="true" r="6">
      <c r="A6" s="313" t="s">
        <v>785</v>
      </c>
      <c r="B6" s="314"/>
      <c r="C6" s="314"/>
      <c r="D6" s="314">
        <f>SUM(D2:D5)</f>
      </c>
      <c r="E6" s="314">
        <f>SUM(E2:E5)</f>
      </c>
      <c r="F6" s="315">
        <f>SUM(F2:F5)</f>
      </c>
      <c r="G6" s="314">
        <f>SUM(G2:G5)</f>
      </c>
      <c r="H6" s="314">
        <f>SUM(H2:H5)</f>
      </c>
      <c r="I6" s="316">
        <f t="shared" si="2"/>
      </c>
      <c r="J6" s="316">
        <f t="shared" si="0"/>
      </c>
      <c r="K6" s="316">
        <f t="shared" si="3"/>
      </c>
      <c r="L6" s="317">
        <f t="shared" si="1"/>
      </c>
    </row>
    <row hidden="true" r="7">
      <c r="A7" s="306" t="s">
        <v>794</v>
      </c>
      <c r="B7" s="307" t="s">
        <v>786</v>
      </c>
      <c r="C7" s="308" t="s">
        <v>787</v>
      </c>
      <c r="D7" s="308">
        <v>4</v>
      </c>
      <c r="E7" s="308">
        <v>95</v>
      </c>
      <c r="F7" s="309">
        <v>25</v>
      </c>
      <c r="G7" s="309">
        <v>47080.83</v>
      </c>
      <c r="H7" s="310">
        <v>22461.79</v>
      </c>
      <c r="I7" s="311">
        <f t="shared" si="2"/>
      </c>
      <c r="J7" s="311">
        <f t="shared" si="0"/>
      </c>
      <c r="K7" s="311">
        <f t="shared" si="3"/>
      </c>
      <c r="L7" s="312">
        <f t="shared" si="1"/>
      </c>
    </row>
    <row r="8">
      <c r="A8" s="306" t="s">
        <v>794</v>
      </c>
      <c r="B8" s="307" t="s">
        <v>792</v>
      </c>
      <c r="C8" s="308" t="s">
        <v>789</v>
      </c>
      <c r="D8" s="308">
        <v>4</v>
      </c>
      <c r="E8" s="309">
        <v>85</v>
      </c>
      <c r="F8" s="309">
        <v>19</v>
      </c>
      <c r="G8" s="309">
        <v>62363.66</v>
      </c>
      <c r="H8" s="310">
        <v>22177.28</v>
      </c>
      <c r="I8" s="311">
        <f t="shared" si="2"/>
      </c>
      <c r="J8" s="311">
        <f t="shared" si="0"/>
      </c>
      <c r="K8" s="311">
        <f t="shared" si="3"/>
      </c>
      <c r="L8" s="312">
        <f t="shared" si="1"/>
      </c>
    </row>
    <row hidden="true" r="9">
      <c r="A9" s="306" t="s">
        <v>794</v>
      </c>
      <c r="B9" s="307" t="s">
        <v>790</v>
      </c>
      <c r="C9" s="308" t="s">
        <v>791</v>
      </c>
      <c r="D9" s="308">
        <v>4</v>
      </c>
      <c r="E9" s="308">
        <v>119</v>
      </c>
      <c r="F9" s="309">
        <v>30</v>
      </c>
      <c r="G9" s="310">
        <v>83992.78</v>
      </c>
      <c r="H9" s="310">
        <v>39832.91</v>
      </c>
      <c r="I9" s="311">
        <f t="shared" si="2"/>
      </c>
      <c r="J9" s="311">
        <f t="shared" si="0"/>
      </c>
      <c r="K9" s="311">
        <f t="shared" si="3"/>
      </c>
      <c r="L9" s="312">
        <f t="shared" si="1"/>
      </c>
    </row>
    <row hidden="true" r="10">
      <c r="A10" s="306" t="s">
        <v>794</v>
      </c>
      <c r="B10" s="307" t="s">
        <v>788</v>
      </c>
      <c r="C10" s="308" t="s">
        <v>793</v>
      </c>
      <c r="D10" s="308">
        <v>5</v>
      </c>
      <c r="E10" s="308">
        <v>103</v>
      </c>
      <c r="F10" s="309">
        <v>19</v>
      </c>
      <c r="G10" s="310">
        <v>58194.61</v>
      </c>
      <c r="H10" s="310">
        <v>29588.520000000004</v>
      </c>
      <c r="I10" s="311">
        <f t="shared" si="2"/>
      </c>
      <c r="J10" s="311">
        <f t="shared" si="0"/>
      </c>
      <c r="K10" s="311">
        <f t="shared" si="3"/>
      </c>
      <c r="L10" s="312">
        <f t="shared" si="1"/>
      </c>
    </row>
    <row hidden="true" r="11">
      <c r="A11" s="313" t="s">
        <v>794</v>
      </c>
      <c r="B11" s="314"/>
      <c r="C11" s="314"/>
      <c r="D11" s="314">
        <f>SUM(D7:D10)</f>
      </c>
      <c r="E11" s="314">
        <f>SUM(E7:E10)</f>
      </c>
      <c r="F11" s="315">
        <f>SUM(F7:F10)</f>
      </c>
      <c r="G11" s="314">
        <f>SUM(G7:G10)</f>
      </c>
      <c r="H11" s="314">
        <f>SUM(H7:H10)</f>
      </c>
      <c r="I11" s="316">
        <f t="shared" si="2"/>
      </c>
      <c r="J11" s="316">
        <f t="shared" si="0"/>
      </c>
      <c r="K11" s="316">
        <f t="shared" si="3"/>
      </c>
      <c r="L11" s="317">
        <f t="shared" si="1"/>
      </c>
    </row>
    <row hidden="true" r="12">
      <c r="A12" s="306" t="s">
        <v>795</v>
      </c>
      <c r="B12" s="307" t="s">
        <v>786</v>
      </c>
      <c r="C12" s="308" t="s">
        <v>787</v>
      </c>
      <c r="D12" s="308">
        <v>4</v>
      </c>
      <c r="E12" s="308">
        <v>290</v>
      </c>
      <c r="F12" s="309">
        <v>65</v>
      </c>
      <c r="G12" s="309">
        <v>131265.21</v>
      </c>
      <c r="H12" s="310">
        <v>66971.68</v>
      </c>
      <c r="I12" s="311">
        <f t="shared" si="2"/>
      </c>
      <c r="J12" s="311">
        <f t="shared" si="0"/>
      </c>
      <c r="K12" s="311">
        <f t="shared" si="3"/>
      </c>
      <c r="L12" s="312">
        <f t="shared" si="1"/>
      </c>
    </row>
    <row hidden="true" r="13">
      <c r="A13" s="306" t="s">
        <v>795</v>
      </c>
      <c r="B13" s="307" t="s">
        <v>790</v>
      </c>
      <c r="C13" s="308" t="s">
        <v>796</v>
      </c>
      <c r="D13" s="308">
        <v>3</v>
      </c>
      <c r="E13" s="309">
        <v>112</v>
      </c>
      <c r="F13" s="309">
        <v>25</v>
      </c>
      <c r="G13" s="309">
        <v>58047.72</v>
      </c>
      <c r="H13" s="310">
        <v>22761.699999999997</v>
      </c>
      <c r="I13" s="311">
        <f t="shared" si="2"/>
      </c>
      <c r="J13" s="311">
        <f t="shared" si="0"/>
      </c>
      <c r="K13" s="311">
        <f t="shared" si="3"/>
      </c>
      <c r="L13" s="312">
        <f t="shared" si="1"/>
      </c>
    </row>
    <row r="14">
      <c r="A14" s="306" t="s">
        <v>795</v>
      </c>
      <c r="B14" s="307" t="s">
        <v>792</v>
      </c>
      <c r="C14" s="308" t="s">
        <v>797</v>
      </c>
      <c r="D14" s="318">
        <v>5</v>
      </c>
      <c r="E14" s="308">
        <v>83</v>
      </c>
      <c r="F14" s="309">
        <v>17</v>
      </c>
      <c r="G14" s="310">
        <v>54329.53</v>
      </c>
      <c r="H14" s="310">
        <v>20791.71</v>
      </c>
      <c r="I14" s="311">
        <f t="shared" si="2"/>
      </c>
      <c r="J14" s="311">
        <f t="shared" si="0"/>
      </c>
      <c r="K14" s="311">
        <f t="shared" si="3"/>
      </c>
      <c r="L14" s="312">
        <f t="shared" si="1"/>
      </c>
    </row>
    <row hidden="true" r="15">
      <c r="A15" s="306" t="s">
        <v>795</v>
      </c>
      <c r="B15" s="307" t="s">
        <v>788</v>
      </c>
      <c r="C15" s="308" t="s">
        <v>798</v>
      </c>
      <c r="D15" s="308">
        <v>3</v>
      </c>
      <c r="E15" s="308">
        <v>184</v>
      </c>
      <c r="F15" s="309">
        <v>14</v>
      </c>
      <c r="G15" s="310">
        <v>91718.7</v>
      </c>
      <c r="H15" s="310">
        <v>33719.18</v>
      </c>
      <c r="I15" s="311">
        <f t="shared" si="2"/>
      </c>
      <c r="J15" s="311">
        <f t="shared" si="0"/>
      </c>
      <c r="K15" s="311">
        <f t="shared" si="3"/>
      </c>
      <c r="L15" s="312">
        <f t="shared" si="1"/>
      </c>
    </row>
    <row hidden="true" r="16">
      <c r="A16" s="313" t="s">
        <v>795</v>
      </c>
      <c r="B16" s="314"/>
      <c r="C16" s="314"/>
      <c r="D16" s="314">
        <f>SUM(D12:D15)</f>
      </c>
      <c r="E16" s="314">
        <f>SUM(E12:E15)</f>
      </c>
      <c r="F16" s="315">
        <f>SUM(F12:F15)</f>
      </c>
      <c r="G16" s="314">
        <f>SUM(G12:G15)</f>
      </c>
      <c r="H16" s="314">
        <f>SUM(H12:H15)</f>
      </c>
      <c r="I16" s="316">
        <f t="shared" si="2"/>
      </c>
      <c r="J16" s="316">
        <f t="shared" si="0"/>
      </c>
      <c r="K16" s="316">
        <f t="shared" si="3"/>
      </c>
      <c r="L16" s="317">
        <f t="shared" si="1"/>
      </c>
    </row>
    <row hidden="true" r="17">
      <c r="A17" s="306" t="s">
        <v>799</v>
      </c>
      <c r="B17" s="307" t="s">
        <v>800</v>
      </c>
      <c r="C17" s="308" t="s">
        <v>801</v>
      </c>
      <c r="D17" s="308">
        <v>4</v>
      </c>
      <c r="E17" s="308">
        <v>81</v>
      </c>
      <c r="F17" s="309">
        <v>17</v>
      </c>
      <c r="G17" s="310">
        <v>50279.48</v>
      </c>
      <c r="H17" s="310">
        <v>15016.47</v>
      </c>
      <c r="I17" s="311">
        <f t="shared" si="2"/>
      </c>
      <c r="J17" s="311">
        <f t="shared" si="0"/>
      </c>
      <c r="K17" s="311">
        <f t="shared" si="3"/>
      </c>
      <c r="L17" s="312">
        <f t="shared" si="1"/>
      </c>
    </row>
    <row hidden="true" r="18">
      <c r="A18" s="306" t="s">
        <v>799</v>
      </c>
      <c r="B18" s="319" t="s">
        <v>786</v>
      </c>
      <c r="C18" s="308" t="s">
        <v>802</v>
      </c>
      <c r="D18" s="308">
        <v>4</v>
      </c>
      <c r="E18" s="308">
        <v>141</v>
      </c>
      <c r="F18" s="309">
        <v>12</v>
      </c>
      <c r="G18" s="310">
        <v>82514.17</v>
      </c>
      <c r="H18" s="310">
        <v>34748.68</v>
      </c>
      <c r="I18" s="311">
        <f t="shared" si="2"/>
      </c>
      <c r="J18" s="311">
        <f t="shared" si="0"/>
      </c>
      <c r="K18" s="311">
        <f t="shared" si="3"/>
      </c>
      <c r="L18" s="312">
        <f t="shared" si="1"/>
      </c>
    </row>
    <row hidden="true" r="19">
      <c r="A19" s="313" t="s">
        <v>799</v>
      </c>
      <c r="B19" s="314"/>
      <c r="C19" s="314"/>
      <c r="D19" s="314">
        <f>SUM(D17:D18)</f>
      </c>
      <c r="E19" s="314">
        <f>SUM(E17:E18)</f>
      </c>
      <c r="F19" s="315">
        <f>SUM(F17:F18)</f>
      </c>
      <c r="G19" s="314">
        <f>SUM(G17:G18)</f>
      </c>
      <c r="H19" s="314">
        <f>SUM(H17:H18)</f>
      </c>
      <c r="I19" s="316">
        <f t="shared" si="2"/>
      </c>
      <c r="J19" s="316">
        <f t="shared" si="0"/>
      </c>
      <c r="K19" s="316">
        <f t="shared" si="3"/>
      </c>
      <c r="L19" s="317">
        <f t="shared" si="1"/>
      </c>
    </row>
    <row hidden="true" r="20">
      <c r="A20" s="306" t="s">
        <v>803</v>
      </c>
      <c r="B20" s="307" t="s">
        <v>786</v>
      </c>
      <c r="C20" s="308" t="s">
        <v>804</v>
      </c>
      <c r="D20" s="308">
        <v>4</v>
      </c>
      <c r="E20" s="308">
        <v>21</v>
      </c>
      <c r="F20" s="309">
        <v>4</v>
      </c>
      <c r="G20" s="310">
        <v>13107.26</v>
      </c>
      <c r="H20" s="310">
        <v>8382.77</v>
      </c>
      <c r="I20" s="311">
        <f t="shared" si="2"/>
      </c>
      <c r="J20" s="311">
        <f t="shared" si="0"/>
      </c>
      <c r="K20" s="311">
        <f t="shared" si="3"/>
      </c>
      <c r="L20" s="312">
        <f t="shared" si="1"/>
      </c>
    </row>
    <row hidden="true" r="21">
      <c r="A21" s="306" t="s">
        <v>803</v>
      </c>
      <c r="B21" s="307" t="s">
        <v>790</v>
      </c>
      <c r="C21" s="308" t="s">
        <v>805</v>
      </c>
      <c r="D21" s="308">
        <v>5</v>
      </c>
      <c r="E21" s="308">
        <v>41</v>
      </c>
      <c r="F21" s="309">
        <v>6</v>
      </c>
      <c r="G21" s="310">
        <v>20968.25</v>
      </c>
      <c r="H21" s="310">
        <v>12303.67</v>
      </c>
      <c r="I21" s="311">
        <f t="shared" si="2"/>
      </c>
      <c r="J21" s="311">
        <f t="shared" si="0"/>
      </c>
      <c r="K21" s="311">
        <f t="shared" si="3"/>
      </c>
      <c r="L21" s="312">
        <f t="shared" si="1"/>
      </c>
    </row>
    <row hidden="true" r="22">
      <c r="A22" s="306" t="s">
        <v>803</v>
      </c>
      <c r="B22" s="319" t="s">
        <v>786</v>
      </c>
      <c r="C22" s="308" t="s">
        <v>806</v>
      </c>
      <c r="D22" s="308">
        <v>3</v>
      </c>
      <c r="E22" s="308">
        <v>21</v>
      </c>
      <c r="F22" s="309">
        <v>3</v>
      </c>
      <c r="G22" s="310">
        <v>13162.68</v>
      </c>
      <c r="H22" s="310">
        <v>9150.009999999998</v>
      </c>
      <c r="I22" s="311">
        <f t="shared" si="2"/>
      </c>
      <c r="J22" s="311">
        <f t="shared" si="0"/>
      </c>
      <c r="K22" s="311">
        <f t="shared" si="3"/>
      </c>
      <c r="L22" s="312">
        <f t="shared" si="1"/>
      </c>
    </row>
    <row hidden="true" r="23">
      <c r="A23" s="313" t="s">
        <v>803</v>
      </c>
      <c r="B23" s="314"/>
      <c r="C23" s="314"/>
      <c r="D23" s="314">
        <f>SUM(D20:D22)</f>
      </c>
      <c r="E23" s="314">
        <f>SUM(E20:E22)</f>
      </c>
      <c r="F23" s="315">
        <f>SUM(F20:F22)</f>
      </c>
      <c r="G23" s="314">
        <f>SUM(G20:G22)</f>
      </c>
      <c r="H23" s="314">
        <f>SUM(H20:H22)</f>
      </c>
      <c r="I23" s="316">
        <f t="shared" si="2"/>
      </c>
      <c r="J23" s="316">
        <f t="shared" si="0"/>
      </c>
      <c r="K23" s="316">
        <f t="shared" si="3"/>
      </c>
      <c r="L23" s="317">
        <f t="shared" si="1"/>
      </c>
    </row>
    <row hidden="true" r="24">
      <c r="A24" s="306" t="s">
        <v>807</v>
      </c>
      <c r="B24" s="307" t="s">
        <v>786</v>
      </c>
      <c r="C24" s="308" t="s">
        <v>804</v>
      </c>
      <c r="D24" s="308">
        <v>4</v>
      </c>
      <c r="E24" s="308">
        <v>19</v>
      </c>
      <c r="F24" s="309">
        <v>3</v>
      </c>
      <c r="G24" s="310">
        <v>5858.2</v>
      </c>
      <c r="H24" s="310">
        <v>9053.65</v>
      </c>
      <c r="I24" s="311">
        <f t="shared" si="2"/>
      </c>
      <c r="J24" s="311">
        <f t="shared" si="0"/>
      </c>
      <c r="K24" s="311">
        <f t="shared" si="3"/>
      </c>
      <c r="L24" s="312">
        <f t="shared" si="1"/>
      </c>
    </row>
    <row hidden="true" r="25">
      <c r="A25" s="306" t="s">
        <v>807</v>
      </c>
      <c r="B25" s="307" t="s">
        <v>808</v>
      </c>
      <c r="C25" s="308" t="s">
        <v>805</v>
      </c>
      <c r="D25" s="308">
        <v>5</v>
      </c>
      <c r="E25" s="308">
        <v>24</v>
      </c>
      <c r="F25" s="309">
        <v>6</v>
      </c>
      <c r="G25" s="310">
        <v>11593.380000000001</v>
      </c>
      <c r="H25" s="310">
        <v>9835.120000000003</v>
      </c>
      <c r="I25" s="311">
        <f t="shared" si="2"/>
      </c>
      <c r="J25" s="311">
        <f t="shared" si="0"/>
      </c>
      <c r="K25" s="311">
        <f t="shared" si="3"/>
      </c>
      <c r="L25" s="312">
        <f t="shared" si="1"/>
      </c>
    </row>
    <row hidden="true" r="26">
      <c r="A26" s="306" t="s">
        <v>807</v>
      </c>
      <c r="B26" s="319" t="s">
        <v>786</v>
      </c>
      <c r="C26" s="308" t="s">
        <v>806</v>
      </c>
      <c r="D26" s="308">
        <v>3</v>
      </c>
      <c r="E26" s="308">
        <v>34</v>
      </c>
      <c r="F26" s="309">
        <v>4</v>
      </c>
      <c r="G26" s="310">
        <v>19119</v>
      </c>
      <c r="H26" s="310">
        <v>9587.699999999997</v>
      </c>
      <c r="I26" s="311">
        <f t="shared" si="2"/>
      </c>
      <c r="J26" s="311">
        <f t="shared" si="0"/>
      </c>
      <c r="K26" s="311">
        <f t="shared" si="3"/>
      </c>
      <c r="L26" s="312">
        <f t="shared" si="1"/>
      </c>
    </row>
    <row hidden="true" r="27">
      <c r="A27" s="306" t="s">
        <v>807</v>
      </c>
      <c r="B27" s="320" t="s">
        <v>790</v>
      </c>
      <c r="C27" s="308" t="s">
        <v>802</v>
      </c>
      <c r="D27" s="308">
        <v>4</v>
      </c>
      <c r="E27" s="308">
        <v>83</v>
      </c>
      <c r="F27" s="309">
        <v>7</v>
      </c>
      <c r="G27" s="310">
        <v>46195.08000000001</v>
      </c>
      <c r="H27" s="310">
        <v>20364.550000000003</v>
      </c>
      <c r="I27" s="311">
        <f t="shared" si="2"/>
      </c>
      <c r="J27" s="311">
        <f t="shared" si="0"/>
      </c>
      <c r="K27" s="311">
        <f t="shared" si="3"/>
      </c>
      <c r="L27" s="312">
        <f t="shared" si="1"/>
      </c>
    </row>
    <row hidden="true" r="28">
      <c r="A28" s="313" t="s">
        <v>807</v>
      </c>
      <c r="B28" s="314"/>
      <c r="C28" s="314"/>
      <c r="D28" s="314">
        <f>SUM(D24:D27)</f>
      </c>
      <c r="E28" s="314">
        <f>SUM(E24:E27)</f>
      </c>
      <c r="F28" s="315">
        <f>SUM(F24:F27)</f>
      </c>
      <c r="G28" s="314">
        <f>SUM(G24:G27)</f>
      </c>
      <c r="H28" s="314">
        <f>SUM(H24:H27)</f>
      </c>
      <c r="I28" s="316">
        <f t="shared" si="2"/>
      </c>
      <c r="J28" s="316">
        <f t="shared" si="0"/>
      </c>
      <c r="K28" s="316">
        <f t="shared" si="3"/>
      </c>
      <c r="L28" s="321">
        <f t="shared" si="1"/>
      </c>
    </row>
    <row r="29">
      <c r="A29" s="306" t="s">
        <v>809</v>
      </c>
      <c r="B29" s="307" t="s">
        <v>792</v>
      </c>
      <c r="C29" s="308" t="s">
        <v>787</v>
      </c>
      <c r="D29" s="308">
        <v>4</v>
      </c>
      <c r="E29" s="308">
        <v>68</v>
      </c>
      <c r="F29" s="309">
        <v>23</v>
      </c>
      <c r="G29" s="310">
        <v>38501.16</v>
      </c>
      <c r="H29" s="310">
        <v>20258.88</v>
      </c>
      <c r="I29" s="311">
        <f t="shared" si="2"/>
      </c>
      <c r="J29" s="311">
        <f t="shared" si="0"/>
      </c>
      <c r="K29" s="322">
        <f t="shared" si="3"/>
      </c>
      <c r="L29" s="312">
        <f t="shared" si="1"/>
      </c>
    </row>
    <row hidden="true" r="30">
      <c r="A30" s="306" t="s">
        <v>809</v>
      </c>
      <c r="B30" s="307" t="s">
        <v>808</v>
      </c>
      <c r="C30" s="308" t="s">
        <v>810</v>
      </c>
      <c r="D30" s="308">
        <v>5</v>
      </c>
      <c r="E30" s="308">
        <v>52</v>
      </c>
      <c r="F30" s="309">
        <v>10</v>
      </c>
      <c r="G30" s="310">
        <v>32212.009999999995</v>
      </c>
      <c r="H30" s="310">
        <v>17535.089999999997</v>
      </c>
      <c r="I30" s="311">
        <f t="shared" si="2"/>
      </c>
      <c r="J30" s="311">
        <f t="shared" si="0"/>
      </c>
      <c r="K30" s="322">
        <f t="shared" si="3"/>
      </c>
      <c r="L30" s="312">
        <f t="shared" si="1"/>
      </c>
    </row>
    <row hidden="true" r="31">
      <c r="A31" s="306" t="s">
        <v>809</v>
      </c>
      <c r="B31" s="319" t="s">
        <v>786</v>
      </c>
      <c r="C31" s="308" t="s">
        <v>801</v>
      </c>
      <c r="D31" s="308">
        <v>4</v>
      </c>
      <c r="E31" s="308">
        <v>57</v>
      </c>
      <c r="F31" s="309">
        <v>18</v>
      </c>
      <c r="G31" s="310">
        <v>32698.03</v>
      </c>
      <c r="H31" s="310">
        <v>17064.78</v>
      </c>
      <c r="I31" s="311">
        <f t="shared" si="2"/>
      </c>
      <c r="J31" s="311">
        <f t="shared" si="0"/>
      </c>
      <c r="K31" s="322">
        <f t="shared" si="3"/>
      </c>
      <c r="L31" s="312">
        <f t="shared" si="1"/>
      </c>
    </row>
    <row hidden="true" r="32">
      <c r="A32" s="306" t="s">
        <v>809</v>
      </c>
      <c r="B32" s="320" t="s">
        <v>790</v>
      </c>
      <c r="C32" s="308" t="s">
        <v>802</v>
      </c>
      <c r="D32" s="308">
        <v>4</v>
      </c>
      <c r="E32" s="308">
        <v>101</v>
      </c>
      <c r="F32" s="309">
        <v>14</v>
      </c>
      <c r="G32" s="310">
        <v>53866.69000000002</v>
      </c>
      <c r="H32" s="310">
        <v>26644.18</v>
      </c>
      <c r="I32" s="311">
        <f t="shared" si="2"/>
      </c>
      <c r="J32" s="311">
        <f t="shared" si="0"/>
      </c>
      <c r="K32" s="322">
        <f t="shared" si="3"/>
      </c>
      <c r="L32" s="312">
        <f t="shared" si="1"/>
      </c>
    </row>
    <row hidden="true" r="33">
      <c r="A33" s="313" t="s">
        <v>809</v>
      </c>
      <c r="B33" s="314"/>
      <c r="C33" s="314"/>
      <c r="D33" s="314">
        <f>SUM(D29:D32)</f>
      </c>
      <c r="E33" s="314">
        <f>SUM(E29:E32)</f>
      </c>
      <c r="F33" s="315">
        <f>SUM(F29:F32)</f>
      </c>
      <c r="G33" s="314">
        <f>SUM(G29:G32)</f>
      </c>
      <c r="H33" s="314">
        <f>SUM(H29:H32)</f>
      </c>
      <c r="I33" s="316">
        <f t="shared" si="2"/>
      </c>
      <c r="J33" s="316">
        <f t="shared" si="0"/>
      </c>
      <c r="K33" s="323">
        <f t="shared" si="3"/>
      </c>
      <c r="L33" s="317">
        <f t="shared" si="1"/>
      </c>
    </row>
    <row r="34">
      <c r="A34" s="324" t="s">
        <v>776</v>
      </c>
      <c r="B34" s="324" t="s">
        <v>811</v>
      </c>
      <c r="C34" s="324" t="s">
        <v>812</v>
      </c>
      <c r="D34" s="324" t="s">
        <v>813</v>
      </c>
    </row>
    <row r="35">
      <c r="A35">
        <f>D5+D8+D14+D29</f>
      </c>
      <c r="B35">
        <f>E5+E8+E14+E29</f>
      </c>
      <c r="C35">
        <f>G5+G8+G14+G29</f>
      </c>
      <c r="D35">
        <f>H5+H8+H14+H29</f>
      </c>
    </row>
    <row hidden="true" r="36"/>
    <row hidden="true" r="37"/>
    <row hidden="true" r="38">
      <c r="M38" s="324" t="s">
        <v>776</v>
      </c>
      <c r="N38" s="324" t="s">
        <v>811</v>
      </c>
      <c r="O38" s="324" t="s">
        <v>812</v>
      </c>
      <c r="P38" s="324" t="s">
        <v>813</v>
      </c>
    </row>
    <row hidden="true" r="39">
      <c r="M39">
        <f>D6+D11+D16+D19+D23+D28+D33</f>
      </c>
      <c r="N39">
        <f>E6+E11+E16+E19+E23+E28+E33</f>
      </c>
      <c r="O39">
        <f>G6+G11+G16+G19+G23+G28+G33</f>
      </c>
      <c r="P39">
        <f>H6+H11+H16+H19+H23+H28+H33</f>
      </c>
    </row>
    <row hidden="true" r="40">
      <c r="H40" t="s">
        <v>785</v>
      </c>
      <c r="I40" t="s">
        <v>787</v>
      </c>
      <c r="J40">
        <v>4</v>
      </c>
      <c r="K40">
        <v>115</v>
      </c>
      <c r="L40">
        <v>63164.4</v>
      </c>
      <c r="M40">
        <v>26068.25</v>
      </c>
    </row>
    <row r="41">
      <c r="A41" s="325" t="s">
        <v>773</v>
      </c>
      <c r="B41" s="325" t="s">
        <v>775</v>
      </c>
      <c r="C41" s="325" t="s">
        <v>776</v>
      </c>
      <c r="D41" s="325" t="s">
        <v>777</v>
      </c>
      <c r="E41" s="325" t="s">
        <v>779</v>
      </c>
      <c r="F41" s="325" t="s">
        <v>780</v>
      </c>
      <c r="H41" t="s">
        <v>794</v>
      </c>
      <c r="I41" t="s">
        <v>787</v>
      </c>
      <c r="J41">
        <v>4</v>
      </c>
      <c r="K41">
        <v>95</v>
      </c>
      <c r="L41">
        <v>47080.83</v>
      </c>
      <c r="M41">
        <v>22461.79</v>
      </c>
      <c r="N41" s="326" t="s">
        <v>775</v>
      </c>
      <c r="O41" s="326" t="s">
        <v>776</v>
      </c>
      <c r="P41" s="326" t="s">
        <v>777</v>
      </c>
      <c r="Q41" s="326" t="s">
        <v>779</v>
      </c>
      <c r="R41" s="326" t="s">
        <v>780</v>
      </c>
    </row>
    <row r="42">
      <c r="A42" t="s">
        <v>807</v>
      </c>
      <c r="B42" t="s">
        <v>805</v>
      </c>
      <c r="C42">
        <v>5</v>
      </c>
      <c r="D42">
        <v>24</v>
      </c>
      <c r="E42">
        <v>11593.380000000001</v>
      </c>
      <c r="F42">
        <v>9835.120000000003</v>
      </c>
      <c r="H42" t="s">
        <v>795</v>
      </c>
      <c r="I42" t="s">
        <v>787</v>
      </c>
      <c r="J42">
        <v>4</v>
      </c>
      <c r="K42">
        <v>290</v>
      </c>
      <c r="L42">
        <v>131265.21</v>
      </c>
      <c r="M42">
        <v>66971.68</v>
      </c>
      <c r="N42" s="327" t="s">
        <v>814</v>
      </c>
      <c r="O42">
        <v>17</v>
      </c>
      <c r="P42">
        <v>372</v>
      </c>
      <c r="Q42">
        <v>203859.45</v>
      </c>
      <c r="R42">
        <v>101553.16999999998</v>
      </c>
    </row>
    <row r="43">
      <c r="A43" t="s">
        <v>809</v>
      </c>
      <c r="B43" t="s">
        <v>810</v>
      </c>
      <c r="C43">
        <v>5</v>
      </c>
      <c r="D43">
        <v>52</v>
      </c>
      <c r="E43">
        <v>32212.009999999995</v>
      </c>
      <c r="F43">
        <v>17535.089999999997</v>
      </c>
      <c r="H43" t="s">
        <v>799</v>
      </c>
      <c r="I43" t="s">
        <v>802</v>
      </c>
      <c r="J43">
        <v>4</v>
      </c>
      <c r="K43">
        <v>141</v>
      </c>
      <c r="L43">
        <v>82514.17</v>
      </c>
      <c r="M43">
        <v>34748.68</v>
      </c>
      <c r="N43" t="s">
        <v>814</v>
      </c>
      <c r="O43">
        <v>17</v>
      </c>
      <c r="P43">
        <v>402</v>
      </c>
      <c r="Q43">
        <v>251631.88</v>
      </c>
      <c r="R43">
        <v>114060.50000000001</v>
      </c>
    </row>
    <row hidden="true" r="44">
      <c r="H44" t="s">
        <v>803</v>
      </c>
      <c r="I44" t="s">
        <v>804</v>
      </c>
      <c r="J44">
        <v>4</v>
      </c>
      <c r="K44">
        <v>21</v>
      </c>
      <c r="L44">
        <v>13107.26</v>
      </c>
      <c r="M44">
        <v>8382.77</v>
      </c>
      <c r="N44" s="327" t="s">
        <v>815</v>
      </c>
      <c r="O44">
        <v>15</v>
      </c>
      <c r="P44">
        <v>669</v>
      </c>
      <c r="Q44">
        <v>335361.16</v>
      </c>
      <c r="R44">
        <v>144244.27</v>
      </c>
    </row>
    <row hidden="true" r="45">
      <c r="H45" t="s">
        <v>803</v>
      </c>
      <c r="I45" t="s">
        <v>806</v>
      </c>
      <c r="J45">
        <v>3</v>
      </c>
      <c r="K45">
        <v>21</v>
      </c>
      <c r="L45">
        <v>13162.68</v>
      </c>
      <c r="M45">
        <v>9150.009999999998</v>
      </c>
      <c r="N45" s="327" t="s">
        <v>816</v>
      </c>
      <c r="O45">
        <v>8</v>
      </c>
      <c r="P45">
        <v>222</v>
      </c>
      <c r="Q45">
        <v>132793.65</v>
      </c>
      <c r="R45">
        <v>49765.15</v>
      </c>
    </row>
    <row hidden="true" r="46">
      <c r="H46" t="s">
        <v>807</v>
      </c>
      <c r="I46" t="s">
        <v>804</v>
      </c>
      <c r="J46">
        <v>4</v>
      </c>
      <c r="K46">
        <v>19</v>
      </c>
      <c r="L46">
        <v>5858.2</v>
      </c>
      <c r="M46">
        <v>9053.65</v>
      </c>
      <c r="N46" s="327" t="s">
        <v>817</v>
      </c>
      <c r="O46">
        <v>12</v>
      </c>
      <c r="P46">
        <v>83</v>
      </c>
      <c r="Q46">
        <v>47238.19</v>
      </c>
      <c r="R46">
        <v>29836.45</v>
      </c>
    </row>
    <row hidden="true" r="47">
      <c r="H47" t="s">
        <v>807</v>
      </c>
      <c r="I47" t="s">
        <v>806</v>
      </c>
      <c r="J47">
        <v>3</v>
      </c>
      <c r="K47">
        <v>34</v>
      </c>
      <c r="L47">
        <v>19119</v>
      </c>
      <c r="M47">
        <v>9587.699999999997</v>
      </c>
      <c r="N47" s="327" t="s">
        <v>818</v>
      </c>
      <c r="O47">
        <v>16</v>
      </c>
      <c r="P47">
        <v>160</v>
      </c>
      <c r="Q47">
        <v>82765.66</v>
      </c>
      <c r="R47">
        <v>48841.020000000004</v>
      </c>
    </row>
    <row hidden="true" r="48">
      <c r="H48" t="s">
        <v>809</v>
      </c>
      <c r="I48" t="s">
        <v>801</v>
      </c>
      <c r="J48">
        <v>4</v>
      </c>
      <c r="K48">
        <v>57</v>
      </c>
      <c r="L48">
        <v>32698.03</v>
      </c>
      <c r="M48">
        <v>17064.78</v>
      </c>
      <c r="N48" t="s">
        <v>814</v>
      </c>
      <c r="O48">
        <v>17</v>
      </c>
      <c r="P48">
        <v>278</v>
      </c>
      <c r="Q48">
        <v>157277.89</v>
      </c>
      <c r="R48">
        <v>81502.93</v>
      </c>
    </row>
    <row hidden="true" r="49"/>
    <row hidden="true" r="50"/>
    <row hidden="true" r="51"/>
    <row hidden="true" r="52"/>
    <row hidden="true" r="53"/>
    <row hidden="true" r="54"/>
    <row r="55"/>
    <row r="56">
      <c r="A56" t="s">
        <v>785</v>
      </c>
      <c r="B56" t="s">
        <v>793</v>
      </c>
      <c r="C56">
        <v>5</v>
      </c>
      <c r="D56">
        <v>112</v>
      </c>
      <c r="E56">
        <v>65397.45</v>
      </c>
      <c r="F56">
        <v>31944.799999999996</v>
      </c>
    </row>
    <row r="57">
      <c r="A57" t="s">
        <v>794</v>
      </c>
      <c r="B57" t="s">
        <v>789</v>
      </c>
      <c r="C57">
        <v>4</v>
      </c>
      <c r="D57">
        <v>85</v>
      </c>
      <c r="E57">
        <v>62363.66</v>
      </c>
      <c r="F57">
        <v>22177.28</v>
      </c>
    </row>
    <row r="58">
      <c r="A58" t="s">
        <v>795</v>
      </c>
      <c r="B58" t="s">
        <v>797</v>
      </c>
      <c r="C58">
        <v>5</v>
      </c>
      <c r="D58">
        <v>83</v>
      </c>
      <c r="E58">
        <v>54329.53</v>
      </c>
      <c r="F58">
        <v>20791.71</v>
      </c>
    </row>
    <row r="59">
      <c r="A59" t="s">
        <v>809</v>
      </c>
      <c r="B59" t="s">
        <v>787</v>
      </c>
      <c r="C59">
        <v>4</v>
      </c>
      <c r="D59">
        <v>68</v>
      </c>
      <c r="E59">
        <v>38501.16</v>
      </c>
      <c r="F59">
        <v>20258.88</v>
      </c>
    </row>
  </sheetData>
  <autoFilter ref="A1:L54">
    <filterColumn colId="1">
      <filters>
        <filter val="76"/>
        <filter val="11:00-16:00"/>
        <filter val="12:00-17:00"/>
        <filter val="张欣颖"/>
        <filter val="直播时段"/>
        <filter val="总保单数"/>
      </filters>
    </filterColumn>
  </autoFil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